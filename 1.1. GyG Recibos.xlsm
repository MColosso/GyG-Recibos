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5.xml" ContentType="application/vnd.openxmlformats-officedocument.spreadsheetml.comments+xml"/>
  <Override PartName="/xl/pivotTables/pivotTable1.xml" ContentType="application/vnd.openxmlformats-officedocument.spreadsheetml.pivotTable+xml"/>
  <Override PartName="/xl/comments6.xml" ContentType="application/vnd.openxmlformats-officedocument.spreadsheetml.comments+xml"/>
  <Override PartName="/xl/comments7.xml" ContentType="application/vnd.openxmlformats-officedocument.spreadsheetml.comments+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threadedComments/threadedComment5.xml" ContentType="application/vnd.ms-excel.threadedcomments+xml"/>
  <Override PartName="/xl/threadedComments/threadedComment6.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Colosso\Dropbox\GyG Recibos\"/>
    </mc:Choice>
  </mc:AlternateContent>
  <bookViews>
    <workbookView xWindow="0" yWindow="0" windowWidth="18930" windowHeight="7485"/>
  </bookViews>
  <sheets>
    <sheet name="Vigilancia" sheetId="1" r:id="rId1"/>
    <sheet name="RESUMEN VIGILANCIA" sheetId="9" r:id="rId2"/>
    <sheet name="CUOTAS" sheetId="14" r:id="rId3"/>
    <sheet name="Saldos" sheetId="4" r:id="rId4"/>
    <sheet name="Cobranzas" sheetId="12" r:id="rId5"/>
    <sheet name="R.VIGILANCIA (reordenado)" sheetId="5" r:id="rId6"/>
    <sheet name="R.INGRESOS" sheetId="13" r:id="rId7"/>
    <sheet name="RESUMEN OTROS" sheetId="8" r:id="rId8"/>
    <sheet name="Proyectos" sheetId="11" r:id="rId9"/>
    <sheet name="Vecinos" sheetId="2" r:id="rId10"/>
    <sheet name="Varios" sheetId="10" r:id="rId11"/>
  </sheets>
  <functionGroups builtInGroupCount="18"/>
  <definedNames>
    <definedName name="_xlnm._FilterDatabase" localSheetId="5" hidden="1">'R.VIGILANCIA (reordenado)'!$A$1:$BB$147</definedName>
    <definedName name="_xlnm._FilterDatabase" localSheetId="7" hidden="1">'RESUMEN OTROS'!$A$1:$J$151</definedName>
    <definedName name="_xlnm._FilterDatabase" localSheetId="9" hidden="1">Vecinos!$A$1:$I$141</definedName>
    <definedName name="_xlnm._FilterDatabase" localSheetId="0" hidden="1">Vigilancia!$A$1:$Q$2687</definedName>
  </definedNames>
  <calcPr calcId="152511" iterate="1" iterateCount="5"/>
  <pivotCaches>
    <pivotCache cacheId="0" r:id="rId12"/>
    <pivotCache cacheId="1"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151" i="9" l="1"/>
  <c r="A2816" i="1" l="1"/>
  <c r="O2817" i="1" l="1"/>
  <c r="N2817" i="1"/>
  <c r="M2817" i="1"/>
  <c r="P2817" i="1"/>
  <c r="A2817" i="1"/>
  <c r="L2817" i="1" s="1"/>
  <c r="Q2817" i="1"/>
  <c r="A2815" i="1" l="1"/>
  <c r="P2816" i="1" l="1"/>
  <c r="O2816" i="1"/>
  <c r="N2816" i="1"/>
  <c r="M2816" i="1"/>
  <c r="L2816" i="1"/>
  <c r="P2815" i="1"/>
  <c r="O2815" i="1"/>
  <c r="N2815" i="1"/>
  <c r="M2815" i="1"/>
  <c r="L2815" i="1"/>
  <c r="Q2816" i="1"/>
  <c r="Q2815" i="1"/>
  <c r="A2813" i="1" l="1"/>
  <c r="H68" i="14"/>
  <c r="H69" i="14"/>
  <c r="H70" i="14" s="1"/>
  <c r="M70" i="14"/>
  <c r="G70" i="14"/>
  <c r="L70" i="14" s="1"/>
  <c r="F70" i="14"/>
  <c r="P2814" i="1" l="1"/>
  <c r="O2814" i="1"/>
  <c r="N2814" i="1"/>
  <c r="M2814" i="1"/>
  <c r="A2814" i="1"/>
  <c r="L2814" i="1" s="1"/>
  <c r="Q2814" i="1"/>
  <c r="P2813" i="1" l="1"/>
  <c r="O2813" i="1"/>
  <c r="N2813" i="1"/>
  <c r="M2813" i="1"/>
  <c r="L2813" i="1"/>
  <c r="Q2813" i="1"/>
  <c r="A2811" i="1" l="1"/>
  <c r="P2812" i="1" l="1"/>
  <c r="O2812" i="1"/>
  <c r="N2812" i="1"/>
  <c r="M2812" i="1"/>
  <c r="A2812" i="1"/>
  <c r="L2812" i="1" s="1"/>
  <c r="Q2812" i="1"/>
  <c r="A2810" i="1" l="1"/>
  <c r="A2809" i="1" l="1"/>
  <c r="P2811" i="1"/>
  <c r="O2811" i="1"/>
  <c r="N2811" i="1"/>
  <c r="M2811" i="1"/>
  <c r="Q2811" i="1"/>
  <c r="M69" i="14" l="1"/>
  <c r="G69" i="14"/>
  <c r="L69" i="14" s="1"/>
  <c r="F69" i="14"/>
  <c r="M68" i="14"/>
  <c r="G68" i="14"/>
  <c r="L68" i="14" s="1"/>
  <c r="F68" i="14"/>
  <c r="E2810" i="1" l="1"/>
  <c r="P2810" i="1"/>
  <c r="O2810" i="1"/>
  <c r="N2810" i="1"/>
  <c r="M2810" i="1"/>
  <c r="Q2810" i="1"/>
  <c r="L2810" i="1" l="1"/>
  <c r="L2811" i="1"/>
  <c r="P2809" i="1"/>
  <c r="O2809" i="1"/>
  <c r="N2809" i="1"/>
  <c r="M2809" i="1"/>
  <c r="L2809" i="1"/>
  <c r="P2808" i="1"/>
  <c r="O2808" i="1"/>
  <c r="N2808" i="1"/>
  <c r="M2808" i="1"/>
  <c r="A2808" i="1"/>
  <c r="L2808" i="1" s="1"/>
  <c r="Q2809" i="1"/>
  <c r="Q2808" i="1"/>
  <c r="A2807" i="1" l="1"/>
  <c r="AP93" i="9" l="1"/>
  <c r="P2807" i="1"/>
  <c r="O2807" i="1"/>
  <c r="N2807" i="1"/>
  <c r="M2807" i="1"/>
  <c r="L2807" i="1"/>
  <c r="E2806" i="1"/>
  <c r="P2806" i="1"/>
  <c r="O2806" i="1"/>
  <c r="N2806" i="1"/>
  <c r="M2806" i="1"/>
  <c r="A2806" i="1"/>
  <c r="L2806" i="1" s="1"/>
  <c r="Q2806" i="1"/>
  <c r="Q2807" i="1"/>
  <c r="AQ131" i="9" l="1"/>
  <c r="AP131" i="9"/>
  <c r="P2805" i="1"/>
  <c r="O2805" i="1"/>
  <c r="N2805" i="1"/>
  <c r="M2805" i="1"/>
  <c r="A2805" i="1"/>
  <c r="L2805" i="1" s="1"/>
  <c r="P2804" i="1"/>
  <c r="O2804" i="1"/>
  <c r="N2804" i="1"/>
  <c r="M2804" i="1"/>
  <c r="A2804" i="1"/>
  <c r="L2804" i="1" s="1"/>
  <c r="Q2805" i="1"/>
  <c r="Q2804" i="1"/>
  <c r="A2802" i="1" l="1"/>
  <c r="P2803" i="1" l="1"/>
  <c r="O2803" i="1"/>
  <c r="N2803" i="1"/>
  <c r="M2803" i="1"/>
  <c r="A2803" i="1"/>
  <c r="L2803" i="1" s="1"/>
  <c r="Q2803" i="1"/>
  <c r="A2800" i="1" l="1"/>
  <c r="P2802" i="1"/>
  <c r="O2802" i="1"/>
  <c r="N2802" i="1"/>
  <c r="M2802" i="1"/>
  <c r="Q2802" i="1"/>
  <c r="P2801" i="1" l="1"/>
  <c r="O2801" i="1"/>
  <c r="N2801" i="1"/>
  <c r="M2801" i="1"/>
  <c r="A2801" i="1"/>
  <c r="Q2801" i="1"/>
  <c r="L2801" i="1" l="1"/>
  <c r="L2802" i="1"/>
  <c r="A2796" i="1"/>
  <c r="P2800" i="1"/>
  <c r="O2800" i="1"/>
  <c r="N2800" i="1"/>
  <c r="M2800" i="1"/>
  <c r="P2799" i="1"/>
  <c r="O2799" i="1"/>
  <c r="N2799" i="1"/>
  <c r="M2799" i="1"/>
  <c r="P2798" i="1"/>
  <c r="O2798" i="1"/>
  <c r="N2798" i="1"/>
  <c r="M2798" i="1"/>
  <c r="P2797" i="1"/>
  <c r="O2797" i="1"/>
  <c r="N2797" i="1"/>
  <c r="M2797" i="1"/>
  <c r="A2797" i="1"/>
  <c r="Q2799" i="1"/>
  <c r="Q2797" i="1"/>
  <c r="Q2800" i="1"/>
  <c r="Q2798" i="1"/>
  <c r="L2797" i="1" l="1"/>
  <c r="A2798" i="1"/>
  <c r="A2795" i="1"/>
  <c r="L2798" i="1" l="1"/>
  <c r="A2799" i="1"/>
  <c r="E2796" i="1"/>
  <c r="P2796" i="1"/>
  <c r="O2796" i="1"/>
  <c r="N2796" i="1"/>
  <c r="M2796" i="1"/>
  <c r="L2796" i="1"/>
  <c r="Q2796" i="1"/>
  <c r="L2799" i="1" l="1"/>
  <c r="L2800" i="1"/>
  <c r="P2795" i="1"/>
  <c r="O2795" i="1"/>
  <c r="N2795" i="1"/>
  <c r="M2795" i="1"/>
  <c r="L2795" i="1"/>
  <c r="AQ133" i="9"/>
  <c r="P2794" i="1"/>
  <c r="O2794" i="1"/>
  <c r="N2794" i="1"/>
  <c r="M2794" i="1"/>
  <c r="A2794" i="1"/>
  <c r="L2794" i="1" s="1"/>
  <c r="Q2795" i="1"/>
  <c r="Q2794" i="1"/>
  <c r="A2792" i="1" l="1"/>
  <c r="P2793" i="1" l="1"/>
  <c r="O2793" i="1"/>
  <c r="N2793" i="1"/>
  <c r="M2793" i="1"/>
  <c r="A2793" i="1"/>
  <c r="L2793" i="1" s="1"/>
  <c r="P2792" i="1"/>
  <c r="O2792" i="1"/>
  <c r="N2792" i="1"/>
  <c r="M2792" i="1"/>
  <c r="L2792" i="1"/>
  <c r="Q2793" i="1"/>
  <c r="Q2792" i="1"/>
  <c r="A2790" i="1" l="1"/>
  <c r="P2791" i="1" l="1"/>
  <c r="O2791" i="1"/>
  <c r="N2791" i="1"/>
  <c r="M2791" i="1"/>
  <c r="A2791" i="1"/>
  <c r="L2791" i="1" s="1"/>
  <c r="P2790" i="1"/>
  <c r="O2790" i="1"/>
  <c r="N2790" i="1"/>
  <c r="M2790" i="1"/>
  <c r="L2790" i="1"/>
  <c r="P2789" i="1"/>
  <c r="O2789" i="1"/>
  <c r="N2789" i="1"/>
  <c r="M2789" i="1"/>
  <c r="A2789" i="1"/>
  <c r="L2789" i="1" s="1"/>
  <c r="Q2791" i="1"/>
  <c r="Q2790" i="1"/>
  <c r="Q2789" i="1"/>
  <c r="AQ33" i="9" l="1"/>
  <c r="AR33" i="9"/>
  <c r="P2788" i="1"/>
  <c r="O2788" i="1"/>
  <c r="N2788" i="1"/>
  <c r="M2788" i="1"/>
  <c r="A2788" i="1"/>
  <c r="L2788" i="1"/>
  <c r="A2786" i="1"/>
  <c r="AQ59" i="9"/>
  <c r="AR59" i="9"/>
  <c r="P2787" i="1"/>
  <c r="O2787" i="1"/>
  <c r="N2787" i="1"/>
  <c r="M2787" i="1"/>
  <c r="A2787" i="1"/>
  <c r="L2787" i="1"/>
  <c r="A2785" i="1"/>
  <c r="P2786" i="1"/>
  <c r="O2786" i="1"/>
  <c r="N2786" i="1"/>
  <c r="M2786" i="1"/>
  <c r="L2786" i="1"/>
  <c r="A2784" i="1"/>
  <c r="P2785" i="1"/>
  <c r="O2785" i="1"/>
  <c r="N2785" i="1"/>
  <c r="M2785" i="1"/>
  <c r="L2785" i="1"/>
  <c r="AP107" i="9"/>
  <c r="AO107" i="9"/>
  <c r="E2784" i="1"/>
  <c r="P2784" i="1"/>
  <c r="O2784" i="1"/>
  <c r="N2784" i="1"/>
  <c r="M2784" i="1"/>
  <c r="AN109" i="9"/>
  <c r="P2783" i="1"/>
  <c r="O2783" i="1"/>
  <c r="N2783" i="1"/>
  <c r="M2783" i="1"/>
  <c r="P2782" i="1"/>
  <c r="O2782" i="1"/>
  <c r="N2782" i="1"/>
  <c r="M2782" i="1"/>
  <c r="P2781" i="1"/>
  <c r="O2781" i="1"/>
  <c r="N2781" i="1"/>
  <c r="M2781" i="1"/>
  <c r="AQ20" i="9"/>
  <c r="E2773" i="1"/>
  <c r="P2780" i="1"/>
  <c r="O2780" i="1"/>
  <c r="N2780" i="1"/>
  <c r="M2780" i="1"/>
  <c r="P2779" i="1"/>
  <c r="O2779" i="1"/>
  <c r="N2779" i="1"/>
  <c r="M2779" i="1"/>
  <c r="P2778" i="1"/>
  <c r="O2778" i="1"/>
  <c r="N2778" i="1"/>
  <c r="M2778" i="1"/>
  <c r="P2777" i="1"/>
  <c r="O2777" i="1"/>
  <c r="N2777" i="1"/>
  <c r="M2777" i="1"/>
  <c r="AP88" i="9"/>
  <c r="P2776" i="1"/>
  <c r="O2776" i="1"/>
  <c r="N2776" i="1"/>
  <c r="M2776" i="1"/>
  <c r="P2775" i="1"/>
  <c r="O2775" i="1"/>
  <c r="N2775" i="1"/>
  <c r="M2775" i="1"/>
  <c r="P2774" i="1"/>
  <c r="O2774" i="1"/>
  <c r="N2774" i="1"/>
  <c r="M2774" i="1"/>
  <c r="P2773" i="1"/>
  <c r="O2773" i="1"/>
  <c r="N2773" i="1"/>
  <c r="M2773" i="1"/>
  <c r="P2772" i="1"/>
  <c r="O2772" i="1"/>
  <c r="N2772" i="1"/>
  <c r="M2772" i="1"/>
  <c r="N20" i="13"/>
  <c r="M20" i="13"/>
  <c r="K20" i="13"/>
  <c r="AP77" i="9"/>
  <c r="E2771" i="1"/>
  <c r="P2771" i="1"/>
  <c r="O2771" i="1"/>
  <c r="N2771" i="1"/>
  <c r="M2771" i="1"/>
  <c r="M67" i="14"/>
  <c r="G67" i="14"/>
  <c r="H67" i="14"/>
  <c r="F67" i="14"/>
  <c r="M66" i="14"/>
  <c r="G66" i="14"/>
  <c r="F66" i="14"/>
  <c r="P2770" i="1"/>
  <c r="O2770" i="1"/>
  <c r="N2770" i="1"/>
  <c r="M2770" i="1"/>
  <c r="L67" i="14"/>
  <c r="O2767" i="1"/>
  <c r="N2767" i="1"/>
  <c r="M2767" i="1"/>
  <c r="E2767" i="1"/>
  <c r="P2767" i="1"/>
  <c r="M2768" i="1"/>
  <c r="N2768" i="1"/>
  <c r="O2768" i="1"/>
  <c r="P2768" i="1"/>
  <c r="M2769" i="1"/>
  <c r="N2769" i="1"/>
  <c r="O2769" i="1"/>
  <c r="P2769" i="1"/>
  <c r="P2766" i="1"/>
  <c r="O2766" i="1"/>
  <c r="N2766" i="1"/>
  <c r="M2766" i="1"/>
  <c r="P2765" i="1"/>
  <c r="O2765" i="1"/>
  <c r="N2765" i="1"/>
  <c r="M2765" i="1"/>
  <c r="P2764" i="1"/>
  <c r="O2764" i="1"/>
  <c r="N2764" i="1"/>
  <c r="M2764" i="1"/>
  <c r="P2763" i="1"/>
  <c r="O2763" i="1"/>
  <c r="N2763" i="1"/>
  <c r="M2763" i="1"/>
  <c r="P2762" i="1"/>
  <c r="O2762" i="1"/>
  <c r="N2762" i="1"/>
  <c r="M2762" i="1"/>
  <c r="P2761" i="1"/>
  <c r="O2761" i="1"/>
  <c r="N2761" i="1"/>
  <c r="M2761" i="1"/>
  <c r="P2760" i="1"/>
  <c r="O2760" i="1"/>
  <c r="N2760" i="1"/>
  <c r="M2760" i="1"/>
  <c r="P2759" i="1"/>
  <c r="O2759" i="1"/>
  <c r="N2759" i="1"/>
  <c r="M2759" i="1"/>
  <c r="P2758" i="1"/>
  <c r="O2758" i="1"/>
  <c r="N2758" i="1"/>
  <c r="M2758" i="1"/>
  <c r="P2757" i="1"/>
  <c r="O2757" i="1"/>
  <c r="N2757" i="1"/>
  <c r="M2757"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L2757" i="1"/>
  <c r="BA102" i="5"/>
  <c r="AZ102" i="5"/>
  <c r="AY102" i="5"/>
  <c r="AX102" i="5"/>
  <c r="AW102" i="5"/>
  <c r="AV102" i="5"/>
  <c r="AU102" i="5"/>
  <c r="AT102" i="5"/>
  <c r="AS102" i="5"/>
  <c r="AR102" i="5"/>
  <c r="AQ102" i="5"/>
  <c r="AP102" i="5"/>
  <c r="AO102" i="5"/>
  <c r="AN102" i="5"/>
  <c r="AM102" i="5"/>
  <c r="AL102" i="5"/>
  <c r="AK102" i="5"/>
  <c r="AJ102" i="5"/>
  <c r="AI102" i="5"/>
  <c r="AH102" i="5"/>
  <c r="AG102" i="5"/>
  <c r="AF102" i="5"/>
  <c r="AE102" i="5"/>
  <c r="AD102" i="5"/>
  <c r="AC102" i="5"/>
  <c r="AB102" i="5"/>
  <c r="AA102" i="5"/>
  <c r="Z102" i="5"/>
  <c r="Y102" i="5"/>
  <c r="X102" i="5"/>
  <c r="W102" i="5"/>
  <c r="V102" i="5"/>
  <c r="U102" i="5"/>
  <c r="T102" i="5"/>
  <c r="S102" i="5"/>
  <c r="R102" i="5"/>
  <c r="Q102" i="5"/>
  <c r="P102" i="5"/>
  <c r="O102" i="5"/>
  <c r="N102" i="5"/>
  <c r="M102" i="5"/>
  <c r="L102" i="5"/>
  <c r="K102" i="5"/>
  <c r="J102" i="5"/>
  <c r="I102" i="5"/>
  <c r="H102" i="5"/>
  <c r="G102" i="5"/>
  <c r="F102" i="5"/>
  <c r="E102" i="5"/>
  <c r="BB102" i="5"/>
  <c r="BA106" i="9"/>
  <c r="B106" i="9"/>
  <c r="A106" i="9"/>
  <c r="P2756" i="1"/>
  <c r="O2756" i="1"/>
  <c r="N2756" i="1"/>
  <c r="M2756" i="1"/>
  <c r="L2756" i="1"/>
  <c r="M65" i="14"/>
  <c r="G65" i="14"/>
  <c r="F65" i="14"/>
  <c r="AP90" i="9"/>
  <c r="AQ4" i="9"/>
  <c r="P2755" i="1"/>
  <c r="O2755" i="1"/>
  <c r="N2755" i="1"/>
  <c r="M2755" i="1"/>
  <c r="L2755" i="1"/>
  <c r="P2754" i="1"/>
  <c r="O2754" i="1"/>
  <c r="N2754" i="1"/>
  <c r="M2754" i="1"/>
  <c r="L2754" i="1"/>
  <c r="P2753" i="1"/>
  <c r="O2753" i="1"/>
  <c r="N2753" i="1"/>
  <c r="M2753" i="1"/>
  <c r="L2753" i="1"/>
  <c r="AO5" i="9"/>
  <c r="P2752" i="1"/>
  <c r="O2752" i="1"/>
  <c r="N2752" i="1"/>
  <c r="M2752" i="1"/>
  <c r="L2752" i="1"/>
  <c r="P2751" i="1"/>
  <c r="O2751" i="1"/>
  <c r="N2751" i="1"/>
  <c r="M2751" i="1"/>
  <c r="L2751" i="1"/>
  <c r="P2750" i="1"/>
  <c r="O2750" i="1"/>
  <c r="N2750" i="1"/>
  <c r="M2750" i="1"/>
  <c r="P2749" i="1"/>
  <c r="O2749" i="1"/>
  <c r="N2749" i="1"/>
  <c r="M2749" i="1"/>
  <c r="L2750" i="1"/>
  <c r="P2748" i="1"/>
  <c r="O2748" i="1"/>
  <c r="N2748" i="1"/>
  <c r="M2748" i="1"/>
  <c r="L2748" i="1"/>
  <c r="L2749" i="1"/>
  <c r="P2747" i="1"/>
  <c r="O2747" i="1"/>
  <c r="N2747" i="1"/>
  <c r="M2747" i="1"/>
  <c r="P2746" i="1"/>
  <c r="O2746" i="1"/>
  <c r="N2746" i="1"/>
  <c r="M2746" i="1"/>
  <c r="P2745" i="1"/>
  <c r="O2745" i="1"/>
  <c r="N2745" i="1"/>
  <c r="M2745" i="1"/>
  <c r="P2744" i="1"/>
  <c r="O2744" i="1"/>
  <c r="N2744" i="1"/>
  <c r="M2744" i="1"/>
  <c r="AP87" i="9"/>
  <c r="E2743" i="1"/>
  <c r="I1" i="14"/>
  <c r="O2743" i="1"/>
  <c r="N2743" i="1"/>
  <c r="M2743" i="1"/>
  <c r="P2743" i="1"/>
  <c r="P2742" i="1"/>
  <c r="O2742" i="1"/>
  <c r="N2742" i="1"/>
  <c r="M2742" i="1"/>
  <c r="M64" i="14"/>
  <c r="G64" i="14"/>
  <c r="M1" i="14" a="1"/>
  <c r="M1" i="14"/>
  <c r="I70" i="14" s="1"/>
  <c r="I64" i="14"/>
  <c r="I65" i="14"/>
  <c r="F64" i="14"/>
  <c r="P2741" i="1"/>
  <c r="O2741" i="1"/>
  <c r="N2741" i="1"/>
  <c r="M2741" i="1"/>
  <c r="P2740" i="1"/>
  <c r="O2740" i="1"/>
  <c r="N2740" i="1"/>
  <c r="M2740" i="1"/>
  <c r="P2739" i="1"/>
  <c r="O2739" i="1"/>
  <c r="N2739" i="1"/>
  <c r="M2739" i="1"/>
  <c r="P2738" i="1"/>
  <c r="O2738" i="1"/>
  <c r="N2738" i="1"/>
  <c r="M2738" i="1"/>
  <c r="AO48" i="9"/>
  <c r="E2737" i="1"/>
  <c r="P2737" i="1"/>
  <c r="O2737" i="1"/>
  <c r="N2737" i="1"/>
  <c r="M2737" i="1"/>
  <c r="P2736" i="1"/>
  <c r="O2736" i="1"/>
  <c r="N2736" i="1"/>
  <c r="M2736" i="1"/>
  <c r="P2735" i="1"/>
  <c r="O2735" i="1"/>
  <c r="N2735" i="1"/>
  <c r="M2735" i="1"/>
  <c r="P2734" i="1"/>
  <c r="O2734" i="1"/>
  <c r="N2734" i="1"/>
  <c r="M2734" i="1"/>
  <c r="E2724" i="1"/>
  <c r="E2723" i="1"/>
  <c r="E2730" i="1"/>
  <c r="P2730" i="1"/>
  <c r="P2733" i="1"/>
  <c r="O2733" i="1"/>
  <c r="N2733" i="1"/>
  <c r="M2733" i="1"/>
  <c r="P2732" i="1"/>
  <c r="O2732" i="1"/>
  <c r="N2732" i="1"/>
  <c r="M2732" i="1"/>
  <c r="P2731" i="1"/>
  <c r="O2731" i="1"/>
  <c r="N2731" i="1"/>
  <c r="M2731" i="1"/>
  <c r="O2730" i="1"/>
  <c r="N2730" i="1"/>
  <c r="M2730" i="1"/>
  <c r="P2729" i="1"/>
  <c r="O2729" i="1"/>
  <c r="N2729" i="1"/>
  <c r="M2729" i="1"/>
  <c r="P2728" i="1"/>
  <c r="O2728" i="1"/>
  <c r="N2728" i="1"/>
  <c r="M2728" i="1"/>
  <c r="P2727" i="1"/>
  <c r="O2727" i="1"/>
  <c r="N2727" i="1"/>
  <c r="M2727" i="1"/>
  <c r="AP59" i="9"/>
  <c r="AO59" i="9"/>
  <c r="P2726" i="1"/>
  <c r="O2726" i="1"/>
  <c r="N2726" i="1"/>
  <c r="M2726" i="1"/>
  <c r="P2725" i="1"/>
  <c r="O2725" i="1"/>
  <c r="N2725" i="1"/>
  <c r="M2725" i="1"/>
  <c r="AN60" i="9"/>
  <c r="AO131" i="9"/>
  <c r="AN131" i="9"/>
  <c r="P2724" i="1"/>
  <c r="O2724" i="1"/>
  <c r="N2724" i="1"/>
  <c r="M2724" i="1"/>
  <c r="O2723" i="1"/>
  <c r="N2723" i="1"/>
  <c r="M2723" i="1"/>
  <c r="P2723" i="1"/>
  <c r="P2722" i="1"/>
  <c r="O2722" i="1"/>
  <c r="N2722" i="1"/>
  <c r="M2722" i="1"/>
  <c r="P2721" i="1"/>
  <c r="O2721" i="1"/>
  <c r="N2721" i="1"/>
  <c r="M2721" i="1"/>
  <c r="P2720" i="1"/>
  <c r="O2720" i="1"/>
  <c r="N2720" i="1"/>
  <c r="M2720" i="1"/>
  <c r="P2719" i="1"/>
  <c r="O2719" i="1"/>
  <c r="N2719" i="1"/>
  <c r="M2719" i="1"/>
  <c r="P2718" i="1"/>
  <c r="O2718" i="1"/>
  <c r="N2718" i="1"/>
  <c r="M2718" i="1"/>
  <c r="P2717" i="1"/>
  <c r="O2717" i="1"/>
  <c r="N2717" i="1"/>
  <c r="M2717" i="1"/>
  <c r="AO57" i="9"/>
  <c r="AN57" i="9"/>
  <c r="P2716" i="1"/>
  <c r="O2716" i="1"/>
  <c r="N2716" i="1"/>
  <c r="M2716" i="1"/>
  <c r="P2715" i="1"/>
  <c r="O2715" i="1"/>
  <c r="N2715" i="1"/>
  <c r="M2715" i="1"/>
  <c r="P2714" i="1"/>
  <c r="O2714" i="1"/>
  <c r="N2714" i="1"/>
  <c r="M2714" i="1"/>
  <c r="P2713" i="1"/>
  <c r="O2713" i="1"/>
  <c r="N2713" i="1"/>
  <c r="M2713" i="1"/>
  <c r="P2712" i="1"/>
  <c r="O2712" i="1"/>
  <c r="N2712" i="1"/>
  <c r="M2712" i="1"/>
  <c r="P2711" i="1"/>
  <c r="O2711" i="1"/>
  <c r="N2711" i="1"/>
  <c r="M2711" i="1"/>
  <c r="P2710" i="1"/>
  <c r="O2710" i="1"/>
  <c r="N2710" i="1"/>
  <c r="M2710" i="1"/>
  <c r="P2709" i="1"/>
  <c r="O2709" i="1"/>
  <c r="N2709" i="1"/>
  <c r="M2709" i="1"/>
  <c r="A36" i="12"/>
  <c r="Z15" i="12" s="1"/>
  <c r="Z13" i="12" s="1"/>
  <c r="AP33" i="9"/>
  <c r="P2708" i="1"/>
  <c r="O2708" i="1"/>
  <c r="N2708" i="1"/>
  <c r="M2708" i="1"/>
  <c r="AO93" i="9"/>
  <c r="P2707" i="1"/>
  <c r="O2707" i="1"/>
  <c r="N2707" i="1"/>
  <c r="M2707" i="1"/>
  <c r="P2706" i="1"/>
  <c r="O2706" i="1"/>
  <c r="N2706" i="1"/>
  <c r="M2706" i="1"/>
  <c r="P2705" i="1"/>
  <c r="O2705" i="1"/>
  <c r="N2705" i="1"/>
  <c r="M2705" i="1"/>
  <c r="P2704" i="1"/>
  <c r="O2704" i="1"/>
  <c r="N2704" i="1"/>
  <c r="M2704" i="1"/>
  <c r="P2703" i="1"/>
  <c r="O2703" i="1"/>
  <c r="N2703" i="1"/>
  <c r="M2703" i="1"/>
  <c r="P2702" i="1"/>
  <c r="O2702" i="1"/>
  <c r="N2702" i="1"/>
  <c r="M2702" i="1"/>
  <c r="P2701" i="1"/>
  <c r="O2701" i="1"/>
  <c r="N2701" i="1"/>
  <c r="M2701" i="1"/>
  <c r="P2700" i="1"/>
  <c r="O2700" i="1"/>
  <c r="N2700" i="1"/>
  <c r="M2700" i="1"/>
  <c r="P2699" i="1"/>
  <c r="O2699" i="1"/>
  <c r="N2699" i="1"/>
  <c r="M2699" i="1"/>
  <c r="M63" i="14"/>
  <c r="G63" i="14"/>
  <c r="F63" i="14"/>
  <c r="P2698" i="1"/>
  <c r="O2698" i="1"/>
  <c r="N2698" i="1"/>
  <c r="M2698" i="1"/>
  <c r="P2697" i="1"/>
  <c r="O2697" i="1"/>
  <c r="N2697" i="1"/>
  <c r="M2697" i="1"/>
  <c r="P2696" i="1"/>
  <c r="O2696" i="1"/>
  <c r="N2696" i="1"/>
  <c r="M2696" i="1"/>
  <c r="A54" i="9"/>
  <c r="P2695" i="1"/>
  <c r="O2695" i="1"/>
  <c r="N2695" i="1"/>
  <c r="M2695" i="1"/>
  <c r="P2694" i="1"/>
  <c r="O2694" i="1"/>
  <c r="N2694" i="1"/>
  <c r="M2694" i="1"/>
  <c r="P2693" i="1"/>
  <c r="O2693" i="1"/>
  <c r="N2693" i="1"/>
  <c r="M2693" i="1"/>
  <c r="O2692" i="1"/>
  <c r="N2692" i="1"/>
  <c r="M2692" i="1"/>
  <c r="P2692" i="1"/>
  <c r="P2691" i="1"/>
  <c r="O2691" i="1"/>
  <c r="N2691" i="1"/>
  <c r="M2691" i="1"/>
  <c r="M62" i="14"/>
  <c r="G62" i="14"/>
  <c r="F62" i="14"/>
  <c r="P2690" i="1"/>
  <c r="O2690" i="1"/>
  <c r="N2690" i="1"/>
  <c r="M2690" i="1"/>
  <c r="O2689" i="1"/>
  <c r="N2689" i="1"/>
  <c r="M2689" i="1"/>
  <c r="P2689" i="1"/>
  <c r="P2688" i="1"/>
  <c r="O2688" i="1"/>
  <c r="N2688" i="1"/>
  <c r="M2688" i="1"/>
  <c r="O2687" i="1"/>
  <c r="N2687" i="1"/>
  <c r="M2687" i="1"/>
  <c r="E2687" i="1"/>
  <c r="P2687" i="1"/>
  <c r="E2686" i="1"/>
  <c r="P2686" i="1"/>
  <c r="O2686" i="1"/>
  <c r="N2686" i="1"/>
  <c r="M2686" i="1"/>
  <c r="P2685" i="1"/>
  <c r="O2685" i="1"/>
  <c r="N2685" i="1"/>
  <c r="M2685" i="1"/>
  <c r="P2684" i="1"/>
  <c r="O2684" i="1"/>
  <c r="N2684" i="1"/>
  <c r="M2684" i="1"/>
  <c r="P2683" i="1"/>
  <c r="O2683" i="1"/>
  <c r="N2683" i="1"/>
  <c r="M2683" i="1"/>
  <c r="O2681" i="1"/>
  <c r="N2681" i="1"/>
  <c r="M2681" i="1"/>
  <c r="P2681" i="1"/>
  <c r="P2682" i="1"/>
  <c r="O2682" i="1"/>
  <c r="N2682" i="1"/>
  <c r="M2682" i="1"/>
  <c r="AP52" i="9"/>
  <c r="P2680" i="1"/>
  <c r="O2680" i="1"/>
  <c r="N2680" i="1"/>
  <c r="M2680" i="1"/>
  <c r="O2679" i="1"/>
  <c r="N2679" i="1"/>
  <c r="M2679" i="1"/>
  <c r="P2679" i="1"/>
  <c r="P2678" i="1"/>
  <c r="O2678" i="1"/>
  <c r="N2678" i="1"/>
  <c r="M2678" i="1"/>
  <c r="P2677" i="1"/>
  <c r="O2677" i="1"/>
  <c r="N2677" i="1"/>
  <c r="M2677" i="1"/>
  <c r="P2676" i="1"/>
  <c r="O2676" i="1"/>
  <c r="N2676" i="1"/>
  <c r="M2676" i="1"/>
  <c r="P2675" i="1"/>
  <c r="O2675" i="1"/>
  <c r="N2675" i="1"/>
  <c r="M2675" i="1"/>
  <c r="P2674" i="1"/>
  <c r="O2674" i="1"/>
  <c r="N2674" i="1"/>
  <c r="M2674" i="1"/>
  <c r="P2673" i="1"/>
  <c r="O2673" i="1"/>
  <c r="N2673" i="1"/>
  <c r="M2673" i="1"/>
  <c r="P2672" i="1"/>
  <c r="O2672" i="1"/>
  <c r="N2672" i="1"/>
  <c r="M2672" i="1"/>
  <c r="M61" i="14"/>
  <c r="G61" i="14"/>
  <c r="F61" i="14"/>
  <c r="P2671" i="1"/>
  <c r="O2671" i="1"/>
  <c r="N2671" i="1"/>
  <c r="M2671" i="1"/>
  <c r="P2670" i="1"/>
  <c r="O2670" i="1"/>
  <c r="N2670" i="1"/>
  <c r="M2670" i="1"/>
  <c r="P2669" i="1"/>
  <c r="O2669" i="1"/>
  <c r="N2669" i="1"/>
  <c r="M2669" i="1"/>
  <c r="BA45" i="5"/>
  <c r="AZ45" i="5"/>
  <c r="AY45" i="5"/>
  <c r="AX45" i="5"/>
  <c r="AW45" i="5"/>
  <c r="AV45" i="5"/>
  <c r="AU45" i="5"/>
  <c r="AT45" i="5"/>
  <c r="AS45" i="5"/>
  <c r="AR45" i="5"/>
  <c r="AQ45" i="5"/>
  <c r="AP45" i="5"/>
  <c r="AO45" i="5"/>
  <c r="AN45" i="5"/>
  <c r="AM45" i="5"/>
  <c r="AL45" i="5"/>
  <c r="AK45" i="5"/>
  <c r="AJ45" i="5"/>
  <c r="AI45" i="5"/>
  <c r="AH45" i="5"/>
  <c r="AG45" i="5"/>
  <c r="AF45" i="5"/>
  <c r="AE45" i="5"/>
  <c r="AD45" i="5"/>
  <c r="AC45" i="5"/>
  <c r="AB45" i="5"/>
  <c r="AA45" i="5"/>
  <c r="Z45" i="5"/>
  <c r="Y45" i="5"/>
  <c r="X45" i="5"/>
  <c r="W45" i="5"/>
  <c r="V45" i="5"/>
  <c r="U45" i="5"/>
  <c r="T45" i="5"/>
  <c r="S45" i="5"/>
  <c r="R45" i="5"/>
  <c r="Q45" i="5"/>
  <c r="P45" i="5"/>
  <c r="O45" i="5"/>
  <c r="N45" i="5"/>
  <c r="M45" i="5"/>
  <c r="L45" i="5"/>
  <c r="K45" i="5"/>
  <c r="J45" i="5"/>
  <c r="I45" i="5"/>
  <c r="H45" i="5"/>
  <c r="G45" i="5"/>
  <c r="F45" i="5"/>
  <c r="BB45" i="5"/>
  <c r="E45" i="5"/>
  <c r="BA50" i="9"/>
  <c r="B50" i="9"/>
  <c r="B45" i="5"/>
  <c r="A50" i="9"/>
  <c r="C50" i="9"/>
  <c r="P2668" i="1"/>
  <c r="O2668" i="1"/>
  <c r="N2668" i="1"/>
  <c r="M2668" i="1"/>
  <c r="P2667" i="1"/>
  <c r="O2667" i="1"/>
  <c r="N2667" i="1"/>
  <c r="M2667" i="1"/>
  <c r="A45" i="5"/>
  <c r="P2666" i="1"/>
  <c r="O2666" i="1"/>
  <c r="N2666" i="1"/>
  <c r="M2666" i="1"/>
  <c r="P2665" i="1"/>
  <c r="O2665" i="1"/>
  <c r="N2665" i="1"/>
  <c r="M2665" i="1"/>
  <c r="M60" i="14"/>
  <c r="G60" i="14"/>
  <c r="F60" i="14"/>
  <c r="P2664" i="1"/>
  <c r="O2664" i="1"/>
  <c r="N2664" i="1"/>
  <c r="M2664" i="1"/>
  <c r="P2663" i="1"/>
  <c r="O2663" i="1"/>
  <c r="N2663" i="1"/>
  <c r="M2663" i="1"/>
  <c r="P2662" i="1"/>
  <c r="O2662" i="1"/>
  <c r="N2662" i="1"/>
  <c r="M2662" i="1"/>
  <c r="P2661" i="1"/>
  <c r="O2661" i="1"/>
  <c r="N2661" i="1"/>
  <c r="M2661" i="1"/>
  <c r="P2660" i="1"/>
  <c r="O2660" i="1"/>
  <c r="N2660" i="1"/>
  <c r="M2660" i="1"/>
  <c r="P2659" i="1"/>
  <c r="O2659" i="1"/>
  <c r="N2659" i="1"/>
  <c r="M2659" i="1"/>
  <c r="P2658" i="1"/>
  <c r="O2658" i="1"/>
  <c r="N2658" i="1"/>
  <c r="M2658" i="1"/>
  <c r="P2657" i="1"/>
  <c r="O2657" i="1"/>
  <c r="N2657" i="1"/>
  <c r="M2657" i="1"/>
  <c r="P2656" i="1"/>
  <c r="O2656" i="1"/>
  <c r="N2656" i="1"/>
  <c r="M2656" i="1"/>
  <c r="P2655" i="1"/>
  <c r="O2655" i="1"/>
  <c r="N2655" i="1"/>
  <c r="M2655" i="1"/>
  <c r="P2654" i="1"/>
  <c r="O2654" i="1"/>
  <c r="N2654" i="1"/>
  <c r="M2654" i="1"/>
  <c r="P2653" i="1"/>
  <c r="O2653" i="1"/>
  <c r="N2653" i="1"/>
  <c r="M2653" i="1"/>
  <c r="AN65" i="9"/>
  <c r="E2627" i="1"/>
  <c r="P2627" i="1"/>
  <c r="P2652" i="1"/>
  <c r="O2652" i="1"/>
  <c r="N2652" i="1"/>
  <c r="M2652" i="1"/>
  <c r="P2651" i="1"/>
  <c r="O2651" i="1"/>
  <c r="N2651" i="1"/>
  <c r="M2651" i="1"/>
  <c r="P2650" i="1"/>
  <c r="O2650" i="1"/>
  <c r="N2650" i="1"/>
  <c r="M2650" i="1"/>
  <c r="P2649" i="1"/>
  <c r="O2649" i="1"/>
  <c r="N2649" i="1"/>
  <c r="M2649" i="1"/>
  <c r="P2648" i="1"/>
  <c r="O2648" i="1"/>
  <c r="N2648" i="1"/>
  <c r="M2648" i="1"/>
  <c r="P2647" i="1"/>
  <c r="O2647" i="1"/>
  <c r="N2647" i="1"/>
  <c r="M2647" i="1"/>
  <c r="P2646" i="1"/>
  <c r="O2646" i="1"/>
  <c r="N2646" i="1"/>
  <c r="M2646" i="1"/>
  <c r="P2645" i="1"/>
  <c r="O2645" i="1"/>
  <c r="N2645" i="1"/>
  <c r="M2645" i="1"/>
  <c r="AO62" i="9"/>
  <c r="P2644" i="1"/>
  <c r="O2644" i="1"/>
  <c r="N2644" i="1"/>
  <c r="M2644" i="1"/>
  <c r="P2643" i="1"/>
  <c r="O2643" i="1"/>
  <c r="N2643" i="1"/>
  <c r="M2643" i="1"/>
  <c r="P2642" i="1"/>
  <c r="O2642" i="1"/>
  <c r="N2642" i="1"/>
  <c r="M2642" i="1"/>
  <c r="P2641" i="1"/>
  <c r="O2641" i="1"/>
  <c r="N2641" i="1"/>
  <c r="M2641" i="1"/>
  <c r="P2640" i="1"/>
  <c r="O2640" i="1"/>
  <c r="N2640" i="1"/>
  <c r="M2640" i="1"/>
  <c r="P2639" i="1"/>
  <c r="O2639" i="1"/>
  <c r="N2639" i="1"/>
  <c r="M2639" i="1"/>
  <c r="P2638" i="1"/>
  <c r="O2638" i="1"/>
  <c r="N2638" i="1"/>
  <c r="M2638" i="1"/>
  <c r="P2637" i="1"/>
  <c r="O2637" i="1"/>
  <c r="N2637" i="1"/>
  <c r="M2637" i="1"/>
  <c r="P2636" i="1"/>
  <c r="O2636" i="1"/>
  <c r="N2636" i="1"/>
  <c r="M2636" i="1"/>
  <c r="H36" i="14"/>
  <c r="L36" i="14"/>
  <c r="H35" i="14"/>
  <c r="H34" i="14"/>
  <c r="L34" i="14"/>
  <c r="H33" i="14"/>
  <c r="H32" i="14"/>
  <c r="L32" i="14"/>
  <c r="H31" i="14"/>
  <c r="H30" i="14"/>
  <c r="L30" i="14"/>
  <c r="H29" i="14"/>
  <c r="H28" i="14"/>
  <c r="L28" i="14"/>
  <c r="H27" i="14"/>
  <c r="H26" i="14"/>
  <c r="H25" i="14"/>
  <c r="H4" i="14"/>
  <c r="M59" i="14"/>
  <c r="G59" i="14"/>
  <c r="H59" i="14"/>
  <c r="F59" i="14"/>
  <c r="P2635" i="1"/>
  <c r="O2635" i="1"/>
  <c r="N2635" i="1"/>
  <c r="M2635" i="1"/>
  <c r="P2634" i="1"/>
  <c r="O2634" i="1"/>
  <c r="N2634" i="1"/>
  <c r="M2634" i="1"/>
  <c r="P2633" i="1"/>
  <c r="O2633" i="1"/>
  <c r="N2633" i="1"/>
  <c r="M2633" i="1"/>
  <c r="P2632" i="1"/>
  <c r="O2632" i="1"/>
  <c r="N2632" i="1"/>
  <c r="M2632" i="1"/>
  <c r="E2556" i="1"/>
  <c r="E2533" i="1"/>
  <c r="P2533" i="1"/>
  <c r="E2511" i="1"/>
  <c r="AV6" i="4"/>
  <c r="AV5" i="4"/>
  <c r="AV4" i="4"/>
  <c r="AQ9" i="4"/>
  <c r="AQ8" i="4"/>
  <c r="AQ7" i="4"/>
  <c r="AQ6" i="4"/>
  <c r="AQ5" i="4"/>
  <c r="AQ4" i="4"/>
  <c r="AL12" i="4"/>
  <c r="AL11" i="4"/>
  <c r="AL10" i="4"/>
  <c r="AL9" i="4"/>
  <c r="AL8" i="4"/>
  <c r="AL7" i="4"/>
  <c r="AL6" i="4"/>
  <c r="AL5" i="4"/>
  <c r="AL4" i="4"/>
  <c r="AG17" i="4"/>
  <c r="AG16" i="4"/>
  <c r="AG15" i="4"/>
  <c r="AG14" i="4"/>
  <c r="AG13" i="4"/>
  <c r="AG12" i="4"/>
  <c r="AG11" i="4"/>
  <c r="AG10" i="4"/>
  <c r="AG9" i="4"/>
  <c r="AG8" i="4"/>
  <c r="AG7" i="4"/>
  <c r="AG6" i="4"/>
  <c r="AG5" i="4"/>
  <c r="AG4" i="4"/>
  <c r="AB20" i="4"/>
  <c r="AB19" i="4"/>
  <c r="AB18" i="4"/>
  <c r="AB17" i="4"/>
  <c r="AB16" i="4"/>
  <c r="AB15" i="4"/>
  <c r="AB14" i="4"/>
  <c r="AB13" i="4"/>
  <c r="AB12" i="4"/>
  <c r="AB11" i="4"/>
  <c r="AB10" i="4"/>
  <c r="AB9" i="4"/>
  <c r="AB8" i="4"/>
  <c r="AB7" i="4"/>
  <c r="AB6" i="4"/>
  <c r="AB5" i="4"/>
  <c r="AB4" i="4"/>
  <c r="W7" i="4"/>
  <c r="W6" i="4"/>
  <c r="W5" i="4"/>
  <c r="W4" i="4"/>
  <c r="R7" i="4"/>
  <c r="R6" i="4"/>
  <c r="R5" i="4"/>
  <c r="R4" i="4"/>
  <c r="M30" i="4"/>
  <c r="M29" i="4"/>
  <c r="M28" i="4"/>
  <c r="M27" i="4"/>
  <c r="M26" i="4"/>
  <c r="M25" i="4"/>
  <c r="M24" i="4"/>
  <c r="M23" i="4"/>
  <c r="M22" i="4"/>
  <c r="M21" i="4"/>
  <c r="M20" i="4"/>
  <c r="M19" i="4"/>
  <c r="M18" i="4"/>
  <c r="M17" i="4"/>
  <c r="M16" i="4"/>
  <c r="M15" i="4"/>
  <c r="M14" i="4"/>
  <c r="M13" i="4"/>
  <c r="M12" i="4"/>
  <c r="M11" i="4"/>
  <c r="M10" i="4"/>
  <c r="M9" i="4"/>
  <c r="M8" i="4"/>
  <c r="M7" i="4"/>
  <c r="M6" i="4"/>
  <c r="M5" i="4"/>
  <c r="M4" i="4"/>
  <c r="H30" i="4"/>
  <c r="H29" i="4"/>
  <c r="H28" i="4"/>
  <c r="H27" i="4"/>
  <c r="H26" i="4"/>
  <c r="H25" i="4"/>
  <c r="H24" i="4"/>
  <c r="H23" i="4"/>
  <c r="H22" i="4"/>
  <c r="H21" i="4"/>
  <c r="H20" i="4"/>
  <c r="H19" i="4"/>
  <c r="H18" i="4"/>
  <c r="H17" i="4"/>
  <c r="H16" i="4"/>
  <c r="H15" i="4"/>
  <c r="H14" i="4"/>
  <c r="H13" i="4"/>
  <c r="H12" i="4"/>
  <c r="H11" i="4"/>
  <c r="H10" i="4"/>
  <c r="H9" i="4"/>
  <c r="H8" i="4"/>
  <c r="H7" i="4"/>
  <c r="H6" i="4"/>
  <c r="H5" i="4"/>
  <c r="H4" i="4"/>
  <c r="I4" i="4"/>
  <c r="AB135" i="9"/>
  <c r="Z132" i="9"/>
  <c r="Y132" i="9"/>
  <c r="AB126" i="9"/>
  <c r="AB124" i="9"/>
  <c r="AB120" i="9"/>
  <c r="Z120" i="9"/>
  <c r="Y120" i="9"/>
  <c r="AB102" i="9"/>
  <c r="Y102" i="9"/>
  <c r="Y93" i="9"/>
  <c r="Z90" i="9"/>
  <c r="Y86" i="9"/>
  <c r="AB84" i="9"/>
  <c r="Y82" i="9"/>
  <c r="Z69" i="9"/>
  <c r="AB60" i="9"/>
  <c r="AB59" i="9"/>
  <c r="AA59" i="9"/>
  <c r="Y57" i="9"/>
  <c r="Y4" i="9"/>
  <c r="Y40" i="9"/>
  <c r="Y143" i="9"/>
  <c r="Z143" i="5"/>
  <c r="Y54" i="9"/>
  <c r="AB43" i="9"/>
  <c r="AA43" i="9"/>
  <c r="AB41" i="9"/>
  <c r="Z41" i="9"/>
  <c r="Z142" i="9"/>
  <c r="Z145" i="9"/>
  <c r="AB40" i="9"/>
  <c r="AB39" i="9"/>
  <c r="AB35" i="9"/>
  <c r="AB10" i="9"/>
  <c r="AB142" i="9"/>
  <c r="AB145" i="9"/>
  <c r="AB2" i="9"/>
  <c r="AA10" i="9"/>
  <c r="Z10" i="9"/>
  <c r="Z144" i="9"/>
  <c r="AA2" i="9"/>
  <c r="X135" i="9"/>
  <c r="X134" i="9"/>
  <c r="X133" i="9"/>
  <c r="X132" i="9"/>
  <c r="X131" i="9"/>
  <c r="X126" i="9"/>
  <c r="X125" i="9"/>
  <c r="X124" i="9"/>
  <c r="X120" i="9"/>
  <c r="X118" i="9"/>
  <c r="X116" i="9"/>
  <c r="X115" i="9"/>
  <c r="X110" i="9"/>
  <c r="X105" i="9"/>
  <c r="X104" i="9"/>
  <c r="X102" i="9"/>
  <c r="X101" i="9"/>
  <c r="X94" i="9"/>
  <c r="X93" i="9"/>
  <c r="X92" i="9"/>
  <c r="X84" i="9"/>
  <c r="X78" i="9"/>
  <c r="X77" i="9"/>
  <c r="X76" i="9"/>
  <c r="X74" i="9"/>
  <c r="X69" i="9"/>
  <c r="X64" i="9"/>
  <c r="X61" i="9"/>
  <c r="X59" i="9"/>
  <c r="X58" i="9"/>
  <c r="X57" i="9"/>
  <c r="X56" i="9"/>
  <c r="X54" i="9"/>
  <c r="X53" i="9"/>
  <c r="X52" i="9"/>
  <c r="X47" i="9"/>
  <c r="X45" i="9"/>
  <c r="X39" i="9"/>
  <c r="X38" i="9"/>
  <c r="X33" i="9"/>
  <c r="X20" i="9"/>
  <c r="X16" i="9"/>
  <c r="X13" i="9"/>
  <c r="X10" i="9"/>
  <c r="X8" i="9"/>
  <c r="X7" i="9"/>
  <c r="X6" i="9"/>
  <c r="X4" i="9"/>
  <c r="X2" i="9"/>
  <c r="V138" i="9"/>
  <c r="U138" i="9"/>
  <c r="T138" i="9"/>
  <c r="S138" i="9"/>
  <c r="R138" i="9"/>
  <c r="Q138" i="9"/>
  <c r="N138" i="9"/>
  <c r="M138" i="9"/>
  <c r="L138" i="9"/>
  <c r="K138" i="9"/>
  <c r="J138" i="9"/>
  <c r="I138" i="9"/>
  <c r="H138" i="9"/>
  <c r="G138" i="9"/>
  <c r="F138" i="9"/>
  <c r="E138" i="9"/>
  <c r="BA138" i="9"/>
  <c r="A138" i="9"/>
  <c r="E47" i="1"/>
  <c r="E93" i="1"/>
  <c r="E150"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416" i="1"/>
  <c r="E1428" i="1"/>
  <c r="E1429" i="1"/>
  <c r="E1430" i="1"/>
  <c r="E1439" i="1"/>
  <c r="E1479" i="1"/>
  <c r="E1480" i="1"/>
  <c r="E1481" i="1"/>
  <c r="E1520" i="1"/>
  <c r="E1538" i="1"/>
  <c r="E1557" i="1"/>
  <c r="E1568" i="1"/>
  <c r="E1579" i="1"/>
  <c r="E1582" i="1"/>
  <c r="E1592" i="1"/>
  <c r="E1611" i="1"/>
  <c r="E1667" i="1"/>
  <c r="E1672" i="1"/>
  <c r="E1677" i="1"/>
  <c r="E1701" i="1"/>
  <c r="E1727" i="1"/>
  <c r="E1732" i="1"/>
  <c r="E1870" i="1"/>
  <c r="E1880" i="1"/>
  <c r="E1884" i="1"/>
  <c r="E1947" i="1"/>
  <c r="E1968" i="1"/>
  <c r="E2001" i="1"/>
  <c r="E2006" i="1"/>
  <c r="E2036" i="1"/>
  <c r="E2062" i="1"/>
  <c r="E2067" i="1"/>
  <c r="E2070" i="1"/>
  <c r="E2075" i="1"/>
  <c r="E2096" i="1"/>
  <c r="E2141" i="1"/>
  <c r="E2156" i="1"/>
  <c r="E2188" i="1"/>
  <c r="E2207" i="1"/>
  <c r="E2392" i="1"/>
  <c r="E2400" i="1"/>
  <c r="E2524" i="1"/>
  <c r="E2558" i="1"/>
  <c r="P2558" i="1"/>
  <c r="E2585" i="1"/>
  <c r="E2586" i="1"/>
  <c r="P2586" i="1"/>
  <c r="O137" i="9"/>
  <c r="W135" i="9"/>
  <c r="V135" i="9"/>
  <c r="U135" i="9"/>
  <c r="T135" i="9"/>
  <c r="S135" i="9"/>
  <c r="R135" i="9"/>
  <c r="Q135" i="9"/>
  <c r="P135" i="9"/>
  <c r="O135" i="9"/>
  <c r="N135" i="9"/>
  <c r="M135" i="9"/>
  <c r="L135" i="9"/>
  <c r="K135" i="9"/>
  <c r="J135" i="9"/>
  <c r="I135" i="9"/>
  <c r="H135" i="9"/>
  <c r="G135" i="9"/>
  <c r="F135" i="9"/>
  <c r="E135" i="9"/>
  <c r="W134" i="9"/>
  <c r="V134" i="9"/>
  <c r="U134" i="9"/>
  <c r="T134" i="9"/>
  <c r="S134" i="9"/>
  <c r="R134" i="9"/>
  <c r="Q134" i="9"/>
  <c r="P134" i="9"/>
  <c r="O134" i="9"/>
  <c r="N134" i="9"/>
  <c r="M134" i="9"/>
  <c r="L134" i="9"/>
  <c r="K134" i="9"/>
  <c r="J134" i="9"/>
  <c r="I134" i="9"/>
  <c r="H134" i="9"/>
  <c r="G134" i="9"/>
  <c r="F134" i="9"/>
  <c r="E134" i="9"/>
  <c r="W133" i="9"/>
  <c r="V133" i="9"/>
  <c r="U133" i="9"/>
  <c r="T133" i="9"/>
  <c r="S133" i="9"/>
  <c r="R133" i="9"/>
  <c r="Q133" i="9"/>
  <c r="P133" i="9"/>
  <c r="O133" i="9"/>
  <c r="N133" i="9"/>
  <c r="M133" i="9"/>
  <c r="L133" i="9"/>
  <c r="K133" i="9"/>
  <c r="J133" i="9"/>
  <c r="I133" i="9"/>
  <c r="H133" i="9"/>
  <c r="G133" i="9"/>
  <c r="F133" i="9"/>
  <c r="E133" i="9"/>
  <c r="W132" i="9"/>
  <c r="V132" i="9"/>
  <c r="U132" i="9"/>
  <c r="T132" i="9"/>
  <c r="S132" i="9"/>
  <c r="R132" i="9"/>
  <c r="Q132" i="9"/>
  <c r="P132" i="9"/>
  <c r="O132" i="9"/>
  <c r="N132" i="9"/>
  <c r="M132" i="9"/>
  <c r="L132" i="9"/>
  <c r="K132" i="9"/>
  <c r="J132" i="9"/>
  <c r="I132" i="9"/>
  <c r="F132" i="9"/>
  <c r="E132" i="9"/>
  <c r="W131" i="9"/>
  <c r="V131" i="9"/>
  <c r="U131" i="9"/>
  <c r="T131" i="9"/>
  <c r="S131" i="9"/>
  <c r="R131" i="9"/>
  <c r="Q131" i="9"/>
  <c r="P131" i="9"/>
  <c r="O131" i="9"/>
  <c r="N131" i="9"/>
  <c r="M131" i="9"/>
  <c r="L131" i="9"/>
  <c r="K131" i="9"/>
  <c r="J131" i="9"/>
  <c r="I130" i="9"/>
  <c r="H130" i="9"/>
  <c r="G130" i="9"/>
  <c r="F130" i="9"/>
  <c r="BA130" i="9"/>
  <c r="E130" i="9"/>
  <c r="W129" i="9"/>
  <c r="V129" i="9"/>
  <c r="V128" i="9"/>
  <c r="U128" i="9"/>
  <c r="T128" i="9"/>
  <c r="W126" i="9"/>
  <c r="V126" i="9"/>
  <c r="U126" i="9"/>
  <c r="T126" i="9"/>
  <c r="S126" i="9"/>
  <c r="R126" i="9"/>
  <c r="Q126" i="9"/>
  <c r="P126" i="9"/>
  <c r="O126" i="9"/>
  <c r="N126" i="9"/>
  <c r="M126" i="9"/>
  <c r="L126" i="9"/>
  <c r="K126" i="9"/>
  <c r="J126" i="9"/>
  <c r="I126" i="9"/>
  <c r="H126" i="9"/>
  <c r="G126" i="9"/>
  <c r="F126" i="9"/>
  <c r="E126" i="9"/>
  <c r="W125" i="9"/>
  <c r="V125" i="9"/>
  <c r="U125" i="9"/>
  <c r="T125" i="9"/>
  <c r="S125" i="9"/>
  <c r="R125" i="9"/>
  <c r="Q125" i="9"/>
  <c r="P125" i="9"/>
  <c r="O125" i="9"/>
  <c r="N125" i="9"/>
  <c r="M125" i="9"/>
  <c r="L125" i="9"/>
  <c r="K125" i="9"/>
  <c r="J125" i="9"/>
  <c r="I125" i="9"/>
  <c r="H125" i="9"/>
  <c r="G125" i="9"/>
  <c r="F125" i="9"/>
  <c r="E125" i="9"/>
  <c r="AL125" i="9"/>
  <c r="AM125" i="9"/>
  <c r="A125" i="9"/>
  <c r="W124" i="9"/>
  <c r="V124" i="9"/>
  <c r="U124" i="9"/>
  <c r="T124" i="9"/>
  <c r="S124" i="9"/>
  <c r="R124" i="9"/>
  <c r="Q124" i="9"/>
  <c r="P124" i="9"/>
  <c r="O124" i="9"/>
  <c r="N124" i="9"/>
  <c r="M124" i="9"/>
  <c r="L124" i="9"/>
  <c r="K124" i="9"/>
  <c r="J124" i="9"/>
  <c r="I124" i="9"/>
  <c r="H124" i="9"/>
  <c r="G124" i="9"/>
  <c r="F124" i="9"/>
  <c r="E124" i="9"/>
  <c r="W122" i="9"/>
  <c r="V122" i="9"/>
  <c r="U122" i="9"/>
  <c r="T122" i="9"/>
  <c r="S122" i="9"/>
  <c r="R122" i="9"/>
  <c r="Q122" i="9"/>
  <c r="P122" i="9"/>
  <c r="O122" i="9"/>
  <c r="N122" i="9"/>
  <c r="M122" i="9"/>
  <c r="L122" i="9"/>
  <c r="K122" i="9"/>
  <c r="J122" i="9"/>
  <c r="I122" i="9"/>
  <c r="H122" i="9"/>
  <c r="G122" i="9"/>
  <c r="F122" i="9"/>
  <c r="E122" i="9"/>
  <c r="F121" i="9"/>
  <c r="E121" i="9"/>
  <c r="W120" i="9"/>
  <c r="V120" i="9"/>
  <c r="U120" i="9"/>
  <c r="T120" i="9"/>
  <c r="S120" i="9"/>
  <c r="R120" i="9"/>
  <c r="Q120" i="9"/>
  <c r="P120" i="9"/>
  <c r="O120" i="9"/>
  <c r="N120" i="9"/>
  <c r="M120" i="9"/>
  <c r="L120" i="9"/>
  <c r="K120" i="9"/>
  <c r="J120" i="9"/>
  <c r="W118" i="9"/>
  <c r="V118" i="9"/>
  <c r="U118" i="9"/>
  <c r="T118" i="9"/>
  <c r="S118" i="9"/>
  <c r="R118" i="9"/>
  <c r="Q118" i="9"/>
  <c r="P118" i="9"/>
  <c r="O118" i="9"/>
  <c r="N118" i="9"/>
  <c r="M118" i="9"/>
  <c r="L118" i="9"/>
  <c r="K118" i="9"/>
  <c r="J118" i="9"/>
  <c r="I118" i="9"/>
  <c r="H118" i="9"/>
  <c r="G118" i="9"/>
  <c r="F118" i="9"/>
  <c r="E118" i="9"/>
  <c r="W117" i="9"/>
  <c r="V117" i="9"/>
  <c r="U117" i="9"/>
  <c r="T117" i="9"/>
  <c r="S117" i="9"/>
  <c r="R117" i="9"/>
  <c r="Q117" i="9"/>
  <c r="P117" i="9"/>
  <c r="O117" i="9"/>
  <c r="W116" i="9"/>
  <c r="V116" i="9"/>
  <c r="U116" i="9"/>
  <c r="T116" i="9"/>
  <c r="S116" i="9"/>
  <c r="R116" i="9"/>
  <c r="Q116" i="9"/>
  <c r="P116" i="9"/>
  <c r="O116" i="9"/>
  <c r="N116" i="9"/>
  <c r="M116" i="9"/>
  <c r="L116" i="9"/>
  <c r="K116" i="9"/>
  <c r="J116" i="9"/>
  <c r="I116" i="9"/>
  <c r="H116" i="9"/>
  <c r="G116" i="9"/>
  <c r="F116" i="9"/>
  <c r="E116" i="9"/>
  <c r="BA116" i="9"/>
  <c r="W115" i="9"/>
  <c r="V115" i="9"/>
  <c r="U115" i="9"/>
  <c r="T115" i="9"/>
  <c r="S115" i="9"/>
  <c r="R115" i="9"/>
  <c r="Q115" i="9"/>
  <c r="P115" i="9"/>
  <c r="O115" i="9"/>
  <c r="N115" i="9"/>
  <c r="M115" i="9"/>
  <c r="L115" i="9"/>
  <c r="K115" i="9"/>
  <c r="J115" i="9"/>
  <c r="H115" i="9"/>
  <c r="G115" i="9"/>
  <c r="F115" i="9"/>
  <c r="E115" i="9"/>
  <c r="W114" i="9"/>
  <c r="M114" i="9"/>
  <c r="L114" i="9"/>
  <c r="H114" i="9"/>
  <c r="W112" i="9"/>
  <c r="V112" i="9"/>
  <c r="U112" i="9"/>
  <c r="T112" i="9"/>
  <c r="S112" i="9"/>
  <c r="R112" i="9"/>
  <c r="Q112" i="9"/>
  <c r="P112" i="9"/>
  <c r="O112" i="9"/>
  <c r="N112" i="9"/>
  <c r="M112" i="9"/>
  <c r="L112" i="9"/>
  <c r="K112" i="9"/>
  <c r="J112" i="9"/>
  <c r="I112" i="9"/>
  <c r="H112" i="9"/>
  <c r="W110" i="9"/>
  <c r="V110" i="9"/>
  <c r="U110" i="9"/>
  <c r="T110" i="9"/>
  <c r="S110" i="9"/>
  <c r="R110" i="9"/>
  <c r="Q110" i="9"/>
  <c r="P110" i="9"/>
  <c r="O110" i="9"/>
  <c r="N110" i="9"/>
  <c r="M110" i="9"/>
  <c r="L110" i="9"/>
  <c r="K110" i="9"/>
  <c r="W109" i="9"/>
  <c r="V109" i="9"/>
  <c r="U109" i="9"/>
  <c r="T109" i="9"/>
  <c r="S109" i="9"/>
  <c r="R109" i="9"/>
  <c r="Q109" i="9"/>
  <c r="P109" i="9"/>
  <c r="O109" i="9"/>
  <c r="N109" i="9"/>
  <c r="M109" i="9"/>
  <c r="L109" i="9"/>
  <c r="K109" i="9"/>
  <c r="J109" i="9"/>
  <c r="I109" i="9"/>
  <c r="H109" i="9"/>
  <c r="G109" i="9"/>
  <c r="F109" i="9"/>
  <c r="E109" i="9"/>
  <c r="AC109" i="9"/>
  <c r="A109" i="9"/>
  <c r="W107" i="9"/>
  <c r="V107" i="9"/>
  <c r="U107" i="9"/>
  <c r="T107" i="9"/>
  <c r="S107" i="9"/>
  <c r="R107" i="9"/>
  <c r="F107" i="9"/>
  <c r="E107" i="9"/>
  <c r="W105" i="9"/>
  <c r="V105" i="9"/>
  <c r="U105" i="9"/>
  <c r="T105" i="9"/>
  <c r="S105" i="9"/>
  <c r="R105" i="9"/>
  <c r="Q105" i="9"/>
  <c r="P105" i="9"/>
  <c r="O105" i="9"/>
  <c r="N105" i="9"/>
  <c r="M105" i="9"/>
  <c r="L105" i="9"/>
  <c r="K105" i="9"/>
  <c r="J105" i="9"/>
  <c r="I105" i="9"/>
  <c r="H105" i="9"/>
  <c r="G105" i="9"/>
  <c r="F105" i="9"/>
  <c r="E105" i="9"/>
  <c r="W104" i="9"/>
  <c r="V104" i="9"/>
  <c r="U104" i="9"/>
  <c r="T103" i="9"/>
  <c r="S103" i="9"/>
  <c r="R103" i="9"/>
  <c r="Q103" i="9"/>
  <c r="P103" i="9"/>
  <c r="O103" i="9"/>
  <c r="N103" i="9"/>
  <c r="M103" i="9"/>
  <c r="L103" i="9"/>
  <c r="K103" i="9"/>
  <c r="J103" i="9"/>
  <c r="I103" i="9"/>
  <c r="H103" i="9"/>
  <c r="G103" i="9"/>
  <c r="F103" i="9"/>
  <c r="E103" i="9"/>
  <c r="W102" i="9"/>
  <c r="V102" i="9"/>
  <c r="U102" i="9"/>
  <c r="T102" i="9"/>
  <c r="S102" i="9"/>
  <c r="R102" i="9"/>
  <c r="Q102" i="9"/>
  <c r="P102" i="9"/>
  <c r="O102" i="9"/>
  <c r="N102" i="9"/>
  <c r="M102" i="9"/>
  <c r="L102" i="9"/>
  <c r="K102" i="9"/>
  <c r="J102" i="9"/>
  <c r="I102" i="9"/>
  <c r="H102" i="9"/>
  <c r="G102" i="9"/>
  <c r="F102" i="9"/>
  <c r="E102" i="9"/>
  <c r="W101" i="9"/>
  <c r="V101" i="9"/>
  <c r="U101" i="9"/>
  <c r="T101" i="9"/>
  <c r="S101" i="9"/>
  <c r="R101" i="9"/>
  <c r="Q101" i="9"/>
  <c r="P101" i="9"/>
  <c r="O101" i="9"/>
  <c r="N101" i="9"/>
  <c r="M101" i="9"/>
  <c r="L101" i="9"/>
  <c r="K101" i="9"/>
  <c r="J101" i="9"/>
  <c r="I101" i="9"/>
  <c r="H101" i="9"/>
  <c r="G101" i="9"/>
  <c r="F101" i="9"/>
  <c r="E101" i="9"/>
  <c r="BA101" i="9"/>
  <c r="A101" i="9"/>
  <c r="U100" i="9"/>
  <c r="T100" i="9"/>
  <c r="S100" i="9"/>
  <c r="R100" i="9"/>
  <c r="Q100" i="9"/>
  <c r="L100" i="9"/>
  <c r="K100" i="9"/>
  <c r="J100" i="9"/>
  <c r="I100" i="9"/>
  <c r="H100" i="9"/>
  <c r="G100" i="9"/>
  <c r="F100" i="9"/>
  <c r="E100" i="9"/>
  <c r="E99" i="9"/>
  <c r="BA99" i="9"/>
  <c r="W97" i="9"/>
  <c r="V97" i="9"/>
  <c r="U97" i="9"/>
  <c r="T97" i="9"/>
  <c r="S97" i="9"/>
  <c r="R97" i="9"/>
  <c r="Q97" i="9"/>
  <c r="P97" i="9"/>
  <c r="O97" i="9"/>
  <c r="N97" i="9"/>
  <c r="M97" i="9"/>
  <c r="L97" i="9"/>
  <c r="K97" i="9"/>
  <c r="J97" i="9"/>
  <c r="I97" i="9"/>
  <c r="H97" i="9"/>
  <c r="G97" i="9"/>
  <c r="F97" i="9"/>
  <c r="E97" i="9"/>
  <c r="K95" i="9"/>
  <c r="J95" i="9"/>
  <c r="I95" i="9"/>
  <c r="F95" i="9"/>
  <c r="E95" i="9"/>
  <c r="W94" i="9"/>
  <c r="V94" i="9"/>
  <c r="U94" i="9"/>
  <c r="T94" i="9"/>
  <c r="S94" i="9"/>
  <c r="R94" i="9"/>
  <c r="Q94" i="9"/>
  <c r="P94" i="9"/>
  <c r="O94" i="9"/>
  <c r="N94" i="9"/>
  <c r="M94" i="9"/>
  <c r="L94" i="9"/>
  <c r="K94" i="9"/>
  <c r="J94" i="9"/>
  <c r="I94" i="9"/>
  <c r="H94" i="9"/>
  <c r="G94" i="9"/>
  <c r="F94" i="9"/>
  <c r="E94" i="9"/>
  <c r="W93" i="9"/>
  <c r="V93" i="9"/>
  <c r="U93" i="9"/>
  <c r="T93" i="9"/>
  <c r="S93" i="9"/>
  <c r="R93" i="9"/>
  <c r="Q93" i="9"/>
  <c r="P93" i="9"/>
  <c r="O93" i="9"/>
  <c r="N93" i="9"/>
  <c r="M93" i="9"/>
  <c r="L93" i="9"/>
  <c r="K93" i="9"/>
  <c r="J93" i="9"/>
  <c r="I93" i="9"/>
  <c r="F93" i="9"/>
  <c r="W92" i="9"/>
  <c r="V92" i="9"/>
  <c r="U92" i="9"/>
  <c r="T92" i="9"/>
  <c r="S92" i="9"/>
  <c r="R92" i="9"/>
  <c r="Q92" i="9"/>
  <c r="P92" i="9"/>
  <c r="O92" i="9"/>
  <c r="N92" i="9"/>
  <c r="M92" i="9"/>
  <c r="L92" i="9"/>
  <c r="K92" i="9"/>
  <c r="J92" i="9"/>
  <c r="I92" i="9"/>
  <c r="H92" i="9"/>
  <c r="G92" i="9"/>
  <c r="F92" i="9"/>
  <c r="E92" i="9"/>
  <c r="W91" i="9"/>
  <c r="V91" i="9"/>
  <c r="U91" i="9"/>
  <c r="T91" i="9"/>
  <c r="S91" i="9"/>
  <c r="R91" i="9"/>
  <c r="Q91" i="9"/>
  <c r="P91" i="9"/>
  <c r="O91" i="9"/>
  <c r="N91" i="9"/>
  <c r="M91" i="9"/>
  <c r="L91" i="9"/>
  <c r="K91" i="9"/>
  <c r="J91" i="9"/>
  <c r="I91" i="9"/>
  <c r="H91" i="9"/>
  <c r="G91" i="9"/>
  <c r="F91" i="9"/>
  <c r="E91" i="9"/>
  <c r="W90" i="9"/>
  <c r="V90" i="9"/>
  <c r="U90" i="9"/>
  <c r="T90" i="9"/>
  <c r="S90" i="9"/>
  <c r="R90" i="9"/>
  <c r="Q90" i="9"/>
  <c r="L90" i="9"/>
  <c r="K90" i="9"/>
  <c r="J90" i="9"/>
  <c r="I90" i="9"/>
  <c r="H90" i="9"/>
  <c r="G90" i="9"/>
  <c r="F90" i="9"/>
  <c r="E90" i="9"/>
  <c r="W88" i="9"/>
  <c r="V88" i="9"/>
  <c r="U88" i="9"/>
  <c r="T88" i="9"/>
  <c r="S88" i="9"/>
  <c r="R88" i="9"/>
  <c r="Q88" i="9"/>
  <c r="P88" i="9"/>
  <c r="O88" i="9"/>
  <c r="N88" i="9"/>
  <c r="M88" i="9"/>
  <c r="L88" i="9"/>
  <c r="K88" i="9"/>
  <c r="J88" i="9"/>
  <c r="I88" i="9"/>
  <c r="H88" i="9"/>
  <c r="G88" i="9"/>
  <c r="F88" i="9"/>
  <c r="E88" i="9"/>
  <c r="AC88" i="9"/>
  <c r="A88" i="9"/>
  <c r="A95" i="5"/>
  <c r="W87" i="9"/>
  <c r="V87" i="9"/>
  <c r="U87" i="9"/>
  <c r="T87" i="9"/>
  <c r="S87" i="9"/>
  <c r="R87" i="9"/>
  <c r="Q87" i="9"/>
  <c r="P87" i="9"/>
  <c r="O87" i="9"/>
  <c r="N87" i="9"/>
  <c r="M87" i="9"/>
  <c r="L87" i="9"/>
  <c r="K87" i="9"/>
  <c r="J87" i="9"/>
  <c r="I87" i="9"/>
  <c r="H87" i="9"/>
  <c r="G87" i="9"/>
  <c r="F87" i="9"/>
  <c r="E87" i="9"/>
  <c r="W86" i="9"/>
  <c r="V86" i="9"/>
  <c r="U86" i="9"/>
  <c r="T86" i="9"/>
  <c r="S86" i="9"/>
  <c r="R86" i="9"/>
  <c r="Q86" i="9"/>
  <c r="P86" i="9"/>
  <c r="O86" i="9"/>
  <c r="N86" i="9"/>
  <c r="M86" i="9"/>
  <c r="L86" i="9"/>
  <c r="K86" i="9"/>
  <c r="J86" i="9"/>
  <c r="I86" i="9"/>
  <c r="H86" i="9"/>
  <c r="G86" i="9"/>
  <c r="F86" i="9"/>
  <c r="E86" i="9"/>
  <c r="AL86" i="9"/>
  <c r="A86" i="9"/>
  <c r="A89" i="5"/>
  <c r="W85" i="9"/>
  <c r="V85" i="9"/>
  <c r="U85" i="9"/>
  <c r="T85" i="9"/>
  <c r="S85" i="9"/>
  <c r="R85" i="9"/>
  <c r="Q85" i="9"/>
  <c r="P85" i="9"/>
  <c r="O85" i="9"/>
  <c r="N85" i="9"/>
  <c r="M85" i="9"/>
  <c r="L85" i="9"/>
  <c r="K85" i="9"/>
  <c r="I85" i="9"/>
  <c r="H85" i="9"/>
  <c r="G85" i="9"/>
  <c r="F85" i="9"/>
  <c r="E85" i="9"/>
  <c r="W84" i="9"/>
  <c r="V84" i="9"/>
  <c r="U84" i="9"/>
  <c r="T84" i="9"/>
  <c r="S84" i="9"/>
  <c r="R84" i="9"/>
  <c r="Q84" i="9"/>
  <c r="P84" i="9"/>
  <c r="O84" i="9"/>
  <c r="N84" i="9"/>
  <c r="M84" i="9"/>
  <c r="L84" i="9"/>
  <c r="K84" i="9"/>
  <c r="J84" i="9"/>
  <c r="I84" i="9"/>
  <c r="H84" i="9"/>
  <c r="G84" i="9"/>
  <c r="F84" i="9"/>
  <c r="E84" i="9"/>
  <c r="V82" i="9"/>
  <c r="U82" i="9"/>
  <c r="T82" i="9"/>
  <c r="S82" i="9"/>
  <c r="R82" i="9"/>
  <c r="Q82" i="9"/>
  <c r="P82" i="9"/>
  <c r="O82" i="9"/>
  <c r="N82" i="9"/>
  <c r="M82" i="9"/>
  <c r="L82" i="9"/>
  <c r="K82" i="9"/>
  <c r="J82" i="9"/>
  <c r="I82" i="9"/>
  <c r="H82" i="9"/>
  <c r="G82" i="9"/>
  <c r="F82" i="9"/>
  <c r="E82" i="9"/>
  <c r="W80" i="9"/>
  <c r="V80" i="9"/>
  <c r="U80" i="9"/>
  <c r="T80" i="9"/>
  <c r="S80" i="9"/>
  <c r="R80" i="9"/>
  <c r="Q80" i="9"/>
  <c r="P80" i="9"/>
  <c r="O80" i="9"/>
  <c r="N80" i="9"/>
  <c r="M80" i="9"/>
  <c r="L80" i="9"/>
  <c r="K80" i="9"/>
  <c r="J80" i="9"/>
  <c r="I80" i="9"/>
  <c r="H80" i="9"/>
  <c r="G80" i="9"/>
  <c r="F80" i="9"/>
  <c r="E80" i="9"/>
  <c r="W79" i="9"/>
  <c r="V79" i="9"/>
  <c r="U79" i="9"/>
  <c r="T79" i="9"/>
  <c r="S79" i="9"/>
  <c r="R79" i="9"/>
  <c r="Q79" i="9"/>
  <c r="P79" i="9"/>
  <c r="O79" i="9"/>
  <c r="N79" i="9"/>
  <c r="M79" i="9"/>
  <c r="L79" i="9"/>
  <c r="K79" i="9"/>
  <c r="J79" i="9"/>
  <c r="I79" i="9"/>
  <c r="H79" i="9"/>
  <c r="G79" i="9"/>
  <c r="F79" i="9"/>
  <c r="E79" i="9"/>
  <c r="D79" i="9"/>
  <c r="W78" i="9"/>
  <c r="V78" i="9"/>
  <c r="U78" i="9"/>
  <c r="T78" i="9"/>
  <c r="S78" i="9"/>
  <c r="BA78" i="9"/>
  <c r="R78" i="9"/>
  <c r="A78" i="9"/>
  <c r="W77" i="9"/>
  <c r="V77" i="9"/>
  <c r="U77" i="9"/>
  <c r="T77" i="9"/>
  <c r="S77" i="9"/>
  <c r="R77" i="9"/>
  <c r="Q77" i="9"/>
  <c r="P77" i="9"/>
  <c r="O77" i="9"/>
  <c r="N77" i="9"/>
  <c r="M77" i="9"/>
  <c r="L77" i="9"/>
  <c r="K77" i="9"/>
  <c r="J77" i="9"/>
  <c r="I77" i="9"/>
  <c r="H77" i="9"/>
  <c r="G77" i="9"/>
  <c r="F77" i="9"/>
  <c r="E77" i="9"/>
  <c r="W76" i="9"/>
  <c r="V76" i="9"/>
  <c r="U76" i="9"/>
  <c r="T76" i="9"/>
  <c r="S76" i="9"/>
  <c r="R76" i="9"/>
  <c r="Q76" i="9"/>
  <c r="P76" i="9"/>
  <c r="O76" i="9"/>
  <c r="N76" i="9"/>
  <c r="W74" i="9"/>
  <c r="V74" i="9"/>
  <c r="U74" i="9"/>
  <c r="T74" i="9"/>
  <c r="S74" i="9"/>
  <c r="R74" i="9"/>
  <c r="Q74" i="9"/>
  <c r="P74" i="9"/>
  <c r="O74" i="9"/>
  <c r="N74" i="9"/>
  <c r="M74" i="9"/>
  <c r="L74" i="9"/>
  <c r="K74" i="9"/>
  <c r="J74" i="9"/>
  <c r="I74" i="9"/>
  <c r="H74" i="9"/>
  <c r="G74" i="9"/>
  <c r="F74" i="9"/>
  <c r="E74" i="9"/>
  <c r="F71" i="9"/>
  <c r="E71" i="9"/>
  <c r="BA71" i="9"/>
  <c r="A71" i="9"/>
  <c r="T70" i="9"/>
  <c r="S70" i="9"/>
  <c r="R70" i="9"/>
  <c r="Q70" i="9"/>
  <c r="P70" i="9"/>
  <c r="O70" i="9"/>
  <c r="N70" i="9"/>
  <c r="M70" i="9"/>
  <c r="L70" i="9"/>
  <c r="K70" i="9"/>
  <c r="J70" i="9"/>
  <c r="I70" i="9"/>
  <c r="H70" i="9"/>
  <c r="G70" i="9"/>
  <c r="F70" i="9"/>
  <c r="E70" i="9"/>
  <c r="D70" i="9"/>
  <c r="D142" i="9"/>
  <c r="W69" i="9"/>
  <c r="V69" i="9"/>
  <c r="U69" i="9"/>
  <c r="T69" i="9"/>
  <c r="S69" i="9"/>
  <c r="R69" i="9"/>
  <c r="Q69" i="9"/>
  <c r="P69" i="9"/>
  <c r="O69" i="9"/>
  <c r="N69" i="9"/>
  <c r="M69" i="9"/>
  <c r="L69" i="9"/>
  <c r="K69" i="9"/>
  <c r="J69" i="9"/>
  <c r="I69" i="9"/>
  <c r="H69" i="9"/>
  <c r="G69" i="9"/>
  <c r="F69" i="9"/>
  <c r="E69" i="9"/>
  <c r="W67" i="9"/>
  <c r="V67" i="9"/>
  <c r="U67" i="9"/>
  <c r="T67" i="9"/>
  <c r="I67" i="9"/>
  <c r="H67" i="9"/>
  <c r="G67" i="9"/>
  <c r="F67" i="9"/>
  <c r="E67" i="9"/>
  <c r="BA67" i="9"/>
  <c r="AL67" i="9"/>
  <c r="A67" i="9"/>
  <c r="W66" i="9"/>
  <c r="V66" i="9"/>
  <c r="U66" i="9"/>
  <c r="T66" i="9"/>
  <c r="S66" i="9"/>
  <c r="R66" i="9"/>
  <c r="Q66" i="9"/>
  <c r="P66" i="9"/>
  <c r="O66" i="9"/>
  <c r="N66" i="9"/>
  <c r="M66" i="9"/>
  <c r="L66" i="9"/>
  <c r="K66" i="9"/>
  <c r="J66" i="9"/>
  <c r="I66" i="9"/>
  <c r="H66" i="9"/>
  <c r="G66" i="9"/>
  <c r="F66" i="9"/>
  <c r="E66" i="9"/>
  <c r="W65" i="9"/>
  <c r="V65" i="9"/>
  <c r="U65" i="9"/>
  <c r="T65" i="9"/>
  <c r="S65" i="9"/>
  <c r="R65" i="9"/>
  <c r="Q65" i="9"/>
  <c r="P65" i="9"/>
  <c r="O65" i="9"/>
  <c r="N65" i="9"/>
  <c r="M65" i="9"/>
  <c r="L65" i="9"/>
  <c r="K65" i="9"/>
  <c r="J65" i="9"/>
  <c r="I65" i="9"/>
  <c r="H65" i="9"/>
  <c r="G65" i="9"/>
  <c r="F65" i="9"/>
  <c r="E65" i="9"/>
  <c r="W64" i="9"/>
  <c r="V64" i="9"/>
  <c r="U64" i="9"/>
  <c r="T64" i="9"/>
  <c r="S64" i="9"/>
  <c r="R64" i="9"/>
  <c r="Q64" i="9"/>
  <c r="P64" i="9"/>
  <c r="O64" i="9"/>
  <c r="N64" i="9"/>
  <c r="M64" i="9"/>
  <c r="L64" i="9"/>
  <c r="K64" i="9"/>
  <c r="J64" i="9"/>
  <c r="I64" i="9"/>
  <c r="H64" i="9"/>
  <c r="G64" i="9"/>
  <c r="F64" i="9"/>
  <c r="E64" i="9"/>
  <c r="W61" i="9"/>
  <c r="V61" i="9"/>
  <c r="U61" i="9"/>
  <c r="T61" i="9"/>
  <c r="S61" i="9"/>
  <c r="R61" i="9"/>
  <c r="Q61" i="9"/>
  <c r="P61" i="9"/>
  <c r="O61" i="9"/>
  <c r="N61" i="9"/>
  <c r="M61" i="9"/>
  <c r="L61" i="9"/>
  <c r="K61" i="9"/>
  <c r="H61" i="9"/>
  <c r="G61" i="9"/>
  <c r="F61" i="9"/>
  <c r="E61" i="9"/>
  <c r="W60" i="9"/>
  <c r="V60" i="9"/>
  <c r="U60" i="9"/>
  <c r="T60" i="9"/>
  <c r="S60" i="9"/>
  <c r="R60" i="9"/>
  <c r="Q60" i="9"/>
  <c r="P60" i="9"/>
  <c r="O60" i="9"/>
  <c r="N60" i="9"/>
  <c r="M60" i="9"/>
  <c r="L60" i="9"/>
  <c r="K60" i="9"/>
  <c r="J60" i="9"/>
  <c r="I60" i="9"/>
  <c r="H60" i="9"/>
  <c r="G60" i="9"/>
  <c r="F60" i="9"/>
  <c r="E60" i="9"/>
  <c r="W59" i="9"/>
  <c r="V59" i="9"/>
  <c r="U59" i="9"/>
  <c r="T59" i="9"/>
  <c r="S59" i="9"/>
  <c r="R59" i="9"/>
  <c r="Q59" i="9"/>
  <c r="P59" i="9"/>
  <c r="O59" i="9"/>
  <c r="N59" i="9"/>
  <c r="M59" i="9"/>
  <c r="L59" i="9"/>
  <c r="K59" i="9"/>
  <c r="J59" i="9"/>
  <c r="I59" i="9"/>
  <c r="H59" i="9"/>
  <c r="G59" i="9"/>
  <c r="F59" i="9"/>
  <c r="E59" i="9"/>
  <c r="W58" i="9"/>
  <c r="V58" i="9"/>
  <c r="U58" i="9"/>
  <c r="H58" i="9"/>
  <c r="G58" i="9"/>
  <c r="F58" i="9"/>
  <c r="E58" i="9"/>
  <c r="W57" i="9"/>
  <c r="V57" i="9"/>
  <c r="U57" i="9"/>
  <c r="T57" i="9"/>
  <c r="S57" i="9"/>
  <c r="R57" i="9"/>
  <c r="Q57" i="9"/>
  <c r="P57" i="9"/>
  <c r="O57" i="9"/>
  <c r="N57" i="9"/>
  <c r="M57" i="9"/>
  <c r="L57" i="9"/>
  <c r="K57" i="9"/>
  <c r="J57" i="9"/>
  <c r="I57" i="9"/>
  <c r="H57" i="9"/>
  <c r="G57" i="9"/>
  <c r="F57" i="9"/>
  <c r="E57" i="9"/>
  <c r="W56" i="9"/>
  <c r="V56" i="9"/>
  <c r="U56" i="9"/>
  <c r="T56" i="9"/>
  <c r="S56" i="9"/>
  <c r="R56" i="9"/>
  <c r="Q56" i="9"/>
  <c r="P56" i="9"/>
  <c r="W55" i="9"/>
  <c r="V55" i="9"/>
  <c r="U55" i="9"/>
  <c r="T55" i="9"/>
  <c r="S55" i="9"/>
  <c r="R55" i="9"/>
  <c r="Q55" i="9"/>
  <c r="P55" i="9"/>
  <c r="O55" i="9"/>
  <c r="N55" i="9"/>
  <c r="M55" i="9"/>
  <c r="L55" i="9"/>
  <c r="K55" i="9"/>
  <c r="J55" i="9"/>
  <c r="I55" i="9"/>
  <c r="H55" i="9"/>
  <c r="G55" i="9"/>
  <c r="F55" i="9"/>
  <c r="E55" i="9"/>
  <c r="W54" i="9"/>
  <c r="V54" i="9"/>
  <c r="U54" i="9"/>
  <c r="T54" i="9"/>
  <c r="S54" i="9"/>
  <c r="R54" i="9"/>
  <c r="Q54" i="9"/>
  <c r="P54" i="9"/>
  <c r="O54" i="9"/>
  <c r="N54" i="9"/>
  <c r="M54" i="9"/>
  <c r="L54" i="9"/>
  <c r="K54" i="9"/>
  <c r="J54" i="9"/>
  <c r="I54" i="9"/>
  <c r="H54" i="9"/>
  <c r="G54" i="9"/>
  <c r="F54" i="9"/>
  <c r="E54" i="9"/>
  <c r="W53" i="9"/>
  <c r="V53" i="9"/>
  <c r="U53" i="9"/>
  <c r="T53" i="9"/>
  <c r="S53" i="9"/>
  <c r="R53" i="9"/>
  <c r="Q53" i="9"/>
  <c r="P53" i="9"/>
  <c r="O53" i="9"/>
  <c r="N53" i="9"/>
  <c r="M53" i="9"/>
  <c r="L53" i="9"/>
  <c r="K53" i="9"/>
  <c r="J53" i="9"/>
  <c r="I53" i="9"/>
  <c r="H53" i="9"/>
  <c r="G53" i="9"/>
  <c r="F53" i="9"/>
  <c r="E53" i="9"/>
  <c r="W52" i="9"/>
  <c r="W48" i="9"/>
  <c r="V48" i="9"/>
  <c r="U48" i="9"/>
  <c r="T48" i="9"/>
  <c r="S48" i="9"/>
  <c r="R48" i="9"/>
  <c r="Q48" i="9"/>
  <c r="L48" i="9"/>
  <c r="K48" i="9"/>
  <c r="J48" i="9"/>
  <c r="I48" i="9"/>
  <c r="H48" i="9"/>
  <c r="G48" i="9"/>
  <c r="F48" i="9"/>
  <c r="E48" i="9"/>
  <c r="W47" i="9"/>
  <c r="V47" i="9"/>
  <c r="U47" i="9"/>
  <c r="T47" i="9"/>
  <c r="S47" i="9"/>
  <c r="R47" i="9"/>
  <c r="Q47" i="9"/>
  <c r="P47" i="9"/>
  <c r="O47" i="9"/>
  <c r="N47" i="9"/>
  <c r="M47" i="9"/>
  <c r="L47" i="9"/>
  <c r="K47" i="9"/>
  <c r="J47" i="9"/>
  <c r="I47" i="9"/>
  <c r="H47" i="9"/>
  <c r="G47" i="9"/>
  <c r="F47" i="9"/>
  <c r="E47" i="9"/>
  <c r="W45" i="9"/>
  <c r="V45" i="9"/>
  <c r="U45" i="9"/>
  <c r="BA45" i="9"/>
  <c r="S44" i="9"/>
  <c r="R44" i="9"/>
  <c r="Q44" i="9"/>
  <c r="P44" i="9"/>
  <c r="O44" i="9"/>
  <c r="N44" i="9"/>
  <c r="M44" i="9"/>
  <c r="L44" i="9"/>
  <c r="K44" i="9"/>
  <c r="J44" i="9"/>
  <c r="I44" i="9"/>
  <c r="H44" i="9"/>
  <c r="G44" i="9"/>
  <c r="F44" i="9"/>
  <c r="BA44" i="9"/>
  <c r="E44" i="9"/>
  <c r="W43" i="9"/>
  <c r="V41" i="9"/>
  <c r="U41" i="9"/>
  <c r="T41" i="9"/>
  <c r="S41" i="9"/>
  <c r="R41" i="9"/>
  <c r="Q41" i="9"/>
  <c r="I41" i="9"/>
  <c r="H41" i="9"/>
  <c r="G41" i="9"/>
  <c r="F41" i="9"/>
  <c r="E41" i="9"/>
  <c r="W40" i="9"/>
  <c r="V40" i="9"/>
  <c r="U40" i="9"/>
  <c r="T40" i="9"/>
  <c r="S40" i="9"/>
  <c r="R40" i="9"/>
  <c r="Q40" i="9"/>
  <c r="P40" i="9"/>
  <c r="O40" i="9"/>
  <c r="N40" i="9"/>
  <c r="M40" i="9"/>
  <c r="L40" i="9"/>
  <c r="K40" i="9"/>
  <c r="J40" i="9"/>
  <c r="I40" i="9"/>
  <c r="H40" i="9"/>
  <c r="G40" i="9"/>
  <c r="F40" i="9"/>
  <c r="E40" i="9"/>
  <c r="W39" i="9"/>
  <c r="V39" i="9"/>
  <c r="U39" i="9"/>
  <c r="T39" i="9"/>
  <c r="S39" i="9"/>
  <c r="R39" i="9"/>
  <c r="Q39" i="9"/>
  <c r="P39" i="9"/>
  <c r="O39" i="9"/>
  <c r="N39" i="9"/>
  <c r="M39" i="9"/>
  <c r="L39" i="9"/>
  <c r="K39" i="9"/>
  <c r="J39" i="9"/>
  <c r="I39" i="9"/>
  <c r="H39" i="9"/>
  <c r="G39" i="9"/>
  <c r="F39" i="9"/>
  <c r="E39" i="9"/>
  <c r="W38" i="9"/>
  <c r="V38" i="9"/>
  <c r="U38" i="9"/>
  <c r="T38" i="9"/>
  <c r="S38" i="9"/>
  <c r="R38" i="9"/>
  <c r="Q38" i="9"/>
  <c r="P38" i="9"/>
  <c r="O38" i="9"/>
  <c r="N38" i="9"/>
  <c r="M38" i="9"/>
  <c r="L38" i="9"/>
  <c r="K38" i="9"/>
  <c r="J38" i="9"/>
  <c r="I38" i="9"/>
  <c r="H38" i="9"/>
  <c r="G38" i="9"/>
  <c r="F38" i="9"/>
  <c r="E38" i="9"/>
  <c r="W37" i="9"/>
  <c r="V37" i="9"/>
  <c r="U37" i="9"/>
  <c r="T37" i="9"/>
  <c r="S37" i="9"/>
  <c r="R37" i="9"/>
  <c r="Q37" i="9"/>
  <c r="P37" i="9"/>
  <c r="O37" i="9"/>
  <c r="N37" i="9"/>
  <c r="M37" i="9"/>
  <c r="L37" i="9"/>
  <c r="K37" i="9"/>
  <c r="J37" i="9"/>
  <c r="I37" i="9"/>
  <c r="H37" i="9"/>
  <c r="G37" i="9"/>
  <c r="F37" i="9"/>
  <c r="E37" i="9"/>
  <c r="BA37" i="9"/>
  <c r="A37" i="9"/>
  <c r="W36" i="9"/>
  <c r="V36" i="9"/>
  <c r="U36" i="9"/>
  <c r="T36" i="9"/>
  <c r="S36" i="9"/>
  <c r="R36" i="9"/>
  <c r="Q36" i="9"/>
  <c r="P36" i="9"/>
  <c r="O36" i="9"/>
  <c r="N36" i="9"/>
  <c r="M36" i="9"/>
  <c r="L36" i="9"/>
  <c r="K36" i="9"/>
  <c r="J36" i="9"/>
  <c r="I36" i="9"/>
  <c r="H36" i="9"/>
  <c r="G36" i="9"/>
  <c r="F36" i="9"/>
  <c r="E36" i="9"/>
  <c r="W35" i="9"/>
  <c r="V35" i="9"/>
  <c r="U35" i="9"/>
  <c r="T35" i="9"/>
  <c r="S35" i="9"/>
  <c r="R35" i="9"/>
  <c r="Q35" i="9"/>
  <c r="P35" i="9"/>
  <c r="O35" i="9"/>
  <c r="N35" i="9"/>
  <c r="M35" i="9"/>
  <c r="L35" i="9"/>
  <c r="K35" i="9"/>
  <c r="J35" i="9"/>
  <c r="I35" i="9"/>
  <c r="H35" i="9"/>
  <c r="G35" i="9"/>
  <c r="F35" i="9"/>
  <c r="E35" i="9"/>
  <c r="W33" i="9"/>
  <c r="V33" i="9"/>
  <c r="U33" i="9"/>
  <c r="T33" i="9"/>
  <c r="S33" i="9"/>
  <c r="R33" i="9"/>
  <c r="Q33" i="9"/>
  <c r="P33" i="9"/>
  <c r="O33" i="9"/>
  <c r="N33" i="9"/>
  <c r="M33" i="9"/>
  <c r="L33" i="9"/>
  <c r="K33" i="9"/>
  <c r="J33" i="9"/>
  <c r="I33" i="9"/>
  <c r="H33" i="9"/>
  <c r="G33" i="9"/>
  <c r="F33" i="9"/>
  <c r="E33" i="9"/>
  <c r="W20" i="9"/>
  <c r="V20" i="9"/>
  <c r="U20" i="9"/>
  <c r="T20" i="9"/>
  <c r="S20" i="9"/>
  <c r="R20" i="9"/>
  <c r="Q20" i="9"/>
  <c r="P20" i="9"/>
  <c r="O20" i="9"/>
  <c r="N20" i="9"/>
  <c r="M20" i="9"/>
  <c r="L20" i="9"/>
  <c r="K20" i="9"/>
  <c r="J20" i="9"/>
  <c r="I20" i="9"/>
  <c r="H20" i="9"/>
  <c r="G20" i="9"/>
  <c r="F20" i="9"/>
  <c r="E20" i="9"/>
  <c r="W17" i="9"/>
  <c r="V17" i="9"/>
  <c r="U17" i="9"/>
  <c r="T17" i="9"/>
  <c r="S17" i="9"/>
  <c r="R17" i="9"/>
  <c r="Q17" i="9"/>
  <c r="P17" i="9"/>
  <c r="O17" i="9"/>
  <c r="N17" i="9"/>
  <c r="M17" i="9"/>
  <c r="L17" i="9"/>
  <c r="K17" i="9"/>
  <c r="J17" i="9"/>
  <c r="I17" i="9"/>
  <c r="H17" i="9"/>
  <c r="G17" i="9"/>
  <c r="F17" i="9"/>
  <c r="E17" i="9"/>
  <c r="W16" i="9"/>
  <c r="V16" i="9"/>
  <c r="U16" i="9"/>
  <c r="T16" i="9"/>
  <c r="S16" i="9"/>
  <c r="R16" i="9"/>
  <c r="Q16" i="9"/>
  <c r="P16" i="9"/>
  <c r="O16" i="9"/>
  <c r="N16" i="9"/>
  <c r="M16" i="9"/>
  <c r="L16" i="9"/>
  <c r="K16" i="9"/>
  <c r="J16" i="9"/>
  <c r="I16" i="9"/>
  <c r="H16" i="9"/>
  <c r="G16" i="9"/>
  <c r="F16" i="9"/>
  <c r="E16" i="9"/>
  <c r="W13" i="9"/>
  <c r="V13" i="9"/>
  <c r="U13" i="9"/>
  <c r="T13" i="9"/>
  <c r="S13" i="9"/>
  <c r="R13" i="9"/>
  <c r="Q13" i="9"/>
  <c r="P13" i="9"/>
  <c r="O13" i="9"/>
  <c r="N13" i="9"/>
  <c r="M13" i="9"/>
  <c r="L13" i="9"/>
  <c r="K13" i="9"/>
  <c r="J13" i="9"/>
  <c r="I13" i="9"/>
  <c r="H13" i="9"/>
  <c r="G13" i="9"/>
  <c r="F13" i="9"/>
  <c r="E13" i="9"/>
  <c r="W10" i="9"/>
  <c r="V10" i="9"/>
  <c r="U10" i="9"/>
  <c r="T10" i="9"/>
  <c r="S10" i="9"/>
  <c r="R10" i="9"/>
  <c r="Q10" i="9"/>
  <c r="P10" i="9"/>
  <c r="O10" i="9"/>
  <c r="N10" i="9"/>
  <c r="M10" i="9"/>
  <c r="L10" i="9"/>
  <c r="K10" i="9"/>
  <c r="J10" i="9"/>
  <c r="I10" i="9"/>
  <c r="H10" i="9"/>
  <c r="G10" i="9"/>
  <c r="F10" i="9"/>
  <c r="E10" i="9"/>
  <c r="W8" i="9"/>
  <c r="V8" i="9"/>
  <c r="U8" i="9"/>
  <c r="T8" i="9"/>
  <c r="S8" i="9"/>
  <c r="R8" i="9"/>
  <c r="Q8" i="9"/>
  <c r="N8" i="9"/>
  <c r="M8" i="9"/>
  <c r="L8" i="9"/>
  <c r="K8" i="9"/>
  <c r="J8" i="9"/>
  <c r="I8" i="9"/>
  <c r="H8" i="9"/>
  <c r="G8" i="9"/>
  <c r="F8" i="9"/>
  <c r="E8" i="9"/>
  <c r="AC8" i="9"/>
  <c r="W7" i="9"/>
  <c r="V7" i="9"/>
  <c r="U7" i="9"/>
  <c r="T7" i="9"/>
  <c r="S7" i="9"/>
  <c r="R7" i="9"/>
  <c r="Q7" i="9"/>
  <c r="P7" i="9"/>
  <c r="O7" i="9"/>
  <c r="N7" i="9"/>
  <c r="M7" i="9"/>
  <c r="M143" i="9"/>
  <c r="N143" i="5"/>
  <c r="L7" i="9"/>
  <c r="K7" i="9"/>
  <c r="J7" i="9"/>
  <c r="I7" i="9"/>
  <c r="H7" i="9"/>
  <c r="G7" i="9"/>
  <c r="F7" i="9"/>
  <c r="E7" i="9"/>
  <c r="BA7" i="9"/>
  <c r="AL7" i="9"/>
  <c r="A7" i="9"/>
  <c r="W6" i="9"/>
  <c r="V6" i="9"/>
  <c r="U6" i="9"/>
  <c r="T6" i="9"/>
  <c r="T2" i="9"/>
  <c r="T4" i="9"/>
  <c r="S6" i="9"/>
  <c r="R6" i="9"/>
  <c r="R2" i="9"/>
  <c r="R4" i="9"/>
  <c r="Q6" i="9"/>
  <c r="P6" i="9"/>
  <c r="O6" i="9"/>
  <c r="N6" i="9"/>
  <c r="M6" i="9"/>
  <c r="L6" i="9"/>
  <c r="K6" i="9"/>
  <c r="J6" i="9"/>
  <c r="I6" i="9"/>
  <c r="H6" i="9"/>
  <c r="G6" i="9"/>
  <c r="F6" i="9"/>
  <c r="E6" i="9"/>
  <c r="W4" i="9"/>
  <c r="V4" i="9"/>
  <c r="U4" i="9"/>
  <c r="S4" i="9"/>
  <c r="Q4" i="9"/>
  <c r="Q2" i="9"/>
  <c r="P4" i="9"/>
  <c r="O4" i="9"/>
  <c r="N4" i="9"/>
  <c r="M4" i="9"/>
  <c r="L4" i="9"/>
  <c r="K4" i="9"/>
  <c r="K2" i="9"/>
  <c r="J4" i="9"/>
  <c r="I4" i="9"/>
  <c r="H4" i="9"/>
  <c r="G4" i="9"/>
  <c r="F4" i="9"/>
  <c r="E4" i="9"/>
  <c r="G3" i="9"/>
  <c r="F3" i="9"/>
  <c r="F2" i="9"/>
  <c r="E3" i="9"/>
  <c r="BA3" i="9"/>
  <c r="W2" i="9"/>
  <c r="W142" i="9"/>
  <c r="W145" i="9"/>
  <c r="V2" i="9"/>
  <c r="U2" i="9"/>
  <c r="S2" i="9"/>
  <c r="S142" i="9"/>
  <c r="S145" i="9"/>
  <c r="P2" i="9"/>
  <c r="O2" i="9"/>
  <c r="N2" i="9"/>
  <c r="M2" i="9"/>
  <c r="L2" i="9"/>
  <c r="L143" i="9"/>
  <c r="J2" i="9"/>
  <c r="I2" i="9"/>
  <c r="I143" i="9"/>
  <c r="J143" i="5"/>
  <c r="H2" i="9"/>
  <c r="G2" i="9"/>
  <c r="E2" i="9"/>
  <c r="M58" i="14"/>
  <c r="G58" i="14"/>
  <c r="F58" i="14"/>
  <c r="M57" i="14"/>
  <c r="G57" i="14"/>
  <c r="F57" i="14"/>
  <c r="P2631" i="1"/>
  <c r="O2631" i="1"/>
  <c r="N2631" i="1"/>
  <c r="M2631" i="1"/>
  <c r="AN93" i="9"/>
  <c r="P2630" i="1"/>
  <c r="O2630" i="1"/>
  <c r="N2630" i="1"/>
  <c r="M2630" i="1"/>
  <c r="P2629" i="1"/>
  <c r="O2629" i="1"/>
  <c r="N2629" i="1"/>
  <c r="M2629" i="1"/>
  <c r="P2628" i="1"/>
  <c r="O2628" i="1"/>
  <c r="N2628" i="1"/>
  <c r="M2628" i="1"/>
  <c r="O2627" i="1"/>
  <c r="N2627" i="1"/>
  <c r="M2627" i="1"/>
  <c r="M56" i="14"/>
  <c r="G56" i="14"/>
  <c r="F56" i="14"/>
  <c r="P2626" i="1"/>
  <c r="O2626" i="1"/>
  <c r="N2626" i="1"/>
  <c r="M2626" i="1"/>
  <c r="P2625" i="1"/>
  <c r="O2625" i="1"/>
  <c r="N2625" i="1"/>
  <c r="M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B24" i="14"/>
  <c r="H24" i="14"/>
  <c r="B23" i="14"/>
  <c r="H23" i="14"/>
  <c r="B22" i="14"/>
  <c r="H22" i="14"/>
  <c r="B21" i="14"/>
  <c r="H21" i="14"/>
  <c r="B20" i="14"/>
  <c r="H20" i="14"/>
  <c r="B19" i="14"/>
  <c r="H19" i="14"/>
  <c r="B18" i="14"/>
  <c r="H18" i="14"/>
  <c r="B17" i="14"/>
  <c r="H17" i="14"/>
  <c r="B16" i="14"/>
  <c r="H16" i="14"/>
  <c r="B15" i="14"/>
  <c r="H15" i="14"/>
  <c r="B14" i="14"/>
  <c r="H14" i="14"/>
  <c r="B13" i="14"/>
  <c r="H13" i="14"/>
  <c r="B12" i="14"/>
  <c r="H12" i="14"/>
  <c r="B11" i="14"/>
  <c r="H11" i="14"/>
  <c r="B10" i="14"/>
  <c r="H10" i="14"/>
  <c r="B9" i="14"/>
  <c r="H9" i="14"/>
  <c r="B8" i="14"/>
  <c r="H8" i="14"/>
  <c r="B7" i="14"/>
  <c r="H7" i="14"/>
  <c r="B6" i="14"/>
  <c r="H6" i="14"/>
  <c r="B5" i="14"/>
  <c r="H5" i="14"/>
  <c r="X144" i="9"/>
  <c r="AL2" i="9"/>
  <c r="P2624" i="1"/>
  <c r="O2624" i="1"/>
  <c r="N2624" i="1"/>
  <c r="M2624" i="1"/>
  <c r="P2623" i="1"/>
  <c r="O2623" i="1"/>
  <c r="N2623" i="1"/>
  <c r="M2623" i="1"/>
  <c r="P2622" i="1"/>
  <c r="O2622" i="1"/>
  <c r="N2622" i="1"/>
  <c r="M2622" i="1"/>
  <c r="P2621" i="1"/>
  <c r="O2621" i="1"/>
  <c r="N2621" i="1"/>
  <c r="M2621" i="1"/>
  <c r="P2620" i="1"/>
  <c r="O2620" i="1"/>
  <c r="N2620" i="1"/>
  <c r="M2620" i="1"/>
  <c r="P2619" i="1"/>
  <c r="O2619" i="1"/>
  <c r="N2619" i="1"/>
  <c r="M2619" i="1"/>
  <c r="P2618" i="1"/>
  <c r="O2618" i="1"/>
  <c r="N2618" i="1"/>
  <c r="M2618" i="1"/>
  <c r="M55" i="14"/>
  <c r="G55" i="14"/>
  <c r="F55" i="14"/>
  <c r="P2617" i="1"/>
  <c r="O2617" i="1"/>
  <c r="N2617" i="1"/>
  <c r="M2617" i="1"/>
  <c r="P2616" i="1"/>
  <c r="O2616" i="1"/>
  <c r="N2616" i="1"/>
  <c r="M2616" i="1"/>
  <c r="P2615" i="1"/>
  <c r="O2615" i="1"/>
  <c r="N2615" i="1"/>
  <c r="M2615" i="1"/>
  <c r="P2614" i="1"/>
  <c r="O2614" i="1"/>
  <c r="N2614" i="1"/>
  <c r="M2614" i="1"/>
  <c r="P2613" i="1"/>
  <c r="O2613" i="1"/>
  <c r="N2613" i="1"/>
  <c r="M2613" i="1"/>
  <c r="P2612" i="1"/>
  <c r="O2612" i="1"/>
  <c r="N2612" i="1"/>
  <c r="M2612" i="1"/>
  <c r="P2611" i="1"/>
  <c r="O2611" i="1"/>
  <c r="N2611" i="1"/>
  <c r="M2611" i="1"/>
  <c r="AP44" i="5"/>
  <c r="AQ44" i="5"/>
  <c r="AR44" i="5"/>
  <c r="AS44" i="5"/>
  <c r="AP46" i="5"/>
  <c r="AQ46" i="5"/>
  <c r="AR46" i="5"/>
  <c r="AS46" i="5"/>
  <c r="AP47" i="5"/>
  <c r="AQ47" i="5"/>
  <c r="AR47" i="5"/>
  <c r="AS47" i="5"/>
  <c r="AP48" i="5"/>
  <c r="AQ48" i="5"/>
  <c r="AR48" i="5"/>
  <c r="AS48" i="5"/>
  <c r="P2610" i="1"/>
  <c r="O2610" i="1"/>
  <c r="N2610" i="1"/>
  <c r="M2610" i="1"/>
  <c r="P2609" i="1"/>
  <c r="O2609" i="1"/>
  <c r="N2609" i="1"/>
  <c r="M2609" i="1"/>
  <c r="P2608" i="1"/>
  <c r="O2608" i="1"/>
  <c r="N2608" i="1"/>
  <c r="M2608" i="1"/>
  <c r="B141" i="9"/>
  <c r="B108" i="5"/>
  <c r="B140" i="9"/>
  <c r="B140" i="8"/>
  <c r="B139" i="9"/>
  <c r="B121" i="5"/>
  <c r="B138" i="9"/>
  <c r="B138" i="8"/>
  <c r="B137" i="9"/>
  <c r="B107" i="5"/>
  <c r="B136" i="9"/>
  <c r="B128" i="5"/>
  <c r="B135" i="9"/>
  <c r="B127" i="5"/>
  <c r="B134" i="9"/>
  <c r="B133" i="9"/>
  <c r="B129" i="5"/>
  <c r="B132" i="9"/>
  <c r="B132" i="8"/>
  <c r="B131" i="9"/>
  <c r="B125" i="5"/>
  <c r="B130" i="9"/>
  <c r="B129" i="9"/>
  <c r="B138" i="5"/>
  <c r="B128" i="9"/>
  <c r="B127" i="9"/>
  <c r="B136" i="5"/>
  <c r="B126" i="9"/>
  <c r="B126" i="8"/>
  <c r="B125" i="9"/>
  <c r="B122" i="5"/>
  <c r="B124" i="9"/>
  <c r="B124" i="8"/>
  <c r="B123" i="9"/>
  <c r="B119" i="5"/>
  <c r="B122" i="9"/>
  <c r="B121" i="9"/>
  <c r="B117" i="5"/>
  <c r="B120" i="9"/>
  <c r="B119" i="9"/>
  <c r="B115" i="5"/>
  <c r="B118" i="9"/>
  <c r="B118" i="8"/>
  <c r="B117" i="9"/>
  <c r="B113" i="5"/>
  <c r="B116" i="9"/>
  <c r="B116" i="8"/>
  <c r="B115" i="9"/>
  <c r="B111" i="5"/>
  <c r="B114" i="9"/>
  <c r="B113" i="9"/>
  <c r="B105" i="5"/>
  <c r="B112" i="9"/>
  <c r="B111" i="9"/>
  <c r="B133" i="5"/>
  <c r="B110" i="9"/>
  <c r="B110" i="8"/>
  <c r="B109" i="9"/>
  <c r="B130" i="5"/>
  <c r="B108" i="9"/>
  <c r="B108" i="8"/>
  <c r="B107" i="9"/>
  <c r="B103" i="5"/>
  <c r="B105" i="9"/>
  <c r="B104" i="9"/>
  <c r="B110" i="5"/>
  <c r="B103" i="9"/>
  <c r="B102" i="9"/>
  <c r="B84" i="5"/>
  <c r="B101" i="9"/>
  <c r="B101" i="8"/>
  <c r="B100" i="9"/>
  <c r="B82" i="5"/>
  <c r="B99" i="9"/>
  <c r="B98" i="9"/>
  <c r="B80" i="5"/>
  <c r="B97" i="9"/>
  <c r="B97" i="8"/>
  <c r="B96" i="9"/>
  <c r="B100" i="5"/>
  <c r="B95" i="9"/>
  <c r="B94" i="9"/>
  <c r="B99" i="5"/>
  <c r="B93" i="9"/>
  <c r="B92" i="9"/>
  <c r="B141" i="5"/>
  <c r="B91" i="9"/>
  <c r="B90" i="9"/>
  <c r="B96" i="5"/>
  <c r="B89" i="9"/>
  <c r="B89" i="8"/>
  <c r="B88" i="9"/>
  <c r="B95" i="5"/>
  <c r="B87" i="9"/>
  <c r="B87" i="8"/>
  <c r="B86" i="9"/>
  <c r="B89" i="5"/>
  <c r="B85" i="9"/>
  <c r="B84" i="9"/>
  <c r="B91" i="5"/>
  <c r="B83" i="9"/>
  <c r="B83" i="8"/>
  <c r="B82" i="9"/>
  <c r="B88" i="5"/>
  <c r="B81" i="9"/>
  <c r="B81" i="8"/>
  <c r="B80" i="9"/>
  <c r="B86" i="5"/>
  <c r="B79" i="9"/>
  <c r="B79" i="8"/>
  <c r="B78" i="9"/>
  <c r="B134" i="5"/>
  <c r="B77" i="9"/>
  <c r="B76" i="9"/>
  <c r="B77" i="5"/>
  <c r="B75" i="9"/>
  <c r="B75" i="8"/>
  <c r="B74" i="9"/>
  <c r="B75" i="5"/>
  <c r="B73" i="9"/>
  <c r="B73" i="8"/>
  <c r="B72" i="9"/>
  <c r="B71" i="9"/>
  <c r="B70" i="9"/>
  <c r="B50" i="5"/>
  <c r="B69" i="9"/>
  <c r="B69" i="8"/>
  <c r="B68" i="9"/>
  <c r="B49" i="5"/>
  <c r="B67" i="9"/>
  <c r="B66" i="9"/>
  <c r="B47" i="5"/>
  <c r="B65" i="9"/>
  <c r="B65" i="8"/>
  <c r="B64" i="9"/>
  <c r="B63" i="9"/>
  <c r="B54" i="5"/>
  <c r="B62" i="9"/>
  <c r="B19" i="5"/>
  <c r="B61" i="9"/>
  <c r="B60" i="9"/>
  <c r="B17" i="5"/>
  <c r="B59" i="9"/>
  <c r="B59" i="8"/>
  <c r="B58" i="9"/>
  <c r="B15" i="5"/>
  <c r="B57" i="9"/>
  <c r="B57" i="8"/>
  <c r="B56" i="9"/>
  <c r="B13" i="5"/>
  <c r="B55" i="9"/>
  <c r="B12" i="5"/>
  <c r="B54" i="9"/>
  <c r="B11" i="5"/>
  <c r="B53" i="9"/>
  <c r="B52" i="9"/>
  <c r="B57" i="5"/>
  <c r="B51" i="9"/>
  <c r="B49" i="9"/>
  <c r="B44" i="5"/>
  <c r="B48" i="9"/>
  <c r="B47" i="9"/>
  <c r="B42" i="5"/>
  <c r="B46" i="9"/>
  <c r="B41" i="5"/>
  <c r="B45" i="9"/>
  <c r="B40" i="5"/>
  <c r="B44" i="9"/>
  <c r="B44" i="8"/>
  <c r="B43" i="9"/>
  <c r="B38" i="5"/>
  <c r="B42" i="9"/>
  <c r="B41" i="9"/>
  <c r="B36" i="5"/>
  <c r="B40" i="9"/>
  <c r="B40" i="8"/>
  <c r="B39" i="9"/>
  <c r="B38" i="9"/>
  <c r="B37" i="9"/>
  <c r="B32" i="5"/>
  <c r="B36" i="9"/>
  <c r="B36" i="8"/>
  <c r="B35" i="9"/>
  <c r="B9" i="5"/>
  <c r="B34" i="9"/>
  <c r="B33" i="9"/>
  <c r="B7" i="5"/>
  <c r="B32" i="9"/>
  <c r="B32" i="8"/>
  <c r="B31" i="9"/>
  <c r="B5" i="5"/>
  <c r="B30" i="9"/>
  <c r="B29" i="9"/>
  <c r="B28" i="5"/>
  <c r="B28" i="9"/>
  <c r="B28" i="8"/>
  <c r="B27" i="9"/>
  <c r="B30" i="5"/>
  <c r="B26" i="9"/>
  <c r="B25" i="9"/>
  <c r="B27" i="5"/>
  <c r="B24" i="9"/>
  <c r="B24" i="8"/>
  <c r="B23" i="9"/>
  <c r="B22" i="9"/>
  <c r="B22" i="8"/>
  <c r="B21" i="9"/>
  <c r="B24" i="5"/>
  <c r="B20" i="9"/>
  <c r="B20" i="8"/>
  <c r="B19" i="9"/>
  <c r="B55" i="5"/>
  <c r="B18" i="9"/>
  <c r="B18" i="8"/>
  <c r="B17" i="9"/>
  <c r="B71" i="5"/>
  <c r="B16" i="9"/>
  <c r="B16" i="8"/>
  <c r="B15" i="9"/>
  <c r="B14" i="9"/>
  <c r="B13" i="9"/>
  <c r="B12" i="9"/>
  <c r="B11" i="9"/>
  <c r="B68" i="5"/>
  <c r="B10" i="9"/>
  <c r="B10" i="8"/>
  <c r="B9" i="9"/>
  <c r="B60" i="5"/>
  <c r="B8" i="9"/>
  <c r="B7" i="9"/>
  <c r="B61" i="5"/>
  <c r="B6" i="9"/>
  <c r="B6" i="8"/>
  <c r="B5" i="9"/>
  <c r="B4" i="9"/>
  <c r="B4" i="8"/>
  <c r="B3" i="9"/>
  <c r="B64" i="5"/>
  <c r="B2" i="9"/>
  <c r="B2" i="8"/>
  <c r="B70" i="5"/>
  <c r="B59" i="5"/>
  <c r="B22" i="5"/>
  <c r="B23" i="5"/>
  <c r="B2" i="5"/>
  <c r="B31" i="8"/>
  <c r="B38" i="8"/>
  <c r="B33" i="5"/>
  <c r="B34" i="5"/>
  <c r="B39" i="5"/>
  <c r="B46" i="8"/>
  <c r="B47" i="8"/>
  <c r="B55" i="8"/>
  <c r="B56" i="8"/>
  <c r="B14" i="5"/>
  <c r="B16" i="5"/>
  <c r="B63" i="8"/>
  <c r="B71" i="8"/>
  <c r="B20" i="5"/>
  <c r="B53" i="5"/>
  <c r="B76" i="5"/>
  <c r="B85" i="5"/>
  <c r="B80" i="8"/>
  <c r="B87" i="5"/>
  <c r="B90" i="5"/>
  <c r="B93" i="5"/>
  <c r="B88" i="8"/>
  <c r="B94" i="5"/>
  <c r="B96" i="8"/>
  <c r="B103" i="8"/>
  <c r="B109" i="5"/>
  <c r="B104" i="8"/>
  <c r="B104" i="5"/>
  <c r="B132" i="5"/>
  <c r="B112" i="8"/>
  <c r="B140" i="5"/>
  <c r="B113" i="8"/>
  <c r="B112" i="5"/>
  <c r="B114" i="5"/>
  <c r="B120" i="8"/>
  <c r="B116" i="5"/>
  <c r="B121" i="8"/>
  <c r="B139" i="5"/>
  <c r="B123" i="5"/>
  <c r="B129" i="8"/>
  <c r="B126" i="5"/>
  <c r="B136" i="8"/>
  <c r="B137" i="8"/>
  <c r="B74" i="5"/>
  <c r="A141" i="9"/>
  <c r="A108" i="5"/>
  <c r="A140" i="9"/>
  <c r="A140" i="8"/>
  <c r="A139" i="9"/>
  <c r="A121" i="5"/>
  <c r="A137" i="9"/>
  <c r="A107" i="5"/>
  <c r="A136" i="9"/>
  <c r="A136" i="8"/>
  <c r="A135" i="9"/>
  <c r="A134" i="9"/>
  <c r="A134" i="8"/>
  <c r="A133" i="9"/>
  <c r="A133" i="8"/>
  <c r="A132" i="9"/>
  <c r="A132" i="8"/>
  <c r="A131" i="9"/>
  <c r="A131" i="8"/>
  <c r="A130" i="9"/>
  <c r="A130" i="8"/>
  <c r="A129" i="9"/>
  <c r="A138" i="5"/>
  <c r="A128" i="9"/>
  <c r="A128" i="8"/>
  <c r="A127" i="9"/>
  <c r="A136" i="5"/>
  <c r="A126" i="9"/>
  <c r="A126" i="8"/>
  <c r="A122" i="5"/>
  <c r="A124" i="9"/>
  <c r="A124" i="8"/>
  <c r="A123" i="9"/>
  <c r="A119" i="5"/>
  <c r="A122" i="9"/>
  <c r="A122" i="8"/>
  <c r="A121" i="9"/>
  <c r="A121" i="8"/>
  <c r="A120" i="9"/>
  <c r="A120" i="8"/>
  <c r="A119" i="9"/>
  <c r="A115" i="5"/>
  <c r="A118" i="9"/>
  <c r="A118" i="8"/>
  <c r="A117" i="9"/>
  <c r="A116" i="9"/>
  <c r="A116" i="8"/>
  <c r="A115" i="9"/>
  <c r="A111" i="5"/>
  <c r="A114" i="9"/>
  <c r="A114" i="8"/>
  <c r="A113" i="9"/>
  <c r="A113" i="8"/>
  <c r="A112" i="9"/>
  <c r="A112" i="8"/>
  <c r="A111" i="9"/>
  <c r="A133" i="5"/>
  <c r="A110" i="9"/>
  <c r="A110" i="8"/>
  <c r="A130" i="5"/>
  <c r="A108" i="9"/>
  <c r="A104" i="5"/>
  <c r="A107" i="9"/>
  <c r="A103" i="5"/>
  <c r="A105" i="9"/>
  <c r="C105" i="9"/>
  <c r="BA105" i="9"/>
  <c r="A104" i="9"/>
  <c r="A110" i="5"/>
  <c r="A103" i="9"/>
  <c r="A103" i="8"/>
  <c r="A102" i="9"/>
  <c r="A102" i="8"/>
  <c r="A100" i="9"/>
  <c r="A100" i="8"/>
  <c r="A99" i="9"/>
  <c r="A99" i="8"/>
  <c r="A98" i="9"/>
  <c r="A80" i="5"/>
  <c r="A97" i="9"/>
  <c r="A97" i="8"/>
  <c r="A96" i="9"/>
  <c r="A96" i="8"/>
  <c r="A95" i="9"/>
  <c r="A95" i="8"/>
  <c r="A94" i="9"/>
  <c r="A99" i="5"/>
  <c r="A93" i="9"/>
  <c r="A98" i="5"/>
  <c r="A92" i="9"/>
  <c r="A92" i="8"/>
  <c r="A91" i="9"/>
  <c r="A91" i="8"/>
  <c r="A90" i="9"/>
  <c r="A90" i="8"/>
  <c r="A89" i="9"/>
  <c r="A89" i="8"/>
  <c r="A87" i="9"/>
  <c r="A87" i="8"/>
  <c r="J87" i="8"/>
  <c r="A86" i="8"/>
  <c r="A85" i="9"/>
  <c r="A85" i="8"/>
  <c r="A84" i="9"/>
  <c r="A91" i="5"/>
  <c r="A83" i="9"/>
  <c r="A90" i="5"/>
  <c r="A82" i="9"/>
  <c r="A82" i="8"/>
  <c r="A88" i="5"/>
  <c r="A81" i="9"/>
  <c r="A80" i="9"/>
  <c r="A86" i="5"/>
  <c r="A79" i="9"/>
  <c r="A79" i="8"/>
  <c r="A134" i="5"/>
  <c r="A77" i="9"/>
  <c r="A77" i="8"/>
  <c r="A76" i="9"/>
  <c r="A76" i="8"/>
  <c r="A75" i="9"/>
  <c r="A75" i="8"/>
  <c r="A74" i="9"/>
  <c r="A74" i="8"/>
  <c r="A73" i="9"/>
  <c r="A73" i="8"/>
  <c r="A72" i="9"/>
  <c r="A21" i="5"/>
  <c r="A72" i="8"/>
  <c r="A71" i="8"/>
  <c r="A70" i="9"/>
  <c r="A50" i="5"/>
  <c r="A69" i="9"/>
  <c r="A69" i="8"/>
  <c r="J69" i="8"/>
  <c r="A68" i="9"/>
  <c r="A68" i="8"/>
  <c r="A67" i="8"/>
  <c r="A66" i="9"/>
  <c r="A66" i="8"/>
  <c r="A65" i="9"/>
  <c r="A65" i="8"/>
  <c r="A64" i="9"/>
  <c r="A52" i="5"/>
  <c r="A64" i="8"/>
  <c r="A63" i="9"/>
  <c r="A63" i="8"/>
  <c r="A62" i="9"/>
  <c r="A61" i="9"/>
  <c r="A61" i="8"/>
  <c r="J61" i="8"/>
  <c r="A60" i="9"/>
  <c r="A60" i="8"/>
  <c r="A59" i="9"/>
  <c r="A59" i="8"/>
  <c r="A58" i="9"/>
  <c r="A58" i="8"/>
  <c r="A57" i="9"/>
  <c r="A57" i="8"/>
  <c r="J57" i="8"/>
  <c r="A56" i="9"/>
  <c r="A56" i="8"/>
  <c r="A55" i="9"/>
  <c r="A55" i="8"/>
  <c r="A53" i="9"/>
  <c r="A10" i="5"/>
  <c r="A52" i="9"/>
  <c r="A57" i="5"/>
  <c r="A51" i="9"/>
  <c r="A49" i="9"/>
  <c r="A44" i="5"/>
  <c r="A48" i="9"/>
  <c r="A43" i="5"/>
  <c r="A47" i="9"/>
  <c r="A42" i="5"/>
  <c r="A46" i="9"/>
  <c r="A46" i="8"/>
  <c r="A45" i="9"/>
  <c r="A40" i="5"/>
  <c r="A44" i="9"/>
  <c r="A43" i="9"/>
  <c r="A38" i="5"/>
  <c r="A42" i="9"/>
  <c r="A42" i="8"/>
  <c r="A41" i="9"/>
  <c r="A36" i="5"/>
  <c r="A40" i="9"/>
  <c r="A40" i="8"/>
  <c r="A39" i="9"/>
  <c r="A39" i="8"/>
  <c r="A38" i="9"/>
  <c r="A38" i="8"/>
  <c r="A32" i="5"/>
  <c r="A36" i="9"/>
  <c r="A36" i="8"/>
  <c r="A35" i="9"/>
  <c r="A35" i="8"/>
  <c r="A34" i="9"/>
  <c r="A33" i="9"/>
  <c r="A33" i="8"/>
  <c r="A32" i="9"/>
  <c r="A32" i="8"/>
  <c r="A31" i="9"/>
  <c r="A31" i="8"/>
  <c r="A30" i="9"/>
  <c r="A4" i="5"/>
  <c r="A30" i="8"/>
  <c r="A29" i="9"/>
  <c r="A28" i="9"/>
  <c r="A28" i="8"/>
  <c r="A27" i="9"/>
  <c r="A27" i="8"/>
  <c r="A26" i="9"/>
  <c r="A26" i="8"/>
  <c r="A25" i="9"/>
  <c r="A27" i="5"/>
  <c r="A24" i="9"/>
  <c r="A23" i="9"/>
  <c r="A26" i="5"/>
  <c r="A22" i="9"/>
  <c r="A22" i="8"/>
  <c r="A21" i="9"/>
  <c r="A24" i="5"/>
  <c r="A20" i="9"/>
  <c r="A20" i="8"/>
  <c r="A23" i="5"/>
  <c r="A19" i="9"/>
  <c r="A55" i="5"/>
  <c r="A18" i="9"/>
  <c r="A18" i="8"/>
  <c r="A17" i="9"/>
  <c r="A71" i="5"/>
  <c r="A16" i="9"/>
  <c r="A15" i="9"/>
  <c r="A62" i="5"/>
  <c r="A14" i="9"/>
  <c r="A14" i="8"/>
  <c r="A13" i="9"/>
  <c r="A72" i="5"/>
  <c r="A12" i="9"/>
  <c r="A12" i="8"/>
  <c r="A11" i="9"/>
  <c r="A10" i="9"/>
  <c r="A67" i="5"/>
  <c r="A10" i="8"/>
  <c r="A9" i="9"/>
  <c r="A60" i="5"/>
  <c r="A8" i="9"/>
  <c r="A8" i="8"/>
  <c r="A61" i="5"/>
  <c r="A6" i="9"/>
  <c r="A6" i="8"/>
  <c r="I6" i="8"/>
  <c r="A5" i="9"/>
  <c r="A73" i="5"/>
  <c r="A4" i="9"/>
  <c r="A4" i="8"/>
  <c r="A3" i="9"/>
  <c r="A3" i="8"/>
  <c r="A2" i="9"/>
  <c r="P2607" i="1"/>
  <c r="O2607" i="1"/>
  <c r="N2607" i="1"/>
  <c r="M2607" i="1"/>
  <c r="A141" i="8"/>
  <c r="A139" i="8"/>
  <c r="A138" i="8"/>
  <c r="A137" i="8"/>
  <c r="A135" i="8"/>
  <c r="A127" i="8"/>
  <c r="A123" i="8"/>
  <c r="A119" i="8"/>
  <c r="A117" i="8"/>
  <c r="A115" i="8"/>
  <c r="A111" i="8"/>
  <c r="A109" i="8"/>
  <c r="A105" i="8"/>
  <c r="A104" i="8"/>
  <c r="A94" i="8"/>
  <c r="A93" i="8"/>
  <c r="A84" i="8"/>
  <c r="A81" i="8"/>
  <c r="A78" i="8"/>
  <c r="A54" i="8"/>
  <c r="A53" i="8"/>
  <c r="A52" i="8"/>
  <c r="A48" i="8"/>
  <c r="A45" i="8"/>
  <c r="A43" i="8"/>
  <c r="A41" i="8"/>
  <c r="A37" i="8"/>
  <c r="A29" i="8"/>
  <c r="A24" i="8"/>
  <c r="A23" i="8"/>
  <c r="A19" i="8"/>
  <c r="A17" i="8"/>
  <c r="A16" i="8"/>
  <c r="A15" i="8"/>
  <c r="A13" i="8"/>
  <c r="A11" i="8"/>
  <c r="A9" i="8"/>
  <c r="A7" i="8"/>
  <c r="A2" i="8"/>
  <c r="A135" i="5"/>
  <c r="A129" i="5"/>
  <c r="A128" i="5"/>
  <c r="A127" i="5"/>
  <c r="A126" i="5"/>
  <c r="A125" i="5"/>
  <c r="A120" i="5"/>
  <c r="A116" i="5"/>
  <c r="A113" i="5"/>
  <c r="A109" i="5"/>
  <c r="A105" i="5"/>
  <c r="A101" i="5"/>
  <c r="A97" i="5"/>
  <c r="A87" i="5"/>
  <c r="A76" i="5"/>
  <c r="A74" i="5"/>
  <c r="A69" i="5"/>
  <c r="A68" i="5"/>
  <c r="A65" i="5"/>
  <c r="A63" i="5"/>
  <c r="A59" i="5"/>
  <c r="A54" i="5"/>
  <c r="A48" i="5"/>
  <c r="A47" i="5"/>
  <c r="A34" i="5"/>
  <c r="A28" i="5"/>
  <c r="A17" i="5"/>
  <c r="A11" i="5"/>
  <c r="A6" i="5"/>
  <c r="A2" i="5"/>
  <c r="P2606" i="1"/>
  <c r="O2606" i="1"/>
  <c r="N2606" i="1"/>
  <c r="M2606" i="1"/>
  <c r="P2605" i="1"/>
  <c r="O2605" i="1"/>
  <c r="N2605" i="1"/>
  <c r="M2605" i="1"/>
  <c r="P2604" i="1"/>
  <c r="O2604" i="1"/>
  <c r="N2604" i="1"/>
  <c r="M2604" i="1"/>
  <c r="P2084" i="1"/>
  <c r="O2084" i="1"/>
  <c r="N2084" i="1"/>
  <c r="M2084" i="1"/>
  <c r="P2603" i="1"/>
  <c r="O2603" i="1"/>
  <c r="N2603" i="1"/>
  <c r="M2603" i="1"/>
  <c r="M54" i="14"/>
  <c r="G54" i="14"/>
  <c r="H54" i="14"/>
  <c r="F54" i="14"/>
  <c r="P2602" i="1"/>
  <c r="O2602" i="1"/>
  <c r="N2602" i="1"/>
  <c r="M2602" i="1"/>
  <c r="P2601" i="1"/>
  <c r="O2601" i="1"/>
  <c r="N2601" i="1"/>
  <c r="M2601" i="1"/>
  <c r="P2600" i="1"/>
  <c r="O2600" i="1"/>
  <c r="N2600" i="1"/>
  <c r="M2600" i="1"/>
  <c r="P2599" i="1"/>
  <c r="O2599" i="1"/>
  <c r="N2599" i="1"/>
  <c r="M2599" i="1"/>
  <c r="O2598" i="1"/>
  <c r="N2598" i="1"/>
  <c r="M2598" i="1"/>
  <c r="P2598" i="1"/>
  <c r="P2597" i="1"/>
  <c r="O2597" i="1"/>
  <c r="N2597" i="1"/>
  <c r="M2597" i="1"/>
  <c r="P2596" i="1"/>
  <c r="O2596" i="1"/>
  <c r="N2596" i="1"/>
  <c r="M2596" i="1"/>
  <c r="P2595" i="1"/>
  <c r="O2595" i="1"/>
  <c r="N2595" i="1"/>
  <c r="M2595" i="1"/>
  <c r="AM64" i="9"/>
  <c r="P2594" i="1"/>
  <c r="O2594" i="1"/>
  <c r="N2594" i="1"/>
  <c r="M2594" i="1"/>
  <c r="P2593" i="1"/>
  <c r="O2593" i="1"/>
  <c r="N2593" i="1"/>
  <c r="M2593" i="1"/>
  <c r="P2592" i="1"/>
  <c r="O2592" i="1"/>
  <c r="N2592" i="1"/>
  <c r="M2592" i="1"/>
  <c r="P2591" i="1"/>
  <c r="O2591" i="1"/>
  <c r="N2591" i="1"/>
  <c r="M2591" i="1"/>
  <c r="P2590" i="1"/>
  <c r="O2590" i="1"/>
  <c r="N2590" i="1"/>
  <c r="M2590" i="1"/>
  <c r="AM93" i="9"/>
  <c r="P2589" i="1"/>
  <c r="O2589" i="1"/>
  <c r="N2589" i="1"/>
  <c r="M2589" i="1"/>
  <c r="P2588" i="1"/>
  <c r="O2588" i="1"/>
  <c r="N2588" i="1"/>
  <c r="M2588" i="1"/>
  <c r="P2587" i="1"/>
  <c r="O2587" i="1"/>
  <c r="N2587" i="1"/>
  <c r="M2587" i="1"/>
  <c r="O2586" i="1"/>
  <c r="N2586" i="1"/>
  <c r="M2586" i="1"/>
  <c r="P2585" i="1"/>
  <c r="O2585" i="1"/>
  <c r="N2585" i="1"/>
  <c r="M2585" i="1"/>
  <c r="P2584" i="1"/>
  <c r="O2584" i="1"/>
  <c r="N2584" i="1"/>
  <c r="M2584" i="1"/>
  <c r="P2583" i="1"/>
  <c r="O2583" i="1"/>
  <c r="N2583" i="1"/>
  <c r="M2583" i="1"/>
  <c r="P2582" i="1"/>
  <c r="O2582" i="1"/>
  <c r="N2582" i="1"/>
  <c r="M2582" i="1"/>
  <c r="AN59" i="9"/>
  <c r="P2581" i="1"/>
  <c r="O2581" i="1"/>
  <c r="N2581" i="1"/>
  <c r="M2581" i="1"/>
  <c r="P2580" i="1"/>
  <c r="O2580" i="1"/>
  <c r="N2580" i="1"/>
  <c r="M2580" i="1"/>
  <c r="P2579" i="1"/>
  <c r="O2579" i="1"/>
  <c r="N2579" i="1"/>
  <c r="M2579" i="1"/>
  <c r="P2578" i="1"/>
  <c r="O2578" i="1"/>
  <c r="N2578" i="1"/>
  <c r="M2578" i="1"/>
  <c r="P2577" i="1"/>
  <c r="O2577" i="1"/>
  <c r="N2577" i="1"/>
  <c r="M2577" i="1"/>
  <c r="P2576" i="1"/>
  <c r="O2576" i="1"/>
  <c r="N2576" i="1"/>
  <c r="M2576" i="1"/>
  <c r="P2575" i="1"/>
  <c r="O2575" i="1"/>
  <c r="N2575" i="1"/>
  <c r="M2575" i="1"/>
  <c r="P2574" i="1"/>
  <c r="O2574" i="1"/>
  <c r="N2574" i="1"/>
  <c r="M2574" i="1"/>
  <c r="P2573" i="1"/>
  <c r="O2573" i="1"/>
  <c r="N2573" i="1"/>
  <c r="M2573" i="1"/>
  <c r="P2572" i="1"/>
  <c r="O2572" i="1"/>
  <c r="N2572" i="1"/>
  <c r="M2572" i="1"/>
  <c r="P2571" i="1"/>
  <c r="O2571" i="1"/>
  <c r="N2571" i="1"/>
  <c r="M2571" i="1"/>
  <c r="P2570" i="1"/>
  <c r="O2570" i="1"/>
  <c r="N2570" i="1"/>
  <c r="M2570" i="1"/>
  <c r="P2569" i="1"/>
  <c r="O2569" i="1"/>
  <c r="N2569" i="1"/>
  <c r="M2569" i="1"/>
  <c r="P2568" i="1"/>
  <c r="O2568" i="1"/>
  <c r="N2568" i="1"/>
  <c r="M2568" i="1"/>
  <c r="P2567" i="1"/>
  <c r="O2567" i="1"/>
  <c r="N2567" i="1"/>
  <c r="M2567" i="1"/>
  <c r="P2566" i="1"/>
  <c r="O2566" i="1"/>
  <c r="N2566" i="1"/>
  <c r="M2566" i="1"/>
  <c r="M53" i="14"/>
  <c r="G53" i="14"/>
  <c r="H53" i="14"/>
  <c r="L53" i="14"/>
  <c r="F53" i="14"/>
  <c r="P2565" i="1"/>
  <c r="O2565" i="1"/>
  <c r="N2565" i="1"/>
  <c r="M2565" i="1"/>
  <c r="P2564" i="1"/>
  <c r="O2564" i="1"/>
  <c r="N2564" i="1"/>
  <c r="M2564" i="1"/>
  <c r="P2563" i="1"/>
  <c r="O2563" i="1"/>
  <c r="N2563" i="1"/>
  <c r="M2563" i="1"/>
  <c r="P2562" i="1"/>
  <c r="O2562" i="1"/>
  <c r="N2562" i="1"/>
  <c r="M2562" i="1"/>
  <c r="P2561" i="1"/>
  <c r="O2561" i="1"/>
  <c r="N2561" i="1"/>
  <c r="M2561" i="1"/>
  <c r="P2560" i="1"/>
  <c r="O2560" i="1"/>
  <c r="N2560" i="1"/>
  <c r="M2560" i="1"/>
  <c r="P2559" i="1"/>
  <c r="O2559" i="1"/>
  <c r="N2559" i="1"/>
  <c r="M2559" i="1"/>
  <c r="O2558" i="1"/>
  <c r="N2558" i="1"/>
  <c r="M2558" i="1"/>
  <c r="P2557" i="1"/>
  <c r="O2557" i="1"/>
  <c r="N2557" i="1"/>
  <c r="M2557" i="1"/>
  <c r="O2556" i="1"/>
  <c r="N2556" i="1"/>
  <c r="M2556" i="1"/>
  <c r="P2556" i="1"/>
  <c r="P2555" i="1"/>
  <c r="O2555" i="1"/>
  <c r="N2555" i="1"/>
  <c r="M2555" i="1"/>
  <c r="M52" i="14"/>
  <c r="G52" i="14"/>
  <c r="H52" i="14"/>
  <c r="L52" i="14"/>
  <c r="F52" i="14"/>
  <c r="P2554" i="1"/>
  <c r="O2554" i="1"/>
  <c r="N2554" i="1"/>
  <c r="M2554" i="1"/>
  <c r="M51" i="14"/>
  <c r="G51" i="14"/>
  <c r="H51" i="14"/>
  <c r="L51" i="14"/>
  <c r="F51" i="14"/>
  <c r="P2553" i="1"/>
  <c r="O2553" i="1"/>
  <c r="N2553" i="1"/>
  <c r="M2553" i="1"/>
  <c r="P2552" i="1"/>
  <c r="O2552" i="1"/>
  <c r="N2552" i="1"/>
  <c r="M2552" i="1"/>
  <c r="P2551" i="1"/>
  <c r="O2551" i="1"/>
  <c r="N2551" i="1"/>
  <c r="M2551" i="1"/>
  <c r="P2550" i="1"/>
  <c r="O2550" i="1"/>
  <c r="N2550" i="1"/>
  <c r="M2550" i="1"/>
  <c r="P2549" i="1"/>
  <c r="O2549" i="1"/>
  <c r="N2549" i="1"/>
  <c r="M2549" i="1"/>
  <c r="P2548" i="1"/>
  <c r="O2548" i="1"/>
  <c r="N2548" i="1"/>
  <c r="M2548" i="1"/>
  <c r="P2547" i="1"/>
  <c r="O2547" i="1"/>
  <c r="N2547" i="1"/>
  <c r="M2547" i="1"/>
  <c r="P2546" i="1"/>
  <c r="O2546" i="1"/>
  <c r="N2546" i="1"/>
  <c r="M2546" i="1"/>
  <c r="BA141" i="9"/>
  <c r="BA140" i="9"/>
  <c r="BA137" i="9"/>
  <c r="BA136" i="9"/>
  <c r="C136" i="9"/>
  <c r="BA128" i="9"/>
  <c r="BA127" i="9"/>
  <c r="BA123" i="9"/>
  <c r="BA121" i="9"/>
  <c r="BA119" i="9"/>
  <c r="C119" i="9"/>
  <c r="BA113" i="9"/>
  <c r="BA108" i="9"/>
  <c r="BA103" i="9"/>
  <c r="BA98" i="9"/>
  <c r="BA96" i="9"/>
  <c r="BA95" i="9"/>
  <c r="C95" i="9"/>
  <c r="BA89" i="9"/>
  <c r="BA83" i="9"/>
  <c r="BA81" i="9"/>
  <c r="C81" i="9"/>
  <c r="BA79" i="9"/>
  <c r="BA75" i="9"/>
  <c r="BA73" i="9"/>
  <c r="BA72" i="9"/>
  <c r="BA68" i="9"/>
  <c r="BA63" i="9"/>
  <c r="BA58" i="9"/>
  <c r="BA51" i="9"/>
  <c r="BA49" i="9"/>
  <c r="BA48" i="9"/>
  <c r="BA34" i="9"/>
  <c r="BA32" i="9"/>
  <c r="BA31" i="9"/>
  <c r="BA30" i="9"/>
  <c r="BA29" i="9"/>
  <c r="BA28" i="9"/>
  <c r="BA27" i="9"/>
  <c r="BA26" i="9"/>
  <c r="BA25" i="9"/>
  <c r="BA24" i="9"/>
  <c r="C24" i="9"/>
  <c r="BA23" i="9"/>
  <c r="BA22" i="9"/>
  <c r="BA21" i="9"/>
  <c r="BA19" i="9"/>
  <c r="BA18" i="9"/>
  <c r="BA15" i="9"/>
  <c r="BA14" i="9"/>
  <c r="BA12" i="9"/>
  <c r="C12" i="9"/>
  <c r="BA9" i="9"/>
  <c r="P2545" i="1"/>
  <c r="O2545" i="1"/>
  <c r="N2545" i="1"/>
  <c r="M2545" i="1"/>
  <c r="P2544" i="1"/>
  <c r="O2544" i="1"/>
  <c r="N2544" i="1"/>
  <c r="M2544" i="1"/>
  <c r="P2543" i="1"/>
  <c r="O2543" i="1"/>
  <c r="N2543" i="1"/>
  <c r="M2543" i="1"/>
  <c r="N75" i="4"/>
  <c r="N74" i="4"/>
  <c r="N73" i="4"/>
  <c r="N72" i="4"/>
  <c r="N71" i="4"/>
  <c r="N70" i="4"/>
  <c r="N69" i="4"/>
  <c r="N68" i="4"/>
  <c r="N67" i="4"/>
  <c r="N66" i="4"/>
  <c r="N65" i="4"/>
  <c r="N64" i="4"/>
  <c r="N63" i="4"/>
  <c r="N62" i="4"/>
  <c r="N61" i="4"/>
  <c r="N60" i="4"/>
  <c r="N59" i="4"/>
  <c r="N58" i="4"/>
  <c r="N57" i="4"/>
  <c r="N56" i="4"/>
  <c r="P2542" i="1"/>
  <c r="O2542" i="1"/>
  <c r="N2542" i="1"/>
  <c r="M2542" i="1"/>
  <c r="P2541" i="1"/>
  <c r="O2541" i="1"/>
  <c r="N2541" i="1"/>
  <c r="M2541" i="1"/>
  <c r="P2540" i="1"/>
  <c r="O2540" i="1"/>
  <c r="N2540" i="1"/>
  <c r="M2540" i="1"/>
  <c r="P2539" i="1"/>
  <c r="O2539" i="1"/>
  <c r="N2539" i="1"/>
  <c r="M2539" i="1"/>
  <c r="P2538" i="1"/>
  <c r="O2538" i="1"/>
  <c r="N2538" i="1"/>
  <c r="M2538" i="1"/>
  <c r="M50" i="14"/>
  <c r="G50" i="14"/>
  <c r="H50" i="14"/>
  <c r="L50" i="14"/>
  <c r="F50" i="14"/>
  <c r="P2537" i="1"/>
  <c r="O2537" i="1"/>
  <c r="N2537" i="1"/>
  <c r="M2537" i="1"/>
  <c r="P2536" i="1"/>
  <c r="O2536" i="1"/>
  <c r="N2536" i="1"/>
  <c r="M2536" i="1"/>
  <c r="AL39" i="9"/>
  <c r="P2535" i="1"/>
  <c r="O2535" i="1"/>
  <c r="N2535" i="1"/>
  <c r="M2535" i="1"/>
  <c r="P2534" i="1"/>
  <c r="O2534" i="1"/>
  <c r="N2534" i="1"/>
  <c r="M2534" i="1"/>
  <c r="O2533" i="1"/>
  <c r="N2533" i="1"/>
  <c r="M2533" i="1"/>
  <c r="P2532" i="1"/>
  <c r="O2532" i="1"/>
  <c r="N2532" i="1"/>
  <c r="M2532" i="1"/>
  <c r="P2531" i="1"/>
  <c r="O2531" i="1"/>
  <c r="N2531" i="1"/>
  <c r="M2531" i="1"/>
  <c r="AM87" i="9"/>
  <c r="P2530" i="1"/>
  <c r="O2530" i="1"/>
  <c r="N2530" i="1"/>
  <c r="M2530" i="1"/>
  <c r="P2529" i="1"/>
  <c r="O2529" i="1"/>
  <c r="N2529" i="1"/>
  <c r="M2529" i="1"/>
  <c r="O2528" i="1"/>
  <c r="N2528" i="1"/>
  <c r="M2528" i="1"/>
  <c r="P2528" i="1"/>
  <c r="P2527" i="1"/>
  <c r="O2527" i="1"/>
  <c r="N2527" i="1"/>
  <c r="M2527" i="1"/>
  <c r="P2526" i="1"/>
  <c r="O2526" i="1"/>
  <c r="N2526" i="1"/>
  <c r="M2526" i="1"/>
  <c r="P2525" i="1"/>
  <c r="O2525" i="1"/>
  <c r="N2525" i="1"/>
  <c r="M2525" i="1"/>
  <c r="P2524" i="1"/>
  <c r="O2524" i="1"/>
  <c r="N2524" i="1"/>
  <c r="M2524" i="1"/>
  <c r="AL94" i="9"/>
  <c r="BA94" i="9"/>
  <c r="C94" i="9"/>
  <c r="P2523" i="1"/>
  <c r="O2523" i="1"/>
  <c r="N2523" i="1"/>
  <c r="M2523" i="1"/>
  <c r="P2522" i="1"/>
  <c r="O2522" i="1"/>
  <c r="N2522" i="1"/>
  <c r="M2522" i="1"/>
  <c r="P2521" i="1"/>
  <c r="O2521" i="1"/>
  <c r="N2521" i="1"/>
  <c r="M2521" i="1"/>
  <c r="P2520" i="1"/>
  <c r="O2520" i="1"/>
  <c r="N2520" i="1"/>
  <c r="M2520" i="1"/>
  <c r="P2519" i="1"/>
  <c r="O2519" i="1"/>
  <c r="N2519" i="1"/>
  <c r="M2519" i="1"/>
  <c r="P2518" i="1"/>
  <c r="O2518" i="1"/>
  <c r="N2518" i="1"/>
  <c r="M2518" i="1"/>
  <c r="M49" i="14"/>
  <c r="G49" i="14"/>
  <c r="H49" i="14"/>
  <c r="L49" i="14"/>
  <c r="F49" i="14"/>
  <c r="P2517" i="1"/>
  <c r="O2517" i="1"/>
  <c r="N2517" i="1"/>
  <c r="M2517" i="1"/>
  <c r="AL77" i="9"/>
  <c r="P2516" i="1"/>
  <c r="O2516" i="1"/>
  <c r="N2516" i="1"/>
  <c r="M2516" i="1"/>
  <c r="P2515" i="1"/>
  <c r="O2515" i="1"/>
  <c r="N2515" i="1"/>
  <c r="M2515" i="1"/>
  <c r="P2514" i="1"/>
  <c r="O2514" i="1"/>
  <c r="N2514" i="1"/>
  <c r="M2514" i="1"/>
  <c r="P2513" i="1"/>
  <c r="O2513" i="1"/>
  <c r="N2513" i="1"/>
  <c r="M2513" i="1"/>
  <c r="AM57" i="9"/>
  <c r="AM143" i="9"/>
  <c r="AN143" i="5"/>
  <c r="P2512" i="1"/>
  <c r="O2512" i="1"/>
  <c r="N2512" i="1"/>
  <c r="M2512" i="1"/>
  <c r="P2511" i="1"/>
  <c r="O2511" i="1"/>
  <c r="N2511" i="1"/>
  <c r="M2511" i="1"/>
  <c r="AL131" i="9"/>
  <c r="P2510" i="1"/>
  <c r="O2510" i="1"/>
  <c r="N2510" i="1"/>
  <c r="M2510" i="1"/>
  <c r="P2509" i="1"/>
  <c r="O2509" i="1"/>
  <c r="N2509" i="1"/>
  <c r="M2509" i="1"/>
  <c r="P2508" i="1"/>
  <c r="O2508" i="1"/>
  <c r="N2508" i="1"/>
  <c r="M2508" i="1"/>
  <c r="P2507" i="1"/>
  <c r="O2507" i="1"/>
  <c r="N2507" i="1"/>
  <c r="M2507" i="1"/>
  <c r="P2506" i="1"/>
  <c r="O2506" i="1"/>
  <c r="N2506" i="1"/>
  <c r="M2506" i="1"/>
  <c r="P2505" i="1"/>
  <c r="O2505" i="1"/>
  <c r="N2505" i="1"/>
  <c r="M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AD4" i="4"/>
  <c r="AD5" i="4"/>
  <c r="AD6" i="4"/>
  <c r="AD7" i="4"/>
  <c r="AD8" i="4"/>
  <c r="AD9" i="4"/>
  <c r="AD10" i="4"/>
  <c r="AD11" i="4"/>
  <c r="AD12" i="4"/>
  <c r="AD13" i="4"/>
  <c r="AD14"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43" i="4"/>
  <c r="AD44" i="4"/>
  <c r="AD45" i="4"/>
  <c r="AD46" i="4"/>
  <c r="AD47" i="4"/>
  <c r="AD48" i="4"/>
  <c r="AD49" i="4"/>
  <c r="AD50" i="4"/>
  <c r="AD51" i="4"/>
  <c r="AD52" i="4"/>
  <c r="AD53" i="4"/>
  <c r="AD54" i="4"/>
  <c r="AD55" i="4"/>
  <c r="AD56" i="4"/>
  <c r="AD57" i="4"/>
  <c r="AD58" i="4"/>
  <c r="AD59" i="4"/>
  <c r="AD60" i="4"/>
  <c r="AD61" i="4"/>
  <c r="AD62" i="4"/>
  <c r="AD63" i="4"/>
  <c r="AD64" i="4"/>
  <c r="AD65" i="4"/>
  <c r="AD66" i="4"/>
  <c r="AD67" i="4"/>
  <c r="AD68" i="4"/>
  <c r="AD69" i="4"/>
  <c r="AD70" i="4"/>
  <c r="AD71" i="4"/>
  <c r="AD72" i="4"/>
  <c r="AD73" i="4"/>
  <c r="AD74" i="4"/>
  <c r="AD75" i="4"/>
  <c r="AI4" i="4"/>
  <c r="AI5" i="4"/>
  <c r="AI6" i="4"/>
  <c r="AI7" i="4"/>
  <c r="AI8" i="4"/>
  <c r="AI9" i="4"/>
  <c r="AI10" i="4"/>
  <c r="AI11" i="4"/>
  <c r="AI12" i="4"/>
  <c r="AI13" i="4"/>
  <c r="AI14"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L18" i="4"/>
  <c r="AL20" i="4"/>
  <c r="AN4" i="4"/>
  <c r="AN5" i="4"/>
  <c r="AN6" i="4"/>
  <c r="AN7" i="4"/>
  <c r="AN8" i="4"/>
  <c r="AN9" i="4"/>
  <c r="AN10" i="4"/>
  <c r="AN11" i="4"/>
  <c r="AN12" i="4"/>
  <c r="AN13" i="4"/>
  <c r="AN14" i="4"/>
  <c r="AN15" i="4"/>
  <c r="AN16" i="4"/>
  <c r="AN17" i="4"/>
  <c r="AN18" i="4"/>
  <c r="AN19" i="4"/>
  <c r="AN20" i="4"/>
  <c r="AN21" i="4"/>
  <c r="AN22" i="4"/>
  <c r="AN23" i="4"/>
  <c r="AN24" i="4"/>
  <c r="AN25" i="4"/>
  <c r="AN26" i="4"/>
  <c r="AN27" i="4"/>
  <c r="AN28" i="4"/>
  <c r="AN29" i="4"/>
  <c r="AN30" i="4"/>
  <c r="AN31" i="4"/>
  <c r="AN32" i="4"/>
  <c r="AN33" i="4"/>
  <c r="AN34" i="4"/>
  <c r="AN35" i="4"/>
  <c r="AN36" i="4"/>
  <c r="AN37" i="4"/>
  <c r="AN38" i="4"/>
  <c r="AN39" i="4"/>
  <c r="AN40" i="4"/>
  <c r="AN41" i="4"/>
  <c r="AN42" i="4"/>
  <c r="AN43" i="4"/>
  <c r="AN44" i="4"/>
  <c r="AN45" i="4"/>
  <c r="AN46" i="4"/>
  <c r="AN47" i="4"/>
  <c r="AN48" i="4"/>
  <c r="AN49" i="4"/>
  <c r="AN50" i="4"/>
  <c r="AN51" i="4"/>
  <c r="AN52" i="4"/>
  <c r="AN53" i="4"/>
  <c r="AN54" i="4"/>
  <c r="AN55" i="4"/>
  <c r="AN56" i="4"/>
  <c r="AN57" i="4"/>
  <c r="AN58" i="4"/>
  <c r="AN59" i="4"/>
  <c r="AN60" i="4"/>
  <c r="AN61" i="4"/>
  <c r="AN62" i="4"/>
  <c r="AN63" i="4"/>
  <c r="AN64" i="4"/>
  <c r="AN65" i="4"/>
  <c r="AN66" i="4"/>
  <c r="AN67" i="4"/>
  <c r="AN68" i="4"/>
  <c r="AN69" i="4"/>
  <c r="AN70" i="4"/>
  <c r="AN71" i="4"/>
  <c r="AN72" i="4"/>
  <c r="AN73" i="4"/>
  <c r="AN74" i="4"/>
  <c r="AN75" i="4"/>
  <c r="AQ12" i="4"/>
  <c r="P2504" i="1"/>
  <c r="O2504" i="1"/>
  <c r="N2504" i="1"/>
  <c r="M2504" i="1"/>
  <c r="P2503" i="1"/>
  <c r="O2503" i="1"/>
  <c r="N2503" i="1"/>
  <c r="M2503" i="1"/>
  <c r="P2502" i="1"/>
  <c r="O2502" i="1"/>
  <c r="N2502" i="1"/>
  <c r="M2502" i="1"/>
  <c r="P2501" i="1"/>
  <c r="O2501" i="1"/>
  <c r="N2501" i="1"/>
  <c r="M2501" i="1"/>
  <c r="P2500" i="1"/>
  <c r="O2500" i="1"/>
  <c r="N2500" i="1"/>
  <c r="M2500" i="1"/>
  <c r="P2499" i="1"/>
  <c r="O2499" i="1"/>
  <c r="N2499" i="1"/>
  <c r="M2499" i="1"/>
  <c r="P2498" i="1"/>
  <c r="O2498" i="1"/>
  <c r="N2498" i="1"/>
  <c r="M2498" i="1"/>
  <c r="P2497" i="1"/>
  <c r="O2497" i="1"/>
  <c r="N2497" i="1"/>
  <c r="M2497" i="1"/>
  <c r="P2496" i="1"/>
  <c r="O2496" i="1"/>
  <c r="N2496" i="1"/>
  <c r="M2496" i="1"/>
  <c r="P2495" i="1"/>
  <c r="O2495" i="1"/>
  <c r="N2495" i="1"/>
  <c r="M2495" i="1"/>
  <c r="M48" i="14"/>
  <c r="G48" i="14"/>
  <c r="H48" i="14"/>
  <c r="L48" i="14"/>
  <c r="F48" i="14"/>
  <c r="AL87" i="9"/>
  <c r="P2494" i="1"/>
  <c r="O2494" i="1"/>
  <c r="N2494" i="1"/>
  <c r="M2494" i="1"/>
  <c r="AC15" i="12"/>
  <c r="AC14" i="12"/>
  <c r="AC13" i="12"/>
  <c r="AC12" i="12"/>
  <c r="AC11" i="12"/>
  <c r="AC10" i="12"/>
  <c r="AC9" i="12"/>
  <c r="AC8" i="12"/>
  <c r="AC7" i="12"/>
  <c r="AC6" i="12"/>
  <c r="AC5" i="12"/>
  <c r="AC4" i="12"/>
  <c r="AC3" i="12"/>
  <c r="F1" i="9"/>
  <c r="G1" i="9"/>
  <c r="H1" i="9"/>
  <c r="I1" i="9"/>
  <c r="F4" i="14"/>
  <c r="F5" i="14"/>
  <c r="A6" i="14"/>
  <c r="F37" i="14"/>
  <c r="F38" i="14"/>
  <c r="F39" i="14"/>
  <c r="F40" i="14"/>
  <c r="F41" i="14"/>
  <c r="F42" i="14"/>
  <c r="F43" i="14"/>
  <c r="F44" i="14"/>
  <c r="F45" i="14"/>
  <c r="F46" i="14"/>
  <c r="F47" i="14"/>
  <c r="G37" i="14"/>
  <c r="G38" i="14"/>
  <c r="H38" i="14"/>
  <c r="L38" i="14"/>
  <c r="G39" i="14"/>
  <c r="H39" i="14"/>
  <c r="L39" i="14"/>
  <c r="G40" i="14"/>
  <c r="H40" i="14"/>
  <c r="L40" i="14"/>
  <c r="G41" i="14"/>
  <c r="H41" i="14"/>
  <c r="L41" i="14"/>
  <c r="G42" i="14"/>
  <c r="H42" i="14"/>
  <c r="L42" i="14"/>
  <c r="G43" i="14"/>
  <c r="H43" i="14"/>
  <c r="L43" i="14"/>
  <c r="G44" i="14"/>
  <c r="H44" i="14"/>
  <c r="L44" i="14"/>
  <c r="G45" i="14"/>
  <c r="H45" i="14"/>
  <c r="L45" i="14"/>
  <c r="G46" i="14"/>
  <c r="H46" i="14"/>
  <c r="L46" i="14"/>
  <c r="G47" i="14"/>
  <c r="H47" i="14"/>
  <c r="L47" i="14"/>
  <c r="AK20" i="9"/>
  <c r="AK54" i="9"/>
  <c r="AK60" i="9"/>
  <c r="AK61" i="9"/>
  <c r="AK66" i="9"/>
  <c r="AK69" i="9"/>
  <c r="AK74" i="9"/>
  <c r="AK93" i="9"/>
  <c r="AK102" i="9"/>
  <c r="AK107" i="9"/>
  <c r="AK118" i="9"/>
  <c r="AK126" i="9"/>
  <c r="BA74" i="9"/>
  <c r="AE149" i="9"/>
  <c r="AF149" i="9"/>
  <c r="AG149" i="9"/>
  <c r="AH149" i="9"/>
  <c r="AE76" i="9"/>
  <c r="AE93" i="9"/>
  <c r="AE102" i="9"/>
  <c r="AC2" i="9"/>
  <c r="AC13" i="9"/>
  <c r="AC20" i="9"/>
  <c r="AC33" i="9"/>
  <c r="AC39" i="9"/>
  <c r="AC40" i="9"/>
  <c r="AC43" i="9"/>
  <c r="AC47" i="9"/>
  <c r="AC52" i="9"/>
  <c r="AC53" i="9"/>
  <c r="AC54" i="9"/>
  <c r="AC55" i="9"/>
  <c r="AC57" i="9"/>
  <c r="AC60" i="9"/>
  <c r="AC61" i="9"/>
  <c r="AC64" i="9"/>
  <c r="AC65" i="9"/>
  <c r="AC66" i="9"/>
  <c r="AC69" i="9"/>
  <c r="AC76" i="9"/>
  <c r="AC77" i="9"/>
  <c r="AC84" i="9"/>
  <c r="AC87" i="9"/>
  <c r="AC92" i="9"/>
  <c r="AC97" i="9"/>
  <c r="BA97" i="9"/>
  <c r="AC102" i="9"/>
  <c r="AC104" i="9"/>
  <c r="AC114" i="9"/>
  <c r="AC115" i="9"/>
  <c r="AC117" i="9"/>
  <c r="AC118" i="9"/>
  <c r="AC120" i="9"/>
  <c r="AC126" i="9"/>
  <c r="AC129" i="9"/>
  <c r="AC132" i="9"/>
  <c r="AC133" i="9"/>
  <c r="AC134" i="9"/>
  <c r="M47" i="14"/>
  <c r="P2493" i="1"/>
  <c r="O2493" i="1"/>
  <c r="N2493" i="1"/>
  <c r="M2493" i="1"/>
  <c r="P2492" i="1"/>
  <c r="O2492" i="1"/>
  <c r="N2492" i="1"/>
  <c r="M2492" i="1"/>
  <c r="P2491" i="1"/>
  <c r="O2491" i="1"/>
  <c r="N2491" i="1"/>
  <c r="M2491" i="1"/>
  <c r="P2490" i="1"/>
  <c r="O2490" i="1"/>
  <c r="N2490" i="1"/>
  <c r="M2490" i="1"/>
  <c r="P2489" i="1"/>
  <c r="O2489" i="1"/>
  <c r="N2489" i="1"/>
  <c r="M2489" i="1"/>
  <c r="P2488" i="1"/>
  <c r="O2488" i="1"/>
  <c r="N2488" i="1"/>
  <c r="M2488" i="1"/>
  <c r="AL61" i="9"/>
  <c r="P2487" i="1"/>
  <c r="O2487" i="1"/>
  <c r="N2487" i="1"/>
  <c r="M2487" i="1"/>
  <c r="P2486" i="1"/>
  <c r="O2486" i="1"/>
  <c r="N2486" i="1"/>
  <c r="M2486" i="1"/>
  <c r="P2485" i="1"/>
  <c r="O2485" i="1"/>
  <c r="N2485" i="1"/>
  <c r="M2485" i="1"/>
  <c r="P2484" i="1"/>
  <c r="O2484" i="1"/>
  <c r="N2484" i="1"/>
  <c r="M2484" i="1"/>
  <c r="P2483" i="1"/>
  <c r="O2483" i="1"/>
  <c r="N2483" i="1"/>
  <c r="M2483" i="1"/>
  <c r="P2482" i="1"/>
  <c r="O2482" i="1"/>
  <c r="N2482" i="1"/>
  <c r="M2482" i="1"/>
  <c r="AL93" i="9"/>
  <c r="P2481" i="1"/>
  <c r="O2481" i="1"/>
  <c r="N2481" i="1"/>
  <c r="M2481" i="1"/>
  <c r="P2480" i="1"/>
  <c r="O2480" i="1"/>
  <c r="N2480" i="1"/>
  <c r="M2480" i="1"/>
  <c r="P2479" i="1"/>
  <c r="O2479" i="1"/>
  <c r="N2479" i="1"/>
  <c r="M2479" i="1"/>
  <c r="P2478" i="1"/>
  <c r="O2478" i="1"/>
  <c r="N2478" i="1"/>
  <c r="M2478" i="1"/>
  <c r="AL91" i="9"/>
  <c r="P2477" i="1"/>
  <c r="O2477" i="1"/>
  <c r="N2477" i="1"/>
  <c r="M2477" i="1"/>
  <c r="AL92" i="9"/>
  <c r="P2476" i="1"/>
  <c r="O2476" i="1"/>
  <c r="N2476" i="1"/>
  <c r="M2476" i="1"/>
  <c r="P2475" i="1"/>
  <c r="O2475" i="1"/>
  <c r="N2475" i="1"/>
  <c r="M2475" i="1"/>
  <c r="P2474" i="1"/>
  <c r="O2474" i="1"/>
  <c r="N2474" i="1"/>
  <c r="M2474" i="1"/>
  <c r="P2473" i="1"/>
  <c r="O2473" i="1"/>
  <c r="N2473" i="1"/>
  <c r="M2473" i="1"/>
  <c r="AL5" i="9"/>
  <c r="BA5" i="9"/>
  <c r="P2472" i="1"/>
  <c r="O2472" i="1"/>
  <c r="N2472" i="1"/>
  <c r="M2472" i="1"/>
  <c r="P2471" i="1"/>
  <c r="O2471" i="1"/>
  <c r="N2471" i="1"/>
  <c r="M2471" i="1"/>
  <c r="AL115" i="9"/>
  <c r="P2470" i="1"/>
  <c r="O2470" i="1"/>
  <c r="N2470" i="1"/>
  <c r="M2470" i="1"/>
  <c r="P2469" i="1"/>
  <c r="O2469" i="1"/>
  <c r="N2469" i="1"/>
  <c r="M2469" i="1"/>
  <c r="P2468" i="1"/>
  <c r="O2468" i="1"/>
  <c r="N2468" i="1"/>
  <c r="M2468" i="1"/>
  <c r="AL76" i="9"/>
  <c r="P2467" i="1"/>
  <c r="O2467" i="1"/>
  <c r="N2467" i="1"/>
  <c r="M2467" i="1"/>
  <c r="AL133" i="9"/>
  <c r="P2466" i="1"/>
  <c r="O2466" i="1"/>
  <c r="N2466" i="1"/>
  <c r="M2466" i="1"/>
  <c r="AL46" i="9"/>
  <c r="P2465" i="1"/>
  <c r="O2465" i="1"/>
  <c r="N2465" i="1"/>
  <c r="M2465" i="1"/>
  <c r="P2464" i="1"/>
  <c r="O2464" i="1"/>
  <c r="N2464" i="1"/>
  <c r="M2464" i="1"/>
  <c r="AL56" i="9"/>
  <c r="P2463" i="1"/>
  <c r="O2463" i="1"/>
  <c r="N2463" i="1"/>
  <c r="M2463" i="1"/>
  <c r="AL57" i="9"/>
  <c r="P2462" i="1"/>
  <c r="O2462" i="1"/>
  <c r="N2462" i="1"/>
  <c r="M2462" i="1"/>
  <c r="M46" i="14"/>
  <c r="P2461" i="1"/>
  <c r="O2461" i="1"/>
  <c r="N2461" i="1"/>
  <c r="M2461" i="1"/>
  <c r="P2460" i="1"/>
  <c r="O2460" i="1"/>
  <c r="N2460" i="1"/>
  <c r="M2460" i="1"/>
  <c r="P2459" i="1"/>
  <c r="O2459" i="1"/>
  <c r="N2459" i="1"/>
  <c r="M2459" i="1"/>
  <c r="AL47" i="9"/>
  <c r="P2458" i="1"/>
  <c r="O2458" i="1"/>
  <c r="N2458" i="1"/>
  <c r="M2458" i="1"/>
  <c r="AL62" i="9"/>
  <c r="BA62" i="9"/>
  <c r="P2457" i="1"/>
  <c r="O2457" i="1"/>
  <c r="N2457" i="1"/>
  <c r="M2457" i="1"/>
  <c r="P2456" i="1"/>
  <c r="O2456" i="1"/>
  <c r="N2456" i="1"/>
  <c r="M2456" i="1"/>
  <c r="AL6" i="9"/>
  <c r="P2455" i="1"/>
  <c r="O2455" i="1"/>
  <c r="N2455" i="1"/>
  <c r="M2455" i="1"/>
  <c r="AL126" i="9"/>
  <c r="P2454" i="1"/>
  <c r="O2454" i="1"/>
  <c r="N2454" i="1"/>
  <c r="M2454" i="1"/>
  <c r="P2453" i="1"/>
  <c r="O2453" i="1"/>
  <c r="N2453" i="1"/>
  <c r="M2453" i="1"/>
  <c r="P2452" i="1"/>
  <c r="O2452" i="1"/>
  <c r="N2452" i="1"/>
  <c r="M2452" i="1"/>
  <c r="P2451" i="1"/>
  <c r="O2451" i="1"/>
  <c r="N2451" i="1"/>
  <c r="M2451" i="1"/>
  <c r="P2450" i="1"/>
  <c r="O2450" i="1"/>
  <c r="N2450" i="1"/>
  <c r="M2450" i="1"/>
  <c r="AL60" i="9"/>
  <c r="P2449" i="1"/>
  <c r="O2449" i="1"/>
  <c r="N2449" i="1"/>
  <c r="M2449" i="1"/>
  <c r="AL104" i="9"/>
  <c r="P2448" i="1"/>
  <c r="O2448" i="1"/>
  <c r="N2448" i="1"/>
  <c r="M2448" i="1"/>
  <c r="P2447" i="1"/>
  <c r="O2447" i="1"/>
  <c r="N2447" i="1"/>
  <c r="M2447" i="1"/>
  <c r="AL33" i="9"/>
  <c r="P2446" i="1"/>
  <c r="O2446" i="1"/>
  <c r="N2446" i="1"/>
  <c r="M2446" i="1"/>
  <c r="AL66" i="9"/>
  <c r="P2445" i="1"/>
  <c r="O2445" i="1"/>
  <c r="N2445" i="1"/>
  <c r="M2445" i="1"/>
  <c r="AL52" i="9"/>
  <c r="P2444" i="1"/>
  <c r="O2444" i="1"/>
  <c r="N2444" i="1"/>
  <c r="M2444" i="1"/>
  <c r="AL64" i="9"/>
  <c r="P2443" i="1"/>
  <c r="O2443" i="1"/>
  <c r="N2443" i="1"/>
  <c r="M2443" i="1"/>
  <c r="AL59" i="9"/>
  <c r="P2442" i="1"/>
  <c r="O2442" i="1"/>
  <c r="N2442" i="1"/>
  <c r="M2442" i="1"/>
  <c r="P2441" i="1"/>
  <c r="O2441" i="1"/>
  <c r="N2441" i="1"/>
  <c r="M2441" i="1"/>
  <c r="O2440" i="1"/>
  <c r="N2440" i="1"/>
  <c r="M2440" i="1"/>
  <c r="P2440" i="1"/>
  <c r="P2439" i="1"/>
  <c r="O2439" i="1"/>
  <c r="N2439" i="1"/>
  <c r="M2439" i="1"/>
  <c r="AL84" i="9"/>
  <c r="AL118" i="9"/>
  <c r="P2438" i="1"/>
  <c r="O2438" i="1"/>
  <c r="N2438" i="1"/>
  <c r="M2438" i="1"/>
  <c r="AL111" i="9"/>
  <c r="BA111" i="9"/>
  <c r="P2437" i="1"/>
  <c r="O2437" i="1"/>
  <c r="N2437" i="1"/>
  <c r="M2437" i="1"/>
  <c r="AL54" i="9"/>
  <c r="P2436" i="1"/>
  <c r="O2436" i="1"/>
  <c r="N2436" i="1"/>
  <c r="M2436" i="1"/>
  <c r="AL35" i="9"/>
  <c r="P2435" i="1"/>
  <c r="O2435" i="1"/>
  <c r="N2435" i="1"/>
  <c r="M2435" i="1"/>
  <c r="P2434" i="1"/>
  <c r="O2434" i="1"/>
  <c r="N2434" i="1"/>
  <c r="M2434" i="1"/>
  <c r="AL85" i="9"/>
  <c r="P2433" i="1"/>
  <c r="O2433" i="1"/>
  <c r="N2433" i="1"/>
  <c r="M2433" i="1"/>
  <c r="F43" i="8"/>
  <c r="H43" i="8"/>
  <c r="BA37" i="5"/>
  <c r="AZ37" i="5"/>
  <c r="AY37" i="5"/>
  <c r="AX37" i="5"/>
  <c r="AW37" i="5"/>
  <c r="AV37" i="5"/>
  <c r="AU37" i="5"/>
  <c r="AT37" i="5"/>
  <c r="AS37" i="5"/>
  <c r="AR37" i="5"/>
  <c r="AQ37" i="5"/>
  <c r="AP37" i="5"/>
  <c r="AO37" i="5"/>
  <c r="AN37" i="5"/>
  <c r="AL42" i="9"/>
  <c r="AL37" i="5"/>
  <c r="AK37" i="5"/>
  <c r="AJ37" i="5"/>
  <c r="AI37"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G37" i="5"/>
  <c r="F37" i="5"/>
  <c r="E37" i="5"/>
  <c r="AL20" i="9"/>
  <c r="AL13" i="9"/>
  <c r="P2432" i="1"/>
  <c r="O2432" i="1"/>
  <c r="N2432" i="1"/>
  <c r="M2432" i="1"/>
  <c r="AL53" i="9"/>
  <c r="P2431" i="1"/>
  <c r="O2431" i="1"/>
  <c r="N2431" i="1"/>
  <c r="M2431" i="1"/>
  <c r="AL40" i="9"/>
  <c r="AL114" i="9"/>
  <c r="AL134" i="9"/>
  <c r="P2430" i="1"/>
  <c r="O2430" i="1"/>
  <c r="N2430" i="1"/>
  <c r="M2430" i="1"/>
  <c r="P2429" i="1"/>
  <c r="O2429" i="1"/>
  <c r="N2429" i="1"/>
  <c r="M2429" i="1"/>
  <c r="AL120" i="9"/>
  <c r="P2428" i="1"/>
  <c r="O2428" i="1"/>
  <c r="N2428" i="1"/>
  <c r="M2428" i="1"/>
  <c r="P2427" i="1"/>
  <c r="O2427" i="1"/>
  <c r="N2427" i="1"/>
  <c r="M2427" i="1"/>
  <c r="M45" i="14"/>
  <c r="P2426" i="1"/>
  <c r="O2426" i="1"/>
  <c r="N2426" i="1"/>
  <c r="M2426" i="1"/>
  <c r="P2425" i="1"/>
  <c r="O2425" i="1"/>
  <c r="N2425" i="1"/>
  <c r="M2425" i="1"/>
  <c r="P2424" i="1"/>
  <c r="O2424" i="1"/>
  <c r="N2424" i="1"/>
  <c r="M2424" i="1"/>
  <c r="P2423" i="1"/>
  <c r="O2423" i="1"/>
  <c r="N2423" i="1"/>
  <c r="M2423" i="1"/>
  <c r="P2422" i="1"/>
  <c r="O2422" i="1"/>
  <c r="N2422" i="1"/>
  <c r="M2422" i="1"/>
  <c r="P2421" i="1"/>
  <c r="O2421" i="1"/>
  <c r="N2421" i="1"/>
  <c r="M2421" i="1"/>
  <c r="P2420" i="1"/>
  <c r="O2420" i="1"/>
  <c r="N2420" i="1"/>
  <c r="M2420" i="1"/>
  <c r="M44" i="14"/>
  <c r="M43" i="14"/>
  <c r="M42" i="14"/>
  <c r="M41" i="14"/>
  <c r="M40" i="14"/>
  <c r="M39" i="14"/>
  <c r="M38" i="14"/>
  <c r="M37" i="14"/>
  <c r="J28" i="14"/>
  <c r="L29" i="14"/>
  <c r="L31" i="14"/>
  <c r="L33" i="14"/>
  <c r="L35" i="14"/>
  <c r="L23" i="14"/>
  <c r="L25" i="14"/>
  <c r="L26" i="14"/>
  <c r="L27" i="14"/>
  <c r="J23" i="14"/>
  <c r="J25" i="14"/>
  <c r="J26" i="14"/>
  <c r="J27" i="14"/>
  <c r="P2419" i="1"/>
  <c r="O2419" i="1"/>
  <c r="N2419" i="1"/>
  <c r="M2419" i="1"/>
  <c r="P2418" i="1"/>
  <c r="O2418" i="1"/>
  <c r="N2418" i="1"/>
  <c r="M2418" i="1"/>
  <c r="P2417" i="1"/>
  <c r="O2417" i="1"/>
  <c r="N2417" i="1"/>
  <c r="M2417" i="1"/>
  <c r="P2416" i="1"/>
  <c r="O2416" i="1"/>
  <c r="N2416" i="1"/>
  <c r="M2416" i="1"/>
  <c r="P2415" i="1"/>
  <c r="O2415" i="1"/>
  <c r="N2415" i="1"/>
  <c r="M2415" i="1"/>
  <c r="P2414" i="1"/>
  <c r="O2414" i="1"/>
  <c r="N2414" i="1"/>
  <c r="M2414" i="1"/>
  <c r="P2413" i="1"/>
  <c r="O2413" i="1"/>
  <c r="N2413" i="1"/>
  <c r="M2413" i="1"/>
  <c r="P2412" i="1"/>
  <c r="O2412" i="1"/>
  <c r="N2412" i="1"/>
  <c r="M2412" i="1"/>
  <c r="P2411" i="1"/>
  <c r="O2411" i="1"/>
  <c r="N2411" i="1"/>
  <c r="M2411" i="1"/>
  <c r="P2410" i="1"/>
  <c r="O2410" i="1"/>
  <c r="N2410" i="1"/>
  <c r="M2410" i="1"/>
  <c r="P2409" i="1"/>
  <c r="O2409" i="1"/>
  <c r="N2409" i="1"/>
  <c r="M2409" i="1"/>
  <c r="P2408" i="1"/>
  <c r="O2408" i="1"/>
  <c r="N2408" i="1"/>
  <c r="M2408" i="1"/>
  <c r="P2407" i="1"/>
  <c r="O2407" i="1"/>
  <c r="N2407" i="1"/>
  <c r="M2407" i="1"/>
  <c r="P2406" i="1"/>
  <c r="O2406" i="1"/>
  <c r="N2406" i="1"/>
  <c r="M2406" i="1"/>
  <c r="P2405" i="1"/>
  <c r="O2405" i="1"/>
  <c r="N2405" i="1"/>
  <c r="M2405" i="1"/>
  <c r="P2404" i="1"/>
  <c r="O2404" i="1"/>
  <c r="N2404" i="1"/>
  <c r="M2404" i="1"/>
  <c r="P2403" i="1"/>
  <c r="O2403" i="1"/>
  <c r="N2403" i="1"/>
  <c r="M2403" i="1"/>
  <c r="P2402" i="1"/>
  <c r="O2402" i="1"/>
  <c r="N2402" i="1"/>
  <c r="M2402" i="1"/>
  <c r="P2401" i="1"/>
  <c r="O2401" i="1"/>
  <c r="N2401" i="1"/>
  <c r="M2401" i="1"/>
  <c r="AL65" i="9"/>
  <c r="P2400" i="1"/>
  <c r="O2400" i="1"/>
  <c r="N2400" i="1"/>
  <c r="M2400" i="1"/>
  <c r="P2399" i="1"/>
  <c r="O2399" i="1"/>
  <c r="N2399" i="1"/>
  <c r="M2399" i="1"/>
  <c r="P2398" i="1"/>
  <c r="O2398" i="1"/>
  <c r="N2398" i="1"/>
  <c r="M2398" i="1"/>
  <c r="P2397" i="1"/>
  <c r="O2397" i="1"/>
  <c r="N2397" i="1"/>
  <c r="M2397" i="1"/>
  <c r="P2396" i="1"/>
  <c r="O2396" i="1"/>
  <c r="N2396" i="1"/>
  <c r="M2396" i="1"/>
  <c r="P2395" i="1"/>
  <c r="O2395" i="1"/>
  <c r="N2395" i="1"/>
  <c r="M2395" i="1"/>
  <c r="P2392" i="1"/>
  <c r="P2394" i="1"/>
  <c r="O2394" i="1"/>
  <c r="N2394" i="1"/>
  <c r="M2394" i="1"/>
  <c r="P2393" i="1"/>
  <c r="O2393" i="1"/>
  <c r="N2393" i="1"/>
  <c r="M2393" i="1"/>
  <c r="O2392" i="1"/>
  <c r="N2392" i="1"/>
  <c r="M2392" i="1"/>
  <c r="P2391" i="1"/>
  <c r="O2391" i="1"/>
  <c r="N2391" i="1"/>
  <c r="M2391" i="1"/>
  <c r="P2390" i="1"/>
  <c r="O2390" i="1"/>
  <c r="N2390" i="1"/>
  <c r="M2390" i="1"/>
  <c r="P2389" i="1"/>
  <c r="O2389" i="1"/>
  <c r="N2389" i="1"/>
  <c r="M2389" i="1"/>
  <c r="P2388" i="1"/>
  <c r="O2388" i="1"/>
  <c r="N2388" i="1"/>
  <c r="M2388" i="1"/>
  <c r="P2387" i="1"/>
  <c r="O2387" i="1"/>
  <c r="N2387" i="1"/>
  <c r="M2387" i="1"/>
  <c r="P2386" i="1"/>
  <c r="O2386" i="1"/>
  <c r="N2386" i="1"/>
  <c r="M2386" i="1"/>
  <c r="I70" i="4"/>
  <c r="I69" i="4"/>
  <c r="I68" i="4"/>
  <c r="I67" i="4"/>
  <c r="I66" i="4"/>
  <c r="I65" i="4"/>
  <c r="I64" i="4"/>
  <c r="I63" i="4"/>
  <c r="I62" i="4"/>
  <c r="I61" i="4"/>
  <c r="I60" i="4"/>
  <c r="I59" i="4"/>
  <c r="I58" i="4"/>
  <c r="I57" i="4"/>
  <c r="I56" i="4"/>
  <c r="I55" i="4"/>
  <c r="P2385" i="1"/>
  <c r="O2385" i="1"/>
  <c r="N2385" i="1"/>
  <c r="M2385" i="1"/>
  <c r="P2384" i="1"/>
  <c r="O2384" i="1"/>
  <c r="N2384" i="1"/>
  <c r="M2384" i="1"/>
  <c r="P2383" i="1"/>
  <c r="O2383" i="1"/>
  <c r="N2383" i="1"/>
  <c r="M2383" i="1"/>
  <c r="P2382" i="1"/>
  <c r="O2382" i="1"/>
  <c r="N2382" i="1"/>
  <c r="M2382" i="1"/>
  <c r="P2381" i="1"/>
  <c r="O2381" i="1"/>
  <c r="N2381" i="1"/>
  <c r="M2381" i="1"/>
  <c r="P2380" i="1"/>
  <c r="O2380" i="1"/>
  <c r="N2380" i="1"/>
  <c r="M2380" i="1"/>
  <c r="P2379" i="1"/>
  <c r="O2379" i="1"/>
  <c r="N2379" i="1"/>
  <c r="M2379" i="1"/>
  <c r="P2378" i="1"/>
  <c r="O2378" i="1"/>
  <c r="N2378" i="1"/>
  <c r="M2378" i="1"/>
  <c r="P2377" i="1"/>
  <c r="O2377" i="1"/>
  <c r="N2377" i="1"/>
  <c r="M2377" i="1"/>
  <c r="P2376" i="1"/>
  <c r="O2376" i="1"/>
  <c r="N2376" i="1"/>
  <c r="M2376" i="1"/>
  <c r="P2375" i="1"/>
  <c r="O2375" i="1"/>
  <c r="N2375" i="1"/>
  <c r="M2375" i="1"/>
  <c r="P2374" i="1"/>
  <c r="O2374" i="1"/>
  <c r="N2374" i="1"/>
  <c r="M2374" i="1"/>
  <c r="P2373" i="1"/>
  <c r="O2373" i="1"/>
  <c r="N2373" i="1"/>
  <c r="M2373" i="1"/>
  <c r="P2372" i="1"/>
  <c r="O2372" i="1"/>
  <c r="N2372" i="1"/>
  <c r="M2372" i="1"/>
  <c r="P2371" i="1"/>
  <c r="O2371" i="1"/>
  <c r="N2371" i="1"/>
  <c r="M2371" i="1"/>
  <c r="P2370" i="1"/>
  <c r="O2370" i="1"/>
  <c r="N2370" i="1"/>
  <c r="M2370" i="1"/>
  <c r="P2369" i="1"/>
  <c r="O2369" i="1"/>
  <c r="N2369" i="1"/>
  <c r="M2369" i="1"/>
  <c r="P2368" i="1"/>
  <c r="O2368" i="1"/>
  <c r="N2368" i="1"/>
  <c r="M2368" i="1"/>
  <c r="P2367" i="1"/>
  <c r="O2367" i="1"/>
  <c r="N2367" i="1"/>
  <c r="M2367" i="1"/>
  <c r="P2366" i="1"/>
  <c r="O2366" i="1"/>
  <c r="N2366" i="1"/>
  <c r="M2366" i="1"/>
  <c r="P2365" i="1"/>
  <c r="O2365" i="1"/>
  <c r="N2365" i="1"/>
  <c r="M2365" i="1"/>
  <c r="P2364" i="1"/>
  <c r="O2364" i="1"/>
  <c r="N2364" i="1"/>
  <c r="M2364" i="1"/>
  <c r="P2363" i="1"/>
  <c r="O2363" i="1"/>
  <c r="N2363" i="1"/>
  <c r="M2363" i="1"/>
  <c r="P2362" i="1"/>
  <c r="O2362" i="1"/>
  <c r="N2362" i="1"/>
  <c r="M2362" i="1"/>
  <c r="P2361" i="1"/>
  <c r="O2361" i="1"/>
  <c r="N2361" i="1"/>
  <c r="M2361" i="1"/>
  <c r="P2360" i="1"/>
  <c r="O2360" i="1"/>
  <c r="N2360" i="1"/>
  <c r="M2360" i="1"/>
  <c r="P2359" i="1"/>
  <c r="O2359" i="1"/>
  <c r="N2359" i="1"/>
  <c r="M2359" i="1"/>
  <c r="P2358" i="1"/>
  <c r="O2358" i="1"/>
  <c r="N2358" i="1"/>
  <c r="M2358" i="1"/>
  <c r="P2357" i="1"/>
  <c r="O2357" i="1"/>
  <c r="N2357" i="1"/>
  <c r="M2357" i="1"/>
  <c r="P2356" i="1"/>
  <c r="O2356" i="1"/>
  <c r="N2356" i="1"/>
  <c r="M2356" i="1"/>
  <c r="P2355" i="1"/>
  <c r="O2355" i="1"/>
  <c r="N2355" i="1"/>
  <c r="M2355" i="1"/>
  <c r="P2354" i="1"/>
  <c r="O2354" i="1"/>
  <c r="N2354" i="1"/>
  <c r="M2354" i="1"/>
  <c r="P2353" i="1"/>
  <c r="O2353" i="1"/>
  <c r="N2353" i="1"/>
  <c r="M2353" i="1"/>
  <c r="P2352" i="1"/>
  <c r="O2352" i="1"/>
  <c r="N2352" i="1"/>
  <c r="M2352" i="1"/>
  <c r="P2351" i="1"/>
  <c r="O2351" i="1"/>
  <c r="N2351" i="1"/>
  <c r="M2351" i="1"/>
  <c r="P2350" i="1"/>
  <c r="O2350" i="1"/>
  <c r="N2350" i="1"/>
  <c r="M2350" i="1"/>
  <c r="P2349" i="1"/>
  <c r="O2349" i="1"/>
  <c r="N2349" i="1"/>
  <c r="M2349" i="1"/>
  <c r="P2348" i="1"/>
  <c r="O2348" i="1"/>
  <c r="N2348" i="1"/>
  <c r="M2348" i="1"/>
  <c r="P2347" i="1"/>
  <c r="O2347" i="1"/>
  <c r="N2347" i="1"/>
  <c r="M2347" i="1"/>
  <c r="P2346" i="1"/>
  <c r="O2346" i="1"/>
  <c r="N2346" i="1"/>
  <c r="M2346" i="1"/>
  <c r="P2345" i="1"/>
  <c r="O2345" i="1"/>
  <c r="N2345" i="1"/>
  <c r="M2345" i="1"/>
  <c r="P2344" i="1"/>
  <c r="O2344" i="1"/>
  <c r="N2344" i="1"/>
  <c r="M2344" i="1"/>
  <c r="P2343" i="1"/>
  <c r="O2343" i="1"/>
  <c r="N2343" i="1"/>
  <c r="M2343" i="1"/>
  <c r="P2342" i="1"/>
  <c r="O2342" i="1"/>
  <c r="N2342" i="1"/>
  <c r="M2342" i="1"/>
  <c r="P2341" i="1"/>
  <c r="O2341" i="1"/>
  <c r="N2341" i="1"/>
  <c r="M2341" i="1"/>
  <c r="P2340" i="1"/>
  <c r="O2340" i="1"/>
  <c r="N2340" i="1"/>
  <c r="M2340" i="1"/>
  <c r="AJ132" i="9"/>
  <c r="P2339" i="1"/>
  <c r="O2339" i="1"/>
  <c r="N2339" i="1"/>
  <c r="M2339" i="1"/>
  <c r="P2338" i="1"/>
  <c r="O2338" i="1"/>
  <c r="N2338" i="1"/>
  <c r="M2338" i="1"/>
  <c r="P2337" i="1"/>
  <c r="O2337" i="1"/>
  <c r="N2337" i="1"/>
  <c r="M2337" i="1"/>
  <c r="P2336" i="1"/>
  <c r="O2336" i="1"/>
  <c r="N2336" i="1"/>
  <c r="M2336" i="1"/>
  <c r="P2335" i="1"/>
  <c r="O2335" i="1"/>
  <c r="N2335" i="1"/>
  <c r="M2335" i="1"/>
  <c r="P2334" i="1"/>
  <c r="O2334" i="1"/>
  <c r="N2334" i="1"/>
  <c r="M2334" i="1"/>
  <c r="P2333" i="1"/>
  <c r="O2333" i="1"/>
  <c r="N2333" i="1"/>
  <c r="M2333" i="1"/>
  <c r="P2332" i="1"/>
  <c r="O2332" i="1"/>
  <c r="N2332" i="1"/>
  <c r="M2332" i="1"/>
  <c r="P2331" i="1"/>
  <c r="O2331" i="1"/>
  <c r="N2331" i="1"/>
  <c r="M2331" i="1"/>
  <c r="P2330" i="1"/>
  <c r="O2330" i="1"/>
  <c r="N2330" i="1"/>
  <c r="M2330" i="1"/>
  <c r="P2329" i="1"/>
  <c r="O2329" i="1"/>
  <c r="N2329" i="1"/>
  <c r="M2329" i="1"/>
  <c r="P2328" i="1"/>
  <c r="O2328" i="1"/>
  <c r="N2328" i="1"/>
  <c r="M2328" i="1"/>
  <c r="P2327" i="1"/>
  <c r="O2327" i="1"/>
  <c r="N2327" i="1"/>
  <c r="M2327" i="1"/>
  <c r="P2326" i="1"/>
  <c r="O2326" i="1"/>
  <c r="N2326" i="1"/>
  <c r="M2326" i="1"/>
  <c r="P2325" i="1"/>
  <c r="O2325" i="1"/>
  <c r="N2325" i="1"/>
  <c r="M2325" i="1"/>
  <c r="P2324" i="1"/>
  <c r="O2324" i="1"/>
  <c r="N2324" i="1"/>
  <c r="M2324" i="1"/>
  <c r="P2323" i="1"/>
  <c r="O2323" i="1"/>
  <c r="N2323" i="1"/>
  <c r="M2323" i="1"/>
  <c r="P2322" i="1"/>
  <c r="O2322" i="1"/>
  <c r="N2322" i="1"/>
  <c r="M2322" i="1"/>
  <c r="P2321" i="1"/>
  <c r="O2321" i="1"/>
  <c r="N2321" i="1"/>
  <c r="M2321" i="1"/>
  <c r="P2320" i="1"/>
  <c r="O2320" i="1"/>
  <c r="N2320" i="1"/>
  <c r="M2320" i="1"/>
  <c r="P2319" i="1"/>
  <c r="O2319" i="1"/>
  <c r="N2319" i="1"/>
  <c r="M2319" i="1"/>
  <c r="P2318" i="1"/>
  <c r="O2318" i="1"/>
  <c r="N2318" i="1"/>
  <c r="M2318" i="1"/>
  <c r="P2317" i="1"/>
  <c r="O2317" i="1"/>
  <c r="N2317" i="1"/>
  <c r="M2317" i="1"/>
  <c r="P2316" i="1"/>
  <c r="O2316" i="1"/>
  <c r="N2316" i="1"/>
  <c r="M2316" i="1"/>
  <c r="P2315" i="1"/>
  <c r="O2315" i="1"/>
  <c r="N2315" i="1"/>
  <c r="M2315" i="1"/>
  <c r="P2314" i="1"/>
  <c r="O2314" i="1"/>
  <c r="N2314" i="1"/>
  <c r="M2314" i="1"/>
  <c r="P2313" i="1"/>
  <c r="O2313" i="1"/>
  <c r="N2313" i="1"/>
  <c r="M2313" i="1"/>
  <c r="P2312" i="1"/>
  <c r="O2312" i="1"/>
  <c r="N2312" i="1"/>
  <c r="M2312" i="1"/>
  <c r="P2311" i="1"/>
  <c r="O2311" i="1"/>
  <c r="N2311" i="1"/>
  <c r="M2311" i="1"/>
  <c r="P2310" i="1"/>
  <c r="O2310" i="1"/>
  <c r="N2310" i="1"/>
  <c r="M2310" i="1"/>
  <c r="P2309" i="1"/>
  <c r="O2309" i="1"/>
  <c r="N2309" i="1"/>
  <c r="M2309" i="1"/>
  <c r="P2308" i="1"/>
  <c r="O2308" i="1"/>
  <c r="N2308" i="1"/>
  <c r="M2308" i="1"/>
  <c r="P2307" i="1"/>
  <c r="O2307" i="1"/>
  <c r="N2307" i="1"/>
  <c r="M2307" i="1"/>
  <c r="P2306" i="1"/>
  <c r="O2306" i="1"/>
  <c r="N2306" i="1"/>
  <c r="M2306" i="1"/>
  <c r="P2305" i="1"/>
  <c r="O2305" i="1"/>
  <c r="N2305" i="1"/>
  <c r="M2305" i="1"/>
  <c r="P2304" i="1"/>
  <c r="O2304" i="1"/>
  <c r="N2304" i="1"/>
  <c r="M2304" i="1"/>
  <c r="AZ143" i="9"/>
  <c r="BA143" i="5"/>
  <c r="AY143" i="9"/>
  <c r="AZ143" i="5"/>
  <c r="AX143" i="9"/>
  <c r="AY143" i="5"/>
  <c r="AW143" i="9"/>
  <c r="AX143" i="5"/>
  <c r="AV143" i="9"/>
  <c r="AW143" i="5"/>
  <c r="AU143" i="9"/>
  <c r="AV143" i="5"/>
  <c r="AT143" i="9"/>
  <c r="AU143" i="5"/>
  <c r="AS143" i="9"/>
  <c r="AT143" i="5"/>
  <c r="AR143" i="9"/>
  <c r="AS143" i="5"/>
  <c r="AQ143" i="9"/>
  <c r="AR143" i="5"/>
  <c r="AP143" i="9"/>
  <c r="AQ143" i="5"/>
  <c r="AO143" i="9"/>
  <c r="AP143" i="5"/>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S103" i="5"/>
  <c r="AR103" i="5"/>
  <c r="AQ103" i="5"/>
  <c r="AP103"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6" i="5"/>
  <c r="AZ86" i="5"/>
  <c r="AY86" i="5"/>
  <c r="AX86" i="5"/>
  <c r="AW86" i="5"/>
  <c r="AV86" i="5"/>
  <c r="AU86" i="5"/>
  <c r="AT86" i="5"/>
  <c r="AS86" i="5"/>
  <c r="AR86" i="5"/>
  <c r="AQ86" i="5"/>
  <c r="AP86"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7" i="5"/>
  <c r="AZ57" i="5"/>
  <c r="AY57" i="5"/>
  <c r="AX57" i="5"/>
  <c r="AW57" i="5"/>
  <c r="AV57" i="5"/>
  <c r="AU57" i="5"/>
  <c r="AT57" i="5"/>
  <c r="AS57" i="5"/>
  <c r="AR57" i="5"/>
  <c r="AQ57" i="5"/>
  <c r="AP57"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AS50" i="5"/>
  <c r="AR50" i="5"/>
  <c r="AQ50" i="5"/>
  <c r="AP50" i="5"/>
  <c r="BA49" i="5"/>
  <c r="AZ49" i="5"/>
  <c r="AY49" i="5"/>
  <c r="AX49" i="5"/>
  <c r="AW49" i="5"/>
  <c r="AV49" i="5"/>
  <c r="AU49" i="5"/>
  <c r="AT49" i="5"/>
  <c r="AS49" i="5"/>
  <c r="AR49" i="5"/>
  <c r="AQ49" i="5"/>
  <c r="AP49" i="5"/>
  <c r="BA48" i="5"/>
  <c r="AZ48" i="5"/>
  <c r="AY48" i="5"/>
  <c r="AX48" i="5"/>
  <c r="AW48" i="5"/>
  <c r="AV48" i="5"/>
  <c r="AU48" i="5"/>
  <c r="AT48" i="5"/>
  <c r="BA47" i="5"/>
  <c r="AZ47" i="5"/>
  <c r="AY47" i="5"/>
  <c r="AX47" i="5"/>
  <c r="AW47" i="5"/>
  <c r="AV47" i="5"/>
  <c r="AU47" i="5"/>
  <c r="AT47" i="5"/>
  <c r="BA46" i="5"/>
  <c r="AZ46" i="5"/>
  <c r="AY46" i="5"/>
  <c r="AX46" i="5"/>
  <c r="AW46" i="5"/>
  <c r="AV46" i="5"/>
  <c r="AU46" i="5"/>
  <c r="AT46" i="5"/>
  <c r="BA44" i="5"/>
  <c r="AZ44" i="5"/>
  <c r="AY44" i="5"/>
  <c r="AX44" i="5"/>
  <c r="AW44" i="5"/>
  <c r="AV44" i="5"/>
  <c r="AU44" i="5"/>
  <c r="AT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AP21"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AQ17" i="5"/>
  <c r="AP17" i="5"/>
  <c r="BA16" i="5"/>
  <c r="AZ16" i="5"/>
  <c r="AY16" i="5"/>
  <c r="AX16" i="5"/>
  <c r="AW16" i="5"/>
  <c r="AV16" i="5"/>
  <c r="AU16" i="5"/>
  <c r="AT16" i="5"/>
  <c r="AS16" i="5"/>
  <c r="AR16" i="5"/>
  <c r="AQ16" i="5"/>
  <c r="AP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8" i="5"/>
  <c r="AZ8" i="5"/>
  <c r="AY8" i="5"/>
  <c r="AX8" i="5"/>
  <c r="AW8" i="5"/>
  <c r="AV8" i="5"/>
  <c r="AU8" i="5"/>
  <c r="AT8" i="5"/>
  <c r="AS8" i="5"/>
  <c r="AR8" i="5"/>
  <c r="AQ8" i="5"/>
  <c r="AP8" i="5"/>
  <c r="BA7" i="5"/>
  <c r="AZ7" i="5"/>
  <c r="AY7" i="5"/>
  <c r="AX7" i="5"/>
  <c r="AW7" i="5"/>
  <c r="AV7" i="5"/>
  <c r="AU7" i="5"/>
  <c r="AT7" i="5"/>
  <c r="AS7" i="5"/>
  <c r="AR7" i="5"/>
  <c r="AQ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Z142" i="5"/>
  <c r="AY2" i="5"/>
  <c r="AX2" i="5"/>
  <c r="AW2" i="5"/>
  <c r="AV2" i="5"/>
  <c r="AU2" i="5"/>
  <c r="AT2" i="5"/>
  <c r="AT142" i="5"/>
  <c r="AS2" i="5"/>
  <c r="AR2" i="5"/>
  <c r="AQ2" i="5"/>
  <c r="AP2" i="5"/>
  <c r="AZ142" i="9"/>
  <c r="AY142" i="9"/>
  <c r="AO142" i="9"/>
  <c r="AQ142" i="9"/>
  <c r="AS142" i="9"/>
  <c r="AU142" i="9"/>
  <c r="AW142" i="9"/>
  <c r="AP142" i="9"/>
  <c r="AR142" i="9"/>
  <c r="AT142" i="9"/>
  <c r="AV142" i="9"/>
  <c r="AX142" i="9"/>
  <c r="P2303" i="1"/>
  <c r="O2303" i="1"/>
  <c r="N2303" i="1"/>
  <c r="M2303" i="1"/>
  <c r="L73" i="14"/>
  <c r="L72" i="14"/>
  <c r="L71" i="14"/>
  <c r="P2302" i="1"/>
  <c r="O2302" i="1"/>
  <c r="N2302" i="1"/>
  <c r="M2302" i="1"/>
  <c r="P2301" i="1"/>
  <c r="O2301" i="1"/>
  <c r="N2301" i="1"/>
  <c r="M2301" i="1"/>
  <c r="P2300" i="1"/>
  <c r="O2300" i="1"/>
  <c r="N2300" i="1"/>
  <c r="M2300" i="1"/>
  <c r="P2299" i="1"/>
  <c r="O2299" i="1"/>
  <c r="N2299" i="1"/>
  <c r="M2299" i="1"/>
  <c r="P2298" i="1"/>
  <c r="O2298" i="1"/>
  <c r="N2298" i="1"/>
  <c r="M2298" i="1"/>
  <c r="P2297" i="1"/>
  <c r="O2297" i="1"/>
  <c r="N2297" i="1"/>
  <c r="M2297" i="1"/>
  <c r="P2282" i="1"/>
  <c r="O2282" i="1"/>
  <c r="N2282" i="1"/>
  <c r="M2282" i="1"/>
  <c r="P2281" i="1"/>
  <c r="O2281" i="1"/>
  <c r="N2281" i="1"/>
  <c r="M2281" i="1"/>
  <c r="P2280" i="1"/>
  <c r="O2280" i="1"/>
  <c r="N2280" i="1"/>
  <c r="M2280" i="1"/>
  <c r="P2279" i="1"/>
  <c r="O2279" i="1"/>
  <c r="N2279" i="1"/>
  <c r="M2279" i="1"/>
  <c r="P2296" i="1"/>
  <c r="O2296" i="1"/>
  <c r="N2296" i="1"/>
  <c r="M2296" i="1"/>
  <c r="P2295" i="1"/>
  <c r="O2295" i="1"/>
  <c r="N2295" i="1"/>
  <c r="M2295" i="1"/>
  <c r="P2294" i="1"/>
  <c r="O2294" i="1"/>
  <c r="N2294" i="1"/>
  <c r="M2294" i="1"/>
  <c r="P2293" i="1"/>
  <c r="O2293" i="1"/>
  <c r="N2293" i="1"/>
  <c r="M2293" i="1"/>
  <c r="P2292" i="1"/>
  <c r="O2292" i="1"/>
  <c r="N2292" i="1"/>
  <c r="M2292" i="1"/>
  <c r="P2291" i="1"/>
  <c r="O2291" i="1"/>
  <c r="N2291" i="1"/>
  <c r="M2291" i="1"/>
  <c r="P2290" i="1"/>
  <c r="O2290" i="1"/>
  <c r="N2290" i="1"/>
  <c r="M2290" i="1"/>
  <c r="P2289" i="1"/>
  <c r="O2289" i="1"/>
  <c r="N2289" i="1"/>
  <c r="M2289" i="1"/>
  <c r="AI139" i="9"/>
  <c r="BA139" i="9"/>
  <c r="C139" i="9"/>
  <c r="P2288" i="1"/>
  <c r="O2288" i="1"/>
  <c r="N2288" i="1"/>
  <c r="M2288" i="1"/>
  <c r="P2287" i="1"/>
  <c r="O2287" i="1"/>
  <c r="N2287" i="1"/>
  <c r="M2287" i="1"/>
  <c r="P2286" i="1"/>
  <c r="O2286" i="1"/>
  <c r="N2286" i="1"/>
  <c r="M2286" i="1"/>
  <c r="P2285" i="1"/>
  <c r="O2285" i="1"/>
  <c r="N2285" i="1"/>
  <c r="M2285" i="1"/>
  <c r="P2284" i="1"/>
  <c r="O2284" i="1"/>
  <c r="N2284" i="1"/>
  <c r="M2284" i="1"/>
  <c r="P2283" i="1"/>
  <c r="O2283" i="1"/>
  <c r="N2283" i="1"/>
  <c r="M2283" i="1"/>
  <c r="P2278" i="1"/>
  <c r="O2278" i="1"/>
  <c r="N2278" i="1"/>
  <c r="M2278" i="1"/>
  <c r="P2277" i="1"/>
  <c r="O2277" i="1"/>
  <c r="N2277" i="1"/>
  <c r="M2277" i="1"/>
  <c r="P2276" i="1"/>
  <c r="O2276" i="1"/>
  <c r="N2276" i="1"/>
  <c r="M2276" i="1"/>
  <c r="P2275" i="1"/>
  <c r="O2275" i="1"/>
  <c r="N2275" i="1"/>
  <c r="M2275" i="1"/>
  <c r="P2274" i="1"/>
  <c r="O2274" i="1"/>
  <c r="N2274" i="1"/>
  <c r="M2274" i="1"/>
  <c r="M2273" i="1"/>
  <c r="N2273" i="1"/>
  <c r="O2273" i="1"/>
  <c r="P2273" i="1"/>
  <c r="P2272" i="1"/>
  <c r="O2272" i="1"/>
  <c r="N2272" i="1"/>
  <c r="M2272" i="1"/>
  <c r="AW73" i="4"/>
  <c r="AS73" i="4"/>
  <c r="AR73" i="4"/>
  <c r="AM73" i="4"/>
  <c r="AH73" i="4"/>
  <c r="AC73" i="4"/>
  <c r="X73" i="4"/>
  <c r="S73" i="4"/>
  <c r="I73" i="4"/>
  <c r="AW72" i="4"/>
  <c r="AS72" i="4"/>
  <c r="AR72" i="4"/>
  <c r="AM72" i="4"/>
  <c r="AH72" i="4"/>
  <c r="AC72" i="4"/>
  <c r="X72" i="4"/>
  <c r="S72" i="4"/>
  <c r="I72" i="4"/>
  <c r="AW71" i="4"/>
  <c r="AS71" i="4"/>
  <c r="AR71" i="4"/>
  <c r="AM71" i="4"/>
  <c r="AH71" i="4"/>
  <c r="AC71" i="4"/>
  <c r="X71" i="4"/>
  <c r="S71" i="4"/>
  <c r="I71" i="4"/>
  <c r="AW70" i="4"/>
  <c r="AS70" i="4"/>
  <c r="AR70" i="4"/>
  <c r="AM70" i="4"/>
  <c r="AH70" i="4"/>
  <c r="AC70" i="4"/>
  <c r="X70" i="4"/>
  <c r="S70" i="4"/>
  <c r="AW69" i="4"/>
  <c r="AS69" i="4"/>
  <c r="AR69" i="4"/>
  <c r="AM69" i="4"/>
  <c r="AH69" i="4"/>
  <c r="AC69" i="4"/>
  <c r="X69" i="4"/>
  <c r="S69" i="4"/>
  <c r="AW68" i="4"/>
  <c r="AS68" i="4"/>
  <c r="AR68" i="4"/>
  <c r="AM68" i="4"/>
  <c r="AH68" i="4"/>
  <c r="AC68" i="4"/>
  <c r="X68" i="4"/>
  <c r="S68" i="4"/>
  <c r="AW67" i="4"/>
  <c r="AS67" i="4"/>
  <c r="AR67" i="4"/>
  <c r="AM67" i="4"/>
  <c r="AH67" i="4"/>
  <c r="AC67" i="4"/>
  <c r="X67" i="4"/>
  <c r="S67" i="4"/>
  <c r="AW66" i="4"/>
  <c r="AS66" i="4"/>
  <c r="AR66" i="4"/>
  <c r="AM66" i="4"/>
  <c r="AH66" i="4"/>
  <c r="AC66" i="4"/>
  <c r="X66" i="4"/>
  <c r="S66" i="4"/>
  <c r="AW65" i="4"/>
  <c r="AS65" i="4"/>
  <c r="AR65" i="4"/>
  <c r="AM65" i="4"/>
  <c r="AH65" i="4"/>
  <c r="AC65" i="4"/>
  <c r="X65" i="4"/>
  <c r="S65" i="4"/>
  <c r="AW64" i="4"/>
  <c r="AS64" i="4"/>
  <c r="AR64" i="4"/>
  <c r="AM64" i="4"/>
  <c r="AH64" i="4"/>
  <c r="AC64" i="4"/>
  <c r="X64" i="4"/>
  <c r="S64" i="4"/>
  <c r="AW63" i="4"/>
  <c r="AS63" i="4"/>
  <c r="AR63" i="4"/>
  <c r="AM63" i="4"/>
  <c r="AH63" i="4"/>
  <c r="AC63" i="4"/>
  <c r="X63" i="4"/>
  <c r="S63" i="4"/>
  <c r="AW62" i="4"/>
  <c r="AS62" i="4"/>
  <c r="AR62" i="4"/>
  <c r="AM62" i="4"/>
  <c r="AH62" i="4"/>
  <c r="AC62" i="4"/>
  <c r="X62" i="4"/>
  <c r="S62" i="4"/>
  <c r="AW61" i="4"/>
  <c r="AS61" i="4"/>
  <c r="AR61" i="4"/>
  <c r="AM61" i="4"/>
  <c r="AH61" i="4"/>
  <c r="AC61" i="4"/>
  <c r="X61" i="4"/>
  <c r="S61" i="4"/>
  <c r="AW60" i="4"/>
  <c r="AS60" i="4"/>
  <c r="AR60" i="4"/>
  <c r="AM60" i="4"/>
  <c r="AH60" i="4"/>
  <c r="AC60" i="4"/>
  <c r="X60" i="4"/>
  <c r="S60" i="4"/>
  <c r="AW59" i="4"/>
  <c r="AS59" i="4"/>
  <c r="AR59" i="4"/>
  <c r="AM59" i="4"/>
  <c r="AH59" i="4"/>
  <c r="AC59" i="4"/>
  <c r="X59" i="4"/>
  <c r="S59" i="4"/>
  <c r="AW58" i="4"/>
  <c r="AS58" i="4"/>
  <c r="AR58" i="4"/>
  <c r="AM58" i="4"/>
  <c r="AH58" i="4"/>
  <c r="AC58" i="4"/>
  <c r="X58" i="4"/>
  <c r="S58" i="4"/>
  <c r="AW57" i="4"/>
  <c r="AS57" i="4"/>
  <c r="AR57" i="4"/>
  <c r="AM57" i="4"/>
  <c r="AH57" i="4"/>
  <c r="AC57" i="4"/>
  <c r="X57" i="4"/>
  <c r="S57" i="4"/>
  <c r="AW56" i="4"/>
  <c r="AS56" i="4"/>
  <c r="AR56" i="4"/>
  <c r="AM56" i="4"/>
  <c r="AH56" i="4"/>
  <c r="AC56" i="4"/>
  <c r="X56" i="4"/>
  <c r="S56" i="4"/>
  <c r="AW55" i="4"/>
  <c r="AS55" i="4"/>
  <c r="AR55" i="4"/>
  <c r="AM55" i="4"/>
  <c r="AH55" i="4"/>
  <c r="AC55" i="4"/>
  <c r="X55" i="4"/>
  <c r="S55" i="4"/>
  <c r="AW54" i="4"/>
  <c r="AS54" i="4"/>
  <c r="AR54" i="4"/>
  <c r="AM54" i="4"/>
  <c r="AH54" i="4"/>
  <c r="AC54" i="4"/>
  <c r="X54" i="4"/>
  <c r="S54" i="4"/>
  <c r="AW53" i="4"/>
  <c r="AS53" i="4"/>
  <c r="AR53" i="4"/>
  <c r="AM53" i="4"/>
  <c r="AH53" i="4"/>
  <c r="AC53" i="4"/>
  <c r="X53" i="4"/>
  <c r="S53" i="4"/>
  <c r="AW52" i="4"/>
  <c r="AS52" i="4"/>
  <c r="AR52" i="4"/>
  <c r="AM52" i="4"/>
  <c r="AH52" i="4"/>
  <c r="AC52" i="4"/>
  <c r="X52" i="4"/>
  <c r="S52" i="4"/>
  <c r="AW51" i="4"/>
  <c r="AS51" i="4"/>
  <c r="AR51" i="4"/>
  <c r="AM51" i="4"/>
  <c r="AH51" i="4"/>
  <c r="AC51" i="4"/>
  <c r="X51" i="4"/>
  <c r="S51" i="4"/>
  <c r="AW50" i="4"/>
  <c r="AS50" i="4"/>
  <c r="AR50" i="4"/>
  <c r="AM50" i="4"/>
  <c r="AH50" i="4"/>
  <c r="AC50" i="4"/>
  <c r="X50" i="4"/>
  <c r="S50" i="4"/>
  <c r="AW49" i="4"/>
  <c r="AS49" i="4"/>
  <c r="AR49" i="4"/>
  <c r="AM49" i="4"/>
  <c r="AH49" i="4"/>
  <c r="AC49" i="4"/>
  <c r="X49" i="4"/>
  <c r="S49" i="4"/>
  <c r="K19" i="13"/>
  <c r="K18" i="13"/>
  <c r="K17" i="13"/>
  <c r="K16" i="13"/>
  <c r="K15" i="13"/>
  <c r="K14" i="13"/>
  <c r="K13" i="13"/>
  <c r="K12" i="13"/>
  <c r="K11" i="13"/>
  <c r="K10" i="13"/>
  <c r="K9" i="13"/>
  <c r="K8" i="13"/>
  <c r="K7" i="13"/>
  <c r="AS75" i="4"/>
  <c r="AS74"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P2271" i="1"/>
  <c r="O2271" i="1"/>
  <c r="N2271" i="1"/>
  <c r="M2271" i="1"/>
  <c r="AW4" i="4"/>
  <c r="AR4" i="4"/>
  <c r="AR5" i="4"/>
  <c r="AR6" i="4"/>
  <c r="AR7" i="4"/>
  <c r="AR8" i="4"/>
  <c r="AR9" i="4"/>
  <c r="AR10" i="4"/>
  <c r="AR11" i="4"/>
  <c r="AR12" i="4"/>
  <c r="AR13" i="4"/>
  <c r="AR14" i="4"/>
  <c r="AR15" i="4"/>
  <c r="AR16" i="4"/>
  <c r="AM4" i="4"/>
  <c r="AC4" i="4"/>
  <c r="AC5" i="4"/>
  <c r="AC6" i="4"/>
  <c r="AC7" i="4"/>
  <c r="AC8" i="4"/>
  <c r="AC9" i="4"/>
  <c r="AC10" i="4"/>
  <c r="AC11" i="4"/>
  <c r="AC12" i="4"/>
  <c r="AC13" i="4"/>
  <c r="AC14" i="4"/>
  <c r="AC15" i="4"/>
  <c r="AC16" i="4"/>
  <c r="X4" i="4"/>
  <c r="S4" i="4"/>
  <c r="S5" i="4"/>
  <c r="S6" i="4"/>
  <c r="S7" i="4"/>
  <c r="S8" i="4"/>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74" i="4"/>
  <c r="AH75" i="4"/>
  <c r="P2270" i="1"/>
  <c r="O2270" i="1"/>
  <c r="N2270" i="1"/>
  <c r="M2270" i="1"/>
  <c r="P2269" i="1"/>
  <c r="O2269" i="1"/>
  <c r="N2269" i="1"/>
  <c r="M2269" i="1"/>
  <c r="P2268" i="1"/>
  <c r="O2268" i="1"/>
  <c r="N2268" i="1"/>
  <c r="M2268" i="1"/>
  <c r="P2267" i="1"/>
  <c r="O2267" i="1"/>
  <c r="N2267" i="1"/>
  <c r="M2267" i="1"/>
  <c r="P2266" i="1"/>
  <c r="O2266" i="1"/>
  <c r="N2266" i="1"/>
  <c r="M2266" i="1"/>
  <c r="AJ60" i="9"/>
  <c r="P2265" i="1"/>
  <c r="O2265" i="1"/>
  <c r="N2265" i="1"/>
  <c r="M2265" i="1"/>
  <c r="P2264" i="1"/>
  <c r="O2264" i="1"/>
  <c r="N2264" i="1"/>
  <c r="M2264" i="1"/>
  <c r="P2263" i="1"/>
  <c r="O2263" i="1"/>
  <c r="N2263" i="1"/>
  <c r="M2263" i="1"/>
  <c r="P2262" i="1"/>
  <c r="O2262" i="1"/>
  <c r="N2262" i="1"/>
  <c r="M2262" i="1"/>
  <c r="P2261" i="1"/>
  <c r="O2261" i="1"/>
  <c r="N2261" i="1"/>
  <c r="M2261" i="1"/>
  <c r="P2260" i="1"/>
  <c r="O2260" i="1"/>
  <c r="N2260" i="1"/>
  <c r="M2260" i="1"/>
  <c r="P2259" i="1"/>
  <c r="O2259" i="1"/>
  <c r="N2259" i="1"/>
  <c r="M2259" i="1"/>
  <c r="P2258" i="1"/>
  <c r="O2258" i="1"/>
  <c r="N2258" i="1"/>
  <c r="M2258" i="1"/>
  <c r="AI76" i="9"/>
  <c r="P2257" i="1"/>
  <c r="O2257" i="1"/>
  <c r="N2257" i="1"/>
  <c r="M2257" i="1"/>
  <c r="P2256" i="1"/>
  <c r="O2256" i="1"/>
  <c r="N2256" i="1"/>
  <c r="M2256" i="1"/>
  <c r="P2255" i="1"/>
  <c r="O2255" i="1"/>
  <c r="N2255" i="1"/>
  <c r="M2255" i="1"/>
  <c r="P2254" i="1"/>
  <c r="O2254" i="1"/>
  <c r="N2254" i="1"/>
  <c r="M2254" i="1"/>
  <c r="P2253" i="1"/>
  <c r="O2253" i="1"/>
  <c r="N2253" i="1"/>
  <c r="M2253" i="1"/>
  <c r="AI77" i="9"/>
  <c r="P2252" i="1"/>
  <c r="O2252" i="1"/>
  <c r="N2252" i="1"/>
  <c r="M2252" i="1"/>
  <c r="P2251" i="1"/>
  <c r="O2251" i="1"/>
  <c r="N2251" i="1"/>
  <c r="M2251" i="1"/>
  <c r="P2250" i="1"/>
  <c r="O2250" i="1"/>
  <c r="N2250" i="1"/>
  <c r="M2250" i="1"/>
  <c r="P2249" i="1"/>
  <c r="O2249" i="1"/>
  <c r="N2249" i="1"/>
  <c r="M2249" i="1"/>
  <c r="P2248" i="1"/>
  <c r="O2248" i="1"/>
  <c r="N2248" i="1"/>
  <c r="M2248" i="1"/>
  <c r="AI107" i="9"/>
  <c r="BA107" i="9"/>
  <c r="C107" i="9"/>
  <c r="P2247" i="1"/>
  <c r="O2247" i="1"/>
  <c r="N2247" i="1"/>
  <c r="M2247" i="1"/>
  <c r="P2246" i="1"/>
  <c r="O2246" i="1"/>
  <c r="N2246" i="1"/>
  <c r="M2246" i="1"/>
  <c r="P2245" i="1"/>
  <c r="O2245" i="1"/>
  <c r="N2245" i="1"/>
  <c r="M2245" i="1"/>
  <c r="P2244" i="1"/>
  <c r="O2244" i="1"/>
  <c r="N2244" i="1"/>
  <c r="M2244" i="1"/>
  <c r="P2243" i="1"/>
  <c r="O2243" i="1"/>
  <c r="N2243" i="1"/>
  <c r="M2243" i="1"/>
  <c r="P2242" i="1"/>
  <c r="O2242" i="1"/>
  <c r="N2242" i="1"/>
  <c r="M2242" i="1"/>
  <c r="P2241" i="1"/>
  <c r="O2241" i="1"/>
  <c r="N2241" i="1"/>
  <c r="M2241" i="1"/>
  <c r="P2240" i="1"/>
  <c r="O2240" i="1"/>
  <c r="N2240" i="1"/>
  <c r="M2240" i="1"/>
  <c r="P2239" i="1"/>
  <c r="O2239" i="1"/>
  <c r="N2239" i="1"/>
  <c r="M2239" i="1"/>
  <c r="P2238" i="1"/>
  <c r="O2238" i="1"/>
  <c r="N2238" i="1"/>
  <c r="M2238" i="1"/>
  <c r="P2237" i="1"/>
  <c r="O2237" i="1"/>
  <c r="N2237" i="1"/>
  <c r="M2237" i="1"/>
  <c r="P2236" i="1"/>
  <c r="O2236" i="1"/>
  <c r="N2236" i="1"/>
  <c r="M2236" i="1"/>
  <c r="P2235" i="1"/>
  <c r="O2235" i="1"/>
  <c r="N2235" i="1"/>
  <c r="M2235" i="1"/>
  <c r="P2234" i="1"/>
  <c r="O2234" i="1"/>
  <c r="N2234" i="1"/>
  <c r="M2234" i="1"/>
  <c r="P2233" i="1"/>
  <c r="O2233" i="1"/>
  <c r="N2233" i="1"/>
  <c r="M2233" i="1"/>
  <c r="P2232" i="1"/>
  <c r="O2232" i="1"/>
  <c r="N2232" i="1"/>
  <c r="M2232" i="1"/>
  <c r="P2231" i="1"/>
  <c r="O2231" i="1"/>
  <c r="N2231" i="1"/>
  <c r="M2231" i="1"/>
  <c r="E16" i="12"/>
  <c r="AF2" i="9"/>
  <c r="AG63" i="5"/>
  <c r="AF4" i="9"/>
  <c r="AG65" i="5"/>
  <c r="AG4" i="9"/>
  <c r="AG6" i="9"/>
  <c r="BA6" i="9"/>
  <c r="C6" i="9"/>
  <c r="AG11" i="9"/>
  <c r="BA11" i="9"/>
  <c r="C11" i="9"/>
  <c r="AF16" i="9"/>
  <c r="AF17" i="9"/>
  <c r="BA17" i="9"/>
  <c r="C17" i="9"/>
  <c r="AF20" i="9"/>
  <c r="AG20" i="9"/>
  <c r="AH23" i="5"/>
  <c r="AF33" i="9"/>
  <c r="AG7" i="5"/>
  <c r="AF35" i="9"/>
  <c r="AG35" i="9"/>
  <c r="AH9" i="5"/>
  <c r="AF36" i="9"/>
  <c r="BA36" i="9"/>
  <c r="AF38" i="9"/>
  <c r="AI38" i="9"/>
  <c r="AI142" i="9"/>
  <c r="AD40" i="9"/>
  <c r="AF40" i="9"/>
  <c r="AH40" i="9"/>
  <c r="AI34" i="5"/>
  <c r="AF43" i="9"/>
  <c r="AG38" i="5"/>
  <c r="AG43" i="9"/>
  <c r="AF46" i="9"/>
  <c r="BA46" i="9"/>
  <c r="C46" i="9"/>
  <c r="AF47" i="9"/>
  <c r="AF53" i="9"/>
  <c r="AG53" i="9"/>
  <c r="AH53" i="9"/>
  <c r="AI10" i="5"/>
  <c r="AF54" i="9"/>
  <c r="AG55" i="9"/>
  <c r="AH12" i="5"/>
  <c r="AI55" i="9"/>
  <c r="AF56" i="9"/>
  <c r="BA56" i="9"/>
  <c r="C56" i="9"/>
  <c r="AG57" i="9"/>
  <c r="AD59" i="9"/>
  <c r="AD60" i="9"/>
  <c r="AF60" i="9"/>
  <c r="AG17" i="5"/>
  <c r="AG60" i="9"/>
  <c r="AH17" i="5"/>
  <c r="AF61" i="9"/>
  <c r="AG61" i="9"/>
  <c r="AG64" i="9"/>
  <c r="AH69" i="9"/>
  <c r="AI51" i="5"/>
  <c r="AG77" i="9"/>
  <c r="AG80" i="9"/>
  <c r="BA80" i="9"/>
  <c r="C80" i="9"/>
  <c r="BA82" i="9"/>
  <c r="AF84" i="9"/>
  <c r="AG85" i="9"/>
  <c r="BA85" i="9"/>
  <c r="AF87" i="9"/>
  <c r="AH87" i="9"/>
  <c r="BA90" i="9"/>
  <c r="C90" i="9"/>
  <c r="AI91" i="9"/>
  <c r="BA91" i="9"/>
  <c r="C91" i="9"/>
  <c r="AF92" i="9"/>
  <c r="AG141" i="5"/>
  <c r="AG93" i="9"/>
  <c r="AG100" i="9"/>
  <c r="BA100" i="9"/>
  <c r="C100" i="9"/>
  <c r="AD102" i="9"/>
  <c r="AF102" i="9"/>
  <c r="AG84" i="5"/>
  <c r="AG102" i="9"/>
  <c r="AH102" i="9"/>
  <c r="AI84" i="5"/>
  <c r="AF104" i="9"/>
  <c r="BA110" i="9"/>
  <c r="AG112" i="9"/>
  <c r="BA112" i="9"/>
  <c r="AF114" i="9"/>
  <c r="AF115" i="9"/>
  <c r="AG115" i="9"/>
  <c r="AD117" i="9"/>
  <c r="AJ117" i="9"/>
  <c r="AK113" i="5"/>
  <c r="AD118" i="9"/>
  <c r="AE114" i="5"/>
  <c r="AF118" i="9"/>
  <c r="AH118" i="9"/>
  <c r="AI114" i="5"/>
  <c r="AI118" i="9"/>
  <c r="AJ118" i="9"/>
  <c r="AF122" i="9"/>
  <c r="BA122" i="9"/>
  <c r="C122" i="9"/>
  <c r="BA124" i="9"/>
  <c r="AG129" i="9"/>
  <c r="AF131" i="9"/>
  <c r="BA131" i="9"/>
  <c r="C131" i="9"/>
  <c r="AF133" i="9"/>
  <c r="AG129" i="5"/>
  <c r="AG133" i="9"/>
  <c r="AH133" i="9"/>
  <c r="AI129" i="5"/>
  <c r="AG134" i="9"/>
  <c r="AH134" i="9"/>
  <c r="AI135" i="5"/>
  <c r="AF135" i="9"/>
  <c r="AG135" i="9"/>
  <c r="AM142" i="9"/>
  <c r="AN142" i="9"/>
  <c r="P1520" i="1"/>
  <c r="P1557" i="1"/>
  <c r="P1579" i="1"/>
  <c r="P1592" i="1"/>
  <c r="P1667" i="1"/>
  <c r="P1870" i="1"/>
  <c r="P1968" i="1"/>
  <c r="P2006" i="1"/>
  <c r="P2062" i="1"/>
  <c r="P2188" i="1"/>
  <c r="P2207" i="1"/>
  <c r="M143" i="5"/>
  <c r="AN143" i="9"/>
  <c r="AO143" i="5"/>
  <c r="Y144" i="5"/>
  <c r="AA144" i="5"/>
  <c r="U147" i="9"/>
  <c r="V147" i="9"/>
  <c r="W147" i="9"/>
  <c r="X147" i="9"/>
  <c r="Y147" i="9"/>
  <c r="Z147" i="9"/>
  <c r="AA147" i="9"/>
  <c r="AB147" i="9"/>
  <c r="U148" i="9"/>
  <c r="V148" i="9"/>
  <c r="W148" i="9"/>
  <c r="X147" i="5"/>
  <c r="X148" i="9"/>
  <c r="Y148" i="9"/>
  <c r="Z148" i="9"/>
  <c r="AA147" i="5"/>
  <c r="AA148" i="9"/>
  <c r="AB148" i="9"/>
  <c r="AC149" i="9"/>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P2230" i="1"/>
  <c r="M2230" i="1"/>
  <c r="P2229" i="1"/>
  <c r="M2229" i="1"/>
  <c r="P2228" i="1"/>
  <c r="M2228" i="1"/>
  <c r="P2227" i="1"/>
  <c r="M2227" i="1"/>
  <c r="P2226" i="1"/>
  <c r="M2226" i="1"/>
  <c r="P2225" i="1"/>
  <c r="M2225" i="1"/>
  <c r="P2224" i="1"/>
  <c r="M2224" i="1"/>
  <c r="P2223" i="1"/>
  <c r="M2223" i="1"/>
  <c r="P2222" i="1"/>
  <c r="M2222" i="1"/>
  <c r="P2221" i="1"/>
  <c r="M2221" i="1"/>
  <c r="P2220" i="1"/>
  <c r="M2220" i="1"/>
  <c r="P2219" i="1"/>
  <c r="M2219" i="1"/>
  <c r="P2218" i="1"/>
  <c r="M2218" i="1"/>
  <c r="P2217" i="1"/>
  <c r="M2217" i="1"/>
  <c r="P2216" i="1"/>
  <c r="M2216" i="1"/>
  <c r="P2215" i="1"/>
  <c r="M2215" i="1"/>
  <c r="P2214" i="1"/>
  <c r="M2214" i="1"/>
  <c r="P2213" i="1"/>
  <c r="M2213" i="1"/>
  <c r="P2212" i="1"/>
  <c r="M2212" i="1"/>
  <c r="P2211" i="1"/>
  <c r="M2211" i="1"/>
  <c r="P2210" i="1"/>
  <c r="M2210" i="1"/>
  <c r="P2209" i="1"/>
  <c r="M2209" i="1"/>
  <c r="P2208" i="1"/>
  <c r="M2208" i="1"/>
  <c r="M2207" i="1"/>
  <c r="P2206" i="1"/>
  <c r="M2206" i="1"/>
  <c r="P2205" i="1"/>
  <c r="M2205" i="1"/>
  <c r="P2204" i="1"/>
  <c r="M2204" i="1"/>
  <c r="P2203" i="1"/>
  <c r="M2203" i="1"/>
  <c r="P2202" i="1"/>
  <c r="M2202" i="1"/>
  <c r="P2201" i="1"/>
  <c r="M2201" i="1"/>
  <c r="P2200" i="1"/>
  <c r="M2200" i="1"/>
  <c r="P2199" i="1"/>
  <c r="M2199" i="1"/>
  <c r="P2198" i="1"/>
  <c r="M2198" i="1"/>
  <c r="P2196" i="1"/>
  <c r="M2196" i="1"/>
  <c r="P2197" i="1"/>
  <c r="M2197" i="1"/>
  <c r="P2195" i="1"/>
  <c r="M2195" i="1"/>
  <c r="P2194" i="1"/>
  <c r="M2194" i="1"/>
  <c r="P2193" i="1"/>
  <c r="M2193" i="1"/>
  <c r="P2192" i="1"/>
  <c r="M2192" i="1"/>
  <c r="P2191" i="1"/>
  <c r="M2191" i="1"/>
  <c r="P2190" i="1"/>
  <c r="M2190" i="1"/>
  <c r="P2189" i="1"/>
  <c r="M2189" i="1"/>
  <c r="M2188" i="1"/>
  <c r="P2187" i="1"/>
  <c r="M2187" i="1"/>
  <c r="P2186" i="1"/>
  <c r="M2186" i="1"/>
  <c r="P2185" i="1"/>
  <c r="M2185" i="1"/>
  <c r="P2184" i="1"/>
  <c r="M2184" i="1"/>
  <c r="P2183" i="1"/>
  <c r="M2183" i="1"/>
  <c r="P2182" i="1"/>
  <c r="M2182" i="1"/>
  <c r="P2181" i="1"/>
  <c r="M2181" i="1"/>
  <c r="P2180" i="1"/>
  <c r="M2180" i="1"/>
  <c r="P2179" i="1"/>
  <c r="M2179" i="1"/>
  <c r="P2178" i="1"/>
  <c r="M2178" i="1"/>
  <c r="P2177" i="1"/>
  <c r="M2177" i="1"/>
  <c r="P2176" i="1"/>
  <c r="M2176" i="1"/>
  <c r="P2175" i="1"/>
  <c r="M2175" i="1"/>
  <c r="P2174" i="1"/>
  <c r="M2174" i="1"/>
  <c r="P2173" i="1"/>
  <c r="M2173" i="1"/>
  <c r="P2172" i="1"/>
  <c r="M2172" i="1"/>
  <c r="P2171" i="1"/>
  <c r="M2171" i="1"/>
  <c r="P2170" i="1"/>
  <c r="M2170" i="1"/>
  <c r="P2169" i="1"/>
  <c r="M2169" i="1"/>
  <c r="P2168" i="1"/>
  <c r="M2168" i="1"/>
  <c r="P2167" i="1"/>
  <c r="M2167" i="1"/>
  <c r="P2166" i="1"/>
  <c r="M2166" i="1"/>
  <c r="P2165" i="1"/>
  <c r="M2165" i="1"/>
  <c r="P2164" i="1"/>
  <c r="M2164" i="1"/>
  <c r="P2163" i="1"/>
  <c r="M2163" i="1"/>
  <c r="P2162" i="1"/>
  <c r="M2162" i="1"/>
  <c r="P2161" i="1"/>
  <c r="M2161" i="1"/>
  <c r="P2160" i="1"/>
  <c r="M2160" i="1"/>
  <c r="J12" i="8"/>
  <c r="I12" i="8"/>
  <c r="H12" i="8"/>
  <c r="G12" i="8"/>
  <c r="F12" i="8"/>
  <c r="E12" i="8"/>
  <c r="D12" i="8"/>
  <c r="C12" i="8"/>
  <c r="AO69" i="5"/>
  <c r="AN69" i="5"/>
  <c r="AM69" i="5"/>
  <c r="AL69" i="5"/>
  <c r="AK69" i="5"/>
  <c r="AJ69" i="5"/>
  <c r="AI69" i="5"/>
  <c r="AH69" i="5"/>
  <c r="AG69" i="5"/>
  <c r="AF69" i="5"/>
  <c r="AE69" i="5"/>
  <c r="AD69" i="5"/>
  <c r="AC69" i="5"/>
  <c r="AB69" i="5"/>
  <c r="AA69" i="5"/>
  <c r="Z69" i="5"/>
  <c r="Y69" i="5"/>
  <c r="X69" i="5"/>
  <c r="W69" i="5"/>
  <c r="V69" i="5"/>
  <c r="U69" i="5"/>
  <c r="T69" i="5"/>
  <c r="S69" i="5"/>
  <c r="R69" i="5"/>
  <c r="Q69" i="5"/>
  <c r="P69" i="5"/>
  <c r="O69" i="5"/>
  <c r="N69" i="5"/>
  <c r="M69" i="5"/>
  <c r="L69" i="5"/>
  <c r="K69" i="5"/>
  <c r="J69" i="5"/>
  <c r="I69" i="5"/>
  <c r="H69" i="5"/>
  <c r="G69" i="5"/>
  <c r="F69" i="5"/>
  <c r="E69" i="5"/>
  <c r="P2159" i="1"/>
  <c r="M2159" i="1"/>
  <c r="P2158" i="1"/>
  <c r="M2158" i="1"/>
  <c r="P2157" i="1"/>
  <c r="M2157" i="1"/>
  <c r="P2156" i="1"/>
  <c r="M2156" i="1"/>
  <c r="P2155" i="1"/>
  <c r="M2155" i="1"/>
  <c r="P2154" i="1"/>
  <c r="M2154" i="1"/>
  <c r="P2153" i="1"/>
  <c r="M2153" i="1"/>
  <c r="P2152" i="1"/>
  <c r="M2152" i="1"/>
  <c r="P2151" i="1"/>
  <c r="M2151" i="1"/>
  <c r="P2150" i="1"/>
  <c r="M2150" i="1"/>
  <c r="P2149" i="1"/>
  <c r="M2149" i="1"/>
  <c r="P2148" i="1"/>
  <c r="M2148" i="1"/>
  <c r="P2147" i="1"/>
  <c r="M2147" i="1"/>
  <c r="P2146" i="1"/>
  <c r="M2146" i="1"/>
  <c r="P2145" i="1"/>
  <c r="M2145" i="1"/>
  <c r="P2144" i="1"/>
  <c r="M2144" i="1"/>
  <c r="P2143" i="1"/>
  <c r="M2143" i="1"/>
  <c r="P2142" i="1"/>
  <c r="M2142" i="1"/>
  <c r="AI44" i="5"/>
  <c r="P2141" i="1"/>
  <c r="M2141" i="1"/>
  <c r="P2140" i="1"/>
  <c r="M2140" i="1"/>
  <c r="P2139" i="1"/>
  <c r="M2139" i="1"/>
  <c r="P2138" i="1"/>
  <c r="M2138" i="1"/>
  <c r="P2137" i="1"/>
  <c r="M2137" i="1"/>
  <c r="P2136" i="1"/>
  <c r="M2136" i="1"/>
  <c r="P2135" i="1"/>
  <c r="M2135" i="1"/>
  <c r="P2134" i="1"/>
  <c r="M2134" i="1"/>
  <c r="P2133" i="1"/>
  <c r="M2133" i="1"/>
  <c r="P2132" i="1"/>
  <c r="M2132" i="1"/>
  <c r="P2131" i="1"/>
  <c r="M2131" i="1"/>
  <c r="P2130" i="1"/>
  <c r="M2130" i="1"/>
  <c r="P2129" i="1"/>
  <c r="M2129" i="1"/>
  <c r="P2128" i="1"/>
  <c r="M2128" i="1"/>
  <c r="P2127" i="1"/>
  <c r="M2127" i="1"/>
  <c r="P2126" i="1"/>
  <c r="M2126" i="1"/>
  <c r="P2125" i="1"/>
  <c r="M2125" i="1"/>
  <c r="P2124" i="1"/>
  <c r="M2124" i="1"/>
  <c r="P2123" i="1"/>
  <c r="M2123" i="1"/>
  <c r="E15" i="12"/>
  <c r="J111" i="8"/>
  <c r="I111" i="8"/>
  <c r="H111" i="8"/>
  <c r="G111" i="8"/>
  <c r="F111" i="8"/>
  <c r="E111" i="8"/>
  <c r="D111" i="8"/>
  <c r="C111" i="8"/>
  <c r="AO133" i="5"/>
  <c r="AN133" i="5"/>
  <c r="AM133" i="5"/>
  <c r="AL133" i="5"/>
  <c r="AK133" i="5"/>
  <c r="AJ133" i="5"/>
  <c r="AI133" i="5"/>
  <c r="AH133" i="5"/>
  <c r="AG133" i="5"/>
  <c r="AF133" i="5"/>
  <c r="AE133" i="5"/>
  <c r="AD133" i="5"/>
  <c r="AC133" i="5"/>
  <c r="AB133" i="5"/>
  <c r="AA133" i="5"/>
  <c r="Z133" i="5"/>
  <c r="Y133" i="5"/>
  <c r="X133" i="5"/>
  <c r="W133" i="5"/>
  <c r="V133" i="5"/>
  <c r="U133" i="5"/>
  <c r="T133" i="5"/>
  <c r="S133" i="5"/>
  <c r="R133" i="5"/>
  <c r="Q133" i="5"/>
  <c r="P133" i="5"/>
  <c r="O133" i="5"/>
  <c r="N133" i="5"/>
  <c r="M133" i="5"/>
  <c r="L133" i="5"/>
  <c r="K133" i="5"/>
  <c r="J133" i="5"/>
  <c r="I133" i="5"/>
  <c r="H133" i="5"/>
  <c r="G133" i="5"/>
  <c r="F133" i="5"/>
  <c r="E133" i="5"/>
  <c r="E134" i="5"/>
  <c r="F134" i="5"/>
  <c r="G134" i="5"/>
  <c r="H134" i="5"/>
  <c r="I134" i="5"/>
  <c r="J134" i="5"/>
  <c r="K134" i="5"/>
  <c r="L134" i="5"/>
  <c r="M134" i="5"/>
  <c r="N134" i="5"/>
  <c r="O134" i="5"/>
  <c r="P134" i="5"/>
  <c r="Q134" i="5"/>
  <c r="R134" i="5"/>
  <c r="S134" i="5"/>
  <c r="T134" i="5"/>
  <c r="U134" i="5"/>
  <c r="V134" i="5"/>
  <c r="W134" i="5"/>
  <c r="X134" i="5"/>
  <c r="Y134" i="5"/>
  <c r="Z134" i="5"/>
  <c r="AA134" i="5"/>
  <c r="AB134" i="5"/>
  <c r="AC134" i="5"/>
  <c r="AD134" i="5"/>
  <c r="AE134" i="5"/>
  <c r="AF134" i="5"/>
  <c r="AG134" i="5"/>
  <c r="AH134" i="5"/>
  <c r="AI134" i="5"/>
  <c r="AJ134" i="5"/>
  <c r="AK134" i="5"/>
  <c r="AL134" i="5"/>
  <c r="AM134" i="5"/>
  <c r="AN134" i="5"/>
  <c r="AO134" i="5"/>
  <c r="P2122" i="1"/>
  <c r="M2122" i="1"/>
  <c r="P2121" i="1"/>
  <c r="M2121" i="1"/>
  <c r="P2120" i="1"/>
  <c r="M2120" i="1"/>
  <c r="P2119" i="1"/>
  <c r="M2119" i="1"/>
  <c r="P2118" i="1"/>
  <c r="M2118" i="1"/>
  <c r="M2117" i="1"/>
  <c r="P2117" i="1"/>
  <c r="P2116" i="1"/>
  <c r="M2116" i="1"/>
  <c r="P2115" i="1"/>
  <c r="M2115" i="1"/>
  <c r="P2114" i="1"/>
  <c r="M2114" i="1"/>
  <c r="P2113" i="1"/>
  <c r="M2113" i="1"/>
  <c r="P2112" i="1"/>
  <c r="M2112" i="1"/>
  <c r="AO73" i="5"/>
  <c r="AN73" i="5"/>
  <c r="AM73" i="5"/>
  <c r="AL73" i="5"/>
  <c r="AK73" i="5"/>
  <c r="AJ73" i="5"/>
  <c r="AI73" i="5"/>
  <c r="AH73" i="5"/>
  <c r="AG73" i="5"/>
  <c r="AF73" i="5"/>
  <c r="AE73" i="5"/>
  <c r="AD73" i="5"/>
  <c r="AC73" i="5"/>
  <c r="AB73" i="5"/>
  <c r="AA73" i="5"/>
  <c r="Z73" i="5"/>
  <c r="Y73" i="5"/>
  <c r="X73" i="5"/>
  <c r="W73" i="5"/>
  <c r="V73" i="5"/>
  <c r="U73" i="5"/>
  <c r="T73" i="5"/>
  <c r="S73" i="5"/>
  <c r="R73" i="5"/>
  <c r="Q73" i="5"/>
  <c r="P73" i="5"/>
  <c r="O73" i="5"/>
  <c r="N73" i="5"/>
  <c r="M73" i="5"/>
  <c r="L73" i="5"/>
  <c r="K73" i="5"/>
  <c r="J73" i="5"/>
  <c r="I73" i="5"/>
  <c r="H73" i="5"/>
  <c r="G73" i="5"/>
  <c r="F73" i="5"/>
  <c r="E73" i="5"/>
  <c r="P2111" i="1"/>
  <c r="M2111" i="1"/>
  <c r="P2110" i="1"/>
  <c r="M2110" i="1"/>
  <c r="AC147" i="5"/>
  <c r="AB147" i="5"/>
  <c r="Z147" i="5"/>
  <c r="Y147" i="5"/>
  <c r="W147" i="5"/>
  <c r="V147" i="5"/>
  <c r="U147" i="5"/>
  <c r="T147" i="5"/>
  <c r="S147" i="5"/>
  <c r="R147" i="5"/>
  <c r="Q147" i="5"/>
  <c r="P147" i="5"/>
  <c r="O147" i="5"/>
  <c r="N147" i="5"/>
  <c r="M147" i="5"/>
  <c r="L147" i="5"/>
  <c r="K147" i="5"/>
  <c r="J147" i="5"/>
  <c r="I147" i="5"/>
  <c r="H147" i="5"/>
  <c r="G147" i="5"/>
  <c r="F147" i="5"/>
  <c r="AC146" i="5"/>
  <c r="AB146" i="5"/>
  <c r="AA146" i="5"/>
  <c r="Z146" i="5"/>
  <c r="Y146" i="5"/>
  <c r="X146" i="5"/>
  <c r="W146" i="5"/>
  <c r="V146" i="5"/>
  <c r="U146" i="5"/>
  <c r="T146" i="5"/>
  <c r="S146" i="5"/>
  <c r="R146" i="5"/>
  <c r="Q146" i="5"/>
  <c r="P146" i="5"/>
  <c r="O146" i="5"/>
  <c r="N146" i="5"/>
  <c r="M146" i="5"/>
  <c r="L146" i="5"/>
  <c r="K146" i="5"/>
  <c r="J146" i="5"/>
  <c r="I146" i="5"/>
  <c r="H146" i="5"/>
  <c r="G146" i="5"/>
  <c r="F146" i="5"/>
  <c r="P2109" i="1"/>
  <c r="M2109" i="1"/>
  <c r="P2108" i="1"/>
  <c r="M2108" i="1"/>
  <c r="P2107" i="1"/>
  <c r="M2107" i="1"/>
  <c r="P2106" i="1"/>
  <c r="M2106" i="1"/>
  <c r="P2105" i="1"/>
  <c r="M2105" i="1"/>
  <c r="P2104" i="1"/>
  <c r="M2104" i="1"/>
  <c r="M2103" i="1"/>
  <c r="P2103" i="1"/>
  <c r="P2102" i="1"/>
  <c r="M2102" i="1"/>
  <c r="P2101" i="1"/>
  <c r="M2101" i="1"/>
  <c r="P2100" i="1"/>
  <c r="M2100" i="1"/>
  <c r="P2099" i="1"/>
  <c r="M2099" i="1"/>
  <c r="P2096" i="1"/>
  <c r="P2098" i="1"/>
  <c r="M2098" i="1"/>
  <c r="P2097" i="1"/>
  <c r="M2097" i="1"/>
  <c r="M2096" i="1"/>
  <c r="P2095" i="1"/>
  <c r="M2095" i="1"/>
  <c r="P2094" i="1"/>
  <c r="M2094" i="1"/>
  <c r="P2093" i="1"/>
  <c r="M2093" i="1"/>
  <c r="P2092" i="1"/>
  <c r="M2092" i="1"/>
  <c r="P2091" i="1"/>
  <c r="M2091" i="1"/>
  <c r="P2090" i="1"/>
  <c r="M2090" i="1"/>
  <c r="M2089" i="1"/>
  <c r="P2089" i="1"/>
  <c r="P2088" i="1"/>
  <c r="M2088" i="1"/>
  <c r="P2087" i="1"/>
  <c r="M2087" i="1"/>
  <c r="P2086" i="1"/>
  <c r="M2086" i="1"/>
  <c r="P2085" i="1"/>
  <c r="M2085" i="1"/>
  <c r="P2083" i="1"/>
  <c r="M2083" i="1"/>
  <c r="P2082" i="1"/>
  <c r="M2082" i="1"/>
  <c r="P2081" i="1"/>
  <c r="M2081" i="1"/>
  <c r="P2080" i="1"/>
  <c r="M2080" i="1"/>
  <c r="P2079" i="1"/>
  <c r="M2079" i="1"/>
  <c r="P2075" i="1"/>
  <c r="P2078" i="1"/>
  <c r="M2078" i="1"/>
  <c r="P2077" i="1"/>
  <c r="M2077" i="1"/>
  <c r="P2076" i="1"/>
  <c r="M2076" i="1"/>
  <c r="M2075" i="1"/>
  <c r="P2074" i="1"/>
  <c r="M2074" i="1"/>
  <c r="P2073" i="1"/>
  <c r="M2073" i="1"/>
  <c r="P2072" i="1"/>
  <c r="M2072" i="1"/>
  <c r="P2071" i="1"/>
  <c r="M2071" i="1"/>
  <c r="P2070" i="1"/>
  <c r="M2070" i="1"/>
  <c r="AO128" i="5"/>
  <c r="AN128" i="5"/>
  <c r="AM128" i="5"/>
  <c r="AL128" i="5"/>
  <c r="AK128" i="5"/>
  <c r="AJ128" i="5"/>
  <c r="AI128" i="5"/>
  <c r="AH128" i="5"/>
  <c r="AG128" i="5"/>
  <c r="AF128" i="5"/>
  <c r="AE128" i="5"/>
  <c r="AD128" i="5"/>
  <c r="AC128" i="5"/>
  <c r="AB128" i="5"/>
  <c r="AA128" i="5"/>
  <c r="Z128" i="5"/>
  <c r="Y128" i="5"/>
  <c r="X128" i="5"/>
  <c r="W128" i="5"/>
  <c r="V128" i="5"/>
  <c r="U128" i="5"/>
  <c r="T128" i="5"/>
  <c r="S128" i="5"/>
  <c r="R128" i="5"/>
  <c r="Q128" i="5"/>
  <c r="P128" i="5"/>
  <c r="O128" i="5"/>
  <c r="N128" i="5"/>
  <c r="M128" i="5"/>
  <c r="L128" i="5"/>
  <c r="K128" i="5"/>
  <c r="J128" i="5"/>
  <c r="I128" i="5"/>
  <c r="H128" i="5"/>
  <c r="G128" i="5"/>
  <c r="F128" i="5"/>
  <c r="E128" i="5"/>
  <c r="BB128" i="5"/>
  <c r="P2069" i="1"/>
  <c r="M2069" i="1"/>
  <c r="P2068" i="1"/>
  <c r="M2068" i="1"/>
  <c r="M2067" i="1"/>
  <c r="P2066" i="1"/>
  <c r="M2066" i="1"/>
  <c r="P2065" i="1"/>
  <c r="M2065" i="1"/>
  <c r="P2064" i="1"/>
  <c r="M2064" i="1"/>
  <c r="P2063" i="1"/>
  <c r="M2063" i="1"/>
  <c r="M2062" i="1"/>
  <c r="P2061" i="1"/>
  <c r="M2061" i="1"/>
  <c r="P2060" i="1"/>
  <c r="M2060" i="1"/>
  <c r="P2059" i="1"/>
  <c r="M2059" i="1"/>
  <c r="P2058" i="1"/>
  <c r="M2058" i="1"/>
  <c r="P2057" i="1"/>
  <c r="M2057" i="1"/>
  <c r="P2056" i="1"/>
  <c r="M2056" i="1"/>
  <c r="P2055" i="1"/>
  <c r="M2055" i="1"/>
  <c r="P2054" i="1"/>
  <c r="M2054" i="1"/>
  <c r="P2053" i="1"/>
  <c r="M2053" i="1"/>
  <c r="P2052" i="1"/>
  <c r="M2052" i="1"/>
  <c r="P2051" i="1"/>
  <c r="M2051" i="1"/>
  <c r="P2050" i="1"/>
  <c r="M2050" i="1"/>
  <c r="P2049" i="1"/>
  <c r="M2049" i="1"/>
  <c r="P2048" i="1"/>
  <c r="M2048" i="1"/>
  <c r="P2047" i="1"/>
  <c r="M2047" i="1"/>
  <c r="P2046" i="1"/>
  <c r="M2046" i="1"/>
  <c r="P2045" i="1"/>
  <c r="M2045" i="1"/>
  <c r="P2044" i="1"/>
  <c r="M2044" i="1"/>
  <c r="P2043" i="1"/>
  <c r="M2043" i="1"/>
  <c r="P2042" i="1"/>
  <c r="M2042" i="1"/>
  <c r="P2041" i="1"/>
  <c r="M2041" i="1"/>
  <c r="P2040" i="1"/>
  <c r="M2040" i="1"/>
  <c r="P2039" i="1"/>
  <c r="M2039" i="1"/>
  <c r="P2038" i="1"/>
  <c r="M2038" i="1"/>
  <c r="P2037" i="1"/>
  <c r="M2037" i="1"/>
  <c r="P2036" i="1"/>
  <c r="M2036" i="1"/>
  <c r="P2035" i="1"/>
  <c r="M2035" i="1"/>
  <c r="P2034" i="1"/>
  <c r="M2034" i="1"/>
  <c r="P2033" i="1"/>
  <c r="M2033" i="1"/>
  <c r="P2032" i="1"/>
  <c r="M2032" i="1"/>
  <c r="P2031" i="1"/>
  <c r="M2031" i="1"/>
  <c r="P2030" i="1"/>
  <c r="M2030" i="1"/>
  <c r="P2029" i="1"/>
  <c r="M2029" i="1"/>
  <c r="P2028" i="1"/>
  <c r="M2028" i="1"/>
  <c r="P2027" i="1"/>
  <c r="M2027" i="1"/>
  <c r="P2026" i="1"/>
  <c r="M2026" i="1"/>
  <c r="P2025" i="1"/>
  <c r="M2025" i="1"/>
  <c r="P2024" i="1"/>
  <c r="M2024" i="1"/>
  <c r="P2023" i="1"/>
  <c r="M2023" i="1"/>
  <c r="P2022" i="1"/>
  <c r="M2022" i="1"/>
  <c r="P2021" i="1"/>
  <c r="M2021" i="1"/>
  <c r="P2020" i="1"/>
  <c r="M2020" i="1"/>
  <c r="P2019" i="1"/>
  <c r="M2019" i="1"/>
  <c r="P2018" i="1"/>
  <c r="M2018" i="1"/>
  <c r="P2017" i="1"/>
  <c r="M2017" i="1"/>
  <c r="P2016" i="1"/>
  <c r="M2016" i="1"/>
  <c r="P2015" i="1"/>
  <c r="M2015" i="1"/>
  <c r="P2014" i="1"/>
  <c r="M2014" i="1"/>
  <c r="P2013" i="1"/>
  <c r="M2013" i="1"/>
  <c r="P2012" i="1"/>
  <c r="M2012" i="1"/>
  <c r="P2011" i="1"/>
  <c r="M2011" i="1"/>
  <c r="P2010" i="1"/>
  <c r="M2010" i="1"/>
  <c r="P2009" i="1"/>
  <c r="M2009" i="1"/>
  <c r="P2008" i="1"/>
  <c r="M2008" i="1"/>
  <c r="P2007" i="1"/>
  <c r="M2007" i="1"/>
  <c r="M2006" i="1"/>
  <c r="P2005" i="1"/>
  <c r="M2005" i="1"/>
  <c r="P2004" i="1"/>
  <c r="M2004" i="1"/>
  <c r="P2003" i="1"/>
  <c r="M2003" i="1"/>
  <c r="P2002" i="1"/>
  <c r="M2002" i="1"/>
  <c r="P2001" i="1"/>
  <c r="M2001" i="1"/>
  <c r="P2000" i="1"/>
  <c r="M2000" i="1"/>
  <c r="P1999" i="1"/>
  <c r="M1999" i="1"/>
  <c r="P1998" i="1"/>
  <c r="M1998" i="1"/>
  <c r="P1997" i="1"/>
  <c r="M1997" i="1"/>
  <c r="P1996" i="1"/>
  <c r="M1996" i="1"/>
  <c r="P1995" i="1"/>
  <c r="M1995" i="1"/>
  <c r="P1994" i="1"/>
  <c r="M1994" i="1"/>
  <c r="P1993" i="1"/>
  <c r="M1993" i="1"/>
  <c r="P1992" i="1"/>
  <c r="M1992" i="1"/>
  <c r="P1991" i="1"/>
  <c r="M1991" i="1"/>
  <c r="P1677" i="1"/>
  <c r="P1884" i="1"/>
  <c r="P1990" i="1"/>
  <c r="M1990" i="1"/>
  <c r="P1989" i="1"/>
  <c r="M1989" i="1"/>
  <c r="P1988" i="1"/>
  <c r="M1988" i="1"/>
  <c r="P1987" i="1"/>
  <c r="M1987" i="1"/>
  <c r="P1986" i="1"/>
  <c r="M1986" i="1"/>
  <c r="P1985" i="1"/>
  <c r="M1985" i="1"/>
  <c r="P1984" i="1"/>
  <c r="M1984" i="1"/>
  <c r="P1983" i="1"/>
  <c r="M1983" i="1"/>
  <c r="P1982" i="1"/>
  <c r="M1982" i="1"/>
  <c r="P1981" i="1"/>
  <c r="M1981" i="1"/>
  <c r="P1980" i="1"/>
  <c r="M1980" i="1"/>
  <c r="P1979" i="1"/>
  <c r="M1979" i="1"/>
  <c r="P1978" i="1"/>
  <c r="M1978" i="1"/>
  <c r="P1977" i="1"/>
  <c r="M1977" i="1"/>
  <c r="P1976" i="1"/>
  <c r="M1976" i="1"/>
  <c r="P1975" i="1"/>
  <c r="M1975" i="1"/>
  <c r="P1974" i="1"/>
  <c r="M1974" i="1"/>
  <c r="P1973" i="1"/>
  <c r="M1973" i="1"/>
  <c r="P1972" i="1"/>
  <c r="M1972" i="1"/>
  <c r="P1971" i="1"/>
  <c r="M1971" i="1"/>
  <c r="P1970" i="1"/>
  <c r="M1970" i="1"/>
  <c r="P1969" i="1"/>
  <c r="M1969" i="1"/>
  <c r="M1968" i="1"/>
  <c r="P1967" i="1"/>
  <c r="M1967" i="1"/>
  <c r="P1966" i="1"/>
  <c r="M1966" i="1"/>
  <c r="C109" i="8"/>
  <c r="D109" i="8"/>
  <c r="E109" i="8"/>
  <c r="F109" i="8"/>
  <c r="G109" i="8"/>
  <c r="H109" i="8"/>
  <c r="I109" i="8"/>
  <c r="J109" i="8"/>
  <c r="P1965" i="1"/>
  <c r="M1965" i="1"/>
  <c r="P1964" i="1"/>
  <c r="M1964" i="1"/>
  <c r="P1963" i="1"/>
  <c r="M1963" i="1"/>
  <c r="P1962" i="1"/>
  <c r="M1962" i="1"/>
  <c r="P1961" i="1"/>
  <c r="M1961" i="1"/>
  <c r="P1960" i="1"/>
  <c r="M1960" i="1"/>
  <c r="P1959" i="1"/>
  <c r="M1959" i="1"/>
  <c r="P1958" i="1"/>
  <c r="M1958" i="1"/>
  <c r="P1957" i="1"/>
  <c r="M1957" i="1"/>
  <c r="P1956" i="1"/>
  <c r="M1956" i="1"/>
  <c r="P1955" i="1"/>
  <c r="M1955" i="1"/>
  <c r="P1954" i="1"/>
  <c r="M1954" i="1"/>
  <c r="P1953" i="1"/>
  <c r="M1953" i="1"/>
  <c r="P1952" i="1"/>
  <c r="M1952" i="1"/>
  <c r="P1951" i="1"/>
  <c r="M1951" i="1"/>
  <c r="P1950" i="1"/>
  <c r="M1950" i="1"/>
  <c r="AO104" i="5"/>
  <c r="AN104" i="5"/>
  <c r="AM104" i="5"/>
  <c r="AL104" i="5"/>
  <c r="AK104" i="5"/>
  <c r="AJ104" i="5"/>
  <c r="AI104" i="5"/>
  <c r="AH104" i="5"/>
  <c r="AG104" i="5"/>
  <c r="AF104" i="5"/>
  <c r="AE104" i="5"/>
  <c r="AD104" i="5"/>
  <c r="AC104" i="5"/>
  <c r="AB104" i="5"/>
  <c r="AA104" i="5"/>
  <c r="Z104" i="5"/>
  <c r="Y104" i="5"/>
  <c r="X104" i="5"/>
  <c r="W104" i="5"/>
  <c r="V104" i="5"/>
  <c r="U104" i="5"/>
  <c r="T104" i="5"/>
  <c r="S104" i="5"/>
  <c r="R104" i="5"/>
  <c r="Q104" i="5"/>
  <c r="P104" i="5"/>
  <c r="O104" i="5"/>
  <c r="N104" i="5"/>
  <c r="M104" i="5"/>
  <c r="L104" i="5"/>
  <c r="K104" i="5"/>
  <c r="J104" i="5"/>
  <c r="I104" i="5"/>
  <c r="H104" i="5"/>
  <c r="G104" i="5"/>
  <c r="F104" i="5"/>
  <c r="E104" i="5"/>
  <c r="E105" i="5"/>
  <c r="F105" i="5"/>
  <c r="G105" i="5"/>
  <c r="H105" i="5"/>
  <c r="I105" i="5"/>
  <c r="J105" i="5"/>
  <c r="K105" i="5"/>
  <c r="L105" i="5"/>
  <c r="M105" i="5"/>
  <c r="N105" i="5"/>
  <c r="O105" i="5"/>
  <c r="P105" i="5"/>
  <c r="Q105" i="5"/>
  <c r="R105" i="5"/>
  <c r="S105" i="5"/>
  <c r="T105" i="5"/>
  <c r="U105" i="5"/>
  <c r="V105" i="5"/>
  <c r="W105" i="5"/>
  <c r="X105" i="5"/>
  <c r="Y105" i="5"/>
  <c r="Z105" i="5"/>
  <c r="AA105" i="5"/>
  <c r="AB105" i="5"/>
  <c r="AC105" i="5"/>
  <c r="AD105" i="5"/>
  <c r="AE105" i="5"/>
  <c r="AF105" i="5"/>
  <c r="AG105" i="5"/>
  <c r="AH105" i="5"/>
  <c r="AI105" i="5"/>
  <c r="AJ105" i="5"/>
  <c r="AK105" i="5"/>
  <c r="AL105" i="5"/>
  <c r="AM105" i="5"/>
  <c r="AN105" i="5"/>
  <c r="AO105" i="5"/>
  <c r="C108" i="9"/>
  <c r="P1949" i="1"/>
  <c r="M1949" i="1"/>
  <c r="P1948" i="1"/>
  <c r="M1948" i="1"/>
  <c r="P1947" i="1"/>
  <c r="M1947" i="1"/>
  <c r="P1946" i="1"/>
  <c r="M1946" i="1"/>
  <c r="P1945" i="1"/>
  <c r="M1945" i="1"/>
  <c r="P1944" i="1"/>
  <c r="M1944" i="1"/>
  <c r="P1943" i="1"/>
  <c r="M1943" i="1"/>
  <c r="P1942" i="1"/>
  <c r="M1942" i="1"/>
  <c r="P1941" i="1"/>
  <c r="M1941" i="1"/>
  <c r="P1940" i="1"/>
  <c r="M1940" i="1"/>
  <c r="P1939" i="1"/>
  <c r="M1939" i="1"/>
  <c r="P1938" i="1"/>
  <c r="M1938" i="1"/>
  <c r="P1937" i="1"/>
  <c r="M1937" i="1"/>
  <c r="P1936" i="1"/>
  <c r="M1936" i="1"/>
  <c r="P1935" i="1"/>
  <c r="M1935" i="1"/>
  <c r="P1934" i="1"/>
  <c r="M1934" i="1"/>
  <c r="P1933" i="1"/>
  <c r="M1933" i="1"/>
  <c r="P1932" i="1"/>
  <c r="M1932" i="1"/>
  <c r="P1931" i="1"/>
  <c r="M1931" i="1"/>
  <c r="P1930" i="1"/>
  <c r="M1930" i="1"/>
  <c r="P1929" i="1"/>
  <c r="M1929" i="1"/>
  <c r="P1928" i="1"/>
  <c r="M1928" i="1"/>
  <c r="P1927" i="1"/>
  <c r="M1927" i="1"/>
  <c r="P1926" i="1"/>
  <c r="M1926" i="1"/>
  <c r="P1925" i="1"/>
  <c r="M1925" i="1"/>
  <c r="P1924" i="1"/>
  <c r="M1924" i="1"/>
  <c r="P1923" i="1"/>
  <c r="M1923" i="1"/>
  <c r="P1922" i="1"/>
  <c r="M1922" i="1"/>
  <c r="AO41" i="5"/>
  <c r="AN41" i="5"/>
  <c r="AM41" i="5"/>
  <c r="E41" i="5"/>
  <c r="F41" i="5"/>
  <c r="G41" i="5"/>
  <c r="H41" i="5"/>
  <c r="I41" i="5"/>
  <c r="J41" i="5"/>
  <c r="K41" i="5"/>
  <c r="L41" i="5"/>
  <c r="M41" i="5"/>
  <c r="N41" i="5"/>
  <c r="O41" i="5"/>
  <c r="P41" i="5"/>
  <c r="Q41" i="5"/>
  <c r="R41" i="5"/>
  <c r="S41" i="5"/>
  <c r="T41" i="5"/>
  <c r="U41" i="5"/>
  <c r="Z41" i="5"/>
  <c r="AA41" i="5"/>
  <c r="AB41" i="5"/>
  <c r="AC41" i="5"/>
  <c r="AD41" i="5"/>
  <c r="AE41" i="5"/>
  <c r="AF41" i="5"/>
  <c r="AH41" i="5"/>
  <c r="AI41" i="5"/>
  <c r="AJ41" i="5"/>
  <c r="AK41" i="5"/>
  <c r="AL41" i="5"/>
  <c r="P1921" i="1"/>
  <c r="M1921" i="1"/>
  <c r="P1920" i="1"/>
  <c r="M1920" i="1"/>
  <c r="P1919" i="1"/>
  <c r="M1919" i="1"/>
  <c r="P1918" i="1"/>
  <c r="M1918" i="1"/>
  <c r="P1917" i="1"/>
  <c r="M1917" i="1"/>
  <c r="P1916" i="1"/>
  <c r="M1916" i="1"/>
  <c r="P1915" i="1"/>
  <c r="M1915" i="1"/>
  <c r="P1914" i="1"/>
  <c r="M1914" i="1"/>
  <c r="P1913" i="1"/>
  <c r="M1913" i="1"/>
  <c r="P1912" i="1"/>
  <c r="M1912" i="1"/>
  <c r="P1911" i="1"/>
  <c r="M1911" i="1"/>
  <c r="P1910" i="1"/>
  <c r="M1910" i="1"/>
  <c r="P1909" i="1"/>
  <c r="M1909" i="1"/>
  <c r="P1908" i="1"/>
  <c r="M1908" i="1"/>
  <c r="P1907" i="1"/>
  <c r="M1907" i="1"/>
  <c r="P1906" i="1"/>
  <c r="M1906" i="1"/>
  <c r="P1905" i="1"/>
  <c r="M1905" i="1"/>
  <c r="P1904" i="1"/>
  <c r="M1904" i="1"/>
  <c r="P1903" i="1"/>
  <c r="M1903" i="1"/>
  <c r="P1902" i="1"/>
  <c r="M1902" i="1"/>
  <c r="P1901" i="1"/>
  <c r="M1901" i="1"/>
  <c r="P1900" i="1"/>
  <c r="M1900" i="1"/>
  <c r="M1899" i="1"/>
  <c r="P1899" i="1"/>
  <c r="P1898" i="1"/>
  <c r="M1898" i="1"/>
  <c r="P1897" i="1"/>
  <c r="M1897" i="1"/>
  <c r="P1896" i="1"/>
  <c r="M1896" i="1"/>
  <c r="P1895" i="1"/>
  <c r="M1895" i="1"/>
  <c r="P1894" i="1"/>
  <c r="M1894" i="1"/>
  <c r="P1893" i="1"/>
  <c r="M1893" i="1"/>
  <c r="P1892" i="1"/>
  <c r="M1892" i="1"/>
  <c r="P1891" i="1"/>
  <c r="M1891" i="1"/>
  <c r="P1890" i="1"/>
  <c r="M1890" i="1"/>
  <c r="P1889" i="1"/>
  <c r="M1889" i="1"/>
  <c r="P1888" i="1"/>
  <c r="M1888" i="1"/>
  <c r="P1887" i="1"/>
  <c r="M1887" i="1"/>
  <c r="P1886" i="1"/>
  <c r="M1886" i="1"/>
  <c r="P1885" i="1"/>
  <c r="M1885" i="1"/>
  <c r="AR75" i="4"/>
  <c r="AR74" i="4"/>
  <c r="AR48" i="4"/>
  <c r="AR47" i="4"/>
  <c r="AR46" i="4"/>
  <c r="AR45" i="4"/>
  <c r="AR44" i="4"/>
  <c r="AR43" i="4"/>
  <c r="AR42" i="4"/>
  <c r="AR41" i="4"/>
  <c r="AR40" i="4"/>
  <c r="AR39" i="4"/>
  <c r="AR38" i="4"/>
  <c r="AR37" i="4"/>
  <c r="AR36" i="4"/>
  <c r="AR35" i="4"/>
  <c r="AR34" i="4"/>
  <c r="AR33" i="4"/>
  <c r="AR32" i="4"/>
  <c r="AR31" i="4"/>
  <c r="AR30" i="4"/>
  <c r="AR29" i="4"/>
  <c r="AR28" i="4"/>
  <c r="AR27" i="4"/>
  <c r="AR26" i="4"/>
  <c r="AR25" i="4"/>
  <c r="AR24" i="4"/>
  <c r="AR23" i="4"/>
  <c r="AR22" i="4"/>
  <c r="AR21" i="4"/>
  <c r="AR20" i="4"/>
  <c r="AR19" i="4"/>
  <c r="AR18" i="4"/>
  <c r="AR17" i="4"/>
  <c r="M1884" i="1"/>
  <c r="P1883" i="1"/>
  <c r="M1883" i="1"/>
  <c r="P1882" i="1"/>
  <c r="M1882" i="1"/>
  <c r="P1881" i="1"/>
  <c r="M1881" i="1"/>
  <c r="P1880" i="1"/>
  <c r="M1880" i="1"/>
  <c r="P1879" i="1"/>
  <c r="M1879" i="1"/>
  <c r="P1878" i="1"/>
  <c r="M1878" i="1"/>
  <c r="P1877" i="1"/>
  <c r="M1877" i="1"/>
  <c r="P1876" i="1"/>
  <c r="M1876" i="1"/>
  <c r="P1875" i="1"/>
  <c r="M1875" i="1"/>
  <c r="P1874" i="1"/>
  <c r="M1874" i="1"/>
  <c r="P1873" i="1"/>
  <c r="M1873" i="1"/>
  <c r="P1872" i="1"/>
  <c r="M1872" i="1"/>
  <c r="P1871" i="1"/>
  <c r="M1871" i="1"/>
  <c r="M1870" i="1"/>
  <c r="P1869" i="1"/>
  <c r="M1869" i="1"/>
  <c r="P1868" i="1"/>
  <c r="M1868" i="1"/>
  <c r="P1867" i="1"/>
  <c r="M1867" i="1"/>
  <c r="P1866" i="1"/>
  <c r="M1866" i="1"/>
  <c r="P1865" i="1"/>
  <c r="M1865" i="1"/>
  <c r="P1864" i="1"/>
  <c r="M1864" i="1"/>
  <c r="P1863" i="1"/>
  <c r="M1863" i="1"/>
  <c r="P1862" i="1"/>
  <c r="M1862" i="1"/>
  <c r="P1861" i="1"/>
  <c r="M1861" i="1"/>
  <c r="P1860" i="1"/>
  <c r="M1860" i="1"/>
  <c r="P1859" i="1"/>
  <c r="M1859" i="1"/>
  <c r="P1858" i="1"/>
  <c r="M1858" i="1"/>
  <c r="P1857" i="1"/>
  <c r="M1857" i="1"/>
  <c r="P1856" i="1"/>
  <c r="M1856" i="1"/>
  <c r="P1855" i="1"/>
  <c r="M1855" i="1"/>
  <c r="P1854" i="1"/>
  <c r="M1854" i="1"/>
  <c r="P1853" i="1"/>
  <c r="M1853" i="1"/>
  <c r="P1852" i="1"/>
  <c r="M1852" i="1"/>
  <c r="P1851" i="1"/>
  <c r="M1851" i="1"/>
  <c r="P1850" i="1"/>
  <c r="M1850" i="1"/>
  <c r="P1849" i="1"/>
  <c r="M1849" i="1"/>
  <c r="P1848" i="1"/>
  <c r="M1848" i="1"/>
  <c r="P1847" i="1"/>
  <c r="M1847" i="1"/>
  <c r="P1846" i="1"/>
  <c r="M1846" i="1"/>
  <c r="P1845" i="1"/>
  <c r="M1845" i="1"/>
  <c r="P1844" i="1"/>
  <c r="M1844" i="1"/>
  <c r="P1843" i="1"/>
  <c r="M1843" i="1"/>
  <c r="P1842" i="1"/>
  <c r="M1842" i="1"/>
  <c r="P1841" i="1"/>
  <c r="M1841" i="1"/>
  <c r="P1840" i="1"/>
  <c r="M1840" i="1"/>
  <c r="P1839" i="1"/>
  <c r="M1839" i="1"/>
  <c r="P1838" i="1"/>
  <c r="M1838" i="1"/>
  <c r="P1837" i="1"/>
  <c r="M1837" i="1"/>
  <c r="P1836" i="1"/>
  <c r="M1836" i="1"/>
  <c r="P1835" i="1"/>
  <c r="M1835" i="1"/>
  <c r="P1834" i="1"/>
  <c r="M1834" i="1"/>
  <c r="P1833" i="1"/>
  <c r="M1833" i="1"/>
  <c r="P1832" i="1"/>
  <c r="M1832" i="1"/>
  <c r="AD127" i="5"/>
  <c r="P1831" i="1"/>
  <c r="M1831" i="1"/>
  <c r="P1830" i="1"/>
  <c r="M1830" i="1"/>
  <c r="P1829" i="1"/>
  <c r="M1829" i="1"/>
  <c r="P1828" i="1"/>
  <c r="M1828" i="1"/>
  <c r="P1827" i="1"/>
  <c r="M1827" i="1"/>
  <c r="P1826" i="1"/>
  <c r="M1826" i="1"/>
  <c r="P1825" i="1"/>
  <c r="M1825" i="1"/>
  <c r="P1824" i="1"/>
  <c r="M1824" i="1"/>
  <c r="P1823" i="1"/>
  <c r="M1823" i="1"/>
  <c r="P1822" i="1"/>
  <c r="M1822" i="1"/>
  <c r="P1821" i="1"/>
  <c r="M1821" i="1"/>
  <c r="P1820" i="1"/>
  <c r="M1820" i="1"/>
  <c r="P1819" i="1"/>
  <c r="M1819" i="1"/>
  <c r="P1818" i="1"/>
  <c r="M1818" i="1"/>
  <c r="P1817" i="1"/>
  <c r="M1817" i="1"/>
  <c r="P1816" i="1"/>
  <c r="M1816" i="1"/>
  <c r="P1815" i="1"/>
  <c r="M1815" i="1"/>
  <c r="P1814" i="1"/>
  <c r="M1814" i="1"/>
  <c r="P1813" i="1"/>
  <c r="M1813" i="1"/>
  <c r="P1812" i="1"/>
  <c r="M1812" i="1"/>
  <c r="P1811" i="1"/>
  <c r="M1811" i="1"/>
  <c r="P1810" i="1"/>
  <c r="M1810" i="1"/>
  <c r="P1809" i="1"/>
  <c r="M1809" i="1"/>
  <c r="P1808" i="1"/>
  <c r="M1808" i="1"/>
  <c r="P1807" i="1"/>
  <c r="M1807" i="1"/>
  <c r="M1806" i="1"/>
  <c r="P1806" i="1"/>
  <c r="P1805" i="1"/>
  <c r="M1805" i="1"/>
  <c r="P1804" i="1"/>
  <c r="M1804" i="1"/>
  <c r="P1803" i="1"/>
  <c r="M1803" i="1"/>
  <c r="P1802" i="1"/>
  <c r="M1802" i="1"/>
  <c r="P1801" i="1"/>
  <c r="M1801" i="1"/>
  <c r="P1800" i="1"/>
  <c r="M1800" i="1"/>
  <c r="P1799" i="1"/>
  <c r="M1799" i="1"/>
  <c r="P1798" i="1"/>
  <c r="M1798" i="1"/>
  <c r="P1797" i="1"/>
  <c r="M1797" i="1"/>
  <c r="P1796" i="1"/>
  <c r="M1796" i="1"/>
  <c r="P1795" i="1"/>
  <c r="M1795" i="1"/>
  <c r="P1794" i="1"/>
  <c r="M1794" i="1"/>
  <c r="P1793" i="1"/>
  <c r="M1793" i="1"/>
  <c r="P1792" i="1"/>
  <c r="M1792" i="1"/>
  <c r="P1791" i="1"/>
  <c r="M1791" i="1"/>
  <c r="P1790" i="1"/>
  <c r="M1790" i="1"/>
  <c r="P1789" i="1"/>
  <c r="M1789" i="1"/>
  <c r="P1788" i="1"/>
  <c r="M1788" i="1"/>
  <c r="P1787" i="1"/>
  <c r="M1787" i="1"/>
  <c r="P1786" i="1"/>
  <c r="M1786" i="1"/>
  <c r="P1785" i="1"/>
  <c r="M1785" i="1"/>
  <c r="P1784" i="1"/>
  <c r="M1784" i="1"/>
  <c r="AB85" i="5"/>
  <c r="AC85" i="5"/>
  <c r="P1783" i="1"/>
  <c r="M1783" i="1"/>
  <c r="P1782" i="1"/>
  <c r="M1782" i="1"/>
  <c r="J11" i="8"/>
  <c r="I11" i="8"/>
  <c r="H11" i="8"/>
  <c r="G11" i="8"/>
  <c r="F11" i="8"/>
  <c r="E11" i="8"/>
  <c r="D11" i="8"/>
  <c r="C11" i="8"/>
  <c r="E68" i="5"/>
  <c r="F68" i="5"/>
  <c r="G68" i="5"/>
  <c r="H68" i="5"/>
  <c r="I68" i="5"/>
  <c r="J68" i="5"/>
  <c r="K68" i="5"/>
  <c r="L68" i="5"/>
  <c r="M68" i="5"/>
  <c r="N68" i="5"/>
  <c r="O68" i="5"/>
  <c r="P68" i="5"/>
  <c r="Q68" i="5"/>
  <c r="R68" i="5"/>
  <c r="S68" i="5"/>
  <c r="T68" i="5"/>
  <c r="U68" i="5"/>
  <c r="V68" i="5"/>
  <c r="W68" i="5"/>
  <c r="X68" i="5"/>
  <c r="Y68" i="5"/>
  <c r="Z68" i="5"/>
  <c r="AA68" i="5"/>
  <c r="AB68" i="5"/>
  <c r="AC68" i="5"/>
  <c r="AD68" i="5"/>
  <c r="AE68" i="5"/>
  <c r="AF68" i="5"/>
  <c r="AG68" i="5"/>
  <c r="AH68" i="5"/>
  <c r="AI68" i="5"/>
  <c r="AJ68" i="5"/>
  <c r="AK68" i="5"/>
  <c r="AL68" i="5"/>
  <c r="AM68" i="5"/>
  <c r="AN68" i="5"/>
  <c r="AO68" i="5"/>
  <c r="AI2" i="5"/>
  <c r="AI3" i="5"/>
  <c r="AI4" i="5"/>
  <c r="AI5" i="5"/>
  <c r="AI6" i="5"/>
  <c r="AI7" i="5"/>
  <c r="AI8" i="5"/>
  <c r="AI9" i="5"/>
  <c r="AI11" i="5"/>
  <c r="AI12" i="5"/>
  <c r="AI13" i="5"/>
  <c r="AI14" i="5"/>
  <c r="AI15" i="5"/>
  <c r="AI16" i="5"/>
  <c r="AI17" i="5"/>
  <c r="AI18" i="5"/>
  <c r="AI19" i="5"/>
  <c r="AI20" i="5"/>
  <c r="AI21" i="5"/>
  <c r="AI22" i="5"/>
  <c r="AI23" i="5"/>
  <c r="AI24" i="5"/>
  <c r="AI25" i="5"/>
  <c r="AI26" i="5"/>
  <c r="AI27" i="5"/>
  <c r="AI28" i="5"/>
  <c r="AI29" i="5"/>
  <c r="AI30" i="5"/>
  <c r="AI31" i="5"/>
  <c r="AI32" i="5"/>
  <c r="AI33" i="5"/>
  <c r="AI35" i="5"/>
  <c r="AI36" i="5"/>
  <c r="AI38" i="5"/>
  <c r="AI39" i="5"/>
  <c r="AI40" i="5"/>
  <c r="AI42" i="5"/>
  <c r="AI43" i="5"/>
  <c r="AI46" i="5"/>
  <c r="AI47" i="5"/>
  <c r="AI48" i="5"/>
  <c r="AI49" i="5"/>
  <c r="AI50" i="5"/>
  <c r="AI52" i="5"/>
  <c r="AI53" i="5"/>
  <c r="AI54" i="5"/>
  <c r="AI55" i="5"/>
  <c r="AI56" i="5"/>
  <c r="AI57" i="5"/>
  <c r="AI58" i="5"/>
  <c r="AI59" i="5"/>
  <c r="AI60" i="5"/>
  <c r="AI61" i="5"/>
  <c r="AI62" i="5"/>
  <c r="AI63" i="5"/>
  <c r="AI64" i="5"/>
  <c r="AI65" i="5"/>
  <c r="AI66" i="5"/>
  <c r="AI67" i="5"/>
  <c r="AI70" i="5"/>
  <c r="AI71" i="5"/>
  <c r="AI72" i="5"/>
  <c r="AI74" i="5"/>
  <c r="AI75" i="5"/>
  <c r="AI76" i="5"/>
  <c r="AI77" i="5"/>
  <c r="AI78" i="5"/>
  <c r="AI79" i="5"/>
  <c r="AI80" i="5"/>
  <c r="AI81" i="5"/>
  <c r="AI82" i="5"/>
  <c r="AI83" i="5"/>
  <c r="AI85" i="5"/>
  <c r="AI86" i="5"/>
  <c r="AI87" i="5"/>
  <c r="AI88" i="5"/>
  <c r="AI89" i="5"/>
  <c r="AI90" i="5"/>
  <c r="AI91" i="5"/>
  <c r="AI92" i="5"/>
  <c r="AI93" i="5"/>
  <c r="AI94" i="5"/>
  <c r="AI95" i="5"/>
  <c r="AI96" i="5"/>
  <c r="AI97" i="5"/>
  <c r="AI98" i="5"/>
  <c r="AI99" i="5"/>
  <c r="AI100" i="5"/>
  <c r="AI101" i="5"/>
  <c r="AI103" i="5"/>
  <c r="AI106" i="5"/>
  <c r="AI107" i="5"/>
  <c r="AI108" i="5"/>
  <c r="AI109" i="5"/>
  <c r="AI110" i="5"/>
  <c r="AI111" i="5"/>
  <c r="AI112" i="5"/>
  <c r="AI113" i="5"/>
  <c r="AI115" i="5"/>
  <c r="AI116" i="5"/>
  <c r="AI117" i="5"/>
  <c r="AI118" i="5"/>
  <c r="AI119" i="5"/>
  <c r="AI120" i="5"/>
  <c r="AI121" i="5"/>
  <c r="AI122" i="5"/>
  <c r="AI123" i="5"/>
  <c r="AI124" i="5"/>
  <c r="AI125" i="5"/>
  <c r="AI126" i="5"/>
  <c r="AI127" i="5"/>
  <c r="AI130" i="5"/>
  <c r="AI131" i="5"/>
  <c r="AI132" i="5"/>
  <c r="AI136" i="5"/>
  <c r="AI137" i="5"/>
  <c r="AI138" i="5"/>
  <c r="AI139" i="5"/>
  <c r="AI140" i="5"/>
  <c r="AI141" i="5"/>
  <c r="E12" i="5"/>
  <c r="F12" i="5"/>
  <c r="G12" i="5"/>
  <c r="H12" i="5"/>
  <c r="I12" i="5"/>
  <c r="J12" i="5"/>
  <c r="K12" i="5"/>
  <c r="L12" i="5"/>
  <c r="M12" i="5"/>
  <c r="N12" i="5"/>
  <c r="O12" i="5"/>
  <c r="P12" i="5"/>
  <c r="Q12" i="5"/>
  <c r="R12" i="5"/>
  <c r="S12" i="5"/>
  <c r="T12" i="5"/>
  <c r="U12" i="5"/>
  <c r="V12" i="5"/>
  <c r="W12" i="5"/>
  <c r="X12" i="5"/>
  <c r="Y12" i="5"/>
  <c r="Z12" i="5"/>
  <c r="AA12" i="5"/>
  <c r="AB12" i="5"/>
  <c r="AC12" i="5"/>
  <c r="AD12" i="5"/>
  <c r="AE12" i="5"/>
  <c r="AF12" i="5"/>
  <c r="AG12" i="5"/>
  <c r="AJ12" i="5"/>
  <c r="AK12" i="5"/>
  <c r="AL12" i="5"/>
  <c r="AM12" i="5"/>
  <c r="AN12" i="5"/>
  <c r="AO12" i="5"/>
  <c r="E14" i="5"/>
  <c r="F14" i="5"/>
  <c r="G14" i="5"/>
  <c r="H14" i="5"/>
  <c r="I14" i="5"/>
  <c r="J14" i="5"/>
  <c r="K14" i="5"/>
  <c r="L14" i="5"/>
  <c r="M14" i="5"/>
  <c r="N14" i="5"/>
  <c r="O14" i="5"/>
  <c r="P14" i="5"/>
  <c r="Q14" i="5"/>
  <c r="R14" i="5"/>
  <c r="S14" i="5"/>
  <c r="T14" i="5"/>
  <c r="U14" i="5"/>
  <c r="V14" i="5"/>
  <c r="W14" i="5"/>
  <c r="X14" i="5"/>
  <c r="Y14" i="5"/>
  <c r="Z14" i="5"/>
  <c r="AA14" i="5"/>
  <c r="AB14" i="5"/>
  <c r="AC14" i="5"/>
  <c r="AD14" i="5"/>
  <c r="AE14" i="5"/>
  <c r="AF14" i="5"/>
  <c r="AG14" i="5"/>
  <c r="AH14" i="5"/>
  <c r="AJ14" i="5"/>
  <c r="AK14" i="5"/>
  <c r="AL14" i="5"/>
  <c r="AM14" i="5"/>
  <c r="AN14" i="5"/>
  <c r="AO14" i="5"/>
  <c r="E16" i="5"/>
  <c r="F16" i="5"/>
  <c r="G16" i="5"/>
  <c r="H16" i="5"/>
  <c r="I16" i="5"/>
  <c r="J16" i="5"/>
  <c r="K16" i="5"/>
  <c r="L16" i="5"/>
  <c r="M16" i="5"/>
  <c r="N16" i="5"/>
  <c r="O16" i="5"/>
  <c r="P16" i="5"/>
  <c r="Q16" i="5"/>
  <c r="R16" i="5"/>
  <c r="S16" i="5"/>
  <c r="T16" i="5"/>
  <c r="U16" i="5"/>
  <c r="V16" i="5"/>
  <c r="W16" i="5"/>
  <c r="X16" i="5"/>
  <c r="Y16" i="5"/>
  <c r="Z16" i="5"/>
  <c r="AA16" i="5"/>
  <c r="AB16" i="5"/>
  <c r="AC16" i="5"/>
  <c r="AD16" i="5"/>
  <c r="AE16" i="5"/>
  <c r="AF16" i="5"/>
  <c r="AG16" i="5"/>
  <c r="AH16" i="5"/>
  <c r="AJ16" i="5"/>
  <c r="AK16" i="5"/>
  <c r="AL16" i="5"/>
  <c r="AM16" i="5"/>
  <c r="AN16" i="5"/>
  <c r="AO16" i="5"/>
  <c r="E70" i="5"/>
  <c r="F70" i="5"/>
  <c r="G70" i="5"/>
  <c r="H70" i="5"/>
  <c r="I70" i="5"/>
  <c r="J70" i="5"/>
  <c r="K70" i="5"/>
  <c r="L70" i="5"/>
  <c r="M70" i="5"/>
  <c r="N70" i="5"/>
  <c r="O70" i="5"/>
  <c r="P70" i="5"/>
  <c r="Q70" i="5"/>
  <c r="R70" i="5"/>
  <c r="S70" i="5"/>
  <c r="T70" i="5"/>
  <c r="U70" i="5"/>
  <c r="V70" i="5"/>
  <c r="W70" i="5"/>
  <c r="X70" i="5"/>
  <c r="Y70" i="5"/>
  <c r="Z70" i="5"/>
  <c r="AA70" i="5"/>
  <c r="AB70" i="5"/>
  <c r="AC70" i="5"/>
  <c r="AD70" i="5"/>
  <c r="AE70" i="5"/>
  <c r="AF70" i="5"/>
  <c r="AG70" i="5"/>
  <c r="AJ70" i="5"/>
  <c r="AK70" i="5"/>
  <c r="AL70" i="5"/>
  <c r="AM70" i="5"/>
  <c r="AM2" i="5"/>
  <c r="AM3" i="5"/>
  <c r="AM4" i="5"/>
  <c r="AM5" i="5"/>
  <c r="AM6" i="5"/>
  <c r="AM7" i="5"/>
  <c r="AM8" i="5"/>
  <c r="AM9" i="5"/>
  <c r="AM10" i="5"/>
  <c r="AM11" i="5"/>
  <c r="AM13" i="5"/>
  <c r="AM15" i="5"/>
  <c r="AM17" i="5"/>
  <c r="E17" i="5"/>
  <c r="F17" i="5"/>
  <c r="G17" i="5"/>
  <c r="H17" i="5"/>
  <c r="I17" i="5"/>
  <c r="J17" i="5"/>
  <c r="K17" i="5"/>
  <c r="L17" i="5"/>
  <c r="M17" i="5"/>
  <c r="N17" i="5"/>
  <c r="O17" i="5"/>
  <c r="P17" i="5"/>
  <c r="Q17" i="5"/>
  <c r="R17" i="5"/>
  <c r="S17" i="5"/>
  <c r="T17" i="5"/>
  <c r="U17" i="5"/>
  <c r="V17" i="5"/>
  <c r="W17" i="5"/>
  <c r="X17" i="5"/>
  <c r="Y17" i="5"/>
  <c r="Z17" i="5"/>
  <c r="AA17" i="5"/>
  <c r="AB17" i="5"/>
  <c r="AC17" i="5"/>
  <c r="AD17" i="5"/>
  <c r="AE17" i="5"/>
  <c r="AF17" i="5"/>
  <c r="AJ17" i="5"/>
  <c r="AK17" i="5"/>
  <c r="AL17" i="5"/>
  <c r="AN17" i="5"/>
  <c r="AO17" i="5"/>
  <c r="AM18" i="5"/>
  <c r="AM19" i="5"/>
  <c r="AM20" i="5"/>
  <c r="AM21" i="5"/>
  <c r="AM22" i="5"/>
  <c r="AM23" i="5"/>
  <c r="AM24" i="5"/>
  <c r="AM25" i="5"/>
  <c r="AM26" i="5"/>
  <c r="AM27" i="5"/>
  <c r="AM28" i="5"/>
  <c r="AM29" i="5"/>
  <c r="AM30" i="5"/>
  <c r="AM31" i="5"/>
  <c r="AM32" i="5"/>
  <c r="AM33" i="5"/>
  <c r="AM34" i="5"/>
  <c r="AM35" i="5"/>
  <c r="AM36" i="5"/>
  <c r="AM38" i="5"/>
  <c r="AM39" i="5"/>
  <c r="AM40" i="5"/>
  <c r="AM42" i="5"/>
  <c r="AM43" i="5"/>
  <c r="AM44" i="5"/>
  <c r="AM46" i="5"/>
  <c r="AM47" i="5"/>
  <c r="AM48" i="5"/>
  <c r="AM49" i="5"/>
  <c r="AM50" i="5"/>
  <c r="AM51" i="5"/>
  <c r="AM52" i="5"/>
  <c r="E52" i="5"/>
  <c r="F52" i="5"/>
  <c r="G52" i="5"/>
  <c r="H52" i="5"/>
  <c r="I52" i="5"/>
  <c r="J52" i="5"/>
  <c r="K52" i="5"/>
  <c r="L52" i="5"/>
  <c r="M52" i="5"/>
  <c r="N52" i="5"/>
  <c r="O52" i="5"/>
  <c r="P52" i="5"/>
  <c r="Q52" i="5"/>
  <c r="R52" i="5"/>
  <c r="S52" i="5"/>
  <c r="T52" i="5"/>
  <c r="U52" i="5"/>
  <c r="V52" i="5"/>
  <c r="W52" i="5"/>
  <c r="X52" i="5"/>
  <c r="Y52" i="5"/>
  <c r="Z52" i="5"/>
  <c r="AA52" i="5"/>
  <c r="AB52" i="5"/>
  <c r="AC52" i="5"/>
  <c r="AD52" i="5"/>
  <c r="AE52" i="5"/>
  <c r="AF52" i="5"/>
  <c r="AG52" i="5"/>
  <c r="AH52" i="5"/>
  <c r="AJ52" i="5"/>
  <c r="AK52" i="5"/>
  <c r="AL52" i="5"/>
  <c r="AN52" i="5"/>
  <c r="AN2" i="5"/>
  <c r="AN3" i="5"/>
  <c r="AN4" i="5"/>
  <c r="AN5" i="5"/>
  <c r="AN6" i="5"/>
  <c r="AN7" i="5"/>
  <c r="AN8" i="5"/>
  <c r="AN9" i="5"/>
  <c r="AN10" i="5"/>
  <c r="AN11" i="5"/>
  <c r="AN13" i="5"/>
  <c r="AN15" i="5"/>
  <c r="AN18" i="5"/>
  <c r="AN19" i="5"/>
  <c r="AN20" i="5"/>
  <c r="AN21" i="5"/>
  <c r="AN22" i="5"/>
  <c r="AN23" i="5"/>
  <c r="AN24" i="5"/>
  <c r="AN25" i="5"/>
  <c r="AN26" i="5"/>
  <c r="AN27" i="5"/>
  <c r="AN28" i="5"/>
  <c r="AN29" i="5"/>
  <c r="AN30" i="5"/>
  <c r="AN31" i="5"/>
  <c r="AN32" i="5"/>
  <c r="AN33" i="5"/>
  <c r="AN34" i="5"/>
  <c r="AN35" i="5"/>
  <c r="AN36" i="5"/>
  <c r="AN38" i="5"/>
  <c r="AN39" i="5"/>
  <c r="AN40" i="5"/>
  <c r="AN42" i="5"/>
  <c r="AN43" i="5"/>
  <c r="AN44" i="5"/>
  <c r="AN46" i="5"/>
  <c r="AN47" i="5"/>
  <c r="AN48" i="5"/>
  <c r="AN49" i="5"/>
  <c r="AN50" i="5"/>
  <c r="AN51" i="5"/>
  <c r="AN53" i="5"/>
  <c r="AN54" i="5"/>
  <c r="AN55" i="5"/>
  <c r="AN56" i="5"/>
  <c r="AN57" i="5"/>
  <c r="AN58" i="5"/>
  <c r="AN59" i="5"/>
  <c r="AN60" i="5"/>
  <c r="AN61" i="5"/>
  <c r="AN62" i="5"/>
  <c r="AN63" i="5"/>
  <c r="AN64" i="5"/>
  <c r="AN65" i="5"/>
  <c r="AN66" i="5"/>
  <c r="AN67" i="5"/>
  <c r="AN70" i="5"/>
  <c r="AN71" i="5"/>
  <c r="AN72" i="5"/>
  <c r="AN74" i="5"/>
  <c r="AN75" i="5"/>
  <c r="AN76" i="5"/>
  <c r="AN77" i="5"/>
  <c r="AN78" i="5"/>
  <c r="AN79" i="5"/>
  <c r="AN80" i="5"/>
  <c r="AN81" i="5"/>
  <c r="AN82" i="5"/>
  <c r="AN83" i="5"/>
  <c r="AN84" i="5"/>
  <c r="AN85" i="5"/>
  <c r="AN86" i="5"/>
  <c r="AN87" i="5"/>
  <c r="AN88" i="5"/>
  <c r="AN89" i="5"/>
  <c r="AN90" i="5"/>
  <c r="AN91" i="5"/>
  <c r="AN92" i="5"/>
  <c r="AN93" i="5"/>
  <c r="AN94" i="5"/>
  <c r="AN95" i="5"/>
  <c r="AN96" i="5"/>
  <c r="AN97" i="5"/>
  <c r="AN98" i="5"/>
  <c r="AN99" i="5"/>
  <c r="AN100" i="5"/>
  <c r="AN101" i="5"/>
  <c r="AN103" i="5"/>
  <c r="AN106" i="5"/>
  <c r="AN107" i="5"/>
  <c r="AN108" i="5"/>
  <c r="AN109" i="5"/>
  <c r="AN110" i="5"/>
  <c r="AN111" i="5"/>
  <c r="AN112" i="5"/>
  <c r="AN113" i="5"/>
  <c r="AN114" i="5"/>
  <c r="AN115" i="5"/>
  <c r="AN116" i="5"/>
  <c r="AN117" i="5"/>
  <c r="AN118" i="5"/>
  <c r="AN119" i="5"/>
  <c r="AN120" i="5"/>
  <c r="AN121" i="5"/>
  <c r="AN122" i="5"/>
  <c r="AN123" i="5"/>
  <c r="AN124" i="5"/>
  <c r="AN125" i="5"/>
  <c r="AN126" i="5"/>
  <c r="AN127" i="5"/>
  <c r="AN129" i="5"/>
  <c r="AN130" i="5"/>
  <c r="AN131" i="5"/>
  <c r="AN132" i="5"/>
  <c r="AN135" i="5"/>
  <c r="AN136" i="5"/>
  <c r="AN137" i="5"/>
  <c r="AN138" i="5"/>
  <c r="AN139" i="5"/>
  <c r="AN140" i="5"/>
  <c r="AN141" i="5"/>
  <c r="E2" i="5"/>
  <c r="E3" i="5"/>
  <c r="E4" i="5"/>
  <c r="E5" i="5"/>
  <c r="E6" i="5"/>
  <c r="E7" i="5"/>
  <c r="E8" i="5"/>
  <c r="E9" i="5"/>
  <c r="E10" i="5"/>
  <c r="E11" i="5"/>
  <c r="E13" i="5"/>
  <c r="E15" i="5"/>
  <c r="E18" i="5"/>
  <c r="E19" i="5"/>
  <c r="E20" i="5"/>
  <c r="E21" i="5"/>
  <c r="E22" i="5"/>
  <c r="E23" i="5"/>
  <c r="E24" i="5"/>
  <c r="E25" i="5"/>
  <c r="E26" i="5"/>
  <c r="E27" i="5"/>
  <c r="E28" i="5"/>
  <c r="E29" i="5"/>
  <c r="E30" i="5"/>
  <c r="E31" i="5"/>
  <c r="E32" i="5"/>
  <c r="E33" i="5"/>
  <c r="E34" i="5"/>
  <c r="E35" i="5"/>
  <c r="E36" i="5"/>
  <c r="E38" i="5"/>
  <c r="E39" i="5"/>
  <c r="E40" i="5"/>
  <c r="E42" i="5"/>
  <c r="E43" i="5"/>
  <c r="E44" i="5"/>
  <c r="E46" i="5"/>
  <c r="E47" i="5"/>
  <c r="E48" i="5"/>
  <c r="E49" i="5"/>
  <c r="E50" i="5"/>
  <c r="E51" i="5"/>
  <c r="E53" i="5"/>
  <c r="E54" i="5"/>
  <c r="E55" i="5"/>
  <c r="E56" i="5"/>
  <c r="E57" i="5"/>
  <c r="E58" i="5"/>
  <c r="E59" i="5"/>
  <c r="E60" i="5"/>
  <c r="E61" i="5"/>
  <c r="E62" i="5"/>
  <c r="E63" i="5"/>
  <c r="E64" i="5"/>
  <c r="E65" i="5"/>
  <c r="E66" i="5"/>
  <c r="E67" i="5"/>
  <c r="E71" i="5"/>
  <c r="E72"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3" i="5"/>
  <c r="E106" i="5"/>
  <c r="E107" i="5"/>
  <c r="E108" i="5"/>
  <c r="E109" i="5"/>
  <c r="E110" i="5"/>
  <c r="E111" i="5"/>
  <c r="E112" i="5"/>
  <c r="E113" i="5"/>
  <c r="E114" i="5"/>
  <c r="E115" i="5"/>
  <c r="E116" i="5"/>
  <c r="E117" i="5"/>
  <c r="E118" i="5"/>
  <c r="E119" i="5"/>
  <c r="E120" i="5"/>
  <c r="E121" i="5"/>
  <c r="E122" i="5"/>
  <c r="E123" i="5"/>
  <c r="E124" i="5"/>
  <c r="E125" i="5"/>
  <c r="E126" i="5"/>
  <c r="E127" i="5"/>
  <c r="E129" i="5"/>
  <c r="E130" i="5"/>
  <c r="E131" i="5"/>
  <c r="E132" i="5"/>
  <c r="E135" i="5"/>
  <c r="E136" i="5"/>
  <c r="E137" i="5"/>
  <c r="E138" i="5"/>
  <c r="E139" i="5"/>
  <c r="E140" i="5"/>
  <c r="E141" i="5"/>
  <c r="F2" i="5"/>
  <c r="F3" i="5"/>
  <c r="F4" i="5"/>
  <c r="F5" i="5"/>
  <c r="F6" i="5"/>
  <c r="F7" i="5"/>
  <c r="F8" i="5"/>
  <c r="F9" i="5"/>
  <c r="F10" i="5"/>
  <c r="F11" i="5"/>
  <c r="F13" i="5"/>
  <c r="F15" i="5"/>
  <c r="F18" i="5"/>
  <c r="F19" i="5"/>
  <c r="F20" i="5"/>
  <c r="F21" i="5"/>
  <c r="F22" i="5"/>
  <c r="F23" i="5"/>
  <c r="F24" i="5"/>
  <c r="F25" i="5"/>
  <c r="F26" i="5"/>
  <c r="F27" i="5"/>
  <c r="F28" i="5"/>
  <c r="F29" i="5"/>
  <c r="F30" i="5"/>
  <c r="F31" i="5"/>
  <c r="F32" i="5"/>
  <c r="F33" i="5"/>
  <c r="F34" i="5"/>
  <c r="F35" i="5"/>
  <c r="F36" i="5"/>
  <c r="F38" i="5"/>
  <c r="F39" i="5"/>
  <c r="F40" i="5"/>
  <c r="F42" i="5"/>
  <c r="F43" i="5"/>
  <c r="F44" i="5"/>
  <c r="F46" i="5"/>
  <c r="F47" i="5"/>
  <c r="F48" i="5"/>
  <c r="F49" i="5"/>
  <c r="F50" i="5"/>
  <c r="F51" i="5"/>
  <c r="F53" i="5"/>
  <c r="F54" i="5"/>
  <c r="F55" i="5"/>
  <c r="F56" i="5"/>
  <c r="F57" i="5"/>
  <c r="F58" i="5"/>
  <c r="F59" i="5"/>
  <c r="F60" i="5"/>
  <c r="F61" i="5"/>
  <c r="F62" i="5"/>
  <c r="F63" i="5"/>
  <c r="F64" i="5"/>
  <c r="F65" i="5"/>
  <c r="F66" i="5"/>
  <c r="F67" i="5"/>
  <c r="F71" i="5"/>
  <c r="F72"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3" i="5"/>
  <c r="F106" i="5"/>
  <c r="F107" i="5"/>
  <c r="F108" i="5"/>
  <c r="F109" i="5"/>
  <c r="F110" i="5"/>
  <c r="F111" i="5"/>
  <c r="F112" i="5"/>
  <c r="F113" i="5"/>
  <c r="F114" i="5"/>
  <c r="F115" i="5"/>
  <c r="F116" i="5"/>
  <c r="F117" i="5"/>
  <c r="F118" i="5"/>
  <c r="F119" i="5"/>
  <c r="F120" i="5"/>
  <c r="F121" i="5"/>
  <c r="F122" i="5"/>
  <c r="F123" i="5"/>
  <c r="F124" i="5"/>
  <c r="F125" i="5"/>
  <c r="F126" i="5"/>
  <c r="F127" i="5"/>
  <c r="F129" i="5"/>
  <c r="F130" i="5"/>
  <c r="F131" i="5"/>
  <c r="F132" i="5"/>
  <c r="F135" i="5"/>
  <c r="F136" i="5"/>
  <c r="F137" i="5"/>
  <c r="F138" i="5"/>
  <c r="F139" i="5"/>
  <c r="F140" i="5"/>
  <c r="F141" i="5"/>
  <c r="G2" i="5"/>
  <c r="G3" i="5"/>
  <c r="G4" i="5"/>
  <c r="G5" i="5"/>
  <c r="G6" i="5"/>
  <c r="G7" i="5"/>
  <c r="G8" i="5"/>
  <c r="G9" i="5"/>
  <c r="G10" i="5"/>
  <c r="G11" i="5"/>
  <c r="G13" i="5"/>
  <c r="G15" i="5"/>
  <c r="G18" i="5"/>
  <c r="G19" i="5"/>
  <c r="G20" i="5"/>
  <c r="G21" i="5"/>
  <c r="G22" i="5"/>
  <c r="G23" i="5"/>
  <c r="G24" i="5"/>
  <c r="G25" i="5"/>
  <c r="G26" i="5"/>
  <c r="G27" i="5"/>
  <c r="G28" i="5"/>
  <c r="G29" i="5"/>
  <c r="G30" i="5"/>
  <c r="G31" i="5"/>
  <c r="G32" i="5"/>
  <c r="G33" i="5"/>
  <c r="G34" i="5"/>
  <c r="G35" i="5"/>
  <c r="G36" i="5"/>
  <c r="G38" i="5"/>
  <c r="G39" i="5"/>
  <c r="G40" i="5"/>
  <c r="G42" i="5"/>
  <c r="G43" i="5"/>
  <c r="G44" i="5"/>
  <c r="G46" i="5"/>
  <c r="G47" i="5"/>
  <c r="G48" i="5"/>
  <c r="G49" i="5"/>
  <c r="G50" i="5"/>
  <c r="G51" i="5"/>
  <c r="G53" i="5"/>
  <c r="G54" i="5"/>
  <c r="G55" i="5"/>
  <c r="G56" i="5"/>
  <c r="G57" i="5"/>
  <c r="G58" i="5"/>
  <c r="G59" i="5"/>
  <c r="G60" i="5"/>
  <c r="G61" i="5"/>
  <c r="G62" i="5"/>
  <c r="G63" i="5"/>
  <c r="G64" i="5"/>
  <c r="G65" i="5"/>
  <c r="G66" i="5"/>
  <c r="G67" i="5"/>
  <c r="G71" i="5"/>
  <c r="G72"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3" i="5"/>
  <c r="G106" i="5"/>
  <c r="G107" i="5"/>
  <c r="G108" i="5"/>
  <c r="G109" i="5"/>
  <c r="G110" i="5"/>
  <c r="G111" i="5"/>
  <c r="G112" i="5"/>
  <c r="G113" i="5"/>
  <c r="G114" i="5"/>
  <c r="G115" i="5"/>
  <c r="G116" i="5"/>
  <c r="G117" i="5"/>
  <c r="G118" i="5"/>
  <c r="G119" i="5"/>
  <c r="G120" i="5"/>
  <c r="G121" i="5"/>
  <c r="G122" i="5"/>
  <c r="G123" i="5"/>
  <c r="G124" i="5"/>
  <c r="G125" i="5"/>
  <c r="G126" i="5"/>
  <c r="G127" i="5"/>
  <c r="G129" i="5"/>
  <c r="G130" i="5"/>
  <c r="G131" i="5"/>
  <c r="G132" i="5"/>
  <c r="G135" i="5"/>
  <c r="G136" i="5"/>
  <c r="G137" i="5"/>
  <c r="G138" i="5"/>
  <c r="G139" i="5"/>
  <c r="G140" i="5"/>
  <c r="G141" i="5"/>
  <c r="H2" i="5"/>
  <c r="H3" i="5"/>
  <c r="H4" i="5"/>
  <c r="H5" i="5"/>
  <c r="H6" i="5"/>
  <c r="H7" i="5"/>
  <c r="H8" i="5"/>
  <c r="H9" i="5"/>
  <c r="H10" i="5"/>
  <c r="H11" i="5"/>
  <c r="H13" i="5"/>
  <c r="H15" i="5"/>
  <c r="H18" i="5"/>
  <c r="H19" i="5"/>
  <c r="H20" i="5"/>
  <c r="H21" i="5"/>
  <c r="H22" i="5"/>
  <c r="H23" i="5"/>
  <c r="H24" i="5"/>
  <c r="H25" i="5"/>
  <c r="H26" i="5"/>
  <c r="H27" i="5"/>
  <c r="H28" i="5"/>
  <c r="H29" i="5"/>
  <c r="H30" i="5"/>
  <c r="H31" i="5"/>
  <c r="H32" i="5"/>
  <c r="H33" i="5"/>
  <c r="H34" i="5"/>
  <c r="H35" i="5"/>
  <c r="H36" i="5"/>
  <c r="H38" i="5"/>
  <c r="H39" i="5"/>
  <c r="H40" i="5"/>
  <c r="H42" i="5"/>
  <c r="H43" i="5"/>
  <c r="H44" i="5"/>
  <c r="H46" i="5"/>
  <c r="H47" i="5"/>
  <c r="H48" i="5"/>
  <c r="H49" i="5"/>
  <c r="H50" i="5"/>
  <c r="H51" i="5"/>
  <c r="H53" i="5"/>
  <c r="H54" i="5"/>
  <c r="H55" i="5"/>
  <c r="H56" i="5"/>
  <c r="H57" i="5"/>
  <c r="H58" i="5"/>
  <c r="H59" i="5"/>
  <c r="H60" i="5"/>
  <c r="H61" i="5"/>
  <c r="H62" i="5"/>
  <c r="H63" i="5"/>
  <c r="H64" i="5"/>
  <c r="H65" i="5"/>
  <c r="H66" i="5"/>
  <c r="H67" i="5"/>
  <c r="H71" i="5"/>
  <c r="H72"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3" i="5"/>
  <c r="H106" i="5"/>
  <c r="H107" i="5"/>
  <c r="H108" i="5"/>
  <c r="H109" i="5"/>
  <c r="H110" i="5"/>
  <c r="H111" i="5"/>
  <c r="H112" i="5"/>
  <c r="H113" i="5"/>
  <c r="H114" i="5"/>
  <c r="H115" i="5"/>
  <c r="H116" i="5"/>
  <c r="H117" i="5"/>
  <c r="H118" i="5"/>
  <c r="H119" i="5"/>
  <c r="H120" i="5"/>
  <c r="H121" i="5"/>
  <c r="H122" i="5"/>
  <c r="H123" i="5"/>
  <c r="H124" i="5"/>
  <c r="H125" i="5"/>
  <c r="H126" i="5"/>
  <c r="H127" i="5"/>
  <c r="H129" i="5"/>
  <c r="H130" i="5"/>
  <c r="H131" i="5"/>
  <c r="H132" i="5"/>
  <c r="H135" i="5"/>
  <c r="H136" i="5"/>
  <c r="H137" i="5"/>
  <c r="H138" i="5"/>
  <c r="H139" i="5"/>
  <c r="H140" i="5"/>
  <c r="H141" i="5"/>
  <c r="I2" i="5"/>
  <c r="I3" i="5"/>
  <c r="I4" i="5"/>
  <c r="I5" i="5"/>
  <c r="I6" i="5"/>
  <c r="I7" i="5"/>
  <c r="I8" i="5"/>
  <c r="I9" i="5"/>
  <c r="I10" i="5"/>
  <c r="I11" i="5"/>
  <c r="I13" i="5"/>
  <c r="I15" i="5"/>
  <c r="I18" i="5"/>
  <c r="I19" i="5"/>
  <c r="I20" i="5"/>
  <c r="I21" i="5"/>
  <c r="I22" i="5"/>
  <c r="I23" i="5"/>
  <c r="I24" i="5"/>
  <c r="I25" i="5"/>
  <c r="I26" i="5"/>
  <c r="I27" i="5"/>
  <c r="I28" i="5"/>
  <c r="I29" i="5"/>
  <c r="I30" i="5"/>
  <c r="I31" i="5"/>
  <c r="I32" i="5"/>
  <c r="I33" i="5"/>
  <c r="I34" i="5"/>
  <c r="I35" i="5"/>
  <c r="I36" i="5"/>
  <c r="I38" i="5"/>
  <c r="I39" i="5"/>
  <c r="I40" i="5"/>
  <c r="I42" i="5"/>
  <c r="I43" i="5"/>
  <c r="I44" i="5"/>
  <c r="I46" i="5"/>
  <c r="I47" i="5"/>
  <c r="I48" i="5"/>
  <c r="I49" i="5"/>
  <c r="I50" i="5"/>
  <c r="I51" i="5"/>
  <c r="I53" i="5"/>
  <c r="I54" i="5"/>
  <c r="I55" i="5"/>
  <c r="I56" i="5"/>
  <c r="I57" i="5"/>
  <c r="I58" i="5"/>
  <c r="I59" i="5"/>
  <c r="I60" i="5"/>
  <c r="I61" i="5"/>
  <c r="I62" i="5"/>
  <c r="I63" i="5"/>
  <c r="I64" i="5"/>
  <c r="I65" i="5"/>
  <c r="I66" i="5"/>
  <c r="I67" i="5"/>
  <c r="I71" i="5"/>
  <c r="I72"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3" i="5"/>
  <c r="I106" i="5"/>
  <c r="I107" i="5"/>
  <c r="I108" i="5"/>
  <c r="I109" i="5"/>
  <c r="I110" i="5"/>
  <c r="I111" i="5"/>
  <c r="I112" i="5"/>
  <c r="I113" i="5"/>
  <c r="I114" i="5"/>
  <c r="I115" i="5"/>
  <c r="I116" i="5"/>
  <c r="I117" i="5"/>
  <c r="I118" i="5"/>
  <c r="I119" i="5"/>
  <c r="I120" i="5"/>
  <c r="I121" i="5"/>
  <c r="I122" i="5"/>
  <c r="I123" i="5"/>
  <c r="I124" i="5"/>
  <c r="I125" i="5"/>
  <c r="I126" i="5"/>
  <c r="I127" i="5"/>
  <c r="I129" i="5"/>
  <c r="I130" i="5"/>
  <c r="I131" i="5"/>
  <c r="I132" i="5"/>
  <c r="I135" i="5"/>
  <c r="I136" i="5"/>
  <c r="I137" i="5"/>
  <c r="I138" i="5"/>
  <c r="I139" i="5"/>
  <c r="I140" i="5"/>
  <c r="I141" i="5"/>
  <c r="J2" i="5"/>
  <c r="J3" i="5"/>
  <c r="J4" i="5"/>
  <c r="J5" i="5"/>
  <c r="J6" i="5"/>
  <c r="J7" i="5"/>
  <c r="J8" i="5"/>
  <c r="J9" i="5"/>
  <c r="J10" i="5"/>
  <c r="J11" i="5"/>
  <c r="J13" i="5"/>
  <c r="J15" i="5"/>
  <c r="J18" i="5"/>
  <c r="J19" i="5"/>
  <c r="J20" i="5"/>
  <c r="J21" i="5"/>
  <c r="J22" i="5"/>
  <c r="J23" i="5"/>
  <c r="J24" i="5"/>
  <c r="J25" i="5"/>
  <c r="J26" i="5"/>
  <c r="J27" i="5"/>
  <c r="J28" i="5"/>
  <c r="J29" i="5"/>
  <c r="J30" i="5"/>
  <c r="J31" i="5"/>
  <c r="J32" i="5"/>
  <c r="J33" i="5"/>
  <c r="J34" i="5"/>
  <c r="J35" i="5"/>
  <c r="J36" i="5"/>
  <c r="J38" i="5"/>
  <c r="J39" i="5"/>
  <c r="J40" i="5"/>
  <c r="J42" i="5"/>
  <c r="J43" i="5"/>
  <c r="J44" i="5"/>
  <c r="J46" i="5"/>
  <c r="J47" i="5"/>
  <c r="J48" i="5"/>
  <c r="J49" i="5"/>
  <c r="J50" i="5"/>
  <c r="J51" i="5"/>
  <c r="J53" i="5"/>
  <c r="J54" i="5"/>
  <c r="J55" i="5"/>
  <c r="J56" i="5"/>
  <c r="J57" i="5"/>
  <c r="J58" i="5"/>
  <c r="J59" i="5"/>
  <c r="J60" i="5"/>
  <c r="J61" i="5"/>
  <c r="J62" i="5"/>
  <c r="J63" i="5"/>
  <c r="J64" i="5"/>
  <c r="J65" i="5"/>
  <c r="J66" i="5"/>
  <c r="J67" i="5"/>
  <c r="J71" i="5"/>
  <c r="J72"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3" i="5"/>
  <c r="J106" i="5"/>
  <c r="J107" i="5"/>
  <c r="J108" i="5"/>
  <c r="J109" i="5"/>
  <c r="J110" i="5"/>
  <c r="J111" i="5"/>
  <c r="J112" i="5"/>
  <c r="J113" i="5"/>
  <c r="J114" i="5"/>
  <c r="J115" i="5"/>
  <c r="J116" i="5"/>
  <c r="J117" i="5"/>
  <c r="J118" i="5"/>
  <c r="J119" i="5"/>
  <c r="J120" i="5"/>
  <c r="J121" i="5"/>
  <c r="J122" i="5"/>
  <c r="J123" i="5"/>
  <c r="J124" i="5"/>
  <c r="J125" i="5"/>
  <c r="J126" i="5"/>
  <c r="J127" i="5"/>
  <c r="J129" i="5"/>
  <c r="J130" i="5"/>
  <c r="J131" i="5"/>
  <c r="J132" i="5"/>
  <c r="J135" i="5"/>
  <c r="J136" i="5"/>
  <c r="J137" i="5"/>
  <c r="J138" i="5"/>
  <c r="J139" i="5"/>
  <c r="J140" i="5"/>
  <c r="J141" i="5"/>
  <c r="K2" i="5"/>
  <c r="K3" i="5"/>
  <c r="K4" i="5"/>
  <c r="K5" i="5"/>
  <c r="K6" i="5"/>
  <c r="K7" i="5"/>
  <c r="K8" i="5"/>
  <c r="K9" i="5"/>
  <c r="K10" i="5"/>
  <c r="K11" i="5"/>
  <c r="K13" i="5"/>
  <c r="K15" i="5"/>
  <c r="K18" i="5"/>
  <c r="K19" i="5"/>
  <c r="K20" i="5"/>
  <c r="K21" i="5"/>
  <c r="K22" i="5"/>
  <c r="K23" i="5"/>
  <c r="K24" i="5"/>
  <c r="K25" i="5"/>
  <c r="K26" i="5"/>
  <c r="K27" i="5"/>
  <c r="K28" i="5"/>
  <c r="K29" i="5"/>
  <c r="K30" i="5"/>
  <c r="K31" i="5"/>
  <c r="K32" i="5"/>
  <c r="K33" i="5"/>
  <c r="K34" i="5"/>
  <c r="K35" i="5"/>
  <c r="K36" i="5"/>
  <c r="K38" i="5"/>
  <c r="K39" i="5"/>
  <c r="K40" i="5"/>
  <c r="K42" i="5"/>
  <c r="K43" i="5"/>
  <c r="K44" i="5"/>
  <c r="K46" i="5"/>
  <c r="K47" i="5"/>
  <c r="K48" i="5"/>
  <c r="K49" i="5"/>
  <c r="K50" i="5"/>
  <c r="K51" i="5"/>
  <c r="K53" i="5"/>
  <c r="K54" i="5"/>
  <c r="K55" i="5"/>
  <c r="K56" i="5"/>
  <c r="K57" i="5"/>
  <c r="K58" i="5"/>
  <c r="K59" i="5"/>
  <c r="K60" i="5"/>
  <c r="K61" i="5"/>
  <c r="K62" i="5"/>
  <c r="K63" i="5"/>
  <c r="K64" i="5"/>
  <c r="K65" i="5"/>
  <c r="K66" i="5"/>
  <c r="K67" i="5"/>
  <c r="K71" i="5"/>
  <c r="K72"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3" i="5"/>
  <c r="K106" i="5"/>
  <c r="K107" i="5"/>
  <c r="K108" i="5"/>
  <c r="K109" i="5"/>
  <c r="K110" i="5"/>
  <c r="K111" i="5"/>
  <c r="K112" i="5"/>
  <c r="K113" i="5"/>
  <c r="K114" i="5"/>
  <c r="K115" i="5"/>
  <c r="K116" i="5"/>
  <c r="K117" i="5"/>
  <c r="K118" i="5"/>
  <c r="K119" i="5"/>
  <c r="K120" i="5"/>
  <c r="K121" i="5"/>
  <c r="K122" i="5"/>
  <c r="K123" i="5"/>
  <c r="K124" i="5"/>
  <c r="K125" i="5"/>
  <c r="K126" i="5"/>
  <c r="K127" i="5"/>
  <c r="K129" i="5"/>
  <c r="K130" i="5"/>
  <c r="K131" i="5"/>
  <c r="K132" i="5"/>
  <c r="K135" i="5"/>
  <c r="K136" i="5"/>
  <c r="K137" i="5"/>
  <c r="K138" i="5"/>
  <c r="K139" i="5"/>
  <c r="K140" i="5"/>
  <c r="K141" i="5"/>
  <c r="L2" i="5"/>
  <c r="L3" i="5"/>
  <c r="L4" i="5"/>
  <c r="L5" i="5"/>
  <c r="L6" i="5"/>
  <c r="L7" i="5"/>
  <c r="L8" i="5"/>
  <c r="L9" i="5"/>
  <c r="L10" i="5"/>
  <c r="L11" i="5"/>
  <c r="L13" i="5"/>
  <c r="L15" i="5"/>
  <c r="L18" i="5"/>
  <c r="L19" i="5"/>
  <c r="L20" i="5"/>
  <c r="L21" i="5"/>
  <c r="L22" i="5"/>
  <c r="L23" i="5"/>
  <c r="L24" i="5"/>
  <c r="L25" i="5"/>
  <c r="L26" i="5"/>
  <c r="L27" i="5"/>
  <c r="L28" i="5"/>
  <c r="L29" i="5"/>
  <c r="L30" i="5"/>
  <c r="L31" i="5"/>
  <c r="L32" i="5"/>
  <c r="L33" i="5"/>
  <c r="L34" i="5"/>
  <c r="L35" i="5"/>
  <c r="L36" i="5"/>
  <c r="L38" i="5"/>
  <c r="L39" i="5"/>
  <c r="L40" i="5"/>
  <c r="L42" i="5"/>
  <c r="L43" i="5"/>
  <c r="L44" i="5"/>
  <c r="L46" i="5"/>
  <c r="L47" i="5"/>
  <c r="L48" i="5"/>
  <c r="L49" i="5"/>
  <c r="L50" i="5"/>
  <c r="L51" i="5"/>
  <c r="L53" i="5"/>
  <c r="L54" i="5"/>
  <c r="L55" i="5"/>
  <c r="L56" i="5"/>
  <c r="L57" i="5"/>
  <c r="L58" i="5"/>
  <c r="L59" i="5"/>
  <c r="L60" i="5"/>
  <c r="L61" i="5"/>
  <c r="L62" i="5"/>
  <c r="L63" i="5"/>
  <c r="L64" i="5"/>
  <c r="L65" i="5"/>
  <c r="L66" i="5"/>
  <c r="L67" i="5"/>
  <c r="L71" i="5"/>
  <c r="L72"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3" i="5"/>
  <c r="L106" i="5"/>
  <c r="L107" i="5"/>
  <c r="L108" i="5"/>
  <c r="L109" i="5"/>
  <c r="L110" i="5"/>
  <c r="L111" i="5"/>
  <c r="L112" i="5"/>
  <c r="L113" i="5"/>
  <c r="L114" i="5"/>
  <c r="L115" i="5"/>
  <c r="L116" i="5"/>
  <c r="L117" i="5"/>
  <c r="L118" i="5"/>
  <c r="L119" i="5"/>
  <c r="L120" i="5"/>
  <c r="L121" i="5"/>
  <c r="L122" i="5"/>
  <c r="L123" i="5"/>
  <c r="L124" i="5"/>
  <c r="L125" i="5"/>
  <c r="L126" i="5"/>
  <c r="L127" i="5"/>
  <c r="L129" i="5"/>
  <c r="L130" i="5"/>
  <c r="L131" i="5"/>
  <c r="L132" i="5"/>
  <c r="L135" i="5"/>
  <c r="L136" i="5"/>
  <c r="L137" i="5"/>
  <c r="L138" i="5"/>
  <c r="L139" i="5"/>
  <c r="L140" i="5"/>
  <c r="L141" i="5"/>
  <c r="M2" i="5"/>
  <c r="M3" i="5"/>
  <c r="M4" i="5"/>
  <c r="M5" i="5"/>
  <c r="M6" i="5"/>
  <c r="M7" i="5"/>
  <c r="M8" i="5"/>
  <c r="M9" i="5"/>
  <c r="M10" i="5"/>
  <c r="M11" i="5"/>
  <c r="M13" i="5"/>
  <c r="M15" i="5"/>
  <c r="M18" i="5"/>
  <c r="M19" i="5"/>
  <c r="M20" i="5"/>
  <c r="M21" i="5"/>
  <c r="M22" i="5"/>
  <c r="M23" i="5"/>
  <c r="M24" i="5"/>
  <c r="M25" i="5"/>
  <c r="M26" i="5"/>
  <c r="M27" i="5"/>
  <c r="M28" i="5"/>
  <c r="M29" i="5"/>
  <c r="M30" i="5"/>
  <c r="M31" i="5"/>
  <c r="M32" i="5"/>
  <c r="M33" i="5"/>
  <c r="M34" i="5"/>
  <c r="M35" i="5"/>
  <c r="M36" i="5"/>
  <c r="M38" i="5"/>
  <c r="M39" i="5"/>
  <c r="M40" i="5"/>
  <c r="M42" i="5"/>
  <c r="M43" i="5"/>
  <c r="M44" i="5"/>
  <c r="M46" i="5"/>
  <c r="M47" i="5"/>
  <c r="M48" i="5"/>
  <c r="M49" i="5"/>
  <c r="M50" i="5"/>
  <c r="M51" i="5"/>
  <c r="M53" i="5"/>
  <c r="M54" i="5"/>
  <c r="M55" i="5"/>
  <c r="M56" i="5"/>
  <c r="M57" i="5"/>
  <c r="M58" i="5"/>
  <c r="M59" i="5"/>
  <c r="M60" i="5"/>
  <c r="M61" i="5"/>
  <c r="M62" i="5"/>
  <c r="M63" i="5"/>
  <c r="M64" i="5"/>
  <c r="M65" i="5"/>
  <c r="M66" i="5"/>
  <c r="M67" i="5"/>
  <c r="M71" i="5"/>
  <c r="M72"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3" i="5"/>
  <c r="M106" i="5"/>
  <c r="M107" i="5"/>
  <c r="M108" i="5"/>
  <c r="M109" i="5"/>
  <c r="M110" i="5"/>
  <c r="M111" i="5"/>
  <c r="M112" i="5"/>
  <c r="M113" i="5"/>
  <c r="M114" i="5"/>
  <c r="M115" i="5"/>
  <c r="M116" i="5"/>
  <c r="M117" i="5"/>
  <c r="M118" i="5"/>
  <c r="M119" i="5"/>
  <c r="M120" i="5"/>
  <c r="M121" i="5"/>
  <c r="M122" i="5"/>
  <c r="M123" i="5"/>
  <c r="M124" i="5"/>
  <c r="M125" i="5"/>
  <c r="M126" i="5"/>
  <c r="M127" i="5"/>
  <c r="M129" i="5"/>
  <c r="M130" i="5"/>
  <c r="M131" i="5"/>
  <c r="M132" i="5"/>
  <c r="M135" i="5"/>
  <c r="M136" i="5"/>
  <c r="M137" i="5"/>
  <c r="M138" i="5"/>
  <c r="M139" i="5"/>
  <c r="M140" i="5"/>
  <c r="M141" i="5"/>
  <c r="N2" i="5"/>
  <c r="N3" i="5"/>
  <c r="N4" i="5"/>
  <c r="N5" i="5"/>
  <c r="N6" i="5"/>
  <c r="N7" i="5"/>
  <c r="N8" i="5"/>
  <c r="N9" i="5"/>
  <c r="N10" i="5"/>
  <c r="N11" i="5"/>
  <c r="N13" i="5"/>
  <c r="N15" i="5"/>
  <c r="N18" i="5"/>
  <c r="N19" i="5"/>
  <c r="N20" i="5"/>
  <c r="N21" i="5"/>
  <c r="N22" i="5"/>
  <c r="N23" i="5"/>
  <c r="N24" i="5"/>
  <c r="N25" i="5"/>
  <c r="N26" i="5"/>
  <c r="N27" i="5"/>
  <c r="N28" i="5"/>
  <c r="N29" i="5"/>
  <c r="N30" i="5"/>
  <c r="N31" i="5"/>
  <c r="N32" i="5"/>
  <c r="N33" i="5"/>
  <c r="N34" i="5"/>
  <c r="N35" i="5"/>
  <c r="N36" i="5"/>
  <c r="N38" i="5"/>
  <c r="N39" i="5"/>
  <c r="N40" i="5"/>
  <c r="N42" i="5"/>
  <c r="N43" i="5"/>
  <c r="N44" i="5"/>
  <c r="N46" i="5"/>
  <c r="N47" i="5"/>
  <c r="N48" i="5"/>
  <c r="N49" i="5"/>
  <c r="N50" i="5"/>
  <c r="N51" i="5"/>
  <c r="N53" i="5"/>
  <c r="N54" i="5"/>
  <c r="N55" i="5"/>
  <c r="N56" i="5"/>
  <c r="N57" i="5"/>
  <c r="N58" i="5"/>
  <c r="N59" i="5"/>
  <c r="N60" i="5"/>
  <c r="N61" i="5"/>
  <c r="N62" i="5"/>
  <c r="N63" i="5"/>
  <c r="N64" i="5"/>
  <c r="N65" i="5"/>
  <c r="N66" i="5"/>
  <c r="N67" i="5"/>
  <c r="N71" i="5"/>
  <c r="N72"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3" i="5"/>
  <c r="N106" i="5"/>
  <c r="N107" i="5"/>
  <c r="N108" i="5"/>
  <c r="N109" i="5"/>
  <c r="N110" i="5"/>
  <c r="N111" i="5"/>
  <c r="N112" i="5"/>
  <c r="N113" i="5"/>
  <c r="N114" i="5"/>
  <c r="N115" i="5"/>
  <c r="N116" i="5"/>
  <c r="N117" i="5"/>
  <c r="N118" i="5"/>
  <c r="N119" i="5"/>
  <c r="N120" i="5"/>
  <c r="N121" i="5"/>
  <c r="N122" i="5"/>
  <c r="N123" i="5"/>
  <c r="N124" i="5"/>
  <c r="N125" i="5"/>
  <c r="N126" i="5"/>
  <c r="N127" i="5"/>
  <c r="N129" i="5"/>
  <c r="N130" i="5"/>
  <c r="N131" i="5"/>
  <c r="N132" i="5"/>
  <c r="N135" i="5"/>
  <c r="N136" i="5"/>
  <c r="N137" i="5"/>
  <c r="N138" i="5"/>
  <c r="N139" i="5"/>
  <c r="N140" i="5"/>
  <c r="N141" i="5"/>
  <c r="O2" i="5"/>
  <c r="O3" i="5"/>
  <c r="O4" i="5"/>
  <c r="O5" i="5"/>
  <c r="O6" i="5"/>
  <c r="O7" i="5"/>
  <c r="O8" i="5"/>
  <c r="O9" i="5"/>
  <c r="O10" i="5"/>
  <c r="O11" i="5"/>
  <c r="O13" i="5"/>
  <c r="O15" i="5"/>
  <c r="O18" i="5"/>
  <c r="O19" i="5"/>
  <c r="O20" i="5"/>
  <c r="O21" i="5"/>
  <c r="O22" i="5"/>
  <c r="O23" i="5"/>
  <c r="O24" i="5"/>
  <c r="O25" i="5"/>
  <c r="O26" i="5"/>
  <c r="O27" i="5"/>
  <c r="O28" i="5"/>
  <c r="O29" i="5"/>
  <c r="O30" i="5"/>
  <c r="O31" i="5"/>
  <c r="O32" i="5"/>
  <c r="O33" i="5"/>
  <c r="O34" i="5"/>
  <c r="O35" i="5"/>
  <c r="O36" i="5"/>
  <c r="O38" i="5"/>
  <c r="O39" i="5"/>
  <c r="O40" i="5"/>
  <c r="O42" i="5"/>
  <c r="O43" i="5"/>
  <c r="O44" i="5"/>
  <c r="O46" i="5"/>
  <c r="O47" i="5"/>
  <c r="O48" i="5"/>
  <c r="O49" i="5"/>
  <c r="O50" i="5"/>
  <c r="O51" i="5"/>
  <c r="O53" i="5"/>
  <c r="O54" i="5"/>
  <c r="O55" i="5"/>
  <c r="O56" i="5"/>
  <c r="O57" i="5"/>
  <c r="O58" i="5"/>
  <c r="O59" i="5"/>
  <c r="O60" i="5"/>
  <c r="O61" i="5"/>
  <c r="O62" i="5"/>
  <c r="O63" i="5"/>
  <c r="O64" i="5"/>
  <c r="O65" i="5"/>
  <c r="O66" i="5"/>
  <c r="O67" i="5"/>
  <c r="O71" i="5"/>
  <c r="O72"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3" i="5"/>
  <c r="O106" i="5"/>
  <c r="O107" i="5"/>
  <c r="O108" i="5"/>
  <c r="O109" i="5"/>
  <c r="O110" i="5"/>
  <c r="O111" i="5"/>
  <c r="O112" i="5"/>
  <c r="O113" i="5"/>
  <c r="O114" i="5"/>
  <c r="O115" i="5"/>
  <c r="O116" i="5"/>
  <c r="O117" i="5"/>
  <c r="O118" i="5"/>
  <c r="O119" i="5"/>
  <c r="O120" i="5"/>
  <c r="O121" i="5"/>
  <c r="O122" i="5"/>
  <c r="O123" i="5"/>
  <c r="O124" i="5"/>
  <c r="O125" i="5"/>
  <c r="O126" i="5"/>
  <c r="O127" i="5"/>
  <c r="O129" i="5"/>
  <c r="O130" i="5"/>
  <c r="O131" i="5"/>
  <c r="O132" i="5"/>
  <c r="O135" i="5"/>
  <c r="O136" i="5"/>
  <c r="O137" i="5"/>
  <c r="O138" i="5"/>
  <c r="O139" i="5"/>
  <c r="O140" i="5"/>
  <c r="O141" i="5"/>
  <c r="P2" i="5"/>
  <c r="P3" i="5"/>
  <c r="P4" i="5"/>
  <c r="P5" i="5"/>
  <c r="P6" i="5"/>
  <c r="P7" i="5"/>
  <c r="P8" i="5"/>
  <c r="P9" i="5"/>
  <c r="P10" i="5"/>
  <c r="P11" i="5"/>
  <c r="P13" i="5"/>
  <c r="P15" i="5"/>
  <c r="P18" i="5"/>
  <c r="P19" i="5"/>
  <c r="P20" i="5"/>
  <c r="P21" i="5"/>
  <c r="P22" i="5"/>
  <c r="P23" i="5"/>
  <c r="P24" i="5"/>
  <c r="P25" i="5"/>
  <c r="P26" i="5"/>
  <c r="P27" i="5"/>
  <c r="P28" i="5"/>
  <c r="P29" i="5"/>
  <c r="P30" i="5"/>
  <c r="P31" i="5"/>
  <c r="P32" i="5"/>
  <c r="P33" i="5"/>
  <c r="P34" i="5"/>
  <c r="P35" i="5"/>
  <c r="P36" i="5"/>
  <c r="P38" i="5"/>
  <c r="P39" i="5"/>
  <c r="P40" i="5"/>
  <c r="P42" i="5"/>
  <c r="P43" i="5"/>
  <c r="P44" i="5"/>
  <c r="P46" i="5"/>
  <c r="P47" i="5"/>
  <c r="P48" i="5"/>
  <c r="P49" i="5"/>
  <c r="P50" i="5"/>
  <c r="P51" i="5"/>
  <c r="P53" i="5"/>
  <c r="P54" i="5"/>
  <c r="P55" i="5"/>
  <c r="P56" i="5"/>
  <c r="P57" i="5"/>
  <c r="P58" i="5"/>
  <c r="P59" i="5"/>
  <c r="P60" i="5"/>
  <c r="P61" i="5"/>
  <c r="P62" i="5"/>
  <c r="P63" i="5"/>
  <c r="P64" i="5"/>
  <c r="P65" i="5"/>
  <c r="P66" i="5"/>
  <c r="P67" i="5"/>
  <c r="P71" i="5"/>
  <c r="P72"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3" i="5"/>
  <c r="P106" i="5"/>
  <c r="P107" i="5"/>
  <c r="P108" i="5"/>
  <c r="P109" i="5"/>
  <c r="P110" i="5"/>
  <c r="P111" i="5"/>
  <c r="P112" i="5"/>
  <c r="P113" i="5"/>
  <c r="P114" i="5"/>
  <c r="P115" i="5"/>
  <c r="P116" i="5"/>
  <c r="P117" i="5"/>
  <c r="P118" i="5"/>
  <c r="P119" i="5"/>
  <c r="P120" i="5"/>
  <c r="P121" i="5"/>
  <c r="P122" i="5"/>
  <c r="P123" i="5"/>
  <c r="P124" i="5"/>
  <c r="P125" i="5"/>
  <c r="P126" i="5"/>
  <c r="P127" i="5"/>
  <c r="P129" i="5"/>
  <c r="P130" i="5"/>
  <c r="P131" i="5"/>
  <c r="P132" i="5"/>
  <c r="P135" i="5"/>
  <c r="P136" i="5"/>
  <c r="P137" i="5"/>
  <c r="P138" i="5"/>
  <c r="P139" i="5"/>
  <c r="P140" i="5"/>
  <c r="P141" i="5"/>
  <c r="Q2" i="5"/>
  <c r="Q3" i="5"/>
  <c r="Q4" i="5"/>
  <c r="Q5" i="5"/>
  <c r="Q6" i="5"/>
  <c r="Q7" i="5"/>
  <c r="Q8" i="5"/>
  <c r="Q9" i="5"/>
  <c r="Q10" i="5"/>
  <c r="Q11" i="5"/>
  <c r="Q13" i="5"/>
  <c r="Q15" i="5"/>
  <c r="Q18" i="5"/>
  <c r="Q19" i="5"/>
  <c r="Q20" i="5"/>
  <c r="Q21" i="5"/>
  <c r="Q22" i="5"/>
  <c r="Q23" i="5"/>
  <c r="Q24" i="5"/>
  <c r="Q25" i="5"/>
  <c r="Q26" i="5"/>
  <c r="Q27" i="5"/>
  <c r="Q28" i="5"/>
  <c r="Q29" i="5"/>
  <c r="Q30" i="5"/>
  <c r="Q31" i="5"/>
  <c r="Q32" i="5"/>
  <c r="Q33" i="5"/>
  <c r="Q34" i="5"/>
  <c r="Q35" i="5"/>
  <c r="Q36" i="5"/>
  <c r="Q38" i="5"/>
  <c r="Q39" i="5"/>
  <c r="Q40" i="5"/>
  <c r="Q42" i="5"/>
  <c r="Q43" i="5"/>
  <c r="Q44" i="5"/>
  <c r="Q46" i="5"/>
  <c r="Q47" i="5"/>
  <c r="Q48" i="5"/>
  <c r="Q49" i="5"/>
  <c r="Q50" i="5"/>
  <c r="Q51" i="5"/>
  <c r="Q53" i="5"/>
  <c r="Q54" i="5"/>
  <c r="Q55" i="5"/>
  <c r="Q56" i="5"/>
  <c r="Q57" i="5"/>
  <c r="Q58" i="5"/>
  <c r="Q59" i="5"/>
  <c r="Q60" i="5"/>
  <c r="Q61" i="5"/>
  <c r="Q62" i="5"/>
  <c r="Q63" i="5"/>
  <c r="Q64" i="5"/>
  <c r="Q65" i="5"/>
  <c r="Q66" i="5"/>
  <c r="Q67" i="5"/>
  <c r="Q71" i="5"/>
  <c r="Q72"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3" i="5"/>
  <c r="Q106" i="5"/>
  <c r="Q107" i="5"/>
  <c r="Q108" i="5"/>
  <c r="Q109" i="5"/>
  <c r="Q110" i="5"/>
  <c r="Q111" i="5"/>
  <c r="Q112" i="5"/>
  <c r="Q113" i="5"/>
  <c r="Q114" i="5"/>
  <c r="Q115" i="5"/>
  <c r="Q116" i="5"/>
  <c r="Q117" i="5"/>
  <c r="Q118" i="5"/>
  <c r="Q119" i="5"/>
  <c r="Q120" i="5"/>
  <c r="Q121" i="5"/>
  <c r="Q122" i="5"/>
  <c r="Q123" i="5"/>
  <c r="Q124" i="5"/>
  <c r="Q125" i="5"/>
  <c r="Q126" i="5"/>
  <c r="Q127" i="5"/>
  <c r="Q129" i="5"/>
  <c r="Q130" i="5"/>
  <c r="Q131" i="5"/>
  <c r="Q132" i="5"/>
  <c r="Q135" i="5"/>
  <c r="Q136" i="5"/>
  <c r="Q137" i="5"/>
  <c r="Q138" i="5"/>
  <c r="Q139" i="5"/>
  <c r="Q140" i="5"/>
  <c r="Q141" i="5"/>
  <c r="R2" i="5"/>
  <c r="R3" i="5"/>
  <c r="R4" i="5"/>
  <c r="R5" i="5"/>
  <c r="R6" i="5"/>
  <c r="R7" i="5"/>
  <c r="R8" i="5"/>
  <c r="R9" i="5"/>
  <c r="R10" i="5"/>
  <c r="R11" i="5"/>
  <c r="R13" i="5"/>
  <c r="R15" i="5"/>
  <c r="R18" i="5"/>
  <c r="R19" i="5"/>
  <c r="R20" i="5"/>
  <c r="R21" i="5"/>
  <c r="R22" i="5"/>
  <c r="R23" i="5"/>
  <c r="R24" i="5"/>
  <c r="R25" i="5"/>
  <c r="R26" i="5"/>
  <c r="R27" i="5"/>
  <c r="R28" i="5"/>
  <c r="R29" i="5"/>
  <c r="R30" i="5"/>
  <c r="R31" i="5"/>
  <c r="R32" i="5"/>
  <c r="R33" i="5"/>
  <c r="R34" i="5"/>
  <c r="R35" i="5"/>
  <c r="R36" i="5"/>
  <c r="R38" i="5"/>
  <c r="R39" i="5"/>
  <c r="R40" i="5"/>
  <c r="R42" i="5"/>
  <c r="R43" i="5"/>
  <c r="R44" i="5"/>
  <c r="R46" i="5"/>
  <c r="R47" i="5"/>
  <c r="R48" i="5"/>
  <c r="R49" i="5"/>
  <c r="R50" i="5"/>
  <c r="R51" i="5"/>
  <c r="R53" i="5"/>
  <c r="R54" i="5"/>
  <c r="R55" i="5"/>
  <c r="R56" i="5"/>
  <c r="R57" i="5"/>
  <c r="R58" i="5"/>
  <c r="R59" i="5"/>
  <c r="R60" i="5"/>
  <c r="R61" i="5"/>
  <c r="R62" i="5"/>
  <c r="R63" i="5"/>
  <c r="R64" i="5"/>
  <c r="R65" i="5"/>
  <c r="R66" i="5"/>
  <c r="R67" i="5"/>
  <c r="R71" i="5"/>
  <c r="R72"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3" i="5"/>
  <c r="R106" i="5"/>
  <c r="R107" i="5"/>
  <c r="R108" i="5"/>
  <c r="R109" i="5"/>
  <c r="R110" i="5"/>
  <c r="R111" i="5"/>
  <c r="R112" i="5"/>
  <c r="R113" i="5"/>
  <c r="R114" i="5"/>
  <c r="R115" i="5"/>
  <c r="R116" i="5"/>
  <c r="R117" i="5"/>
  <c r="R118" i="5"/>
  <c r="R119" i="5"/>
  <c r="R120" i="5"/>
  <c r="R121" i="5"/>
  <c r="R122" i="5"/>
  <c r="R123" i="5"/>
  <c r="R124" i="5"/>
  <c r="R125" i="5"/>
  <c r="R126" i="5"/>
  <c r="R127" i="5"/>
  <c r="R129" i="5"/>
  <c r="R130" i="5"/>
  <c r="R131" i="5"/>
  <c r="R132" i="5"/>
  <c r="R135" i="5"/>
  <c r="R136" i="5"/>
  <c r="R137" i="5"/>
  <c r="R138" i="5"/>
  <c r="R139" i="5"/>
  <c r="R140" i="5"/>
  <c r="R141" i="5"/>
  <c r="S2" i="5"/>
  <c r="S3" i="5"/>
  <c r="S4" i="5"/>
  <c r="S5" i="5"/>
  <c r="S6" i="5"/>
  <c r="S7" i="5"/>
  <c r="S8" i="5"/>
  <c r="S9" i="5"/>
  <c r="S10" i="5"/>
  <c r="S11" i="5"/>
  <c r="S13" i="5"/>
  <c r="S15" i="5"/>
  <c r="S18" i="5"/>
  <c r="S19" i="5"/>
  <c r="S20" i="5"/>
  <c r="S21" i="5"/>
  <c r="S22" i="5"/>
  <c r="S23" i="5"/>
  <c r="S24" i="5"/>
  <c r="S25" i="5"/>
  <c r="S26" i="5"/>
  <c r="S27" i="5"/>
  <c r="S28" i="5"/>
  <c r="S29" i="5"/>
  <c r="S30" i="5"/>
  <c r="S31" i="5"/>
  <c r="S32" i="5"/>
  <c r="S33" i="5"/>
  <c r="S34" i="5"/>
  <c r="S35" i="5"/>
  <c r="S36" i="5"/>
  <c r="S38" i="5"/>
  <c r="S39" i="5"/>
  <c r="S40" i="5"/>
  <c r="S42" i="5"/>
  <c r="S43" i="5"/>
  <c r="S44" i="5"/>
  <c r="S46" i="5"/>
  <c r="S47" i="5"/>
  <c r="S48" i="5"/>
  <c r="S49" i="5"/>
  <c r="S50" i="5"/>
  <c r="S51" i="5"/>
  <c r="S53" i="5"/>
  <c r="S54" i="5"/>
  <c r="S55" i="5"/>
  <c r="S56" i="5"/>
  <c r="S57" i="5"/>
  <c r="S58" i="5"/>
  <c r="S59" i="5"/>
  <c r="S60" i="5"/>
  <c r="S61" i="5"/>
  <c r="S62" i="5"/>
  <c r="S63" i="5"/>
  <c r="S64" i="5"/>
  <c r="S65" i="5"/>
  <c r="S66" i="5"/>
  <c r="S67" i="5"/>
  <c r="S71" i="5"/>
  <c r="S72"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3" i="5"/>
  <c r="S106" i="5"/>
  <c r="S107" i="5"/>
  <c r="S108" i="5"/>
  <c r="S109" i="5"/>
  <c r="S110" i="5"/>
  <c r="S111" i="5"/>
  <c r="S112" i="5"/>
  <c r="S113" i="5"/>
  <c r="S114" i="5"/>
  <c r="S115" i="5"/>
  <c r="S116" i="5"/>
  <c r="S117" i="5"/>
  <c r="S118" i="5"/>
  <c r="S119" i="5"/>
  <c r="S120" i="5"/>
  <c r="S121" i="5"/>
  <c r="S122" i="5"/>
  <c r="S123" i="5"/>
  <c r="S124" i="5"/>
  <c r="S125" i="5"/>
  <c r="S126" i="5"/>
  <c r="S127" i="5"/>
  <c r="S129" i="5"/>
  <c r="S130" i="5"/>
  <c r="S131" i="5"/>
  <c r="S132" i="5"/>
  <c r="S135" i="5"/>
  <c r="S136" i="5"/>
  <c r="S137" i="5"/>
  <c r="S138" i="5"/>
  <c r="S139" i="5"/>
  <c r="S140" i="5"/>
  <c r="S141" i="5"/>
  <c r="T2" i="5"/>
  <c r="T3" i="5"/>
  <c r="T4" i="5"/>
  <c r="T5" i="5"/>
  <c r="T6" i="5"/>
  <c r="T7" i="5"/>
  <c r="T8" i="5"/>
  <c r="T9" i="5"/>
  <c r="T10" i="5"/>
  <c r="T11" i="5"/>
  <c r="T13" i="5"/>
  <c r="T15" i="5"/>
  <c r="T18" i="5"/>
  <c r="T19" i="5"/>
  <c r="T20" i="5"/>
  <c r="T21" i="5"/>
  <c r="T22" i="5"/>
  <c r="T23" i="5"/>
  <c r="T24" i="5"/>
  <c r="T25" i="5"/>
  <c r="T26" i="5"/>
  <c r="T27" i="5"/>
  <c r="T28" i="5"/>
  <c r="T29" i="5"/>
  <c r="T30" i="5"/>
  <c r="T31" i="5"/>
  <c r="T32" i="5"/>
  <c r="T33" i="5"/>
  <c r="T34" i="5"/>
  <c r="T35" i="5"/>
  <c r="T36" i="5"/>
  <c r="T38" i="5"/>
  <c r="T39" i="5"/>
  <c r="T40" i="5"/>
  <c r="T42" i="5"/>
  <c r="T43" i="5"/>
  <c r="T44" i="5"/>
  <c r="T46" i="5"/>
  <c r="T47" i="5"/>
  <c r="T48" i="5"/>
  <c r="T49" i="5"/>
  <c r="T50" i="5"/>
  <c r="T51" i="5"/>
  <c r="T53" i="5"/>
  <c r="T54" i="5"/>
  <c r="T55" i="5"/>
  <c r="T56" i="5"/>
  <c r="T57" i="5"/>
  <c r="T58" i="5"/>
  <c r="T59" i="5"/>
  <c r="T60" i="5"/>
  <c r="T61" i="5"/>
  <c r="T62" i="5"/>
  <c r="T63" i="5"/>
  <c r="T64" i="5"/>
  <c r="T65" i="5"/>
  <c r="T66" i="5"/>
  <c r="T67" i="5"/>
  <c r="T71" i="5"/>
  <c r="T72"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3" i="5"/>
  <c r="T106" i="5"/>
  <c r="T107" i="5"/>
  <c r="T108" i="5"/>
  <c r="T109" i="5"/>
  <c r="T110" i="5"/>
  <c r="T111" i="5"/>
  <c r="T112" i="5"/>
  <c r="T113" i="5"/>
  <c r="T114" i="5"/>
  <c r="T115" i="5"/>
  <c r="T116" i="5"/>
  <c r="T117" i="5"/>
  <c r="T118" i="5"/>
  <c r="T119" i="5"/>
  <c r="T120" i="5"/>
  <c r="T121" i="5"/>
  <c r="T122" i="5"/>
  <c r="T123" i="5"/>
  <c r="T124" i="5"/>
  <c r="T125" i="5"/>
  <c r="T126" i="5"/>
  <c r="T127" i="5"/>
  <c r="T129" i="5"/>
  <c r="T130" i="5"/>
  <c r="T131" i="5"/>
  <c r="T132" i="5"/>
  <c r="T135" i="5"/>
  <c r="T136" i="5"/>
  <c r="T137" i="5"/>
  <c r="T138" i="5"/>
  <c r="T139" i="5"/>
  <c r="T140" i="5"/>
  <c r="T141" i="5"/>
  <c r="U2" i="5"/>
  <c r="U3" i="5"/>
  <c r="U4" i="5"/>
  <c r="U5" i="5"/>
  <c r="U6" i="5"/>
  <c r="U7" i="5"/>
  <c r="U8" i="5"/>
  <c r="U9" i="5"/>
  <c r="U10" i="5"/>
  <c r="U11" i="5"/>
  <c r="U13" i="5"/>
  <c r="U15" i="5"/>
  <c r="U18" i="5"/>
  <c r="U19" i="5"/>
  <c r="U20" i="5"/>
  <c r="U21" i="5"/>
  <c r="U22" i="5"/>
  <c r="U23" i="5"/>
  <c r="U24" i="5"/>
  <c r="U25" i="5"/>
  <c r="U26" i="5"/>
  <c r="U27" i="5"/>
  <c r="U28" i="5"/>
  <c r="U29" i="5"/>
  <c r="U30" i="5"/>
  <c r="U31" i="5"/>
  <c r="U32" i="5"/>
  <c r="U33" i="5"/>
  <c r="U34" i="5"/>
  <c r="U35" i="5"/>
  <c r="U36" i="5"/>
  <c r="U38" i="5"/>
  <c r="U39" i="5"/>
  <c r="U40" i="5"/>
  <c r="U42" i="5"/>
  <c r="U43" i="5"/>
  <c r="U44" i="5"/>
  <c r="U46" i="5"/>
  <c r="U47" i="5"/>
  <c r="U48" i="5"/>
  <c r="U49" i="5"/>
  <c r="U50" i="5"/>
  <c r="U51" i="5"/>
  <c r="U53" i="5"/>
  <c r="U54" i="5"/>
  <c r="U55" i="5"/>
  <c r="U56" i="5"/>
  <c r="U57" i="5"/>
  <c r="U58" i="5"/>
  <c r="U59" i="5"/>
  <c r="U60" i="5"/>
  <c r="U61" i="5"/>
  <c r="U62" i="5"/>
  <c r="U63" i="5"/>
  <c r="U64" i="5"/>
  <c r="U65" i="5"/>
  <c r="U66" i="5"/>
  <c r="U67" i="5"/>
  <c r="U71" i="5"/>
  <c r="U72"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3" i="5"/>
  <c r="U106" i="5"/>
  <c r="U107" i="5"/>
  <c r="U108" i="5"/>
  <c r="U109" i="5"/>
  <c r="U110" i="5"/>
  <c r="U111" i="5"/>
  <c r="U112" i="5"/>
  <c r="U113" i="5"/>
  <c r="U114" i="5"/>
  <c r="U115" i="5"/>
  <c r="U116" i="5"/>
  <c r="U117" i="5"/>
  <c r="U118" i="5"/>
  <c r="U119" i="5"/>
  <c r="U120" i="5"/>
  <c r="U121" i="5"/>
  <c r="U122" i="5"/>
  <c r="U123" i="5"/>
  <c r="U124" i="5"/>
  <c r="U125" i="5"/>
  <c r="U126" i="5"/>
  <c r="U127" i="5"/>
  <c r="U129" i="5"/>
  <c r="U130" i="5"/>
  <c r="U131" i="5"/>
  <c r="U132" i="5"/>
  <c r="U135" i="5"/>
  <c r="U136" i="5"/>
  <c r="U137" i="5"/>
  <c r="U138" i="5"/>
  <c r="U139" i="5"/>
  <c r="U140" i="5"/>
  <c r="U141" i="5"/>
  <c r="V2" i="5"/>
  <c r="V3" i="5"/>
  <c r="V4" i="5"/>
  <c r="V5" i="5"/>
  <c r="V6" i="5"/>
  <c r="V7" i="5"/>
  <c r="V8" i="5"/>
  <c r="V9" i="5"/>
  <c r="V10" i="5"/>
  <c r="V11" i="5"/>
  <c r="V13" i="5"/>
  <c r="V15" i="5"/>
  <c r="V18" i="5"/>
  <c r="V19" i="5"/>
  <c r="V20" i="5"/>
  <c r="V21" i="5"/>
  <c r="V22" i="5"/>
  <c r="V23" i="5"/>
  <c r="V24" i="5"/>
  <c r="V25" i="5"/>
  <c r="V26" i="5"/>
  <c r="V27" i="5"/>
  <c r="V28" i="5"/>
  <c r="V29" i="5"/>
  <c r="V30" i="5"/>
  <c r="V31" i="5"/>
  <c r="V32" i="5"/>
  <c r="V33" i="5"/>
  <c r="V34" i="5"/>
  <c r="V35" i="5"/>
  <c r="V36" i="5"/>
  <c r="V38" i="5"/>
  <c r="V40" i="5"/>
  <c r="V42" i="5"/>
  <c r="V43" i="5"/>
  <c r="V44" i="5"/>
  <c r="V46" i="5"/>
  <c r="V47" i="5"/>
  <c r="V48" i="5"/>
  <c r="V49" i="5"/>
  <c r="V50" i="5"/>
  <c r="V51" i="5"/>
  <c r="V53" i="5"/>
  <c r="V54" i="5"/>
  <c r="V55" i="5"/>
  <c r="V56" i="5"/>
  <c r="V57" i="5"/>
  <c r="V58" i="5"/>
  <c r="V59" i="5"/>
  <c r="V60" i="5"/>
  <c r="V61" i="5"/>
  <c r="V62" i="5"/>
  <c r="V63" i="5"/>
  <c r="V64" i="5"/>
  <c r="V65" i="5"/>
  <c r="V66" i="5"/>
  <c r="V67" i="5"/>
  <c r="V71" i="5"/>
  <c r="V72"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3" i="5"/>
  <c r="V106" i="5"/>
  <c r="V107" i="5"/>
  <c r="V108" i="5"/>
  <c r="V110" i="5"/>
  <c r="V111" i="5"/>
  <c r="V112" i="5"/>
  <c r="V113" i="5"/>
  <c r="V114" i="5"/>
  <c r="V115" i="5"/>
  <c r="V116" i="5"/>
  <c r="V117" i="5"/>
  <c r="V118" i="5"/>
  <c r="V119" i="5"/>
  <c r="V120" i="5"/>
  <c r="V121" i="5"/>
  <c r="V122" i="5"/>
  <c r="V123" i="5"/>
  <c r="V124" i="5"/>
  <c r="V125" i="5"/>
  <c r="V126" i="5"/>
  <c r="V127" i="5"/>
  <c r="V129" i="5"/>
  <c r="V130" i="5"/>
  <c r="V131" i="5"/>
  <c r="V132" i="5"/>
  <c r="V135" i="5"/>
  <c r="V136" i="5"/>
  <c r="V137" i="5"/>
  <c r="V138" i="5"/>
  <c r="V139" i="5"/>
  <c r="V140" i="5"/>
  <c r="V141" i="5"/>
  <c r="W2" i="5"/>
  <c r="W3" i="5"/>
  <c r="W4" i="5"/>
  <c r="W5" i="5"/>
  <c r="W6" i="5"/>
  <c r="W7" i="5"/>
  <c r="W8" i="5"/>
  <c r="W9" i="5"/>
  <c r="W10" i="5"/>
  <c r="W11" i="5"/>
  <c r="W13" i="5"/>
  <c r="W15" i="5"/>
  <c r="W18" i="5"/>
  <c r="W19" i="5"/>
  <c r="W20" i="5"/>
  <c r="W21" i="5"/>
  <c r="W22" i="5"/>
  <c r="W23" i="5"/>
  <c r="W24" i="5"/>
  <c r="W25" i="5"/>
  <c r="W26" i="5"/>
  <c r="W27" i="5"/>
  <c r="W28" i="5"/>
  <c r="W29" i="5"/>
  <c r="W30" i="5"/>
  <c r="W31" i="5"/>
  <c r="W32" i="5"/>
  <c r="W33" i="5"/>
  <c r="W34" i="5"/>
  <c r="W35" i="5"/>
  <c r="W36" i="5"/>
  <c r="W38" i="5"/>
  <c r="W39" i="5"/>
  <c r="W40" i="5"/>
  <c r="W42" i="5"/>
  <c r="W43" i="5"/>
  <c r="W44" i="5"/>
  <c r="W46" i="5"/>
  <c r="W47" i="5"/>
  <c r="W48" i="5"/>
  <c r="W49" i="5"/>
  <c r="W50" i="5"/>
  <c r="W51" i="5"/>
  <c r="W53" i="5"/>
  <c r="W54" i="5"/>
  <c r="W55" i="5"/>
  <c r="W56" i="5"/>
  <c r="W57" i="5"/>
  <c r="W58" i="5"/>
  <c r="W59" i="5"/>
  <c r="W60" i="5"/>
  <c r="W61" i="5"/>
  <c r="W62" i="5"/>
  <c r="W63" i="5"/>
  <c r="W64" i="5"/>
  <c r="W65" i="5"/>
  <c r="W66" i="5"/>
  <c r="W67" i="5"/>
  <c r="W71" i="5"/>
  <c r="W72"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3" i="5"/>
  <c r="W106" i="5"/>
  <c r="W107" i="5"/>
  <c r="W108" i="5"/>
  <c r="W109" i="5"/>
  <c r="W110" i="5"/>
  <c r="W111" i="5"/>
  <c r="W112" i="5"/>
  <c r="W113" i="5"/>
  <c r="W114" i="5"/>
  <c r="W115" i="5"/>
  <c r="W116" i="5"/>
  <c r="W117" i="5"/>
  <c r="W118" i="5"/>
  <c r="W119" i="5"/>
  <c r="W120" i="5"/>
  <c r="W121" i="5"/>
  <c r="W122" i="5"/>
  <c r="W123" i="5"/>
  <c r="W124" i="5"/>
  <c r="W125" i="5"/>
  <c r="W126" i="5"/>
  <c r="W127" i="5"/>
  <c r="W129" i="5"/>
  <c r="W130" i="5"/>
  <c r="W131" i="5"/>
  <c r="W132" i="5"/>
  <c r="W135" i="5"/>
  <c r="W136" i="5"/>
  <c r="W137" i="5"/>
  <c r="W138" i="5"/>
  <c r="W139" i="5"/>
  <c r="W140" i="5"/>
  <c r="W141" i="5"/>
  <c r="X2" i="5"/>
  <c r="X3" i="5"/>
  <c r="X4" i="5"/>
  <c r="X5" i="5"/>
  <c r="X6" i="5"/>
  <c r="X7" i="5"/>
  <c r="X8" i="5"/>
  <c r="X9" i="5"/>
  <c r="X10" i="5"/>
  <c r="X11" i="5"/>
  <c r="X13" i="5"/>
  <c r="X15" i="5"/>
  <c r="X18" i="5"/>
  <c r="X19" i="5"/>
  <c r="X20" i="5"/>
  <c r="X21" i="5"/>
  <c r="X22" i="5"/>
  <c r="X23" i="5"/>
  <c r="X24" i="5"/>
  <c r="X25" i="5"/>
  <c r="X26" i="5"/>
  <c r="X27" i="5"/>
  <c r="X28" i="5"/>
  <c r="X29" i="5"/>
  <c r="X30" i="5"/>
  <c r="X31" i="5"/>
  <c r="X32" i="5"/>
  <c r="X33" i="5"/>
  <c r="X34" i="5"/>
  <c r="X35" i="5"/>
  <c r="X36" i="5"/>
  <c r="X38" i="5"/>
  <c r="X39" i="5"/>
  <c r="X40" i="5"/>
  <c r="X42" i="5"/>
  <c r="X43" i="5"/>
  <c r="X44" i="5"/>
  <c r="X46" i="5"/>
  <c r="X47" i="5"/>
  <c r="X48" i="5"/>
  <c r="X49" i="5"/>
  <c r="X50" i="5"/>
  <c r="X51" i="5"/>
  <c r="X53" i="5"/>
  <c r="X54" i="5"/>
  <c r="X55" i="5"/>
  <c r="X56" i="5"/>
  <c r="X57" i="5"/>
  <c r="X58" i="5"/>
  <c r="X59" i="5"/>
  <c r="X60" i="5"/>
  <c r="X61" i="5"/>
  <c r="X62" i="5"/>
  <c r="X63" i="5"/>
  <c r="X64" i="5"/>
  <c r="X65" i="5"/>
  <c r="X66" i="5"/>
  <c r="X67" i="5"/>
  <c r="X71" i="5"/>
  <c r="X72" i="5"/>
  <c r="X74" i="5"/>
  <c r="X75" i="5"/>
  <c r="X76" i="5"/>
  <c r="X77" i="5"/>
  <c r="X78" i="5"/>
  <c r="X79" i="5"/>
  <c r="X80" i="5"/>
  <c r="X81" i="5"/>
  <c r="X82" i="5"/>
  <c r="X83" i="5"/>
  <c r="X84" i="5"/>
  <c r="X85" i="5"/>
  <c r="X86" i="5"/>
  <c r="X87" i="5"/>
  <c r="X88" i="5"/>
  <c r="X89" i="5"/>
  <c r="X90" i="5"/>
  <c r="X91" i="5"/>
  <c r="X92" i="5"/>
  <c r="X93" i="5"/>
  <c r="X94" i="5"/>
  <c r="X95" i="5"/>
  <c r="X96" i="5"/>
  <c r="X97" i="5"/>
  <c r="X98" i="5"/>
  <c r="X99" i="5"/>
  <c r="X100" i="5"/>
  <c r="X101" i="5"/>
  <c r="X103" i="5"/>
  <c r="X106" i="5"/>
  <c r="X107" i="5"/>
  <c r="X108" i="5"/>
  <c r="X109" i="5"/>
  <c r="X110" i="5"/>
  <c r="X111" i="5"/>
  <c r="X112" i="5"/>
  <c r="X113" i="5"/>
  <c r="X114" i="5"/>
  <c r="X115" i="5"/>
  <c r="X116" i="5"/>
  <c r="X117" i="5"/>
  <c r="X118" i="5"/>
  <c r="X119" i="5"/>
  <c r="X120" i="5"/>
  <c r="X121" i="5"/>
  <c r="X122" i="5"/>
  <c r="X123" i="5"/>
  <c r="X124" i="5"/>
  <c r="X125" i="5"/>
  <c r="X126" i="5"/>
  <c r="X127" i="5"/>
  <c r="X129" i="5"/>
  <c r="X130" i="5"/>
  <c r="X131" i="5"/>
  <c r="X132" i="5"/>
  <c r="X135" i="5"/>
  <c r="X136" i="5"/>
  <c r="X137" i="5"/>
  <c r="X138" i="5"/>
  <c r="X139" i="5"/>
  <c r="X140" i="5"/>
  <c r="X141" i="5"/>
  <c r="Y2" i="5"/>
  <c r="Y3" i="5"/>
  <c r="Y4" i="5"/>
  <c r="Y5" i="5"/>
  <c r="Y6" i="5"/>
  <c r="Y7" i="5"/>
  <c r="Y8" i="5"/>
  <c r="Y9" i="5"/>
  <c r="Y10" i="5"/>
  <c r="Y11" i="5"/>
  <c r="Y13" i="5"/>
  <c r="Y15" i="5"/>
  <c r="Y18" i="5"/>
  <c r="Y19" i="5"/>
  <c r="Y20" i="5"/>
  <c r="Y21" i="5"/>
  <c r="Y22" i="5"/>
  <c r="Y23" i="5"/>
  <c r="Y24" i="5"/>
  <c r="Y25" i="5"/>
  <c r="Y26" i="5"/>
  <c r="Y27" i="5"/>
  <c r="Y28" i="5"/>
  <c r="Y29" i="5"/>
  <c r="Y30" i="5"/>
  <c r="Y31" i="5"/>
  <c r="Y32" i="5"/>
  <c r="Y33" i="5"/>
  <c r="Y34" i="5"/>
  <c r="Y35" i="5"/>
  <c r="Y36" i="5"/>
  <c r="Y38" i="5"/>
  <c r="Y39" i="5"/>
  <c r="Y40" i="5"/>
  <c r="Y42" i="5"/>
  <c r="Y43" i="5"/>
  <c r="Y44" i="5"/>
  <c r="Y46" i="5"/>
  <c r="Y47" i="5"/>
  <c r="Y48" i="5"/>
  <c r="Y49" i="5"/>
  <c r="Y50" i="5"/>
  <c r="Y51" i="5"/>
  <c r="Y53" i="5"/>
  <c r="Y54" i="5"/>
  <c r="Y55" i="5"/>
  <c r="Y56" i="5"/>
  <c r="Y57" i="5"/>
  <c r="Y58" i="5"/>
  <c r="Y59" i="5"/>
  <c r="Y60" i="5"/>
  <c r="Y61" i="5"/>
  <c r="Y62" i="5"/>
  <c r="Y63" i="5"/>
  <c r="Y64" i="5"/>
  <c r="Y65" i="5"/>
  <c r="Y66" i="5"/>
  <c r="Y67" i="5"/>
  <c r="Y71" i="5"/>
  <c r="Y72"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3" i="5"/>
  <c r="Y106" i="5"/>
  <c r="Y107" i="5"/>
  <c r="Y108" i="5"/>
  <c r="Y109" i="5"/>
  <c r="Y110" i="5"/>
  <c r="Y111" i="5"/>
  <c r="Y112" i="5"/>
  <c r="Y113" i="5"/>
  <c r="Y114" i="5"/>
  <c r="Y115" i="5"/>
  <c r="Y116" i="5"/>
  <c r="Y117" i="5"/>
  <c r="Y118" i="5"/>
  <c r="Y119" i="5"/>
  <c r="Y120" i="5"/>
  <c r="Y121" i="5"/>
  <c r="Y122" i="5"/>
  <c r="Y123" i="5"/>
  <c r="Y124" i="5"/>
  <c r="Y125" i="5"/>
  <c r="Y126" i="5"/>
  <c r="Y127" i="5"/>
  <c r="Y129" i="5"/>
  <c r="Y130" i="5"/>
  <c r="Y131" i="5"/>
  <c r="Y132" i="5"/>
  <c r="Y135" i="5"/>
  <c r="Y136" i="5"/>
  <c r="Y137" i="5"/>
  <c r="Y138" i="5"/>
  <c r="Y139" i="5"/>
  <c r="Y140" i="5"/>
  <c r="Y141" i="5"/>
  <c r="Z2" i="5"/>
  <c r="Z3" i="5"/>
  <c r="Z4" i="5"/>
  <c r="Z5" i="5"/>
  <c r="Z6" i="5"/>
  <c r="Z7" i="5"/>
  <c r="Z8" i="5"/>
  <c r="Z9" i="5"/>
  <c r="Z10" i="5"/>
  <c r="Z11" i="5"/>
  <c r="Z13" i="5"/>
  <c r="Z15" i="5"/>
  <c r="Z18" i="5"/>
  <c r="Z19" i="5"/>
  <c r="Z20" i="5"/>
  <c r="Z21" i="5"/>
  <c r="Z22" i="5"/>
  <c r="Z23" i="5"/>
  <c r="Z24" i="5"/>
  <c r="Z25" i="5"/>
  <c r="Z26" i="5"/>
  <c r="Z27" i="5"/>
  <c r="Z28" i="5"/>
  <c r="Z29" i="5"/>
  <c r="Z30" i="5"/>
  <c r="Z31" i="5"/>
  <c r="Z32" i="5"/>
  <c r="Z33" i="5"/>
  <c r="Z34" i="5"/>
  <c r="Z35" i="5"/>
  <c r="Z36" i="5"/>
  <c r="Z38" i="5"/>
  <c r="Z39" i="5"/>
  <c r="Z40" i="5"/>
  <c r="Z42" i="5"/>
  <c r="Z43" i="5"/>
  <c r="Z44" i="5"/>
  <c r="Z46" i="5"/>
  <c r="Z47" i="5"/>
  <c r="Z48" i="5"/>
  <c r="Z49" i="5"/>
  <c r="Z50" i="5"/>
  <c r="Z51" i="5"/>
  <c r="Z53" i="5"/>
  <c r="Z54" i="5"/>
  <c r="Z55" i="5"/>
  <c r="Z56" i="5"/>
  <c r="Z57" i="5"/>
  <c r="Z58" i="5"/>
  <c r="Z59" i="5"/>
  <c r="Z60" i="5"/>
  <c r="Z61" i="5"/>
  <c r="Z62" i="5"/>
  <c r="Z63" i="5"/>
  <c r="Z64" i="5"/>
  <c r="Z65" i="5"/>
  <c r="Z66" i="5"/>
  <c r="Z67" i="5"/>
  <c r="Z71" i="5"/>
  <c r="Z72" i="5"/>
  <c r="Z74" i="5"/>
  <c r="Z75" i="5"/>
  <c r="Z76" i="5"/>
  <c r="Z77" i="5"/>
  <c r="Z78" i="5"/>
  <c r="Z79" i="5"/>
  <c r="Z80" i="5"/>
  <c r="Z81" i="5"/>
  <c r="Z82" i="5"/>
  <c r="Z83" i="5"/>
  <c r="Z84" i="5"/>
  <c r="Z85" i="5"/>
  <c r="Z86" i="5"/>
  <c r="Z87" i="5"/>
  <c r="Z88" i="5"/>
  <c r="Z89" i="5"/>
  <c r="Z90" i="5"/>
  <c r="Z91" i="5"/>
  <c r="Z92" i="5"/>
  <c r="Z93" i="5"/>
  <c r="Z94" i="5"/>
  <c r="Z95" i="5"/>
  <c r="Z96" i="5"/>
  <c r="Z97" i="5"/>
  <c r="Z98" i="5"/>
  <c r="Z99" i="5"/>
  <c r="Z100" i="5"/>
  <c r="Z101" i="5"/>
  <c r="Z103" i="5"/>
  <c r="Z106" i="5"/>
  <c r="Z107" i="5"/>
  <c r="Z108" i="5"/>
  <c r="Z109" i="5"/>
  <c r="Z110" i="5"/>
  <c r="Z111" i="5"/>
  <c r="Z112" i="5"/>
  <c r="Z113" i="5"/>
  <c r="Z114" i="5"/>
  <c r="Z115" i="5"/>
  <c r="Z116" i="5"/>
  <c r="Z117" i="5"/>
  <c r="Z118" i="5"/>
  <c r="Z119" i="5"/>
  <c r="Z120" i="5"/>
  <c r="Z121" i="5"/>
  <c r="Z122" i="5"/>
  <c r="Z123" i="5"/>
  <c r="Z124" i="5"/>
  <c r="Z125" i="5"/>
  <c r="Z126" i="5"/>
  <c r="Z127" i="5"/>
  <c r="Z129" i="5"/>
  <c r="Z130" i="5"/>
  <c r="Z131" i="5"/>
  <c r="Z132" i="5"/>
  <c r="Z135" i="5"/>
  <c r="Z136" i="5"/>
  <c r="Z137" i="5"/>
  <c r="Z138" i="5"/>
  <c r="Z139" i="5"/>
  <c r="Z140" i="5"/>
  <c r="Z141" i="5"/>
  <c r="AA2" i="5"/>
  <c r="AA3" i="5"/>
  <c r="AA4" i="5"/>
  <c r="AA5" i="5"/>
  <c r="AA6" i="5"/>
  <c r="AA7" i="5"/>
  <c r="AA8" i="5"/>
  <c r="AA9" i="5"/>
  <c r="AA10" i="5"/>
  <c r="AA11" i="5"/>
  <c r="AA13" i="5"/>
  <c r="AA15" i="5"/>
  <c r="AA18" i="5"/>
  <c r="AA19" i="5"/>
  <c r="AA20" i="5"/>
  <c r="AA21" i="5"/>
  <c r="AA22" i="5"/>
  <c r="AA23" i="5"/>
  <c r="AA24" i="5"/>
  <c r="AA25" i="5"/>
  <c r="AA26" i="5"/>
  <c r="AA27" i="5"/>
  <c r="AA28" i="5"/>
  <c r="AA29" i="5"/>
  <c r="AA30" i="5"/>
  <c r="AA31" i="5"/>
  <c r="AA32" i="5"/>
  <c r="AA33" i="5"/>
  <c r="AA34" i="5"/>
  <c r="AA35" i="5"/>
  <c r="AA36" i="5"/>
  <c r="AA38" i="5"/>
  <c r="AA39" i="5"/>
  <c r="AA40" i="5"/>
  <c r="AA42" i="5"/>
  <c r="AA43" i="5"/>
  <c r="AA44" i="5"/>
  <c r="AA46" i="5"/>
  <c r="AA47" i="5"/>
  <c r="AA48" i="5"/>
  <c r="AA49" i="5"/>
  <c r="AA50" i="5"/>
  <c r="AA51" i="5"/>
  <c r="AA53" i="5"/>
  <c r="AA54" i="5"/>
  <c r="AA55" i="5"/>
  <c r="AA56" i="5"/>
  <c r="AA57" i="5"/>
  <c r="AA58" i="5"/>
  <c r="AA59" i="5"/>
  <c r="AA60" i="5"/>
  <c r="AA61" i="5"/>
  <c r="AA62" i="5"/>
  <c r="AA63" i="5"/>
  <c r="AA64" i="5"/>
  <c r="AA65" i="5"/>
  <c r="AA66" i="5"/>
  <c r="AA67" i="5"/>
  <c r="AA71" i="5"/>
  <c r="AA72" i="5"/>
  <c r="AA74"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3" i="5"/>
  <c r="AA106" i="5"/>
  <c r="AA107" i="5"/>
  <c r="AA108" i="5"/>
  <c r="AA109" i="5"/>
  <c r="AA110" i="5"/>
  <c r="AA111" i="5"/>
  <c r="AA112" i="5"/>
  <c r="AA113" i="5"/>
  <c r="AA114" i="5"/>
  <c r="AA115" i="5"/>
  <c r="AA116" i="5"/>
  <c r="AA117" i="5"/>
  <c r="AA118" i="5"/>
  <c r="AA119" i="5"/>
  <c r="AA120" i="5"/>
  <c r="AA121" i="5"/>
  <c r="AA122" i="5"/>
  <c r="AA123" i="5"/>
  <c r="AA124" i="5"/>
  <c r="AA125" i="5"/>
  <c r="AA126" i="5"/>
  <c r="AA127" i="5"/>
  <c r="AA129" i="5"/>
  <c r="AA130" i="5"/>
  <c r="AA131" i="5"/>
  <c r="AA132" i="5"/>
  <c r="AA135" i="5"/>
  <c r="AA136" i="5"/>
  <c r="AA137" i="5"/>
  <c r="AA138" i="5"/>
  <c r="AA139" i="5"/>
  <c r="AA140" i="5"/>
  <c r="AA141" i="5"/>
  <c r="AB2" i="5"/>
  <c r="AB3" i="5"/>
  <c r="AB4" i="5"/>
  <c r="AB5" i="5"/>
  <c r="AB6" i="5"/>
  <c r="AB7" i="5"/>
  <c r="AB8" i="5"/>
  <c r="AB9" i="5"/>
  <c r="AB10" i="5"/>
  <c r="AB11" i="5"/>
  <c r="AB13" i="5"/>
  <c r="AB15" i="5"/>
  <c r="AB18" i="5"/>
  <c r="AB19" i="5"/>
  <c r="AB20" i="5"/>
  <c r="AB21" i="5"/>
  <c r="AB22" i="5"/>
  <c r="AB23" i="5"/>
  <c r="AB24" i="5"/>
  <c r="AB25" i="5"/>
  <c r="AB26" i="5"/>
  <c r="AB27" i="5"/>
  <c r="AB28" i="5"/>
  <c r="AB29" i="5"/>
  <c r="AB30" i="5"/>
  <c r="AB31" i="5"/>
  <c r="AB32" i="5"/>
  <c r="AB33" i="5"/>
  <c r="AB34" i="5"/>
  <c r="AB35" i="5"/>
  <c r="AB36" i="5"/>
  <c r="AB38" i="5"/>
  <c r="AB39" i="5"/>
  <c r="AB40" i="5"/>
  <c r="AB42" i="5"/>
  <c r="AB43" i="5"/>
  <c r="AB44" i="5"/>
  <c r="AB46" i="5"/>
  <c r="AB47" i="5"/>
  <c r="AB48" i="5"/>
  <c r="AB49" i="5"/>
  <c r="AB50" i="5"/>
  <c r="AB51" i="5"/>
  <c r="AB53" i="5"/>
  <c r="AB54" i="5"/>
  <c r="AB55" i="5"/>
  <c r="AB56" i="5"/>
  <c r="AB57" i="5"/>
  <c r="AB58" i="5"/>
  <c r="AB59" i="5"/>
  <c r="AB60" i="5"/>
  <c r="AB61" i="5"/>
  <c r="AB62" i="5"/>
  <c r="AB63" i="5"/>
  <c r="AB64" i="5"/>
  <c r="AB65" i="5"/>
  <c r="AB66" i="5"/>
  <c r="AB67" i="5"/>
  <c r="AB71" i="5"/>
  <c r="AB72" i="5"/>
  <c r="AB74" i="5"/>
  <c r="AB75" i="5"/>
  <c r="AB76" i="5"/>
  <c r="AB77" i="5"/>
  <c r="AB78" i="5"/>
  <c r="AB79" i="5"/>
  <c r="AB80" i="5"/>
  <c r="AB81" i="5"/>
  <c r="AB82" i="5"/>
  <c r="AB83" i="5"/>
  <c r="AB84" i="5"/>
  <c r="AB86" i="5"/>
  <c r="AB87" i="5"/>
  <c r="AB88" i="5"/>
  <c r="AB89" i="5"/>
  <c r="AB90" i="5"/>
  <c r="AB91" i="5"/>
  <c r="AB92" i="5"/>
  <c r="AB93" i="5"/>
  <c r="AB94" i="5"/>
  <c r="AB95" i="5"/>
  <c r="AB96" i="5"/>
  <c r="AB97" i="5"/>
  <c r="AB98" i="5"/>
  <c r="AB99" i="5"/>
  <c r="AB100" i="5"/>
  <c r="AB101" i="5"/>
  <c r="AB103" i="5"/>
  <c r="AB106" i="5"/>
  <c r="AB107" i="5"/>
  <c r="AB108" i="5"/>
  <c r="AB109" i="5"/>
  <c r="AB110" i="5"/>
  <c r="AB111" i="5"/>
  <c r="AB112" i="5"/>
  <c r="AB113" i="5"/>
  <c r="AB114" i="5"/>
  <c r="AB115" i="5"/>
  <c r="AB116" i="5"/>
  <c r="AB117" i="5"/>
  <c r="AB118" i="5"/>
  <c r="AB119" i="5"/>
  <c r="AB120" i="5"/>
  <c r="AB121" i="5"/>
  <c r="AB122" i="5"/>
  <c r="AB123" i="5"/>
  <c r="AB124" i="5"/>
  <c r="AB125" i="5"/>
  <c r="AB126" i="5"/>
  <c r="AB127" i="5"/>
  <c r="AB129" i="5"/>
  <c r="AB130" i="5"/>
  <c r="AB131" i="5"/>
  <c r="AB132" i="5"/>
  <c r="AB135" i="5"/>
  <c r="AB136" i="5"/>
  <c r="AB137" i="5"/>
  <c r="AB138" i="5"/>
  <c r="AB139" i="5"/>
  <c r="AB140" i="5"/>
  <c r="AB141" i="5"/>
  <c r="AC2" i="5"/>
  <c r="AC3" i="5"/>
  <c r="AC4" i="5"/>
  <c r="AC5" i="5"/>
  <c r="AC6" i="5"/>
  <c r="AC7" i="5"/>
  <c r="AC8" i="5"/>
  <c r="AC9" i="5"/>
  <c r="AC10" i="5"/>
  <c r="AC11" i="5"/>
  <c r="AC13" i="5"/>
  <c r="AC15" i="5"/>
  <c r="AC18" i="5"/>
  <c r="AC19" i="5"/>
  <c r="AC20" i="5"/>
  <c r="AC21" i="5"/>
  <c r="AC22" i="5"/>
  <c r="AC23" i="5"/>
  <c r="AC24" i="5"/>
  <c r="AC25" i="5"/>
  <c r="AC26" i="5"/>
  <c r="AC27" i="5"/>
  <c r="AC28" i="5"/>
  <c r="AC29" i="5"/>
  <c r="AC30" i="5"/>
  <c r="AC31" i="5"/>
  <c r="AC32" i="5"/>
  <c r="AC33" i="5"/>
  <c r="AC34" i="5"/>
  <c r="AC35" i="5"/>
  <c r="AC36" i="5"/>
  <c r="AC38" i="5"/>
  <c r="AC39" i="5"/>
  <c r="AC40" i="5"/>
  <c r="AC42" i="5"/>
  <c r="AC43" i="5"/>
  <c r="AC44" i="5"/>
  <c r="AC46" i="5"/>
  <c r="AC47" i="5"/>
  <c r="AC48" i="5"/>
  <c r="AC49" i="5"/>
  <c r="AC50" i="5"/>
  <c r="AC51" i="5"/>
  <c r="AC53" i="5"/>
  <c r="AC54" i="5"/>
  <c r="AC55" i="5"/>
  <c r="AC56" i="5"/>
  <c r="AC57" i="5"/>
  <c r="AC58" i="5"/>
  <c r="AC59" i="5"/>
  <c r="AC60" i="5"/>
  <c r="AC61" i="5"/>
  <c r="AC62" i="5"/>
  <c r="AC63" i="5"/>
  <c r="AC64" i="5"/>
  <c r="AC65" i="5"/>
  <c r="AC66" i="5"/>
  <c r="AC67" i="5"/>
  <c r="AC71" i="5"/>
  <c r="AC72" i="5"/>
  <c r="AC74" i="5"/>
  <c r="AC75" i="5"/>
  <c r="AC76" i="5"/>
  <c r="AC77" i="5"/>
  <c r="AC78" i="5"/>
  <c r="AC79" i="5"/>
  <c r="AC80" i="5"/>
  <c r="AC81" i="5"/>
  <c r="AC82" i="5"/>
  <c r="AC83" i="5"/>
  <c r="AC84" i="5"/>
  <c r="AC86" i="5"/>
  <c r="AC87" i="5"/>
  <c r="AC88" i="5"/>
  <c r="AC89" i="5"/>
  <c r="AC90" i="5"/>
  <c r="AC91" i="5"/>
  <c r="AC92" i="5"/>
  <c r="AC93" i="5"/>
  <c r="AC94" i="5"/>
  <c r="AC95" i="5"/>
  <c r="AC96" i="5"/>
  <c r="AC97" i="5"/>
  <c r="AC98" i="5"/>
  <c r="AC99" i="5"/>
  <c r="AC100" i="5"/>
  <c r="AC101" i="5"/>
  <c r="AC103" i="5"/>
  <c r="AC106" i="5"/>
  <c r="AC107" i="5"/>
  <c r="AC108" i="5"/>
  <c r="AC109" i="5"/>
  <c r="AC110" i="5"/>
  <c r="AC111" i="5"/>
  <c r="AC112" i="5"/>
  <c r="AC113" i="5"/>
  <c r="AC114" i="5"/>
  <c r="AC115" i="5"/>
  <c r="AC116" i="5"/>
  <c r="AC117" i="5"/>
  <c r="AC118" i="5"/>
  <c r="AC119" i="5"/>
  <c r="AC120" i="5"/>
  <c r="AC121" i="5"/>
  <c r="AC122" i="5"/>
  <c r="AC123" i="5"/>
  <c r="AC124" i="5"/>
  <c r="AC125" i="5"/>
  <c r="AC126" i="5"/>
  <c r="AC127" i="5"/>
  <c r="AC129" i="5"/>
  <c r="AC130" i="5"/>
  <c r="AC131" i="5"/>
  <c r="AC132" i="5"/>
  <c r="AC135" i="5"/>
  <c r="AC136" i="5"/>
  <c r="AC137" i="5"/>
  <c r="AC138" i="5"/>
  <c r="AC139" i="5"/>
  <c r="AC140" i="5"/>
  <c r="AC141" i="5"/>
  <c r="AD2" i="5"/>
  <c r="AD3" i="5"/>
  <c r="AD4" i="5"/>
  <c r="AD5" i="5"/>
  <c r="AD6" i="5"/>
  <c r="AD7" i="5"/>
  <c r="AD8" i="5"/>
  <c r="AD9" i="5"/>
  <c r="AD10" i="5"/>
  <c r="AD11" i="5"/>
  <c r="AD13" i="5"/>
  <c r="AD15" i="5"/>
  <c r="AD18" i="5"/>
  <c r="AD19" i="5"/>
  <c r="AD20" i="5"/>
  <c r="AD21" i="5"/>
  <c r="AD22" i="5"/>
  <c r="AD23" i="5"/>
  <c r="AD24" i="5"/>
  <c r="AD25" i="5"/>
  <c r="AD26" i="5"/>
  <c r="AD27" i="5"/>
  <c r="AD28" i="5"/>
  <c r="AD29" i="5"/>
  <c r="AD30" i="5"/>
  <c r="AD31" i="5"/>
  <c r="AD32" i="5"/>
  <c r="AD33" i="5"/>
  <c r="AD34" i="5"/>
  <c r="AD35" i="5"/>
  <c r="AD36" i="5"/>
  <c r="AD38" i="5"/>
  <c r="AD39" i="5"/>
  <c r="AD40" i="5"/>
  <c r="AD42" i="5"/>
  <c r="AD43" i="5"/>
  <c r="AD44" i="5"/>
  <c r="AD46" i="5"/>
  <c r="AD47" i="5"/>
  <c r="AD48" i="5"/>
  <c r="AD49" i="5"/>
  <c r="AD50" i="5"/>
  <c r="AD51" i="5"/>
  <c r="AD53" i="5"/>
  <c r="AD54" i="5"/>
  <c r="AD55" i="5"/>
  <c r="AD56" i="5"/>
  <c r="AD57" i="5"/>
  <c r="AD58" i="5"/>
  <c r="AD59" i="5"/>
  <c r="AD60" i="5"/>
  <c r="AD61" i="5"/>
  <c r="AD62" i="5"/>
  <c r="AD63" i="5"/>
  <c r="AD64" i="5"/>
  <c r="AD65" i="5"/>
  <c r="AD66" i="5"/>
  <c r="AD67" i="5"/>
  <c r="AD71" i="5"/>
  <c r="AD72" i="5"/>
  <c r="AD74" i="5"/>
  <c r="AD75" i="5"/>
  <c r="AD76" i="5"/>
  <c r="AD77" i="5"/>
  <c r="AD78" i="5"/>
  <c r="AD79" i="5"/>
  <c r="AD80" i="5"/>
  <c r="AD81" i="5"/>
  <c r="AD82" i="5"/>
  <c r="AD83" i="5"/>
  <c r="AD84" i="5"/>
  <c r="AD85" i="5"/>
  <c r="AD86" i="5"/>
  <c r="AD87" i="5"/>
  <c r="AD88" i="5"/>
  <c r="AD89" i="5"/>
  <c r="AD90" i="5"/>
  <c r="AD91" i="5"/>
  <c r="AD92" i="5"/>
  <c r="AD93" i="5"/>
  <c r="AD94" i="5"/>
  <c r="AD95" i="5"/>
  <c r="AD96" i="5"/>
  <c r="AD97" i="5"/>
  <c r="AD98" i="5"/>
  <c r="AD99" i="5"/>
  <c r="AD100" i="5"/>
  <c r="AD101" i="5"/>
  <c r="AD103" i="5"/>
  <c r="AD106" i="5"/>
  <c r="AD107" i="5"/>
  <c r="AD108" i="5"/>
  <c r="AD109" i="5"/>
  <c r="AD110" i="5"/>
  <c r="AD111" i="5"/>
  <c r="AD112" i="5"/>
  <c r="AD113" i="5"/>
  <c r="AD114" i="5"/>
  <c r="AD115" i="5"/>
  <c r="AD116" i="5"/>
  <c r="AD117" i="5"/>
  <c r="AD118" i="5"/>
  <c r="AD119" i="5"/>
  <c r="AD120" i="5"/>
  <c r="AD121" i="5"/>
  <c r="AD122" i="5"/>
  <c r="AD123" i="5"/>
  <c r="AD124" i="5"/>
  <c r="AD125" i="5"/>
  <c r="AD126" i="5"/>
  <c r="AD129" i="5"/>
  <c r="AD130" i="5"/>
  <c r="AD131" i="5"/>
  <c r="AD132" i="5"/>
  <c r="AD135" i="5"/>
  <c r="AD136" i="5"/>
  <c r="AD137" i="5"/>
  <c r="AD138" i="5"/>
  <c r="AD139" i="5"/>
  <c r="AD140" i="5"/>
  <c r="AD141" i="5"/>
  <c r="AE2" i="5"/>
  <c r="AE3" i="5"/>
  <c r="AE4" i="5"/>
  <c r="AE5" i="5"/>
  <c r="AE6" i="5"/>
  <c r="AE7" i="5"/>
  <c r="AE8" i="5"/>
  <c r="AE9" i="5"/>
  <c r="AE10" i="5"/>
  <c r="AE11" i="5"/>
  <c r="AE13" i="5"/>
  <c r="AE15" i="5"/>
  <c r="AE18" i="5"/>
  <c r="AE19" i="5"/>
  <c r="AE20" i="5"/>
  <c r="AE21" i="5"/>
  <c r="AE22" i="5"/>
  <c r="AE23" i="5"/>
  <c r="AE24" i="5"/>
  <c r="AE25" i="5"/>
  <c r="AE26" i="5"/>
  <c r="AE27" i="5"/>
  <c r="AE28" i="5"/>
  <c r="AE29" i="5"/>
  <c r="AE30" i="5"/>
  <c r="AE31" i="5"/>
  <c r="AE32" i="5"/>
  <c r="AE33" i="5"/>
  <c r="AE34" i="5"/>
  <c r="AE35" i="5"/>
  <c r="AE36" i="5"/>
  <c r="AE38" i="5"/>
  <c r="AE39" i="5"/>
  <c r="AE40" i="5"/>
  <c r="AE42" i="5"/>
  <c r="AE43" i="5"/>
  <c r="AE44" i="5"/>
  <c r="AE46" i="5"/>
  <c r="AE47" i="5"/>
  <c r="AE48" i="5"/>
  <c r="AE49" i="5"/>
  <c r="AE50" i="5"/>
  <c r="AE51" i="5"/>
  <c r="AE53" i="5"/>
  <c r="AE54" i="5"/>
  <c r="AE55" i="5"/>
  <c r="AE56" i="5"/>
  <c r="AE57" i="5"/>
  <c r="AE58" i="5"/>
  <c r="AE59" i="5"/>
  <c r="AE60" i="5"/>
  <c r="AE61" i="5"/>
  <c r="AE62" i="5"/>
  <c r="AE63" i="5"/>
  <c r="AE64" i="5"/>
  <c r="AE65" i="5"/>
  <c r="AE66" i="5"/>
  <c r="AE67" i="5"/>
  <c r="AE71" i="5"/>
  <c r="AE72" i="5"/>
  <c r="AE74" i="5"/>
  <c r="AE75" i="5"/>
  <c r="AE76" i="5"/>
  <c r="AE77" i="5"/>
  <c r="AE78" i="5"/>
  <c r="AE79" i="5"/>
  <c r="AE80" i="5"/>
  <c r="AE81" i="5"/>
  <c r="AE82" i="5"/>
  <c r="AE83" i="5"/>
  <c r="AE84" i="5"/>
  <c r="AE85" i="5"/>
  <c r="AE86" i="5"/>
  <c r="AE87" i="5"/>
  <c r="AE88" i="5"/>
  <c r="AE89" i="5"/>
  <c r="AE90" i="5"/>
  <c r="AE91" i="5"/>
  <c r="AE92" i="5"/>
  <c r="AE93" i="5"/>
  <c r="AE94" i="5"/>
  <c r="AE95" i="5"/>
  <c r="AE96" i="5"/>
  <c r="AE97" i="5"/>
  <c r="AE98" i="5"/>
  <c r="AE99" i="5"/>
  <c r="AE100" i="5"/>
  <c r="AE101" i="5"/>
  <c r="AE103" i="5"/>
  <c r="AE106" i="5"/>
  <c r="AE107" i="5"/>
  <c r="AE108" i="5"/>
  <c r="AE109" i="5"/>
  <c r="AE110" i="5"/>
  <c r="AE111" i="5"/>
  <c r="AE112" i="5"/>
  <c r="AE113" i="5"/>
  <c r="AE115" i="5"/>
  <c r="AE116" i="5"/>
  <c r="AE117" i="5"/>
  <c r="AE118" i="5"/>
  <c r="AE119" i="5"/>
  <c r="AE120" i="5"/>
  <c r="AE121" i="5"/>
  <c r="AE122" i="5"/>
  <c r="AE123" i="5"/>
  <c r="AE124" i="5"/>
  <c r="AE125" i="5"/>
  <c r="AE126" i="5"/>
  <c r="AE127" i="5"/>
  <c r="AE129" i="5"/>
  <c r="AE130" i="5"/>
  <c r="AE131" i="5"/>
  <c r="AE132" i="5"/>
  <c r="AE135" i="5"/>
  <c r="AE136" i="5"/>
  <c r="AE137" i="5"/>
  <c r="AE138" i="5"/>
  <c r="AE139" i="5"/>
  <c r="AE140" i="5"/>
  <c r="AE141" i="5"/>
  <c r="AF2" i="5"/>
  <c r="AF3" i="5"/>
  <c r="AF4" i="5"/>
  <c r="AF5" i="5"/>
  <c r="AF6" i="5"/>
  <c r="AF7" i="5"/>
  <c r="AF8" i="5"/>
  <c r="AF9" i="5"/>
  <c r="AF10" i="5"/>
  <c r="AF11" i="5"/>
  <c r="AF13" i="5"/>
  <c r="AF15" i="5"/>
  <c r="AF18" i="5"/>
  <c r="AF19" i="5"/>
  <c r="AF20" i="5"/>
  <c r="AF21" i="5"/>
  <c r="AF22" i="5"/>
  <c r="AF23" i="5"/>
  <c r="AF24" i="5"/>
  <c r="AF25" i="5"/>
  <c r="AF26" i="5"/>
  <c r="AF27" i="5"/>
  <c r="AF28" i="5"/>
  <c r="AF29" i="5"/>
  <c r="AF30" i="5"/>
  <c r="AF31" i="5"/>
  <c r="AF32" i="5"/>
  <c r="AF33" i="5"/>
  <c r="AF34" i="5"/>
  <c r="AF35" i="5"/>
  <c r="AF36" i="5"/>
  <c r="AF38" i="5"/>
  <c r="AF39" i="5"/>
  <c r="AF40" i="5"/>
  <c r="AF42" i="5"/>
  <c r="AF43" i="5"/>
  <c r="AF44" i="5"/>
  <c r="AF46" i="5"/>
  <c r="AF47" i="5"/>
  <c r="AF48" i="5"/>
  <c r="AF49" i="5"/>
  <c r="AF50" i="5"/>
  <c r="AF51" i="5"/>
  <c r="AF53" i="5"/>
  <c r="AF54" i="5"/>
  <c r="AF55" i="5"/>
  <c r="AF56" i="5"/>
  <c r="AF57" i="5"/>
  <c r="AF58" i="5"/>
  <c r="AF59" i="5"/>
  <c r="AF60" i="5"/>
  <c r="AF61" i="5"/>
  <c r="AF62" i="5"/>
  <c r="AF63" i="5"/>
  <c r="AF64" i="5"/>
  <c r="AF65" i="5"/>
  <c r="AF66" i="5"/>
  <c r="AF67" i="5"/>
  <c r="AF71" i="5"/>
  <c r="AF72" i="5"/>
  <c r="AF74" i="5"/>
  <c r="AF75" i="5"/>
  <c r="AF76" i="5"/>
  <c r="AF77" i="5"/>
  <c r="AF78" i="5"/>
  <c r="AF79" i="5"/>
  <c r="AF80" i="5"/>
  <c r="AF81" i="5"/>
  <c r="AF82" i="5"/>
  <c r="AF83" i="5"/>
  <c r="AF84" i="5"/>
  <c r="AF85" i="5"/>
  <c r="AF86" i="5"/>
  <c r="AF87" i="5"/>
  <c r="AF88" i="5"/>
  <c r="AF89" i="5"/>
  <c r="AF90" i="5"/>
  <c r="AF91" i="5"/>
  <c r="AF92" i="5"/>
  <c r="AF93" i="5"/>
  <c r="AF94" i="5"/>
  <c r="AF95" i="5"/>
  <c r="AF96" i="5"/>
  <c r="AF97" i="5"/>
  <c r="AF98" i="5"/>
  <c r="AF99" i="5"/>
  <c r="AF100" i="5"/>
  <c r="AF101" i="5"/>
  <c r="AF103" i="5"/>
  <c r="AF106" i="5"/>
  <c r="AF107" i="5"/>
  <c r="AF108" i="5"/>
  <c r="AF109" i="5"/>
  <c r="AF110" i="5"/>
  <c r="AF111" i="5"/>
  <c r="AF112" i="5"/>
  <c r="AF113" i="5"/>
  <c r="AF114" i="5"/>
  <c r="AF115" i="5"/>
  <c r="AF116" i="5"/>
  <c r="AF117" i="5"/>
  <c r="AF118" i="5"/>
  <c r="AF119" i="5"/>
  <c r="AF120" i="5"/>
  <c r="AF121" i="5"/>
  <c r="AF122" i="5"/>
  <c r="AF123" i="5"/>
  <c r="AF124" i="5"/>
  <c r="AF125" i="5"/>
  <c r="AF126" i="5"/>
  <c r="AF127" i="5"/>
  <c r="AF129" i="5"/>
  <c r="AF130" i="5"/>
  <c r="AF131" i="5"/>
  <c r="AF132" i="5"/>
  <c r="AF135" i="5"/>
  <c r="AF136" i="5"/>
  <c r="AF137" i="5"/>
  <c r="AF138" i="5"/>
  <c r="AF139" i="5"/>
  <c r="AF140" i="5"/>
  <c r="AF141" i="5"/>
  <c r="AG2" i="5"/>
  <c r="AG3" i="5"/>
  <c r="AG4" i="5"/>
  <c r="AG5" i="5"/>
  <c r="AG6" i="5"/>
  <c r="AG8" i="5"/>
  <c r="AG9" i="5"/>
  <c r="AG10" i="5"/>
  <c r="AG11" i="5"/>
  <c r="AG13" i="5"/>
  <c r="AG15" i="5"/>
  <c r="AG18" i="5"/>
  <c r="AG19" i="5"/>
  <c r="AG20" i="5"/>
  <c r="AG21" i="5"/>
  <c r="AG22" i="5"/>
  <c r="AG24" i="5"/>
  <c r="AG25" i="5"/>
  <c r="AG26" i="5"/>
  <c r="AG27" i="5"/>
  <c r="AG28" i="5"/>
  <c r="AG29" i="5"/>
  <c r="AG30" i="5"/>
  <c r="AG31" i="5"/>
  <c r="AG32" i="5"/>
  <c r="AG33" i="5"/>
  <c r="AG34" i="5"/>
  <c r="AG35" i="5"/>
  <c r="AG36" i="5"/>
  <c r="AG39" i="5"/>
  <c r="AG40" i="5"/>
  <c r="AG42" i="5"/>
  <c r="AG43" i="5"/>
  <c r="AG44" i="5"/>
  <c r="AG46" i="5"/>
  <c r="AG47" i="5"/>
  <c r="AG48" i="5"/>
  <c r="AG49" i="5"/>
  <c r="AG50" i="5"/>
  <c r="AG51" i="5"/>
  <c r="AG53" i="5"/>
  <c r="AG54" i="5"/>
  <c r="AG55" i="5"/>
  <c r="AG56" i="5"/>
  <c r="AG57" i="5"/>
  <c r="AG58" i="5"/>
  <c r="AG59" i="5"/>
  <c r="AG60" i="5"/>
  <c r="AG61" i="5"/>
  <c r="AG62" i="5"/>
  <c r="AG64" i="5"/>
  <c r="AG66" i="5"/>
  <c r="AG67" i="5"/>
  <c r="AG72" i="5"/>
  <c r="AG74" i="5"/>
  <c r="AG75" i="5"/>
  <c r="AG76" i="5"/>
  <c r="AG77" i="5"/>
  <c r="AG78" i="5"/>
  <c r="AG79" i="5"/>
  <c r="AG80" i="5"/>
  <c r="AG81" i="5"/>
  <c r="AG82" i="5"/>
  <c r="AG83" i="5"/>
  <c r="AG85" i="5"/>
  <c r="AG86" i="5"/>
  <c r="AG87" i="5"/>
  <c r="AG88" i="5"/>
  <c r="AG89" i="5"/>
  <c r="AG90" i="5"/>
  <c r="AG91" i="5"/>
  <c r="AG92" i="5"/>
  <c r="AG93" i="5"/>
  <c r="AG94" i="5"/>
  <c r="AG95" i="5"/>
  <c r="AG96" i="5"/>
  <c r="AG97" i="5"/>
  <c r="AG98" i="5"/>
  <c r="AG99" i="5"/>
  <c r="AG100" i="5"/>
  <c r="AG101" i="5"/>
  <c r="AG103" i="5"/>
  <c r="AG106" i="5"/>
  <c r="AG107" i="5"/>
  <c r="AG108" i="5"/>
  <c r="AG109" i="5"/>
  <c r="AG110" i="5"/>
  <c r="AG111" i="5"/>
  <c r="AG112" i="5"/>
  <c r="AG113" i="5"/>
  <c r="AG114" i="5"/>
  <c r="AG115" i="5"/>
  <c r="AG116" i="5"/>
  <c r="AG117" i="5"/>
  <c r="AG118" i="5"/>
  <c r="AG119" i="5"/>
  <c r="AG120" i="5"/>
  <c r="AG121" i="5"/>
  <c r="AG122" i="5"/>
  <c r="AG123" i="5"/>
  <c r="AG124" i="5"/>
  <c r="AG126" i="5"/>
  <c r="AG127" i="5"/>
  <c r="AG130" i="5"/>
  <c r="AG131" i="5"/>
  <c r="AG132" i="5"/>
  <c r="AG135" i="5"/>
  <c r="AG136" i="5"/>
  <c r="AG137" i="5"/>
  <c r="AG138" i="5"/>
  <c r="AG139" i="5"/>
  <c r="AG140" i="5"/>
  <c r="AH2" i="5"/>
  <c r="AH3" i="5"/>
  <c r="AH4" i="5"/>
  <c r="AH5" i="5"/>
  <c r="AH6" i="5"/>
  <c r="AH7" i="5"/>
  <c r="AH8" i="5"/>
  <c r="AH10" i="5"/>
  <c r="AH11" i="5"/>
  <c r="AH13" i="5"/>
  <c r="AH15" i="5"/>
  <c r="AH18" i="5"/>
  <c r="AH19" i="5"/>
  <c r="AH20" i="5"/>
  <c r="AH21" i="5"/>
  <c r="AH22" i="5"/>
  <c r="AH24" i="5"/>
  <c r="AH25" i="5"/>
  <c r="AH26" i="5"/>
  <c r="AH27" i="5"/>
  <c r="AH28" i="5"/>
  <c r="AH29" i="5"/>
  <c r="AH30" i="5"/>
  <c r="AH31" i="5"/>
  <c r="AH32" i="5"/>
  <c r="AH33" i="5"/>
  <c r="AH34" i="5"/>
  <c r="AH35" i="5"/>
  <c r="AH36" i="5"/>
  <c r="AH38" i="5"/>
  <c r="AH39" i="5"/>
  <c r="AH40" i="5"/>
  <c r="AH42" i="5"/>
  <c r="AH43" i="5"/>
  <c r="AH44" i="5"/>
  <c r="AH46" i="5"/>
  <c r="AH47" i="5"/>
  <c r="AH48" i="5"/>
  <c r="AH49" i="5"/>
  <c r="AH50" i="5"/>
  <c r="AH51" i="5"/>
  <c r="AH53" i="5"/>
  <c r="AH54" i="5"/>
  <c r="AH55" i="5"/>
  <c r="AH56" i="5"/>
  <c r="AH57" i="5"/>
  <c r="AH58" i="5"/>
  <c r="AH59" i="5"/>
  <c r="AH60" i="5"/>
  <c r="AH61" i="5"/>
  <c r="AH62" i="5"/>
  <c r="AH63" i="5"/>
  <c r="AH64" i="5"/>
  <c r="AH65" i="5"/>
  <c r="AH66" i="5"/>
  <c r="AH67" i="5"/>
  <c r="AH71" i="5"/>
  <c r="AH72" i="5"/>
  <c r="AH74" i="5"/>
  <c r="AH75" i="5"/>
  <c r="AH76" i="5"/>
  <c r="AH77" i="5"/>
  <c r="AH78" i="5"/>
  <c r="AH79" i="5"/>
  <c r="AH80" i="5"/>
  <c r="AH81" i="5"/>
  <c r="AH82" i="5"/>
  <c r="AH83" i="5"/>
  <c r="AH84" i="5"/>
  <c r="AH85" i="5"/>
  <c r="AH86" i="5"/>
  <c r="AH87" i="5"/>
  <c r="AH88" i="5"/>
  <c r="AH89" i="5"/>
  <c r="AH90" i="5"/>
  <c r="AH91" i="5"/>
  <c r="AH92" i="5"/>
  <c r="AH93" i="5"/>
  <c r="AH94" i="5"/>
  <c r="AH95" i="5"/>
  <c r="AH96" i="5"/>
  <c r="AH97" i="5"/>
  <c r="AH98" i="5"/>
  <c r="AH99" i="5"/>
  <c r="AH100" i="5"/>
  <c r="AH101" i="5"/>
  <c r="AH103" i="5"/>
  <c r="AH106" i="5"/>
  <c r="AH107" i="5"/>
  <c r="AH108" i="5"/>
  <c r="AH109" i="5"/>
  <c r="AH110" i="5"/>
  <c r="AH111" i="5"/>
  <c r="AH112" i="5"/>
  <c r="AH113" i="5"/>
  <c r="AH114" i="5"/>
  <c r="AH115" i="5"/>
  <c r="AH116" i="5"/>
  <c r="AH117" i="5"/>
  <c r="AH118" i="5"/>
  <c r="AH119" i="5"/>
  <c r="AH120" i="5"/>
  <c r="AH121" i="5"/>
  <c r="AH122" i="5"/>
  <c r="AH123" i="5"/>
  <c r="AH124" i="5"/>
  <c r="AH125" i="5"/>
  <c r="AH126" i="5"/>
  <c r="AH127" i="5"/>
  <c r="AH129" i="5"/>
  <c r="AH130" i="5"/>
  <c r="AH131" i="5"/>
  <c r="AH132" i="5"/>
  <c r="AH135" i="5"/>
  <c r="AH136" i="5"/>
  <c r="AH137" i="5"/>
  <c r="AH138" i="5"/>
  <c r="AH139" i="5"/>
  <c r="AH140" i="5"/>
  <c r="AH141" i="5"/>
  <c r="AJ2" i="5"/>
  <c r="AJ3" i="5"/>
  <c r="AJ4" i="5"/>
  <c r="AJ5" i="5"/>
  <c r="AJ6" i="5"/>
  <c r="AJ7" i="5"/>
  <c r="AJ8" i="5"/>
  <c r="AJ9" i="5"/>
  <c r="AJ10" i="5"/>
  <c r="AJ11" i="5"/>
  <c r="AJ13" i="5"/>
  <c r="AJ15" i="5"/>
  <c r="AJ18" i="5"/>
  <c r="AJ19" i="5"/>
  <c r="AJ20" i="5"/>
  <c r="AJ21" i="5"/>
  <c r="AJ22" i="5"/>
  <c r="AJ23" i="5"/>
  <c r="AJ24" i="5"/>
  <c r="AJ25" i="5"/>
  <c r="AJ26" i="5"/>
  <c r="AJ27" i="5"/>
  <c r="AJ28" i="5"/>
  <c r="AJ29" i="5"/>
  <c r="AJ30" i="5"/>
  <c r="AJ31" i="5"/>
  <c r="AJ32" i="5"/>
  <c r="AJ33" i="5"/>
  <c r="AJ34" i="5"/>
  <c r="AJ35" i="5"/>
  <c r="AJ36" i="5"/>
  <c r="AJ38" i="5"/>
  <c r="AJ39" i="5"/>
  <c r="AJ40" i="5"/>
  <c r="AJ42" i="5"/>
  <c r="AJ43" i="5"/>
  <c r="AJ44" i="5"/>
  <c r="AJ46" i="5"/>
  <c r="AJ47" i="5"/>
  <c r="AJ48" i="5"/>
  <c r="AJ49" i="5"/>
  <c r="AJ50" i="5"/>
  <c r="AJ51" i="5"/>
  <c r="AJ53" i="5"/>
  <c r="AJ54" i="5"/>
  <c r="AJ55" i="5"/>
  <c r="AJ56" i="5"/>
  <c r="AJ57" i="5"/>
  <c r="AJ58" i="5"/>
  <c r="AJ59" i="5"/>
  <c r="AJ60" i="5"/>
  <c r="AJ61" i="5"/>
  <c r="AJ62" i="5"/>
  <c r="AJ63" i="5"/>
  <c r="AJ64" i="5"/>
  <c r="AJ65" i="5"/>
  <c r="AJ66" i="5"/>
  <c r="AJ67" i="5"/>
  <c r="AJ71" i="5"/>
  <c r="AJ72" i="5"/>
  <c r="AJ74" i="5"/>
  <c r="AJ75" i="5"/>
  <c r="AJ76" i="5"/>
  <c r="AJ78" i="5"/>
  <c r="AJ79" i="5"/>
  <c r="AJ80" i="5"/>
  <c r="AJ81" i="5"/>
  <c r="AJ82" i="5"/>
  <c r="AJ83" i="5"/>
  <c r="AJ84" i="5"/>
  <c r="AJ85" i="5"/>
  <c r="AJ86" i="5"/>
  <c r="AJ87" i="5"/>
  <c r="AJ88" i="5"/>
  <c r="AJ89" i="5"/>
  <c r="AJ90" i="5"/>
  <c r="AJ91" i="5"/>
  <c r="AJ92" i="5"/>
  <c r="AJ93" i="5"/>
  <c r="AJ94" i="5"/>
  <c r="AJ95" i="5"/>
  <c r="AJ96" i="5"/>
  <c r="AJ98" i="5"/>
  <c r="AJ99" i="5"/>
  <c r="AJ100" i="5"/>
  <c r="AJ101" i="5"/>
  <c r="AJ106" i="5"/>
  <c r="AJ107" i="5"/>
  <c r="AJ108" i="5"/>
  <c r="AJ109" i="5"/>
  <c r="AJ110" i="5"/>
  <c r="AJ111" i="5"/>
  <c r="AJ112" i="5"/>
  <c r="AJ113" i="5"/>
  <c r="AJ114" i="5"/>
  <c r="AJ115" i="5"/>
  <c r="AJ116" i="5"/>
  <c r="AJ117" i="5"/>
  <c r="AJ118" i="5"/>
  <c r="AJ119" i="5"/>
  <c r="AJ120" i="5"/>
  <c r="AJ121" i="5"/>
  <c r="AJ122" i="5"/>
  <c r="AJ123" i="5"/>
  <c r="AJ124" i="5"/>
  <c r="AJ125" i="5"/>
  <c r="AJ126" i="5"/>
  <c r="AJ127" i="5"/>
  <c r="AJ129" i="5"/>
  <c r="AJ130" i="5"/>
  <c r="AJ131" i="5"/>
  <c r="AJ132" i="5"/>
  <c r="AJ135" i="5"/>
  <c r="AJ136" i="5"/>
  <c r="AJ137" i="5"/>
  <c r="AJ138" i="5"/>
  <c r="AJ139" i="5"/>
  <c r="AJ140" i="5"/>
  <c r="AJ141" i="5"/>
  <c r="AK2" i="5"/>
  <c r="AK3" i="5"/>
  <c r="AK4" i="5"/>
  <c r="AK5" i="5"/>
  <c r="AK6" i="5"/>
  <c r="AK7" i="5"/>
  <c r="AK8" i="5"/>
  <c r="AK9" i="5"/>
  <c r="AK10" i="5"/>
  <c r="AK11" i="5"/>
  <c r="AK13" i="5"/>
  <c r="AK15" i="5"/>
  <c r="AK18" i="5"/>
  <c r="AK19" i="5"/>
  <c r="AK20" i="5"/>
  <c r="AK21" i="5"/>
  <c r="AK22" i="5"/>
  <c r="AK23" i="5"/>
  <c r="AK24" i="5"/>
  <c r="AK25" i="5"/>
  <c r="AK26" i="5"/>
  <c r="AK27" i="5"/>
  <c r="AK28" i="5"/>
  <c r="AK29" i="5"/>
  <c r="AK30" i="5"/>
  <c r="AK31" i="5"/>
  <c r="AK32" i="5"/>
  <c r="AK33" i="5"/>
  <c r="AK34" i="5"/>
  <c r="AK35" i="5"/>
  <c r="AK36" i="5"/>
  <c r="AK38" i="5"/>
  <c r="AK39" i="5"/>
  <c r="AK40" i="5"/>
  <c r="AK42" i="5"/>
  <c r="AK43" i="5"/>
  <c r="AK44" i="5"/>
  <c r="AK46" i="5"/>
  <c r="AK47" i="5"/>
  <c r="AK48" i="5"/>
  <c r="AK49" i="5"/>
  <c r="AK50" i="5"/>
  <c r="AK51" i="5"/>
  <c r="AK53" i="5"/>
  <c r="AK54" i="5"/>
  <c r="AK55" i="5"/>
  <c r="AK56" i="5"/>
  <c r="AK57" i="5"/>
  <c r="AK58" i="5"/>
  <c r="AK59" i="5"/>
  <c r="AK60" i="5"/>
  <c r="AK61" i="5"/>
  <c r="AK62" i="5"/>
  <c r="AK63" i="5"/>
  <c r="AK64" i="5"/>
  <c r="AK65" i="5"/>
  <c r="AK66" i="5"/>
  <c r="AK67" i="5"/>
  <c r="AK71" i="5"/>
  <c r="AK72" i="5"/>
  <c r="AK74" i="5"/>
  <c r="AK75" i="5"/>
  <c r="AK76" i="5"/>
  <c r="AK77" i="5"/>
  <c r="AK78" i="5"/>
  <c r="AK79" i="5"/>
  <c r="AK80" i="5"/>
  <c r="AK81" i="5"/>
  <c r="AK82" i="5"/>
  <c r="AK83" i="5"/>
  <c r="AK84" i="5"/>
  <c r="AK85" i="5"/>
  <c r="AK86" i="5"/>
  <c r="AK87" i="5"/>
  <c r="AK88" i="5"/>
  <c r="AK89" i="5"/>
  <c r="AK90" i="5"/>
  <c r="AK91" i="5"/>
  <c r="AK92" i="5"/>
  <c r="AK93" i="5"/>
  <c r="AK94" i="5"/>
  <c r="AK95" i="5"/>
  <c r="AK96" i="5"/>
  <c r="AK97" i="5"/>
  <c r="AK98" i="5"/>
  <c r="AK99" i="5"/>
  <c r="AK100" i="5"/>
  <c r="AK101" i="5"/>
  <c r="AK103" i="5"/>
  <c r="AK106" i="5"/>
  <c r="AK107" i="5"/>
  <c r="AK108" i="5"/>
  <c r="AK109" i="5"/>
  <c r="AK110" i="5"/>
  <c r="AK111" i="5"/>
  <c r="AK112" i="5"/>
  <c r="AK114" i="5"/>
  <c r="AK115" i="5"/>
  <c r="AK116" i="5"/>
  <c r="AK117" i="5"/>
  <c r="AK118" i="5"/>
  <c r="AK119" i="5"/>
  <c r="AK120" i="5"/>
  <c r="AK121" i="5"/>
  <c r="AK122" i="5"/>
  <c r="AK123" i="5"/>
  <c r="AK124" i="5"/>
  <c r="AK125" i="5"/>
  <c r="AK126" i="5"/>
  <c r="AK127" i="5"/>
  <c r="AK129" i="5"/>
  <c r="AK130" i="5"/>
  <c r="AK131" i="5"/>
  <c r="AK132" i="5"/>
  <c r="AK135" i="5"/>
  <c r="AK136" i="5"/>
  <c r="AK137" i="5"/>
  <c r="AK138" i="5"/>
  <c r="AK139" i="5"/>
  <c r="AK140" i="5"/>
  <c r="AK141" i="5"/>
  <c r="AL2" i="5"/>
  <c r="AL3" i="5"/>
  <c r="AL4" i="5"/>
  <c r="AL5" i="5"/>
  <c r="AL6" i="5"/>
  <c r="AL7" i="5"/>
  <c r="AL8" i="5"/>
  <c r="AL9" i="5"/>
  <c r="AL10" i="5"/>
  <c r="AL11" i="5"/>
  <c r="AL13" i="5"/>
  <c r="AL15" i="5"/>
  <c r="AL18" i="5"/>
  <c r="AL19" i="5"/>
  <c r="AL20" i="5"/>
  <c r="AL21" i="5"/>
  <c r="AL22" i="5"/>
  <c r="AL23" i="5"/>
  <c r="AL24" i="5"/>
  <c r="AL25" i="5"/>
  <c r="AL26" i="5"/>
  <c r="AL27" i="5"/>
  <c r="AL28" i="5"/>
  <c r="AL29" i="5"/>
  <c r="AL30" i="5"/>
  <c r="AL31" i="5"/>
  <c r="AL32" i="5"/>
  <c r="AL33" i="5"/>
  <c r="AL34" i="5"/>
  <c r="AL35" i="5"/>
  <c r="AL36" i="5"/>
  <c r="AL38" i="5"/>
  <c r="AL39" i="5"/>
  <c r="AL40" i="5"/>
  <c r="AL42" i="5"/>
  <c r="AL43" i="5"/>
  <c r="AL44" i="5"/>
  <c r="AL46" i="5"/>
  <c r="AL47" i="5"/>
  <c r="AL48" i="5"/>
  <c r="AL49" i="5"/>
  <c r="AL50" i="5"/>
  <c r="AL51" i="5"/>
  <c r="AL53" i="5"/>
  <c r="AL54" i="5"/>
  <c r="AL55" i="5"/>
  <c r="AL56" i="5"/>
  <c r="AL57" i="5"/>
  <c r="AL58" i="5"/>
  <c r="AL59" i="5"/>
  <c r="AL60" i="5"/>
  <c r="AL61" i="5"/>
  <c r="AL62" i="5"/>
  <c r="AL63" i="5"/>
  <c r="AL64" i="5"/>
  <c r="AL65" i="5"/>
  <c r="AL66" i="5"/>
  <c r="AL67" i="5"/>
  <c r="AL71" i="5"/>
  <c r="AL72" i="5"/>
  <c r="AL74" i="5"/>
  <c r="AL75" i="5"/>
  <c r="AL76" i="5"/>
  <c r="AL77" i="5"/>
  <c r="AL78" i="5"/>
  <c r="AL79" i="5"/>
  <c r="AL80" i="5"/>
  <c r="AL81" i="5"/>
  <c r="AL82" i="5"/>
  <c r="AL83" i="5"/>
  <c r="AL84" i="5"/>
  <c r="AL85" i="5"/>
  <c r="AL86" i="5"/>
  <c r="AL87" i="5"/>
  <c r="AL88" i="5"/>
  <c r="AL89" i="5"/>
  <c r="AL90" i="5"/>
  <c r="AL91" i="5"/>
  <c r="AL92" i="5"/>
  <c r="AL93" i="5"/>
  <c r="AL94" i="5"/>
  <c r="AL95" i="5"/>
  <c r="AL96" i="5"/>
  <c r="AL97" i="5"/>
  <c r="AL98" i="5"/>
  <c r="AL99" i="5"/>
  <c r="AL100" i="5"/>
  <c r="AL101" i="5"/>
  <c r="AL103" i="5"/>
  <c r="AL106" i="5"/>
  <c r="AL107" i="5"/>
  <c r="AL108" i="5"/>
  <c r="AL109" i="5"/>
  <c r="AL110" i="5"/>
  <c r="AL111" i="5"/>
  <c r="AL112" i="5"/>
  <c r="AL113" i="5"/>
  <c r="AL114" i="5"/>
  <c r="AL115" i="5"/>
  <c r="AL116" i="5"/>
  <c r="AL117" i="5"/>
  <c r="AL118" i="5"/>
  <c r="AL119" i="5"/>
  <c r="AL120" i="5"/>
  <c r="AL121" i="5"/>
  <c r="AL122" i="5"/>
  <c r="AL123" i="5"/>
  <c r="AL124" i="5"/>
  <c r="AL125" i="5"/>
  <c r="AL126" i="5"/>
  <c r="AL127" i="5"/>
  <c r="AL129" i="5"/>
  <c r="AL130" i="5"/>
  <c r="AL131" i="5"/>
  <c r="AL132" i="5"/>
  <c r="AL135" i="5"/>
  <c r="AL136" i="5"/>
  <c r="AL137" i="5"/>
  <c r="AL138" i="5"/>
  <c r="AL139" i="5"/>
  <c r="AL140" i="5"/>
  <c r="AL141" i="5"/>
  <c r="AM53" i="5"/>
  <c r="AM54" i="5"/>
  <c r="AM55" i="5"/>
  <c r="AM56" i="5"/>
  <c r="AM57" i="5"/>
  <c r="AM58" i="5"/>
  <c r="AM59" i="5"/>
  <c r="AM60" i="5"/>
  <c r="AM61" i="5"/>
  <c r="AM62" i="5"/>
  <c r="AM63" i="5"/>
  <c r="AM64" i="5"/>
  <c r="AM65" i="5"/>
  <c r="AM66" i="5"/>
  <c r="AM67" i="5"/>
  <c r="AM71" i="5"/>
  <c r="AM72" i="5"/>
  <c r="AM74" i="5"/>
  <c r="AM75" i="5"/>
  <c r="AM76" i="5"/>
  <c r="AM77" i="5"/>
  <c r="AM78" i="5"/>
  <c r="AM79" i="5"/>
  <c r="AM80" i="5"/>
  <c r="AM81" i="5"/>
  <c r="AM82" i="5"/>
  <c r="AM83" i="5"/>
  <c r="AM84" i="5"/>
  <c r="AM85" i="5"/>
  <c r="AM86" i="5"/>
  <c r="AM87" i="5"/>
  <c r="AM88" i="5"/>
  <c r="AM89" i="5"/>
  <c r="AM90" i="5"/>
  <c r="AM91" i="5"/>
  <c r="AM92" i="5"/>
  <c r="AM93" i="5"/>
  <c r="AM94" i="5"/>
  <c r="AM95" i="5"/>
  <c r="AM96" i="5"/>
  <c r="AM97" i="5"/>
  <c r="AM98" i="5"/>
  <c r="AM99" i="5"/>
  <c r="AM100" i="5"/>
  <c r="AM101" i="5"/>
  <c r="AM103" i="5"/>
  <c r="AM106" i="5"/>
  <c r="AM107" i="5"/>
  <c r="AM108" i="5"/>
  <c r="AM109" i="5"/>
  <c r="AM110" i="5"/>
  <c r="AM111" i="5"/>
  <c r="AM112" i="5"/>
  <c r="AM113" i="5"/>
  <c r="AM114" i="5"/>
  <c r="AM115" i="5"/>
  <c r="AM116" i="5"/>
  <c r="AM117" i="5"/>
  <c r="AM118" i="5"/>
  <c r="AM119" i="5"/>
  <c r="AM120" i="5"/>
  <c r="AM121" i="5"/>
  <c r="AM122" i="5"/>
  <c r="AM123" i="5"/>
  <c r="AM124" i="5"/>
  <c r="AM125" i="5"/>
  <c r="AM126" i="5"/>
  <c r="AM127" i="5"/>
  <c r="AM129" i="5"/>
  <c r="AM130" i="5"/>
  <c r="AM131" i="5"/>
  <c r="AM132" i="5"/>
  <c r="AM135" i="5"/>
  <c r="AM136" i="5"/>
  <c r="AM137" i="5"/>
  <c r="AM138" i="5"/>
  <c r="AM139" i="5"/>
  <c r="AM140" i="5"/>
  <c r="AM141" i="5"/>
  <c r="AO2" i="5"/>
  <c r="AO3" i="5"/>
  <c r="AO4" i="5"/>
  <c r="AO5" i="5"/>
  <c r="AO6" i="5"/>
  <c r="AO7" i="5"/>
  <c r="AO8" i="5"/>
  <c r="AO9" i="5"/>
  <c r="AO10" i="5"/>
  <c r="AO11" i="5"/>
  <c r="AO13" i="5"/>
  <c r="AO15" i="5"/>
  <c r="AO18" i="5"/>
  <c r="AO19" i="5"/>
  <c r="AO20" i="5"/>
  <c r="AO21" i="5"/>
  <c r="AO22" i="5"/>
  <c r="AO23" i="5"/>
  <c r="AO24" i="5"/>
  <c r="AO25" i="5"/>
  <c r="AO26" i="5"/>
  <c r="AO27" i="5"/>
  <c r="AO28" i="5"/>
  <c r="AO29" i="5"/>
  <c r="AO30" i="5"/>
  <c r="AO31" i="5"/>
  <c r="AO32" i="5"/>
  <c r="AO33" i="5"/>
  <c r="AO34" i="5"/>
  <c r="AO35" i="5"/>
  <c r="AO36" i="5"/>
  <c r="AO38" i="5"/>
  <c r="AO39" i="5"/>
  <c r="AO40" i="5"/>
  <c r="AO42" i="5"/>
  <c r="AO43" i="5"/>
  <c r="AO44" i="5"/>
  <c r="AO46" i="5"/>
  <c r="AO47" i="5"/>
  <c r="AO48" i="5"/>
  <c r="AO49" i="5"/>
  <c r="AO50" i="5"/>
  <c r="AO51" i="5"/>
  <c r="AO52" i="5"/>
  <c r="AO53" i="5"/>
  <c r="AO54" i="5"/>
  <c r="AO55" i="5"/>
  <c r="AO56" i="5"/>
  <c r="AO57" i="5"/>
  <c r="AO58" i="5"/>
  <c r="AO59" i="5"/>
  <c r="AO60" i="5"/>
  <c r="AO61" i="5"/>
  <c r="AO62" i="5"/>
  <c r="AO63" i="5"/>
  <c r="AO64" i="5"/>
  <c r="AO65" i="5"/>
  <c r="AO66" i="5"/>
  <c r="AO67" i="5"/>
  <c r="AO70" i="5"/>
  <c r="AO71" i="5"/>
  <c r="AO72" i="5"/>
  <c r="AO74" i="5"/>
  <c r="AO75" i="5"/>
  <c r="AO76" i="5"/>
  <c r="AO77" i="5"/>
  <c r="AO78" i="5"/>
  <c r="AO79" i="5"/>
  <c r="AO80" i="5"/>
  <c r="AO81" i="5"/>
  <c r="AO82" i="5"/>
  <c r="AO83" i="5"/>
  <c r="AO84" i="5"/>
  <c r="AO85" i="5"/>
  <c r="AO86" i="5"/>
  <c r="AO87" i="5"/>
  <c r="AO88" i="5"/>
  <c r="AO89" i="5"/>
  <c r="AO90" i="5"/>
  <c r="AO91" i="5"/>
  <c r="AO92" i="5"/>
  <c r="AO93" i="5"/>
  <c r="AO94" i="5"/>
  <c r="AO95" i="5"/>
  <c r="AO96" i="5"/>
  <c r="AO97" i="5"/>
  <c r="AO98" i="5"/>
  <c r="AO99" i="5"/>
  <c r="AO100" i="5"/>
  <c r="AO101" i="5"/>
  <c r="AO103" i="5"/>
  <c r="AO106" i="5"/>
  <c r="AO107" i="5"/>
  <c r="AO108" i="5"/>
  <c r="AO109" i="5"/>
  <c r="AO110" i="5"/>
  <c r="AO111" i="5"/>
  <c r="AO112" i="5"/>
  <c r="AO113" i="5"/>
  <c r="AO114" i="5"/>
  <c r="AO115" i="5"/>
  <c r="AO116" i="5"/>
  <c r="AO117" i="5"/>
  <c r="AO118" i="5"/>
  <c r="AO119" i="5"/>
  <c r="AO120" i="5"/>
  <c r="AO121" i="5"/>
  <c r="AO122" i="5"/>
  <c r="AO123" i="5"/>
  <c r="AO124" i="5"/>
  <c r="AO125" i="5"/>
  <c r="AO126" i="5"/>
  <c r="AO127" i="5"/>
  <c r="AO129" i="5"/>
  <c r="AO130" i="5"/>
  <c r="AO131" i="5"/>
  <c r="AO132" i="5"/>
  <c r="AO135" i="5"/>
  <c r="AO136" i="5"/>
  <c r="AO137" i="5"/>
  <c r="AO138" i="5"/>
  <c r="AO139" i="5"/>
  <c r="AO140" i="5"/>
  <c r="AO141" i="5"/>
  <c r="P1781" i="1"/>
  <c r="M1781" i="1"/>
  <c r="P1780" i="1"/>
  <c r="M1780" i="1"/>
  <c r="P1779" i="1"/>
  <c r="M1779" i="1"/>
  <c r="P1778" i="1"/>
  <c r="M1778" i="1"/>
  <c r="P1777" i="1"/>
  <c r="M1777" i="1"/>
  <c r="P1776" i="1"/>
  <c r="M1776" i="1"/>
  <c r="P1775" i="1"/>
  <c r="M1775" i="1"/>
  <c r="P1774" i="1"/>
  <c r="M1774" i="1"/>
  <c r="P1773" i="1"/>
  <c r="M1773" i="1"/>
  <c r="P1772" i="1"/>
  <c r="M1772" i="1"/>
  <c r="P1771" i="1"/>
  <c r="M1771" i="1"/>
  <c r="P1770" i="1"/>
  <c r="M1770" i="1"/>
  <c r="P1769" i="1"/>
  <c r="M1769" i="1"/>
  <c r="P1768" i="1"/>
  <c r="M1768" i="1"/>
  <c r="P1767" i="1"/>
  <c r="M1767" i="1"/>
  <c r="P1766" i="1"/>
  <c r="M1766" i="1"/>
  <c r="P1765" i="1"/>
  <c r="M1765" i="1"/>
  <c r="P1764" i="1"/>
  <c r="M1764" i="1"/>
  <c r="P1763" i="1"/>
  <c r="M1763" i="1"/>
  <c r="P1762" i="1"/>
  <c r="M1762" i="1"/>
  <c r="P1761" i="1"/>
  <c r="M1761" i="1"/>
  <c r="P1760" i="1"/>
  <c r="M1760" i="1"/>
  <c r="P1759" i="1"/>
  <c r="M1759" i="1"/>
  <c r="P1758" i="1"/>
  <c r="M1758" i="1"/>
  <c r="P1757" i="1"/>
  <c r="M1757" i="1"/>
  <c r="P1756" i="1"/>
  <c r="M1756" i="1"/>
  <c r="P1755" i="1"/>
  <c r="M1755" i="1"/>
  <c r="P1754" i="1"/>
  <c r="M1754" i="1"/>
  <c r="P1753" i="1"/>
  <c r="M1753" i="1"/>
  <c r="P1752" i="1"/>
  <c r="M1752" i="1"/>
  <c r="P1751" i="1"/>
  <c r="M1751" i="1"/>
  <c r="P1750" i="1"/>
  <c r="M1750" i="1"/>
  <c r="P1749" i="1"/>
  <c r="M1749" i="1"/>
  <c r="P1748" i="1"/>
  <c r="M1748" i="1"/>
  <c r="P1747" i="1"/>
  <c r="M1747" i="1"/>
  <c r="P1746" i="1"/>
  <c r="M1746" i="1"/>
  <c r="P1745" i="1"/>
  <c r="M1745" i="1"/>
  <c r="P1744" i="1"/>
  <c r="M1744" i="1"/>
  <c r="P1743" i="1"/>
  <c r="M1743" i="1"/>
  <c r="P1742" i="1"/>
  <c r="M1742" i="1"/>
  <c r="P1741" i="1"/>
  <c r="M1741" i="1"/>
  <c r="M1670" i="1"/>
  <c r="P1670" i="1"/>
  <c r="P1740" i="1"/>
  <c r="M1740" i="1"/>
  <c r="P1739" i="1"/>
  <c r="M1739" i="1"/>
  <c r="P1738" i="1"/>
  <c r="M1738" i="1"/>
  <c r="P1737" i="1"/>
  <c r="M1737" i="1"/>
  <c r="P1736" i="1"/>
  <c r="M1736" i="1"/>
  <c r="P1735" i="1"/>
  <c r="M1735" i="1"/>
  <c r="P1734" i="1"/>
  <c r="M1734" i="1"/>
  <c r="P1733" i="1"/>
  <c r="M1733" i="1"/>
  <c r="P1732" i="1"/>
  <c r="M1732" i="1"/>
  <c r="P1731" i="1"/>
  <c r="M1731" i="1"/>
  <c r="P1730" i="1"/>
  <c r="M1730" i="1"/>
  <c r="P1729" i="1"/>
  <c r="M1729" i="1"/>
  <c r="P1728" i="1"/>
  <c r="M1728" i="1"/>
  <c r="P1727" i="1"/>
  <c r="M1727" i="1"/>
  <c r="P1726" i="1"/>
  <c r="M1726" i="1"/>
  <c r="P1725" i="1"/>
  <c r="M1725" i="1"/>
  <c r="M1724" i="1"/>
  <c r="P1724" i="1"/>
  <c r="P1723" i="1"/>
  <c r="M1723" i="1"/>
  <c r="P1722" i="1"/>
  <c r="M1722" i="1"/>
  <c r="P1721" i="1"/>
  <c r="M1721" i="1"/>
  <c r="P1720" i="1"/>
  <c r="M1720" i="1"/>
  <c r="P1719" i="1"/>
  <c r="M1719" i="1"/>
  <c r="P1718" i="1"/>
  <c r="M1718" i="1"/>
  <c r="P1717" i="1"/>
  <c r="M1717" i="1"/>
  <c r="P1716" i="1"/>
  <c r="M1716" i="1"/>
  <c r="P1715" i="1"/>
  <c r="M1715" i="1"/>
  <c r="P1714" i="1"/>
  <c r="M1714" i="1"/>
  <c r="P1713" i="1"/>
  <c r="M1713" i="1"/>
  <c r="P1712" i="1"/>
  <c r="M1712" i="1"/>
  <c r="P1711" i="1"/>
  <c r="M1711" i="1"/>
  <c r="P1710" i="1"/>
  <c r="M1710" i="1"/>
  <c r="P1709" i="1"/>
  <c r="M1709" i="1"/>
  <c r="P1708" i="1"/>
  <c r="M1708" i="1"/>
  <c r="P1707" i="1"/>
  <c r="M1707" i="1"/>
  <c r="P1706" i="1"/>
  <c r="M1706" i="1"/>
  <c r="P1705" i="1"/>
  <c r="M1705" i="1"/>
  <c r="P1704" i="1"/>
  <c r="M1704" i="1"/>
  <c r="P1703" i="1"/>
  <c r="M1703" i="1"/>
  <c r="P1702" i="1"/>
  <c r="M1702" i="1"/>
  <c r="P1701" i="1"/>
  <c r="M1701" i="1"/>
  <c r="P1700" i="1"/>
  <c r="M1700" i="1"/>
  <c r="P1699" i="1"/>
  <c r="M1699" i="1"/>
  <c r="P1698" i="1"/>
  <c r="M1698" i="1"/>
  <c r="P1697" i="1"/>
  <c r="M1697" i="1"/>
  <c r="P1696" i="1"/>
  <c r="M1696" i="1"/>
  <c r="P1695" i="1"/>
  <c r="M1695" i="1"/>
  <c r="P1694" i="1"/>
  <c r="M1694" i="1"/>
  <c r="P1693" i="1"/>
  <c r="M1693" i="1"/>
  <c r="P1692" i="1"/>
  <c r="M1692" i="1"/>
  <c r="P1691" i="1"/>
  <c r="M1691" i="1"/>
  <c r="P1690" i="1"/>
  <c r="M1690" i="1"/>
  <c r="P1689" i="1"/>
  <c r="M1689" i="1"/>
  <c r="P1688" i="1"/>
  <c r="M1688" i="1"/>
  <c r="P1687" i="1"/>
  <c r="M1687" i="1"/>
  <c r="P1686" i="1"/>
  <c r="M1686" i="1"/>
  <c r="P1685" i="1"/>
  <c r="M1685" i="1"/>
  <c r="P1684" i="1"/>
  <c r="M1684" i="1"/>
  <c r="P1683" i="1"/>
  <c r="M1683" i="1"/>
  <c r="P1682" i="1"/>
  <c r="M1682" i="1"/>
  <c r="P1681" i="1"/>
  <c r="M1681" i="1"/>
  <c r="P1680" i="1"/>
  <c r="M1680" i="1"/>
  <c r="P1679" i="1"/>
  <c r="M1679" i="1"/>
  <c r="P1678" i="1"/>
  <c r="M1678" i="1"/>
  <c r="M1677" i="1"/>
  <c r="P1676" i="1"/>
  <c r="M1676" i="1"/>
  <c r="P1675" i="1"/>
  <c r="M1675" i="1"/>
  <c r="P1674" i="1"/>
  <c r="M1674" i="1"/>
  <c r="P1673" i="1"/>
  <c r="M1673" i="1"/>
  <c r="P1672" i="1"/>
  <c r="M1672" i="1"/>
  <c r="P1671" i="1"/>
  <c r="M1671" i="1"/>
  <c r="P1669" i="1"/>
  <c r="M1669" i="1"/>
  <c r="P1668" i="1"/>
  <c r="M1668" i="1"/>
  <c r="M1667" i="1"/>
  <c r="P1666" i="1"/>
  <c r="M1666" i="1"/>
  <c r="P1665" i="1"/>
  <c r="M1665" i="1"/>
  <c r="P1664" i="1"/>
  <c r="M1664" i="1"/>
  <c r="P1663" i="1"/>
  <c r="M1663" i="1"/>
  <c r="P1662" i="1"/>
  <c r="M1662" i="1"/>
  <c r="P1661" i="1"/>
  <c r="M1661" i="1"/>
  <c r="P1660" i="1"/>
  <c r="M1660" i="1"/>
  <c r="P1659" i="1"/>
  <c r="M1659" i="1"/>
  <c r="P1658" i="1"/>
  <c r="M1658" i="1"/>
  <c r="P1657" i="1"/>
  <c r="M1657" i="1"/>
  <c r="P1656" i="1"/>
  <c r="M1656" i="1"/>
  <c r="P1655" i="1"/>
  <c r="M1655" i="1"/>
  <c r="P1654" i="1"/>
  <c r="M1654" i="1"/>
  <c r="P1653" i="1"/>
  <c r="M1653" i="1"/>
  <c r="P1652" i="1"/>
  <c r="M1652" i="1"/>
  <c r="P1651" i="1"/>
  <c r="M1651" i="1"/>
  <c r="P1650" i="1"/>
  <c r="M1650" i="1"/>
  <c r="P1649" i="1"/>
  <c r="M1649" i="1"/>
  <c r="P1648" i="1"/>
  <c r="M1648" i="1"/>
  <c r="P1647" i="1"/>
  <c r="M1647" i="1"/>
  <c r="P1646" i="1"/>
  <c r="M1646" i="1"/>
  <c r="P1645" i="1"/>
  <c r="M1645" i="1"/>
  <c r="P1644" i="1"/>
  <c r="M1644" i="1"/>
  <c r="P1643" i="1"/>
  <c r="M1643" i="1"/>
  <c r="P1642" i="1"/>
  <c r="M1642" i="1"/>
  <c r="P1641" i="1"/>
  <c r="M1641" i="1"/>
  <c r="P1640" i="1"/>
  <c r="M1640" i="1"/>
  <c r="P1639" i="1"/>
  <c r="M1639" i="1"/>
  <c r="P1638" i="1"/>
  <c r="M1638" i="1"/>
  <c r="P1637" i="1"/>
  <c r="M1637" i="1"/>
  <c r="P1636" i="1"/>
  <c r="M1636" i="1"/>
  <c r="P1635" i="1"/>
  <c r="M1635" i="1"/>
  <c r="P1634" i="1"/>
  <c r="M1634" i="1"/>
  <c r="P1633" i="1"/>
  <c r="M1633" i="1"/>
  <c r="P1632" i="1"/>
  <c r="M1632" i="1"/>
  <c r="P1631" i="1"/>
  <c r="M1631" i="1"/>
  <c r="P1630" i="1"/>
  <c r="M1630" i="1"/>
  <c r="P1629" i="1"/>
  <c r="M1629" i="1"/>
  <c r="P1628" i="1"/>
  <c r="M1628" i="1"/>
  <c r="P1627" i="1"/>
  <c r="M1627" i="1"/>
  <c r="P1626" i="1"/>
  <c r="M1626" i="1"/>
  <c r="P1625" i="1"/>
  <c r="M1625" i="1"/>
  <c r="P1624" i="1"/>
  <c r="M1624" i="1"/>
  <c r="P1623" i="1"/>
  <c r="M1623" i="1"/>
  <c r="P1622" i="1"/>
  <c r="M1622" i="1"/>
  <c r="P1621" i="1"/>
  <c r="M1621" i="1"/>
  <c r="P1620" i="1"/>
  <c r="M1620" i="1"/>
  <c r="P1619" i="1"/>
  <c r="M1619" i="1"/>
  <c r="P1618" i="1"/>
  <c r="M1618" i="1"/>
  <c r="P1617" i="1"/>
  <c r="M1617" i="1"/>
  <c r="C68" i="9"/>
  <c r="C48" i="9"/>
  <c r="C34" i="9"/>
  <c r="C25" i="9"/>
  <c r="C22" i="9"/>
  <c r="C21" i="9"/>
  <c r="C19" i="9"/>
  <c r="C15" i="9"/>
  <c r="P1616" i="1"/>
  <c r="M1616" i="1"/>
  <c r="M1615" i="1"/>
  <c r="P1615" i="1"/>
  <c r="P1614" i="1"/>
  <c r="M1614" i="1"/>
  <c r="P1613" i="1"/>
  <c r="M1613" i="1"/>
  <c r="P1612" i="1"/>
  <c r="M1612" i="1"/>
  <c r="P1611" i="1"/>
  <c r="M1611" i="1"/>
  <c r="P1610" i="1"/>
  <c r="M1610" i="1"/>
  <c r="P1609" i="1"/>
  <c r="M1609" i="1"/>
  <c r="P1608" i="1"/>
  <c r="M1608" i="1"/>
  <c r="P1607" i="1"/>
  <c r="M1607" i="1"/>
  <c r="P1606" i="1"/>
  <c r="M1606" i="1"/>
  <c r="P1605" i="1"/>
  <c r="M1605" i="1"/>
  <c r="P1604" i="1"/>
  <c r="M1604" i="1"/>
  <c r="P1603" i="1"/>
  <c r="M1603" i="1"/>
  <c r="P1602" i="1"/>
  <c r="M1602" i="1"/>
  <c r="P1601" i="1"/>
  <c r="M1601" i="1"/>
  <c r="P1600" i="1"/>
  <c r="M1600" i="1"/>
  <c r="P1599" i="1"/>
  <c r="M1599" i="1"/>
  <c r="P1598" i="1"/>
  <c r="M1598" i="1"/>
  <c r="P1597" i="1"/>
  <c r="M1597" i="1"/>
  <c r="P1596" i="1"/>
  <c r="M1596" i="1"/>
  <c r="P1595" i="1"/>
  <c r="M1595" i="1"/>
  <c r="P1594" i="1"/>
  <c r="M1594" i="1"/>
  <c r="P1593" i="1"/>
  <c r="M1593" i="1"/>
  <c r="M1592" i="1"/>
  <c r="P1591" i="1"/>
  <c r="M1591" i="1"/>
  <c r="P1590" i="1"/>
  <c r="M1590" i="1"/>
  <c r="P1589" i="1"/>
  <c r="M1589" i="1"/>
  <c r="P1588" i="1"/>
  <c r="M1588" i="1"/>
  <c r="P1587" i="1"/>
  <c r="M1587" i="1"/>
  <c r="P1586" i="1"/>
  <c r="M1586" i="1"/>
  <c r="P1585" i="1"/>
  <c r="M1585" i="1"/>
  <c r="P1584" i="1"/>
  <c r="M1584" i="1"/>
  <c r="P1583" i="1"/>
  <c r="M1583" i="1"/>
  <c r="P1582" i="1"/>
  <c r="M1582" i="1"/>
  <c r="P1581" i="1"/>
  <c r="M1581" i="1"/>
  <c r="P1580" i="1"/>
  <c r="M1580" i="1"/>
  <c r="M1579" i="1"/>
  <c r="P1578" i="1"/>
  <c r="M1578" i="1"/>
  <c r="P1577" i="1"/>
  <c r="M1577" i="1"/>
  <c r="P1576" i="1"/>
  <c r="M1576" i="1"/>
  <c r="P1575" i="1"/>
  <c r="M1575" i="1"/>
  <c r="P1574" i="1"/>
  <c r="M1574" i="1"/>
  <c r="P1573" i="1"/>
  <c r="M1573" i="1"/>
  <c r="P1572" i="1"/>
  <c r="M1572" i="1"/>
  <c r="P1571" i="1"/>
  <c r="M1571" i="1"/>
  <c r="P1570" i="1"/>
  <c r="M1570" i="1"/>
  <c r="P1569" i="1"/>
  <c r="M1569" i="1"/>
  <c r="P1568" i="1"/>
  <c r="M1568" i="1"/>
  <c r="P1567" i="1"/>
  <c r="M1567" i="1"/>
  <c r="P1566" i="1"/>
  <c r="M1566" i="1"/>
  <c r="P1565" i="1"/>
  <c r="M1565" i="1"/>
  <c r="P1564" i="1"/>
  <c r="M1564" i="1"/>
  <c r="P1563" i="1"/>
  <c r="M1563" i="1"/>
  <c r="P1562" i="1"/>
  <c r="M1562" i="1"/>
  <c r="P1561" i="1"/>
  <c r="M1561" i="1"/>
  <c r="P1560" i="1"/>
  <c r="M1560" i="1"/>
  <c r="P1559" i="1"/>
  <c r="M1559" i="1"/>
  <c r="P1558" i="1"/>
  <c r="M1558" i="1"/>
  <c r="M1557" i="1"/>
  <c r="P1556" i="1"/>
  <c r="M1556" i="1"/>
  <c r="P1555" i="1"/>
  <c r="M1555" i="1"/>
  <c r="P1554" i="1"/>
  <c r="M1554" i="1"/>
  <c r="P1553" i="1"/>
  <c r="M1553" i="1"/>
  <c r="P1552" i="1"/>
  <c r="M1552" i="1"/>
  <c r="P1551" i="1"/>
  <c r="M1551" i="1"/>
  <c r="P1550" i="1"/>
  <c r="M1550" i="1"/>
  <c r="P1549" i="1"/>
  <c r="M1549" i="1"/>
  <c r="P1548" i="1"/>
  <c r="M1548" i="1"/>
  <c r="P1547" i="1"/>
  <c r="M1547" i="1"/>
  <c r="P1546" i="1"/>
  <c r="M1546" i="1"/>
  <c r="P1545" i="1"/>
  <c r="M1545" i="1"/>
  <c r="P1544" i="1"/>
  <c r="M1544" i="1"/>
  <c r="P1543" i="1"/>
  <c r="M1543" i="1"/>
  <c r="P1542" i="1"/>
  <c r="M1542" i="1"/>
  <c r="P1541" i="1"/>
  <c r="M1541" i="1"/>
  <c r="P1540" i="1"/>
  <c r="M1540" i="1"/>
  <c r="P1538" i="1"/>
  <c r="P1539" i="1"/>
  <c r="M1539" i="1"/>
  <c r="M1538" i="1"/>
  <c r="P1537" i="1"/>
  <c r="M1537" i="1"/>
  <c r="P1536" i="1"/>
  <c r="M1536" i="1"/>
  <c r="P1535" i="1"/>
  <c r="M1535" i="1"/>
  <c r="P1534" i="1"/>
  <c r="M1534" i="1"/>
  <c r="P1533" i="1"/>
  <c r="M1533" i="1"/>
  <c r="P1532" i="1"/>
  <c r="M1532" i="1"/>
  <c r="P1531" i="1"/>
  <c r="M1531" i="1"/>
  <c r="P1530" i="1"/>
  <c r="M1530" i="1"/>
  <c r="P1529" i="1"/>
  <c r="M1529" i="1"/>
  <c r="P1528" i="1"/>
  <c r="M1528" i="1"/>
  <c r="P1527" i="1"/>
  <c r="M1527" i="1"/>
  <c r="P1526" i="1"/>
  <c r="M1526" i="1"/>
  <c r="P1525" i="1"/>
  <c r="M1525" i="1"/>
  <c r="P1524" i="1"/>
  <c r="M1524" i="1"/>
  <c r="P1523" i="1"/>
  <c r="M1523" i="1"/>
  <c r="P1522" i="1"/>
  <c r="M1522" i="1"/>
  <c r="P1521" i="1"/>
  <c r="M1521" i="1"/>
  <c r="M1520" i="1"/>
  <c r="P1519" i="1"/>
  <c r="M1519" i="1"/>
  <c r="P1518" i="1"/>
  <c r="M1518" i="1"/>
  <c r="P1517" i="1"/>
  <c r="M1517" i="1"/>
  <c r="P1516" i="1"/>
  <c r="M1516" i="1"/>
  <c r="P1515" i="1"/>
  <c r="M1515" i="1"/>
  <c r="P1514" i="1"/>
  <c r="M1514" i="1"/>
  <c r="F2" i="8"/>
  <c r="F3" i="8"/>
  <c r="F4" i="8"/>
  <c r="F7" i="8"/>
  <c r="F8" i="8"/>
  <c r="F9" i="8"/>
  <c r="F10" i="8"/>
  <c r="F13" i="8"/>
  <c r="F14" i="8"/>
  <c r="F15" i="8"/>
  <c r="F16" i="8"/>
  <c r="F17" i="8"/>
  <c r="F19" i="8"/>
  <c r="F20" i="8"/>
  <c r="F23" i="8"/>
  <c r="F24" i="8"/>
  <c r="F29" i="8"/>
  <c r="F31" i="8"/>
  <c r="F33" i="8"/>
  <c r="F37" i="8"/>
  <c r="F38" i="8"/>
  <c r="F39" i="8"/>
  <c r="F41" i="8"/>
  <c r="F45" i="8"/>
  <c r="F48" i="8"/>
  <c r="F52" i="8"/>
  <c r="F53" i="8"/>
  <c r="F54" i="8"/>
  <c r="F55" i="8"/>
  <c r="F59" i="8"/>
  <c r="F63" i="8"/>
  <c r="F66" i="8"/>
  <c r="F67" i="8"/>
  <c r="F71" i="8"/>
  <c r="F74" i="8"/>
  <c r="F75" i="8"/>
  <c r="F78" i="8"/>
  <c r="F79" i="8"/>
  <c r="F81" i="8"/>
  <c r="F82" i="8"/>
  <c r="F84" i="8"/>
  <c r="F85" i="8"/>
  <c r="F89" i="8"/>
  <c r="F91" i="8"/>
  <c r="F92" i="8"/>
  <c r="F93" i="8"/>
  <c r="F94" i="8"/>
  <c r="F95" i="8"/>
  <c r="F99" i="8"/>
  <c r="F102" i="8"/>
  <c r="F103" i="8"/>
  <c r="F104" i="8"/>
  <c r="F105" i="8"/>
  <c r="F110" i="8"/>
  <c r="F113" i="8"/>
  <c r="F114" i="8"/>
  <c r="F115" i="8"/>
  <c r="F117" i="8"/>
  <c r="F118" i="8"/>
  <c r="F119" i="8"/>
  <c r="F121" i="8"/>
  <c r="F122" i="8"/>
  <c r="F123" i="8"/>
  <c r="F126" i="8"/>
  <c r="F127" i="8"/>
  <c r="F128" i="8"/>
  <c r="F131" i="8"/>
  <c r="F133" i="8"/>
  <c r="F135" i="8"/>
  <c r="F137" i="8"/>
  <c r="F138" i="8"/>
  <c r="F139" i="8"/>
  <c r="E144" i="8"/>
  <c r="J5" i="11"/>
  <c r="E2" i="8"/>
  <c r="E3" i="8"/>
  <c r="E4" i="8"/>
  <c r="E7" i="8"/>
  <c r="E8" i="8"/>
  <c r="E9" i="8"/>
  <c r="E10" i="8"/>
  <c r="E13" i="8"/>
  <c r="E14" i="8"/>
  <c r="E15" i="8"/>
  <c r="E16" i="8"/>
  <c r="E17" i="8"/>
  <c r="E19" i="8"/>
  <c r="E20" i="8"/>
  <c r="E23" i="8"/>
  <c r="E24" i="8"/>
  <c r="E29" i="8"/>
  <c r="E31" i="8"/>
  <c r="E33" i="8"/>
  <c r="E37" i="8"/>
  <c r="E38" i="8"/>
  <c r="E39" i="8"/>
  <c r="E41" i="8"/>
  <c r="E45" i="8"/>
  <c r="E48" i="8"/>
  <c r="E52" i="8"/>
  <c r="E53" i="8"/>
  <c r="E54" i="8"/>
  <c r="E55" i="8"/>
  <c r="E59" i="8"/>
  <c r="E63" i="8"/>
  <c r="E66" i="8"/>
  <c r="E67" i="8"/>
  <c r="E71" i="8"/>
  <c r="E74" i="8"/>
  <c r="E75" i="8"/>
  <c r="E78" i="8"/>
  <c r="E79" i="8"/>
  <c r="E81" i="8"/>
  <c r="E82" i="8"/>
  <c r="E84" i="8"/>
  <c r="E85" i="8"/>
  <c r="E89" i="8"/>
  <c r="E91" i="8"/>
  <c r="E92" i="8"/>
  <c r="E93" i="8"/>
  <c r="E94" i="8"/>
  <c r="E95" i="8"/>
  <c r="E99" i="8"/>
  <c r="E102" i="8"/>
  <c r="E103" i="8"/>
  <c r="E104" i="8"/>
  <c r="E105" i="8"/>
  <c r="E110" i="8"/>
  <c r="E113" i="8"/>
  <c r="E114" i="8"/>
  <c r="E115" i="8"/>
  <c r="E117" i="8"/>
  <c r="E118" i="8"/>
  <c r="E119" i="8"/>
  <c r="E121" i="8"/>
  <c r="E122" i="8"/>
  <c r="E123" i="8"/>
  <c r="E126" i="8"/>
  <c r="E127" i="8"/>
  <c r="E128" i="8"/>
  <c r="E131" i="8"/>
  <c r="E133" i="8"/>
  <c r="E135" i="8"/>
  <c r="E137" i="8"/>
  <c r="E138" i="8"/>
  <c r="E139" i="8"/>
  <c r="D144" i="8"/>
  <c r="D2" i="8"/>
  <c r="D3" i="8"/>
  <c r="D4" i="8"/>
  <c r="D7" i="8"/>
  <c r="D9" i="8"/>
  <c r="D13" i="8"/>
  <c r="D15" i="8"/>
  <c r="D16" i="8"/>
  <c r="D17" i="8"/>
  <c r="D19" i="8"/>
  <c r="D20" i="8"/>
  <c r="D23" i="8"/>
  <c r="D24" i="8"/>
  <c r="D27" i="8"/>
  <c r="D29" i="8"/>
  <c r="D31" i="8"/>
  <c r="D35" i="8"/>
  <c r="D37" i="8"/>
  <c r="D38" i="8"/>
  <c r="D40" i="8"/>
  <c r="D41" i="8"/>
  <c r="D45" i="8"/>
  <c r="D48" i="8"/>
  <c r="D52" i="8"/>
  <c r="D53" i="8"/>
  <c r="D54" i="8"/>
  <c r="D58" i="8"/>
  <c r="D63" i="8"/>
  <c r="D66" i="8"/>
  <c r="D67" i="8"/>
  <c r="D71" i="8"/>
  <c r="D74" i="8"/>
  <c r="D75" i="8"/>
  <c r="D78" i="8"/>
  <c r="D81" i="8"/>
  <c r="D82" i="8"/>
  <c r="D84" i="8"/>
  <c r="D85" i="8"/>
  <c r="D89" i="8"/>
  <c r="D90" i="8"/>
  <c r="D91" i="8"/>
  <c r="D92" i="8"/>
  <c r="D93" i="8"/>
  <c r="D94" i="8"/>
  <c r="D95" i="8"/>
  <c r="D99" i="8"/>
  <c r="D102" i="8"/>
  <c r="D103" i="8"/>
  <c r="D104" i="8"/>
  <c r="D105" i="8"/>
  <c r="D110" i="8"/>
  <c r="D113" i="8"/>
  <c r="D114" i="8"/>
  <c r="D115" i="8"/>
  <c r="D117" i="8"/>
  <c r="D118" i="8"/>
  <c r="D119" i="8"/>
  <c r="D121" i="8"/>
  <c r="D122" i="8"/>
  <c r="D123" i="8"/>
  <c r="D126" i="8"/>
  <c r="D127" i="8"/>
  <c r="D128" i="8"/>
  <c r="D133" i="8"/>
  <c r="D135" i="8"/>
  <c r="D137" i="8"/>
  <c r="D138" i="8"/>
  <c r="D139" i="8"/>
  <c r="Q19" i="11"/>
  <c r="C144" i="8"/>
  <c r="C2" i="8"/>
  <c r="C3" i="8"/>
  <c r="C4" i="8"/>
  <c r="C7" i="8"/>
  <c r="C9" i="8"/>
  <c r="C13" i="8"/>
  <c r="C15" i="8"/>
  <c r="C16" i="8"/>
  <c r="C17" i="8"/>
  <c r="C19" i="8"/>
  <c r="C20" i="8"/>
  <c r="C23" i="8"/>
  <c r="C24" i="8"/>
  <c r="C27" i="8"/>
  <c r="C29" i="8"/>
  <c r="C31" i="8"/>
  <c r="C35" i="8"/>
  <c r="C37" i="8"/>
  <c r="C38" i="8"/>
  <c r="C40" i="8"/>
  <c r="C41" i="8"/>
  <c r="C45" i="8"/>
  <c r="C48" i="8"/>
  <c r="C52" i="8"/>
  <c r="C53" i="8"/>
  <c r="C54" i="8"/>
  <c r="C58" i="8"/>
  <c r="C63" i="8"/>
  <c r="C66" i="8"/>
  <c r="C67" i="8"/>
  <c r="C71" i="8"/>
  <c r="C74" i="8"/>
  <c r="C75" i="8"/>
  <c r="C78" i="8"/>
  <c r="C81" i="8"/>
  <c r="C82" i="8"/>
  <c r="C84" i="8"/>
  <c r="C85" i="8"/>
  <c r="C89" i="8"/>
  <c r="C90" i="8"/>
  <c r="C91" i="8"/>
  <c r="C92" i="8"/>
  <c r="C93" i="8"/>
  <c r="C94" i="8"/>
  <c r="C95" i="8"/>
  <c r="C99" i="8"/>
  <c r="C102" i="8"/>
  <c r="C103" i="8"/>
  <c r="C104" i="8"/>
  <c r="C105" i="8"/>
  <c r="C110" i="8"/>
  <c r="C113" i="8"/>
  <c r="C114" i="8"/>
  <c r="C115" i="8"/>
  <c r="C117" i="8"/>
  <c r="C118" i="8"/>
  <c r="C119" i="8"/>
  <c r="C121" i="8"/>
  <c r="C122" i="8"/>
  <c r="C123" i="8"/>
  <c r="C126" i="8"/>
  <c r="C127" i="8"/>
  <c r="C128" i="8"/>
  <c r="C133" i="8"/>
  <c r="C135" i="8"/>
  <c r="C137" i="8"/>
  <c r="C138" i="8"/>
  <c r="C139" i="8"/>
  <c r="P1513" i="1"/>
  <c r="M1513" i="1"/>
  <c r="P1512" i="1"/>
  <c r="M1512" i="1"/>
  <c r="P1511" i="1"/>
  <c r="M1511" i="1"/>
  <c r="P1510" i="1"/>
  <c r="M1510" i="1"/>
  <c r="P1509" i="1"/>
  <c r="M1509" i="1"/>
  <c r="P1508" i="1"/>
  <c r="M1508" i="1"/>
  <c r="P1507" i="1"/>
  <c r="M1507" i="1"/>
  <c r="P1506" i="1"/>
  <c r="M1506" i="1"/>
  <c r="P1505" i="1"/>
  <c r="M1505" i="1"/>
  <c r="P1504" i="1"/>
  <c r="M1504" i="1"/>
  <c r="P1503" i="1"/>
  <c r="M1503" i="1"/>
  <c r="M1502" i="1"/>
  <c r="P1502" i="1"/>
  <c r="M1501" i="1"/>
  <c r="P1501" i="1"/>
  <c r="J139" i="8"/>
  <c r="I139" i="8"/>
  <c r="H139" i="8"/>
  <c r="G139" i="8"/>
  <c r="P1500" i="1"/>
  <c r="M1500" i="1"/>
  <c r="P1499" i="1"/>
  <c r="M1499" i="1"/>
  <c r="P1498" i="1"/>
  <c r="M1498" i="1"/>
  <c r="P1497" i="1"/>
  <c r="M1497" i="1"/>
  <c r="P1496" i="1"/>
  <c r="M1496" i="1"/>
  <c r="P1495" i="1"/>
  <c r="M1495" i="1"/>
  <c r="P1494" i="1"/>
  <c r="M1494" i="1"/>
  <c r="P1493" i="1"/>
  <c r="M1493" i="1"/>
  <c r="P1492" i="1"/>
  <c r="M1492" i="1"/>
  <c r="P1491" i="1"/>
  <c r="M1491" i="1"/>
  <c r="P1490" i="1"/>
  <c r="M1490" i="1"/>
  <c r="P1489" i="1"/>
  <c r="M1489" i="1"/>
  <c r="P1488" i="1"/>
  <c r="M1488" i="1"/>
  <c r="P1487" i="1"/>
  <c r="M1487" i="1"/>
  <c r="P1486" i="1"/>
  <c r="M1486" i="1"/>
  <c r="P1485" i="1"/>
  <c r="M1485" i="1"/>
  <c r="P1484" i="1"/>
  <c r="M1484" i="1"/>
  <c r="P1483" i="1"/>
  <c r="M1483" i="1"/>
  <c r="P1482" i="1"/>
  <c r="M1482" i="1"/>
  <c r="P1481" i="1"/>
  <c r="M1481" i="1"/>
  <c r="P1480" i="1"/>
  <c r="M1480" i="1"/>
  <c r="P1479" i="1"/>
  <c r="M1479" i="1"/>
  <c r="P1478" i="1"/>
  <c r="M1478" i="1"/>
  <c r="P1477" i="1"/>
  <c r="M1477" i="1"/>
  <c r="P1476" i="1"/>
  <c r="M1476" i="1"/>
  <c r="P1475" i="1"/>
  <c r="M1475" i="1"/>
  <c r="P1474" i="1"/>
  <c r="M1474" i="1"/>
  <c r="P5" i="11"/>
  <c r="P1473" i="1"/>
  <c r="M1473" i="1"/>
  <c r="P1472" i="1"/>
  <c r="M1472" i="1"/>
  <c r="P1471" i="1"/>
  <c r="M1471" i="1"/>
  <c r="P1470" i="1"/>
  <c r="M1470" i="1"/>
  <c r="P1469" i="1"/>
  <c r="M1469" i="1"/>
  <c r="P1468" i="1"/>
  <c r="M1468" i="1"/>
  <c r="P1467" i="1"/>
  <c r="M1467" i="1"/>
  <c r="P1466" i="1"/>
  <c r="M1466" i="1"/>
  <c r="P1465" i="1"/>
  <c r="M1465" i="1"/>
  <c r="P1464" i="1"/>
  <c r="M1464" i="1"/>
  <c r="P1463" i="1"/>
  <c r="M1463" i="1"/>
  <c r="P1462" i="1"/>
  <c r="M1462" i="1"/>
  <c r="P1461" i="1"/>
  <c r="M1461" i="1"/>
  <c r="P1460" i="1"/>
  <c r="M1460" i="1"/>
  <c r="P1459" i="1"/>
  <c r="M1459" i="1"/>
  <c r="P1458" i="1"/>
  <c r="M1458" i="1"/>
  <c r="P1457" i="1"/>
  <c r="M1457" i="1"/>
  <c r="P1456" i="1"/>
  <c r="M1456" i="1"/>
  <c r="P1455" i="1"/>
  <c r="M1455" i="1"/>
  <c r="P1454" i="1"/>
  <c r="M1454" i="1"/>
  <c r="P1453" i="1"/>
  <c r="M1453" i="1"/>
  <c r="P1452" i="1"/>
  <c r="M1452" i="1"/>
  <c r="P1451" i="1"/>
  <c r="M1451" i="1"/>
  <c r="P1450" i="1"/>
  <c r="M1450" i="1"/>
  <c r="P1449" i="1"/>
  <c r="M1449" i="1"/>
  <c r="P1448" i="1"/>
  <c r="M1448" i="1"/>
  <c r="P1447" i="1"/>
  <c r="M1447" i="1"/>
  <c r="P1446" i="1"/>
  <c r="M1446" i="1"/>
  <c r="P1445" i="1"/>
  <c r="M1445" i="1"/>
  <c r="P1444" i="1"/>
  <c r="M1444" i="1"/>
  <c r="P1443" i="1"/>
  <c r="M1443" i="1"/>
  <c r="P1442" i="1"/>
  <c r="M1442" i="1"/>
  <c r="P1441" i="1"/>
  <c r="M1441" i="1"/>
  <c r="P1440" i="1"/>
  <c r="M1440" i="1"/>
  <c r="P1439" i="1"/>
  <c r="M1439" i="1"/>
  <c r="P1438" i="1"/>
  <c r="M1438" i="1"/>
  <c r="P1437" i="1"/>
  <c r="M1437" i="1"/>
  <c r="P1436" i="1"/>
  <c r="M1436" i="1"/>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P1435" i="1"/>
  <c r="M1435" i="1"/>
  <c r="P1434" i="1"/>
  <c r="M1434" i="1"/>
  <c r="P1433" i="1"/>
  <c r="M1433" i="1"/>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W20" i="4"/>
  <c r="AW19" i="4"/>
  <c r="AW18" i="4"/>
  <c r="AW17" i="4"/>
  <c r="AW16" i="4"/>
  <c r="AW15" i="4"/>
  <c r="AW14" i="4"/>
  <c r="AW13" i="4"/>
  <c r="AW12" i="4"/>
  <c r="AW11" i="4"/>
  <c r="AW10" i="4"/>
  <c r="AW9" i="4"/>
  <c r="AW8" i="4"/>
  <c r="AW5" i="4"/>
  <c r="AW6" i="4"/>
  <c r="AW7" i="4"/>
  <c r="AM75" i="4"/>
  <c r="AM74" i="4"/>
  <c r="AM48" i="4"/>
  <c r="AM47" i="4"/>
  <c r="AM46" i="4"/>
  <c r="AM45" i="4"/>
  <c r="AM44" i="4"/>
  <c r="AM43" i="4"/>
  <c r="AM42" i="4"/>
  <c r="AM41" i="4"/>
  <c r="AM40" i="4"/>
  <c r="AM39" i="4"/>
  <c r="AM38" i="4"/>
  <c r="AM37" i="4"/>
  <c r="AM36" i="4"/>
  <c r="AM35" i="4"/>
  <c r="AM34" i="4"/>
  <c r="AM33" i="4"/>
  <c r="AM32" i="4"/>
  <c r="AM31" i="4"/>
  <c r="AM30" i="4"/>
  <c r="AM29" i="4"/>
  <c r="AM28" i="4"/>
  <c r="AM5" i="4"/>
  <c r="AM6" i="4"/>
  <c r="AM7" i="4"/>
  <c r="AM8" i="4"/>
  <c r="AM9" i="4"/>
  <c r="AM10" i="4"/>
  <c r="AM11" i="4"/>
  <c r="AM12" i="4"/>
  <c r="AM13" i="4"/>
  <c r="AM14" i="4"/>
  <c r="AM15" i="4"/>
  <c r="AM16" i="4"/>
  <c r="AH4" i="4"/>
  <c r="AH5" i="4"/>
  <c r="AH6" i="4"/>
  <c r="AH7" i="4"/>
  <c r="AH8" i="4"/>
  <c r="AH9" i="4"/>
  <c r="AH10" i="4"/>
  <c r="AH11" i="4"/>
  <c r="AH12" i="4"/>
  <c r="AH13" i="4"/>
  <c r="AH14" i="4"/>
  <c r="AH15" i="4"/>
  <c r="AH16" i="4"/>
  <c r="AC75" i="4"/>
  <c r="AC74"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X75" i="4"/>
  <c r="X74" i="4"/>
  <c r="X48" i="4"/>
  <c r="X47" i="4"/>
  <c r="X46" i="4"/>
  <c r="X45" i="4"/>
  <c r="X44" i="4"/>
  <c r="X43" i="4"/>
  <c r="X42" i="4"/>
  <c r="X41" i="4"/>
  <c r="X40" i="4"/>
  <c r="X39" i="4"/>
  <c r="X38" i="4"/>
  <c r="X37" i="4"/>
  <c r="X36" i="4"/>
  <c r="X35" i="4"/>
  <c r="X34" i="4"/>
  <c r="X33" i="4"/>
  <c r="X32" i="4"/>
  <c r="X5" i="4"/>
  <c r="X6" i="4"/>
  <c r="X7" i="4"/>
  <c r="X8" i="4"/>
  <c r="X9" i="4"/>
  <c r="X10" i="4"/>
  <c r="X11" i="4"/>
  <c r="X12" i="4"/>
  <c r="X13" i="4"/>
  <c r="X14" i="4"/>
  <c r="X15" i="4"/>
  <c r="X16" i="4"/>
  <c r="X26" i="4"/>
  <c r="X27" i="4"/>
  <c r="X28" i="4"/>
  <c r="X29" i="4"/>
  <c r="X30" i="4"/>
  <c r="X31" i="4"/>
  <c r="S75" i="4"/>
  <c r="S74"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9" i="4"/>
  <c r="I75" i="4"/>
  <c r="I74" i="4"/>
  <c r="P1432" i="1"/>
  <c r="M1432" i="1"/>
  <c r="P1431" i="1"/>
  <c r="M1431" i="1"/>
  <c r="P1430" i="1"/>
  <c r="M1430" i="1"/>
  <c r="P1427" i="1"/>
  <c r="M1427" i="1"/>
  <c r="P1426" i="1"/>
  <c r="M1426" i="1"/>
  <c r="P1429" i="1"/>
  <c r="M1429" i="1"/>
  <c r="P1428" i="1"/>
  <c r="M1428" i="1"/>
  <c r="P1425" i="1"/>
  <c r="M1425" i="1"/>
  <c r="P1424" i="1"/>
  <c r="M1424" i="1"/>
  <c r="P1423" i="1"/>
  <c r="M1423" i="1"/>
  <c r="P1422" i="1"/>
  <c r="M1422" i="1"/>
  <c r="P1421" i="1"/>
  <c r="M1421" i="1"/>
  <c r="P1420" i="1"/>
  <c r="M1420" i="1"/>
  <c r="P1419" i="1"/>
  <c r="M1419" i="1"/>
  <c r="P1418" i="1"/>
  <c r="M1418" i="1"/>
  <c r="P1417" i="1"/>
  <c r="M1417" i="1"/>
  <c r="P1416" i="1"/>
  <c r="M1416" i="1"/>
  <c r="P1415" i="1"/>
  <c r="M1415" i="1"/>
  <c r="P1414" i="1"/>
  <c r="M1414" i="1"/>
  <c r="P1413" i="1"/>
  <c r="M1413" i="1"/>
  <c r="P1412" i="1"/>
  <c r="M1412" i="1"/>
  <c r="P1411" i="1"/>
  <c r="M1411" i="1"/>
  <c r="P1410" i="1"/>
  <c r="M1410" i="1"/>
  <c r="P1409" i="1"/>
  <c r="M1409" i="1"/>
  <c r="P1408" i="1"/>
  <c r="M1408" i="1"/>
  <c r="P1407" i="1"/>
  <c r="M1407" i="1"/>
  <c r="P1406" i="1"/>
  <c r="M1406" i="1"/>
  <c r="P1405" i="1"/>
  <c r="M1405" i="1"/>
  <c r="P1404" i="1"/>
  <c r="M1404" i="1"/>
  <c r="P1403" i="1"/>
  <c r="M1403" i="1"/>
  <c r="P1402" i="1"/>
  <c r="M1402" i="1"/>
  <c r="P1401" i="1"/>
  <c r="M1401" i="1"/>
  <c r="P1400" i="1"/>
  <c r="M1400" i="1"/>
  <c r="P1399" i="1"/>
  <c r="M1399" i="1"/>
  <c r="P1398" i="1"/>
  <c r="M1398" i="1"/>
  <c r="P1397" i="1"/>
  <c r="M1397" i="1"/>
  <c r="P1396" i="1"/>
  <c r="M1396" i="1"/>
  <c r="P1395" i="1"/>
  <c r="M1395" i="1"/>
  <c r="P1394" i="1"/>
  <c r="M1394" i="1"/>
  <c r="P1393" i="1"/>
  <c r="M1393" i="1"/>
  <c r="P1392" i="1"/>
  <c r="M1392" i="1"/>
  <c r="P1391" i="1"/>
  <c r="M1391" i="1"/>
  <c r="P1390" i="1"/>
  <c r="M1390" i="1"/>
  <c r="P1389" i="1"/>
  <c r="M1389" i="1"/>
  <c r="P1388" i="1"/>
  <c r="M1388" i="1"/>
  <c r="P1387" i="1"/>
  <c r="M1387" i="1"/>
  <c r="P1386" i="1"/>
  <c r="M1386" i="1"/>
  <c r="P1385" i="1"/>
  <c r="M1385" i="1"/>
  <c r="P1384" i="1"/>
  <c r="M1384" i="1"/>
  <c r="P1383" i="1"/>
  <c r="M1383" i="1"/>
  <c r="P1382" i="1"/>
  <c r="M1382" i="1"/>
  <c r="P1381" i="1"/>
  <c r="M1381" i="1"/>
  <c r="D5" i="11"/>
  <c r="P1380" i="1"/>
  <c r="M1380" i="1"/>
  <c r="P1379" i="1"/>
  <c r="M1379" i="1"/>
  <c r="P1378" i="1"/>
  <c r="M1378" i="1"/>
  <c r="P1377" i="1"/>
  <c r="M1377" i="1"/>
  <c r="P1376" i="1"/>
  <c r="M1376" i="1"/>
  <c r="P1375" i="1"/>
  <c r="M1375" i="1"/>
  <c r="P1374" i="1"/>
  <c r="M1374" i="1"/>
  <c r="P1373" i="1"/>
  <c r="M1373" i="1"/>
  <c r="M1372" i="1"/>
  <c r="P1372" i="1"/>
  <c r="M1371" i="1"/>
  <c r="P1371" i="1"/>
  <c r="P1370" i="1"/>
  <c r="M1370" i="1"/>
  <c r="P1369" i="1"/>
  <c r="M1369" i="1"/>
  <c r="P1368" i="1"/>
  <c r="M1368" i="1"/>
  <c r="M1367" i="1"/>
  <c r="P1367" i="1"/>
  <c r="P1366" i="1"/>
  <c r="M1366" i="1"/>
  <c r="M1365" i="1"/>
  <c r="P1365" i="1"/>
  <c r="P1364" i="1"/>
  <c r="M1364" i="1"/>
  <c r="P1363" i="1"/>
  <c r="M1363" i="1"/>
  <c r="P1362" i="1"/>
  <c r="M1362" i="1"/>
  <c r="P1361" i="1"/>
  <c r="M1361" i="1"/>
  <c r="P1360" i="1"/>
  <c r="M1360" i="1"/>
  <c r="P1359" i="1"/>
  <c r="M1359" i="1"/>
  <c r="P1358" i="1"/>
  <c r="M1358" i="1"/>
  <c r="P1357" i="1"/>
  <c r="M1357" i="1"/>
  <c r="P1356" i="1"/>
  <c r="M1356" i="1"/>
  <c r="P1355" i="1"/>
  <c r="M1355" i="1"/>
  <c r="P1354" i="1"/>
  <c r="M1354" i="1"/>
  <c r="P1353" i="1"/>
  <c r="M1353" i="1"/>
  <c r="P1352" i="1"/>
  <c r="M1352" i="1"/>
  <c r="P1351" i="1"/>
  <c r="M1351" i="1"/>
  <c r="P1350" i="1"/>
  <c r="M1350" i="1"/>
  <c r="P1349" i="1"/>
  <c r="M1349" i="1"/>
  <c r="P1348" i="1"/>
  <c r="M1348" i="1"/>
  <c r="P1347" i="1"/>
  <c r="M1347" i="1"/>
  <c r="P1346" i="1"/>
  <c r="M1346" i="1"/>
  <c r="P1345" i="1"/>
  <c r="M1345" i="1"/>
  <c r="P1344" i="1"/>
  <c r="M1344" i="1"/>
  <c r="P1343" i="1"/>
  <c r="M1343" i="1"/>
  <c r="P1342" i="1"/>
  <c r="M1342" i="1"/>
  <c r="P1341" i="1"/>
  <c r="M1341" i="1"/>
  <c r="M1340" i="1"/>
  <c r="P1340" i="1"/>
  <c r="P1339" i="1"/>
  <c r="M1339" i="1"/>
  <c r="M1338" i="1"/>
  <c r="P1338" i="1"/>
  <c r="P1337" i="1"/>
  <c r="M1337" i="1"/>
  <c r="P1336" i="1"/>
  <c r="M1336" i="1"/>
  <c r="P1335" i="1"/>
  <c r="M1335" i="1"/>
  <c r="P1334" i="1"/>
  <c r="M1334" i="1"/>
  <c r="P1333" i="1"/>
  <c r="M1333" i="1"/>
  <c r="P1332" i="1"/>
  <c r="M1332" i="1"/>
  <c r="P1331" i="1"/>
  <c r="M1331" i="1"/>
  <c r="P1330" i="1"/>
  <c r="M1330" i="1"/>
  <c r="P1329" i="1"/>
  <c r="M1329" i="1"/>
  <c r="P1328" i="1"/>
  <c r="M1328" i="1"/>
  <c r="P1327" i="1"/>
  <c r="M1327" i="1"/>
  <c r="M1326" i="1"/>
  <c r="P1326" i="1"/>
  <c r="P1325" i="1"/>
  <c r="M1325" i="1"/>
  <c r="P1324" i="1"/>
  <c r="M1324" i="1"/>
  <c r="P1323" i="1"/>
  <c r="M1323" i="1"/>
  <c r="P1322" i="1"/>
  <c r="M1322" i="1"/>
  <c r="P1321" i="1"/>
  <c r="M1321" i="1"/>
  <c r="P1320" i="1"/>
  <c r="M1320" i="1"/>
  <c r="P1319" i="1"/>
  <c r="M1319" i="1"/>
  <c r="P1318" i="1"/>
  <c r="M1318" i="1"/>
  <c r="P1317" i="1"/>
  <c r="M1317" i="1"/>
  <c r="P1315" i="1"/>
  <c r="P1316" i="1"/>
  <c r="M1316" i="1"/>
  <c r="M1315" i="1"/>
  <c r="P1314" i="1"/>
  <c r="M1314" i="1"/>
  <c r="J2" i="8"/>
  <c r="J3" i="8"/>
  <c r="J4" i="8"/>
  <c r="J7" i="8"/>
  <c r="J9" i="8"/>
  <c r="J13" i="8"/>
  <c r="J15" i="8"/>
  <c r="J16" i="8"/>
  <c r="J17" i="8"/>
  <c r="J19" i="8"/>
  <c r="J20" i="8"/>
  <c r="J23" i="8"/>
  <c r="J24" i="8"/>
  <c r="J27" i="8"/>
  <c r="J29" i="8"/>
  <c r="J31" i="8"/>
  <c r="J35" i="8"/>
  <c r="J37" i="8"/>
  <c r="J38" i="8"/>
  <c r="J40" i="8"/>
  <c r="J41" i="8"/>
  <c r="J45" i="8"/>
  <c r="J48" i="8"/>
  <c r="J52" i="8"/>
  <c r="J53" i="8"/>
  <c r="J54" i="8"/>
  <c r="J55" i="8"/>
  <c r="J58" i="8"/>
  <c r="J60" i="8"/>
  <c r="J63" i="8"/>
  <c r="J64" i="8"/>
  <c r="J65" i="8"/>
  <c r="J66" i="8"/>
  <c r="J67" i="8"/>
  <c r="J68" i="8"/>
  <c r="J71" i="8"/>
  <c r="J72" i="8"/>
  <c r="J73" i="8"/>
  <c r="J74" i="8"/>
  <c r="J75" i="8"/>
  <c r="J76" i="8"/>
  <c r="J77" i="8"/>
  <c r="J78" i="8"/>
  <c r="J81" i="8"/>
  <c r="J82" i="8"/>
  <c r="J84" i="8"/>
  <c r="J85" i="8"/>
  <c r="J86" i="8"/>
  <c r="J89" i="8"/>
  <c r="J90" i="8"/>
  <c r="J91" i="8"/>
  <c r="J92" i="8"/>
  <c r="J93" i="8"/>
  <c r="J94" i="8"/>
  <c r="J95" i="8"/>
  <c r="J96" i="8"/>
  <c r="J97" i="8"/>
  <c r="J99" i="8"/>
  <c r="J100" i="8"/>
  <c r="J102" i="8"/>
  <c r="J103" i="8"/>
  <c r="J104" i="8"/>
  <c r="J105" i="8"/>
  <c r="J110" i="8"/>
  <c r="J112" i="8"/>
  <c r="J113" i="8"/>
  <c r="J114" i="8"/>
  <c r="J115" i="8"/>
  <c r="J116" i="8"/>
  <c r="J117" i="8"/>
  <c r="J118" i="8"/>
  <c r="J119" i="8"/>
  <c r="J120" i="8"/>
  <c r="J121" i="8"/>
  <c r="J122" i="8"/>
  <c r="J123" i="8"/>
  <c r="J124" i="8"/>
  <c r="J126" i="8"/>
  <c r="J127" i="8"/>
  <c r="J128" i="8"/>
  <c r="J130" i="8"/>
  <c r="J131" i="8"/>
  <c r="J132" i="8"/>
  <c r="J133" i="8"/>
  <c r="J134" i="8"/>
  <c r="J135" i="8"/>
  <c r="J137" i="8"/>
  <c r="J138" i="8"/>
  <c r="J140" i="8"/>
  <c r="I2" i="8"/>
  <c r="I3" i="8"/>
  <c r="I4" i="8"/>
  <c r="I7" i="8"/>
  <c r="I9" i="8"/>
  <c r="I13" i="8"/>
  <c r="I15" i="8"/>
  <c r="I16" i="8"/>
  <c r="I17" i="8"/>
  <c r="I18" i="8"/>
  <c r="I19" i="8"/>
  <c r="I20" i="8"/>
  <c r="I22" i="8"/>
  <c r="I23" i="8"/>
  <c r="I24" i="8"/>
  <c r="I26" i="8"/>
  <c r="I28" i="8"/>
  <c r="I29" i="8"/>
  <c r="I30" i="8"/>
  <c r="I31" i="8"/>
  <c r="I32" i="8"/>
  <c r="I36" i="8"/>
  <c r="I37" i="8"/>
  <c r="I38" i="8"/>
  <c r="I39" i="8"/>
  <c r="I40" i="8"/>
  <c r="I41" i="8"/>
  <c r="I45" i="8"/>
  <c r="I48" i="8"/>
  <c r="I52" i="8"/>
  <c r="I53" i="8"/>
  <c r="I54" i="8"/>
  <c r="I55" i="8"/>
  <c r="I56" i="8"/>
  <c r="I57" i="8"/>
  <c r="I58" i="8"/>
  <c r="I59" i="8"/>
  <c r="I60" i="8"/>
  <c r="I61" i="8"/>
  <c r="I63" i="8"/>
  <c r="I64" i="8"/>
  <c r="I65" i="8"/>
  <c r="I66" i="8"/>
  <c r="I67" i="8"/>
  <c r="I68" i="8"/>
  <c r="I69" i="8"/>
  <c r="I71" i="8"/>
  <c r="I72" i="8"/>
  <c r="I73" i="8"/>
  <c r="I74" i="8"/>
  <c r="I75" i="8"/>
  <c r="I76" i="8"/>
  <c r="I77" i="8"/>
  <c r="I78" i="8"/>
  <c r="I79" i="8"/>
  <c r="I81" i="8"/>
  <c r="I82" i="8"/>
  <c r="I84" i="8"/>
  <c r="I85" i="8"/>
  <c r="I86" i="8"/>
  <c r="I87" i="8"/>
  <c r="I89" i="8"/>
  <c r="I90" i="8"/>
  <c r="I91" i="8"/>
  <c r="I92" i="8"/>
  <c r="I93" i="8"/>
  <c r="I94" i="8"/>
  <c r="I95" i="8"/>
  <c r="I96" i="8"/>
  <c r="I97" i="8"/>
  <c r="I99" i="8"/>
  <c r="I100" i="8"/>
  <c r="I102" i="8"/>
  <c r="I103" i="8"/>
  <c r="I104" i="8"/>
  <c r="I105" i="8"/>
  <c r="I110" i="8"/>
  <c r="I112" i="8"/>
  <c r="I113" i="8"/>
  <c r="I114" i="8"/>
  <c r="I115" i="8"/>
  <c r="I116" i="8"/>
  <c r="I117" i="8"/>
  <c r="I118" i="8"/>
  <c r="I119" i="8"/>
  <c r="I120" i="8"/>
  <c r="I121" i="8"/>
  <c r="I122" i="8"/>
  <c r="I123" i="8"/>
  <c r="I124" i="8"/>
  <c r="I126" i="8"/>
  <c r="I127" i="8"/>
  <c r="I128" i="8"/>
  <c r="I130" i="8"/>
  <c r="I131" i="8"/>
  <c r="I132" i="8"/>
  <c r="I133" i="8"/>
  <c r="I134" i="8"/>
  <c r="I135" i="8"/>
  <c r="I137" i="8"/>
  <c r="I138" i="8"/>
  <c r="I140" i="8"/>
  <c r="H2" i="8"/>
  <c r="H3" i="8"/>
  <c r="H4" i="8"/>
  <c r="H6" i="8"/>
  <c r="H7" i="8"/>
  <c r="H8" i="8"/>
  <c r="H9" i="8"/>
  <c r="H10" i="8"/>
  <c r="H13" i="8"/>
  <c r="H14" i="8"/>
  <c r="H15" i="8"/>
  <c r="H16" i="8"/>
  <c r="H17" i="8"/>
  <c r="H18" i="8"/>
  <c r="H19" i="8"/>
  <c r="H20" i="8"/>
  <c r="H22" i="8"/>
  <c r="H23" i="8"/>
  <c r="H24" i="8"/>
  <c r="H26" i="8"/>
  <c r="H27" i="8"/>
  <c r="H28" i="8"/>
  <c r="H29" i="8"/>
  <c r="H30" i="8"/>
  <c r="H31" i="8"/>
  <c r="H32" i="8"/>
  <c r="H33" i="8"/>
  <c r="H35" i="8"/>
  <c r="H36" i="8"/>
  <c r="H37" i="8"/>
  <c r="H38" i="8"/>
  <c r="H39" i="8"/>
  <c r="H40" i="8"/>
  <c r="H41" i="8"/>
  <c r="H45" i="8"/>
  <c r="H48" i="8"/>
  <c r="H52" i="8"/>
  <c r="H53" i="8"/>
  <c r="H54" i="8"/>
  <c r="H55" i="8"/>
  <c r="H56" i="8"/>
  <c r="H57" i="8"/>
  <c r="H58" i="8"/>
  <c r="H59" i="8"/>
  <c r="H60" i="8"/>
  <c r="H61" i="8"/>
  <c r="H63" i="8"/>
  <c r="H64" i="8"/>
  <c r="H65" i="8"/>
  <c r="H66" i="8"/>
  <c r="H67" i="8"/>
  <c r="H68" i="8"/>
  <c r="H69" i="8"/>
  <c r="H71" i="8"/>
  <c r="H72" i="8"/>
  <c r="H73" i="8"/>
  <c r="H74" i="8"/>
  <c r="H75" i="8"/>
  <c r="H76" i="8"/>
  <c r="H77" i="8"/>
  <c r="H78" i="8"/>
  <c r="H79" i="8"/>
  <c r="H81" i="8"/>
  <c r="H82" i="8"/>
  <c r="H84" i="8"/>
  <c r="H85" i="8"/>
  <c r="H86" i="8"/>
  <c r="H87" i="8"/>
  <c r="H89" i="8"/>
  <c r="H90" i="8"/>
  <c r="H91" i="8"/>
  <c r="H92" i="8"/>
  <c r="H93" i="8"/>
  <c r="H94" i="8"/>
  <c r="H95" i="8"/>
  <c r="H96" i="8"/>
  <c r="H97" i="8"/>
  <c r="H99" i="8"/>
  <c r="H100" i="8"/>
  <c r="H102" i="8"/>
  <c r="H103" i="8"/>
  <c r="H104" i="8"/>
  <c r="H105" i="8"/>
  <c r="H110" i="8"/>
  <c r="H112" i="8"/>
  <c r="H113" i="8"/>
  <c r="H114" i="8"/>
  <c r="H115" i="8"/>
  <c r="H116" i="8"/>
  <c r="H117" i="8"/>
  <c r="H118" i="8"/>
  <c r="H119" i="8"/>
  <c r="H120" i="8"/>
  <c r="H121" i="8"/>
  <c r="H122" i="8"/>
  <c r="H123" i="8"/>
  <c r="H124" i="8"/>
  <c r="H126" i="8"/>
  <c r="H127" i="8"/>
  <c r="H128" i="8"/>
  <c r="H130" i="8"/>
  <c r="H131" i="8"/>
  <c r="H132" i="8"/>
  <c r="H133" i="8"/>
  <c r="H134" i="8"/>
  <c r="H135" i="8"/>
  <c r="H137" i="8"/>
  <c r="H138" i="8"/>
  <c r="H140" i="8"/>
  <c r="G2" i="8"/>
  <c r="G3" i="8"/>
  <c r="G4" i="8"/>
  <c r="G6" i="8"/>
  <c r="G7" i="8"/>
  <c r="G8" i="8"/>
  <c r="G9" i="8"/>
  <c r="G10" i="8"/>
  <c r="G13" i="8"/>
  <c r="G14" i="8"/>
  <c r="G15" i="8"/>
  <c r="G16" i="8"/>
  <c r="G17" i="8"/>
  <c r="G18" i="8"/>
  <c r="G19" i="8"/>
  <c r="G20" i="8"/>
  <c r="G22" i="8"/>
  <c r="G23" i="8"/>
  <c r="G24" i="8"/>
  <c r="G26" i="8"/>
  <c r="G27" i="8"/>
  <c r="G28" i="8"/>
  <c r="G29" i="8"/>
  <c r="G30" i="8"/>
  <c r="G31" i="8"/>
  <c r="G32" i="8"/>
  <c r="G33" i="8"/>
  <c r="G35" i="8"/>
  <c r="G36" i="8"/>
  <c r="G37" i="8"/>
  <c r="G38" i="8"/>
  <c r="G39" i="8"/>
  <c r="G40" i="8"/>
  <c r="G41" i="8"/>
  <c r="G45" i="8"/>
  <c r="G48" i="8"/>
  <c r="G52" i="8"/>
  <c r="G53" i="8"/>
  <c r="G54" i="8"/>
  <c r="G55" i="8"/>
  <c r="G56" i="8"/>
  <c r="G57" i="8"/>
  <c r="G58" i="8"/>
  <c r="G59" i="8"/>
  <c r="G60" i="8"/>
  <c r="G61" i="8"/>
  <c r="G63" i="8"/>
  <c r="G64" i="8"/>
  <c r="G65" i="8"/>
  <c r="G66" i="8"/>
  <c r="G67" i="8"/>
  <c r="G68" i="8"/>
  <c r="G69" i="8"/>
  <c r="G71" i="8"/>
  <c r="G72" i="8"/>
  <c r="G73" i="8"/>
  <c r="G74" i="8"/>
  <c r="G75" i="8"/>
  <c r="G76" i="8"/>
  <c r="G77" i="8"/>
  <c r="G78" i="8"/>
  <c r="G79" i="8"/>
  <c r="G81" i="8"/>
  <c r="G82" i="8"/>
  <c r="G84" i="8"/>
  <c r="G85" i="8"/>
  <c r="G86" i="8"/>
  <c r="G87" i="8"/>
  <c r="G89" i="8"/>
  <c r="G90" i="8"/>
  <c r="G91" i="8"/>
  <c r="G92" i="8"/>
  <c r="G93" i="8"/>
  <c r="G94" i="8"/>
  <c r="G95" i="8"/>
  <c r="G96" i="8"/>
  <c r="G97" i="8"/>
  <c r="G99" i="8"/>
  <c r="G100" i="8"/>
  <c r="G102" i="8"/>
  <c r="G103" i="8"/>
  <c r="G104" i="8"/>
  <c r="G105" i="8"/>
  <c r="G110" i="8"/>
  <c r="G112" i="8"/>
  <c r="G113" i="8"/>
  <c r="G114" i="8"/>
  <c r="G115" i="8"/>
  <c r="G116" i="8"/>
  <c r="G117" i="8"/>
  <c r="G118" i="8"/>
  <c r="G119" i="8"/>
  <c r="G120" i="8"/>
  <c r="G121" i="8"/>
  <c r="G122" i="8"/>
  <c r="G123" i="8"/>
  <c r="G124" i="8"/>
  <c r="G126" i="8"/>
  <c r="G127" i="8"/>
  <c r="G128" i="8"/>
  <c r="G130" i="8"/>
  <c r="G131" i="8"/>
  <c r="G132" i="8"/>
  <c r="G133" i="8"/>
  <c r="G134" i="8"/>
  <c r="G135" i="8"/>
  <c r="G137" i="8"/>
  <c r="G138" i="8"/>
  <c r="G140" i="8"/>
  <c r="P1313" i="1"/>
  <c r="M1313" i="1"/>
  <c r="P1312" i="1"/>
  <c r="M1312" i="1"/>
  <c r="P1311" i="1"/>
  <c r="M1311" i="1"/>
  <c r="P1310" i="1"/>
  <c r="M1310" i="1"/>
  <c r="P1309" i="1"/>
  <c r="M1309" i="1"/>
  <c r="P1308" i="1"/>
  <c r="M1308" i="1"/>
  <c r="P1307" i="1"/>
  <c r="M1307" i="1"/>
  <c r="P1306" i="1"/>
  <c r="M1306" i="1"/>
  <c r="P1305" i="1"/>
  <c r="M1305" i="1"/>
  <c r="P1304" i="1"/>
  <c r="M1304" i="1"/>
  <c r="P1303" i="1"/>
  <c r="M1303" i="1"/>
  <c r="P1302" i="1"/>
  <c r="M1302" i="1"/>
  <c r="P1301" i="1"/>
  <c r="M1301" i="1"/>
  <c r="P1300" i="1"/>
  <c r="M1300" i="1"/>
  <c r="P1299" i="1"/>
  <c r="M1299" i="1"/>
  <c r="P1298" i="1"/>
  <c r="M1298" i="1"/>
  <c r="P1297" i="1"/>
  <c r="M1297" i="1"/>
  <c r="P1296" i="1"/>
  <c r="M1296" i="1"/>
  <c r="P1295" i="1"/>
  <c r="M1295" i="1"/>
  <c r="P1294" i="1"/>
  <c r="M1294" i="1"/>
  <c r="P1293" i="1"/>
  <c r="M1293" i="1"/>
  <c r="P1292" i="1"/>
  <c r="M1292" i="1"/>
  <c r="P1291" i="1"/>
  <c r="M1291" i="1"/>
  <c r="P1290" i="1"/>
  <c r="M1290" i="1"/>
  <c r="E19" i="11"/>
  <c r="P1289" i="1"/>
  <c r="M1289" i="1"/>
  <c r="P1288" i="1"/>
  <c r="M1288" i="1"/>
  <c r="P1287" i="1"/>
  <c r="M1287" i="1"/>
  <c r="P1286" i="1"/>
  <c r="M1286" i="1"/>
  <c r="P1285" i="1"/>
  <c r="M1285" i="1"/>
  <c r="P1284" i="1"/>
  <c r="M1284" i="1"/>
  <c r="K19" i="11"/>
  <c r="J150" i="8"/>
  <c r="I150" i="8"/>
  <c r="J149" i="8"/>
  <c r="I149" i="8"/>
  <c r="J148" i="8"/>
  <c r="I148" i="8"/>
  <c r="J147" i="8"/>
  <c r="I147" i="8"/>
  <c r="J146" i="8"/>
  <c r="I146" i="8"/>
  <c r="J145" i="8"/>
  <c r="I145" i="8"/>
  <c r="H150" i="8"/>
  <c r="G150" i="8"/>
  <c r="H149" i="8"/>
  <c r="G149" i="8"/>
  <c r="H148" i="8"/>
  <c r="G148" i="8"/>
  <c r="H147" i="8"/>
  <c r="G147" i="8"/>
  <c r="H146" i="8"/>
  <c r="G146" i="8"/>
  <c r="H145" i="8"/>
  <c r="G145" i="8"/>
  <c r="P1283" i="1"/>
  <c r="M1283" i="1"/>
  <c r="P1282" i="1"/>
  <c r="M1282" i="1"/>
  <c r="P1281" i="1"/>
  <c r="M1281" i="1"/>
  <c r="P1280" i="1"/>
  <c r="M1280" i="1"/>
  <c r="P1279" i="1"/>
  <c r="M1279" i="1"/>
  <c r="P1278" i="1"/>
  <c r="M1278" i="1"/>
  <c r="P1277" i="1"/>
  <c r="M1277" i="1"/>
  <c r="P1276" i="1"/>
  <c r="M1276" i="1"/>
  <c r="P1275" i="1"/>
  <c r="M1275" i="1"/>
  <c r="P1274" i="1"/>
  <c r="M1274" i="1"/>
  <c r="M1273" i="1"/>
  <c r="P1273" i="1"/>
  <c r="D1" i="4"/>
  <c r="P1182" i="1"/>
  <c r="P1272" i="1"/>
  <c r="M1272" i="1"/>
  <c r="P1271" i="1"/>
  <c r="M1271" i="1"/>
  <c r="P1270" i="1"/>
  <c r="M1270" i="1"/>
  <c r="P1269" i="1"/>
  <c r="M1269" i="1"/>
  <c r="P1268" i="1"/>
  <c r="M1268" i="1"/>
  <c r="P1267" i="1"/>
  <c r="M1267" i="1"/>
  <c r="P1266" i="1"/>
  <c r="M1266" i="1"/>
  <c r="P1265" i="1"/>
  <c r="M1265" i="1"/>
  <c r="P1264" i="1"/>
  <c r="M1264" i="1"/>
  <c r="P1263" i="1"/>
  <c r="M1263" i="1"/>
  <c r="P1262" i="1"/>
  <c r="M1262" i="1"/>
  <c r="M1261" i="1"/>
  <c r="P1261" i="1"/>
  <c r="M1260" i="1"/>
  <c r="P1260" i="1"/>
  <c r="P1259" i="1"/>
  <c r="M1259" i="1"/>
  <c r="P1258" i="1"/>
  <c r="M1258" i="1"/>
  <c r="P1257" i="1"/>
  <c r="M1257" i="1"/>
  <c r="P1256" i="1"/>
  <c r="M1256" i="1"/>
  <c r="P1255" i="1"/>
  <c r="M1255" i="1"/>
  <c r="P1254" i="1"/>
  <c r="M1254" i="1"/>
  <c r="P1253" i="1"/>
  <c r="M1253" i="1"/>
  <c r="P1252" i="1"/>
  <c r="M1252" i="1"/>
  <c r="M1251" i="1"/>
  <c r="P1251" i="1"/>
  <c r="P1250" i="1"/>
  <c r="M1250" i="1"/>
  <c r="P1249" i="1"/>
  <c r="M1249" i="1"/>
  <c r="P1248" i="1"/>
  <c r="M1248" i="1"/>
  <c r="P1247" i="1"/>
  <c r="M1247" i="1"/>
  <c r="P1246" i="1"/>
  <c r="M1246" i="1"/>
  <c r="P1245" i="1"/>
  <c r="M1245" i="1"/>
  <c r="P1244" i="1"/>
  <c r="M1244" i="1"/>
  <c r="P1243" i="1"/>
  <c r="M1243" i="1"/>
  <c r="P1242" i="1"/>
  <c r="M1242" i="1"/>
  <c r="P1241" i="1"/>
  <c r="M1241" i="1"/>
  <c r="P1240" i="1"/>
  <c r="M1240" i="1"/>
  <c r="P1239" i="1"/>
  <c r="M1239" i="1"/>
  <c r="P1238" i="1"/>
  <c r="M1238" i="1"/>
  <c r="P1237" i="1"/>
  <c r="M1237" i="1"/>
  <c r="P1236" i="1"/>
  <c r="M1236" i="1"/>
  <c r="P1235" i="1"/>
  <c r="M1235" i="1"/>
  <c r="P1234" i="1"/>
  <c r="M1234" i="1"/>
  <c r="P1233" i="1"/>
  <c r="M1233" i="1"/>
  <c r="P1232" i="1"/>
  <c r="M1232" i="1"/>
  <c r="P1231" i="1"/>
  <c r="M1231" i="1"/>
  <c r="P1230" i="1"/>
  <c r="M1230" i="1"/>
  <c r="M1229" i="1"/>
  <c r="P1229" i="1"/>
  <c r="P1228" i="1"/>
  <c r="M1228" i="1"/>
  <c r="M1227" i="1"/>
  <c r="P1227" i="1"/>
  <c r="P1226" i="1"/>
  <c r="M1226" i="1"/>
  <c r="M1225" i="1"/>
  <c r="P1225" i="1"/>
  <c r="P1224" i="1"/>
  <c r="M1224" i="1"/>
  <c r="P1223" i="1"/>
  <c r="M1223" i="1"/>
  <c r="P1222" i="1"/>
  <c r="M1222" i="1"/>
  <c r="P1221" i="1"/>
  <c r="M1221" i="1"/>
  <c r="P1220" i="1"/>
  <c r="M1220" i="1"/>
  <c r="P1219" i="1"/>
  <c r="M1219" i="1"/>
  <c r="P1218" i="1"/>
  <c r="M1218" i="1"/>
  <c r="P1217" i="1"/>
  <c r="M1217" i="1"/>
  <c r="P1216" i="1"/>
  <c r="M1216" i="1"/>
  <c r="P1215" i="1"/>
  <c r="M1215" i="1"/>
  <c r="P1214" i="1"/>
  <c r="M1214" i="1"/>
  <c r="P1213" i="1"/>
  <c r="M1213" i="1"/>
  <c r="P1212" i="1"/>
  <c r="M1212" i="1"/>
  <c r="P544" i="1"/>
  <c r="P658" i="1"/>
  <c r="P661" i="1"/>
  <c r="P676" i="1"/>
  <c r="C82" i="9"/>
  <c r="P695" i="1"/>
  <c r="P713" i="1"/>
  <c r="C103" i="9"/>
  <c r="P719" i="1"/>
  <c r="P740" i="1"/>
  <c r="C116" i="9"/>
  <c r="P802" i="1"/>
  <c r="P815" i="1"/>
  <c r="P818" i="1"/>
  <c r="P830" i="1"/>
  <c r="P834" i="1"/>
  <c r="P856" i="1"/>
  <c r="P882" i="1"/>
  <c r="P977" i="1"/>
  <c r="P1009" i="1"/>
  <c r="P1099" i="1"/>
  <c r="P1114" i="1"/>
  <c r="P1128" i="1"/>
  <c r="P1167" i="1"/>
  <c r="P1169" i="1"/>
  <c r="P1194" i="1"/>
  <c r="P1211" i="1"/>
  <c r="M1211" i="1"/>
  <c r="P1210" i="1"/>
  <c r="M1210" i="1"/>
  <c r="P1209" i="1"/>
  <c r="M1209" i="1"/>
  <c r="M1208" i="1"/>
  <c r="P1208" i="1"/>
  <c r="P1207" i="1"/>
  <c r="M1207" i="1"/>
  <c r="P1206" i="1"/>
  <c r="M1206" i="1"/>
  <c r="P1205" i="1"/>
  <c r="M1205" i="1"/>
  <c r="P1204" i="1"/>
  <c r="M1204" i="1"/>
  <c r="P1203" i="1"/>
  <c r="M1203" i="1"/>
  <c r="P1202" i="1"/>
  <c r="M1202" i="1"/>
  <c r="P1201" i="1"/>
  <c r="M1201" i="1"/>
  <c r="P1200" i="1"/>
  <c r="M1200" i="1"/>
  <c r="P1199" i="1"/>
  <c r="M1199" i="1"/>
  <c r="P1198" i="1"/>
  <c r="M1198" i="1"/>
  <c r="M1197" i="1"/>
  <c r="P1197" i="1"/>
  <c r="P1196" i="1"/>
  <c r="M1196" i="1"/>
  <c r="P1195" i="1"/>
  <c r="M1195" i="1"/>
  <c r="M1194" i="1"/>
  <c r="P1193" i="1"/>
  <c r="M1193" i="1"/>
  <c r="P1192" i="1"/>
  <c r="M1192" i="1"/>
  <c r="P1191" i="1"/>
  <c r="M1191" i="1"/>
  <c r="P1190" i="1"/>
  <c r="M1190" i="1"/>
  <c r="P1189" i="1"/>
  <c r="M1189" i="1"/>
  <c r="P1188" i="1"/>
  <c r="M1188" i="1"/>
  <c r="P1187" i="1"/>
  <c r="M1187" i="1"/>
  <c r="P1186" i="1"/>
  <c r="M1186" i="1"/>
  <c r="P1185" i="1"/>
  <c r="M1185" i="1"/>
  <c r="P1184" i="1"/>
  <c r="M1184" i="1"/>
  <c r="P1183" i="1"/>
  <c r="M1183" i="1"/>
  <c r="M1182" i="1"/>
  <c r="P1181" i="1"/>
  <c r="M1181" i="1"/>
  <c r="P1180" i="1"/>
  <c r="M1180" i="1"/>
  <c r="M1179" i="1"/>
  <c r="P1179" i="1"/>
  <c r="P1178" i="1"/>
  <c r="M1178" i="1"/>
  <c r="P1177" i="1"/>
  <c r="M1177" i="1"/>
  <c r="P1176" i="1"/>
  <c r="M1176" i="1"/>
  <c r="P1175" i="1"/>
  <c r="M1175" i="1"/>
  <c r="M1174" i="1"/>
  <c r="P1174" i="1"/>
  <c r="P1173" i="1"/>
  <c r="M1173" i="1"/>
  <c r="P1172" i="1"/>
  <c r="M1172" i="1"/>
  <c r="P1171" i="1"/>
  <c r="M1171" i="1"/>
  <c r="P1170" i="1"/>
  <c r="M1170" i="1"/>
  <c r="M1169" i="1"/>
  <c r="P1168" i="1"/>
  <c r="M1168" i="1"/>
  <c r="M1167" i="1"/>
  <c r="P1166" i="1"/>
  <c r="M1166" i="1"/>
  <c r="P1165" i="1"/>
  <c r="M1165" i="1"/>
  <c r="P1164" i="1"/>
  <c r="M1164" i="1"/>
  <c r="P1163" i="1"/>
  <c r="M1163" i="1"/>
  <c r="P1162" i="1"/>
  <c r="M1162" i="1"/>
  <c r="P1161" i="1"/>
  <c r="M1161" i="1"/>
  <c r="P1160" i="1"/>
  <c r="M1160" i="1"/>
  <c r="P1159" i="1"/>
  <c r="M1159" i="1"/>
  <c r="P1158" i="1"/>
  <c r="M1158" i="1"/>
  <c r="P1157" i="1"/>
  <c r="M1157" i="1"/>
  <c r="P1156" i="1"/>
  <c r="M1156" i="1"/>
  <c r="C127" i="9"/>
  <c r="P1155" i="1"/>
  <c r="M1155" i="1"/>
  <c r="P1154" i="1"/>
  <c r="M1154" i="1"/>
  <c r="P1153" i="1"/>
  <c r="M1153" i="1"/>
  <c r="P1152" i="1"/>
  <c r="M1152" i="1"/>
  <c r="M1151" i="1"/>
  <c r="P1151" i="1"/>
  <c r="P1150" i="1"/>
  <c r="M1150" i="1"/>
  <c r="P1149" i="1"/>
  <c r="M1149" i="1"/>
  <c r="P1148" i="1"/>
  <c r="M1148" i="1"/>
  <c r="P1147" i="1"/>
  <c r="M1147" i="1"/>
  <c r="P1146" i="1"/>
  <c r="M1146" i="1"/>
  <c r="P1145" i="1"/>
  <c r="M1145" i="1"/>
  <c r="P1144" i="1"/>
  <c r="M1144" i="1"/>
  <c r="P1143" i="1"/>
  <c r="M1143" i="1"/>
  <c r="P1142" i="1"/>
  <c r="M1142" i="1"/>
  <c r="P1141" i="1"/>
  <c r="M1141" i="1"/>
  <c r="P1140" i="1"/>
  <c r="M1140" i="1"/>
  <c r="P1139" i="1"/>
  <c r="M1139" i="1"/>
  <c r="P1138" i="1"/>
  <c r="M1138" i="1"/>
  <c r="P1137" i="1"/>
  <c r="M1137" i="1"/>
  <c r="P1136" i="1"/>
  <c r="M1136" i="1"/>
  <c r="P1135" i="1"/>
  <c r="M1135" i="1"/>
  <c r="P1134" i="1"/>
  <c r="M1134" i="1"/>
  <c r="P1133" i="1"/>
  <c r="M1133" i="1"/>
  <c r="P1132" i="1"/>
  <c r="M1132" i="1"/>
  <c r="P1131" i="1"/>
  <c r="M1131" i="1"/>
  <c r="P1130" i="1"/>
  <c r="M1130" i="1"/>
  <c r="P1129" i="1"/>
  <c r="M1129" i="1"/>
  <c r="M1128" i="1"/>
  <c r="P1127" i="1"/>
  <c r="M1127" i="1"/>
  <c r="P1126" i="1"/>
  <c r="M1126" i="1"/>
  <c r="P1125" i="1"/>
  <c r="M1125" i="1"/>
  <c r="P1124" i="1"/>
  <c r="M1124" i="1"/>
  <c r="P1123" i="1"/>
  <c r="M1123" i="1"/>
  <c r="P1122" i="1"/>
  <c r="M1122" i="1"/>
  <c r="P1121" i="1"/>
  <c r="M1121" i="1"/>
  <c r="P1120" i="1"/>
  <c r="M1120" i="1"/>
  <c r="P1119" i="1"/>
  <c r="M1119" i="1"/>
  <c r="P1118" i="1"/>
  <c r="M1118" i="1"/>
  <c r="P1117" i="1"/>
  <c r="M1117" i="1"/>
  <c r="P1116" i="1"/>
  <c r="M1116" i="1"/>
  <c r="P1115" i="1"/>
  <c r="M1115" i="1"/>
  <c r="M1114" i="1"/>
  <c r="P1113" i="1"/>
  <c r="M1113" i="1"/>
  <c r="P1112" i="1"/>
  <c r="M1112" i="1"/>
  <c r="P1111" i="1"/>
  <c r="M1111" i="1"/>
  <c r="P1110" i="1"/>
  <c r="M1110" i="1"/>
  <c r="P1109" i="1"/>
  <c r="M1109" i="1"/>
  <c r="P1108" i="1"/>
  <c r="M1108" i="1"/>
  <c r="P1107" i="1"/>
  <c r="M1107" i="1"/>
  <c r="P1106" i="1"/>
  <c r="M1106" i="1"/>
  <c r="P1105" i="1"/>
  <c r="M1105" i="1"/>
  <c r="P1104" i="1"/>
  <c r="M1104" i="1"/>
  <c r="P1103" i="1"/>
  <c r="M1103" i="1"/>
  <c r="P1102" i="1"/>
  <c r="M1102" i="1"/>
  <c r="P1101" i="1"/>
  <c r="M1101" i="1"/>
  <c r="P1100" i="1"/>
  <c r="M1100" i="1"/>
  <c r="M1099" i="1"/>
  <c r="P1098" i="1"/>
  <c r="M1098" i="1"/>
  <c r="P1097" i="1"/>
  <c r="M1097" i="1"/>
  <c r="P1096" i="1"/>
  <c r="M1096" i="1"/>
  <c r="P1095" i="1"/>
  <c r="M1095" i="1"/>
  <c r="P1094" i="1"/>
  <c r="M1094" i="1"/>
  <c r="P1093" i="1"/>
  <c r="M1093" i="1"/>
  <c r="P1092" i="1"/>
  <c r="M1092" i="1"/>
  <c r="P1091" i="1"/>
  <c r="M1091" i="1"/>
  <c r="P1090" i="1"/>
  <c r="M1090" i="1"/>
  <c r="P1089" i="1"/>
  <c r="M1089" i="1"/>
  <c r="P1088" i="1"/>
  <c r="M1088" i="1"/>
  <c r="P1087" i="1"/>
  <c r="M1087" i="1"/>
  <c r="P1086" i="1"/>
  <c r="M1086" i="1"/>
  <c r="P1085" i="1"/>
  <c r="M1085" i="1"/>
  <c r="P1084" i="1"/>
  <c r="M1084" i="1"/>
  <c r="P1083" i="1"/>
  <c r="M1083" i="1"/>
  <c r="P1082" i="1"/>
  <c r="M1082" i="1"/>
  <c r="P1081" i="1"/>
  <c r="M1081" i="1"/>
  <c r="P1080" i="1"/>
  <c r="M1080" i="1"/>
  <c r="P1079" i="1"/>
  <c r="M1079" i="1"/>
  <c r="M1078" i="1"/>
  <c r="P1078" i="1"/>
  <c r="P1077" i="1"/>
  <c r="M1077" i="1"/>
  <c r="C45" i="9"/>
  <c r="P1076" i="1"/>
  <c r="M1076" i="1"/>
  <c r="P1075" i="1"/>
  <c r="M1075" i="1"/>
  <c r="P1074" i="1"/>
  <c r="M1074" i="1"/>
  <c r="P1073" i="1"/>
  <c r="M1073" i="1"/>
  <c r="P1072" i="1"/>
  <c r="M1072" i="1"/>
  <c r="P1071" i="1"/>
  <c r="M1071" i="1"/>
  <c r="P1070" i="1"/>
  <c r="M1070" i="1"/>
  <c r="P1069" i="1"/>
  <c r="M1069" i="1"/>
  <c r="M1068" i="1"/>
  <c r="P1068" i="1"/>
  <c r="P1067" i="1"/>
  <c r="M1067" i="1"/>
  <c r="P1066" i="1"/>
  <c r="M1066" i="1"/>
  <c r="M1065" i="1"/>
  <c r="P1065" i="1"/>
  <c r="P1064" i="1"/>
  <c r="M1064" i="1"/>
  <c r="P1063" i="1"/>
  <c r="M1063" i="1"/>
  <c r="P1062" i="1"/>
  <c r="M1062" i="1"/>
  <c r="P1061" i="1"/>
  <c r="M1061" i="1"/>
  <c r="P1060" i="1"/>
  <c r="M1060" i="1"/>
  <c r="P1059" i="1"/>
  <c r="M1059" i="1"/>
  <c r="P1058" i="1"/>
  <c r="M1058" i="1"/>
  <c r="P1057" i="1"/>
  <c r="M1057" i="1"/>
  <c r="P1056" i="1"/>
  <c r="M1056" i="1"/>
  <c r="P1055" i="1"/>
  <c r="M1055" i="1"/>
  <c r="P1054" i="1"/>
  <c r="M1054" i="1"/>
  <c r="P1053" i="1"/>
  <c r="M1053" i="1"/>
  <c r="P1052" i="1"/>
  <c r="M1052" i="1"/>
  <c r="P1051" i="1"/>
  <c r="M1051" i="1"/>
  <c r="P1050" i="1"/>
  <c r="M1050" i="1"/>
  <c r="P1049" i="1"/>
  <c r="M1049" i="1"/>
  <c r="P1048" i="1"/>
  <c r="M1048" i="1"/>
  <c r="P1047" i="1"/>
  <c r="M1047" i="1"/>
  <c r="P1046" i="1"/>
  <c r="M1046" i="1"/>
  <c r="P1045" i="1"/>
  <c r="M1045" i="1"/>
  <c r="P1044" i="1"/>
  <c r="M1044" i="1"/>
  <c r="M1043" i="1"/>
  <c r="P1043" i="1"/>
  <c r="M1042" i="1"/>
  <c r="P1042" i="1"/>
  <c r="P1041" i="1"/>
  <c r="M1041" i="1"/>
  <c r="P1040" i="1"/>
  <c r="M1040" i="1"/>
  <c r="P1039" i="1"/>
  <c r="M1039" i="1"/>
  <c r="P1038" i="1"/>
  <c r="M1038" i="1"/>
  <c r="P1037" i="1"/>
  <c r="M1037" i="1"/>
  <c r="P1036" i="1"/>
  <c r="M1036" i="1"/>
  <c r="P1035" i="1"/>
  <c r="M1035" i="1"/>
  <c r="P1034" i="1"/>
  <c r="M1034" i="1"/>
  <c r="P1033" i="1"/>
  <c r="M1033" i="1"/>
  <c r="AC145" i="5"/>
  <c r="AB145" i="5"/>
  <c r="AA145" i="5"/>
  <c r="Z145" i="5"/>
  <c r="Y145" i="5"/>
  <c r="X145" i="5"/>
  <c r="W145" i="5"/>
  <c r="V145" i="5"/>
  <c r="U145" i="5"/>
  <c r="T145" i="5"/>
  <c r="S145" i="5"/>
  <c r="R145" i="5"/>
  <c r="Q145" i="5"/>
  <c r="P145" i="5"/>
  <c r="O145" i="5"/>
  <c r="N145" i="5"/>
  <c r="M145" i="5"/>
  <c r="L145" i="5"/>
  <c r="K145" i="5"/>
  <c r="J145" i="5"/>
  <c r="I145" i="5"/>
  <c r="H145" i="5"/>
  <c r="G145" i="5"/>
  <c r="F145" i="5"/>
  <c r="P1032" i="1"/>
  <c r="M1032" i="1"/>
  <c r="P1031" i="1"/>
  <c r="M1031" i="1"/>
  <c r="P1030" i="1"/>
  <c r="M1030" i="1"/>
  <c r="P1029" i="1"/>
  <c r="M1029" i="1"/>
  <c r="P1028" i="1"/>
  <c r="M1028" i="1"/>
  <c r="P1027" i="1"/>
  <c r="M1027" i="1"/>
  <c r="P1026" i="1"/>
  <c r="M1026" i="1"/>
  <c r="M1025" i="1"/>
  <c r="P1025" i="1"/>
  <c r="P1024" i="1"/>
  <c r="M1024" i="1"/>
  <c r="P1023" i="1"/>
  <c r="M1023" i="1"/>
  <c r="P1022" i="1"/>
  <c r="M1022" i="1"/>
  <c r="P1021" i="1"/>
  <c r="M1021" i="1"/>
  <c r="P1020" i="1"/>
  <c r="M1020" i="1"/>
  <c r="P1019" i="1"/>
  <c r="M1019" i="1"/>
  <c r="P1018" i="1"/>
  <c r="M1018" i="1"/>
  <c r="P1017" i="1"/>
  <c r="M1017" i="1"/>
  <c r="P1016" i="1"/>
  <c r="M1016" i="1"/>
  <c r="P1015" i="1"/>
  <c r="M1015" i="1"/>
  <c r="P1014" i="1"/>
  <c r="M1014" i="1"/>
  <c r="P1013" i="1"/>
  <c r="M1013" i="1"/>
  <c r="P1012" i="1"/>
  <c r="M1012" i="1"/>
  <c r="P1011" i="1"/>
  <c r="M1011" i="1"/>
  <c r="P1010" i="1"/>
  <c r="M1010" i="1"/>
  <c r="M1009" i="1"/>
  <c r="P1008" i="1"/>
  <c r="M1008" i="1"/>
  <c r="P1007" i="1"/>
  <c r="M1007" i="1"/>
  <c r="P1006" i="1"/>
  <c r="M1006" i="1"/>
  <c r="P1005" i="1"/>
  <c r="M1005" i="1"/>
  <c r="P1004" i="1"/>
  <c r="M1004" i="1"/>
  <c r="P1003" i="1"/>
  <c r="M1003" i="1"/>
  <c r="P1002" i="1"/>
  <c r="M1002" i="1"/>
  <c r="P1001" i="1"/>
  <c r="M1001" i="1"/>
  <c r="P1000" i="1"/>
  <c r="M1000" i="1"/>
  <c r="P999" i="1"/>
  <c r="M999" i="1"/>
  <c r="P998" i="1"/>
  <c r="M998" i="1"/>
  <c r="P997" i="1"/>
  <c r="M997" i="1"/>
  <c r="M993" i="1"/>
  <c r="P993" i="1"/>
  <c r="P996" i="1"/>
  <c r="M996" i="1"/>
  <c r="P995" i="1"/>
  <c r="M995" i="1"/>
  <c r="P994" i="1"/>
  <c r="M994" i="1"/>
  <c r="P992" i="1"/>
  <c r="M992" i="1"/>
  <c r="M991" i="1"/>
  <c r="P991" i="1"/>
  <c r="P990" i="1"/>
  <c r="M990" i="1"/>
  <c r="P989" i="1"/>
  <c r="M989" i="1"/>
  <c r="P988" i="1"/>
  <c r="M988" i="1"/>
  <c r="P987" i="1"/>
  <c r="M987" i="1"/>
  <c r="M986" i="1"/>
  <c r="P986" i="1"/>
  <c r="P985" i="1"/>
  <c r="M985" i="1"/>
  <c r="P984" i="1"/>
  <c r="M984" i="1"/>
  <c r="P983" i="1"/>
  <c r="M983" i="1"/>
  <c r="P982" i="1"/>
  <c r="M982" i="1"/>
  <c r="P981" i="1"/>
  <c r="M981" i="1"/>
  <c r="P980" i="1"/>
  <c r="M980" i="1"/>
  <c r="P979" i="1"/>
  <c r="M979" i="1"/>
  <c r="P978" i="1"/>
  <c r="M978" i="1"/>
  <c r="M977" i="1"/>
  <c r="P976" i="1"/>
  <c r="M976" i="1"/>
  <c r="P975" i="1"/>
  <c r="M975" i="1"/>
  <c r="P974" i="1"/>
  <c r="M974" i="1"/>
  <c r="P973" i="1"/>
  <c r="M973" i="1"/>
  <c r="P972" i="1"/>
  <c r="M972" i="1"/>
  <c r="P971" i="1"/>
  <c r="M971" i="1"/>
  <c r="P970" i="1"/>
  <c r="M970" i="1"/>
  <c r="P969" i="1"/>
  <c r="M969" i="1"/>
  <c r="P968" i="1"/>
  <c r="M968" i="1"/>
  <c r="M967" i="1"/>
  <c r="P967" i="1"/>
  <c r="P966" i="1"/>
  <c r="M966" i="1"/>
  <c r="P965" i="1"/>
  <c r="M965" i="1"/>
  <c r="P964" i="1"/>
  <c r="M964" i="1"/>
  <c r="P963" i="1"/>
  <c r="M963" i="1"/>
  <c r="P962" i="1"/>
  <c r="M962" i="1"/>
  <c r="P961" i="1"/>
  <c r="M961" i="1"/>
  <c r="P960" i="1"/>
  <c r="M960" i="1"/>
  <c r="P959" i="1"/>
  <c r="M959" i="1"/>
  <c r="P958" i="1"/>
  <c r="M958" i="1"/>
  <c r="P957" i="1"/>
  <c r="M957" i="1"/>
  <c r="P956" i="1"/>
  <c r="M956" i="1"/>
  <c r="P955" i="1"/>
  <c r="M955" i="1"/>
  <c r="P954" i="1"/>
  <c r="M954" i="1"/>
  <c r="P953" i="1"/>
  <c r="M953" i="1"/>
  <c r="P952" i="1"/>
  <c r="M952" i="1"/>
  <c r="P951" i="1"/>
  <c r="M951" i="1"/>
  <c r="P950" i="1"/>
  <c r="M950" i="1"/>
  <c r="P949" i="1"/>
  <c r="M949" i="1"/>
  <c r="P948" i="1"/>
  <c r="M948" i="1"/>
  <c r="P947" i="1"/>
  <c r="M947" i="1"/>
  <c r="P946" i="1"/>
  <c r="M946" i="1"/>
  <c r="P945" i="1"/>
  <c r="M945" i="1"/>
  <c r="P944" i="1"/>
  <c r="M944" i="1"/>
  <c r="P943" i="1"/>
  <c r="M943" i="1"/>
  <c r="P942" i="1"/>
  <c r="M942" i="1"/>
  <c r="P941" i="1"/>
  <c r="M941" i="1"/>
  <c r="P940" i="1"/>
  <c r="M940" i="1"/>
  <c r="P939" i="1"/>
  <c r="M939" i="1"/>
  <c r="P938" i="1"/>
  <c r="M938" i="1"/>
  <c r="P937" i="1"/>
  <c r="M937" i="1"/>
  <c r="P936" i="1"/>
  <c r="M936" i="1"/>
  <c r="P935" i="1"/>
  <c r="M935" i="1"/>
  <c r="P934" i="1"/>
  <c r="M934" i="1"/>
  <c r="P933" i="1"/>
  <c r="M933" i="1"/>
  <c r="P932" i="1"/>
  <c r="M932" i="1"/>
  <c r="P931" i="1"/>
  <c r="M931" i="1"/>
  <c r="P930" i="1"/>
  <c r="M930" i="1"/>
  <c r="P929" i="1"/>
  <c r="M929" i="1"/>
  <c r="P928" i="1"/>
  <c r="M928" i="1"/>
  <c r="P927" i="1"/>
  <c r="M927" i="1"/>
  <c r="P926" i="1"/>
  <c r="M926" i="1"/>
  <c r="P925" i="1"/>
  <c r="M925" i="1"/>
  <c r="P924" i="1"/>
  <c r="M924" i="1"/>
  <c r="P923" i="1"/>
  <c r="M923" i="1"/>
  <c r="P922" i="1"/>
  <c r="M922" i="1"/>
  <c r="P921" i="1"/>
  <c r="M921" i="1"/>
  <c r="P920" i="1"/>
  <c r="M920" i="1"/>
  <c r="P919" i="1"/>
  <c r="M919" i="1"/>
  <c r="P918" i="1"/>
  <c r="M918" i="1"/>
  <c r="P917" i="1"/>
  <c r="M917" i="1"/>
  <c r="P916" i="1"/>
  <c r="M916" i="1"/>
  <c r="P915" i="1"/>
  <c r="M915" i="1"/>
  <c r="P914" i="1"/>
  <c r="M914" i="1"/>
  <c r="P913" i="1"/>
  <c r="M913" i="1"/>
  <c r="M912" i="1"/>
  <c r="P912" i="1"/>
  <c r="M911" i="1"/>
  <c r="P911" i="1"/>
  <c r="P910" i="1"/>
  <c r="M910" i="1"/>
  <c r="M909" i="1"/>
  <c r="P909" i="1"/>
  <c r="P908" i="1"/>
  <c r="M908" i="1"/>
  <c r="P907" i="1"/>
  <c r="M907" i="1"/>
  <c r="M906" i="1"/>
  <c r="P906" i="1"/>
  <c r="P905" i="1"/>
  <c r="M905" i="1"/>
  <c r="P904" i="1"/>
  <c r="M904" i="1"/>
  <c r="P903" i="1"/>
  <c r="M903" i="1"/>
  <c r="P902" i="1"/>
  <c r="M902" i="1"/>
  <c r="P901" i="1"/>
  <c r="M901" i="1"/>
  <c r="P900" i="1"/>
  <c r="M900" i="1"/>
  <c r="P899" i="1"/>
  <c r="M899" i="1"/>
  <c r="P898" i="1"/>
  <c r="M898" i="1"/>
  <c r="P897" i="1"/>
  <c r="M897" i="1"/>
  <c r="M896" i="1"/>
  <c r="P896" i="1"/>
  <c r="P895" i="1"/>
  <c r="M895" i="1"/>
  <c r="P894" i="1"/>
  <c r="M894" i="1"/>
  <c r="P893" i="1"/>
  <c r="M893" i="1"/>
  <c r="P892" i="1"/>
  <c r="M892" i="1"/>
  <c r="P891" i="1"/>
  <c r="M891" i="1"/>
  <c r="P890" i="1"/>
  <c r="M890" i="1"/>
  <c r="P889" i="1"/>
  <c r="M889" i="1"/>
  <c r="P888" i="1"/>
  <c r="M888" i="1"/>
  <c r="P887" i="1"/>
  <c r="M887" i="1"/>
  <c r="P886" i="1"/>
  <c r="M886" i="1"/>
  <c r="P885" i="1"/>
  <c r="M885" i="1"/>
  <c r="P884" i="1"/>
  <c r="M884" i="1"/>
  <c r="P883" i="1"/>
  <c r="M883" i="1"/>
  <c r="M882" i="1"/>
  <c r="M881" i="1"/>
  <c r="P881" i="1"/>
  <c r="P880" i="1"/>
  <c r="M880" i="1"/>
  <c r="P874" i="1"/>
  <c r="P879" i="1"/>
  <c r="M879" i="1"/>
  <c r="P878" i="1"/>
  <c r="M878" i="1"/>
  <c r="P877" i="1"/>
  <c r="M877" i="1"/>
  <c r="P876" i="1"/>
  <c r="M876" i="1"/>
  <c r="P875" i="1"/>
  <c r="M875" i="1"/>
  <c r="M874" i="1"/>
  <c r="P873" i="1"/>
  <c r="M873" i="1"/>
  <c r="P872" i="1"/>
  <c r="M872" i="1"/>
  <c r="P871" i="1"/>
  <c r="M871" i="1"/>
  <c r="P870" i="1"/>
  <c r="M870" i="1"/>
  <c r="P869" i="1"/>
  <c r="M869" i="1"/>
  <c r="M868" i="1"/>
  <c r="P868" i="1"/>
  <c r="P867" i="1"/>
  <c r="M867" i="1"/>
  <c r="P866" i="1"/>
  <c r="M866" i="1"/>
  <c r="P865" i="1"/>
  <c r="M865" i="1"/>
  <c r="P864" i="1"/>
  <c r="M864" i="1"/>
  <c r="P863" i="1"/>
  <c r="M863" i="1"/>
  <c r="P862" i="1"/>
  <c r="M862" i="1"/>
  <c r="P861" i="1"/>
  <c r="M861" i="1"/>
  <c r="P860" i="1"/>
  <c r="M860" i="1"/>
  <c r="P859" i="1"/>
  <c r="M859" i="1"/>
  <c r="P858" i="1"/>
  <c r="M858" i="1"/>
  <c r="P857" i="1"/>
  <c r="M857" i="1"/>
  <c r="M856" i="1"/>
  <c r="P855" i="1"/>
  <c r="M855" i="1"/>
  <c r="P854" i="1"/>
  <c r="M854" i="1"/>
  <c r="M853" i="1"/>
  <c r="P853" i="1"/>
  <c r="P852" i="1"/>
  <c r="M852" i="1"/>
  <c r="P851" i="1"/>
  <c r="M851" i="1"/>
  <c r="P850" i="1"/>
  <c r="M850" i="1"/>
  <c r="P849" i="1"/>
  <c r="M849" i="1"/>
  <c r="P848" i="1"/>
  <c r="M848" i="1"/>
  <c r="P847" i="1"/>
  <c r="M847" i="1"/>
  <c r="P846" i="1"/>
  <c r="M846" i="1"/>
  <c r="P845" i="1"/>
  <c r="M845" i="1"/>
  <c r="P844" i="1"/>
  <c r="M844" i="1"/>
  <c r="P843" i="1"/>
  <c r="M843" i="1"/>
  <c r="P842" i="1"/>
  <c r="M842" i="1"/>
  <c r="P841" i="1"/>
  <c r="M841" i="1"/>
  <c r="P840" i="1"/>
  <c r="M840" i="1"/>
  <c r="P839" i="1"/>
  <c r="M839" i="1"/>
  <c r="P838" i="1"/>
  <c r="M838" i="1"/>
  <c r="P837" i="1"/>
  <c r="M837" i="1"/>
  <c r="P836" i="1"/>
  <c r="M836" i="1"/>
  <c r="P835" i="1"/>
  <c r="M835" i="1"/>
  <c r="M834" i="1"/>
  <c r="P833" i="1"/>
  <c r="M833" i="1"/>
  <c r="P832" i="1"/>
  <c r="M832" i="1"/>
  <c r="P831" i="1"/>
  <c r="M831" i="1"/>
  <c r="M830" i="1"/>
  <c r="M829" i="1"/>
  <c r="P829" i="1"/>
  <c r="M828" i="1"/>
  <c r="P828" i="1"/>
  <c r="P827" i="1"/>
  <c r="M827" i="1"/>
  <c r="M826" i="1"/>
  <c r="P826" i="1"/>
  <c r="P825" i="1"/>
  <c r="M825" i="1"/>
  <c r="P824" i="1"/>
  <c r="M824" i="1"/>
  <c r="P823" i="1"/>
  <c r="M823" i="1"/>
  <c r="P822" i="1"/>
  <c r="M822" i="1"/>
  <c r="P821" i="1"/>
  <c r="M821" i="1"/>
  <c r="P820" i="1"/>
  <c r="M820" i="1"/>
  <c r="P819" i="1"/>
  <c r="M819" i="1"/>
  <c r="M818" i="1"/>
  <c r="P817" i="1"/>
  <c r="M817" i="1"/>
  <c r="P816" i="1"/>
  <c r="M816" i="1"/>
  <c r="M815" i="1"/>
  <c r="P814" i="1"/>
  <c r="M814" i="1"/>
  <c r="P813" i="1"/>
  <c r="M813" i="1"/>
  <c r="P812" i="1"/>
  <c r="M812" i="1"/>
  <c r="P811" i="1"/>
  <c r="M811" i="1"/>
  <c r="P810" i="1"/>
  <c r="M810" i="1"/>
  <c r="P809" i="1"/>
  <c r="M809" i="1"/>
  <c r="P808" i="1"/>
  <c r="M808" i="1"/>
  <c r="P807" i="1"/>
  <c r="M807" i="1"/>
  <c r="P806" i="1"/>
  <c r="M806" i="1"/>
  <c r="P805" i="1"/>
  <c r="M805" i="1"/>
  <c r="P804" i="1"/>
  <c r="M804" i="1"/>
  <c r="M803" i="1"/>
  <c r="P803" i="1"/>
  <c r="M802" i="1"/>
  <c r="P801" i="1"/>
  <c r="M801" i="1"/>
  <c r="P800" i="1"/>
  <c r="M800" i="1"/>
  <c r="M799" i="1"/>
  <c r="P799" i="1"/>
  <c r="M798" i="1"/>
  <c r="P798" i="1"/>
  <c r="P797" i="1"/>
  <c r="M797" i="1"/>
  <c r="P796" i="1"/>
  <c r="M796" i="1"/>
  <c r="P795" i="1"/>
  <c r="M795" i="1"/>
  <c r="P794" i="1"/>
  <c r="M794" i="1"/>
  <c r="P793" i="1"/>
  <c r="M793" i="1"/>
  <c r="P792" i="1"/>
  <c r="M792" i="1"/>
  <c r="P791" i="1"/>
  <c r="M791" i="1"/>
  <c r="P790" i="1"/>
  <c r="M790" i="1"/>
  <c r="P789" i="1"/>
  <c r="M789" i="1"/>
  <c r="P788" i="1"/>
  <c r="M788" i="1"/>
  <c r="P787" i="1"/>
  <c r="M787" i="1"/>
  <c r="P786" i="1"/>
  <c r="M786" i="1"/>
  <c r="P785" i="1"/>
  <c r="M785" i="1"/>
  <c r="P784" i="1"/>
  <c r="M784" i="1"/>
  <c r="P783" i="1"/>
  <c r="M783" i="1"/>
  <c r="P782" i="1"/>
  <c r="M782" i="1"/>
  <c r="P781" i="1"/>
  <c r="M781" i="1"/>
  <c r="P780" i="1"/>
  <c r="M780" i="1"/>
  <c r="P779" i="1"/>
  <c r="M779" i="1"/>
  <c r="P778" i="1"/>
  <c r="M778" i="1"/>
  <c r="P777" i="1"/>
  <c r="M777" i="1"/>
  <c r="P776" i="1"/>
  <c r="M776" i="1"/>
  <c r="P775" i="1"/>
  <c r="M775" i="1"/>
  <c r="P774" i="1"/>
  <c r="M774" i="1"/>
  <c r="M773" i="1"/>
  <c r="P773" i="1"/>
  <c r="P772" i="1"/>
  <c r="M772" i="1"/>
  <c r="M771" i="1"/>
  <c r="P771" i="1"/>
  <c r="P770" i="1"/>
  <c r="M770" i="1"/>
  <c r="P769" i="1"/>
  <c r="M769" i="1"/>
  <c r="P768" i="1"/>
  <c r="M768" i="1"/>
  <c r="M767" i="1"/>
  <c r="P767" i="1"/>
  <c r="M766" i="1"/>
  <c r="P766" i="1"/>
  <c r="P765" i="1"/>
  <c r="M765" i="1"/>
  <c r="P764" i="1"/>
  <c r="M764" i="1"/>
  <c r="M763" i="1"/>
  <c r="P763" i="1"/>
  <c r="P762" i="1"/>
  <c r="M762" i="1"/>
  <c r="P761" i="1"/>
  <c r="M761" i="1"/>
  <c r="P760" i="1"/>
  <c r="M760" i="1"/>
  <c r="P759" i="1"/>
  <c r="M759" i="1"/>
  <c r="M758" i="1"/>
  <c r="P758" i="1"/>
  <c r="P757" i="1"/>
  <c r="M757" i="1"/>
  <c r="P756" i="1"/>
  <c r="M756" i="1"/>
  <c r="P755" i="1"/>
  <c r="M755" i="1"/>
  <c r="P754" i="1"/>
  <c r="M754" i="1"/>
  <c r="P753" i="1"/>
  <c r="M753" i="1"/>
  <c r="P752" i="1"/>
  <c r="M752" i="1"/>
  <c r="P751" i="1"/>
  <c r="M751" i="1"/>
  <c r="P750" i="1"/>
  <c r="M750" i="1"/>
  <c r="P749" i="1"/>
  <c r="M749" i="1"/>
  <c r="P748" i="1"/>
  <c r="M748" i="1"/>
  <c r="P747" i="1"/>
  <c r="M747" i="1"/>
  <c r="P746" i="1"/>
  <c r="M746" i="1"/>
  <c r="P745" i="1"/>
  <c r="M745" i="1"/>
  <c r="P744" i="1"/>
  <c r="M744" i="1"/>
  <c r="P743" i="1"/>
  <c r="M743" i="1"/>
  <c r="P742" i="1"/>
  <c r="M742" i="1"/>
  <c r="P741" i="1"/>
  <c r="M741" i="1"/>
  <c r="M740" i="1"/>
  <c r="P739" i="1"/>
  <c r="M739" i="1"/>
  <c r="P738" i="1"/>
  <c r="M738" i="1"/>
  <c r="P737" i="1"/>
  <c r="M737" i="1"/>
  <c r="P736" i="1"/>
  <c r="M736" i="1"/>
  <c r="P735" i="1"/>
  <c r="M735" i="1"/>
  <c r="P734" i="1"/>
  <c r="M734" i="1"/>
  <c r="P733" i="1"/>
  <c r="M733" i="1"/>
  <c r="M732" i="1"/>
  <c r="P731" i="1"/>
  <c r="M731" i="1"/>
  <c r="P730" i="1"/>
  <c r="M730" i="1"/>
  <c r="P729" i="1"/>
  <c r="M729" i="1"/>
  <c r="P728" i="1"/>
  <c r="M728" i="1"/>
  <c r="P727" i="1"/>
  <c r="M727" i="1"/>
  <c r="P726" i="1"/>
  <c r="M726" i="1"/>
  <c r="P725" i="1"/>
  <c r="M725" i="1"/>
  <c r="P724" i="1"/>
  <c r="M724" i="1"/>
  <c r="P723" i="1"/>
  <c r="M723" i="1"/>
  <c r="P722" i="1"/>
  <c r="M722" i="1"/>
  <c r="P721" i="1"/>
  <c r="M721" i="1"/>
  <c r="P720" i="1"/>
  <c r="M720" i="1"/>
  <c r="M719" i="1"/>
  <c r="P718" i="1"/>
  <c r="M718" i="1"/>
  <c r="P717" i="1"/>
  <c r="M717" i="1"/>
  <c r="P716" i="1"/>
  <c r="M716" i="1"/>
  <c r="P681" i="1"/>
  <c r="M715" i="1"/>
  <c r="P714" i="1"/>
  <c r="M714" i="1"/>
  <c r="M713" i="1"/>
  <c r="P712" i="1"/>
  <c r="M712" i="1"/>
  <c r="P711" i="1"/>
  <c r="M711" i="1"/>
  <c r="P710" i="1"/>
  <c r="M710" i="1"/>
  <c r="P709" i="1"/>
  <c r="M709" i="1"/>
  <c r="P708" i="1"/>
  <c r="M708" i="1"/>
  <c r="P707" i="1"/>
  <c r="M707" i="1"/>
  <c r="M706" i="1"/>
  <c r="P706" i="1"/>
  <c r="G1" i="5"/>
  <c r="F1" i="5"/>
  <c r="E1" i="5"/>
  <c r="P705" i="1"/>
  <c r="M705" i="1"/>
  <c r="P704" i="1"/>
  <c r="M704" i="1"/>
  <c r="P703" i="1"/>
  <c r="M703" i="1"/>
  <c r="P702" i="1"/>
  <c r="M702" i="1"/>
  <c r="P701" i="1"/>
  <c r="M701" i="1"/>
  <c r="P700" i="1"/>
  <c r="M700" i="1"/>
  <c r="P698" i="1"/>
  <c r="M698" i="1"/>
  <c r="P699" i="1"/>
  <c r="M699" i="1"/>
  <c r="P697" i="1"/>
  <c r="M697" i="1"/>
  <c r="P696" i="1"/>
  <c r="M696" i="1"/>
  <c r="C121" i="9"/>
  <c r="C110" i="9"/>
  <c r="P581" i="1"/>
  <c r="P612" i="1"/>
  <c r="P624" i="1"/>
  <c r="P635" i="1"/>
  <c r="P645" i="1"/>
  <c r="P659" i="1"/>
  <c r="P663" i="1"/>
  <c r="P670" i="1"/>
  <c r="P675" i="1"/>
  <c r="P688" i="1"/>
  <c r="P689" i="1"/>
  <c r="P693" i="1"/>
  <c r="P672" i="1"/>
  <c r="C140" i="9"/>
  <c r="C137" i="9"/>
  <c r="C113" i="9"/>
  <c r="C112" i="9"/>
  <c r="C98" i="9"/>
  <c r="C83" i="9"/>
  <c r="C79" i="9"/>
  <c r="C75" i="9"/>
  <c r="C72" i="9"/>
  <c r="C63" i="9"/>
  <c r="C51" i="9"/>
  <c r="C31" i="9"/>
  <c r="C29" i="9"/>
  <c r="C27" i="9"/>
  <c r="C23" i="9"/>
  <c r="C18" i="9"/>
  <c r="C14" i="9"/>
  <c r="M695" i="1"/>
  <c r="M694" i="1"/>
  <c r="M693" i="1"/>
  <c r="P692" i="1"/>
  <c r="M692" i="1"/>
  <c r="P691" i="1"/>
  <c r="M691" i="1"/>
  <c r="P690" i="1"/>
  <c r="M690" i="1"/>
  <c r="M689" i="1"/>
  <c r="M688" i="1"/>
  <c r="P687" i="1"/>
  <c r="M687" i="1"/>
  <c r="P686" i="1"/>
  <c r="M686" i="1"/>
  <c r="P685" i="1"/>
  <c r="M685" i="1"/>
  <c r="P684" i="1"/>
  <c r="M684" i="1"/>
  <c r="P683" i="1"/>
  <c r="M683" i="1"/>
  <c r="P682" i="1"/>
  <c r="M682" i="1"/>
  <c r="M681" i="1"/>
  <c r="P680" i="1"/>
  <c r="M680" i="1"/>
  <c r="P679" i="1"/>
  <c r="M679" i="1"/>
  <c r="P678" i="1"/>
  <c r="M678" i="1"/>
  <c r="P677" i="1"/>
  <c r="M677" i="1"/>
  <c r="M676" i="1"/>
  <c r="M675" i="1"/>
  <c r="P674" i="1"/>
  <c r="M674" i="1"/>
  <c r="P673" i="1"/>
  <c r="M673" i="1"/>
  <c r="M672" i="1"/>
  <c r="P671" i="1"/>
  <c r="M671" i="1"/>
  <c r="M670" i="1"/>
  <c r="P669" i="1"/>
  <c r="M669" i="1"/>
  <c r="P668" i="1"/>
  <c r="M668" i="1"/>
  <c r="P667" i="1"/>
  <c r="M667" i="1"/>
  <c r="P666" i="1"/>
  <c r="M666" i="1"/>
  <c r="P665" i="1"/>
  <c r="M665" i="1"/>
  <c r="P664" i="1"/>
  <c r="M664" i="1"/>
  <c r="M663" i="1"/>
  <c r="P662" i="1"/>
  <c r="M662" i="1"/>
  <c r="M661" i="1"/>
  <c r="P660" i="1"/>
  <c r="M660" i="1"/>
  <c r="M659" i="1"/>
  <c r="M658" i="1"/>
  <c r="P657" i="1"/>
  <c r="M657" i="1"/>
  <c r="P656" i="1"/>
  <c r="M656" i="1"/>
  <c r="P655" i="1"/>
  <c r="M655" i="1"/>
  <c r="P654" i="1"/>
  <c r="M654" i="1"/>
  <c r="P653" i="1"/>
  <c r="M653" i="1"/>
  <c r="P652" i="1"/>
  <c r="M652" i="1"/>
  <c r="P651" i="1"/>
  <c r="M651" i="1"/>
  <c r="P650" i="1"/>
  <c r="M650" i="1"/>
  <c r="P649" i="1"/>
  <c r="M649" i="1"/>
  <c r="P648" i="1"/>
  <c r="M648" i="1"/>
  <c r="P647" i="1"/>
  <c r="M647" i="1"/>
  <c r="P646" i="1"/>
  <c r="M646" i="1"/>
  <c r="M645" i="1"/>
  <c r="P644" i="1"/>
  <c r="M644" i="1"/>
  <c r="P643" i="1"/>
  <c r="M643" i="1"/>
  <c r="P642" i="1"/>
  <c r="M642" i="1"/>
  <c r="P641" i="1"/>
  <c r="M641" i="1"/>
  <c r="P640" i="1"/>
  <c r="M640" i="1"/>
  <c r="P639" i="1"/>
  <c r="M639" i="1"/>
  <c r="P638" i="1"/>
  <c r="M638" i="1"/>
  <c r="P637" i="1"/>
  <c r="M637" i="1"/>
  <c r="P636" i="1"/>
  <c r="M636" i="1"/>
  <c r="M635" i="1"/>
  <c r="P634" i="1"/>
  <c r="M634" i="1"/>
  <c r="P633" i="1"/>
  <c r="M633" i="1"/>
  <c r="P632" i="1"/>
  <c r="M632" i="1"/>
  <c r="P631" i="1"/>
  <c r="M631" i="1"/>
  <c r="P630" i="1"/>
  <c r="M630" i="1"/>
  <c r="P629" i="1"/>
  <c r="M629" i="1"/>
  <c r="P628" i="1"/>
  <c r="M628" i="1"/>
  <c r="P627" i="1"/>
  <c r="M627" i="1"/>
  <c r="P626" i="1"/>
  <c r="M626" i="1"/>
  <c r="P625" i="1"/>
  <c r="M625" i="1"/>
  <c r="M624" i="1"/>
  <c r="P623" i="1"/>
  <c r="M623" i="1"/>
  <c r="P622" i="1"/>
  <c r="M622" i="1"/>
  <c r="P621" i="1"/>
  <c r="M621" i="1"/>
  <c r="P620" i="1"/>
  <c r="M620" i="1"/>
  <c r="P619" i="1"/>
  <c r="M619" i="1"/>
  <c r="P618" i="1"/>
  <c r="M618" i="1"/>
  <c r="P617" i="1"/>
  <c r="M617" i="1"/>
  <c r="P616" i="1"/>
  <c r="M616" i="1"/>
  <c r="P615" i="1"/>
  <c r="M615" i="1"/>
  <c r="P614" i="1"/>
  <c r="M614" i="1"/>
  <c r="P613" i="1"/>
  <c r="M613" i="1"/>
  <c r="M612" i="1"/>
  <c r="P611" i="1"/>
  <c r="M611" i="1"/>
  <c r="P610" i="1"/>
  <c r="M610" i="1"/>
  <c r="P609" i="1"/>
  <c r="M609" i="1"/>
  <c r="P608" i="1"/>
  <c r="M608" i="1"/>
  <c r="P607" i="1"/>
  <c r="M607" i="1"/>
  <c r="P606" i="1"/>
  <c r="M606" i="1"/>
  <c r="P605" i="1"/>
  <c r="M605" i="1"/>
  <c r="P604" i="1"/>
  <c r="M604" i="1"/>
  <c r="P603" i="1"/>
  <c r="M603" i="1"/>
  <c r="P602" i="1"/>
  <c r="M602" i="1"/>
  <c r="P601" i="1"/>
  <c r="M601" i="1"/>
  <c r="P600" i="1"/>
  <c r="M600" i="1"/>
  <c r="P599" i="1"/>
  <c r="M599" i="1"/>
  <c r="P598" i="1"/>
  <c r="M598" i="1"/>
  <c r="P597" i="1"/>
  <c r="M597" i="1"/>
  <c r="P596" i="1"/>
  <c r="M596" i="1"/>
  <c r="P595" i="1"/>
  <c r="M595" i="1"/>
  <c r="P594" i="1"/>
  <c r="M594" i="1"/>
  <c r="P593" i="1"/>
  <c r="M593" i="1"/>
  <c r="P592" i="1"/>
  <c r="M592" i="1"/>
  <c r="P591" i="1"/>
  <c r="M591" i="1"/>
  <c r="P590" i="1"/>
  <c r="M590" i="1"/>
  <c r="P589" i="1"/>
  <c r="M589" i="1"/>
  <c r="P588" i="1"/>
  <c r="M588" i="1"/>
  <c r="P587" i="1"/>
  <c r="M587" i="1"/>
  <c r="P586" i="1"/>
  <c r="M586" i="1"/>
  <c r="P585" i="1"/>
  <c r="M585" i="1"/>
  <c r="P584" i="1"/>
  <c r="M584" i="1"/>
  <c r="P583" i="1"/>
  <c r="M583" i="1"/>
  <c r="P582" i="1"/>
  <c r="M582" i="1"/>
  <c r="M581" i="1"/>
  <c r="P580" i="1"/>
  <c r="M580" i="1"/>
  <c r="P579" i="1"/>
  <c r="M579" i="1"/>
  <c r="P578" i="1"/>
  <c r="M578" i="1"/>
  <c r="P577" i="1"/>
  <c r="M577" i="1"/>
  <c r="P576" i="1"/>
  <c r="M576" i="1"/>
  <c r="P575" i="1"/>
  <c r="M575" i="1"/>
  <c r="P574" i="1"/>
  <c r="M574" i="1"/>
  <c r="P573" i="1"/>
  <c r="M573" i="1"/>
  <c r="P572" i="1"/>
  <c r="M572" i="1"/>
  <c r="C130" i="9"/>
  <c r="C99" i="9"/>
  <c r="C96" i="9"/>
  <c r="C89" i="9"/>
  <c r="C73" i="9"/>
  <c r="C26" i="9"/>
  <c r="C3" i="9"/>
  <c r="M571" i="1"/>
  <c r="P570" i="1"/>
  <c r="M570" i="1"/>
  <c r="P569" i="1"/>
  <c r="M569" i="1"/>
  <c r="P568" i="1"/>
  <c r="M568" i="1"/>
  <c r="P567" i="1"/>
  <c r="M567" i="1"/>
  <c r="P566" i="1"/>
  <c r="M566" i="1"/>
  <c r="P565" i="1"/>
  <c r="M565" i="1"/>
  <c r="P564" i="1"/>
  <c r="M564" i="1"/>
  <c r="P563" i="1"/>
  <c r="M563" i="1"/>
  <c r="P562" i="1"/>
  <c r="M562" i="1"/>
  <c r="P561" i="1"/>
  <c r="M561" i="1"/>
  <c r="P560" i="1"/>
  <c r="M560" i="1"/>
  <c r="P559" i="1"/>
  <c r="M559" i="1"/>
  <c r="P558" i="1"/>
  <c r="M558" i="1"/>
  <c r="P557" i="1"/>
  <c r="M557" i="1"/>
  <c r="P556" i="1"/>
  <c r="M556" i="1"/>
  <c r="P555" i="1"/>
  <c r="M555" i="1"/>
  <c r="P554" i="1"/>
  <c r="M554" i="1"/>
  <c r="P553" i="1"/>
  <c r="M553" i="1"/>
  <c r="P552" i="1"/>
  <c r="M552" i="1"/>
  <c r="P551" i="1"/>
  <c r="M551" i="1"/>
  <c r="P550" i="1"/>
  <c r="M550" i="1"/>
  <c r="P549" i="1"/>
  <c r="M549" i="1"/>
  <c r="P548" i="1"/>
  <c r="M548" i="1"/>
  <c r="P547" i="1"/>
  <c r="M547" i="1"/>
  <c r="P546" i="1"/>
  <c r="M546" i="1"/>
  <c r="P545" i="1"/>
  <c r="M545" i="1"/>
  <c r="M544" i="1"/>
  <c r="P543" i="1"/>
  <c r="M543" i="1"/>
  <c r="P542" i="1"/>
  <c r="M542" i="1"/>
  <c r="P541" i="1"/>
  <c r="M541" i="1"/>
  <c r="P540" i="1"/>
  <c r="M540" i="1"/>
  <c r="P539" i="1"/>
  <c r="M539" i="1"/>
  <c r="P538" i="1"/>
  <c r="M538" i="1"/>
  <c r="P537" i="1"/>
  <c r="M537" i="1"/>
  <c r="P536" i="1"/>
  <c r="M536" i="1"/>
  <c r="P535" i="1"/>
  <c r="M535" i="1"/>
  <c r="P534" i="1"/>
  <c r="M534" i="1"/>
  <c r="P533" i="1"/>
  <c r="M533" i="1"/>
  <c r="P532" i="1"/>
  <c r="M532" i="1"/>
  <c r="P531" i="1"/>
  <c r="M531" i="1"/>
  <c r="P530" i="1"/>
  <c r="M530" i="1"/>
  <c r="P529" i="1"/>
  <c r="M529" i="1"/>
  <c r="P528" i="1"/>
  <c r="M528" i="1"/>
  <c r="P527" i="1"/>
  <c r="M527" i="1"/>
  <c r="P526" i="1"/>
  <c r="M526" i="1"/>
  <c r="P525" i="1"/>
  <c r="M525" i="1"/>
  <c r="P524" i="1"/>
  <c r="M524" i="1"/>
  <c r="P523" i="1"/>
  <c r="M523" i="1"/>
  <c r="P522" i="1"/>
  <c r="M522" i="1"/>
  <c r="P521" i="1"/>
  <c r="M521" i="1"/>
  <c r="P520" i="1"/>
  <c r="M520" i="1"/>
  <c r="P519" i="1"/>
  <c r="M519" i="1"/>
  <c r="P518" i="1"/>
  <c r="M518" i="1"/>
  <c r="P517" i="1"/>
  <c r="M517" i="1"/>
  <c r="P516" i="1"/>
  <c r="M516" i="1"/>
  <c r="P515" i="1"/>
  <c r="M515" i="1"/>
  <c r="P514" i="1"/>
  <c r="M514" i="1"/>
  <c r="P513" i="1"/>
  <c r="M513" i="1"/>
  <c r="P512" i="1"/>
  <c r="M512" i="1"/>
  <c r="P511" i="1"/>
  <c r="M511" i="1"/>
  <c r="P510" i="1"/>
  <c r="M510" i="1"/>
  <c r="P509" i="1"/>
  <c r="M509" i="1"/>
  <c r="P508" i="1"/>
  <c r="M508" i="1"/>
  <c r="P507" i="1"/>
  <c r="M507" i="1"/>
  <c r="P506" i="1"/>
  <c r="M506" i="1"/>
  <c r="P505" i="1"/>
  <c r="M505" i="1"/>
  <c r="P504" i="1"/>
  <c r="M504" i="1"/>
  <c r="P503" i="1"/>
  <c r="M503" i="1"/>
  <c r="P502" i="1"/>
  <c r="M502" i="1"/>
  <c r="P501" i="1"/>
  <c r="M501" i="1"/>
  <c r="P500" i="1"/>
  <c r="M500" i="1"/>
  <c r="P499" i="1"/>
  <c r="M499" i="1"/>
  <c r="P498" i="1"/>
  <c r="M498" i="1"/>
  <c r="P497" i="1"/>
  <c r="M497" i="1"/>
  <c r="P496" i="1"/>
  <c r="M496" i="1"/>
  <c r="P495" i="1"/>
  <c r="M495" i="1"/>
  <c r="P494" i="1"/>
  <c r="M494" i="1"/>
  <c r="P493" i="1"/>
  <c r="M493" i="1"/>
  <c r="P492" i="1"/>
  <c r="M492" i="1"/>
  <c r="P491" i="1"/>
  <c r="M491" i="1"/>
  <c r="P490" i="1"/>
  <c r="M490" i="1"/>
  <c r="P489" i="1"/>
  <c r="M489" i="1"/>
  <c r="P488" i="1"/>
  <c r="M488" i="1"/>
  <c r="P487" i="1"/>
  <c r="M487" i="1"/>
  <c r="P486" i="1"/>
  <c r="M486" i="1"/>
  <c r="P485" i="1"/>
  <c r="M485" i="1"/>
  <c r="P484" i="1"/>
  <c r="M484" i="1"/>
  <c r="P483" i="1"/>
  <c r="M483" i="1"/>
  <c r="P482" i="1"/>
  <c r="M482" i="1"/>
  <c r="P481" i="1"/>
  <c r="M481" i="1"/>
  <c r="P480" i="1"/>
  <c r="M480" i="1"/>
  <c r="P479" i="1"/>
  <c r="M479" i="1"/>
  <c r="P478" i="1"/>
  <c r="M478" i="1"/>
  <c r="P477" i="1"/>
  <c r="M477" i="1"/>
  <c r="P476" i="1"/>
  <c r="M476" i="1"/>
  <c r="P475" i="1"/>
  <c r="M475" i="1"/>
  <c r="P474" i="1"/>
  <c r="M474" i="1"/>
  <c r="P473" i="1"/>
  <c r="M473" i="1"/>
  <c r="P472" i="1"/>
  <c r="M472" i="1"/>
  <c r="P471" i="1"/>
  <c r="M471" i="1"/>
  <c r="P470" i="1"/>
  <c r="M470" i="1"/>
  <c r="P469" i="1"/>
  <c r="M469" i="1"/>
  <c r="P468" i="1"/>
  <c r="M468" i="1"/>
  <c r="P467" i="1"/>
  <c r="M467" i="1"/>
  <c r="P466" i="1"/>
  <c r="M466" i="1"/>
  <c r="P465" i="1"/>
  <c r="M465" i="1"/>
  <c r="P464" i="1"/>
  <c r="M464" i="1"/>
  <c r="P463" i="1"/>
  <c r="M463" i="1"/>
  <c r="P462" i="1"/>
  <c r="M462" i="1"/>
  <c r="P461" i="1"/>
  <c r="M461" i="1"/>
  <c r="P460" i="1"/>
  <c r="M460" i="1"/>
  <c r="P459" i="1"/>
  <c r="M459" i="1"/>
  <c r="P458" i="1"/>
  <c r="M458" i="1"/>
  <c r="P457" i="1"/>
  <c r="M457" i="1"/>
  <c r="P456" i="1"/>
  <c r="M456" i="1"/>
  <c r="P455" i="1"/>
  <c r="M455" i="1"/>
  <c r="P454" i="1"/>
  <c r="M454" i="1"/>
  <c r="P453" i="1"/>
  <c r="M453" i="1"/>
  <c r="P452" i="1"/>
  <c r="M452" i="1"/>
  <c r="P451" i="1"/>
  <c r="M451" i="1"/>
  <c r="P450" i="1"/>
  <c r="M450" i="1"/>
  <c r="P449" i="1"/>
  <c r="M449" i="1"/>
  <c r="P448" i="1"/>
  <c r="M448" i="1"/>
  <c r="P447" i="1"/>
  <c r="M447" i="1"/>
  <c r="P446" i="1"/>
  <c r="M446" i="1"/>
  <c r="P445" i="1"/>
  <c r="M445" i="1"/>
  <c r="P444" i="1"/>
  <c r="M444" i="1"/>
  <c r="P443" i="1"/>
  <c r="M443" i="1"/>
  <c r="P442" i="1"/>
  <c r="M442" i="1"/>
  <c r="P441" i="1"/>
  <c r="M441" i="1"/>
  <c r="P440" i="1"/>
  <c r="M440" i="1"/>
  <c r="P439" i="1"/>
  <c r="M439" i="1"/>
  <c r="P438" i="1"/>
  <c r="M438" i="1"/>
  <c r="P437" i="1"/>
  <c r="M437" i="1"/>
  <c r="P436" i="1"/>
  <c r="M436" i="1"/>
  <c r="P435" i="1"/>
  <c r="M435" i="1"/>
  <c r="P434" i="1"/>
  <c r="M434" i="1"/>
  <c r="P433" i="1"/>
  <c r="M433" i="1"/>
  <c r="P432" i="1"/>
  <c r="M432" i="1"/>
  <c r="P431" i="1"/>
  <c r="M431" i="1"/>
  <c r="P430" i="1"/>
  <c r="M430" i="1"/>
  <c r="P429" i="1"/>
  <c r="M429" i="1"/>
  <c r="P428" i="1"/>
  <c r="M428" i="1"/>
  <c r="P427" i="1"/>
  <c r="M427" i="1"/>
  <c r="P426" i="1"/>
  <c r="M426" i="1"/>
  <c r="P425" i="1"/>
  <c r="M425" i="1"/>
  <c r="P424" i="1"/>
  <c r="M424" i="1"/>
  <c r="P423" i="1"/>
  <c r="M423" i="1"/>
  <c r="P422" i="1"/>
  <c r="M422" i="1"/>
  <c r="P421" i="1"/>
  <c r="M421" i="1"/>
  <c r="P420" i="1"/>
  <c r="M420" i="1"/>
  <c r="P419" i="1"/>
  <c r="M419" i="1"/>
  <c r="P418" i="1"/>
  <c r="M418" i="1"/>
  <c r="P417" i="1"/>
  <c r="M417" i="1"/>
  <c r="P416" i="1"/>
  <c r="M416" i="1"/>
  <c r="P415" i="1"/>
  <c r="M415" i="1"/>
  <c r="P414" i="1"/>
  <c r="M414" i="1"/>
  <c r="P413" i="1"/>
  <c r="M413" i="1"/>
  <c r="M412" i="1"/>
  <c r="P412" i="1"/>
  <c r="P411" i="1"/>
  <c r="M411" i="1"/>
  <c r="P410" i="1"/>
  <c r="M410" i="1"/>
  <c r="P409" i="1"/>
  <c r="M409" i="1"/>
  <c r="P408" i="1"/>
  <c r="M408" i="1"/>
  <c r="P407" i="1"/>
  <c r="M407" i="1"/>
  <c r="M406" i="1"/>
  <c r="P406" i="1"/>
  <c r="M405" i="1"/>
  <c r="M404" i="1"/>
  <c r="P404" i="1"/>
  <c r="P403" i="1"/>
  <c r="M403" i="1"/>
  <c r="P402" i="1"/>
  <c r="M402" i="1"/>
  <c r="P401" i="1"/>
  <c r="M401" i="1"/>
  <c r="P400" i="1"/>
  <c r="M400" i="1"/>
  <c r="P399" i="1"/>
  <c r="M399" i="1"/>
  <c r="P398" i="1"/>
  <c r="M398" i="1"/>
  <c r="P397" i="1"/>
  <c r="M397" i="1"/>
  <c r="P396" i="1"/>
  <c r="M396" i="1"/>
  <c r="P395" i="1"/>
  <c r="M395" i="1"/>
  <c r="P394" i="1"/>
  <c r="M394" i="1"/>
  <c r="P393" i="1"/>
  <c r="M393" i="1"/>
  <c r="P392" i="1"/>
  <c r="M392" i="1"/>
  <c r="P391" i="1"/>
  <c r="M391" i="1"/>
  <c r="P390" i="1"/>
  <c r="M390" i="1"/>
  <c r="P389" i="1"/>
  <c r="M389" i="1"/>
  <c r="P388" i="1"/>
  <c r="M388" i="1"/>
  <c r="P387" i="1"/>
  <c r="M387" i="1"/>
  <c r="M386" i="1"/>
  <c r="P386" i="1"/>
  <c r="P385" i="1"/>
  <c r="M385" i="1"/>
  <c r="P384" i="1"/>
  <c r="M384" i="1"/>
  <c r="P383" i="1"/>
  <c r="M383" i="1"/>
  <c r="P382" i="1"/>
  <c r="M382" i="1"/>
  <c r="P381" i="1"/>
  <c r="M381" i="1"/>
  <c r="P380" i="1"/>
  <c r="M380" i="1"/>
  <c r="P379" i="1"/>
  <c r="M379" i="1"/>
  <c r="P378" i="1"/>
  <c r="M378" i="1"/>
  <c r="M377" i="1"/>
  <c r="P377" i="1"/>
  <c r="P376" i="1"/>
  <c r="M376" i="1"/>
  <c r="P375" i="1"/>
  <c r="M375" i="1"/>
  <c r="P374" i="1"/>
  <c r="M374" i="1"/>
  <c r="M373" i="1"/>
  <c r="P373" i="1"/>
  <c r="P372" i="1"/>
  <c r="M372" i="1"/>
  <c r="P371" i="1"/>
  <c r="M371" i="1"/>
  <c r="P370" i="1"/>
  <c r="M370" i="1"/>
  <c r="P369" i="1"/>
  <c r="M369" i="1"/>
  <c r="P368" i="1"/>
  <c r="M368" i="1"/>
  <c r="M367" i="1"/>
  <c r="P367" i="1"/>
  <c r="P366" i="1"/>
  <c r="M366" i="1"/>
  <c r="P365" i="1"/>
  <c r="M365" i="1"/>
  <c r="P364" i="1"/>
  <c r="M364" i="1"/>
  <c r="P363" i="1"/>
  <c r="M363" i="1"/>
  <c r="P362" i="1"/>
  <c r="M362" i="1"/>
  <c r="P361" i="1"/>
  <c r="M361" i="1"/>
  <c r="P360" i="1"/>
  <c r="M360" i="1"/>
  <c r="P359" i="1"/>
  <c r="M359" i="1"/>
  <c r="P358" i="1"/>
  <c r="M358" i="1"/>
  <c r="P357" i="1"/>
  <c r="M357" i="1"/>
  <c r="P356" i="1"/>
  <c r="M356" i="1"/>
  <c r="P355" i="1"/>
  <c r="M355" i="1"/>
  <c r="P354" i="1"/>
  <c r="M354" i="1"/>
  <c r="P353" i="1"/>
  <c r="M353" i="1"/>
  <c r="P352" i="1"/>
  <c r="M352" i="1"/>
  <c r="P351" i="1"/>
  <c r="M351" i="1"/>
  <c r="P350" i="1"/>
  <c r="M350" i="1"/>
  <c r="M349" i="1"/>
  <c r="P349" i="1"/>
  <c r="P348" i="1"/>
  <c r="M348" i="1"/>
  <c r="P347" i="1"/>
  <c r="M347" i="1"/>
  <c r="P346" i="1"/>
  <c r="M346" i="1"/>
  <c r="P345" i="1"/>
  <c r="M345" i="1"/>
  <c r="P344" i="1"/>
  <c r="M344" i="1"/>
  <c r="P343" i="1"/>
  <c r="M343" i="1"/>
  <c r="P342" i="1"/>
  <c r="M342" i="1"/>
  <c r="M341" i="1"/>
  <c r="P341" i="1"/>
  <c r="M340" i="1"/>
  <c r="P340" i="1"/>
  <c r="M339" i="1"/>
  <c r="P339" i="1"/>
  <c r="P338" i="1"/>
  <c r="M338" i="1"/>
  <c r="P337" i="1"/>
  <c r="M337" i="1"/>
  <c r="M336" i="1"/>
  <c r="P336" i="1"/>
  <c r="P335" i="1"/>
  <c r="M335" i="1"/>
  <c r="P334" i="1"/>
  <c r="M334" i="1"/>
  <c r="P333" i="1"/>
  <c r="M333" i="1"/>
  <c r="P332" i="1"/>
  <c r="M332" i="1"/>
  <c r="P331" i="1"/>
  <c r="M331" i="1"/>
  <c r="P329" i="1"/>
  <c r="M329" i="1"/>
  <c r="P330" i="1"/>
  <c r="M330" i="1"/>
  <c r="P328" i="1"/>
  <c r="M328" i="1"/>
  <c r="P327" i="1"/>
  <c r="M327" i="1"/>
  <c r="P326" i="1"/>
  <c r="M326" i="1"/>
  <c r="P325" i="1"/>
  <c r="M325" i="1"/>
  <c r="P324" i="1"/>
  <c r="M324" i="1"/>
  <c r="M323" i="1"/>
  <c r="P323" i="1"/>
  <c r="P322" i="1"/>
  <c r="M322" i="1"/>
  <c r="P321" i="1"/>
  <c r="M321" i="1"/>
  <c r="P320" i="1"/>
  <c r="M320" i="1"/>
  <c r="P319" i="1"/>
  <c r="M319" i="1"/>
  <c r="P318" i="1"/>
  <c r="M318" i="1"/>
  <c r="P317" i="1"/>
  <c r="M317" i="1"/>
  <c r="M316" i="1"/>
  <c r="P316" i="1"/>
  <c r="P315" i="1"/>
  <c r="M315" i="1"/>
  <c r="P314" i="1"/>
  <c r="M314" i="1"/>
  <c r="P313" i="1"/>
  <c r="M313" i="1"/>
  <c r="P312" i="1"/>
  <c r="M312" i="1"/>
  <c r="M311" i="1"/>
  <c r="P311" i="1"/>
  <c r="M310" i="1"/>
  <c r="M309" i="1"/>
  <c r="P309" i="1"/>
  <c r="M308" i="1"/>
  <c r="P308" i="1"/>
  <c r="P307" i="1"/>
  <c r="M307" i="1"/>
  <c r="P306" i="1"/>
  <c r="M306" i="1"/>
  <c r="P305" i="1"/>
  <c r="M305" i="1"/>
  <c r="P304"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P310" i="1"/>
  <c r="P303" i="1"/>
  <c r="P302" i="1"/>
  <c r="P301" i="1"/>
  <c r="P300" i="1"/>
  <c r="P299" i="1"/>
  <c r="P298" i="1"/>
  <c r="P297" i="1"/>
  <c r="P296" i="1"/>
  <c r="P295" i="1"/>
  <c r="P294" i="1"/>
  <c r="P293" i="1"/>
  <c r="P292" i="1"/>
  <c r="P291" i="1"/>
  <c r="P290" i="1"/>
  <c r="P289" i="1"/>
  <c r="P288" i="1"/>
  <c r="P287" i="1"/>
  <c r="P286" i="1"/>
  <c r="P285" i="1"/>
  <c r="P284" i="1"/>
  <c r="P283" i="1"/>
  <c r="P282" i="1"/>
  <c r="P281" i="1"/>
  <c r="P280" i="1"/>
  <c r="P277" i="1"/>
  <c r="P278" i="1"/>
  <c r="P279" i="1"/>
  <c r="P97" i="1"/>
  <c r="P117" i="1"/>
  <c r="P276" i="1"/>
  <c r="P275" i="1"/>
  <c r="L3"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70" i="1"/>
  <c r="P71" i="1"/>
  <c r="P72" i="1"/>
  <c r="P73" i="1"/>
  <c r="P74" i="1"/>
  <c r="P75" i="1"/>
  <c r="P76" i="1"/>
  <c r="P77" i="1"/>
  <c r="P78" i="1"/>
  <c r="P79" i="1"/>
  <c r="P80" i="1"/>
  <c r="P81" i="1"/>
  <c r="P82" i="1"/>
  <c r="P83" i="1"/>
  <c r="P84" i="1"/>
  <c r="P85" i="1"/>
  <c r="P86" i="1"/>
  <c r="P87" i="1"/>
  <c r="P88" i="1"/>
  <c r="P89" i="1"/>
  <c r="P90" i="1"/>
  <c r="P91" i="1"/>
  <c r="P92" i="1"/>
  <c r="P93" i="1"/>
  <c r="P94" i="1"/>
  <c r="P95" i="1"/>
  <c r="P96" i="1"/>
  <c r="P98" i="1"/>
  <c r="P100" i="1"/>
  <c r="P101" i="1"/>
  <c r="P102" i="1"/>
  <c r="P103" i="1"/>
  <c r="P104" i="1"/>
  <c r="P105" i="1"/>
  <c r="P106" i="1"/>
  <c r="P107" i="1"/>
  <c r="P108" i="1"/>
  <c r="P109" i="1"/>
  <c r="P110" i="1"/>
  <c r="P111" i="1"/>
  <c r="P112" i="1"/>
  <c r="P113" i="1"/>
  <c r="P114" i="1"/>
  <c r="P115" i="1"/>
  <c r="P116" i="1"/>
  <c r="P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8" i="1"/>
  <c r="P199" i="1"/>
  <c r="P200" i="1"/>
  <c r="P202" i="1"/>
  <c r="P203" i="1"/>
  <c r="P204" i="1"/>
  <c r="P205" i="1"/>
  <c r="P206" i="1"/>
  <c r="P207" i="1"/>
  <c r="P208" i="1"/>
  <c r="P209" i="1"/>
  <c r="P210" i="1"/>
  <c r="P211" i="1"/>
  <c r="P212" i="1"/>
  <c r="P213" i="1"/>
  <c r="P214" i="1"/>
  <c r="P215" i="1"/>
  <c r="P216" i="1"/>
  <c r="P217" i="1"/>
  <c r="P218" i="1"/>
  <c r="P219" i="1"/>
  <c r="P220"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4" i="1"/>
  <c r="P265" i="1"/>
  <c r="P266" i="1"/>
  <c r="P267" i="1"/>
  <c r="P268" i="1"/>
  <c r="P269" i="1"/>
  <c r="P270" i="1"/>
  <c r="P271" i="1"/>
  <c r="P272" i="1"/>
  <c r="P274" i="1"/>
  <c r="L2" i="1"/>
  <c r="P2" i="1"/>
  <c r="P273" i="1"/>
  <c r="P263" i="1"/>
  <c r="P221" i="1"/>
  <c r="P201" i="1"/>
  <c r="P197" i="1"/>
  <c r="P119" i="1"/>
  <c r="P99" i="1"/>
  <c r="P69" i="1"/>
  <c r="P694" i="1"/>
  <c r="P715" i="1"/>
  <c r="P571" i="1"/>
  <c r="C44" i="9"/>
  <c r="C128" i="9"/>
  <c r="P732" i="1"/>
  <c r="H1" i="5"/>
  <c r="I1" i="5"/>
  <c r="BB94" i="5"/>
  <c r="BB22" i="5"/>
  <c r="P2067" i="1"/>
  <c r="BB67" i="5"/>
  <c r="BB112" i="5"/>
  <c r="BB18" i="5"/>
  <c r="BB63" i="5"/>
  <c r="BB48" i="5"/>
  <c r="BB122" i="5"/>
  <c r="BA135" i="9"/>
  <c r="C135" i="9"/>
  <c r="BA134" i="9"/>
  <c r="C134" i="9"/>
  <c r="BA132" i="9"/>
  <c r="C132" i="9"/>
  <c r="BA120" i="9"/>
  <c r="C120" i="9"/>
  <c r="BA118" i="9"/>
  <c r="C118" i="9"/>
  <c r="BA117" i="9"/>
  <c r="C117" i="9"/>
  <c r="BA115" i="9"/>
  <c r="C115" i="9"/>
  <c r="BA104" i="9"/>
  <c r="C104" i="9"/>
  <c r="BA102" i="9"/>
  <c r="C102" i="9"/>
  <c r="BA93" i="9"/>
  <c r="C93" i="9"/>
  <c r="BA84" i="9"/>
  <c r="C84" i="9"/>
  <c r="BA69" i="9"/>
  <c r="C69" i="9"/>
  <c r="BA60" i="9"/>
  <c r="C60" i="9"/>
  <c r="BA59" i="9"/>
  <c r="C59" i="9"/>
  <c r="BA57" i="9"/>
  <c r="C57" i="9"/>
  <c r="BA54" i="9"/>
  <c r="C54" i="9"/>
  <c r="BA43" i="9"/>
  <c r="C43" i="9"/>
  <c r="BA41" i="9"/>
  <c r="C41" i="9"/>
  <c r="BA40" i="9"/>
  <c r="C40" i="9"/>
  <c r="BA38" i="9"/>
  <c r="C38" i="9"/>
  <c r="BA35" i="9"/>
  <c r="C35" i="9"/>
  <c r="BA16" i="9"/>
  <c r="C16" i="9"/>
  <c r="BA10" i="9"/>
  <c r="C10" i="9"/>
  <c r="BA4" i="9"/>
  <c r="C4" i="9"/>
  <c r="BA2" i="9"/>
  <c r="C2" i="9"/>
  <c r="BA133" i="9"/>
  <c r="C133" i="9"/>
  <c r="BA129" i="9"/>
  <c r="C129" i="9"/>
  <c r="BA114" i="9"/>
  <c r="C114" i="9"/>
  <c r="BA92" i="9"/>
  <c r="C92" i="9"/>
  <c r="BA87" i="9"/>
  <c r="C87" i="9"/>
  <c r="BA77" i="9"/>
  <c r="C77" i="9"/>
  <c r="BA76" i="9"/>
  <c r="C76" i="9"/>
  <c r="BA66" i="9"/>
  <c r="C66" i="9"/>
  <c r="BA65" i="9"/>
  <c r="C65" i="9"/>
  <c r="BA64" i="9"/>
  <c r="C64" i="9"/>
  <c r="BA61" i="9"/>
  <c r="C61" i="9"/>
  <c r="BA55" i="9"/>
  <c r="C55" i="9"/>
  <c r="BA53" i="9"/>
  <c r="C53" i="9"/>
  <c r="BA52" i="9"/>
  <c r="C52" i="9"/>
  <c r="BA47" i="9"/>
  <c r="C47" i="9"/>
  <c r="BA33" i="9"/>
  <c r="C33" i="9"/>
  <c r="BA20" i="9"/>
  <c r="C20" i="9"/>
  <c r="BA13" i="9"/>
  <c r="C13" i="9"/>
  <c r="BB52" i="5"/>
  <c r="AN142" i="5"/>
  <c r="AC142" i="5"/>
  <c r="AA142" i="5"/>
  <c r="BB66" i="5"/>
  <c r="BB124" i="5"/>
  <c r="BB115" i="5"/>
  <c r="BB68" i="5"/>
  <c r="Z142" i="5"/>
  <c r="BB121" i="5"/>
  <c r="BB28" i="5"/>
  <c r="F142" i="5"/>
  <c r="BB79" i="5"/>
  <c r="BB11" i="5"/>
  <c r="BB69" i="5"/>
  <c r="S142" i="5"/>
  <c r="BB140" i="5"/>
  <c r="BB92" i="5"/>
  <c r="BB39" i="5"/>
  <c r="BB17" i="5"/>
  <c r="Y142" i="5"/>
  <c r="Q142" i="5"/>
  <c r="BB135" i="5"/>
  <c r="BB99" i="5"/>
  <c r="BB59" i="5"/>
  <c r="BB105" i="5"/>
  <c r="H37" i="14"/>
  <c r="L37" i="14"/>
  <c r="BB40" i="5"/>
  <c r="C124" i="9"/>
  <c r="C74" i="9"/>
  <c r="C58" i="9"/>
  <c r="BB73" i="5"/>
  <c r="BB139" i="5"/>
  <c r="BB91" i="5"/>
  <c r="BB57" i="5"/>
  <c r="BB38" i="5"/>
  <c r="BB25" i="5"/>
  <c r="BB9" i="5"/>
  <c r="BB138" i="5"/>
  <c r="BB127" i="5"/>
  <c r="BB109" i="5"/>
  <c r="BB88" i="5"/>
  <c r="BB56" i="5"/>
  <c r="BB49" i="5"/>
  <c r="BB36" i="5"/>
  <c r="BB10" i="5"/>
  <c r="BB2" i="5"/>
  <c r="BB16" i="5"/>
  <c r="BB12" i="5"/>
  <c r="BB133" i="5"/>
  <c r="AL143" i="9"/>
  <c r="AM143" i="5"/>
  <c r="AJ143" i="9"/>
  <c r="AK143" i="5"/>
  <c r="AH143" i="9"/>
  <c r="AI143" i="5"/>
  <c r="AF143" i="9"/>
  <c r="AG143" i="5"/>
  <c r="BA42" i="9"/>
  <c r="C42" i="9"/>
  <c r="AM37" i="5"/>
  <c r="AM142" i="5"/>
  <c r="F6" i="14"/>
  <c r="A7" i="14"/>
  <c r="F7" i="14"/>
  <c r="I36" i="14"/>
  <c r="I30" i="14"/>
  <c r="I22" i="14"/>
  <c r="I14" i="14"/>
  <c r="I6" i="14"/>
  <c r="I34" i="14"/>
  <c r="I26" i="14"/>
  <c r="I18" i="14"/>
  <c r="I10" i="14"/>
  <c r="I35" i="14"/>
  <c r="I31" i="14"/>
  <c r="I27" i="14"/>
  <c r="I23" i="14"/>
  <c r="I19" i="14"/>
  <c r="I15" i="14"/>
  <c r="I11" i="14"/>
  <c r="I7" i="14"/>
  <c r="I33" i="14"/>
  <c r="I29" i="14"/>
  <c r="I25" i="14"/>
  <c r="I21" i="14"/>
  <c r="I17" i="14"/>
  <c r="I13" i="14"/>
  <c r="I9" i="14"/>
  <c r="I5" i="14"/>
  <c r="L4" i="1"/>
  <c r="BB132" i="5"/>
  <c r="BB119" i="5"/>
  <c r="BB30" i="5"/>
  <c r="BB26" i="5"/>
  <c r="BB24" i="5"/>
  <c r="BB4" i="5"/>
  <c r="BB100" i="5"/>
  <c r="BB98" i="5"/>
  <c r="BB84" i="5"/>
  <c r="BB82" i="5"/>
  <c r="BB80" i="5"/>
  <c r="BB78" i="5"/>
  <c r="BB74" i="5"/>
  <c r="BB60" i="5"/>
  <c r="BB54" i="5"/>
  <c r="BB47" i="5"/>
  <c r="BB44" i="5"/>
  <c r="V142" i="5"/>
  <c r="T142" i="5"/>
  <c r="R142" i="5"/>
  <c r="P142" i="5"/>
  <c r="K142" i="5"/>
  <c r="I142" i="5"/>
  <c r="BB7" i="5"/>
  <c r="BB120" i="5"/>
  <c r="BB116" i="5"/>
  <c r="BB101" i="5"/>
  <c r="BB85" i="5"/>
  <c r="BB83" i="5"/>
  <c r="BB81" i="5"/>
  <c r="BB55" i="5"/>
  <c r="BB50" i="5"/>
  <c r="BB43" i="5"/>
  <c r="BB35" i="5"/>
  <c r="BB33" i="5"/>
  <c r="BB21" i="5"/>
  <c r="AE142" i="5"/>
  <c r="BB104" i="5"/>
  <c r="AO142" i="5"/>
  <c r="AL142" i="5"/>
  <c r="AK142" i="5"/>
  <c r="BB96" i="5"/>
  <c r="BB86" i="5"/>
  <c r="BB64" i="5"/>
  <c r="BB58" i="5"/>
  <c r="BB42" i="5"/>
  <c r="U142" i="5"/>
  <c r="BB141" i="5"/>
  <c r="BB137" i="5"/>
  <c r="BB131" i="5"/>
  <c r="BB129" i="5"/>
  <c r="BB126" i="5"/>
  <c r="BB118" i="5"/>
  <c r="BB114" i="5"/>
  <c r="BB110" i="5"/>
  <c r="BB108" i="5"/>
  <c r="BB106" i="5"/>
  <c r="BB95" i="5"/>
  <c r="BB93" i="5"/>
  <c r="BB89" i="5"/>
  <c r="BB87" i="5"/>
  <c r="BB75" i="5"/>
  <c r="BB72" i="5"/>
  <c r="BB65" i="5"/>
  <c r="BB61" i="5"/>
  <c r="BB53" i="5"/>
  <c r="BB46" i="5"/>
  <c r="BB31" i="5"/>
  <c r="BB29" i="5"/>
  <c r="BB27" i="5"/>
  <c r="BB19" i="5"/>
  <c r="BB15" i="5"/>
  <c r="BB5" i="5"/>
  <c r="E142" i="5"/>
  <c r="G142" i="5"/>
  <c r="H142" i="5"/>
  <c r="J142" i="5"/>
  <c r="L142" i="5"/>
  <c r="M142" i="5"/>
  <c r="N142" i="5"/>
  <c r="O142" i="5"/>
  <c r="W142" i="5"/>
  <c r="X142" i="5"/>
  <c r="AB142" i="5"/>
  <c r="AD142" i="5"/>
  <c r="AF142" i="5"/>
  <c r="AG23" i="5"/>
  <c r="AI142" i="5"/>
  <c r="AJ103" i="5"/>
  <c r="BB134" i="5"/>
  <c r="BB107" i="5"/>
  <c r="BB90" i="5"/>
  <c r="BB76" i="5"/>
  <c r="BB62" i="5"/>
  <c r="BB51" i="5"/>
  <c r="BB3" i="5"/>
  <c r="BB136" i="5"/>
  <c r="BB130" i="5"/>
  <c r="BB123" i="5"/>
  <c r="BB117" i="5"/>
  <c r="BB113" i="5"/>
  <c r="BB111" i="5"/>
  <c r="BB32" i="5"/>
  <c r="BB20" i="5"/>
  <c r="BB13" i="5"/>
  <c r="BB8" i="5"/>
  <c r="BB6" i="5"/>
  <c r="BB34" i="5"/>
  <c r="C36" i="9"/>
  <c r="I4" i="14"/>
  <c r="I8" i="14"/>
  <c r="I12" i="14"/>
  <c r="I16" i="14"/>
  <c r="I20" i="14"/>
  <c r="I24" i="14"/>
  <c r="I28" i="14"/>
  <c r="I32" i="14"/>
  <c r="AP142" i="5"/>
  <c r="A8" i="14"/>
  <c r="A9" i="14"/>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J1" i="9"/>
  <c r="K1" i="9"/>
  <c r="J1" i="5"/>
  <c r="AI143" i="9"/>
  <c r="AJ143" i="5"/>
  <c r="L22" i="14"/>
  <c r="J22" i="14"/>
  <c r="L24" i="14"/>
  <c r="J24" i="14"/>
  <c r="L59" i="14"/>
  <c r="H60" i="14"/>
  <c r="L2691" i="1"/>
  <c r="BB14" i="5"/>
  <c r="AD142" i="9"/>
  <c r="AD143" i="9"/>
  <c r="AE143" i="5"/>
  <c r="AG142" i="9"/>
  <c r="AJ142" i="9"/>
  <c r="AQ142" i="5"/>
  <c r="AS142" i="5"/>
  <c r="AU142" i="5"/>
  <c r="AW142" i="5"/>
  <c r="AY142" i="5"/>
  <c r="BA142" i="5"/>
  <c r="BA39" i="9"/>
  <c r="C39" i="9"/>
  <c r="AC142" i="9"/>
  <c r="AK142" i="9"/>
  <c r="A12" i="5"/>
  <c r="A14" i="5"/>
  <c r="A16" i="5"/>
  <c r="A18" i="5"/>
  <c r="A20" i="5"/>
  <c r="A51" i="5"/>
  <c r="A53" i="5"/>
  <c r="A79" i="5"/>
  <c r="A81" i="5"/>
  <c r="A83" i="5"/>
  <c r="A92" i="5"/>
  <c r="A131" i="5"/>
  <c r="A137" i="5"/>
  <c r="A140" i="5"/>
  <c r="B139" i="8"/>
  <c r="B135" i="8"/>
  <c r="B131" i="8"/>
  <c r="B127" i="8"/>
  <c r="B123" i="8"/>
  <c r="B119" i="8"/>
  <c r="B115" i="8"/>
  <c r="B111" i="8"/>
  <c r="B107" i="8"/>
  <c r="B102" i="8"/>
  <c r="B98" i="8"/>
  <c r="B94" i="8"/>
  <c r="B90" i="8"/>
  <c r="B86" i="8"/>
  <c r="B82" i="8"/>
  <c r="B78" i="8"/>
  <c r="B74" i="8"/>
  <c r="B70" i="8"/>
  <c r="B66" i="8"/>
  <c r="B62" i="8"/>
  <c r="B58" i="8"/>
  <c r="B54" i="8"/>
  <c r="B49" i="8"/>
  <c r="B45" i="8"/>
  <c r="B41" i="8"/>
  <c r="B37" i="8"/>
  <c r="B33" i="8"/>
  <c r="B29" i="8"/>
  <c r="B25" i="8"/>
  <c r="B21" i="8"/>
  <c r="B17" i="8"/>
  <c r="B11" i="8"/>
  <c r="B7" i="8"/>
  <c r="B3" i="8"/>
  <c r="W144" i="9"/>
  <c r="X144" i="5"/>
  <c r="H143" i="9"/>
  <c r="I143" i="5"/>
  <c r="J143" i="9"/>
  <c r="K143" i="5"/>
  <c r="P143" i="9"/>
  <c r="Q143" i="5"/>
  <c r="R143" i="9"/>
  <c r="S143" i="5"/>
  <c r="V144" i="9"/>
  <c r="W144" i="5"/>
  <c r="W143" i="9"/>
  <c r="X143" i="5"/>
  <c r="Y142" i="9"/>
  <c r="Y145" i="9"/>
  <c r="U144" i="9"/>
  <c r="V144" i="5"/>
  <c r="Q144" i="9"/>
  <c r="R144" i="5"/>
  <c r="M144" i="9"/>
  <c r="N144" i="5"/>
  <c r="I144" i="9"/>
  <c r="J144" i="5"/>
  <c r="E144" i="9"/>
  <c r="F144" i="5"/>
  <c r="I63" i="14"/>
  <c r="I61" i="14"/>
  <c r="I43" i="14"/>
  <c r="I41" i="14"/>
  <c r="I38" i="14"/>
  <c r="I46" i="14"/>
  <c r="I54" i="14"/>
  <c r="I58" i="14"/>
  <c r="I39" i="14"/>
  <c r="I37" i="14"/>
  <c r="I51" i="14"/>
  <c r="I44" i="14"/>
  <c r="I52" i="14"/>
  <c r="I62" i="14"/>
  <c r="I60" i="14"/>
  <c r="I57" i="14"/>
  <c r="I53" i="14"/>
  <c r="I47" i="14"/>
  <c r="I42" i="14"/>
  <c r="I50" i="14"/>
  <c r="I59" i="14"/>
  <c r="I56" i="14"/>
  <c r="I49" i="14"/>
  <c r="I45" i="14"/>
  <c r="I40" i="14"/>
  <c r="I48" i="14"/>
  <c r="I55" i="14"/>
  <c r="BB103" i="5"/>
  <c r="L2693" i="1"/>
  <c r="L2692" i="1"/>
  <c r="D8" i="4"/>
  <c r="E18" i="8"/>
  <c r="D18" i="8"/>
  <c r="J18" i="8"/>
  <c r="F18" i="8"/>
  <c r="C18" i="8"/>
  <c r="E26" i="8"/>
  <c r="D26" i="8"/>
  <c r="J26" i="8"/>
  <c r="F26" i="8"/>
  <c r="C26" i="8"/>
  <c r="E28" i="8"/>
  <c r="D28" i="8"/>
  <c r="J28" i="8"/>
  <c r="F28" i="8"/>
  <c r="C28" i="8"/>
  <c r="E30" i="8"/>
  <c r="D30" i="8"/>
  <c r="J30" i="8"/>
  <c r="F30" i="8"/>
  <c r="C30" i="8"/>
  <c r="E32" i="8"/>
  <c r="D32" i="8"/>
  <c r="J32" i="8"/>
  <c r="F32" i="8"/>
  <c r="C32" i="8"/>
  <c r="E36" i="8"/>
  <c r="D36" i="8"/>
  <c r="J36" i="8"/>
  <c r="F36" i="8"/>
  <c r="C36" i="8"/>
  <c r="J46" i="8"/>
  <c r="H46" i="8"/>
  <c r="F46" i="8"/>
  <c r="D46" i="8"/>
  <c r="I46" i="8"/>
  <c r="G46" i="8"/>
  <c r="E46" i="8"/>
  <c r="C46" i="8"/>
  <c r="E56" i="8"/>
  <c r="D56" i="8"/>
  <c r="J56" i="8"/>
  <c r="F56" i="8"/>
  <c r="C56" i="8"/>
  <c r="F61" i="8"/>
  <c r="C61" i="8"/>
  <c r="E61" i="8"/>
  <c r="D61" i="8"/>
  <c r="E64" i="8"/>
  <c r="D64" i="8"/>
  <c r="F64" i="8"/>
  <c r="C64" i="8"/>
  <c r="F69" i="8"/>
  <c r="C69" i="8"/>
  <c r="E69" i="8"/>
  <c r="D69" i="8"/>
  <c r="E72" i="8"/>
  <c r="D72" i="8"/>
  <c r="F72" i="8"/>
  <c r="C72" i="8"/>
  <c r="F77" i="8"/>
  <c r="C77" i="8"/>
  <c r="E77" i="8"/>
  <c r="D77" i="8"/>
  <c r="F87" i="8"/>
  <c r="C87" i="8"/>
  <c r="E87" i="8"/>
  <c r="D87" i="8"/>
  <c r="F97" i="8"/>
  <c r="C97" i="8"/>
  <c r="E97" i="8"/>
  <c r="D97" i="8"/>
  <c r="E100" i="8"/>
  <c r="D100" i="8"/>
  <c r="F100" i="8"/>
  <c r="C100" i="8"/>
  <c r="E116" i="8"/>
  <c r="D116" i="8"/>
  <c r="F116" i="8"/>
  <c r="C116" i="8"/>
  <c r="E124" i="8"/>
  <c r="D124" i="8"/>
  <c r="F124" i="8"/>
  <c r="C124" i="8"/>
  <c r="F140" i="8"/>
  <c r="C140" i="8"/>
  <c r="E140" i="8"/>
  <c r="D140" i="8"/>
  <c r="L54" i="14"/>
  <c r="H55" i="14"/>
  <c r="E6" i="8"/>
  <c r="D6" i="8"/>
  <c r="J6" i="8"/>
  <c r="F6" i="8"/>
  <c r="C6" i="8"/>
  <c r="E22" i="8"/>
  <c r="D22" i="8"/>
  <c r="J22" i="8"/>
  <c r="F22" i="8"/>
  <c r="C22" i="8"/>
  <c r="J42" i="8"/>
  <c r="H42" i="8"/>
  <c r="F42" i="8"/>
  <c r="D42" i="8"/>
  <c r="I42" i="8"/>
  <c r="G42" i="8"/>
  <c r="E42" i="8"/>
  <c r="C42" i="8"/>
  <c r="F57" i="8"/>
  <c r="C57" i="8"/>
  <c r="E57" i="8"/>
  <c r="D57" i="8"/>
  <c r="E60" i="8"/>
  <c r="D60" i="8"/>
  <c r="F60" i="8"/>
  <c r="C60" i="8"/>
  <c r="F65" i="8"/>
  <c r="C65" i="8"/>
  <c r="E65" i="8"/>
  <c r="D65" i="8"/>
  <c r="E68" i="8"/>
  <c r="D68" i="8"/>
  <c r="F68" i="8"/>
  <c r="C68" i="8"/>
  <c r="F73" i="8"/>
  <c r="C73" i="8"/>
  <c r="E73" i="8"/>
  <c r="D73" i="8"/>
  <c r="E76" i="8"/>
  <c r="D76" i="8"/>
  <c r="F76" i="8"/>
  <c r="C76" i="8"/>
  <c r="E86" i="8"/>
  <c r="D86" i="8"/>
  <c r="F86" i="8"/>
  <c r="C86" i="8"/>
  <c r="E96" i="8"/>
  <c r="D96" i="8"/>
  <c r="F96" i="8"/>
  <c r="C96" i="8"/>
  <c r="E112" i="8"/>
  <c r="D112" i="8"/>
  <c r="F112" i="8"/>
  <c r="C112" i="8"/>
  <c r="E120" i="8"/>
  <c r="D120" i="8"/>
  <c r="F120" i="8"/>
  <c r="C120" i="8"/>
  <c r="E130" i="8"/>
  <c r="D130" i="8"/>
  <c r="F130" i="8"/>
  <c r="C130" i="8"/>
  <c r="E132" i="8"/>
  <c r="D132" i="8"/>
  <c r="F132" i="8"/>
  <c r="C132" i="8"/>
  <c r="E134" i="8"/>
  <c r="D134" i="8"/>
  <c r="F134" i="8"/>
  <c r="C134" i="8"/>
  <c r="I136" i="8"/>
  <c r="G136" i="8"/>
  <c r="E136" i="8"/>
  <c r="C136" i="8"/>
  <c r="J136" i="8"/>
  <c r="H136" i="8"/>
  <c r="F136" i="8"/>
  <c r="D136" i="8"/>
  <c r="AG143" i="9"/>
  <c r="AH143" i="5"/>
  <c r="AE143" i="9"/>
  <c r="AF143" i="5"/>
  <c r="C85" i="9"/>
  <c r="I43" i="8"/>
  <c r="A107" i="8"/>
  <c r="I107" i="8"/>
  <c r="A125" i="8"/>
  <c r="I125" i="8"/>
  <c r="G43" i="8"/>
  <c r="E43" i="8"/>
  <c r="C111" i="9"/>
  <c r="C97" i="9"/>
  <c r="C9" i="9"/>
  <c r="C28" i="9"/>
  <c r="C32" i="9"/>
  <c r="BA70" i="9"/>
  <c r="C70" i="9"/>
  <c r="C123" i="9"/>
  <c r="C141" i="9"/>
  <c r="A3" i="5"/>
  <c r="A22" i="5"/>
  <c r="A25" i="5"/>
  <c r="A31" i="5"/>
  <c r="A37" i="5"/>
  <c r="A41" i="5"/>
  <c r="A46" i="5"/>
  <c r="A77" i="5"/>
  <c r="A100" i="5"/>
  <c r="A139" i="5"/>
  <c r="B141" i="8"/>
  <c r="B133" i="8"/>
  <c r="B125" i="8"/>
  <c r="B117" i="8"/>
  <c r="B109" i="8"/>
  <c r="B100" i="8"/>
  <c r="B92" i="8"/>
  <c r="B84" i="8"/>
  <c r="B76" i="8"/>
  <c r="B68" i="8"/>
  <c r="B60" i="8"/>
  <c r="B52" i="8"/>
  <c r="B43" i="8"/>
  <c r="B35" i="8"/>
  <c r="B27" i="8"/>
  <c r="B19" i="8"/>
  <c r="B9" i="8"/>
  <c r="D143" i="9"/>
  <c r="E143" i="5"/>
  <c r="F143" i="9"/>
  <c r="G143" i="5"/>
  <c r="T143" i="9"/>
  <c r="U143" i="5"/>
  <c r="D144" i="9"/>
  <c r="E144" i="5"/>
  <c r="Z143" i="9"/>
  <c r="AA143" i="5"/>
  <c r="S144" i="9"/>
  <c r="T144" i="5"/>
  <c r="K144" i="9"/>
  <c r="L144" i="5"/>
  <c r="S143" i="9"/>
  <c r="T143" i="5"/>
  <c r="I142" i="9"/>
  <c r="I145" i="9"/>
  <c r="H142" i="9"/>
  <c r="H145" i="9"/>
  <c r="B50" i="8"/>
  <c r="D9" i="4"/>
  <c r="AH142" i="9"/>
  <c r="AF142" i="9"/>
  <c r="AL142" i="9"/>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7" i="1"/>
  <c r="L2746" i="1"/>
  <c r="H107" i="8"/>
  <c r="C125" i="8"/>
  <c r="C107" i="8"/>
  <c r="G107" i="8"/>
  <c r="D107" i="8"/>
  <c r="AX142" i="5"/>
  <c r="J107" i="8"/>
  <c r="D125" i="8"/>
  <c r="F107" i="8"/>
  <c r="E107" i="8"/>
  <c r="AM17" i="4"/>
  <c r="AM18" i="4"/>
  <c r="AM19" i="4"/>
  <c r="AM20" i="4"/>
  <c r="AM21" i="4"/>
  <c r="AM22" i="4"/>
  <c r="AM23" i="4"/>
  <c r="AM24" i="4"/>
  <c r="AM25" i="4"/>
  <c r="AM26" i="4"/>
  <c r="AM27" i="4"/>
  <c r="N33" i="4"/>
  <c r="N34" i="4"/>
  <c r="N35" i="4"/>
  <c r="N36" i="4"/>
  <c r="N37" i="4"/>
  <c r="N38" i="4"/>
  <c r="N39" i="4"/>
  <c r="N40" i="4"/>
  <c r="N41" i="4"/>
  <c r="N42" i="4"/>
  <c r="N43" i="4"/>
  <c r="N44" i="4"/>
  <c r="N45" i="4"/>
  <c r="N46" i="4"/>
  <c r="N47" i="4"/>
  <c r="N48" i="4"/>
  <c r="AC17" i="4"/>
  <c r="AC18" i="4"/>
  <c r="AC19" i="4"/>
  <c r="AC20" i="4"/>
  <c r="D10" i="4"/>
  <c r="AV142" i="5"/>
  <c r="BA126" i="9"/>
  <c r="C126" i="9"/>
  <c r="AC143" i="9"/>
  <c r="AD143" i="5"/>
  <c r="AK143" i="9"/>
  <c r="AL143" i="5"/>
  <c r="AE142" i="9"/>
  <c r="B62" i="5"/>
  <c r="B15" i="8"/>
  <c r="E142" i="9"/>
  <c r="E143" i="9"/>
  <c r="F143" i="5"/>
  <c r="K143" i="9"/>
  <c r="L143" i="5"/>
  <c r="K142" i="9"/>
  <c r="K145" i="9"/>
  <c r="BA8" i="9"/>
  <c r="C8" i="9"/>
  <c r="F142" i="9"/>
  <c r="F144" i="9"/>
  <c r="G144" i="5"/>
  <c r="C49" i="9"/>
  <c r="A5" i="5"/>
  <c r="A9" i="5"/>
  <c r="A15" i="5"/>
  <c r="A33" i="5"/>
  <c r="A64" i="5"/>
  <c r="A75" i="5"/>
  <c r="A78" i="5"/>
  <c r="A82" i="5"/>
  <c r="A85" i="5"/>
  <c r="A96" i="5"/>
  <c r="A106" i="5"/>
  <c r="A112" i="5"/>
  <c r="A117" i="5"/>
  <c r="A124" i="5"/>
  <c r="A141" i="5"/>
  <c r="A21" i="8"/>
  <c r="F21" i="8"/>
  <c r="A49" i="8"/>
  <c r="H49" i="8"/>
  <c r="A129" i="8"/>
  <c r="B120" i="5"/>
  <c r="B83" i="5"/>
  <c r="B79" i="5"/>
  <c r="B51" i="5"/>
  <c r="B46" i="5"/>
  <c r="B31" i="5"/>
  <c r="B6" i="5"/>
  <c r="B63" i="5"/>
  <c r="G144" i="9"/>
  <c r="H144" i="5"/>
  <c r="N142" i="9"/>
  <c r="N145" i="9"/>
  <c r="L142" i="9"/>
  <c r="L145" i="9"/>
  <c r="L144" i="9"/>
  <c r="M144" i="5"/>
  <c r="N144" i="9"/>
  <c r="O144" i="5"/>
  <c r="P144" i="9"/>
  <c r="Q144" i="5"/>
  <c r="V142" i="9"/>
  <c r="V145" i="9"/>
  <c r="Q143" i="9"/>
  <c r="R143" i="5"/>
  <c r="U142" i="9"/>
  <c r="U145" i="9"/>
  <c r="J144" i="9"/>
  <c r="K144" i="5"/>
  <c r="T144" i="9"/>
  <c r="U144" i="5"/>
  <c r="T142" i="9"/>
  <c r="T145" i="9"/>
  <c r="O143" i="9"/>
  <c r="P143" i="5"/>
  <c r="O144" i="9"/>
  <c r="P144" i="5"/>
  <c r="C78" i="9"/>
  <c r="BA109" i="9"/>
  <c r="C109" i="9"/>
  <c r="AB144" i="9"/>
  <c r="AC144" i="5"/>
  <c r="AB143" i="9"/>
  <c r="AC143" i="5"/>
  <c r="I5" i="4"/>
  <c r="I6" i="4"/>
  <c r="I7" i="4"/>
  <c r="I8" i="4"/>
  <c r="I9" i="4"/>
  <c r="I10" i="4"/>
  <c r="I11" i="4"/>
  <c r="I12" i="4"/>
  <c r="I13" i="4"/>
  <c r="I14" i="4"/>
  <c r="I15" i="4"/>
  <c r="I16" i="4"/>
  <c r="I17" i="4"/>
  <c r="I18" i="4"/>
  <c r="I19" i="4"/>
  <c r="I20" i="4"/>
  <c r="I21" i="4"/>
  <c r="I22" i="4"/>
  <c r="I23" i="4"/>
  <c r="I24" i="4"/>
  <c r="I25" i="4"/>
  <c r="I26" i="4"/>
  <c r="I27" i="4"/>
  <c r="I28" i="4"/>
  <c r="I29" i="4"/>
  <c r="I30" i="4"/>
  <c r="I31" i="4"/>
  <c r="I32" i="4"/>
  <c r="BA125" i="9"/>
  <c r="C125" i="9"/>
  <c r="AA143" i="9"/>
  <c r="AB143" i="5"/>
  <c r="AA144" i="9"/>
  <c r="AB144" i="5"/>
  <c r="Y144" i="9"/>
  <c r="Z144" i="5"/>
  <c r="E21" i="8"/>
  <c r="D21" i="8"/>
  <c r="C21" i="8"/>
  <c r="J21" i="8"/>
  <c r="H21" i="8"/>
  <c r="G21" i="8"/>
  <c r="E145" i="9"/>
  <c r="E129" i="8"/>
  <c r="D129" i="8"/>
  <c r="F129" i="8"/>
  <c r="C129" i="8"/>
  <c r="J129" i="8"/>
  <c r="I129" i="8"/>
  <c r="H129" i="8"/>
  <c r="G129" i="8"/>
  <c r="L55" i="14"/>
  <c r="H56" i="14"/>
  <c r="L56" i="14"/>
  <c r="BB23" i="5"/>
  <c r="X17" i="4"/>
  <c r="X18" i="4"/>
  <c r="X19" i="4"/>
  <c r="X20" i="4"/>
  <c r="X21" i="4"/>
  <c r="X22" i="4"/>
  <c r="X23" i="4"/>
  <c r="X24" i="4"/>
  <c r="X25" i="4"/>
  <c r="AH17" i="4"/>
  <c r="AH18" i="4"/>
  <c r="D11" i="4"/>
  <c r="I49" i="8"/>
  <c r="F145" i="9"/>
  <c r="H61" i="14"/>
  <c r="L60" i="14"/>
  <c r="D12" i="4"/>
  <c r="D33" i="8"/>
  <c r="C33" i="8"/>
  <c r="J33" i="8"/>
  <c r="I33" i="8"/>
  <c r="F35" i="8"/>
  <c r="E35" i="8"/>
  <c r="I35" i="8"/>
  <c r="F40" i="8"/>
  <c r="E40" i="8"/>
  <c r="D55" i="8"/>
  <c r="C55" i="8"/>
  <c r="D59" i="8"/>
  <c r="C59" i="8"/>
  <c r="J59" i="8"/>
  <c r="D79" i="8"/>
  <c r="C79" i="8"/>
  <c r="J79" i="8"/>
  <c r="F90" i="8"/>
  <c r="E90" i="8"/>
  <c r="D7" i="4"/>
  <c r="D8" i="8"/>
  <c r="C8" i="8"/>
  <c r="J8" i="8"/>
  <c r="I8" i="8"/>
  <c r="D10" i="8"/>
  <c r="C10" i="8"/>
  <c r="J10" i="8"/>
  <c r="I10" i="8"/>
  <c r="D14" i="8"/>
  <c r="C14" i="8"/>
  <c r="J14" i="8"/>
  <c r="I14" i="8"/>
  <c r="F27" i="8"/>
  <c r="E27" i="8"/>
  <c r="I27" i="8"/>
  <c r="D39" i="8"/>
  <c r="C39" i="8"/>
  <c r="J39" i="8"/>
  <c r="F58" i="8"/>
  <c r="E58" i="8"/>
  <c r="D131" i="8"/>
  <c r="C131" i="8"/>
  <c r="A7" i="5"/>
  <c r="A13" i="5"/>
  <c r="A30" i="5"/>
  <c r="A29" i="5"/>
  <c r="A35" i="5"/>
  <c r="A49" i="5"/>
  <c r="A58" i="5"/>
  <c r="A66" i="5"/>
  <c r="A70" i="5"/>
  <c r="A93" i="5"/>
  <c r="A114" i="5"/>
  <c r="A118" i="5"/>
  <c r="A5" i="8"/>
  <c r="A25" i="8"/>
  <c r="A70" i="8"/>
  <c r="A80" i="8"/>
  <c r="A88" i="8"/>
  <c r="B29" i="5"/>
  <c r="B25" i="5"/>
  <c r="B67" i="5"/>
  <c r="B65" i="5"/>
  <c r="B73" i="5"/>
  <c r="B5" i="8"/>
  <c r="B26" i="5"/>
  <c r="B23" i="8"/>
  <c r="B48" i="8"/>
  <c r="B43" i="5"/>
  <c r="B53" i="8"/>
  <c r="B10" i="5"/>
  <c r="B21" i="5"/>
  <c r="B72" i="8"/>
  <c r="B91" i="8"/>
  <c r="B97" i="5"/>
  <c r="B131" i="5"/>
  <c r="B95" i="8"/>
  <c r="B99" i="8"/>
  <c r="B81" i="5"/>
  <c r="B130" i="8"/>
  <c r="B124" i="5"/>
  <c r="B134" i="8"/>
  <c r="B135" i="5"/>
  <c r="Q142" i="9"/>
  <c r="Q145" i="9"/>
  <c r="U143" i="9"/>
  <c r="V143" i="5"/>
  <c r="M142" i="9"/>
  <c r="M145" i="9"/>
  <c r="X143" i="9"/>
  <c r="Y143" i="5"/>
  <c r="X142" i="9"/>
  <c r="X145" i="9"/>
  <c r="AJ97" i="5"/>
  <c r="BB97" i="5"/>
  <c r="AJ77" i="5"/>
  <c r="AG125" i="5"/>
  <c r="BB125" i="5"/>
  <c r="AG71" i="5"/>
  <c r="BB71" i="5"/>
  <c r="AH70" i="5"/>
  <c r="AG41" i="5"/>
  <c r="BB41" i="5"/>
  <c r="B8" i="8"/>
  <c r="B58" i="5"/>
  <c r="B12" i="8"/>
  <c r="B69" i="5"/>
  <c r="B66" i="5"/>
  <c r="B14" i="8"/>
  <c r="B26" i="8"/>
  <c r="B3" i="5"/>
  <c r="B4" i="5"/>
  <c r="B30" i="8"/>
  <c r="B34" i="8"/>
  <c r="B8" i="5"/>
  <c r="C101" i="9"/>
  <c r="A101" i="8"/>
  <c r="C67" i="9"/>
  <c r="C7" i="9"/>
  <c r="C138" i="9"/>
  <c r="N143" i="9"/>
  <c r="O143" i="5"/>
  <c r="O142" i="9"/>
  <c r="O145" i="9"/>
  <c r="V143" i="9"/>
  <c r="W143" i="5"/>
  <c r="R144" i="9"/>
  <c r="C37" i="9"/>
  <c r="BA86" i="9"/>
  <c r="C86" i="9"/>
  <c r="BA88" i="9"/>
  <c r="C88" i="9"/>
  <c r="AA142" i="9"/>
  <c r="AA145" i="9"/>
  <c r="A106" i="8"/>
  <c r="A102" i="5"/>
  <c r="C106" i="9"/>
  <c r="B106" i="8"/>
  <c r="B102" i="5"/>
  <c r="D25" i="8"/>
  <c r="J25" i="8"/>
  <c r="I25" i="8"/>
  <c r="H25" i="8"/>
  <c r="F25" i="8"/>
  <c r="D6" i="4"/>
  <c r="H57" i="14"/>
  <c r="H58" i="14"/>
  <c r="F88" i="8"/>
  <c r="E88" i="8"/>
  <c r="D88" i="8"/>
  <c r="C88" i="8"/>
  <c r="I88" i="8"/>
  <c r="G88" i="8"/>
  <c r="J5" i="8"/>
  <c r="H5" i="8"/>
  <c r="F5" i="8"/>
  <c r="D5" i="8"/>
  <c r="I5" i="8"/>
  <c r="G5" i="8"/>
  <c r="E5" i="8"/>
  <c r="C5" i="8"/>
  <c r="I106" i="8"/>
  <c r="H106" i="8"/>
  <c r="F106" i="8"/>
  <c r="E106" i="8"/>
  <c r="C106" i="8"/>
  <c r="J101" i="8"/>
  <c r="G101" i="8"/>
  <c r="C101" i="8"/>
  <c r="H101" i="8"/>
  <c r="F101" i="8"/>
  <c r="AJ142" i="5"/>
  <c r="BB77" i="5"/>
  <c r="F80" i="8"/>
  <c r="E80" i="8"/>
  <c r="J80" i="8"/>
  <c r="H80" i="8"/>
  <c r="D80" i="8"/>
  <c r="C80" i="8"/>
  <c r="I80" i="8"/>
  <c r="G80" i="8"/>
  <c r="L61" i="14"/>
  <c r="H62" i="14"/>
  <c r="S144" i="5"/>
  <c r="BB70" i="5"/>
  <c r="AH142" i="5"/>
  <c r="E70" i="8"/>
  <c r="D70" i="8"/>
  <c r="H70" i="8"/>
  <c r="J70" i="8"/>
  <c r="G70" i="8"/>
  <c r="L62" i="14"/>
  <c r="H63" i="14"/>
  <c r="L58" i="14"/>
  <c r="L57" i="14"/>
  <c r="L63" i="14"/>
  <c r="H64" i="14"/>
  <c r="H65" i="14"/>
  <c r="L64" i="14"/>
  <c r="L20" i="13"/>
  <c r="N9" i="13"/>
  <c r="L8" i="13"/>
  <c r="L14" i="13"/>
  <c r="N12" i="13"/>
  <c r="M15" i="13"/>
  <c r="N19" i="13"/>
  <c r="M18" i="13"/>
  <c r="L13" i="13"/>
  <c r="N11" i="13"/>
  <c r="L16" i="13"/>
  <c r="N18" i="13"/>
  <c r="N16" i="13"/>
  <c r="L18" i="13"/>
  <c r="N10" i="13"/>
  <c r="L11" i="13"/>
  <c r="M11" i="13"/>
  <c r="M8" i="13"/>
  <c r="M19" i="13"/>
  <c r="M9" i="13"/>
  <c r="N8" i="13"/>
  <c r="N17" i="13"/>
  <c r="L9" i="13"/>
  <c r="M7" i="13"/>
  <c r="M13" i="13"/>
  <c r="M14" i="13"/>
  <c r="N15" i="13"/>
  <c r="M16" i="13"/>
  <c r="N13" i="13"/>
  <c r="M12" i="13"/>
  <c r="N14" i="13"/>
  <c r="M17" i="13"/>
  <c r="L7" i="13"/>
  <c r="L19" i="13"/>
  <c r="N7" i="13"/>
  <c r="L17" i="13"/>
  <c r="L10" i="13"/>
  <c r="L12" i="13"/>
  <c r="M10" i="13"/>
  <c r="L15" i="13"/>
  <c r="O15" i="13"/>
  <c r="O12" i="13"/>
  <c r="O10" i="13"/>
  <c r="O17" i="13"/>
  <c r="N21" i="13"/>
  <c r="O19" i="13"/>
  <c r="L21" i="13"/>
  <c r="O7" i="13"/>
  <c r="M21" i="13"/>
  <c r="O9" i="13"/>
  <c r="O11" i="13"/>
  <c r="O18" i="13"/>
  <c r="O16" i="13"/>
  <c r="O13" i="13"/>
  <c r="O14" i="13"/>
  <c r="O8" i="13"/>
  <c r="O20" i="13"/>
  <c r="H66" i="14"/>
  <c r="L66" i="14"/>
  <c r="L65" i="14"/>
  <c r="J106" i="8"/>
  <c r="G106" i="8"/>
  <c r="D106" i="8"/>
  <c r="F70" i="8"/>
  <c r="C70" i="8"/>
  <c r="I70" i="8"/>
  <c r="I33" i="4"/>
  <c r="I34" i="4"/>
  <c r="I35" i="4"/>
  <c r="I36" i="4"/>
  <c r="I37" i="4"/>
  <c r="I38" i="4"/>
  <c r="I39" i="4"/>
  <c r="I40" i="4"/>
  <c r="I41" i="4"/>
  <c r="I42" i="4"/>
  <c r="I43" i="4"/>
  <c r="I44" i="4"/>
  <c r="I45" i="4"/>
  <c r="I46" i="4"/>
  <c r="I47" i="4"/>
  <c r="I48" i="4"/>
  <c r="I49" i="4"/>
  <c r="I50" i="4"/>
  <c r="I51" i="4"/>
  <c r="I52" i="4"/>
  <c r="I53" i="4"/>
  <c r="I54" i="4"/>
  <c r="L1" i="5"/>
  <c r="L1" i="9"/>
  <c r="AG142" i="5"/>
  <c r="BB142" i="5"/>
  <c r="I101" i="8"/>
  <c r="D101" i="8"/>
  <c r="E101" i="8"/>
  <c r="H88" i="8"/>
  <c r="J88" i="8"/>
  <c r="C25" i="8"/>
  <c r="E25" i="8"/>
  <c r="G25" i="8"/>
  <c r="D4" i="4"/>
  <c r="N49" i="4"/>
  <c r="N50" i="4"/>
  <c r="N51" i="4"/>
  <c r="N52" i="4"/>
  <c r="N53" i="4"/>
  <c r="N54" i="4"/>
  <c r="N55" i="4"/>
  <c r="A10" i="14"/>
  <c r="F9" i="14"/>
  <c r="K1" i="5"/>
  <c r="F8" i="14"/>
  <c r="BB37" i="5"/>
  <c r="D49" i="8"/>
  <c r="C49" i="8"/>
  <c r="E49" i="8"/>
  <c r="J49" i="8"/>
  <c r="J125" i="8"/>
  <c r="E125" i="8"/>
  <c r="F49" i="8"/>
  <c r="G49" i="8"/>
  <c r="I21" i="8"/>
  <c r="G125" i="8"/>
  <c r="F125" i="8"/>
  <c r="H125" i="8"/>
  <c r="A44" i="8"/>
  <c r="A39" i="5"/>
  <c r="C5" i="9"/>
  <c r="A47" i="8"/>
  <c r="A56" i="5"/>
  <c r="A51" i="8"/>
  <c r="C43" i="8"/>
  <c r="D43" i="8"/>
  <c r="J43" i="8"/>
  <c r="A8" i="5"/>
  <c r="A34" i="8"/>
  <c r="A19" i="5"/>
  <c r="A62" i="8"/>
  <c r="C62" i="9"/>
  <c r="C30" i="9"/>
  <c r="A84" i="5"/>
  <c r="A94" i="5"/>
  <c r="A123" i="5"/>
  <c r="A132" i="5"/>
  <c r="A98" i="8"/>
  <c r="A108" i="8"/>
  <c r="A83" i="8"/>
  <c r="B35" i="5"/>
  <c r="B39" i="8"/>
  <c r="B51" i="8"/>
  <c r="B56" i="5"/>
  <c r="B67" i="8"/>
  <c r="B48" i="5"/>
  <c r="B114" i="8"/>
  <c r="B106" i="5"/>
  <c r="G143" i="9"/>
  <c r="R142" i="9"/>
  <c r="R145" i="9"/>
  <c r="B13" i="8"/>
  <c r="B72" i="5"/>
  <c r="B61" i="8"/>
  <c r="B18" i="5"/>
  <c r="B77" i="8"/>
  <c r="B78" i="5"/>
  <c r="B93" i="8"/>
  <c r="B98" i="5"/>
  <c r="B105" i="8"/>
  <c r="B101" i="5"/>
  <c r="B137" i="5"/>
  <c r="B128" i="8"/>
  <c r="J142" i="9"/>
  <c r="J145" i="9"/>
  <c r="P142" i="9"/>
  <c r="P145" i="9"/>
  <c r="G142" i="9"/>
  <c r="G145" i="9"/>
  <c r="H144" i="9"/>
  <c r="I144" i="5"/>
  <c r="C71" i="9"/>
  <c r="B42" i="8"/>
  <c r="B37" i="5"/>
  <c r="B52" i="5"/>
  <c r="B64" i="8"/>
  <c r="B85" i="8"/>
  <c r="B92" i="5"/>
  <c r="B122" i="8"/>
  <c r="B118" i="5"/>
  <c r="A50" i="8"/>
  <c r="A2759" i="1"/>
  <c r="L2758" i="1"/>
  <c r="AR142" i="5"/>
  <c r="I67" i="14"/>
  <c r="I66" i="14"/>
  <c r="E47" i="8"/>
  <c r="J47" i="8"/>
  <c r="I47" i="8"/>
  <c r="D47" i="8"/>
  <c r="C47" i="8"/>
  <c r="G47" i="8"/>
  <c r="F47" i="8"/>
  <c r="H47" i="8"/>
  <c r="F44" i="8"/>
  <c r="H44" i="8"/>
  <c r="E44" i="8"/>
  <c r="J44" i="8"/>
  <c r="I44" i="8"/>
  <c r="D44" i="8"/>
  <c r="C44" i="8"/>
  <c r="G44" i="8"/>
  <c r="J108" i="8"/>
  <c r="G108" i="8"/>
  <c r="D108" i="8"/>
  <c r="I108" i="8"/>
  <c r="F108" i="8"/>
  <c r="H108" i="8"/>
  <c r="E108" i="8"/>
  <c r="F62" i="8"/>
  <c r="J62" i="8"/>
  <c r="H62" i="8"/>
  <c r="E62" i="8"/>
  <c r="D62" i="8"/>
  <c r="C62" i="8"/>
  <c r="I62" i="8"/>
  <c r="G62" i="8"/>
  <c r="O21" i="13"/>
  <c r="D5" i="4"/>
  <c r="A2760" i="1"/>
  <c r="L2759" i="1"/>
  <c r="H143" i="5"/>
  <c r="BB143" i="5"/>
  <c r="BA143" i="9"/>
  <c r="I34" i="8"/>
  <c r="G34" i="8"/>
  <c r="H34" i="8"/>
  <c r="J34" i="8"/>
  <c r="E34" i="8"/>
  <c r="F34" i="8"/>
  <c r="D34" i="8"/>
  <c r="C34" i="8"/>
  <c r="E98" i="8"/>
  <c r="D98" i="8"/>
  <c r="C98" i="8"/>
  <c r="J98" i="8"/>
  <c r="H98" i="8"/>
  <c r="I98" i="8"/>
  <c r="F98" i="8"/>
  <c r="G98" i="8"/>
  <c r="BA142" i="9"/>
  <c r="C1" i="9"/>
  <c r="C142" i="9" s="1"/>
  <c r="C50" i="8"/>
  <c r="H50" i="8"/>
  <c r="J50" i="8"/>
  <c r="G50" i="8"/>
  <c r="D50" i="8"/>
  <c r="E50" i="8"/>
  <c r="F50" i="8"/>
  <c r="I50" i="8"/>
  <c r="E83" i="8"/>
  <c r="G83" i="8"/>
  <c r="H83" i="8"/>
  <c r="F83" i="8"/>
  <c r="D83" i="8"/>
  <c r="C83" i="8"/>
  <c r="J83" i="8"/>
  <c r="I83" i="8"/>
  <c r="G51" i="8"/>
  <c r="H51" i="8"/>
  <c r="J51" i="8"/>
  <c r="I51" i="8"/>
  <c r="E51" i="8"/>
  <c r="F51" i="8"/>
  <c r="D51" i="8"/>
  <c r="C51" i="8"/>
  <c r="A11" i="14"/>
  <c r="F10" i="14"/>
  <c r="M1" i="5"/>
  <c r="M1" i="9"/>
  <c r="N1" i="5"/>
  <c r="N1" i="9"/>
  <c r="A2761" i="1"/>
  <c r="L2760" i="1"/>
  <c r="F11" i="14"/>
  <c r="A12" i="14"/>
  <c r="F12" i="14"/>
  <c r="A13" i="14"/>
  <c r="O1" i="5"/>
  <c r="O1" i="9"/>
  <c r="L2761" i="1"/>
  <c r="A2762" i="1"/>
  <c r="L2762" i="1"/>
  <c r="A2763" i="1"/>
  <c r="P1" i="5"/>
  <c r="P1" i="9"/>
  <c r="F13" i="14"/>
  <c r="A14" i="14"/>
  <c r="L2763" i="1"/>
  <c r="A2764" i="1"/>
  <c r="F14" i="14"/>
  <c r="A15" i="14"/>
  <c r="Q1" i="9"/>
  <c r="Q1" i="5"/>
  <c r="A16" i="14"/>
  <c r="F15" i="14"/>
  <c r="R1" i="9"/>
  <c r="R1" i="5"/>
  <c r="L2764" i="1"/>
  <c r="A2765" i="1"/>
  <c r="S1" i="9"/>
  <c r="S1" i="5"/>
  <c r="L2765" i="1"/>
  <c r="A2766" i="1"/>
  <c r="A17" i="14"/>
  <c r="F16" i="14"/>
  <c r="F17" i="14"/>
  <c r="A18" i="14"/>
  <c r="L2766" i="1"/>
  <c r="A2767" i="1"/>
  <c r="T1" i="5"/>
  <c r="T1" i="9"/>
  <c r="U1" i="9"/>
  <c r="U1" i="5"/>
  <c r="L2767" i="1"/>
  <c r="A2768" i="1"/>
  <c r="A19" i="14"/>
  <c r="F18" i="14"/>
  <c r="A20" i="14"/>
  <c r="F19" i="14"/>
  <c r="A2769" i="1"/>
  <c r="L2768" i="1"/>
  <c r="V1" i="9"/>
  <c r="V1" i="5"/>
  <c r="A2770" i="1"/>
  <c r="L2769" i="1"/>
  <c r="W1" i="5"/>
  <c r="W1" i="9"/>
  <c r="F20" i="14"/>
  <c r="A21" i="14"/>
  <c r="F21" i="14"/>
  <c r="A22" i="14"/>
  <c r="X1" i="9"/>
  <c r="X1" i="5"/>
  <c r="A2771" i="1"/>
  <c r="L2770" i="1"/>
  <c r="L2771" i="1"/>
  <c r="A2772" i="1"/>
  <c r="Y1" i="5"/>
  <c r="Y1" i="9"/>
  <c r="A23" i="14"/>
  <c r="F22" i="14"/>
  <c r="F23" i="14"/>
  <c r="A24" i="14"/>
  <c r="Z1" i="5"/>
  <c r="Z1" i="9"/>
  <c r="L2772" i="1"/>
  <c r="A2773" i="1"/>
  <c r="AA1" i="9"/>
  <c r="AA1" i="5"/>
  <c r="F24" i="14"/>
  <c r="A25" i="14"/>
  <c r="A2774" i="1"/>
  <c r="L2773" i="1"/>
  <c r="L2774" i="1"/>
  <c r="A2775" i="1"/>
  <c r="F25" i="14"/>
  <c r="A26" i="14"/>
  <c r="AB1" i="5"/>
  <c r="AB1" i="9"/>
  <c r="AC1" i="5"/>
  <c r="AC1" i="9"/>
  <c r="L2775" i="1"/>
  <c r="A2776" i="1"/>
  <c r="A27" i="14"/>
  <c r="F26" i="14"/>
  <c r="A28" i="14"/>
  <c r="F27" i="14"/>
  <c r="AD1" i="9"/>
  <c r="AD1" i="5"/>
  <c r="L2776" i="1"/>
  <c r="A2777" i="1"/>
  <c r="AE1" i="5"/>
  <c r="AE1" i="9"/>
  <c r="A2778" i="1"/>
  <c r="L2777" i="1"/>
  <c r="F28" i="14"/>
  <c r="A29" i="14"/>
  <c r="L2778" i="1"/>
  <c r="A2779" i="1"/>
  <c r="AF1" i="5"/>
  <c r="AF1" i="9"/>
  <c r="F29" i="14"/>
  <c r="A30" i="14"/>
  <c r="AG1" i="9"/>
  <c r="AG1" i="5"/>
  <c r="F30" i="14"/>
  <c r="A31" i="14"/>
  <c r="A2780" i="1"/>
  <c r="L2779" i="1"/>
  <c r="A32" i="14"/>
  <c r="F31" i="14"/>
  <c r="AH1" i="5"/>
  <c r="AH1" i="9"/>
  <c r="A2781" i="1"/>
  <c r="L2780" i="1"/>
  <c r="A2782" i="1"/>
  <c r="L2781" i="1"/>
  <c r="AI1" i="5"/>
  <c r="AI1" i="9"/>
  <c r="A33" i="14"/>
  <c r="F32" i="14"/>
  <c r="AJ1" i="5"/>
  <c r="AJ1" i="9"/>
  <c r="A34" i="14"/>
  <c r="F33" i="14"/>
  <c r="A2783" i="1"/>
  <c r="L2782" i="1"/>
  <c r="F34" i="14"/>
  <c r="A35" i="14"/>
  <c r="AK1" i="5"/>
  <c r="AK1" i="9"/>
  <c r="L2784" i="1"/>
  <c r="L2783" i="1"/>
  <c r="AL1" i="9"/>
  <c r="AL1" i="5"/>
  <c r="F35" i="14"/>
  <c r="A36" i="14"/>
  <c r="H153" i="8"/>
  <c r="H154" i="8" s="1"/>
  <c r="D153" i="8"/>
  <c r="D154" i="8" s="1"/>
  <c r="G153" i="8"/>
  <c r="G154" i="8" s="1"/>
  <c r="J153" i="8"/>
  <c r="J154" i="8" s="1"/>
  <c r="C153" i="8"/>
  <c r="C154" i="8" s="1"/>
  <c r="F36" i="14"/>
  <c r="E153" i="8"/>
  <c r="E154" i="8" s="1"/>
  <c r="F153" i="8"/>
  <c r="F154" i="8" s="1"/>
  <c r="I153" i="8"/>
  <c r="I154" i="8"/>
  <c r="AM1" i="5"/>
  <c r="AL146" i="9"/>
  <c r="AL149" i="9" s="1"/>
  <c r="AM1" i="9"/>
  <c r="AN1" i="9"/>
  <c r="AN1" i="5"/>
  <c r="AM146" i="9"/>
  <c r="AL148" i="9"/>
  <c r="AM147" i="5" s="1"/>
  <c r="AL144" i="9"/>
  <c r="AM144" i="5" s="1"/>
  <c r="AC146" i="9"/>
  <c r="AH146" i="9"/>
  <c r="AD146" i="9"/>
  <c r="AF146" i="9"/>
  <c r="AF147" i="9" s="1"/>
  <c r="AG146" i="5" s="1"/>
  <c r="AG146" i="9"/>
  <c r="AG145" i="9" s="1"/>
  <c r="AE146" i="9"/>
  <c r="AE144" i="9" s="1"/>
  <c r="AF144" i="5" s="1"/>
  <c r="AK146" i="9"/>
  <c r="AJ146" i="9"/>
  <c r="AK145" i="5" s="1"/>
  <c r="AI146" i="9"/>
  <c r="AF145" i="9"/>
  <c r="AF148" i="9"/>
  <c r="AG147" i="5" s="1"/>
  <c r="AF144" i="9"/>
  <c r="AG144" i="5" s="1"/>
  <c r="AG145" i="5"/>
  <c r="AE147" i="9"/>
  <c r="AF146" i="5" s="1"/>
  <c r="AE145" i="9"/>
  <c r="AE148" i="9"/>
  <c r="AF147" i="5" s="1"/>
  <c r="AC147" i="9"/>
  <c r="AD146" i="5" s="1"/>
  <c r="AC144" i="9"/>
  <c r="AC145" i="9"/>
  <c r="AD145" i="5"/>
  <c r="AC148" i="9"/>
  <c r="AD147" i="5" s="1"/>
  <c r="AI144" i="9"/>
  <c r="AJ144" i="5" s="1"/>
  <c r="AI147" i="9"/>
  <c r="AJ146" i="5" s="1"/>
  <c r="AJ145" i="5"/>
  <c r="AI149" i="9"/>
  <c r="AI148" i="9"/>
  <c r="AJ147" i="5" s="1"/>
  <c r="AI145" i="9"/>
  <c r="AM147" i="9"/>
  <c r="AN146" i="5" s="1"/>
  <c r="AM148" i="9"/>
  <c r="AN147" i="5"/>
  <c r="AN145" i="5"/>
  <c r="AM145" i="9"/>
  <c r="AM144" i="9"/>
  <c r="AN144" i="5" s="1"/>
  <c r="AD145" i="9"/>
  <c r="AD148" i="9"/>
  <c r="AE147" i="5" s="1"/>
  <c r="AE145" i="5"/>
  <c r="AD147" i="9"/>
  <c r="AE146" i="5" s="1"/>
  <c r="AD144" i="9"/>
  <c r="AE144" i="5"/>
  <c r="AL145" i="5"/>
  <c r="AK145" i="9"/>
  <c r="AK144" i="9"/>
  <c r="AL144" i="5" s="1"/>
  <c r="AK148" i="9"/>
  <c r="AL147" i="5"/>
  <c r="AK147" i="9"/>
  <c r="AL146" i="5" s="1"/>
  <c r="AH147" i="9"/>
  <c r="AI146" i="5" s="1"/>
  <c r="AI145" i="5"/>
  <c r="AH148" i="9"/>
  <c r="AI147" i="5" s="1"/>
  <c r="AH144" i="9"/>
  <c r="AI144" i="5"/>
  <c r="AH145" i="9"/>
  <c r="AO1" i="9"/>
  <c r="AO1" i="5"/>
  <c r="AN146" i="9"/>
  <c r="AN144" i="9" s="1"/>
  <c r="AO144" i="5" s="1"/>
  <c r="AO145" i="5"/>
  <c r="AN148" i="9"/>
  <c r="AO147" i="5" s="1"/>
  <c r="AN145" i="9"/>
  <c r="AD144" i="5"/>
  <c r="AO146" i="9"/>
  <c r="AO148" i="9" s="1"/>
  <c r="AP147" i="5" s="1"/>
  <c r="AP1" i="9"/>
  <c r="AP1" i="5"/>
  <c r="AO144" i="9"/>
  <c r="AP144" i="5" s="1"/>
  <c r="AO145" i="9"/>
  <c r="AQ1" i="9"/>
  <c r="AP151" i="9"/>
  <c r="AP146" i="9"/>
  <c r="AQ145" i="5" s="1"/>
  <c r="AQ1" i="5"/>
  <c r="AQ146" i="9"/>
  <c r="AQ144" i="9" s="1"/>
  <c r="AR144" i="5" s="1"/>
  <c r="AR1" i="9"/>
  <c r="AQ151" i="9"/>
  <c r="AR1" i="5"/>
  <c r="AP147" i="9"/>
  <c r="AQ146" i="5" s="1"/>
  <c r="AP148" i="9"/>
  <c r="AQ147" i="5" s="1"/>
  <c r="AR146" i="9"/>
  <c r="AR148" i="9" s="1"/>
  <c r="AS147" i="5" s="1"/>
  <c r="AS1" i="9"/>
  <c r="AS1" i="5"/>
  <c r="AR145" i="5"/>
  <c r="AQ148" i="9"/>
  <c r="AR147" i="5" s="1"/>
  <c r="AQ147" i="9"/>
  <c r="AR146" i="5" s="1"/>
  <c r="AS146" i="9"/>
  <c r="AS145" i="9" s="1"/>
  <c r="AT1" i="5"/>
  <c r="AT1" i="9"/>
  <c r="AS151" i="9"/>
  <c r="AS145" i="5"/>
  <c r="AS144" i="9"/>
  <c r="AT144" i="5" s="1"/>
  <c r="AS147" i="9"/>
  <c r="AT146" i="5" s="1"/>
  <c r="AS148" i="9"/>
  <c r="AT147" i="5" s="1"/>
  <c r="AT151" i="9"/>
  <c r="AT146" i="9"/>
  <c r="AT144" i="9" s="1"/>
  <c r="AU144" i="5" s="1"/>
  <c r="AU1" i="9"/>
  <c r="AU1" i="5"/>
  <c r="AV1" i="9"/>
  <c r="AU146" i="9"/>
  <c r="AU148" i="9" s="1"/>
  <c r="AV147" i="5" s="1"/>
  <c r="AU151" i="9"/>
  <c r="AV1" i="5"/>
  <c r="AW1" i="9"/>
  <c r="AV146" i="9"/>
  <c r="AV148" i="9" s="1"/>
  <c r="AW147" i="5" s="1"/>
  <c r="AV151" i="9"/>
  <c r="AW1" i="5"/>
  <c r="AX1" i="9"/>
  <c r="AW146" i="9"/>
  <c r="AX1" i="5"/>
  <c r="AW151" i="9"/>
  <c r="AW145" i="9"/>
  <c r="AX145" i="5"/>
  <c r="AW148" i="9"/>
  <c r="AX147" i="5" s="1"/>
  <c r="AY1" i="9"/>
  <c r="AY1" i="5"/>
  <c r="AX151" i="9"/>
  <c r="AX146" i="9"/>
  <c r="AX148" i="9" s="1"/>
  <c r="AY147" i="5" s="1"/>
  <c r="AZ1" i="5"/>
  <c r="AZ1" i="9"/>
  <c r="AY151" i="9"/>
  <c r="AY146" i="9"/>
  <c r="AZ145" i="5" s="1"/>
  <c r="AZ146" i="9"/>
  <c r="AZ145" i="9" s="1"/>
  <c r="AZ151" i="9"/>
  <c r="BA1" i="5"/>
  <c r="Q2788" i="1"/>
  <c r="Q2787" i="1"/>
  <c r="Q2786" i="1"/>
  <c r="Q2783" i="1"/>
  <c r="Q2781" i="1"/>
  <c r="Q2779" i="1"/>
  <c r="Q2777" i="1"/>
  <c r="Q2776" i="1"/>
  <c r="Q2772" i="1"/>
  <c r="Q2773" i="1"/>
  <c r="Q2771" i="1"/>
  <c r="Q2770" i="1"/>
  <c r="Q2766" i="1"/>
  <c r="Q2764" i="1"/>
  <c r="Q2762" i="1"/>
  <c r="Q2768" i="1"/>
  <c r="Q2759" i="1"/>
  <c r="Q2754" i="1"/>
  <c r="Q2748" i="1"/>
  <c r="Q2742" i="1"/>
  <c r="Q2716" i="1"/>
  <c r="Q2714" i="1"/>
  <c r="Q2540" i="1"/>
  <c r="Q1418" i="1"/>
  <c r="Q535" i="1"/>
  <c r="Q2703" i="1"/>
  <c r="Q572" i="1"/>
  <c r="Q239" i="1"/>
  <c r="Q2613" i="1"/>
  <c r="Q1511" i="1"/>
  <c r="Q2704" i="1"/>
  <c r="Q1869" i="1"/>
  <c r="Q244" i="1"/>
  <c r="Q2630" i="1"/>
  <c r="Q2380" i="1"/>
  <c r="Q797" i="1"/>
  <c r="Q2701" i="1"/>
  <c r="Q2061" i="1"/>
  <c r="Q2698" i="1"/>
  <c r="Q2745" i="1"/>
  <c r="Q2718" i="1"/>
  <c r="Q58" i="1"/>
  <c r="Q2468" i="1"/>
  <c r="Q610" i="1"/>
  <c r="Q759" i="1"/>
  <c r="Q1379" i="1"/>
  <c r="Q1363" i="1"/>
  <c r="Q746" i="1"/>
  <c r="Q2719" i="1"/>
  <c r="Q2711" i="1"/>
  <c r="Q951" i="1"/>
  <c r="Q2194" i="1"/>
  <c r="Q2588" i="1"/>
  <c r="Q1655" i="1"/>
  <c r="Q2514" i="1"/>
  <c r="Q2638" i="1"/>
  <c r="Q476" i="1"/>
  <c r="Q1653" i="1"/>
  <c r="Q750" i="1"/>
  <c r="Q2327" i="1"/>
  <c r="Q1597" i="1"/>
  <c r="Q93" i="1"/>
  <c r="Q2415" i="1"/>
  <c r="Q2619" i="1"/>
  <c r="Q618" i="1"/>
  <c r="Q182" i="1"/>
  <c r="Q1974" i="1"/>
  <c r="Q1867" i="1"/>
  <c r="Q1595" i="1"/>
  <c r="Q1916" i="1"/>
  <c r="Q1134" i="1"/>
  <c r="Q2669" i="1"/>
  <c r="Q2084" i="1"/>
  <c r="Q856" i="1"/>
  <c r="Q1793" i="1"/>
  <c r="Q490" i="1"/>
  <c r="Q383" i="1"/>
  <c r="Q1453" i="1"/>
  <c r="Q2751" i="1"/>
  <c r="Q2746" i="1"/>
  <c r="Q2721" i="1"/>
  <c r="Q80" i="1"/>
  <c r="Q192" i="1"/>
  <c r="Q936" i="1"/>
  <c r="Q1876" i="1"/>
  <c r="Q2644" i="1"/>
  <c r="Q2636" i="1"/>
  <c r="Q95" i="1"/>
  <c r="Q1902" i="1"/>
  <c r="Q2326" i="1"/>
  <c r="Q2675" i="1"/>
  <c r="Q2664" i="1"/>
  <c r="Q344" i="1"/>
  <c r="Q2583" i="1"/>
  <c r="Q1991" i="1"/>
  <c r="Q2642" i="1"/>
  <c r="Q1942" i="1"/>
  <c r="Q1011" i="1"/>
  <c r="Q1153" i="1"/>
  <c r="Q2626" i="1"/>
  <c r="Q2266" i="1"/>
  <c r="Q2708" i="1"/>
  <c r="Q1104" i="1"/>
  <c r="Q1486" i="1"/>
  <c r="Q2505" i="1"/>
  <c r="Q2616" i="1"/>
  <c r="Q1719" i="1"/>
  <c r="Q2524" i="1"/>
  <c r="Q1893" i="1"/>
  <c r="Q2713" i="1"/>
  <c r="Q2705" i="1"/>
  <c r="Q218" i="1"/>
  <c r="Q2508" i="1"/>
  <c r="Q2690" i="1"/>
  <c r="Q2277" i="1"/>
  <c r="Q1863" i="1"/>
  <c r="Q715" i="1"/>
  <c r="Q553" i="1"/>
  <c r="Q1026" i="1"/>
  <c r="Q955" i="1"/>
  <c r="Q147" i="1"/>
  <c r="Q3" i="1"/>
  <c r="Q74" i="1"/>
  <c r="Q654" i="1"/>
  <c r="Q1878" i="1"/>
  <c r="Q1898" i="1"/>
  <c r="Q2785" i="1"/>
  <c r="Q2784" i="1"/>
  <c r="Q2782" i="1"/>
  <c r="Q2780" i="1"/>
  <c r="Q2778" i="1"/>
  <c r="Q2775" i="1"/>
  <c r="Q2774" i="1"/>
  <c r="Q2767" i="1"/>
  <c r="Q2765" i="1"/>
  <c r="Q2763" i="1"/>
  <c r="Q2761" i="1"/>
  <c r="Q2769" i="1"/>
  <c r="Q2755" i="1"/>
  <c r="Q2747" i="1"/>
  <c r="Q2730" i="1"/>
  <c r="Q2143" i="1"/>
  <c r="Q2481" i="1"/>
  <c r="Q1362" i="1"/>
  <c r="Q153" i="1"/>
  <c r="Q2425" i="1"/>
  <c r="Q2649" i="1"/>
  <c r="Q1922" i="1"/>
  <c r="Q1422" i="1"/>
  <c r="Q2561" i="1"/>
  <c r="Q2717" i="1"/>
  <c r="Q2709" i="1"/>
  <c r="Q767" i="1"/>
  <c r="Q140" i="1"/>
  <c r="Q2453" i="1"/>
  <c r="Q2607" i="1"/>
  <c r="Q377" i="1"/>
  <c r="Q1152" i="1"/>
  <c r="Q1329" i="1"/>
  <c r="Q1808" i="1"/>
  <c r="Q1640" i="1"/>
  <c r="Q891" i="1"/>
  <c r="Q1330" i="1"/>
  <c r="Q1914" i="1"/>
  <c r="Q1455" i="1"/>
  <c r="Q2685" i="1"/>
  <c r="Q1313" i="1"/>
  <c r="Q561" i="1"/>
  <c r="Q183" i="1"/>
  <c r="Q2750" i="1"/>
  <c r="Q2565" i="1"/>
  <c r="Q1581" i="1"/>
  <c r="Q2482" i="1"/>
  <c r="Q336" i="1"/>
  <c r="Q2653" i="1"/>
  <c r="Q319" i="1"/>
  <c r="Q31" i="1"/>
  <c r="Q2214" i="1"/>
  <c r="Q527" i="1"/>
  <c r="Q2023" i="1"/>
  <c r="Q590" i="1"/>
  <c r="Q2176" i="1"/>
  <c r="Q484" i="1"/>
  <c r="Q2078" i="1"/>
  <c r="Q2041" i="1"/>
  <c r="Q2055" i="1"/>
  <c r="Q1096" i="1"/>
  <c r="Q796" i="1"/>
  <c r="Q1896" i="1"/>
  <c r="Q1132" i="1"/>
  <c r="Q2387" i="1"/>
  <c r="Q423" i="1"/>
  <c r="Q1815" i="1"/>
  <c r="Q245" i="1"/>
  <c r="Q1470" i="1"/>
  <c r="Q1613" i="1"/>
  <c r="Q458" i="1"/>
  <c r="Q2490" i="1"/>
  <c r="Q2726" i="1"/>
  <c r="Q543" i="1"/>
  <c r="Q285" i="1"/>
  <c r="Q2552" i="1"/>
  <c r="Q1868" i="1"/>
  <c r="Q306" i="1"/>
  <c r="Q2088" i="1"/>
  <c r="Q1052" i="1"/>
  <c r="Q1308" i="1"/>
  <c r="Q2006" i="1"/>
  <c r="Q1467" i="1"/>
  <c r="Q333" i="1"/>
  <c r="Q911" i="1"/>
  <c r="Q2492" i="1"/>
  <c r="Q2573" i="1"/>
  <c r="Q2142" i="1"/>
  <c r="Q1013" i="1"/>
  <c r="Q772" i="1"/>
  <c r="Q1145" i="1"/>
  <c r="Q830" i="1"/>
  <c r="Q931" i="1"/>
  <c r="Q2611" i="1"/>
  <c r="Q2275" i="1"/>
  <c r="Q837" i="1"/>
  <c r="Q1257" i="1"/>
  <c r="Q1021" i="1"/>
  <c r="Q2574" i="1"/>
  <c r="Q2436" i="1"/>
  <c r="Q1131" i="1"/>
  <c r="Q2593" i="1"/>
  <c r="Q743" i="1"/>
  <c r="Q1848" i="1"/>
  <c r="Q1249" i="1"/>
  <c r="Q839" i="1"/>
  <c r="Q453" i="1"/>
  <c r="Q1980" i="1"/>
  <c r="Q783" i="1"/>
  <c r="Q1193" i="1"/>
  <c r="Q1251" i="1"/>
  <c r="Q914" i="1"/>
  <c r="Q13" i="1"/>
  <c r="Q2298" i="1"/>
  <c r="Q643" i="1"/>
  <c r="Q2156" i="1"/>
  <c r="Q1787" i="1"/>
  <c r="Q1582" i="1"/>
  <c r="Q321" i="1"/>
  <c r="Q2253" i="1"/>
  <c r="Q766" i="1"/>
  <c r="Q365" i="1"/>
  <c r="Q1604" i="1"/>
  <c r="Q2394" i="1"/>
  <c r="Q213" i="1"/>
  <c r="Q854" i="1"/>
  <c r="Q2479" i="1"/>
  <c r="Q817" i="1"/>
  <c r="Q60" i="1"/>
  <c r="Q1686" i="1"/>
  <c r="Q457" i="1"/>
  <c r="Q2029" i="1"/>
  <c r="Q1246" i="1"/>
  <c r="Q1710" i="1"/>
  <c r="Q2337" i="1"/>
  <c r="Q297" i="1"/>
  <c r="Q845" i="1"/>
  <c r="Q1059" i="1"/>
  <c r="Q2469" i="1"/>
  <c r="Q1529" i="1"/>
  <c r="Q1253" i="1"/>
  <c r="Q2433" i="1"/>
  <c r="Q1367" i="1"/>
  <c r="Q1314" i="1"/>
  <c r="Q1278" i="1"/>
  <c r="Q2739" i="1"/>
  <c r="Q78" i="1"/>
  <c r="Q2670" i="1"/>
  <c r="Q806" i="1"/>
  <c r="Q2662" i="1"/>
  <c r="Q2733" i="1"/>
  <c r="Q1208" i="1"/>
  <c r="Q1295" i="1"/>
  <c r="Q2686" i="1"/>
  <c r="Q2592" i="1"/>
  <c r="Q334" i="1"/>
  <c r="Q295" i="1"/>
  <c r="Q1937" i="1"/>
  <c r="Q1307" i="1"/>
  <c r="Q632" i="1"/>
  <c r="Q2620" i="1"/>
  <c r="Q1140" i="1"/>
  <c r="Q152" i="1"/>
  <c r="Q2290" i="1"/>
  <c r="Q1777" i="1"/>
  <c r="Q2375" i="1"/>
  <c r="Q717" i="1"/>
  <c r="Q2477" i="1"/>
  <c r="Q2673" i="1"/>
  <c r="Q142" i="1"/>
  <c r="Q1258" i="1"/>
  <c r="Q382" i="1"/>
  <c r="Q409" i="1"/>
  <c r="Q2335" i="1"/>
  <c r="Q2601" i="1"/>
  <c r="Q1287" i="1"/>
  <c r="Q1214" i="1"/>
  <c r="Q81" i="1"/>
  <c r="Q495" i="1"/>
  <c r="Q2412" i="1"/>
  <c r="Q2732" i="1"/>
  <c r="Q1315" i="1"/>
  <c r="Q250" i="1"/>
  <c r="Q549" i="1"/>
  <c r="Q168" i="1"/>
  <c r="Q1804" i="1"/>
  <c r="Q2223" i="1"/>
  <c r="Q2245" i="1"/>
  <c r="Q2256" i="1"/>
  <c r="Q248" i="1"/>
  <c r="Q2109" i="1"/>
  <c r="Q1185" i="1"/>
  <c r="Q313" i="1"/>
  <c r="Q1407" i="1"/>
  <c r="Q2269" i="1"/>
  <c r="Q1378" i="1"/>
  <c r="Q733" i="1"/>
  <c r="Q773" i="1"/>
  <c r="Q2370" i="1"/>
  <c r="Q2021" i="1"/>
  <c r="Q1924" i="1"/>
  <c r="Q2691" i="1"/>
  <c r="Q1261" i="1"/>
  <c r="Q1036" i="1"/>
  <c r="Q1563" i="1"/>
  <c r="Q1704" i="1"/>
  <c r="Q1586" i="1"/>
  <c r="Q1567" i="1"/>
  <c r="Q2488" i="1"/>
  <c r="Q1188" i="1"/>
  <c r="Q2628" i="1"/>
  <c r="Q1316" i="1"/>
  <c r="Q1715" i="1"/>
  <c r="Q1194" i="1"/>
  <c r="Q294" i="1"/>
  <c r="Q2005" i="1"/>
  <c r="Q1617" i="1"/>
  <c r="Q795" i="1"/>
  <c r="Q2155" i="1"/>
  <c r="Q2135" i="1"/>
  <c r="Q2572" i="1"/>
  <c r="Q2049" i="1"/>
  <c r="Q983" i="1"/>
  <c r="Q179" i="1"/>
  <c r="Q2566" i="1"/>
  <c r="Q2424" i="1"/>
  <c r="Q2222" i="1"/>
  <c r="Q2671" i="1"/>
  <c r="Q1364" i="1"/>
  <c r="Q1336" i="1"/>
  <c r="Q576" i="1"/>
  <c r="Q578" i="1"/>
  <c r="Q1816" i="1"/>
  <c r="Q852" i="1"/>
  <c r="Q259" i="1"/>
  <c r="Q2198" i="1"/>
  <c r="Q562" i="1"/>
  <c r="Q286" i="1"/>
  <c r="Q935" i="1"/>
  <c r="Q728" i="1"/>
  <c r="Q505" i="1"/>
  <c r="Q2098" i="1"/>
  <c r="Q918" i="1"/>
  <c r="Q1584" i="1"/>
  <c r="Q977" i="1"/>
  <c r="Q1309" i="1"/>
  <c r="Q1009" i="1"/>
  <c r="Q54" i="1"/>
  <c r="Q2475" i="1"/>
  <c r="Q637" i="1"/>
  <c r="Q814" i="1"/>
  <c r="Q908" i="1"/>
  <c r="Q2352" i="1"/>
  <c r="Q2161" i="1"/>
  <c r="Q843" i="1"/>
  <c r="Q89" i="1"/>
  <c r="Q2040" i="1"/>
  <c r="Q2212" i="1"/>
  <c r="Q2002" i="1"/>
  <c r="Q1778" i="1"/>
  <c r="Q1885" i="1"/>
  <c r="Q2597" i="1"/>
  <c r="Q1874" i="1"/>
  <c r="Q2699" i="1"/>
  <c r="Q835" i="1"/>
  <c r="Q2322" i="1"/>
  <c r="Q1888" i="1"/>
  <c r="Q2760" i="1"/>
  <c r="Q2729" i="1"/>
  <c r="Q1643" i="1"/>
  <c r="Q2069" i="1"/>
  <c r="Q684" i="1"/>
  <c r="Q2712" i="1"/>
  <c r="Q2743" i="1"/>
  <c r="Q1915" i="1"/>
  <c r="Q1569" i="1"/>
  <c r="Q565" i="1"/>
  <c r="Q2706" i="1"/>
  <c r="Q1667" i="1"/>
  <c r="Q1668" i="1"/>
  <c r="Q2187" i="1"/>
  <c r="Q180" i="1"/>
  <c r="Q1699" i="1"/>
  <c r="Q2722" i="1"/>
  <c r="Q1112" i="1"/>
  <c r="Q2727" i="1"/>
  <c r="Q1495" i="1"/>
  <c r="Q1966" i="1"/>
  <c r="Q158" i="1"/>
  <c r="Q1068" i="1"/>
  <c r="Q2096" i="1"/>
  <c r="Q1678" i="1"/>
  <c r="Q1119" i="1"/>
  <c r="Q1630" i="1"/>
  <c r="Q2447" i="1"/>
  <c r="Q822" i="1"/>
  <c r="Q2413" i="1"/>
  <c r="Q417" i="1"/>
  <c r="Q2074" i="1"/>
  <c r="Q2174" i="1"/>
  <c r="Q1718" i="1"/>
  <c r="Q2160" i="1"/>
  <c r="Q1706" i="1"/>
  <c r="Q2569" i="1"/>
  <c r="Q847" i="1"/>
  <c r="Q2466" i="1"/>
  <c r="Q1669" i="1"/>
  <c r="Q1050" i="1"/>
  <c r="Q2124" i="1"/>
  <c r="Q318" i="1"/>
  <c r="Q710" i="1"/>
  <c r="Q1478" i="1"/>
  <c r="Q790" i="1"/>
  <c r="Q2517" i="1"/>
  <c r="Q1273" i="1"/>
  <c r="Q1237" i="1"/>
  <c r="Q799" i="1"/>
  <c r="Q1374" i="1"/>
  <c r="Q460" i="1"/>
  <c r="Q342" i="1"/>
  <c r="Q2199" i="1"/>
  <c r="Q2274" i="1"/>
  <c r="Q392" i="1"/>
  <c r="Q2534" i="1"/>
  <c r="Q1136" i="1"/>
  <c r="Q317" i="1"/>
  <c r="Q2522" i="1"/>
  <c r="Q2645" i="1"/>
  <c r="Q1128" i="1"/>
  <c r="Q2260" i="1"/>
  <c r="Q2300" i="1"/>
  <c r="Q2510" i="1"/>
  <c r="Q1274" i="1"/>
  <c r="Q2724" i="1"/>
  <c r="Q338" i="1"/>
  <c r="Q2648" i="1"/>
  <c r="Q2545" i="1"/>
  <c r="Q2504" i="1"/>
  <c r="Q2570" i="1"/>
  <c r="Q581" i="1"/>
  <c r="Q494" i="1"/>
  <c r="Q2715" i="1"/>
  <c r="Q1599" i="1"/>
  <c r="Q237" i="1"/>
  <c r="Q1301" i="1"/>
  <c r="Q716" i="1"/>
  <c r="Q2305" i="1"/>
  <c r="Q1870" i="1"/>
  <c r="Q2530" i="1"/>
  <c r="Q1323" i="1"/>
  <c r="Q280" i="1"/>
  <c r="Q2577" i="1"/>
  <c r="Q1252" i="1"/>
  <c r="Q135" i="1"/>
  <c r="Q681" i="1"/>
  <c r="Q177" i="1"/>
  <c r="Q928" i="1"/>
  <c r="Q2625" i="1"/>
  <c r="Q72" i="1"/>
  <c r="Q1830" i="1"/>
  <c r="Q520" i="1"/>
  <c r="Q1415" i="1"/>
  <c r="Q584" i="1"/>
  <c r="Q1189" i="1"/>
  <c r="Q331" i="1"/>
  <c r="Q1953" i="1"/>
  <c r="Q1941" i="1"/>
  <c r="Q1476" i="1"/>
  <c r="Q1702" i="1"/>
  <c r="Q2506" i="1"/>
  <c r="Q677" i="1"/>
  <c r="Q2089" i="1"/>
  <c r="Q68" i="1"/>
  <c r="Q738" i="1"/>
  <c r="Q1178" i="1"/>
  <c r="Q1833" i="1"/>
  <c r="Q1626" i="1"/>
  <c r="Q174" i="1"/>
  <c r="Q2557" i="1"/>
  <c r="Q1749" i="1"/>
  <c r="Q1925" i="1"/>
  <c r="Q1457" i="1"/>
  <c r="Q471" i="1"/>
  <c r="Q2193" i="1"/>
  <c r="Q727" i="1"/>
  <c r="Q2467" i="1"/>
  <c r="Q1972" i="1"/>
  <c r="Q1840" i="1"/>
  <c r="Q1405" i="1"/>
  <c r="Q787" i="1"/>
  <c r="Q2035" i="1"/>
  <c r="Q1875" i="1"/>
  <c r="Q2687" i="1"/>
  <c r="Q437" i="1"/>
  <c r="Q1432" i="1"/>
  <c r="Q550" i="1"/>
  <c r="Q2753" i="1"/>
  <c r="Q2668" i="1"/>
  <c r="Q300" i="1"/>
  <c r="Q1795" i="1"/>
  <c r="Q296" i="1"/>
  <c r="Q2656" i="1"/>
  <c r="Q1049" i="1"/>
  <c r="Q2658" i="1"/>
  <c r="Q605" i="1"/>
  <c r="Q1045" i="1"/>
  <c r="Q1284" i="1"/>
  <c r="Q2166" i="1"/>
  <c r="Q579" i="1"/>
  <c r="Q1814" i="1"/>
  <c r="Q2471" i="1"/>
  <c r="Q2752" i="1"/>
  <c r="Q1091" i="1"/>
  <c r="Q1298" i="1"/>
  <c r="Q2734" i="1"/>
  <c r="Q2720" i="1"/>
  <c r="Q564" i="1"/>
  <c r="Q2617" i="1"/>
  <c r="Q2589" i="1"/>
  <c r="Q1677" i="1"/>
  <c r="Q2689" i="1"/>
  <c r="Q1723" i="1"/>
  <c r="Q1235" i="1"/>
  <c r="Q1494" i="1"/>
  <c r="Q1910" i="1"/>
  <c r="Q2344" i="1"/>
  <c r="Q1618" i="1"/>
  <c r="Q1062" i="1"/>
  <c r="Q2543" i="1"/>
  <c r="Q2052" i="1"/>
  <c r="Q2624" i="1"/>
  <c r="Q2293" i="1"/>
  <c r="Q1491" i="1"/>
  <c r="Q1123" i="1"/>
  <c r="Q1992" i="1"/>
  <c r="Q2502" i="1"/>
  <c r="Q1135" i="1"/>
  <c r="Q1786" i="1"/>
  <c r="Q2428" i="1"/>
  <c r="Q2443" i="1"/>
  <c r="Q2571" i="1"/>
  <c r="Q1861" i="1"/>
  <c r="Q537" i="1"/>
  <c r="Q1947" i="1"/>
  <c r="Q1076" i="1"/>
  <c r="Q720" i="1"/>
  <c r="Q354" i="1"/>
  <c r="Q2079" i="1"/>
  <c r="Q357" i="1"/>
  <c r="Q171" i="1"/>
  <c r="Q2702" i="1"/>
  <c r="Q159" i="1"/>
  <c r="Q1397" i="1"/>
  <c r="Q2549" i="1"/>
  <c r="Q1286" i="1"/>
  <c r="Q1206" i="1"/>
  <c r="Q2603" i="1"/>
  <c r="Q2406" i="1"/>
  <c r="Q1058" i="1"/>
  <c r="Q800" i="1"/>
  <c r="Q2276" i="1"/>
  <c r="Q2518" i="1"/>
  <c r="Q2749" i="1"/>
  <c r="Q2356" i="1"/>
  <c r="Q2618" i="1"/>
  <c r="Q1721" i="1"/>
  <c r="Q2654" i="1"/>
  <c r="Q1934" i="1"/>
  <c r="Q695" i="1"/>
  <c r="Q1151" i="1"/>
  <c r="Q920" i="1"/>
  <c r="Q2610" i="1"/>
  <c r="Q235" i="1"/>
  <c r="Q1293" i="1"/>
  <c r="Q2311" i="1"/>
  <c r="Q2725" i="1"/>
  <c r="Q2735" i="1"/>
  <c r="Q2627" i="1"/>
  <c r="Q122" i="1"/>
  <c r="Q667" i="1"/>
  <c r="Q2250" i="1"/>
  <c r="Q366" i="1"/>
  <c r="Q233" i="1"/>
  <c r="Q492" i="1"/>
  <c r="Q923" i="1"/>
  <c r="Q1970" i="1"/>
  <c r="Q782" i="1"/>
  <c r="Q1687" i="1"/>
  <c r="Q422" i="1"/>
  <c r="Q653" i="1"/>
  <c r="Q163" i="1"/>
  <c r="Q2345" i="1"/>
  <c r="Q540" i="1"/>
  <c r="Q2576" i="1"/>
  <c r="Q2595" i="1"/>
  <c r="Q1768" i="1"/>
  <c r="Q597" i="1"/>
  <c r="Q2692" i="1"/>
  <c r="Q104" i="1"/>
  <c r="Q2382" i="1"/>
  <c r="Q1570" i="1"/>
  <c r="Q2134" i="1"/>
  <c r="Q178" i="1"/>
  <c r="Q1183" i="1"/>
  <c r="Q2008" i="1"/>
  <c r="Q1464" i="1"/>
  <c r="Q1812" i="1"/>
  <c r="Q108" i="1"/>
  <c r="Q1324" i="1"/>
  <c r="Q1451" i="1"/>
  <c r="Q1381" i="1"/>
  <c r="Q1168" i="1"/>
  <c r="Q897" i="1"/>
  <c r="Q2539" i="1"/>
  <c r="Q1879" i="1"/>
  <c r="Q466" i="1"/>
  <c r="Q1722" i="1"/>
  <c r="Q648" i="1"/>
  <c r="Q2411" i="1"/>
  <c r="Q2379" i="1"/>
  <c r="Q2741" i="1"/>
  <c r="Q2681" i="1"/>
  <c r="Q1679" i="1"/>
  <c r="Q534" i="1"/>
  <c r="Q2220" i="1"/>
  <c r="Q2578" i="1"/>
  <c r="Q2672" i="1"/>
  <c r="Q1539" i="1"/>
  <c r="Q2680" i="1"/>
  <c r="Q2350" i="1"/>
  <c r="Q888" i="1"/>
  <c r="Q111" i="1"/>
  <c r="Q1913" i="1"/>
  <c r="Q989" i="1"/>
  <c r="Q554" i="1"/>
  <c r="Q75" i="1"/>
  <c r="Q1349" i="1"/>
  <c r="Q206" i="1"/>
  <c r="Q214" i="1"/>
  <c r="Q1187" i="1"/>
  <c r="Q1155" i="1"/>
  <c r="Q1320" i="1"/>
  <c r="Q386" i="1"/>
  <c r="Q2339" i="1"/>
  <c r="Q2020" i="1"/>
  <c r="Q1463" i="1"/>
  <c r="Q2460" i="1"/>
  <c r="Q502" i="1"/>
  <c r="Q919" i="1"/>
  <c r="Q232" i="1"/>
  <c r="Q591" i="1"/>
  <c r="Q5" i="1"/>
  <c r="Q2303" i="1"/>
  <c r="Q1231" i="1"/>
  <c r="Q99" i="1"/>
  <c r="Q2544" i="1"/>
  <c r="Q1860" i="1"/>
  <c r="Q340" i="1"/>
  <c r="Q2026" i="1"/>
  <c r="Q363" i="1"/>
  <c r="Q1338" i="1"/>
  <c r="Q1388" i="1"/>
  <c r="Q1895" i="1"/>
  <c r="Q1927" i="1"/>
  <c r="Q2017" i="1"/>
  <c r="Q1382" i="1"/>
  <c r="Q2296" i="1"/>
  <c r="Q384" i="1"/>
  <c r="Q2063" i="1"/>
  <c r="Q552" i="1"/>
  <c r="Q442" i="1"/>
  <c r="Q1081" i="1"/>
  <c r="Q634" i="1"/>
  <c r="Q2015" i="1"/>
  <c r="Q55" i="1"/>
  <c r="Q391" i="1"/>
  <c r="Q322" i="1"/>
  <c r="Q1638" i="1"/>
  <c r="Q2241" i="1"/>
  <c r="Q2373" i="1"/>
  <c r="Q1454" i="1"/>
  <c r="Q2157" i="1"/>
  <c r="Q90" i="1"/>
  <c r="Q881" i="1"/>
  <c r="Q1317" i="1"/>
  <c r="Q512" i="1"/>
  <c r="Q964" i="1"/>
  <c r="Q2456" i="1"/>
  <c r="Q1504" i="1"/>
  <c r="Q447" i="1"/>
  <c r="Q1535" i="1"/>
  <c r="Q2461" i="1"/>
  <c r="Q804" i="1"/>
  <c r="Q1674" i="1"/>
  <c r="Q501" i="1"/>
  <c r="Q328" i="1"/>
  <c r="Q12" i="1"/>
  <c r="Q1485" i="1"/>
  <c r="Q659" i="1"/>
  <c r="Q769" i="1"/>
  <c r="Q2177" i="1"/>
  <c r="Q1598" i="1"/>
  <c r="Q1084" i="1"/>
  <c r="Q699" i="1"/>
  <c r="Q984" i="1"/>
  <c r="Q1443" i="1"/>
  <c r="Q932" i="1"/>
  <c r="Q251" i="1"/>
  <c r="Q828" i="1"/>
  <c r="Q1043" i="1"/>
  <c r="Q2221" i="1"/>
  <c r="Q1801" i="1"/>
  <c r="Q1612" i="1"/>
  <c r="Q1196" i="1"/>
  <c r="Q1268" i="1"/>
  <c r="Q669" i="1"/>
  <c r="Q1395" i="1"/>
  <c r="Q1853" i="1"/>
  <c r="Q1545" i="1"/>
  <c r="Q493" i="1"/>
  <c r="Q921" i="1"/>
  <c r="Q781" i="1"/>
  <c r="Q953" i="1"/>
  <c r="Q2252" i="1"/>
  <c r="Q32" i="1"/>
  <c r="Q266" i="1"/>
  <c r="Q1537" i="1"/>
  <c r="Q2265" i="1"/>
  <c r="Q933" i="1"/>
  <c r="Q2229" i="1"/>
  <c r="Q1211" i="1"/>
  <c r="Q2294" i="1"/>
  <c r="Q2165" i="1"/>
  <c r="Q725" i="1"/>
  <c r="Q1631" i="1"/>
  <c r="Q811" i="1"/>
  <c r="Q1115" i="1"/>
  <c r="Q630" i="1"/>
  <c r="Q2343" i="1"/>
  <c r="Q1355" i="1"/>
  <c r="Q2497" i="1"/>
  <c r="Q2391" i="1"/>
  <c r="Q397" i="1"/>
  <c r="Q478" i="1"/>
  <c r="Q823" i="1"/>
  <c r="Q633" i="1"/>
  <c r="Q1423" i="1"/>
  <c r="Q898" i="1"/>
  <c r="Q780" i="1"/>
  <c r="Q744" i="1"/>
  <c r="Q1038" i="1"/>
  <c r="Q1593" i="1"/>
  <c r="Q1940" i="1"/>
  <c r="Q1971" i="1"/>
  <c r="Q291" i="1"/>
  <c r="Q1035" i="1"/>
  <c r="Q2758" i="1"/>
  <c r="Q2756" i="1"/>
  <c r="Q2677" i="1"/>
  <c r="Q1502" i="1"/>
  <c r="Q1600" i="1"/>
  <c r="Q937" i="1"/>
  <c r="Q1998" i="1"/>
  <c r="Q1025" i="1"/>
  <c r="Q533" i="1"/>
  <c r="Q225" i="1"/>
  <c r="Q808" i="1"/>
  <c r="Q555" i="1"/>
  <c r="Q2575" i="1"/>
  <c r="Q270" i="1"/>
  <c r="Q1034" i="1"/>
  <c r="Q1220" i="1"/>
  <c r="Q61" i="1"/>
  <c r="Q2639" i="1"/>
  <c r="Q2584" i="1"/>
  <c r="Q1574" i="1"/>
  <c r="Q2538" i="1"/>
  <c r="Q877" i="1"/>
  <c r="Q1982" i="1"/>
  <c r="Q432" i="1"/>
  <c r="Q1615" i="1"/>
  <c r="Q641" i="1"/>
  <c r="Q829" i="1"/>
  <c r="Q635" i="1"/>
  <c r="Q1735" i="1"/>
  <c r="Q2138" i="1"/>
  <c r="Q620" i="1"/>
  <c r="Q1074" i="1"/>
  <c r="Q1310" i="1"/>
  <c r="Q2631" i="1"/>
  <c r="Q2657" i="1"/>
  <c r="Q668" i="1"/>
  <c r="Q2366" i="1"/>
  <c r="Q155" i="1"/>
  <c r="Q1864" i="1"/>
  <c r="Q204" i="1"/>
  <c r="Q2033" i="1"/>
  <c r="Q1482" i="1"/>
  <c r="Q2320" i="1"/>
  <c r="Q350" i="1"/>
  <c r="Q169" i="1"/>
  <c r="Q414" i="1"/>
  <c r="Q1736" i="1"/>
  <c r="Q1163" i="1"/>
  <c r="Q1856" i="1"/>
  <c r="Q356" i="1"/>
  <c r="Q1990" i="1"/>
  <c r="Q762" i="1"/>
  <c r="Q2145" i="1"/>
  <c r="Q489" i="1"/>
  <c r="Q2248" i="1"/>
  <c r="Q2192" i="1"/>
  <c r="Q1181" i="1"/>
  <c r="Q1449" i="1"/>
  <c r="Q370" i="1"/>
  <c r="Q1984" i="1"/>
  <c r="Q469" i="1"/>
  <c r="Q83" i="1"/>
  <c r="Q2384" i="1"/>
  <c r="Q842" i="1"/>
  <c r="Q1233" i="1"/>
  <c r="Q2150" i="1"/>
  <c r="Q1498" i="1"/>
  <c r="Q325" i="1"/>
  <c r="Q991" i="1"/>
  <c r="Q1724" i="1"/>
  <c r="Q1158" i="1"/>
  <c r="Q1439" i="1"/>
  <c r="Q2118" i="1"/>
  <c r="Q615" i="1"/>
  <c r="Q1080" i="1"/>
  <c r="Q1010" i="1"/>
  <c r="Q2421" i="1"/>
  <c r="Q1520" i="1"/>
  <c r="Q893" i="1"/>
  <c r="Q2201" i="1"/>
  <c r="Q1302" i="1"/>
  <c r="Q2027" i="1"/>
  <c r="Q1182" i="1"/>
  <c r="Q69" i="1"/>
  <c r="Q1796" i="1"/>
  <c r="Q1054" i="1"/>
  <c r="Q2388" i="1"/>
  <c r="Q1762" i="1"/>
  <c r="Q1489" i="1"/>
  <c r="Q1611" i="1"/>
  <c r="Q673" i="1"/>
  <c r="Q96" i="1"/>
  <c r="Q2401" i="1"/>
  <c r="Q2185" i="1"/>
  <c r="Q308" i="1"/>
  <c r="Q223" i="1"/>
  <c r="Q934" i="1"/>
  <c r="Q506" i="1"/>
  <c r="Q1195" i="1"/>
  <c r="Q833" i="1"/>
  <c r="Q2693" i="1"/>
  <c r="Q1547" i="1"/>
  <c r="Q2071" i="1"/>
  <c r="Q1714" i="1"/>
  <c r="Q7" i="1"/>
  <c r="Q1019" i="1"/>
  <c r="Q100" i="1"/>
  <c r="Q1963" i="1"/>
  <c r="Q2472" i="1"/>
  <c r="Q1632" i="1"/>
  <c r="Q2034" i="1"/>
  <c r="Q2001" i="1"/>
  <c r="Q698" i="1"/>
  <c r="Q2355" i="1"/>
  <c r="Q707" i="1"/>
  <c r="Q148" i="1"/>
  <c r="Q692" i="1"/>
  <c r="Q1713" i="1"/>
  <c r="Q1738" i="1"/>
  <c r="Q1805" i="1"/>
  <c r="Q1130" i="1"/>
  <c r="Q44" i="1"/>
  <c r="Q2062" i="1"/>
  <c r="Q2614" i="1"/>
  <c r="Q2172" i="1"/>
  <c r="Q2102" i="1"/>
  <c r="Q2560" i="1"/>
  <c r="Q59" i="1"/>
  <c r="Q1118" i="1"/>
  <c r="Q2643" i="1"/>
  <c r="Q491" i="1"/>
  <c r="Q1111" i="1"/>
  <c r="Q346" i="1"/>
  <c r="Q1594" i="1"/>
  <c r="Q260" i="1"/>
  <c r="Q2254" i="1"/>
  <c r="Q803" i="1"/>
  <c r="Q1198" i="1"/>
  <c r="Q2227" i="1"/>
  <c r="Q1306" i="1"/>
  <c r="Q70" i="1"/>
  <c r="Q2661" i="1"/>
  <c r="Q1837" i="1"/>
  <c r="Q2267" i="1"/>
  <c r="Q2188" i="1"/>
  <c r="Q2599" i="1"/>
  <c r="Q390" i="1"/>
  <c r="Q524" i="1"/>
  <c r="Q94" i="1"/>
  <c r="Q2114" i="1"/>
  <c r="Q2240" i="1"/>
  <c r="Q1448" i="1"/>
  <c r="Q373" i="1"/>
  <c r="Q202" i="1"/>
  <c r="Q1855" i="1"/>
  <c r="Q1165" i="1"/>
  <c r="Q1445" i="1"/>
  <c r="Q1532" i="1"/>
  <c r="Q360" i="1"/>
  <c r="Q601" i="1"/>
  <c r="Q2205" i="1"/>
  <c r="Q1275" i="1"/>
  <c r="Q956" i="1"/>
  <c r="Q2234" i="1"/>
  <c r="Q2279" i="1"/>
  <c r="Q151" i="1"/>
  <c r="Q517" i="1"/>
  <c r="Q532" i="1"/>
  <c r="Q1383" i="1"/>
  <c r="Q459" i="1"/>
  <c r="Q1683" i="1"/>
  <c r="Q718" i="1"/>
  <c r="Q116" i="1"/>
  <c r="Q657" i="1"/>
  <c r="Q2117" i="1"/>
  <c r="Q859" i="1"/>
  <c r="Q1606" i="1"/>
  <c r="Q1262" i="1"/>
  <c r="Q2489" i="1"/>
  <c r="Q2108" i="1"/>
  <c r="Q2203" i="1"/>
  <c r="Q2007" i="1"/>
  <c r="Q1543" i="1"/>
  <c r="Q404" i="1"/>
  <c r="Q2219" i="1"/>
  <c r="Q1542" i="1"/>
  <c r="Q1619" i="1"/>
  <c r="Q1353" i="1"/>
  <c r="Q2408" i="1"/>
  <c r="Q1851" i="1"/>
  <c r="Q702" i="1"/>
  <c r="Q1419" i="1"/>
  <c r="Q930" i="1"/>
  <c r="Q544" i="1"/>
  <c r="Q277" i="1"/>
  <c r="Q167" i="1"/>
  <c r="Q1694" i="1"/>
  <c r="Q1192" i="1"/>
  <c r="Q472" i="1"/>
  <c r="Q1410" i="1"/>
  <c r="Q1523" i="1"/>
  <c r="Q1101" i="1"/>
  <c r="Q761" i="1"/>
  <c r="Q35" i="1"/>
  <c r="Q1728" i="1"/>
  <c r="Q2371" i="1"/>
  <c r="Q1807" i="1"/>
  <c r="Q1950" i="1"/>
  <c r="Q1917" i="1"/>
  <c r="Q388" i="1"/>
  <c r="Q2244" i="1"/>
  <c r="Q1247" i="1"/>
  <c r="Q1794" i="1"/>
  <c r="Q1780" i="1"/>
  <c r="Q1394" i="1"/>
  <c r="Q2122" i="1"/>
  <c r="Q427" i="1"/>
  <c r="Q827" i="1"/>
  <c r="Q972" i="1"/>
  <c r="Q2076" i="1"/>
  <c r="Q2101" i="1"/>
  <c r="Q326" i="1"/>
  <c r="Q1935" i="1"/>
  <c r="Q1854" i="1"/>
  <c r="Q415" i="1"/>
  <c r="Q1403" i="1"/>
  <c r="Q301" i="1"/>
  <c r="Q1672" i="1"/>
  <c r="Q1588" i="1"/>
  <c r="Q1576" i="1"/>
  <c r="Q1197" i="1"/>
  <c r="Q114" i="1"/>
  <c r="Q1148" i="1"/>
  <c r="Q721" i="1"/>
  <c r="Q1983" i="1"/>
  <c r="Q2009" i="1"/>
  <c r="Q396" i="1"/>
  <c r="Q1266" i="1"/>
  <c r="Q1508" i="1"/>
  <c r="Q48" i="1"/>
  <c r="Q2738" i="1"/>
  <c r="Q1082" i="1"/>
  <c r="Q938" i="1"/>
  <c r="Q709" i="1"/>
  <c r="Q2633" i="1"/>
  <c r="Q2153" i="1"/>
  <c r="Q969" i="1"/>
  <c r="Q448" i="1"/>
  <c r="Q1783" i="1"/>
  <c r="Q2659" i="1"/>
  <c r="Q1446" i="1"/>
  <c r="Q186" i="1"/>
  <c r="Q2140" i="1"/>
  <c r="Q1217" i="1"/>
  <c r="Q651" i="1"/>
  <c r="Q2050" i="1"/>
  <c r="Q2757" i="1"/>
  <c r="Q2684" i="1"/>
  <c r="Q528" i="1"/>
  <c r="Q2550" i="1"/>
  <c r="Q656" i="1"/>
  <c r="Q1685" i="1"/>
  <c r="Q1818" i="1"/>
  <c r="Q2464" i="1"/>
  <c r="Q1514" i="1"/>
  <c r="Q1018" i="1"/>
  <c r="Q1285" i="1"/>
  <c r="Q599" i="1"/>
  <c r="Q582" i="1"/>
  <c r="Q22" i="1"/>
  <c r="Q1116" i="1"/>
  <c r="Q1094" i="1"/>
  <c r="Q1039" i="1"/>
  <c r="Q1022" i="1"/>
  <c r="Q1276" i="1"/>
  <c r="Q2652" i="1"/>
  <c r="Q954" i="1"/>
  <c r="Q1684" i="1"/>
  <c r="Q1408" i="1"/>
  <c r="Q996" i="1"/>
  <c r="Q902" i="1"/>
  <c r="Q2095" i="1"/>
  <c r="Q1553" i="1"/>
  <c r="Q284" i="1"/>
  <c r="Q1159" i="1"/>
  <c r="Q1652" i="1"/>
  <c r="Q1503" i="1"/>
  <c r="Q929" i="1"/>
  <c r="Q2131" i="1"/>
  <c r="Q8" i="1"/>
  <c r="Q2051" i="1"/>
  <c r="Q861" i="1"/>
  <c r="Q85" i="1"/>
  <c r="Q1106" i="1"/>
  <c r="Q1086" i="1"/>
  <c r="Q1164" i="1"/>
  <c r="Q1346" i="1"/>
  <c r="Q816" i="1"/>
  <c r="Q1650" i="1"/>
  <c r="Q1221" i="1"/>
  <c r="Q587" i="1"/>
  <c r="Q2551" i="1"/>
  <c r="Q729" i="1"/>
  <c r="Q1834" i="1"/>
  <c r="Q1225" i="1"/>
  <c r="Q1342" i="1"/>
  <c r="Q463" i="1"/>
  <c r="Q408" i="1"/>
  <c r="Q1769" i="1"/>
  <c r="Q1513" i="1"/>
  <c r="Q426" i="1"/>
  <c r="Q1071" i="1"/>
  <c r="Q2404" i="1"/>
  <c r="Q646" i="1"/>
  <c r="Q193" i="1"/>
  <c r="Q580" i="1"/>
  <c r="Q2697" i="1"/>
  <c r="Q2634" i="1"/>
  <c r="Q2037" i="1"/>
  <c r="Q2126" i="1"/>
  <c r="Q1083" i="1"/>
  <c r="Q786" i="1"/>
  <c r="Q1959" i="1"/>
  <c r="Q658" i="1"/>
  <c r="Q1343" i="1"/>
  <c r="Q2299" i="1"/>
  <c r="Q2556" i="1"/>
  <c r="Q195" i="1"/>
  <c r="Q2081" i="1"/>
  <c r="Q2328" i="1"/>
  <c r="Q1817" i="1"/>
  <c r="Q973" i="1"/>
  <c r="Q1240" i="1"/>
  <c r="Q2042" i="1"/>
  <c r="Q855" i="1"/>
  <c r="Q1932" i="1"/>
  <c r="Q1583" i="1"/>
  <c r="Q705" i="1"/>
  <c r="Q764" i="1"/>
  <c r="Q2202" i="1"/>
  <c r="Q1827" i="1"/>
  <c r="Q2104" i="1"/>
  <c r="Q1682" i="1"/>
  <c r="Q287" i="1"/>
  <c r="Q2024" i="1"/>
  <c r="Q1150" i="1"/>
  <c r="Q1849" i="1"/>
  <c r="Q375" i="1"/>
  <c r="Q2483" i="1"/>
  <c r="Q46" i="1"/>
  <c r="Q97" i="1"/>
  <c r="Q2308" i="1"/>
  <c r="Q1385" i="1"/>
  <c r="Q990" i="1"/>
  <c r="Q899" i="1"/>
  <c r="Q949" i="1"/>
  <c r="Q961" i="1"/>
  <c r="Q1903" i="1"/>
  <c r="Q1820" i="1"/>
  <c r="Q982" i="1"/>
  <c r="Q1526" i="1"/>
  <c r="Q912" i="1"/>
  <c r="Q1250" i="1"/>
  <c r="Q1776" i="1"/>
  <c r="Q305" i="1"/>
  <c r="Q1380" i="1"/>
  <c r="Q2011" i="1"/>
  <c r="Q1858" i="1"/>
  <c r="Q2338" i="1"/>
  <c r="Q1172" i="1"/>
  <c r="Q1554" i="1"/>
  <c r="Q713" i="1"/>
  <c r="Q449" i="1"/>
  <c r="Q818" i="1"/>
  <c r="Q2402" i="1"/>
  <c r="Q2106" i="1"/>
  <c r="Q1743" i="1"/>
  <c r="Q2683" i="1"/>
  <c r="Q2674" i="1"/>
  <c r="Q2562" i="1"/>
  <c r="Q666" i="1"/>
  <c r="Q1179" i="1"/>
  <c r="Q1271" i="1"/>
  <c r="Q1479" i="1"/>
  <c r="Q102" i="1"/>
  <c r="Q500" i="1"/>
  <c r="Q1290" i="1"/>
  <c r="Q1029" i="1"/>
  <c r="Q836" i="1"/>
  <c r="Q1402" i="1"/>
  <c r="Q487" i="1"/>
  <c r="Q758" i="1"/>
  <c r="Q1305" i="1"/>
  <c r="Q2179" i="1"/>
  <c r="Q757" i="1"/>
  <c r="Q979" i="1"/>
  <c r="Q312" i="1"/>
  <c r="Q1033" i="1"/>
  <c r="Q73" i="1"/>
  <c r="Q2478" i="1"/>
  <c r="Q846" i="1"/>
  <c r="Q547" i="1"/>
  <c r="Q515" i="1"/>
  <c r="Q263" i="1"/>
  <c r="Q1438" i="1"/>
  <c r="Q1734" i="1"/>
  <c r="Q2297" i="1"/>
  <c r="Q1602" i="1"/>
  <c r="Q1681" i="1"/>
  <c r="Q2064" i="1"/>
  <c r="Q670" i="1"/>
  <c r="Q1986" i="1"/>
  <c r="Q1326" i="1"/>
  <c r="Q1177" i="1"/>
  <c r="Q1999" i="1"/>
  <c r="Q586" i="1"/>
  <c r="Q886" i="1"/>
  <c r="Q1328" i="1"/>
  <c r="Q1790" i="1"/>
  <c r="Q741" i="1"/>
  <c r="Q1785" i="1"/>
  <c r="Q2127" i="1"/>
  <c r="Q1234" i="1"/>
  <c r="Q2369" i="1"/>
  <c r="Q229" i="1"/>
  <c r="Q1176" i="1"/>
  <c r="Q1872" i="1"/>
  <c r="Q2333" i="1"/>
  <c r="Q207" i="1"/>
  <c r="Q1218" i="1"/>
  <c r="Q1256" i="1"/>
  <c r="Q1191" i="1"/>
  <c r="Q531" i="1"/>
  <c r="Q779" i="1"/>
  <c r="Q1964" i="1"/>
  <c r="Q1436" i="1"/>
  <c r="Q368" i="1"/>
  <c r="Q2529" i="1"/>
  <c r="Q1886" i="1"/>
  <c r="Q508" i="1"/>
  <c r="Q2330" i="1"/>
  <c r="Q1024" i="1"/>
  <c r="Q2431" i="1"/>
  <c r="Q464" i="1"/>
  <c r="Q292" i="1"/>
  <c r="Q1784" i="1"/>
  <c r="Q691" i="1"/>
  <c r="Q719" i="1"/>
  <c r="Q1171" i="1"/>
  <c r="Q1883" i="1"/>
  <c r="Q1635" i="1"/>
  <c r="Q2270" i="1"/>
  <c r="Q47" i="1"/>
  <c r="Q129" i="1"/>
  <c r="Q1624" i="1"/>
  <c r="Q600" i="1"/>
  <c r="Q2480" i="1"/>
  <c r="Q785" i="1"/>
  <c r="Q887" i="1"/>
  <c r="Q1055" i="1"/>
  <c r="Q323" i="1"/>
  <c r="Q957" i="1"/>
  <c r="Q2086" i="1"/>
  <c r="Q1657" i="1"/>
  <c r="Q569" i="1"/>
  <c r="Q1770" i="1"/>
  <c r="Q42" i="1"/>
  <c r="Q1376" i="1"/>
  <c r="Q2151" i="1"/>
  <c r="Q959" i="1"/>
  <c r="Q2359" i="1"/>
  <c r="Q1291" i="1"/>
  <c r="Q619" i="1"/>
  <c r="Q1288" i="1"/>
  <c r="Q838" i="1"/>
  <c r="Q916" i="1"/>
  <c r="Q594" i="1"/>
  <c r="Q556" i="1"/>
  <c r="Q607" i="1"/>
  <c r="Q726" i="1"/>
  <c r="Q2536" i="1"/>
  <c r="Q1551" i="1"/>
  <c r="Q2044" i="1"/>
  <c r="Q1501" i="1"/>
  <c r="Q672" i="1"/>
  <c r="Q2696" i="1"/>
  <c r="Q1509" i="1"/>
  <c r="Q2615" i="1"/>
  <c r="Q2678" i="1"/>
  <c r="Q2407" i="1"/>
  <c r="Q1236" i="1"/>
  <c r="Q2541" i="1"/>
  <c r="Q1037" i="1"/>
  <c r="Q560" i="1"/>
  <c r="Q1975" i="1"/>
  <c r="Q2605" i="1"/>
  <c r="Q2014" i="1"/>
  <c r="Q2170" i="1"/>
  <c r="Q2694" i="1"/>
  <c r="Q38" i="1"/>
  <c r="Q676" i="1"/>
  <c r="Q1680" i="1"/>
  <c r="Q1552" i="1"/>
  <c r="Q679" i="1"/>
  <c r="Q1174" i="1"/>
  <c r="Q224" i="1"/>
  <c r="Q1126" i="1"/>
  <c r="Q1411" i="1"/>
  <c r="Q2235" i="1"/>
  <c r="Q860" i="1"/>
  <c r="Q1487" i="1"/>
  <c r="Q2405" i="1"/>
  <c r="Q1499" i="1"/>
  <c r="Q2700" i="1"/>
  <c r="Q144" i="1"/>
  <c r="Q496" i="1"/>
  <c r="Q997" i="1"/>
  <c r="Q1716" i="1"/>
  <c r="Q1842" i="1"/>
  <c r="Q1900" i="1"/>
  <c r="Q975" i="1"/>
  <c r="Q50" i="1"/>
  <c r="Q1085" i="1"/>
  <c r="Q2542" i="1"/>
  <c r="Q1460" i="1"/>
  <c r="Q873" i="1"/>
  <c r="Q91" i="1"/>
  <c r="Q1919" i="1"/>
  <c r="Q884" i="1"/>
  <c r="Q1144" i="1"/>
  <c r="Q1356" i="1"/>
  <c r="Q1017" i="1"/>
  <c r="Q575" i="1"/>
  <c r="Q316" i="1"/>
  <c r="Q203" i="1"/>
  <c r="Q1664" i="1"/>
  <c r="Q2123" i="1"/>
  <c r="Q1358" i="1"/>
  <c r="Q1079" i="1"/>
  <c r="Q443" i="1"/>
  <c r="Q2682" i="1"/>
  <c r="Q1277" i="1"/>
  <c r="Q1056" i="1"/>
  <c r="Q925" i="1"/>
  <c r="Q2136" i="1"/>
  <c r="Q1929" i="1"/>
  <c r="Q915" i="1"/>
  <c r="Q2183" i="1"/>
  <c r="Q1007" i="1"/>
  <c r="Q1889" i="1"/>
  <c r="Q115" i="1"/>
  <c r="Q1032" i="1"/>
  <c r="Q626" i="1"/>
  <c r="Q740" i="1"/>
  <c r="Q686" i="1"/>
  <c r="Q1881" i="1"/>
  <c r="Q1890" i="1"/>
  <c r="Q1204" i="1"/>
  <c r="Q24" i="1"/>
  <c r="Q1558" i="1"/>
  <c r="Q358" i="1"/>
  <c r="Q1294" i="1"/>
  <c r="Q2740" i="1"/>
  <c r="Q2059" i="1"/>
  <c r="Q2462" i="1"/>
  <c r="Q945" i="1"/>
  <c r="Q1985" i="1"/>
  <c r="Q485" i="1"/>
  <c r="Q187" i="1"/>
  <c r="Q1515" i="1"/>
  <c r="Q1634" i="1"/>
  <c r="Q1517" i="1"/>
  <c r="Q1692" i="1"/>
  <c r="Q1207" i="1"/>
  <c r="Q123" i="1"/>
  <c r="Q2287" i="1"/>
  <c r="Q2323" i="1"/>
  <c r="Q563" i="1"/>
  <c r="Q1201" i="1"/>
  <c r="Q11" i="1"/>
  <c r="Q1139" i="1"/>
  <c r="Q1637" i="1"/>
  <c r="Q507" i="1"/>
  <c r="Q1016" i="1"/>
  <c r="Q824" i="1"/>
  <c r="Q2013" i="1"/>
  <c r="Q636" i="1"/>
  <c r="Q2596" i="1"/>
  <c r="Q2291" i="1"/>
  <c r="Q416" i="1"/>
  <c r="Q1944" i="1"/>
  <c r="Q2168" i="1"/>
  <c r="Q1641" i="1"/>
  <c r="Q693" i="1"/>
  <c r="Q228" i="1"/>
  <c r="Q853" i="1"/>
  <c r="Q1831" i="1"/>
  <c r="Q2233" i="1"/>
  <c r="Q867" i="1"/>
  <c r="Q840" i="1"/>
  <c r="Q2440" i="1"/>
  <c r="Q807" i="1"/>
  <c r="Q538" i="1"/>
  <c r="Q1772" i="1"/>
  <c r="Q541" i="1"/>
  <c r="Q1146" i="1"/>
  <c r="Q1923" i="1"/>
  <c r="Q1066" i="1"/>
  <c r="Q2503" i="1"/>
  <c r="Q1897" i="1"/>
  <c r="Q1759" i="1"/>
  <c r="Q1829" i="1"/>
  <c r="Q1259" i="1"/>
  <c r="Q110" i="1"/>
  <c r="Q2263" i="1"/>
  <c r="Q2159" i="1"/>
  <c r="Q849" i="1"/>
  <c r="Q1859" i="1"/>
  <c r="Q120" i="1"/>
  <c r="Q903" i="1"/>
  <c r="Q2342" i="1"/>
  <c r="Q451" i="1"/>
  <c r="Q181" i="1"/>
  <c r="Q832" i="1"/>
  <c r="Q246" i="1"/>
  <c r="Q703" i="1"/>
  <c r="Q2507" i="1"/>
  <c r="Q39" i="1"/>
  <c r="Q2640" i="1"/>
  <c r="Q1325" i="1"/>
  <c r="Q76" i="1"/>
  <c r="Q433" i="1"/>
  <c r="Q88" i="1"/>
  <c r="Q2450" i="1"/>
  <c r="Q2264" i="1"/>
  <c r="Q2208" i="1"/>
  <c r="Q926" i="1"/>
  <c r="Q288" i="1"/>
  <c r="Q269" i="1"/>
  <c r="Q613" i="1"/>
  <c r="Q1137" i="1"/>
  <c r="Q545" i="1"/>
  <c r="Q2215" i="1"/>
  <c r="Q2553" i="1"/>
  <c r="Q1798" i="1"/>
  <c r="Q2437" i="1"/>
  <c r="Q1224" i="1"/>
  <c r="Q2072" i="1"/>
  <c r="Q2247" i="1"/>
  <c r="Q801" i="1"/>
  <c r="Q1138" i="1"/>
  <c r="Q499" i="1"/>
  <c r="Q1954" i="1"/>
  <c r="Q1911" i="1"/>
  <c r="Q424" i="1"/>
  <c r="Q1945" i="1"/>
  <c r="Q1283" i="1"/>
  <c r="Q2224" i="1"/>
  <c r="Q208" i="1"/>
  <c r="Q2025" i="1"/>
  <c r="Q2307" i="1"/>
  <c r="Q2511" i="1"/>
  <c r="Q337" i="1"/>
  <c r="Q1027" i="1"/>
  <c r="Q1670" i="1"/>
  <c r="Q896" i="1"/>
  <c r="Q1103" i="1"/>
  <c r="Q1270" i="1"/>
  <c r="Q1930" i="1"/>
  <c r="Q1215" i="1"/>
  <c r="Q185" i="1"/>
  <c r="Q112" i="1"/>
  <c r="Q622" i="1"/>
  <c r="Q2228" i="1"/>
  <c r="Q680" i="1"/>
  <c r="Q2292" i="1"/>
  <c r="Q41" i="1"/>
  <c r="Q439" i="1"/>
  <c r="Q283" i="1"/>
  <c r="Q1557" i="1"/>
  <c r="Q2129" i="1"/>
  <c r="Q998" i="1"/>
  <c r="Q131" i="1"/>
  <c r="Q2321" i="1"/>
  <c r="Q644" i="1"/>
  <c r="Q950" i="1"/>
  <c r="Q723" i="1"/>
  <c r="Q289" i="1"/>
  <c r="Q851" i="1"/>
  <c r="Q156" i="1"/>
  <c r="Q1651" i="1"/>
  <c r="Q1375" i="1"/>
  <c r="Q2097" i="1"/>
  <c r="Q1433" i="1"/>
  <c r="Q1333" i="1"/>
  <c r="Q173" i="1"/>
  <c r="Q974" i="1"/>
  <c r="Q400" i="1"/>
  <c r="Q1700" i="1"/>
  <c r="Q1712" i="1"/>
  <c r="Q1587" i="1"/>
  <c r="Q1525" i="1"/>
  <c r="Q2286" i="1"/>
  <c r="Q1909" i="1"/>
  <c r="Q376" i="1"/>
  <c r="Q940" i="1"/>
  <c r="Q398" i="1"/>
  <c r="Q2519" i="1"/>
  <c r="Q1393" i="1"/>
  <c r="Q2376" i="1"/>
  <c r="Q1578" i="1"/>
  <c r="Q647" i="1"/>
  <c r="Q1354" i="1"/>
  <c r="Q497" i="1"/>
  <c r="Q696" i="1"/>
  <c r="Q1012" i="1"/>
  <c r="Q2363" i="1"/>
  <c r="Q2351" i="1"/>
  <c r="Q2537" i="1"/>
  <c r="Q1747" i="1"/>
  <c r="Q614" i="1"/>
  <c r="Q1090" i="1"/>
  <c r="Q2414" i="1"/>
  <c r="Q1041" i="1"/>
  <c r="Q2737" i="1"/>
  <c r="Q2031" i="1"/>
  <c r="Q2728" i="1"/>
  <c r="Q446" i="1"/>
  <c r="Q1957" i="1"/>
  <c r="Q477" i="1"/>
  <c r="Q1905" i="1"/>
  <c r="Q812" i="1"/>
  <c r="Q2710" i="1"/>
  <c r="Q671" i="1"/>
  <c r="Q1838" i="1"/>
  <c r="Q2563" i="1"/>
  <c r="Q217" i="1"/>
  <c r="Q557" i="1"/>
  <c r="Q1462" i="1"/>
  <c r="Q117" i="1"/>
  <c r="Q196" i="1"/>
  <c r="Q1357" i="1"/>
  <c r="Q2204" i="1"/>
  <c r="Q37" i="1"/>
  <c r="Q1500" i="1"/>
  <c r="Q1865" i="1"/>
  <c r="Q71" i="1"/>
  <c r="Q2526" i="1"/>
  <c r="Q1549" i="1"/>
  <c r="Q1665" i="1"/>
  <c r="Q1516" i="1"/>
  <c r="Q2107" i="1"/>
  <c r="Q1691" i="1"/>
  <c r="Q1572" i="1"/>
  <c r="Q2473" i="1"/>
  <c r="Q2604" i="1"/>
  <c r="Q1730" i="1"/>
  <c r="Q1590" i="1"/>
  <c r="Q9" i="1"/>
  <c r="Q1512" i="1"/>
  <c r="Q805" i="1"/>
  <c r="Q2346" i="1"/>
  <c r="Q1042" i="1"/>
  <c r="Q150" i="1"/>
  <c r="Q1633" i="1"/>
  <c r="Q1078" i="1"/>
  <c r="Q1109" i="1"/>
  <c r="Q652" i="1"/>
  <c r="Q1577" i="1"/>
  <c r="Q2162" i="1"/>
  <c r="Q711" i="1"/>
  <c r="Q724" i="1"/>
  <c r="Q848" i="1"/>
  <c r="Q395" i="1"/>
  <c r="Q2676" i="1"/>
  <c r="Q2360" i="1"/>
  <c r="Q2581" i="1"/>
  <c r="Q1544" i="1"/>
  <c r="Q986" i="1"/>
  <c r="Q2532" i="1"/>
  <c r="Q475" i="1"/>
  <c r="Q1070" i="1"/>
  <c r="Q2132" i="1"/>
  <c r="Q2580" i="1"/>
  <c r="Q1392" i="1"/>
  <c r="Q1458" i="1"/>
  <c r="Q1238" i="1"/>
  <c r="Q455" i="1"/>
  <c r="Q1497" i="1"/>
  <c r="Q993" i="1"/>
  <c r="Q1067" i="1"/>
  <c r="Q1340" i="1"/>
  <c r="Q890" i="1"/>
  <c r="Q2288" i="1"/>
  <c r="Q660" i="1"/>
  <c r="Q742" i="1"/>
  <c r="Q2438" i="1"/>
  <c r="Q64" i="1"/>
  <c r="Q2045" i="1"/>
  <c r="Q960" i="1"/>
  <c r="Q444" i="1"/>
  <c r="Q2476" i="1"/>
  <c r="Q65" i="1"/>
  <c r="Q1219" i="1"/>
  <c r="Q1117" i="1"/>
  <c r="Q901" i="1"/>
  <c r="Q2243" i="1"/>
  <c r="Q2585" i="1"/>
  <c r="Q2180" i="1"/>
  <c r="Q1248" i="1"/>
  <c r="Q629" i="1"/>
  <c r="Q1969" i="1"/>
  <c r="Q1352" i="1"/>
  <c r="Q551" i="1"/>
  <c r="Q92" i="1"/>
  <c r="Q987" i="1"/>
  <c r="Q1456" i="1"/>
  <c r="Q2496" i="1"/>
  <c r="Q126" i="1"/>
  <c r="Q1075" i="1"/>
  <c r="Q1242" i="1"/>
  <c r="Q1955" i="1"/>
  <c r="Q558" i="1"/>
  <c r="Q17" i="1"/>
  <c r="Q1920" i="1"/>
  <c r="Q616" i="1"/>
  <c r="Q1167" i="1"/>
  <c r="Q904" i="1"/>
  <c r="Q1051" i="1"/>
  <c r="Q348" i="1"/>
  <c r="Q425" i="1"/>
  <c r="Q1518" i="1"/>
  <c r="Q1048" i="1"/>
  <c r="Q157" i="1"/>
  <c r="Q2419" i="1"/>
  <c r="Q16" i="1"/>
  <c r="Q1099" i="1"/>
  <c r="Q498" i="1"/>
  <c r="Q470" i="1"/>
  <c r="Q1792" i="1"/>
  <c r="Q2230" i="1"/>
  <c r="Q240" i="1"/>
  <c r="Q15" i="1"/>
  <c r="Q1327" i="1"/>
  <c r="Q1040" i="1"/>
  <c r="Q530" i="1"/>
  <c r="Q2216" i="1"/>
  <c r="Q387" i="1"/>
  <c r="Q844" i="1"/>
  <c r="Q1962" i="1"/>
  <c r="Q341" i="1"/>
  <c r="Q1847" i="1"/>
  <c r="Q1484" i="1"/>
  <c r="Q1928" i="1"/>
  <c r="Q834" i="1"/>
  <c r="Q49" i="1"/>
  <c r="Q976" i="1"/>
  <c r="Q1506" i="1"/>
  <c r="Q256" i="1"/>
  <c r="Q1892" i="1"/>
  <c r="Q567" i="1"/>
  <c r="Q1269" i="1"/>
  <c r="Q570" i="1"/>
  <c r="Q2080" i="1"/>
  <c r="Q1296" i="1"/>
  <c r="Q2091" i="1"/>
  <c r="Q1559" i="1"/>
  <c r="Q107" i="1"/>
  <c r="Q465" i="1"/>
  <c r="Q141" i="1"/>
  <c r="Q1255" i="1"/>
  <c r="Q756" i="1"/>
  <c r="Q2110" i="1"/>
  <c r="Q1069" i="1"/>
  <c r="Q731" i="1"/>
  <c r="Q2609" i="1"/>
  <c r="Q868" i="1"/>
  <c r="Q247" i="1"/>
  <c r="Q2289" i="1"/>
  <c r="Q2435" i="1"/>
  <c r="Q474" i="1"/>
  <c r="Q1644" i="1"/>
  <c r="Q2152" i="1"/>
  <c r="Q1775" i="1"/>
  <c r="Q1440" i="1"/>
  <c r="Q1230" i="1"/>
  <c r="Q521" i="1"/>
  <c r="Q389" i="1"/>
  <c r="Q965" i="1"/>
  <c r="Q1603" i="1"/>
  <c r="Q2579" i="1"/>
  <c r="Q2446" i="1"/>
  <c r="Q522" i="1"/>
  <c r="Q1046" i="1"/>
  <c r="Q2200" i="1"/>
  <c r="Q623" i="1"/>
  <c r="Q2032" i="1"/>
  <c r="Q1107" i="1"/>
  <c r="Q1337" i="1"/>
  <c r="Q2444" i="1"/>
  <c r="Q1466" i="1"/>
  <c r="Q735" i="1"/>
  <c r="Q865" i="1"/>
  <c r="Q2206" i="1"/>
  <c r="Q1609" i="1"/>
  <c r="Q1698" i="1"/>
  <c r="Q2493" i="1"/>
  <c r="Q1938" i="1"/>
  <c r="Q875" i="1"/>
  <c r="Q967" i="1"/>
  <c r="Q2564" i="1"/>
  <c r="Q2372" i="1"/>
  <c r="Q793" i="1"/>
  <c r="Q1608" i="1"/>
  <c r="Q2053" i="1"/>
  <c r="Q2164" i="1"/>
  <c r="Q1994" i="1"/>
  <c r="Q685" i="1"/>
  <c r="Q2324" i="1"/>
  <c r="Q1926" i="1"/>
  <c r="Q86" i="1"/>
  <c r="Q2525" i="1"/>
  <c r="Q2105" i="1"/>
  <c r="Q1507" i="1"/>
  <c r="Q1591" i="1"/>
  <c r="Q813" i="1"/>
  <c r="Q2501" i="1"/>
  <c r="Q2445" i="1"/>
  <c r="Q704" i="1"/>
  <c r="Q2621" i="1"/>
  <c r="Q1332" i="1"/>
  <c r="Q255" i="1"/>
  <c r="Q798" i="1"/>
  <c r="Q1063" i="1"/>
  <c r="Q2439" i="1"/>
  <c r="Q1184" i="1"/>
  <c r="Q412" i="1"/>
  <c r="Q435" i="1"/>
  <c r="Q1826" i="1"/>
  <c r="Q1289" i="1"/>
  <c r="Q2520" i="1"/>
  <c r="Q2141" i="1"/>
  <c r="Q2077" i="1"/>
  <c r="Q134" i="1"/>
  <c r="Q253" i="1"/>
  <c r="Q2111" i="1"/>
  <c r="Q2197" i="1"/>
  <c r="Q2258" i="1"/>
  <c r="Q275" i="1"/>
  <c r="Q2119" i="1"/>
  <c r="Q2280" i="1"/>
  <c r="Q1803" i="1"/>
  <c r="Q788" i="1"/>
  <c r="Q2500" i="1"/>
  <c r="Q2364" i="1"/>
  <c r="Q503" i="1"/>
  <c r="Q2036" i="1"/>
  <c r="Q479" i="1"/>
  <c r="Q1450" i="1"/>
  <c r="Q2004" i="1"/>
  <c r="Q212" i="1"/>
  <c r="Q394" i="1"/>
  <c r="Q172" i="1"/>
  <c r="Q1904" i="1"/>
  <c r="Q946" i="1"/>
  <c r="Q2523" i="1"/>
  <c r="Q216" i="1"/>
  <c r="Q2246" i="1"/>
  <c r="Q103" i="1"/>
  <c r="Q324" i="1"/>
  <c r="Q2448" i="1"/>
  <c r="Q1575" i="1"/>
  <c r="Q1095" i="1"/>
  <c r="Q252" i="1"/>
  <c r="Q293" i="1"/>
  <c r="Q1389" i="1"/>
  <c r="Q1424" i="1"/>
  <c r="Q820" i="1"/>
  <c r="Q1228" i="1"/>
  <c r="Q2396" i="1"/>
  <c r="Q1703" i="1"/>
  <c r="Q2313" i="1"/>
  <c r="Q2383" i="1"/>
  <c r="Q1725" i="1"/>
  <c r="Q1585" i="1"/>
  <c r="Q1098" i="1"/>
  <c r="Q1129" i="1"/>
  <c r="Q542" i="1"/>
  <c r="Q1538" i="1"/>
  <c r="Q2000" i="1"/>
  <c r="Q428" i="1"/>
  <c r="Q2195" i="1"/>
  <c r="Q603" i="1"/>
  <c r="Q361" i="1"/>
  <c r="Q1605" i="1"/>
  <c r="Q2695" i="1"/>
  <c r="Q2314" i="1"/>
  <c r="Q1203" i="1"/>
  <c r="Q1272" i="1"/>
  <c r="Q1387" i="1"/>
  <c r="Q1303" i="1"/>
  <c r="Q274" i="1"/>
  <c r="Q640" i="1"/>
  <c r="Q57" i="1"/>
  <c r="Q1430" i="1"/>
  <c r="Q2606" i="1"/>
  <c r="Q739" i="1"/>
  <c r="Q403" i="1"/>
  <c r="Q1318" i="1"/>
  <c r="Q1300" i="1"/>
  <c r="Q1797" i="1"/>
  <c r="Q1222" i="1"/>
  <c r="Q2112" i="1"/>
  <c r="Q2441" i="1"/>
  <c r="Q1968" i="1"/>
  <c r="Q1666" i="1"/>
  <c r="Q1579" i="1"/>
  <c r="Q304" i="1"/>
  <c r="Q688" i="1"/>
  <c r="Q2207" i="1"/>
  <c r="Q2226" i="1"/>
  <c r="Q53" i="1"/>
  <c r="Q962" i="1"/>
  <c r="Q1384" i="1"/>
  <c r="Q402" i="1"/>
  <c r="Q29" i="1"/>
  <c r="Q2513" i="1"/>
  <c r="Q674" i="1"/>
  <c r="Q1880" i="1"/>
  <c r="Q687" i="1"/>
  <c r="Q1488" i="1"/>
  <c r="Q369" i="1"/>
  <c r="Q456" i="1"/>
  <c r="Q1213" i="1"/>
  <c r="Q791" i="1"/>
  <c r="Q2449" i="1"/>
  <c r="Q2377" i="1"/>
  <c r="Q511" i="1"/>
  <c r="Q1871" i="1"/>
  <c r="Q1660" i="1"/>
  <c r="Q1823" i="1"/>
  <c r="Q1866" i="1"/>
  <c r="Q2272" i="1"/>
  <c r="Q307" i="1"/>
  <c r="Q765" i="1"/>
  <c r="Q2385" i="1"/>
  <c r="Q197" i="1"/>
  <c r="Q51" i="1"/>
  <c r="Q2271" i="1"/>
  <c r="Q189" i="1"/>
  <c r="Q352" i="1"/>
  <c r="Q28" i="1"/>
  <c r="Q198" i="1"/>
  <c r="Q519" i="1"/>
  <c r="Q1533" i="1"/>
  <c r="Q1260" i="1"/>
  <c r="Q1401" i="1"/>
  <c r="Q1322" i="1"/>
  <c r="Q299" i="1"/>
  <c r="Q2093" i="1"/>
  <c r="Q2332" i="1"/>
  <c r="Q906" i="1"/>
  <c r="Q992" i="1"/>
  <c r="Q1265" i="1"/>
  <c r="Q2392" i="1"/>
  <c r="Q1244" i="1"/>
  <c r="Q850" i="1"/>
  <c r="Q1799" i="1"/>
  <c r="Q883" i="1"/>
  <c r="Q1093" i="1"/>
  <c r="Q1781" i="1"/>
  <c r="Q1008" i="1"/>
  <c r="Q1821" i="1"/>
  <c r="Q2679" i="1"/>
  <c r="Q548" i="1"/>
  <c r="Q2600" i="1"/>
  <c r="Q1108" i="1"/>
  <c r="Q2528" i="1"/>
  <c r="Q523" i="1"/>
  <c r="Q1708" i="1"/>
  <c r="Q1030" i="1"/>
  <c r="Q2554" i="1"/>
  <c r="Q2304" i="1"/>
  <c r="Q21" i="1"/>
  <c r="Q1097" i="1"/>
  <c r="Q2085" i="1"/>
  <c r="Q1133" i="1"/>
  <c r="Q2231" i="1"/>
  <c r="Q905" i="1"/>
  <c r="Q1740" i="1"/>
  <c r="Q1524" i="1"/>
  <c r="Q1154" i="1"/>
  <c r="Q154" i="1"/>
  <c r="Q2318" i="1"/>
  <c r="Q52" i="1"/>
  <c r="Q2459" i="1"/>
  <c r="Q2465" i="1"/>
  <c r="Q2302" i="1"/>
  <c r="Q1846" i="1"/>
  <c r="Q1752" i="1"/>
  <c r="Q40" i="1"/>
  <c r="Q1209" i="1"/>
  <c r="Q1442" i="1"/>
  <c r="Q794" i="1"/>
  <c r="Q2213" i="1"/>
  <c r="Q298" i="1"/>
  <c r="Q690" i="1"/>
  <c r="Q1565" i="1"/>
  <c r="Q249" i="1"/>
  <c r="Q1571" i="1"/>
  <c r="Q792" i="1"/>
  <c r="Q2249" i="1"/>
  <c r="Q546" i="1"/>
  <c r="Q1873" i="1"/>
  <c r="Q359" i="1"/>
  <c r="Q1156" i="1"/>
  <c r="Q1852" i="1"/>
  <c r="Q2381" i="1"/>
  <c r="Q1763" i="1"/>
  <c r="Q355" i="1"/>
  <c r="Q1754" i="1"/>
  <c r="Q219" i="1"/>
  <c r="Q1973" i="1"/>
  <c r="Q436" i="1"/>
  <c r="Q119" i="1"/>
  <c r="Q2082" i="1"/>
  <c r="Q596" i="1"/>
  <c r="Q2058" i="1"/>
  <c r="Q2325" i="1"/>
  <c r="Q2348" i="1"/>
  <c r="Q461" i="1"/>
  <c r="Q2399" i="1"/>
  <c r="Q2019" i="1"/>
  <c r="Q267" i="1"/>
  <c r="Q1490" i="1"/>
  <c r="Q205" i="1"/>
  <c r="Q1400" i="1"/>
  <c r="Q2665" i="1"/>
  <c r="Q2568" i="1"/>
  <c r="Q1200" i="1"/>
  <c r="Q2598" i="1"/>
  <c r="Q941" i="1"/>
  <c r="Q598" i="1"/>
  <c r="Q2144" i="1"/>
  <c r="Q1162" i="1"/>
  <c r="Q132" i="1"/>
  <c r="Q995" i="1"/>
  <c r="Q6" i="1"/>
  <c r="Q2137" i="1"/>
  <c r="Q420" i="1"/>
  <c r="Q857" i="1"/>
  <c r="Q1573" i="1"/>
  <c r="Q1906" i="1"/>
  <c r="Q440" i="1"/>
  <c r="Q1263" i="1"/>
  <c r="Q1658" i="1"/>
  <c r="Q1127" i="1"/>
  <c r="Q2239" i="1"/>
  <c r="Q1003" i="1"/>
  <c r="Q14" i="1"/>
  <c r="Q1223" i="1"/>
  <c r="Q2707" i="1"/>
  <c r="Q2486" i="1"/>
  <c r="Q665" i="1"/>
  <c r="Q1481" i="1"/>
  <c r="Q1417" i="1"/>
  <c r="Q265" i="1"/>
  <c r="Q1534" i="1"/>
  <c r="Q1809" i="1"/>
  <c r="Q2427" i="1"/>
  <c r="Q1960" i="1"/>
  <c r="Q1226" i="1"/>
  <c r="Q2586" i="1"/>
  <c r="Q2474" i="1"/>
  <c r="Q143" i="1"/>
  <c r="Q1493" i="1"/>
  <c r="Q353" i="1"/>
  <c r="Q2211" i="1"/>
  <c r="Q243" i="1"/>
  <c r="Q1996" i="1"/>
  <c r="Q880" i="1"/>
  <c r="Q2262" i="1"/>
  <c r="Q1661" i="1"/>
  <c r="Q2012" i="1"/>
  <c r="Q1359" i="1"/>
  <c r="Q381" i="1"/>
  <c r="Q2073" i="1"/>
  <c r="Q663" i="1"/>
  <c r="Q1061" i="1"/>
  <c r="Q2548" i="1"/>
  <c r="Q407" i="1"/>
  <c r="Q2420" i="1"/>
  <c r="Q2100" i="1"/>
  <c r="Q2463" i="1"/>
  <c r="Q1001" i="1"/>
  <c r="Q1005" i="1"/>
  <c r="Q1015" i="1"/>
  <c r="Q1053" i="1"/>
  <c r="Q513" i="1"/>
  <c r="Q1767" i="1"/>
  <c r="Q378" i="1"/>
  <c r="Q504" i="1"/>
  <c r="Q917" i="1"/>
  <c r="Q2646" i="1"/>
  <c r="Q1948" i="1"/>
  <c r="Q63" i="1"/>
  <c r="Q1004" i="1"/>
  <c r="Q1321" i="1"/>
  <c r="Q770" i="1"/>
  <c r="Q1589" i="1"/>
  <c r="Q1202" i="1"/>
  <c r="Q1891" i="1"/>
  <c r="Q347" i="1"/>
  <c r="Q862" i="1"/>
  <c r="Q1548" i="1"/>
  <c r="Q1092" i="1"/>
  <c r="Q1241" i="1"/>
  <c r="Q1239" i="1"/>
  <c r="Q113" i="1"/>
  <c r="Q1023" i="1"/>
  <c r="Q683" i="1"/>
  <c r="Q1299" i="1"/>
  <c r="Q2555" i="1"/>
  <c r="Q2458" i="1"/>
  <c r="Q879" i="1"/>
  <c r="Q1689" i="1"/>
  <c r="Q2393" i="1"/>
  <c r="Q2169" i="1"/>
  <c r="Q2331" i="1"/>
  <c r="Q2099" i="1"/>
  <c r="Q1521" i="1"/>
  <c r="Q2056" i="1"/>
  <c r="Q2236" i="1"/>
  <c r="Q1297" i="1"/>
  <c r="Q1977" i="1"/>
  <c r="Q130" i="1"/>
  <c r="Q2623" i="1"/>
  <c r="Q2744" i="1"/>
  <c r="Q1471" i="1"/>
  <c r="Q1391" i="1"/>
  <c r="Q2273" i="1"/>
  <c r="Q1943" i="1"/>
  <c r="Q2655" i="1"/>
  <c r="Q36" i="1"/>
  <c r="Q2660" i="1"/>
  <c r="Q262" i="1"/>
  <c r="Q2125" i="1"/>
  <c r="Q539" i="1"/>
  <c r="Q2416" i="1"/>
  <c r="Q815" i="1"/>
  <c r="Q649" i="1"/>
  <c r="Q434" i="1"/>
  <c r="Q1555" i="1"/>
  <c r="Q675" i="1"/>
  <c r="Q311" i="1"/>
  <c r="Q1642" i="1"/>
  <c r="Q1429" i="1"/>
  <c r="Q2319" i="1"/>
  <c r="Q1483" i="1"/>
  <c r="Q393" i="1"/>
  <c r="Q320" i="1"/>
  <c r="Q2310" i="1"/>
  <c r="Q1044" i="1"/>
  <c r="Q1647" i="1"/>
  <c r="Q2030" i="1"/>
  <c r="Q2432" i="1"/>
  <c r="Q2516" i="1"/>
  <c r="Q2210" i="1"/>
  <c r="Q1766" i="1"/>
  <c r="Q345" i="1"/>
  <c r="Q200" i="1"/>
  <c r="Q1921" i="1"/>
  <c r="Q2016" i="1"/>
  <c r="Q1729" i="1"/>
  <c r="Q1474" i="1"/>
  <c r="Q701" i="1"/>
  <c r="Q2115" i="1"/>
  <c r="Q642" i="1"/>
  <c r="Q968" i="1"/>
  <c r="Q2499" i="1"/>
  <c r="Q1711" i="1"/>
  <c r="Q454" i="1"/>
  <c r="Q536" i="1"/>
  <c r="Q2587" i="1"/>
  <c r="Q2410" i="1"/>
  <c r="Q1245" i="1"/>
  <c r="Q1690" i="1"/>
  <c r="Q980" i="1"/>
  <c r="Q234" i="1"/>
  <c r="Q431" i="1"/>
  <c r="Q751" i="1"/>
  <c r="Q2353" i="1"/>
  <c r="Q2457" i="1"/>
  <c r="Q1347" i="1"/>
  <c r="Q1748" i="1"/>
  <c r="Q1843" i="1"/>
  <c r="Q1779" i="1"/>
  <c r="Q367" i="1"/>
  <c r="Q2423" i="1"/>
  <c r="Q789" i="1"/>
  <c r="Q133" i="1"/>
  <c r="Q236" i="1"/>
  <c r="Q516" i="1"/>
  <c r="Q2054" i="1"/>
  <c r="Q606" i="1"/>
  <c r="Q771" i="1"/>
  <c r="Q734" i="1"/>
  <c r="Q362" i="1"/>
  <c r="Q1696" i="1"/>
  <c r="Q2312" i="1"/>
  <c r="Q2629" i="1"/>
  <c r="Q1844" i="1"/>
  <c r="Q2403" i="1"/>
  <c r="Q1580" i="1"/>
  <c r="Q2178" i="1"/>
  <c r="Q2349" i="1"/>
  <c r="Q1143" i="1"/>
  <c r="Q1956" i="1"/>
  <c r="Q2390" i="1"/>
  <c r="Q927" i="1"/>
  <c r="Q364" i="1"/>
  <c r="Q2090" i="1"/>
  <c r="Q1993" i="1"/>
  <c r="Q1369" i="1"/>
  <c r="Q1645" i="1"/>
  <c r="Q413" i="1"/>
  <c r="Q2368" i="1"/>
  <c r="Q2182" i="1"/>
  <c r="Q482" i="1"/>
  <c r="Q2146" i="1"/>
  <c r="Q1157" i="1"/>
  <c r="Q863" i="1"/>
  <c r="Q2386" i="1"/>
  <c r="Q139" i="1"/>
  <c r="Q1527" i="1"/>
  <c r="Q2120" i="1"/>
  <c r="Q910" i="1"/>
  <c r="Q2217" i="1"/>
  <c r="Q1160" i="1"/>
  <c r="Q2068" i="1"/>
  <c r="Q970" i="1"/>
  <c r="Q871" i="1"/>
  <c r="Q529" i="1"/>
  <c r="Q2167" i="1"/>
  <c r="Q1114" i="1"/>
  <c r="Q841" i="1"/>
  <c r="Q1105" i="1"/>
  <c r="Q1806" i="1"/>
  <c r="Q939" i="1"/>
  <c r="Q399" i="1"/>
  <c r="Q1267" i="1"/>
  <c r="Q755" i="1"/>
  <c r="Q966" i="1"/>
  <c r="Q2066" i="1"/>
  <c r="Q777" i="1"/>
  <c r="Q1695" i="1"/>
  <c r="Q162" i="1"/>
  <c r="Q802" i="1"/>
  <c r="Q1662" i="1"/>
  <c r="Q258" i="1"/>
  <c r="Q1519" i="1"/>
  <c r="Q2398" i="1"/>
  <c r="Q1958" i="1"/>
  <c r="Q985" i="1"/>
  <c r="Q628" i="1"/>
  <c r="Q1072" i="1"/>
  <c r="Q736" i="1"/>
  <c r="Q1431" i="1"/>
  <c r="Q1629" i="1"/>
  <c r="Q2113" i="1"/>
  <c r="Q2736" i="1"/>
  <c r="Q2637" i="1"/>
  <c r="Q568" i="1"/>
  <c r="Q706" i="1"/>
  <c r="Q2043" i="1"/>
  <c r="Q2515" i="1"/>
  <c r="Q45" i="1"/>
  <c r="Q1020" i="1"/>
  <c r="Q2647" i="1"/>
  <c r="Q593" i="1"/>
  <c r="Q1149" i="1"/>
  <c r="Q380" i="1"/>
  <c r="Q2452" i="1"/>
  <c r="Q264" i="1"/>
  <c r="Q566" i="1"/>
  <c r="Q978" i="1"/>
  <c r="Q645" i="1"/>
  <c r="Q1774" i="1"/>
  <c r="Q1073" i="1"/>
  <c r="Q2594" i="1"/>
  <c r="Q1304" i="1"/>
  <c r="Q2591" i="1"/>
  <c r="Q2635" i="1"/>
  <c r="Q1102" i="1"/>
  <c r="Q821" i="1"/>
  <c r="Q2186" i="1"/>
  <c r="Q1428" i="1"/>
  <c r="Q339" i="1"/>
  <c r="Q583" i="1"/>
  <c r="Q1760" i="1"/>
  <c r="Q1746" i="1"/>
  <c r="Q146" i="1"/>
  <c r="Q826" i="1"/>
  <c r="Q2334" i="1"/>
  <c r="Q2309" i="1"/>
  <c r="Q892" i="1"/>
  <c r="Q1416" i="1"/>
  <c r="Q282" i="1"/>
  <c r="Q2060" i="1"/>
  <c r="Q452" i="1"/>
  <c r="Q210" i="1"/>
  <c r="Q2429" i="1"/>
  <c r="Q2218" i="1"/>
  <c r="Q1212" i="1"/>
  <c r="Q1170" i="1"/>
  <c r="Q963" i="1"/>
  <c r="Q272" i="1"/>
  <c r="Q488" i="1"/>
  <c r="Q2281" i="1"/>
  <c r="Q1390" i="1"/>
  <c r="Q2237" i="1"/>
  <c r="Q2130" i="1"/>
  <c r="Q2121" i="1"/>
  <c r="Q1331" i="1"/>
  <c r="Q1646" i="1"/>
  <c r="Q948" i="1"/>
  <c r="Q1166" i="1"/>
  <c r="Q161" i="1"/>
  <c r="Q2498" i="1"/>
  <c r="Q241" i="1"/>
  <c r="Q2022" i="1"/>
  <c r="Q483" i="1"/>
  <c r="Q1765" i="1"/>
  <c r="Q712" i="1"/>
  <c r="Q1351" i="1"/>
  <c r="Q2067" i="1"/>
  <c r="Q1510" i="1"/>
  <c r="Q462" i="1"/>
  <c r="Q1281" i="1"/>
  <c r="Q309" i="1"/>
  <c r="Q445" i="1"/>
  <c r="Q1264" i="1"/>
  <c r="Q1639" i="1"/>
  <c r="Q1656" i="1"/>
  <c r="Q2430" i="1"/>
  <c r="Q2546" i="1"/>
  <c r="Q753" i="1"/>
  <c r="Q1361" i="1"/>
  <c r="Q2154" i="1"/>
  <c r="Q1802" i="1"/>
  <c r="Q429" i="1"/>
  <c r="Q1758" i="1"/>
  <c r="Q1717" i="1"/>
  <c r="Q254" i="1"/>
  <c r="Q1468" i="1"/>
  <c r="Q1648" i="1"/>
  <c r="Q1372" i="1"/>
  <c r="Q1887" i="1"/>
  <c r="Q1229" i="1"/>
  <c r="Q56" i="1"/>
  <c r="Q480" i="1"/>
  <c r="Q2255" i="1"/>
  <c r="Q1292" i="1"/>
  <c r="Q585" i="1"/>
  <c r="Q2184" i="1"/>
  <c r="Q2632" i="1"/>
  <c r="Q20" i="1"/>
  <c r="Q1791" i="1"/>
  <c r="Q201" i="1"/>
  <c r="Q889" i="1"/>
  <c r="Q109" i="1"/>
  <c r="Q1121" i="1"/>
  <c r="Q82" i="1"/>
  <c r="Q1839" i="1"/>
  <c r="Q1825" i="1"/>
  <c r="Q525" i="1"/>
  <c r="Q1952" i="1"/>
  <c r="Q2455" i="1"/>
  <c r="Q2103" i="1"/>
  <c r="Q1339" i="1"/>
  <c r="Q1077" i="1"/>
  <c r="Q329" i="1"/>
  <c r="Q1813" i="1"/>
  <c r="Q222" i="1"/>
  <c r="Q43" i="1"/>
  <c r="Q118" i="1"/>
  <c r="Q2282" i="1"/>
  <c r="Q621" i="1"/>
  <c r="Q952" i="1"/>
  <c r="Q2442" i="1"/>
  <c r="Q238" i="1"/>
  <c r="Q138" i="1"/>
  <c r="Q1341" i="1"/>
  <c r="Q1676" i="1"/>
  <c r="Q2283" i="1"/>
  <c r="Q1124" i="1"/>
  <c r="Q226" i="1"/>
  <c r="Q2128" i="1"/>
  <c r="Q2667" i="1"/>
  <c r="Q278" i="1"/>
  <c r="Q1933" i="1"/>
  <c r="Q612" i="1"/>
  <c r="Q1028" i="1"/>
  <c r="Q1857" i="1"/>
  <c r="Q2010" i="1"/>
  <c r="Q737" i="1"/>
  <c r="Q1556" i="1"/>
  <c r="Q127" i="1"/>
  <c r="Q885" i="1"/>
  <c r="Q1949" i="1"/>
  <c r="Q1810" i="1"/>
  <c r="Q164" i="1"/>
  <c r="Q221" i="1"/>
  <c r="Q1345" i="1"/>
  <c r="Q330" i="1"/>
  <c r="Q1088" i="1"/>
  <c r="Q2306" i="1"/>
  <c r="Q1649" i="1"/>
  <c r="Q1447" i="1"/>
  <c r="Q2175" i="1"/>
  <c r="Q1788" i="1"/>
  <c r="Q1421" i="1"/>
  <c r="Q242" i="1"/>
  <c r="Q1755" i="1"/>
  <c r="Q1254" i="1"/>
  <c r="Q2367" i="1"/>
  <c r="Q588" i="1"/>
  <c r="Q1334" i="1"/>
  <c r="Q62" i="1"/>
  <c r="Q1452" i="1"/>
  <c r="Q1540" i="1"/>
  <c r="Q1750" i="1"/>
  <c r="Q1997" i="1"/>
  <c r="Q1472" i="1"/>
  <c r="Q2590" i="1"/>
  <c r="Q1528" i="1"/>
  <c r="Q1414" i="1"/>
  <c r="Q999" i="1"/>
  <c r="Q1522" i="1"/>
  <c r="Q2451" i="1"/>
  <c r="Q689" i="1"/>
  <c r="Q1100" i="1"/>
  <c r="Q1427" i="1"/>
  <c r="Q749" i="1"/>
  <c r="Q1441" i="1"/>
  <c r="Q577" i="1"/>
  <c r="Q430" i="1"/>
  <c r="Q638" i="1"/>
  <c r="Q1756" i="1"/>
  <c r="Q1089" i="1"/>
  <c r="Q1936" i="1"/>
  <c r="Q894" i="1"/>
  <c r="Q1733" i="1"/>
  <c r="Q2329" i="1"/>
  <c r="Q209" i="1"/>
  <c r="Q136" i="1"/>
  <c r="Q708" i="1"/>
  <c r="Q486" i="1"/>
  <c r="Q774" i="1"/>
  <c r="Q760" i="1"/>
  <c r="Q419" i="1"/>
  <c r="Q1282" i="1"/>
  <c r="Q25" i="1"/>
  <c r="Q1459" i="1"/>
  <c r="Q775" i="1"/>
  <c r="Q1475" i="1"/>
  <c r="Q571" i="1"/>
  <c r="Q1169" i="1"/>
  <c r="Q574" i="1"/>
  <c r="Q2418" i="1"/>
  <c r="Q160" i="1"/>
  <c r="Q1142" i="1"/>
  <c r="Q2612" i="1"/>
  <c r="Q2278" i="1"/>
  <c r="Q2582" i="1"/>
  <c r="Q2317" i="1"/>
  <c r="Q1978" i="1"/>
  <c r="Q374" i="1"/>
  <c r="Q1087" i="1"/>
  <c r="Q1465" i="1"/>
  <c r="Q1370" i="1"/>
  <c r="Q271" i="1"/>
  <c r="Q137" i="1"/>
  <c r="Q2558" i="1"/>
  <c r="Q1161" i="1"/>
  <c r="Q2531" i="1"/>
  <c r="Q2365" i="1"/>
  <c r="Q2731" i="1"/>
  <c r="Q2065" i="1"/>
  <c r="Q1737" i="1"/>
  <c r="Q2336" i="1"/>
  <c r="Q747" i="1"/>
  <c r="Q1227" i="1"/>
  <c r="Q907" i="1"/>
  <c r="Q2038" i="1"/>
  <c r="Q509" i="1"/>
  <c r="Q1031" i="1"/>
  <c r="Q1371" i="1"/>
  <c r="Q639" i="1"/>
  <c r="Q909" i="1"/>
  <c r="Q1782" i="1"/>
  <c r="Q2389" i="1"/>
  <c r="Q1360" i="1"/>
  <c r="Q1663" i="1"/>
  <c r="Q2512" i="1"/>
  <c r="Q2039" i="1"/>
  <c r="Q2533" i="1"/>
  <c r="Q441" i="1"/>
  <c r="Q1550" i="1"/>
  <c r="Q722" i="1"/>
  <c r="Q281" i="1"/>
  <c r="Q1368" i="1"/>
  <c r="Q310" i="1"/>
  <c r="Q23" i="1"/>
  <c r="Q595" i="1"/>
  <c r="Q473" i="1"/>
  <c r="Q87" i="1"/>
  <c r="Q314" i="1"/>
  <c r="Q573" i="1"/>
  <c r="Q944" i="1"/>
  <c r="Q481" i="1"/>
  <c r="Q942" i="1"/>
  <c r="Q2485" i="1"/>
  <c r="Q730" i="1"/>
  <c r="Q2495" i="1"/>
  <c r="Q230" i="1"/>
  <c r="Q421" i="1"/>
  <c r="Q872" i="1"/>
  <c r="Q2357" i="1"/>
  <c r="Q2650" i="1"/>
  <c r="Q410" i="1"/>
  <c r="Q2723" i="1"/>
  <c r="Q2238" i="1"/>
  <c r="Q1469" i="1"/>
  <c r="Q858" i="1"/>
  <c r="Q279" i="1"/>
  <c r="Q971" i="1"/>
  <c r="Q831" i="1"/>
  <c r="Q1761" i="1"/>
  <c r="Q1180" i="1"/>
  <c r="Q1939" i="1"/>
  <c r="Q2400" i="1"/>
  <c r="Q2487" i="1"/>
  <c r="Q1120" i="1"/>
  <c r="Q2028" i="1"/>
  <c r="Q1773" i="1"/>
  <c r="Q77" i="1"/>
  <c r="Q1399" i="1"/>
  <c r="Q257" i="1"/>
  <c r="Q372" i="1"/>
  <c r="Q2116" i="1"/>
  <c r="Q191" i="1"/>
  <c r="Q194" i="1"/>
  <c r="Q1006" i="1"/>
  <c r="Q1348" i="1"/>
  <c r="Q2509" i="1"/>
  <c r="Q518" i="1"/>
  <c r="Q106" i="1"/>
  <c r="Q2567" i="1"/>
  <c r="Q988" i="1"/>
  <c r="Q1243" i="1"/>
  <c r="Q1894" i="1"/>
  <c r="Q276" i="1"/>
  <c r="Q1344" i="1"/>
  <c r="Q2251" i="1"/>
  <c r="Q1850" i="1"/>
  <c r="Q1366" i="1"/>
  <c r="Q1232" i="1"/>
  <c r="Q211" i="1"/>
  <c r="Q1610" i="1"/>
  <c r="Q1404" i="1"/>
  <c r="Q1908" i="1"/>
  <c r="Q664" i="1"/>
  <c r="Q784" i="1"/>
  <c r="Q1622" i="1"/>
  <c r="Q2171" i="1"/>
  <c r="Q694" i="1"/>
  <c r="Q763" i="1"/>
  <c r="Q1654" i="1"/>
  <c r="Q2417" i="1"/>
  <c r="Q589" i="1"/>
  <c r="Q1425" i="1"/>
  <c r="Q2087" i="1"/>
  <c r="Q2158" i="1"/>
  <c r="Q624" i="1"/>
  <c r="Q611" i="1"/>
  <c r="Q273" i="1"/>
  <c r="Q878" i="1"/>
  <c r="Q302" i="1"/>
  <c r="Q335" i="1"/>
  <c r="Q1727" i="1"/>
  <c r="Q332" i="1"/>
  <c r="Q349" i="1"/>
  <c r="Q184" i="1"/>
  <c r="Q2139" i="1"/>
  <c r="Q1745" i="1"/>
  <c r="Q2295" i="1"/>
  <c r="Q1373" i="1"/>
  <c r="Q33" i="1"/>
  <c r="Q1901" i="1"/>
  <c r="Q627" i="1"/>
  <c r="Q2470" i="1"/>
  <c r="Q467" i="1"/>
  <c r="Q4" i="1"/>
  <c r="Q1697" i="1"/>
  <c r="Q1444" i="1"/>
  <c r="Q510" i="1"/>
  <c r="Q2397" i="1"/>
  <c r="Q1596" i="1"/>
  <c r="Q1607" i="1"/>
  <c r="Q1199" i="1"/>
  <c r="Q2651" i="1"/>
  <c r="Q2663" i="1"/>
  <c r="Q2083" i="1"/>
  <c r="Q1406" i="1"/>
  <c r="Q2409" i="1"/>
  <c r="Q1824" i="1"/>
  <c r="Q697" i="1"/>
  <c r="Q1841" i="1"/>
  <c r="Q2285" i="1"/>
  <c r="Q2484" i="1"/>
  <c r="Q2094" i="1"/>
  <c r="Q30" i="1"/>
  <c r="Q1757" i="1"/>
  <c r="Q2149" i="1"/>
  <c r="Q124" i="1"/>
  <c r="Q514" i="1"/>
  <c r="Q958" i="1"/>
  <c r="Q745" i="1"/>
  <c r="Q559" i="1"/>
  <c r="Q662" i="1"/>
  <c r="Q994" i="1"/>
  <c r="Q1561" i="1"/>
  <c r="Q1744" i="1"/>
  <c r="Q188" i="1"/>
  <c r="Q650" i="1"/>
  <c r="Q1398" i="1"/>
  <c r="Q1623" i="1"/>
  <c r="Q2181" i="1"/>
  <c r="Q1742" i="1"/>
  <c r="Q1420" i="1"/>
  <c r="Q1764" i="1"/>
  <c r="Q922" i="1"/>
  <c r="Q2232" i="1"/>
  <c r="Q2374" i="1"/>
  <c r="Q1319" i="1"/>
  <c r="Q315" i="1"/>
  <c r="Q2315" i="1"/>
  <c r="Q2395" i="1"/>
  <c r="Q149" i="1"/>
  <c r="Q1113" i="1"/>
  <c r="Q1931" i="1"/>
  <c r="Q327" i="1"/>
  <c r="Q1701" i="1"/>
  <c r="Q1531" i="1"/>
  <c r="Q2426" i="1"/>
  <c r="Q819" i="1"/>
  <c r="Q2340" i="1"/>
  <c r="Q2316" i="1"/>
  <c r="Q1505" i="1"/>
  <c r="Q2257" i="1"/>
  <c r="Q2173" i="1"/>
  <c r="Q1205" i="1"/>
  <c r="Q165" i="1"/>
  <c r="Q2622" i="1"/>
  <c r="Q1546" i="1"/>
  <c r="Q609" i="1"/>
  <c r="Q1707" i="1"/>
  <c r="Q1771" i="1"/>
  <c r="Q1688" i="1"/>
  <c r="Q2147" i="1"/>
  <c r="Q1377" i="1"/>
  <c r="Q1741" i="1"/>
  <c r="Q768" i="1"/>
  <c r="Q1147" i="1"/>
  <c r="Q1426" i="1"/>
  <c r="Q2362" i="1"/>
  <c r="Q2434" i="1"/>
  <c r="Q866" i="1"/>
  <c r="Q418" i="1"/>
  <c r="Q10" i="1"/>
  <c r="Q1175" i="1"/>
  <c r="Q2527" i="1"/>
  <c r="Q2" i="1"/>
  <c r="Q752" i="1"/>
  <c r="Q1541" i="1"/>
  <c r="Q1822" i="1"/>
  <c r="Q1981" i="1"/>
  <c r="Q1732" i="1"/>
  <c r="Q947" i="1"/>
  <c r="Q1536" i="1"/>
  <c r="Q1789" i="1"/>
  <c r="Q2284" i="1"/>
  <c r="Q2602" i="1"/>
  <c r="Q1141" i="1"/>
  <c r="Q1836" i="1"/>
  <c r="Q2092" i="1"/>
  <c r="Q1437" i="1"/>
  <c r="Q18" i="1"/>
  <c r="Q1125" i="1"/>
  <c r="Q1918" i="1"/>
  <c r="Q220" i="1"/>
  <c r="Q1620" i="1"/>
  <c r="Q1961" i="1"/>
  <c r="Q2378" i="1"/>
  <c r="Q1060" i="1"/>
  <c r="Q1614" i="1"/>
  <c r="Q1560" i="1"/>
  <c r="Q145" i="1"/>
  <c r="Q1673" i="1"/>
  <c r="Q1002" i="1"/>
  <c r="Q170" i="1"/>
  <c r="Q2075" i="1"/>
  <c r="Q1877" i="1"/>
  <c r="Q661" i="1"/>
  <c r="Q411" i="1"/>
  <c r="Q1989" i="1"/>
  <c r="Q227" i="1"/>
  <c r="Q732" i="1"/>
  <c r="Q2641" i="1"/>
  <c r="Q2057" i="1"/>
  <c r="Q2341" i="1"/>
  <c r="Q1884" i="1"/>
  <c r="Q943" i="1"/>
  <c r="Q602" i="1"/>
  <c r="Q1000" i="1"/>
  <c r="Q1280" i="1"/>
  <c r="Q655" i="1"/>
  <c r="Q1800" i="1"/>
  <c r="Q1601" i="1"/>
  <c r="Q2688" i="1"/>
  <c r="Q1122" i="1"/>
  <c r="Q682" i="1"/>
  <c r="Q874" i="1"/>
  <c r="Q631" i="1"/>
  <c r="Q592" i="1"/>
  <c r="Q1967" i="1"/>
  <c r="Q1636" i="1"/>
  <c r="Q1461" i="1"/>
  <c r="Q98" i="1"/>
  <c r="Q1726" i="1"/>
  <c r="Q1496" i="1"/>
  <c r="Q714" i="1"/>
  <c r="Q176" i="1"/>
  <c r="Q1592" i="1"/>
  <c r="Q2046" i="1"/>
  <c r="Q776" i="1"/>
  <c r="Q1473" i="1"/>
  <c r="Q1965" i="1"/>
  <c r="Q2048" i="1"/>
  <c r="Q2163" i="1"/>
  <c r="Q1173" i="1"/>
  <c r="Q268" i="1"/>
  <c r="Q1530" i="1"/>
  <c r="Q2347" i="1"/>
  <c r="Q809" i="1"/>
  <c r="Q1832" i="1"/>
  <c r="Q2361" i="1"/>
  <c r="Q604" i="1"/>
  <c r="Q617" i="1"/>
  <c r="Q1210" i="1"/>
  <c r="Q1566" i="1"/>
  <c r="Q215" i="1"/>
  <c r="Q778" i="1"/>
  <c r="Q1365" i="1"/>
  <c r="Q2454" i="1"/>
  <c r="Q2242" i="1"/>
  <c r="Q2190" i="1"/>
  <c r="Q870" i="1"/>
  <c r="Q125" i="1"/>
  <c r="Q1995" i="1"/>
  <c r="Q1627" i="1"/>
  <c r="Q1946" i="1"/>
  <c r="Q1014" i="1"/>
  <c r="Q1988" i="1"/>
  <c r="Q1064" i="1"/>
  <c r="Q1186" i="1"/>
  <c r="Q2547" i="1"/>
  <c r="Q1435" i="1"/>
  <c r="Q1625" i="1"/>
  <c r="Q67" i="1"/>
  <c r="Q2225" i="1"/>
  <c r="Q825" i="1"/>
  <c r="Q175" i="1"/>
  <c r="Q2559" i="1"/>
  <c r="Q2608" i="1"/>
  <c r="Q882" i="1"/>
  <c r="Q625" i="1"/>
  <c r="Q1835" i="1"/>
  <c r="Q84" i="1"/>
  <c r="Q924" i="1"/>
  <c r="Q526" i="1"/>
  <c r="Q66" i="1"/>
  <c r="Q2491" i="1"/>
  <c r="Q1979" i="1"/>
  <c r="Q1564" i="1"/>
  <c r="Q1811" i="1"/>
  <c r="Q2003" i="1"/>
  <c r="Q2666" i="1"/>
  <c r="Q1621" i="1"/>
  <c r="Q1562" i="1"/>
  <c r="Q290" i="1"/>
  <c r="Q869" i="1"/>
  <c r="Q2494" i="1"/>
  <c r="Q351" i="1"/>
  <c r="Q2261" i="1"/>
  <c r="Q27" i="1"/>
  <c r="Q190" i="1"/>
  <c r="Q166" i="1"/>
  <c r="Q1279" i="1"/>
  <c r="Q1065" i="1"/>
  <c r="Q2047" i="1"/>
  <c r="Q1882" i="1"/>
  <c r="Q468" i="1"/>
  <c r="Q231" i="1"/>
  <c r="Q2268" i="1"/>
  <c r="Q1312" i="1"/>
  <c r="Q1705" i="1"/>
  <c r="Q2301" i="1"/>
  <c r="Q876" i="1"/>
  <c r="Q2358" i="1"/>
  <c r="Q864" i="1"/>
  <c r="Q105" i="1"/>
  <c r="Q303" i="1"/>
  <c r="Q748" i="1"/>
  <c r="Q608" i="1"/>
  <c r="Q1753" i="1"/>
  <c r="Q2354" i="1"/>
  <c r="Q2535" i="1"/>
  <c r="Q1951" i="1"/>
  <c r="Q1819" i="1"/>
  <c r="Q700" i="1"/>
  <c r="Q913" i="1"/>
  <c r="Q1477" i="1"/>
  <c r="Q343" i="1"/>
  <c r="Q1386" i="1"/>
  <c r="Q1659" i="1"/>
  <c r="Q371" i="1"/>
  <c r="Q1828" i="1"/>
  <c r="Q1739" i="1"/>
  <c r="Q2259" i="1"/>
  <c r="Q1616" i="1"/>
  <c r="Q1693" i="1"/>
  <c r="Q261" i="1"/>
  <c r="Q1899" i="1"/>
  <c r="Q1845" i="1"/>
  <c r="Q450" i="1"/>
  <c r="Q1190" i="1"/>
  <c r="Q379" i="1"/>
  <c r="Q1480" i="1"/>
  <c r="Q79" i="1"/>
  <c r="Q438" i="1"/>
  <c r="Q1720" i="1"/>
  <c r="Q1047" i="1"/>
  <c r="Q1335" i="1"/>
  <c r="Q1675" i="1"/>
  <c r="Q1568" i="1"/>
  <c r="Q2422" i="1"/>
  <c r="Q1731" i="1"/>
  <c r="Q34" i="1"/>
  <c r="Q1628" i="1"/>
  <c r="Q754" i="1"/>
  <c r="Q2148" i="1"/>
  <c r="Q1751" i="1"/>
  <c r="Q385" i="1"/>
  <c r="Q1434" i="1"/>
  <c r="Q19" i="1"/>
  <c r="Q981" i="1"/>
  <c r="Q1987" i="1"/>
  <c r="Q2191" i="1"/>
  <c r="Q2189" i="1"/>
  <c r="Q1907" i="1"/>
  <c r="Q1057" i="1"/>
  <c r="Q2018" i="1"/>
  <c r="Q900" i="1"/>
  <c r="Q1350" i="1"/>
  <c r="Q26" i="1"/>
  <c r="Q1216" i="1"/>
  <c r="Q1709" i="1"/>
  <c r="Q199" i="1"/>
  <c r="Q810" i="1"/>
  <c r="Q1862" i="1"/>
  <c r="Q2196" i="1"/>
  <c r="Q2521" i="1"/>
  <c r="Q1413" i="1"/>
  <c r="Q895" i="1"/>
  <c r="Q1976" i="1"/>
  <c r="Q1671" i="1"/>
  <c r="Q2209" i="1"/>
  <c r="Q2133" i="1"/>
  <c r="Q1912" i="1"/>
  <c r="Q121" i="1"/>
  <c r="Q1396" i="1"/>
  <c r="Q101" i="1"/>
  <c r="Q1110" i="1"/>
  <c r="Q128" i="1"/>
  <c r="Q1409" i="1"/>
  <c r="Q406" i="1"/>
  <c r="Q401" i="1"/>
  <c r="Q1492" i="1"/>
  <c r="Q678" i="1"/>
  <c r="Q1412" i="1"/>
  <c r="Q1311" i="1"/>
  <c r="Q2070" i="1"/>
  <c r="Z8" i="12" l="1"/>
  <c r="AA8" i="12" s="1"/>
  <c r="Z9" i="12"/>
  <c r="AA9" i="12" s="1"/>
  <c r="Z7" i="12"/>
  <c r="AA7" i="12" s="1"/>
  <c r="AA13" i="12"/>
  <c r="Z12" i="12"/>
  <c r="Z14" i="12"/>
  <c r="AA14" i="12" s="1"/>
  <c r="B2" i="12"/>
  <c r="Z3" i="12"/>
  <c r="AA3" i="12" s="1"/>
  <c r="Z11" i="12"/>
  <c r="AA11" i="12" s="1"/>
  <c r="Z5" i="12"/>
  <c r="Z10" i="12"/>
  <c r="AA10" i="12" s="1"/>
  <c r="Z6" i="12"/>
  <c r="AA6" i="12" s="1"/>
  <c r="Z4" i="12"/>
  <c r="S2" i="12"/>
  <c r="S37" i="12" s="1"/>
  <c r="AA4" i="12"/>
  <c r="V2" i="12"/>
  <c r="AA12" i="12"/>
  <c r="AZ144" i="9"/>
  <c r="BA144" i="5" s="1"/>
  <c r="AW145" i="5"/>
  <c r="AV144" i="9"/>
  <c r="AW144" i="5" s="1"/>
  <c r="AT148" i="9"/>
  <c r="AU147" i="5" s="1"/>
  <c r="AT147" i="9"/>
  <c r="AU146" i="5" s="1"/>
  <c r="AZ147" i="9"/>
  <c r="BA146" i="5" s="1"/>
  <c r="AV147" i="9"/>
  <c r="AW146" i="5" s="1"/>
  <c r="AT145" i="9"/>
  <c r="AP145" i="9"/>
  <c r="AP144" i="9"/>
  <c r="AQ144" i="5" s="1"/>
  <c r="AP145" i="5"/>
  <c r="AJ149" i="9"/>
  <c r="AK149" i="9" s="1"/>
  <c r="AF145" i="5"/>
  <c r="AJ145" i="9"/>
  <c r="AH145" i="5"/>
  <c r="AZ148" i="9"/>
  <c r="BA147" i="5" s="1"/>
  <c r="AV145" i="9"/>
  <c r="AR147" i="9"/>
  <c r="AS146" i="5" s="1"/>
  <c r="AM145" i="5"/>
  <c r="AL145" i="9"/>
  <c r="AM149" i="9"/>
  <c r="AN149" i="9" s="1"/>
  <c r="AY148" i="9"/>
  <c r="AZ147" i="5" s="1"/>
  <c r="AY147" i="9"/>
  <c r="AZ146" i="5" s="1"/>
  <c r="AV145" i="5"/>
  <c r="AU145" i="9"/>
  <c r="AY145" i="5"/>
  <c r="AX147" i="9"/>
  <c r="AY146" i="5" s="1"/>
  <c r="AW147" i="9"/>
  <c r="AX146" i="5" s="1"/>
  <c r="AW144" i="9"/>
  <c r="AX144" i="5" s="1"/>
  <c r="AT145" i="5"/>
  <c r="AR145" i="9"/>
  <c r="AN147" i="9"/>
  <c r="AO146" i="5" s="1"/>
  <c r="AJ147" i="9"/>
  <c r="AK146" i="5" s="1"/>
  <c r="AG148" i="9"/>
  <c r="AH147" i="5" s="1"/>
  <c r="AG144" i="9"/>
  <c r="AL147" i="9"/>
  <c r="AM146" i="5" s="1"/>
  <c r="AA5" i="12"/>
  <c r="AX144" i="9"/>
  <c r="AY144" i="5" s="1"/>
  <c r="AY144" i="9"/>
  <c r="AZ144" i="5" s="1"/>
  <c r="AY145" i="9"/>
  <c r="BA145" i="5"/>
  <c r="AX145" i="9"/>
  <c r="AU144" i="9"/>
  <c r="AV144" i="5" s="1"/>
  <c r="AU147" i="9"/>
  <c r="AV146" i="5" s="1"/>
  <c r="AU145" i="5"/>
  <c r="AR144" i="9"/>
  <c r="AS144" i="5" s="1"/>
  <c r="AQ145" i="9"/>
  <c r="AA15" i="12" s="1"/>
  <c r="AO149" i="9"/>
  <c r="AP149" i="9" s="1"/>
  <c r="AQ149" i="9" s="1"/>
  <c r="AR149" i="9" s="1"/>
  <c r="AS149" i="9" s="1"/>
  <c r="AT149" i="9" s="1"/>
  <c r="AU149" i="9" s="1"/>
  <c r="AV149" i="9" s="1"/>
  <c r="AW149" i="9" s="1"/>
  <c r="AX149" i="9" s="1"/>
  <c r="AY149" i="9" s="1"/>
  <c r="AZ149" i="9" s="1"/>
  <c r="AO147" i="9"/>
  <c r="AP146" i="5" s="1"/>
  <c r="AJ144" i="9"/>
  <c r="AK144" i="5" s="1"/>
  <c r="AJ148" i="9"/>
  <c r="AK147" i="5" s="1"/>
  <c r="AG147" i="9"/>
  <c r="AH146" i="5" s="1"/>
  <c r="I69" i="14"/>
  <c r="I68" i="14"/>
  <c r="S26" i="12"/>
  <c r="V26" i="12" s="1"/>
  <c r="E145" i="8"/>
  <c r="I7" i="11" s="1"/>
  <c r="J142" i="8"/>
  <c r="C149" i="8"/>
  <c r="F142" i="8"/>
  <c r="I143" i="8"/>
  <c r="I151" i="8" s="1"/>
  <c r="G142" i="8"/>
  <c r="H143" i="8"/>
  <c r="H151" i="8" s="1"/>
  <c r="E146" i="8"/>
  <c r="K7" i="11" s="1"/>
  <c r="E150" i="8"/>
  <c r="K9" i="11" s="1"/>
  <c r="E142" i="8"/>
  <c r="F148" i="8"/>
  <c r="Q8" i="11" s="1"/>
  <c r="H142" i="8"/>
  <c r="E148" i="8"/>
  <c r="K8" i="11" s="1"/>
  <c r="E149" i="8"/>
  <c r="I9" i="11" s="1"/>
  <c r="E143" i="8"/>
  <c r="E151" i="8" s="1"/>
  <c r="E147" i="8"/>
  <c r="I8" i="11" s="1"/>
  <c r="C145" i="8"/>
  <c r="F149" i="8"/>
  <c r="O9" i="11" s="1"/>
  <c r="J143" i="8"/>
  <c r="J151" i="8" s="1"/>
  <c r="D147" i="8"/>
  <c r="C8" i="11" s="1"/>
  <c r="D148" i="8"/>
  <c r="E8" i="11" s="1"/>
  <c r="D142" i="8"/>
  <c r="D143" i="8"/>
  <c r="D145" i="8"/>
  <c r="C7" i="11" s="1"/>
  <c r="F143" i="8"/>
  <c r="F146" i="8"/>
  <c r="Q7" i="11" s="1"/>
  <c r="C143" i="8"/>
  <c r="C150" i="8"/>
  <c r="C148" i="8"/>
  <c r="F150" i="8"/>
  <c r="Q9" i="11" s="1"/>
  <c r="C142" i="8"/>
  <c r="G143" i="8"/>
  <c r="G151" i="8" s="1"/>
  <c r="F147" i="8"/>
  <c r="O8" i="11" s="1"/>
  <c r="F145" i="8"/>
  <c r="O7" i="11" s="1"/>
  <c r="D146" i="8"/>
  <c r="E7" i="11" s="1"/>
  <c r="C147" i="8"/>
  <c r="C146" i="8"/>
  <c r="I142" i="8"/>
  <c r="D149" i="8"/>
  <c r="C9" i="11" s="1"/>
  <c r="D150" i="8"/>
  <c r="E9" i="11" s="1"/>
  <c r="S30" i="12" l="1"/>
  <c r="V30" i="12" s="1"/>
  <c r="S28" i="12"/>
  <c r="V28" i="12" s="1"/>
  <c r="C18" i="12"/>
  <c r="D18" i="12" s="1"/>
  <c r="S27" i="12"/>
  <c r="V27" i="12" s="1"/>
  <c r="S31" i="12"/>
  <c r="V31" i="12" s="1"/>
  <c r="S32" i="12"/>
  <c r="V32" i="12" s="1"/>
  <c r="S29" i="12"/>
  <c r="V29" i="12" s="1"/>
  <c r="R2" i="12"/>
  <c r="R37" i="12" s="1"/>
  <c r="S33" i="12"/>
  <c r="V33" i="12" s="1"/>
  <c r="S35" i="12"/>
  <c r="S3" i="12" s="1"/>
  <c r="S4" i="12" s="1"/>
  <c r="V4" i="12" s="1"/>
  <c r="AB3" i="12"/>
  <c r="AB2" i="12" s="1"/>
  <c r="BA145" i="9"/>
  <c r="AH144" i="5"/>
  <c r="BB144" i="5" s="1"/>
  <c r="BA144" i="9"/>
  <c r="BB144" i="9" s="1"/>
  <c r="F151" i="8"/>
  <c r="K10" i="11"/>
  <c r="K21" i="11" s="1"/>
  <c r="D151" i="8"/>
  <c r="E10" i="11"/>
  <c r="E21" i="11" s="1"/>
  <c r="C151" i="8"/>
  <c r="Q10" i="11"/>
  <c r="Q21" i="11" s="1"/>
  <c r="V3" i="12" l="1"/>
  <c r="Q2" i="12"/>
  <c r="AB13" i="12"/>
  <c r="S5" i="12"/>
  <c r="R35" i="12"/>
  <c r="R3" i="12" s="1"/>
  <c r="R4" i="12" s="1"/>
  <c r="R5" i="12" s="1"/>
  <c r="R6" i="12" s="1"/>
  <c r="R7" i="12" s="1"/>
  <c r="R8" i="12" s="1"/>
  <c r="R9" i="12" s="1"/>
  <c r="R10" i="12" s="1"/>
  <c r="R11" i="12" s="1"/>
  <c r="R12" i="12" s="1"/>
  <c r="R13" i="12" s="1"/>
  <c r="R14" i="12" s="1"/>
  <c r="R15" i="12" s="1"/>
  <c r="R16" i="12" s="1"/>
  <c r="R17" i="12" s="1"/>
  <c r="R18" i="12" s="1"/>
  <c r="R19" i="12" s="1"/>
  <c r="R20" i="12" s="1"/>
  <c r="R21" i="12" s="1"/>
  <c r="R22" i="12" s="1"/>
  <c r="R23" i="12" s="1"/>
  <c r="R24" i="12" s="1"/>
  <c r="R25" i="12" s="1"/>
  <c r="R26" i="12" s="1"/>
  <c r="R27" i="12" s="1"/>
  <c r="R28" i="12" s="1"/>
  <c r="R29" i="12" s="1"/>
  <c r="R30" i="12" s="1"/>
  <c r="R31" i="12" s="1"/>
  <c r="R32" i="12" s="1"/>
  <c r="R33" i="12" s="1"/>
  <c r="Q35" i="12"/>
  <c r="Q3" i="12" s="1"/>
  <c r="Q4" i="12" s="1"/>
  <c r="Q5" i="12" s="1"/>
  <c r="Q6" i="12" s="1"/>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Q30" i="12" s="1"/>
  <c r="Q31" i="12" s="1"/>
  <c r="Q32" i="12" s="1"/>
  <c r="Q33" i="12" s="1"/>
  <c r="Q37" i="12"/>
  <c r="AB7" i="12"/>
  <c r="AB4" i="12"/>
  <c r="AB14" i="12"/>
  <c r="AB10" i="12"/>
  <c r="AB5" i="12"/>
  <c r="AB11" i="12"/>
  <c r="AB15" i="12"/>
  <c r="AB9" i="12"/>
  <c r="AB6" i="12"/>
  <c r="AB12" i="12"/>
  <c r="AB8" i="12"/>
  <c r="P2" i="12"/>
  <c r="S6" i="12"/>
  <c r="V5" i="12"/>
  <c r="P35" i="12" l="1"/>
  <c r="P3" i="12" s="1"/>
  <c r="P4" i="12" s="1"/>
  <c r="P5" i="12" s="1"/>
  <c r="P6" i="12" s="1"/>
  <c r="P7" i="12" s="1"/>
  <c r="P8" i="12" s="1"/>
  <c r="P9" i="12" s="1"/>
  <c r="P10" i="12" s="1"/>
  <c r="P11" i="12" s="1"/>
  <c r="P12" i="12" s="1"/>
  <c r="P13" i="12" s="1"/>
  <c r="P14" i="12" s="1"/>
  <c r="P15" i="12" s="1"/>
  <c r="P16" i="12" s="1"/>
  <c r="P17" i="12" s="1"/>
  <c r="P18" i="12" s="1"/>
  <c r="P19" i="12" s="1"/>
  <c r="P20" i="12" s="1"/>
  <c r="P21" i="12" s="1"/>
  <c r="P22" i="12" s="1"/>
  <c r="P23" i="12" s="1"/>
  <c r="P24" i="12" s="1"/>
  <c r="P25" i="12" s="1"/>
  <c r="P26" i="12" s="1"/>
  <c r="P27" i="12" s="1"/>
  <c r="P28" i="12" s="1"/>
  <c r="P29" i="12" s="1"/>
  <c r="P30" i="12" s="1"/>
  <c r="P31" i="12" s="1"/>
  <c r="P32" i="12" s="1"/>
  <c r="P33" i="12" s="1"/>
  <c r="P37" i="12"/>
  <c r="O2" i="12"/>
  <c r="V6" i="12"/>
  <c r="S7" i="12"/>
  <c r="O35" i="12" l="1"/>
  <c r="O3" i="12" s="1"/>
  <c r="O4" i="12" s="1"/>
  <c r="O5" i="12" s="1"/>
  <c r="O6" i="12" s="1"/>
  <c r="O7" i="12" s="1"/>
  <c r="O8" i="12" s="1"/>
  <c r="O9" i="12" s="1"/>
  <c r="O10" i="12" s="1"/>
  <c r="O11" i="12" s="1"/>
  <c r="O12" i="12" s="1"/>
  <c r="O13" i="12" s="1"/>
  <c r="O14" i="12" s="1"/>
  <c r="O15" i="12" s="1"/>
  <c r="O16" i="12" s="1"/>
  <c r="O17" i="12" s="1"/>
  <c r="O18" i="12" s="1"/>
  <c r="O19" i="12" s="1"/>
  <c r="O20" i="12" s="1"/>
  <c r="O21" i="12" s="1"/>
  <c r="O22" i="12" s="1"/>
  <c r="O23" i="12" s="1"/>
  <c r="O24" i="12" s="1"/>
  <c r="O25" i="12" s="1"/>
  <c r="O26" i="12" s="1"/>
  <c r="O27" i="12" s="1"/>
  <c r="O28" i="12" s="1"/>
  <c r="O29" i="12" s="1"/>
  <c r="O30" i="12" s="1"/>
  <c r="O31" i="12" s="1"/>
  <c r="O32" i="12" s="1"/>
  <c r="O33" i="12" s="1"/>
  <c r="O37" i="12"/>
  <c r="N2" i="12"/>
  <c r="S8" i="12"/>
  <c r="V7" i="12"/>
  <c r="N35" i="12" l="1"/>
  <c r="N37" i="12"/>
  <c r="N3" i="12"/>
  <c r="V8" i="12"/>
  <c r="S9" i="12"/>
  <c r="N4" i="12" l="1"/>
  <c r="U3" i="12"/>
  <c r="V9" i="12"/>
  <c r="S10" i="12"/>
  <c r="U4" i="12" l="1"/>
  <c r="N5" i="12"/>
  <c r="V10" i="12"/>
  <c r="S11" i="12"/>
  <c r="U5" i="12" l="1"/>
  <c r="N6" i="12"/>
  <c r="V11" i="12"/>
  <c r="S12" i="12"/>
  <c r="U6" i="12" l="1"/>
  <c r="N7" i="12"/>
  <c r="V12" i="12"/>
  <c r="S13" i="12"/>
  <c r="U7" i="12" l="1"/>
  <c r="N8" i="12"/>
  <c r="V13" i="12"/>
  <c r="S14" i="12"/>
  <c r="N9" i="12" l="1"/>
  <c r="U8" i="12"/>
  <c r="V14" i="12"/>
  <c r="S15" i="12"/>
  <c r="N10" i="12" l="1"/>
  <c r="U9" i="12"/>
  <c r="V15" i="12"/>
  <c r="S16" i="12"/>
  <c r="N11" i="12" l="1"/>
  <c r="U10" i="12"/>
  <c r="V16" i="12"/>
  <c r="S17" i="12"/>
  <c r="N12" i="12" l="1"/>
  <c r="U11" i="12"/>
  <c r="V17" i="12"/>
  <c r="S18" i="12"/>
  <c r="N13" i="12" l="1"/>
  <c r="U12" i="12"/>
  <c r="V18" i="12"/>
  <c r="S19" i="12"/>
  <c r="U13" i="12" l="1"/>
  <c r="N14" i="12"/>
  <c r="V19" i="12"/>
  <c r="S20" i="12"/>
  <c r="N15" i="12" l="1"/>
  <c r="U14" i="12"/>
  <c r="V20" i="12"/>
  <c r="S21" i="12"/>
  <c r="U15" i="12" l="1"/>
  <c r="N16" i="12"/>
  <c r="V21" i="12"/>
  <c r="S22" i="12"/>
  <c r="N17" i="12" l="1"/>
  <c r="U16" i="12"/>
  <c r="V22" i="12"/>
  <c r="S23" i="12"/>
  <c r="N18" i="12" l="1"/>
  <c r="U17" i="12"/>
  <c r="V23" i="12"/>
  <c r="S24" i="12"/>
  <c r="N19" i="12" l="1"/>
  <c r="U18" i="12"/>
  <c r="V24" i="12"/>
  <c r="S25" i="12"/>
  <c r="V25" i="12" s="1"/>
  <c r="N20" i="12" l="1"/>
  <c r="U19" i="12"/>
  <c r="B18" i="12"/>
  <c r="U20" i="12" l="1"/>
  <c r="N21" i="12"/>
  <c r="N22" i="12" l="1"/>
  <c r="U21" i="12"/>
  <c r="N23" i="12" l="1"/>
  <c r="U22" i="12"/>
  <c r="U23" i="12" l="1"/>
  <c r="N24" i="12"/>
  <c r="U24" i="12" l="1"/>
  <c r="N25" i="12"/>
  <c r="U25" i="12" l="1"/>
  <c r="N26" i="12"/>
  <c r="U26" i="12" l="1"/>
  <c r="N27" i="12"/>
  <c r="N28" i="12" l="1"/>
  <c r="U27" i="12"/>
  <c r="N29" i="12" l="1"/>
  <c r="U28" i="12"/>
  <c r="U29" i="12" l="1"/>
  <c r="N30" i="12"/>
  <c r="U30" i="12" l="1"/>
  <c r="N31" i="12"/>
  <c r="U31" i="12" l="1"/>
  <c r="N32" i="12"/>
  <c r="N33" i="12" l="1"/>
  <c r="U33" i="12" s="1"/>
  <c r="U32" i="12"/>
</calcChain>
</file>

<file path=xl/comments1.xml><?xml version="1.0" encoding="utf-8"?>
<comments xmlns="http://schemas.openxmlformats.org/spreadsheetml/2006/main">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s>
  <commentList>
    <comment ref="G9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F136"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Miguel, el de la vigilancia</t>
        </r>
      </text>
    </comment>
    <comment ref="G237"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G242"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G308" authorId="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309" authorId="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431" authorId="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J452" authorId="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r>
      </text>
    </comment>
    <comment ref="J453" authorId="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r>
      </text>
    </comment>
    <comment ref="J454" authorId="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r>
      </text>
    </comment>
    <comment ref="I481" authorId="1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Compra de bombillos</t>
        </r>
      </text>
    </comment>
    <comment ref="G538" authorId="1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567" authorId="1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G631" authorId="1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I652" authorId="1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r>
      </text>
    </comment>
    <comment ref="G676" authorId="1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744" authorId="1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r>
      </text>
    </comment>
    <comment ref="E746" authorId="1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01000840</t>
        </r>
      </text>
    </comment>
    <comment ref="E754" authorId="1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63003907 de Oscar Méndez</t>
        </r>
      </text>
    </comment>
    <comment ref="E755" authorId="1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59000523 de Carmen Saavedra de Ibarra</t>
        </r>
      </text>
    </comment>
    <comment ref="E792" authorId="2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Cheque BOD 00000282</t>
        </r>
      </text>
    </comment>
    <comment ref="E801" authorId="2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Bco. Mercantil, cheque nro. 63146627</t>
        </r>
      </text>
    </comment>
    <comment ref="E804" authorId="2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03642165</t>
        </r>
      </text>
    </comment>
    <comment ref="E805" authorId="2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87003914</t>
        </r>
      </text>
    </comment>
    <comment ref="E807" authorId="2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34000803</t>
        </r>
      </text>
    </comment>
    <comment ref="E837" authorId="25"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Bco. Mercantil, cheque nro. </t>
        </r>
      </text>
    </comment>
    <comment ref="G868" authorId="2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903" authorId="2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Bco. Mercantil, cheque nro. 07148741</t>
        </r>
      </text>
    </comment>
    <comment ref="E916" authorId="2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Baco. Mercantil, cheque nro. 19428894</t>
        </r>
      </text>
    </comment>
    <comment ref="G938" authorId="2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947" authorId="3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92000183</t>
        </r>
      </text>
    </comment>
    <comment ref="E951" authorId="3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Bco. Mercantil, cheque nro. 07148741</t>
        </r>
      </text>
    </comment>
    <comment ref="J980" authorId="3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r>
      </text>
    </comment>
    <comment ref="E1008" authorId="3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BBVA Ch. 03642311</t>
        </r>
      </text>
    </comment>
    <comment ref="E1009" authorId="3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r>
      </text>
    </comment>
    <comment ref="E1028" authorId="3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59000184</t>
        </r>
      </text>
    </comment>
    <comment ref="J1059" authorId="3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r>
      </text>
    </comment>
    <comment ref="E1093" authorId="3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BBVA Ch. 03642347
Bs. 550.000</t>
        </r>
      </text>
    </comment>
    <comment ref="E1094" authorId="3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BBVA Ch. 03642347
Bs. 550.000</t>
        </r>
      </text>
    </comment>
    <comment ref="G1104" authorId="3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1135" authorId="4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84000185</t>
        </r>
      </text>
    </comment>
    <comment ref="E1136" authorId="4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84000185</t>
        </r>
      </text>
    </comment>
    <comment ref="E1147" authorId="4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Cheque BOD 57000855</t>
        </r>
      </text>
    </comment>
    <comment ref="E1217" authorId="4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BBVA Ch. 03642414
Bs. 600.000</t>
        </r>
      </text>
    </comment>
    <comment ref="G1225" authorId="4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1226" authorId="4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56000186</t>
        </r>
      </text>
    </comment>
    <comment ref="E1283" authorId="4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Cheque BOD 66000857</t>
        </r>
      </text>
    </comment>
    <comment ref="G1345" authorId="4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389" authorId="4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436" authorId="4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594" authorId="5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661" authorId="5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728" authorId="5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734" authorId="5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J1816" authorId="5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r>
      </text>
    </comment>
    <comment ref="G1833" authorId="5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986" authorId="5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062" authorId="5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J2084" authorId="5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r>
      </text>
    </comment>
    <comment ref="G2141" authorId="5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188" authorId="6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189" authorId="6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292" authorId="6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319" authorId="6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2336" authorId="6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 serial L 47212353 R</t>
        </r>
      </text>
    </comment>
    <comment ref="E2343" authorId="6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 serial L 91564055 N</t>
        </r>
      </text>
    </comment>
    <comment ref="E2345" authorId="6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 serial L 56027958 E</t>
        </r>
      </text>
    </comment>
    <comment ref="E2350" authorId="6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US$, serial K 80274842 G</t>
        </r>
      </text>
    </comment>
    <comment ref="E2370" authorId="6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US$, serial A 76874432 C</t>
        </r>
      </text>
    </comment>
    <comment ref="E2401" authorId="6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4 monedas de 25 centavos de dólar</t>
        </r>
      </text>
    </comment>
    <comment ref="E2443" authorId="7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r>
      </text>
    </comment>
    <comment ref="G2447" authorId="7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D2478" authorId="7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r>
      </text>
    </comment>
    <comment ref="E2511" authorId="7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r>
      </text>
    </comment>
    <comment ref="E2533" authorId="74"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r>
      </text>
    </comment>
    <comment ref="G2542" authorId="7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2556" authorId="7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r>
      </text>
    </comment>
    <comment ref="G2587" authorId="7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J2601" authorId="78" shapeId="0">
      <text>
        <r>
          <rPr>
            <sz val="11"/>
            <color theme="1"/>
            <rFont val="Calibri"/>
            <family val="2"/>
            <scheme val="minor"/>
          </rPr>
          <t>Se reconsideró el pago de noviembre, asumiéndolo como total, quedando este pago como la cancelación de diciembre y enero</t>
        </r>
      </text>
    </comment>
    <comment ref="G2682" authorId="7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2686" authorId="80"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r>
      </text>
    </comment>
    <comment ref="E2687" authorId="81"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r>
      </text>
    </comment>
    <comment ref="E2723" authorId="82"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r>
      </text>
    </comment>
    <comment ref="E2724" authorId="83"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r>
      </text>
    </comment>
    <comment ref="G2729" authorId="8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2730" authorId="85"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r>
      </text>
    </comment>
    <comment ref="E2743" authorId="86"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r>
      </text>
    </comment>
    <comment ref="G2814" authorId="8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List>
</comments>
</file>

<file path=xl/comments2.xml><?xml version="1.0" encoding="utf-8"?>
<comments xmlns="http://schemas.openxmlformats.org/spreadsheetml/2006/main">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r>
      </text>
    </comment>
    <comment ref="B70"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dice que es 89-93, y no 90</t>
        </r>
      </text>
    </comment>
    <comment ref="B71"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r>
      </text>
    </comment>
    <comment ref="Q107"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r>
      </text>
    </comment>
    <comment ref="Q109" authorId="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r>
      </text>
    </comment>
    <comment ref="U121" authorId="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r>
      </text>
    </comment>
    <comment ref="AL125" authorId="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r>
      </text>
    </comment>
  </commentList>
</comments>
</file>

<file path=xl/comments3.xml><?xml version="1.0" encoding="utf-8"?>
<comments xmlns="http://schemas.openxmlformats.org/spreadsheetml/2006/main">
  <authors>
    <author>Mario Colosso</author>
  </authors>
  <commentList>
    <comment ref="H55" authorId="0" shapeId="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authors>
    <author>tc={A4B9DBF7-222B-4E92-B574-4BC34CA8E3FC}</author>
  </authors>
  <commentList>
    <comment ref="AF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r>
      </text>
    </comment>
  </commentList>
</comments>
</file>

<file path=xl/comments5.xml><?xml version="1.0" encoding="utf-8"?>
<comments xmlns="http://schemas.openxmlformats.org/spreadsheetml/2006/main">
  <authors>
    <author>tc={D012610D-39B3-4534-A812-18FD8FCE22F9}</author>
    <author>tc={6FC948A9-24E3-41AD-B732-CED8ECECF4AC}</author>
    <author>MColosso</author>
    <author>tc={BAC0DF17-C194-4E98-81CB-6312E25EED7D}</author>
    <author>tc={8AA48C56-AFDF-48F9-A5EB-34697D8F1182}</author>
    <author>tc={4AF21287-5CD9-4695-AE65-DA618CC23733}</author>
    <author>tc={51961700-5B93-4183-8AAE-35BD0D40006C}</author>
    <author>tc={8BEAA087-D0E9-4908-8834-4786EFAACC57}</author>
    <author>tc={480D3F0C-2BC6-4617-B556-AA843D6BD589}</author>
  </authors>
  <commentList>
    <comment ref="C15" authorId="0"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Anteriormente "Cuota completa"
</t>
        </r>
      </text>
    </comment>
    <comment ref="J17"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r>
      </text>
    </comment>
    <comment ref="D19" authorId="2" shapeId="0">
      <text>
        <r>
          <rPr>
            <b/>
            <sz val="9"/>
            <color indexed="81"/>
            <rFont val="Tahoma"/>
            <charset val="1"/>
          </rPr>
          <t>MColosso:</t>
        </r>
        <r>
          <rPr>
            <sz val="9"/>
            <color indexed="81"/>
            <rFont val="Tahoma"/>
            <charset val="1"/>
          </rPr>
          <t xml:space="preserve">
Hasta enero 2020</t>
        </r>
      </text>
    </comment>
    <comment ref="B20"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r>
      </text>
    </comment>
    <comment ref="D38" authorId="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Incorporado el 01 de Julio de 2019</t>
        </r>
      </text>
    </comment>
    <comment ref="B50" authorId="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dice que es 89-93, y no 90</t>
        </r>
      </text>
    </comment>
    <comment ref="D51" authorId="2" shapeId="0">
      <text>
        <r>
          <rPr>
            <b/>
            <sz val="9"/>
            <color indexed="81"/>
            <rFont val="Tahoma"/>
            <charset val="1"/>
          </rPr>
          <t>MColosso:</t>
        </r>
        <r>
          <rPr>
            <sz val="9"/>
            <color indexed="81"/>
            <rFont val="Tahoma"/>
            <charset val="1"/>
          </rPr>
          <t xml:space="preserve">
Hasta enero 2020</t>
        </r>
      </text>
    </comment>
    <comment ref="C82" authorId="6"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Anteriormente "Cuota completa"
</t>
        </r>
      </text>
    </comment>
    <comment ref="C86" authorId="7"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Anteriormente "Cuota completa"
</t>
        </r>
      </text>
    </comment>
    <comment ref="D111" authorId="2" shapeId="0">
      <text>
        <r>
          <rPr>
            <b/>
            <sz val="9"/>
            <color indexed="81"/>
            <rFont val="Tahoma"/>
            <charset val="1"/>
          </rPr>
          <t>MColosso:</t>
        </r>
        <r>
          <rPr>
            <sz val="9"/>
            <color indexed="81"/>
            <rFont val="Tahoma"/>
            <charset val="1"/>
          </rPr>
          <t xml:space="preserve">
Hasta enero 2020</t>
        </r>
      </text>
    </comment>
    <comment ref="D138" authorId="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Eliminado el 01 de Julio de 2019</t>
        </r>
      </text>
    </comment>
  </commentList>
</comments>
</file>

<file path=xl/comments6.xml><?xml version="1.0" encoding="utf-8"?>
<comments xmlns="http://schemas.openxmlformats.org/spreadsheetml/2006/main">
  <authors>
    <author>tc={3DAC56FE-504E-4B89-8DF2-0110B4EB5076}</author>
    <author>tc={25088AD0-CA0F-4C1C-9145-20DBCEF5310E}</author>
    <author>tc={257FF8DF-03CF-45AD-B57A-3000761851FD}</author>
  </authors>
  <commentList>
    <comment ref="E5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r>
      </text>
    </comment>
    <comment ref="B70"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dice que es 89-93, y no 90</t>
        </r>
      </text>
    </comment>
    <comment ref="B71"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r>
      </text>
    </comment>
  </commentList>
</comments>
</file>

<file path=xl/comments7.xml><?xml version="1.0" encoding="utf-8"?>
<comments xmlns="http://schemas.openxmlformats.org/spreadsheetml/2006/main">
  <authors>
    <author>tc={F0178A2A-8F3E-49F7-9867-6BA1E85F76BF}</author>
    <author>tc={18891FC0-C5E1-4335-835C-743808DB2F5C}</author>
    <author>tc={89328B46-E82E-40F0-945B-196CA209FEBC}</author>
  </authors>
  <commentList>
    <comment ref="A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Betsahy</t>
        </r>
      </text>
    </comment>
    <comment ref="C70"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dice que es 89-93, y no 90</t>
        </r>
      </text>
    </comment>
    <comment ref="C71"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<sst xmlns="http://schemas.openxmlformats.org/spreadsheetml/2006/main" count="18525" uniqueCount="1560">
  <si>
    <t>Nro. Recibo</t>
  </si>
  <si>
    <t>Generar</t>
  </si>
  <si>
    <t>Enviado</t>
  </si>
  <si>
    <t>Fecha</t>
  </si>
  <si>
    <t>Monto</t>
  </si>
  <si>
    <t>Beneficiario</t>
  </si>
  <si>
    <t>E-mail o celular</t>
  </si>
  <si>
    <t>Dirección</t>
  </si>
  <si>
    <t>Concepto</t>
  </si>
  <si>
    <t>Categoría</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</si>
  <si>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</si>
  <si>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</si>
  <si>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</si>
  <si>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</si>
  <si>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</si>
  <si>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</si>
  <si>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</si>
  <si>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</si>
  <si>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</si>
  <si>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</si>
  <si>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</si>
  <si>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</si>
  <si>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</si>
  <si>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</si>
  <si>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</si>
  <si>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</si>
  <si>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</si>
  <si>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</si>
  <si>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</si>
  <si>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</si>
  <si>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</si>
  <si>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</si>
  <si>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</si>
  <si>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</si>
  <si>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</si>
  <si>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</si>
  <si>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</si>
  <si>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</si>
  <si>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</si>
  <si>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</si>
  <si>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</si>
  <si>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</si>
  <si>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</si>
  <si>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</si>
  <si>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</si>
  <si>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</si>
  <si>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</si>
  <si>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</si>
  <si>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</si>
  <si>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</si>
  <si>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</si>
  <si>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</si>
  <si>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</si>
  <si>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</si>
  <si>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</si>
  <si>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</si>
  <si>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</si>
  <si>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</si>
  <si>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</si>
  <si>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</si>
  <si>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</si>
  <si>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</si>
  <si>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</si>
  <si>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</si>
  <si>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</si>
  <si>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</si>
  <si>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</si>
  <si>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</si>
  <si>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</si>
  <si>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</si>
  <si>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</si>
  <si>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</si>
  <si>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</si>
  <si>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</si>
  <si>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</si>
  <si>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</si>
  <si>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</si>
  <si>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</si>
  <si>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</si>
  <si>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</si>
  <si>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</si>
  <si>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</si>
  <si>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</si>
  <si>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</si>
  <si>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</si>
  <si>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</si>
  <si>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</si>
  <si>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</si>
  <si>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</si>
  <si>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</si>
  <si>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</si>
  <si>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</si>
  <si>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</si>
  <si>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</si>
  <si>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</si>
  <si>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</si>
  <si>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</si>
  <si>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</si>
  <si>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</si>
  <si>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</si>
  <si>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</si>
  <si>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</si>
  <si>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</si>
  <si>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</si>
  <si>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</si>
  <si>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</si>
  <si>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</si>
  <si>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</si>
  <si>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</si>
  <si>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</si>
  <si>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</si>
  <si>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</si>
  <si>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</si>
  <si>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</si>
  <si>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</si>
  <si>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</si>
  <si>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</si>
  <si>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</si>
  <si>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</si>
  <si>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</si>
  <si>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</si>
  <si>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</si>
  <si>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</si>
  <si>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</si>
  <si>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</si>
  <si>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</si>
  <si>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</si>
  <si>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</si>
  <si>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</si>
  <si>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</si>
  <si>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</si>
  <si>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</si>
  <si>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</si>
  <si>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</si>
  <si>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</si>
  <si>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</si>
  <si>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</si>
  <si>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</si>
  <si>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</si>
  <si>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</si>
  <si>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</si>
  <si>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</si>
  <si>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</si>
  <si>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</si>
  <si>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</si>
  <si>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</si>
  <si>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</si>
  <si>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</si>
  <si>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</si>
  <si>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</si>
  <si>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</si>
  <si>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</si>
  <si>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</si>
  <si>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</si>
  <si>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</si>
  <si>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</si>
  <si>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</si>
  <si>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</si>
  <si>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</si>
  <si>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</si>
  <si>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</si>
  <si>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</si>
  <si>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</si>
  <si>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</si>
  <si>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</si>
  <si>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</si>
  <si>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</si>
  <si>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</si>
  <si>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</si>
  <si>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</si>
  <si>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</si>
  <si>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</si>
  <si>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</si>
  <si>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</si>
  <si>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</si>
  <si>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</si>
  <si>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</si>
  <si>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</si>
  <si>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</si>
  <si>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</si>
  <si>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</si>
  <si>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</si>
  <si>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</si>
  <si>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</si>
  <si>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</si>
  <si>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</si>
  <si>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</si>
  <si>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</si>
  <si>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</si>
  <si>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</si>
  <si>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</si>
  <si>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</si>
  <si>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</si>
  <si>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</si>
  <si>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</si>
  <si>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</si>
  <si>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</si>
  <si>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</si>
  <si>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</si>
  <si>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</si>
  <si>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</si>
  <si>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</si>
  <si>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</si>
  <si>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</si>
  <si>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</si>
  <si>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</si>
  <si>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</si>
  <si>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</si>
  <si>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</si>
  <si>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</si>
  <si>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</si>
  <si>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</si>
  <si>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</si>
  <si>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</si>
  <si>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</si>
  <si>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</si>
  <si>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</si>
  <si>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</si>
  <si>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</si>
  <si>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</si>
  <si>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</si>
  <si>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</si>
  <si>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</si>
  <si>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</si>
  <si>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</si>
  <si>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</si>
  <si>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</si>
  <si>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Anticipo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</si>
  <si>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</si>
  <si>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</si>
  <si>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</si>
  <si>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</si>
  <si>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</si>
  <si>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</si>
  <si>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</si>
  <si>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</si>
  <si>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</si>
  <si>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</si>
  <si>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</si>
  <si>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</si>
  <si>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</si>
  <si>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</si>
  <si>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</si>
  <si>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</si>
  <si>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</si>
  <si>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</si>
  <si>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</si>
  <si>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</si>
  <si>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</si>
  <si>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</si>
  <si>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</si>
  <si>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</si>
  <si>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</si>
  <si>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</si>
  <si>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</si>
  <si>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</si>
  <si>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</si>
  <si>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</si>
  <si>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</si>
  <si>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</si>
  <si>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</si>
  <si>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</si>
  <si>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</si>
  <si>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</si>
  <si>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</si>
  <si>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</si>
  <si>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</si>
  <si>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</si>
  <si>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</si>
  <si>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</si>
  <si>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</si>
  <si>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</si>
  <si>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</si>
  <si>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</si>
  <si>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</si>
  <si>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</si>
  <si>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</si>
  <si>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</si>
  <si>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</si>
  <si>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</si>
  <si>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</si>
  <si>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</si>
  <si>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</si>
  <si>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</si>
  <si>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</si>
  <si>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</si>
  <si>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</si>
  <si>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</si>
  <si>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</si>
  <si>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</si>
  <si>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</si>
  <si>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</si>
  <si>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</si>
  <si>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</si>
  <si>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</si>
  <si>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</si>
  <si>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</si>
  <si>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</si>
  <si>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</si>
  <si>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</si>
  <si>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</si>
  <si>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</si>
  <si>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</si>
  <si>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</si>
  <si>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</si>
  <si>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</si>
  <si>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</si>
  <si>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</si>
  <si>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</si>
  <si>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</si>
  <si>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</si>
  <si>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</si>
  <si>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</si>
  <si>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</si>
  <si>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</si>
  <si>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</si>
  <si>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</si>
  <si>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</si>
  <si>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</si>
  <si>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</si>
  <si>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</si>
  <si>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</si>
  <si>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</si>
  <si>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</si>
  <si>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</si>
  <si>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</si>
  <si>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</si>
  <si>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</si>
  <si>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</si>
  <si>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</si>
  <si>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</si>
  <si>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</si>
  <si>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</si>
  <si>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</si>
  <si>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</si>
  <si>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</si>
  <si>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</si>
  <si>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</si>
  <si>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</si>
  <si>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</si>
  <si>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</si>
  <si>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</si>
  <si>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</si>
  <si>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</si>
  <si>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</si>
  <si>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</si>
  <si>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</si>
  <si>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</si>
  <si>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</si>
  <si>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</si>
  <si>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</si>
  <si>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</si>
  <si>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</si>
  <si>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</si>
  <si>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</si>
  <si>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</si>
  <si>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</si>
  <si>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</si>
  <si>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</si>
  <si>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</si>
  <si>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</si>
  <si>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</si>
  <si>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</si>
  <si>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</si>
  <si>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</si>
  <si>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</si>
  <si>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</si>
  <si>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</si>
  <si>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</si>
  <si>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</si>
  <si>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</si>
  <si>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</si>
  <si>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</si>
  <si>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</si>
  <si>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</si>
  <si>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</si>
  <si>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</si>
  <si>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</si>
  <si>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</si>
  <si>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</si>
  <si>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</si>
  <si>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</si>
  <si>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</si>
  <si>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</si>
  <si>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</si>
  <si>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</si>
  <si>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</si>
  <si>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</si>
  <si>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</si>
  <si>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</si>
  <si>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</si>
  <si>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</si>
  <si>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</si>
  <si>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</si>
  <si>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</si>
  <si>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</si>
  <si>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</si>
  <si>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</si>
  <si>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</si>
  <si>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</si>
  <si>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</si>
  <si>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</si>
  <si>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</si>
  <si>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</si>
  <si>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</si>
  <si>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</si>
  <si>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</si>
  <si>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</si>
  <si>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</si>
  <si>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</si>
  <si>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</si>
  <si>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</si>
  <si>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</si>
  <si>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</si>
  <si>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</si>
  <si>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</si>
  <si>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</si>
  <si>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</si>
  <si>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</si>
  <si>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</si>
  <si>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</si>
  <si>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</si>
  <si>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</si>
  <si>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</si>
  <si>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</si>
  <si>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</si>
  <si>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</si>
  <si>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</si>
  <si>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</si>
  <si>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</si>
  <si>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</si>
  <si>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</si>
  <si>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</si>
  <si>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</si>
  <si>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</si>
  <si>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</si>
  <si>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</si>
  <si>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</si>
  <si>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</si>
  <si>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</si>
  <si>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</si>
  <si>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</si>
  <si>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</si>
  <si>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</si>
  <si>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</si>
  <si>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</si>
  <si>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</si>
  <si>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</si>
  <si>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</si>
  <si>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</si>
  <si>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</si>
  <si>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</si>
  <si>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</si>
  <si>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</si>
  <si>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</si>
  <si>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</si>
  <si>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</si>
  <si>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</si>
  <si>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</si>
  <si>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</si>
  <si>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</si>
  <si>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</si>
  <si>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</si>
  <si>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</si>
  <si>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</si>
  <si>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</si>
  <si>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</si>
  <si>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</si>
  <si>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</si>
  <si>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</si>
  <si>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</si>
  <si>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</si>
  <si>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</si>
  <si>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</si>
  <si>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</si>
  <si>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</si>
  <si>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</si>
  <si>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</si>
  <si>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</si>
  <si>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</si>
  <si>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</si>
  <si>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</si>
  <si>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</si>
  <si>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</si>
  <si>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</si>
  <si>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</si>
  <si>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</si>
  <si>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</si>
  <si>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</si>
  <si>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</si>
  <si>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</si>
  <si>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</si>
  <si>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</si>
  <si>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</si>
  <si>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</si>
  <si>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</si>
  <si>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</si>
  <si>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</si>
  <si>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</si>
  <si>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</si>
  <si>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</si>
  <si>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</si>
  <si>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</si>
  <si>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</si>
  <si>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</si>
  <si>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</si>
  <si>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</si>
  <si>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</si>
  <si>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</si>
  <si>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</si>
  <si>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</si>
  <si>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</si>
  <si>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</si>
  <si>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</si>
  <si>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</si>
  <si>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</si>
  <si>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</si>
  <si>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</si>
  <si>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</si>
  <si>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</si>
  <si>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</si>
  <si>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</si>
  <si>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</si>
  <si>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</si>
  <si>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</si>
  <si>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</si>
  <si>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</si>
  <si>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</si>
  <si>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</si>
  <si>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</si>
  <si>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</si>
  <si>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</si>
  <si>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</si>
  <si>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</si>
  <si>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</si>
  <si>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</si>
  <si>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</si>
  <si>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</si>
  <si>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</si>
  <si>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</si>
  <si>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</si>
  <si>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</si>
  <si>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</si>
  <si>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</si>
  <si>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</si>
  <si>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</si>
  <si>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</si>
  <si>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</si>
  <si>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</si>
  <si>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</si>
  <si>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</si>
  <si>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</si>
  <si>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</si>
  <si>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</si>
  <si>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</si>
  <si>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</si>
  <si>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</si>
  <si>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</si>
  <si>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</si>
  <si>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</si>
  <si>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</si>
  <si>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</si>
  <si>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</si>
  <si>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</si>
  <si>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</si>
  <si>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</si>
  <si>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</si>
  <si>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</si>
  <si>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</si>
  <si>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</si>
  <si>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</si>
  <si>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</si>
  <si>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</si>
  <si>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</si>
  <si>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</si>
  <si>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</si>
  <si>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</si>
  <si>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</si>
  <si>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</si>
  <si>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</si>
  <si>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</si>
  <si>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</si>
  <si>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</si>
  <si>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</si>
  <si>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</si>
  <si>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</si>
  <si>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</si>
  <si>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</si>
  <si>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</si>
  <si>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</si>
  <si>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</si>
  <si>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</si>
  <si>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</si>
  <si>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</si>
  <si>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</si>
  <si>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</si>
  <si>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</si>
  <si>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</si>
  <si>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</si>
  <si>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</si>
  <si>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</si>
  <si>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</si>
  <si>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</si>
  <si>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</si>
  <si>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</si>
  <si>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</si>
  <si>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</si>
  <si>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</si>
  <si>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</si>
  <si>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</si>
  <si>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</si>
  <si>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</si>
  <si>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</si>
  <si>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</si>
  <si>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</si>
  <si>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</si>
  <si>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</si>
  <si>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</si>
  <si>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</si>
  <si>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</si>
  <si>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</si>
  <si>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</si>
  <si>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</si>
  <si>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</si>
  <si>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</si>
  <si>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</si>
  <si>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</si>
  <si>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</si>
  <si>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</si>
  <si>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</si>
  <si>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</si>
  <si>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</si>
  <si>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</si>
  <si>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</si>
  <si>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</si>
  <si>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</si>
  <si>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</si>
  <si>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</si>
  <si>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</si>
  <si>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</si>
  <si>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</si>
  <si>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</si>
  <si>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</si>
  <si>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</si>
  <si>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</si>
  <si>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</si>
  <si>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</si>
  <si>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</si>
  <si>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</si>
  <si>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</si>
  <si>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</si>
  <si>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</si>
  <si>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Otros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</si>
  <si>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</si>
  <si>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</si>
  <si>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</si>
  <si>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</si>
  <si>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</si>
  <si>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</si>
  <si>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</si>
  <si>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</si>
  <si>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</si>
  <si>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</si>
  <si>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</si>
  <si>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</si>
  <si>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</si>
  <si>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</si>
  <si>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</si>
  <si>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</si>
  <si>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</si>
  <si>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</si>
  <si>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</si>
  <si>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</si>
  <si>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</si>
  <si>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</si>
  <si>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</si>
  <si>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</si>
  <si>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</si>
  <si>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</si>
  <si>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</si>
  <si>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</si>
  <si>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</si>
  <si>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</si>
  <si>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</si>
  <si>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</si>
  <si>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</si>
  <si>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</si>
  <si>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</si>
  <si>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</si>
  <si>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</si>
  <si>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</si>
  <si>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</si>
  <si>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</si>
  <si>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</si>
  <si>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</si>
  <si>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</si>
  <si>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</si>
  <si>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</si>
  <si>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</si>
  <si>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</si>
  <si>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</si>
  <si>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</si>
  <si>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</si>
  <si>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</si>
  <si>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</si>
  <si>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</si>
  <si>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</si>
  <si>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</si>
  <si>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</si>
  <si>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</si>
  <si>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</si>
  <si>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</si>
  <si>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</si>
  <si>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</si>
  <si>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</si>
  <si>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</si>
  <si>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</si>
  <si>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</si>
  <si>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</si>
  <si>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</si>
  <si>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</si>
  <si>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</si>
  <si>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</si>
  <si>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</si>
  <si>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</si>
  <si>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</si>
  <si>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</si>
  <si>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</si>
  <si>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</si>
  <si>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</si>
  <si>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</si>
  <si>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</si>
  <si>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</si>
  <si>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</si>
  <si>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</si>
  <si>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</si>
  <si>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</si>
  <si>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</si>
  <si>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</si>
  <si>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</si>
  <si>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</si>
  <si>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</si>
  <si>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</si>
  <si>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</si>
  <si>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</si>
  <si>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</si>
  <si>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</si>
  <si>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</si>
  <si>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</si>
  <si>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</si>
  <si>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</si>
  <si>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</si>
  <si>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</si>
  <si>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</si>
  <si>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</si>
  <si>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</si>
  <si>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</si>
  <si>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</si>
  <si>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</si>
  <si>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</si>
  <si>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</si>
  <si>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</si>
  <si>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</si>
  <si>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</si>
  <si>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</si>
  <si>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</si>
  <si>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</si>
  <si>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</si>
  <si>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</si>
  <si>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</si>
  <si>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</si>
  <si>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</si>
  <si>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</si>
  <si>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</si>
  <si>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</si>
  <si>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</si>
  <si>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</si>
  <si>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</si>
  <si>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</si>
  <si>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</si>
  <si>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</si>
  <si>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</si>
  <si>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</si>
  <si>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</si>
  <si>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</si>
  <si>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</si>
  <si>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</si>
  <si>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</si>
  <si>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</si>
  <si>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</si>
  <si>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</si>
  <si>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</si>
  <si>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</si>
  <si>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</si>
  <si>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</si>
  <si>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</si>
  <si>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</si>
  <si>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</si>
  <si>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</si>
  <si>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</si>
  <si>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</si>
  <si>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</si>
  <si>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</si>
  <si>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</si>
  <si>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</si>
  <si>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</si>
  <si>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</si>
  <si>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</si>
  <si>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</si>
  <si>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</si>
  <si>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</si>
  <si>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</si>
  <si>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</si>
  <si>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</si>
  <si>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</si>
  <si>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</si>
  <si>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</si>
  <si>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</si>
  <si>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</si>
  <si>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</si>
  <si>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</si>
  <si>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</si>
  <si>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</si>
  <si>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</si>
  <si>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</si>
  <si>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</si>
  <si>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</si>
  <si>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</si>
  <si>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</si>
  <si>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</si>
  <si>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</si>
  <si>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</si>
  <si>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</si>
  <si>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</si>
  <si>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</si>
  <si>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</si>
  <si>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</si>
  <si>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</si>
  <si>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</si>
  <si>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</si>
  <si>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</si>
  <si>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</si>
  <si>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</si>
  <si>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</si>
  <si>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</si>
  <si>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</si>
  <si>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</si>
  <si>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</si>
  <si>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</si>
  <si>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</si>
  <si>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</si>
  <si>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</si>
  <si>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</si>
  <si>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</si>
  <si>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</si>
  <si>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</si>
  <si>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</si>
  <si>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</si>
  <si>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</si>
  <si>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</si>
  <si>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</si>
  <si>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</si>
  <si>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</si>
  <si>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</si>
  <si>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</si>
  <si>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</si>
  <si>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</si>
  <si>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</si>
  <si>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</si>
  <si>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</si>
  <si>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</si>
  <si>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</si>
  <si>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</si>
  <si>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</si>
  <si>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</si>
  <si>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</si>
  <si>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</si>
  <si>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</si>
  <si>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</si>
  <si>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</si>
  <si>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</si>
  <si>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</si>
  <si>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</si>
  <si>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</si>
  <si>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</si>
  <si>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</si>
  <si>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</si>
  <si>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</si>
  <si>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</si>
  <si>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</si>
  <si>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</si>
  <si>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</si>
  <si>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</si>
  <si>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</si>
  <si>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</si>
  <si>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</si>
  <si>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</si>
  <si>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</si>
  <si>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</si>
  <si>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</si>
  <si>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</si>
  <si>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</si>
  <si>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</si>
  <si>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</si>
  <si>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</si>
  <si>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</si>
  <si>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</si>
  <si>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</si>
  <si>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</si>
  <si>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</si>
  <si>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</si>
  <si>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</si>
  <si>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</si>
  <si>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</si>
  <si>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</si>
  <si>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</si>
  <si>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</si>
  <si>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</si>
  <si>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</si>
  <si>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</si>
  <si>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</si>
  <si>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</si>
  <si>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</si>
  <si>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</si>
  <si>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</si>
  <si>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</si>
  <si>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</si>
  <si>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</si>
  <si>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</si>
  <si>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</si>
  <si>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</si>
  <si>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</si>
  <si>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</si>
  <si>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</si>
  <si>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</si>
  <si>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</si>
  <si>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</si>
  <si>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</si>
  <si>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</si>
  <si>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</si>
  <si>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</si>
  <si>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</si>
  <si>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</si>
  <si>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</si>
  <si>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</si>
  <si>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</si>
  <si>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</si>
  <si>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</si>
  <si>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</si>
  <si>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</si>
  <si>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</si>
  <si>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</si>
  <si>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</si>
  <si>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</si>
  <si>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</si>
  <si>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</si>
  <si>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</si>
  <si>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</si>
  <si>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</si>
  <si>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</si>
  <si>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</si>
  <si>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</si>
  <si>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</si>
  <si>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</si>
  <si>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</si>
  <si>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</si>
  <si>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</si>
  <si>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</si>
  <si>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</si>
  <si>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</si>
  <si>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</si>
  <si>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</si>
  <si>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</si>
  <si>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</si>
  <si>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</si>
  <si>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</si>
  <si>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</si>
  <si>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</si>
  <si>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</si>
  <si>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</si>
  <si>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</si>
  <si>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</si>
  <si>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</si>
  <si>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</si>
  <si>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</si>
  <si>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</si>
  <si>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</si>
  <si>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</si>
  <si>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</si>
  <si>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</si>
  <si>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</si>
  <si>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</si>
  <si>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</si>
  <si>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</si>
  <si>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</si>
  <si>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</si>
  <si>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</si>
  <si>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</si>
  <si>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</si>
  <si>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</si>
  <si>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</si>
  <si>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</si>
  <si>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</si>
  <si>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</si>
  <si>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</si>
  <si>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</si>
  <si>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</si>
  <si>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</si>
  <si>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</si>
  <si>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</si>
  <si>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</si>
  <si>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</si>
  <si>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</si>
  <si>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</si>
  <si>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</si>
  <si>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</si>
  <si>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</si>
  <si>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</si>
  <si>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</si>
  <si>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</si>
  <si>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</si>
  <si>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</si>
  <si>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</si>
  <si>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</si>
  <si>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</si>
  <si>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</si>
  <si>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</si>
  <si>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</si>
  <si>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</si>
  <si>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</si>
  <si>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</si>
  <si>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</si>
  <si>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</si>
  <si>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</si>
  <si>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</si>
  <si>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</si>
  <si>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</si>
  <si>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</si>
  <si>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</si>
  <si>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</si>
  <si>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</si>
  <si>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</si>
  <si>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</si>
  <si>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</si>
  <si>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</si>
  <si>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</si>
  <si>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</si>
  <si>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</si>
  <si>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</si>
  <si>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</si>
  <si>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</si>
  <si>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</si>
  <si>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</si>
  <si>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</si>
  <si>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</si>
  <si>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</si>
  <si>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</si>
  <si>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</si>
  <si>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</si>
  <si>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</si>
  <si>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</si>
  <si>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</si>
  <si>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</si>
  <si>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</si>
  <si>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</si>
  <si>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</si>
  <si>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</si>
  <si>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</si>
  <si>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</si>
  <si>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</si>
  <si>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</si>
  <si>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</si>
  <si>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</si>
  <si>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</si>
  <si>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</si>
  <si>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</si>
  <si>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</si>
  <si>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</si>
  <si>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</si>
  <si>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</si>
  <si>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</si>
  <si>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</si>
  <si>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</si>
  <si>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</si>
  <si>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</si>
  <si>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</si>
  <si>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</si>
  <si>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</si>
  <si>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</si>
  <si>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</si>
  <si>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</si>
  <si>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</si>
  <si>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</si>
  <si>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</si>
  <si>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</si>
  <si>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</si>
  <si>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</si>
  <si>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</si>
  <si>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</si>
  <si>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</si>
  <si>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</si>
  <si>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</si>
  <si>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</si>
  <si>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</si>
  <si>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</si>
  <si>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</si>
  <si>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</si>
  <si>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</si>
  <si>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</si>
  <si>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</si>
  <si>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</si>
  <si>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</si>
  <si>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</si>
  <si>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</si>
  <si>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</si>
  <si>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</si>
  <si>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</si>
  <si>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</si>
  <si>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</si>
  <si>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</si>
  <si>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</si>
  <si>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</si>
  <si>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</si>
  <si>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</si>
  <si>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</si>
  <si>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</si>
  <si>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</si>
  <si>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</si>
  <si>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</si>
  <si>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</si>
  <si>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</si>
  <si>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</si>
  <si>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</si>
  <si>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</si>
  <si>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</si>
  <si>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</si>
  <si>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</si>
  <si>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</si>
  <si>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</si>
  <si>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</si>
  <si>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</si>
  <si>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</si>
  <si>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</si>
  <si>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</si>
  <si>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</si>
  <si>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</si>
  <si>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</si>
  <si>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</si>
  <si>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</si>
  <si>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</si>
  <si>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</si>
  <si>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</si>
  <si>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</si>
  <si>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</si>
  <si>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</si>
  <si>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</si>
  <si>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</si>
  <si>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</si>
  <si>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</si>
  <si>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</si>
  <si>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</si>
  <si>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</si>
  <si>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</si>
  <si>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</si>
  <si>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</si>
  <si>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</si>
  <si>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</si>
  <si>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</si>
  <si>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</si>
  <si>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</si>
  <si>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</si>
  <si>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</si>
  <si>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</si>
  <si>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</si>
  <si>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</si>
  <si>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TOTAL</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</si>
  <si>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</si>
  <si>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</si>
  <si>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</si>
  <si>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</si>
  <si>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</si>
  <si>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</si>
  <si>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</si>
  <si>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</si>
  <si>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</si>
  <si>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</si>
  <si>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</si>
  <si>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</si>
  <si>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</si>
  <si>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</si>
  <si>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</si>
  <si>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</si>
  <si>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</si>
  <si>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</si>
  <si>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</si>
  <si>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</si>
  <si>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</si>
  <si>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</si>
  <si>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</si>
  <si>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</si>
  <si>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</si>
  <si>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t>
  </si>
  <si>
    <t>USD</t>
  </si>
  <si>
    <t>Saldos a la Fecha</t>
  </si>
  <si>
    <r>
      <rPr>
        <b/>
        <sz val="14"/>
        <color theme="1"/>
        <rFont val="Calibri"/>
        <family val="2"/>
        <scheme val="minor"/>
      </rPr>
      <t>Familia Del Negro Palermo</t>
    </r>
    <r>
      <rPr>
        <b/>
        <sz val="12"/>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</si>
  <si>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</si>
  <si>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Familia Ozar Rivero</t>
    </r>
    <r>
      <rPr>
        <b/>
        <sz val="11"/>
        <color theme="1"/>
        <rFont val="Calibri"/>
        <family val="2"/>
        <scheme val="minor"/>
      </rPr>
      <t>, Calle Güigue Nro. 88-06</t>
    </r>
  </si>
  <si>
    <t>Familia Wu Acevedo, Calle Guacara Nro. 88-A-10</t>
  </si>
  <si>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</si>
  <si>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</si>
  <si>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</si>
  <si>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</si>
  <si>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</si>
  <si>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</si>
  <si>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</si>
  <si>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Transferencia</t>
  </si>
  <si>
    <t>Deposito</t>
  </si>
  <si>
    <t>Duplicado de llave portón p/Colegio El Trigal</t>
  </si>
  <si>
    <t>Compra de pintura para reja centro comercial</t>
  </si>
  <si>
    <t>Compra de dos (02) controles</t>
  </si>
  <si>
    <t>Cancelación Vigilancia, saldo meses de Marzo y Abril 2018</t>
  </si>
  <si>
    <t>Compra de cemento y arena p/rep. caseta</t>
  </si>
  <si>
    <t>Saldo febrero + cuotas Mar-Jun 2017</t>
  </si>
  <si>
    <t>Cancelación Vigilancia, meses de Ene-Jun 2017</t>
  </si>
  <si>
    <t>Compra de control para el portón</t>
  </si>
  <si>
    <t>Cancelación Vigilancia, Mes de Agosto 2018</t>
  </si>
  <si>
    <t>Compra de remaches p/cerradura</t>
  </si>
  <si>
    <t>&gt;&gt; Anulación de saldo &lt;&lt;</t>
  </si>
  <si>
    <t>Cancelación Vigilancia, saldo mes de Septiembre 2018</t>
  </si>
  <si>
    <t>Compra de rejilla p/baño rep. Caseta</t>
  </si>
  <si>
    <t>» Transferencia 9957128286 de Banesco</t>
  </si>
  <si>
    <t>Compra de materiales p/rep. Caseta</t>
  </si>
  <si>
    <t>» Deposito 10964404396, Banesco</t>
  </si>
  <si>
    <t>Reverso anticipo mes de Septiembre</t>
  </si>
  <si>
    <t>Vigilancia: cancelación meses de Septiembre, Octubre, Noviembre, Diciembre 2018 y Enero 2019</t>
  </si>
  <si>
    <t>» Transferencia 74630425, Bco. Provincial</t>
  </si>
  <si>
    <t>Cancelación Dayana Alonso: Vigilancia 30-06-2018</t>
  </si>
  <si>
    <t>» Transferencia 11062598286, Banesco</t>
  </si>
  <si>
    <t>Anticipo Vigilancia, mes de Julio 2018</t>
  </si>
  <si>
    <t>Compra de electrodos</t>
  </si>
  <si>
    <t>» Transferencia 11088303656, Banesco</t>
  </si>
  <si>
    <t>Compra de talonario de recibos</t>
  </si>
  <si>
    <t>» Transferencia 92758760, Bco. Provincial</t>
  </si>
  <si>
    <t xml:space="preserve">» Transferencia </t>
  </si>
  <si>
    <t>» Transferencia 97075737, Bco. Provincial</t>
  </si>
  <si>
    <t>Cancelaciòn Vigilancia, anticipo mes de Febrero 2020</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</si>
  <si>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</si>
  <si>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</si>
  <si>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</si>
  <si>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</si>
  <si>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</si>
  <si>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</si>
  <si>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</si>
  <si>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</si>
  <si>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</si>
  <si>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</si>
  <si>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Recuerde insertar esta fila en las siguientes para asegurar la correctitud de las fórmulas</t>
  </si>
  <si>
    <t>% Cobertura de Pago de Vigilantes, Pasivos y Consumibles</t>
  </si>
  <si>
    <t>A graficar</t>
  </si>
  <si>
    <t>Pagos 100% Equivalentes</t>
  </si>
  <si>
    <t>Promedio 5 últimos meses</t>
  </si>
  <si>
    <t>Pago Vigilantes</t>
  </si>
  <si>
    <t>100% eqv.</t>
  </si>
  <si>
    <t>Pago vigilantes =</t>
  </si>
  <si>
    <t>Cuotas =</t>
  </si>
  <si>
    <t>Comida</t>
  </si>
  <si>
    <t>F.Desde</t>
  </si>
  <si>
    <t>F.Hasta</t>
  </si>
  <si>
    <t xml:space="preserve"> </t>
  </si>
  <si>
    <t>Cuota completa</t>
  </si>
  <si>
    <t>No participa</t>
  </si>
  <si>
    <t>Colaboración</t>
  </si>
  <si>
    <t>OCULTO</t>
  </si>
  <si>
    <t>Sólo comida</t>
  </si>
  <si>
    <t>GyG - Total de Ingresos Mensuales</t>
  </si>
  <si>
    <t>Expresado en Bs. Soberanos</t>
  </si>
  <si>
    <t>(Varios elementos)</t>
  </si>
  <si>
    <t>Categorías</t>
  </si>
  <si>
    <t>Total general</t>
  </si>
  <si>
    <t>Aporte Caseta</t>
  </si>
  <si>
    <r>
      <rPr>
        <b/>
        <sz val="11"/>
        <color theme="1"/>
        <rFont val="Calibri"/>
        <family val="2"/>
        <scheme val="minor"/>
      </rPr>
      <t>CORREGIR</t>
    </r>
    <r>
      <rPr>
        <sz val="11"/>
        <color theme="1"/>
        <rFont val="Calibri"/>
        <family val="2"/>
        <scheme val="minor"/>
      </rPr>
      <t xml:space="preserve"> - Sumar en la categoría Vigilancia los depósitos reportados en </t>
    </r>
    <r>
      <rPr>
        <b/>
        <sz val="11"/>
        <color theme="1"/>
        <rFont val="Calibri"/>
        <family val="2"/>
        <scheme val="minor"/>
      </rPr>
      <t>Saldos</t>
    </r>
    <r>
      <rPr>
        <sz val="11"/>
        <color theme="1"/>
        <rFont val="Calibri"/>
        <family val="2"/>
        <scheme val="minor"/>
      </rPr>
      <t xml:space="preserve"> y restar los descuentos realizados en esos mismos períodos - </t>
    </r>
    <r>
      <rPr>
        <b/>
        <sz val="11"/>
        <color theme="1"/>
        <rFont val="Calibri"/>
        <family val="2"/>
        <scheme val="minor"/>
      </rPr>
      <t>OK</t>
    </r>
  </si>
  <si>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</si>
  <si>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</si>
  <si>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</si>
  <si>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</si>
  <si>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</si>
  <si>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</si>
  <si>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</si>
  <si>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</si>
  <si>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</si>
  <si>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</si>
  <si>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</si>
  <si>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</si>
  <si>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</si>
  <si>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</si>
  <si>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</si>
  <si>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</si>
  <si>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</si>
  <si>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</si>
  <si>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</si>
  <si>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</si>
  <si>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</si>
  <si>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</si>
  <si>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</si>
  <si>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</si>
  <si>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</si>
  <si>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</si>
  <si>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</si>
  <si>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</si>
  <si>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</si>
  <si>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</si>
  <si>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</si>
  <si>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</si>
  <si>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</si>
  <si>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</si>
  <si>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</si>
  <si>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</si>
  <si>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</si>
  <si>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</si>
  <si>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</si>
  <si>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</si>
  <si>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</si>
  <si>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</si>
  <si>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</si>
  <si>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</si>
  <si>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</si>
  <si>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</si>
  <si>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</si>
  <si>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</si>
  <si>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</si>
  <si>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</si>
  <si>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</si>
  <si>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</si>
  <si>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</si>
  <si>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</si>
  <si>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</si>
  <si>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</si>
  <si>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</si>
  <si>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</si>
  <si>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</si>
  <si>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</si>
  <si>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</si>
  <si>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</si>
  <si>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</si>
  <si>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</si>
  <si>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</si>
  <si>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</si>
  <si>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</si>
  <si>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</si>
  <si>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</si>
  <si>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</si>
  <si>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</si>
  <si>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</si>
  <si>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</si>
  <si>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</si>
  <si>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</si>
  <si>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</si>
  <si>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</si>
  <si>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</si>
  <si>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</si>
  <si>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</si>
  <si>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</si>
  <si>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</si>
  <si>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</si>
  <si>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</si>
  <si>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</si>
  <si>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</si>
  <si>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</si>
  <si>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</si>
  <si>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</si>
  <si>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</si>
  <si>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</si>
  <si>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</si>
  <si>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</si>
  <si>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</si>
  <si>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</si>
  <si>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</si>
  <si>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</si>
  <si>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</si>
  <si>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
Chrn Tsai</t>
  </si>
  <si>
    <t>Lisbeth Marilyn Sambrano Kent</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</si>
  <si>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</si>
  <si>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</si>
  <si>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</si>
  <si>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</si>
  <si>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</si>
  <si>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</si>
  <si>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</si>
  <si>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</si>
  <si>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</si>
  <si>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</si>
  <si>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</si>
  <si>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</si>
  <si>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</si>
  <si>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</si>
  <si>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</si>
  <si>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</si>
  <si>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</si>
  <si>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</si>
  <si>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</si>
  <si>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</si>
  <si>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</si>
  <si>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</si>
  <si>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</si>
  <si>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</si>
  <si>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</si>
  <si>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</si>
  <si>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</si>
  <si>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</si>
  <si>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</si>
  <si>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</si>
  <si>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</si>
  <si>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</si>
  <si>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</si>
  <si>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</si>
  <si>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</si>
  <si>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</si>
  <si>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Eduardo Soto</t>
  </si>
  <si>
    <t>Rosana Urdaneta</t>
  </si>
  <si>
    <t>Familia Aparicio. Anexo</t>
  </si>
  <si>
    <t>Calle Guacara Nro. 89-129</t>
  </si>
  <si>
    <t>0414-430.0164</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</si>
  <si>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</si>
  <si>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</si>
  <si>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</si>
  <si>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</si>
  <si>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</si>
  <si>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</si>
  <si>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</si>
  <si>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</si>
  <si>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</si>
  <si>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</si>
  <si>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</si>
  <si>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</si>
  <si>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</si>
  <si>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</si>
  <si>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</si>
  <si>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</si>
  <si>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</si>
  <si>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</si>
  <si>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</si>
  <si>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</si>
  <si>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</si>
  <si>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</si>
  <si>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</si>
  <si>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</si>
  <si>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</si>
  <si>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</si>
  <si>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</si>
  <si>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</si>
  <si>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</si>
  <si>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</si>
  <si>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</si>
  <si>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</si>
  <si>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</si>
  <si>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</si>
  <si>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</si>
  <si>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</si>
  <si>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</si>
  <si>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</si>
  <si>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</si>
  <si>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Calle Güigüe Nro. 88-42</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</si>
  <si>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</si>
  <si>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</si>
  <si>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</si>
  <si>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</si>
  <si>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</si>
  <si>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</si>
  <si>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</si>
  <si>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</si>
  <si>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</si>
  <si>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</si>
  <si>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</si>
  <si>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</si>
  <si>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</si>
  <si>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</si>
  <si>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</si>
  <si>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</si>
  <si>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</si>
  <si>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</si>
  <si>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0412-684.8327</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</si>
  <si>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</si>
  <si>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</si>
  <si>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</si>
  <si>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</si>
  <si>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</si>
  <si>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</si>
  <si>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</si>
  <si>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</si>
  <si>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</si>
  <si>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</si>
  <si>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</si>
  <si>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</si>
  <si>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</si>
  <si>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Alexis Sayago</t>
  </si>
  <si>
    <t>0424-430.1332</t>
  </si>
  <si>
    <t>Pablo Acosta</t>
  </si>
  <si>
    <t>0414-342.6030</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</si>
  <si>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</si>
  <si>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</si>
  <si>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</si>
  <si>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</si>
  <si>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</si>
  <si>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</si>
  <si>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</si>
  <si>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</si>
  <si>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</si>
  <si>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</si>
  <si>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</si>
  <si>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</si>
  <si>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</si>
  <si>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</si>
  <si>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</si>
  <si>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</si>
  <si>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</si>
  <si>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</si>
  <si>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</si>
  <si>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</si>
  <si>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</si>
  <si>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</si>
  <si>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</si>
  <si>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</si>
  <si>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</si>
  <si>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</si>
  <si>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</si>
  <si>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</si>
  <si>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</si>
  <si>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</si>
  <si>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</si>
  <si>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</si>
  <si>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</si>
  <si>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</si>
  <si>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</si>
  <si>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</si>
  <si>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</si>
  <si>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</si>
  <si>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</si>
  <si>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</si>
  <si>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</si>
  <si>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</si>
  <si>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</si>
  <si>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</si>
  <si>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</si>
  <si>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</si>
  <si>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</si>
  <si>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</si>
  <si>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</si>
  <si>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</si>
  <si>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</si>
  <si>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</si>
  <si>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</si>
  <si>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</si>
  <si>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</si>
  <si>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</si>
  <si>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Familia Triana</t>
  </si>
  <si>
    <t>zoraida</t>
  </si>
  <si>
    <t>(*)</t>
  </si>
  <si>
    <t>Al agregar un nuevo año al Resumen de Vigilancia, hay que modificar el</t>
  </si>
  <si>
    <t>final de los rangos de búsqueda en las líneas del Pago Vigilantes (35) y</t>
  </si>
  <si>
    <t>Cuotas(línea 37)</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</si>
</sst>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mmm\.yyyy"/>
    <numFmt numFmtId="176" formatCode="0.0%"/>
    <numFmt numFmtId="177" formatCode="&quot;Fecha de referencia =&quot;\ dd/mm/yyyy"/>
    <numFmt numFmtId="178" formatCode="\+\ #,##0.00_ ;[Red]\-#,##0.00\ "/>
    <numFmt numFmtId="179" formatCode="mmm\.\ yyyy"/>
    <numFmt numFmtId="180" formatCode="#,##0_ ;[Red]\-#,##0\ ;"/>
    <numFmt numFmtId="181" formatCode="&quot;linea&quot;\ 0"/>
    <numFmt numFmtId="182" formatCode="&quot;Pto.Equilibrio =&quot;\ 0\ &quot;familias&quot;"/>
    <numFmt numFmtId="183" formatCode="[$-C0A]mmm\ yyyy;@"/>
  </numFmts>
  <fonts count="31" x14ac:knownFonts="1">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b/>
      <sz val="11"/>
      <color theme="0"/>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s>
  <fills count="45">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24994659260841701"/>
        <bgColor theme="4" tint="0.79992065187536243"/>
      </patternFill>
    </fill>
    <fill>
      <patternFill patternType="solid">
        <fgColor theme="4" tint="-0.24994659260841701"/>
        <bgColor theme="4" tint="0.79995117038483843"/>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s>
  <borders count="167">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thin">
        <color theme="0" tint="-0.34998626667073579"/>
      </left>
      <right style="thin">
        <color theme="0" tint="-0.34998626667073579"/>
      </right>
      <top/>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right style="thin">
        <color theme="0" tint="-0.34998626667073579"/>
      </right>
      <top/>
      <bottom style="thin">
        <color theme="0" tint="-0.34998626667073579"/>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right style="thin">
        <color theme="0" tint="-0.34998626667073579"/>
      </right>
      <top/>
      <bottom/>
      <diagonal/>
    </border>
    <border>
      <left style="thin">
        <color theme="0" tint="-0.34998626667073579"/>
      </left>
      <right/>
      <top/>
      <bottom/>
      <diagonal/>
    </border>
    <border>
      <left style="thin">
        <color theme="0" tint="-4.9989318521683403E-2"/>
      </left>
      <right style="thin">
        <color theme="0" tint="-4.9989318521683403E-2"/>
      </right>
      <top style="thin">
        <color theme="0" tint="-4.9989318521683403E-2"/>
      </top>
      <bottom style="thin">
        <color theme="4" tint="0.39997558519241921"/>
      </bottom>
      <diagonal/>
    </border>
    <border>
      <left style="thin">
        <color theme="0" tint="-0.34998626667073579"/>
      </left>
      <right style="thin">
        <color theme="0" tint="-4.9989318521683403E-2"/>
      </right>
      <top/>
      <bottom/>
      <diagonal/>
    </border>
    <border>
      <left style="thin">
        <color theme="0" tint="-0.34998626667073579"/>
      </left>
      <right style="thin">
        <color theme="0" tint="-4.9989318521683403E-2"/>
      </right>
      <top/>
      <bottom style="thin">
        <color theme="4" tint="0.39997558519241921"/>
      </bottom>
      <diagonal/>
    </border>
    <border>
      <left style="thin">
        <color theme="0" tint="-4.9989318521683403E-2"/>
      </left>
      <right style="thin">
        <color theme="0" tint="-0.34998626667073579"/>
      </right>
      <top/>
      <bottom/>
      <diagonal/>
    </border>
    <border>
      <left style="thin">
        <color theme="0" tint="-4.9989318521683403E-2"/>
      </left>
      <right style="thin">
        <color theme="0" tint="-0.34998626667073579"/>
      </right>
      <top/>
      <bottom style="thin">
        <color theme="4" tint="0.39997558519241921"/>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thin">
        <color theme="0" tint="-0.34998626667073579"/>
      </left>
      <right style="thin">
        <color theme="0" tint="-4.9989318521683403E-2"/>
      </right>
      <top style="thin">
        <color theme="4" tint="0.39997558519241921"/>
      </top>
      <bottom/>
      <diagonal/>
    </border>
    <border>
      <left style="thin">
        <color theme="0" tint="-4.9989318521683403E-2"/>
      </left>
      <right style="thin">
        <color theme="0" tint="-4.9989318521683403E-2"/>
      </right>
      <top style="thin">
        <color theme="4" tint="0.39997558519241921"/>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s>
  <cellStyleXfs count="4">
    <xf numFmtId="0" fontId="0" fillId="0" borderId="0"/>
    <xf numFmtId="0" fontId="1" fillId="36" borderId="0" applyNumberFormat="0" applyBorder="0" applyAlignment="0" applyProtection="0"/>
    <xf numFmtId="0" fontId="1" fillId="37" borderId="0" applyNumberFormat="0" applyBorder="0" applyAlignment="0" applyProtection="0"/>
    <xf numFmtId="0" fontId="27" fillId="0" borderId="0" applyNumberFormat="0" applyFill="0" applyBorder="0" applyAlignment="0" applyProtection="0"/>
  </cellStyleXfs>
  <cellXfs count="681">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14" fontId="4" fillId="0" borderId="0" xfId="0" applyNumberFormat="1" applyFont="1"/>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14" fontId="4" fillId="0" borderId="0" xfId="0" applyNumberFormat="1" applyFont="1" applyAlignment="1">
      <alignment horizontal="left"/>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0" fontId="8" fillId="0" borderId="31" xfId="0" applyNumberFormat="1" applyFont="1" applyBorder="1" applyAlignment="1">
      <alignment horizontal="right" indent="1"/>
    </xf>
    <xf numFmtId="170" fontId="8" fillId="0" borderId="20" xfId="0" applyNumberFormat="1" applyFont="1" applyBorder="1" applyAlignment="1">
      <alignment horizontal="right" indent="1"/>
    </xf>
    <xf numFmtId="170"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8" fontId="8" fillId="3" borderId="33" xfId="0" applyNumberFormat="1" applyFont="1" applyFill="1" applyBorder="1" applyAlignment="1">
      <alignment horizontal="center" vertical="center"/>
    </xf>
    <xf numFmtId="168" fontId="8" fillId="4" borderId="33" xfId="0" applyNumberFormat="1" applyFont="1" applyFill="1" applyBorder="1" applyAlignment="1">
      <alignment horizontal="center" vertical="center"/>
    </xf>
    <xf numFmtId="168" fontId="8" fillId="0" borderId="33" xfId="0" applyNumberFormat="1" applyFont="1" applyBorder="1" applyAlignment="1">
      <alignment horizontal="center" vertical="center"/>
    </xf>
    <xf numFmtId="168" fontId="8" fillId="21" borderId="33" xfId="0" applyNumberFormat="1" applyFont="1" applyFill="1" applyBorder="1" applyAlignment="1">
      <alignment horizontal="center" vertical="center"/>
    </xf>
    <xf numFmtId="168" fontId="8" fillId="0" borderId="32" xfId="0" applyNumberFormat="1" applyFont="1" applyBorder="1" applyAlignment="1">
      <alignment horizontal="center" vertical="center"/>
    </xf>
    <xf numFmtId="168" fontId="8" fillId="9" borderId="34" xfId="0" applyNumberFormat="1" applyFont="1" applyFill="1" applyBorder="1" applyAlignment="1">
      <alignment horizontal="center" vertical="center"/>
    </xf>
    <xf numFmtId="168" fontId="8" fillId="18" borderId="33" xfId="0" applyNumberFormat="1" applyFont="1" applyFill="1" applyBorder="1" applyAlignment="1">
      <alignment horizontal="center" vertical="center"/>
    </xf>
    <xf numFmtId="168" fontId="8" fillId="0" borderId="34" xfId="0" applyNumberFormat="1" applyFont="1" applyBorder="1" applyAlignment="1">
      <alignment horizontal="center" vertical="center"/>
    </xf>
    <xf numFmtId="168" fontId="8" fillId="0" borderId="22" xfId="0" applyNumberFormat="1" applyFont="1" applyBorder="1" applyAlignment="1">
      <alignment horizontal="center"/>
    </xf>
    <xf numFmtId="168" fontId="8" fillId="0" borderId="35" xfId="0" applyNumberFormat="1" applyFont="1" applyBorder="1" applyAlignment="1">
      <alignment horizontal="center"/>
    </xf>
    <xf numFmtId="168" fontId="8" fillId="9" borderId="22"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0" fillId="0" borderId="19" xfId="0" applyFont="1" applyBorder="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70" fontId="8" fillId="0" borderId="90"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91" xfId="0" applyNumberFormat="1" applyFont="1" applyBorder="1" applyAlignment="1">
      <alignment horizontal="right" indent="1"/>
    </xf>
    <xf numFmtId="170" fontId="8" fillId="0" borderId="92" xfId="0" applyNumberFormat="1" applyFont="1" applyBorder="1" applyAlignment="1">
      <alignment horizontal="right" indent="1"/>
    </xf>
    <xf numFmtId="164" fontId="0" fillId="0" borderId="0" xfId="0" applyNumberFormat="1" applyFill="1" applyAlignment="1">
      <alignment horizontal="center"/>
    </xf>
    <xf numFmtId="171" fontId="8" fillId="0" borderId="14" xfId="0" applyNumberFormat="1" applyFont="1" applyBorder="1" applyAlignment="1">
      <alignment horizontal="right" indent="1"/>
    </xf>
    <xf numFmtId="172" fontId="8" fillId="0" borderId="29" xfId="0" applyNumberFormat="1" applyFont="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12" xfId="0" applyNumberFormat="1" applyFont="1" applyBorder="1" applyAlignment="1">
      <alignment horizontal="right" vertical="center" indent="1"/>
    </xf>
    <xf numFmtId="172" fontId="8" fillId="8" borderId="12" xfId="0" applyNumberFormat="1" applyFont="1" applyFill="1" applyBorder="1" applyAlignment="1">
      <alignment horizontal="right" vertical="center" indent="1"/>
    </xf>
    <xf numFmtId="172" fontId="8" fillId="0" borderId="25"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4" borderId="29" xfId="0" applyNumberFormat="1" applyFont="1" applyFill="1" applyBorder="1" applyAlignment="1">
      <alignment horizontal="right" vertical="center" indent="1"/>
    </xf>
    <xf numFmtId="172" fontId="8" fillId="4" borderId="11" xfId="0" applyNumberFormat="1" applyFont="1" applyFill="1" applyBorder="1" applyAlignment="1">
      <alignment horizontal="right" vertical="center" indent="1"/>
    </xf>
    <xf numFmtId="172" fontId="8" fillId="4" borderId="12" xfId="0" applyNumberFormat="1" applyFont="1" applyFill="1" applyBorder="1" applyAlignment="1">
      <alignment horizontal="right" vertical="center" indent="1"/>
    </xf>
    <xf numFmtId="172" fontId="8" fillId="4" borderId="25" xfId="0" applyNumberFormat="1" applyFont="1" applyFill="1" applyBorder="1" applyAlignment="1">
      <alignment horizontal="right" vertical="center" indent="1"/>
    </xf>
    <xf numFmtId="172" fontId="8" fillId="4" borderId="10" xfId="0" applyNumberFormat="1" applyFont="1" applyFill="1" applyBorder="1" applyAlignment="1">
      <alignment horizontal="right" vertical="center" indent="1"/>
    </xf>
    <xf numFmtId="172" fontId="8" fillId="0" borderId="10" xfId="0" applyNumberFormat="1" applyFont="1" applyFill="1" applyBorder="1" applyAlignment="1">
      <alignment horizontal="right" vertical="center" indent="1"/>
    </xf>
    <xf numFmtId="172" fontId="8" fillId="8" borderId="10" xfId="0" applyNumberFormat="1" applyFont="1" applyFill="1" applyBorder="1" applyAlignment="1">
      <alignment horizontal="right" vertical="center" indent="1"/>
    </xf>
    <xf numFmtId="172" fontId="8" fillId="4" borderId="12" xfId="0" quotePrefix="1" applyNumberFormat="1" applyFont="1" applyFill="1" applyBorder="1" applyAlignment="1">
      <alignment horizontal="center" vertical="center"/>
    </xf>
    <xf numFmtId="172" fontId="8" fillId="4" borderId="29" xfId="0" applyNumberFormat="1" applyFont="1" applyFill="1" applyBorder="1" applyAlignment="1">
      <alignment horizontal="center" vertical="center"/>
    </xf>
    <xf numFmtId="172" fontId="8" fillId="8" borderId="11" xfId="0" applyNumberFormat="1" applyFont="1" applyFill="1" applyBorder="1" applyAlignment="1">
      <alignment horizontal="right" vertical="center" indent="1"/>
    </xf>
    <xf numFmtId="172" fontId="8" fillId="13" borderId="10" xfId="0" applyNumberFormat="1" applyFont="1" applyFill="1" applyBorder="1" applyAlignment="1">
      <alignment horizontal="right" vertical="center" indent="1"/>
    </xf>
    <xf numFmtId="172" fontId="8" fillId="3" borderId="29" xfId="0" applyNumberFormat="1" applyFont="1" applyFill="1" applyBorder="1" applyAlignment="1">
      <alignment horizontal="right" vertical="center" indent="1"/>
    </xf>
    <xf numFmtId="172" fontId="8" fillId="3" borderId="11" xfId="0" applyNumberFormat="1" applyFont="1" applyFill="1" applyBorder="1" applyAlignment="1">
      <alignment horizontal="right" vertical="center" indent="1"/>
    </xf>
    <xf numFmtId="172" fontId="8" fillId="3" borderId="12" xfId="0" applyNumberFormat="1" applyFont="1" applyFill="1" applyBorder="1" applyAlignment="1">
      <alignment horizontal="right" vertical="center" indent="1"/>
    </xf>
    <xf numFmtId="172" fontId="8" fillId="3" borderId="25" xfId="0" applyNumberFormat="1" applyFont="1" applyFill="1" applyBorder="1" applyAlignment="1">
      <alignment horizontal="right" vertical="center" indent="1"/>
    </xf>
    <xf numFmtId="172" fontId="8" fillId="3" borderId="10" xfId="0" applyNumberFormat="1" applyFont="1" applyFill="1" applyBorder="1" applyAlignment="1">
      <alignment horizontal="right" vertical="center" indent="1"/>
    </xf>
    <xf numFmtId="172" fontId="8" fillId="0" borderId="12" xfId="0" applyNumberFormat="1" applyFont="1" applyBorder="1" applyAlignment="1">
      <alignment horizontal="center" vertical="center" indent="1"/>
    </xf>
    <xf numFmtId="172" fontId="8" fillId="0" borderId="29" xfId="0" applyNumberFormat="1" applyFont="1" applyBorder="1" applyAlignment="1">
      <alignment horizontal="center" vertical="center" indent="1"/>
    </xf>
    <xf numFmtId="172" fontId="17" fillId="18" borderId="10" xfId="0" applyNumberFormat="1" applyFont="1" applyFill="1" applyBorder="1" applyAlignment="1">
      <alignment horizontal="left" vertical="center" indent="1"/>
    </xf>
    <xf numFmtId="172" fontId="8" fillId="18" borderId="10" xfId="0" applyNumberFormat="1" applyFont="1" applyFill="1" applyBorder="1" applyAlignment="1">
      <alignment horizontal="right" vertical="center" indent="1"/>
    </xf>
    <xf numFmtId="172" fontId="8" fillId="18" borderId="29" xfId="0" applyNumberFormat="1" applyFont="1" applyFill="1" applyBorder="1" applyAlignment="1">
      <alignment horizontal="right" vertical="center" indent="1"/>
    </xf>
    <xf numFmtId="172" fontId="8" fillId="20" borderId="29" xfId="0" applyNumberFormat="1" applyFont="1" applyFill="1" applyBorder="1" applyAlignment="1">
      <alignment horizontal="right" vertical="center" indent="1"/>
    </xf>
    <xf numFmtId="172" fontId="8" fillId="20" borderId="11" xfId="0" applyNumberFormat="1" applyFont="1" applyFill="1" applyBorder="1" applyAlignment="1">
      <alignment horizontal="right" vertical="center" indent="1"/>
    </xf>
    <xf numFmtId="172" fontId="8" fillId="20" borderId="12" xfId="0" applyNumberFormat="1" applyFont="1" applyFill="1" applyBorder="1" applyAlignment="1">
      <alignment horizontal="right" vertical="center" indent="1"/>
    </xf>
    <xf numFmtId="172" fontId="8" fillId="20" borderId="25" xfId="0" applyNumberFormat="1" applyFont="1" applyFill="1" applyBorder="1" applyAlignment="1">
      <alignment horizontal="right" vertical="center" indent="1"/>
    </xf>
    <xf numFmtId="172" fontId="8" fillId="20" borderId="10" xfId="0" applyNumberFormat="1" applyFont="1" applyFill="1" applyBorder="1" applyAlignment="1">
      <alignment horizontal="right" vertical="center" indent="1"/>
    </xf>
    <xf numFmtId="172" fontId="17" fillId="18" borderId="12" xfId="0" applyNumberFormat="1" applyFont="1" applyFill="1" applyBorder="1" applyAlignment="1">
      <alignment horizontal="left" vertical="center" indent="1"/>
    </xf>
    <xf numFmtId="172" fontId="8" fillId="18" borderId="12" xfId="0" applyNumberFormat="1" applyFont="1" applyFill="1" applyBorder="1" applyAlignment="1">
      <alignment horizontal="right" vertical="center" indent="1"/>
    </xf>
    <xf numFmtId="172" fontId="8" fillId="19" borderId="29" xfId="0" applyNumberFormat="1" applyFont="1" applyFill="1" applyBorder="1" applyAlignment="1">
      <alignment horizontal="right" vertical="center" indent="1"/>
    </xf>
    <xf numFmtId="172" fontId="8" fillId="19" borderId="11" xfId="0" applyNumberFormat="1" applyFont="1" applyFill="1" applyBorder="1" applyAlignment="1">
      <alignment horizontal="right" vertical="center" indent="1"/>
    </xf>
    <xf numFmtId="172" fontId="8" fillId="19" borderId="12" xfId="0" applyNumberFormat="1" applyFont="1" applyFill="1" applyBorder="1" applyAlignment="1">
      <alignment horizontal="right" vertical="center" indent="1"/>
    </xf>
    <xf numFmtId="172" fontId="8" fillId="19" borderId="25" xfId="0" applyNumberFormat="1" applyFont="1" applyFill="1" applyBorder="1" applyAlignment="1">
      <alignment horizontal="right" vertical="center" indent="1"/>
    </xf>
    <xf numFmtId="172" fontId="8" fillId="19" borderId="10" xfId="0" applyNumberFormat="1" applyFont="1" applyFill="1" applyBorder="1" applyAlignment="1">
      <alignment horizontal="right" vertical="center" indent="1"/>
    </xf>
    <xf numFmtId="172" fontId="8" fillId="0" borderId="17" xfId="0" applyNumberFormat="1" applyFont="1" applyBorder="1" applyAlignment="1">
      <alignment horizontal="right" vertical="center" indent="1"/>
    </xf>
    <xf numFmtId="172" fontId="8" fillId="0" borderId="48" xfId="0" applyNumberFormat="1" applyFont="1" applyBorder="1" applyAlignment="1">
      <alignment horizontal="right" vertical="center" indent="1"/>
    </xf>
    <xf numFmtId="172" fontId="9" fillId="21" borderId="12" xfId="0" applyNumberFormat="1" applyFont="1" applyFill="1" applyBorder="1" applyAlignment="1">
      <alignment horizontal="left" vertical="center" indent="1"/>
    </xf>
    <xf numFmtId="172" fontId="8" fillId="21" borderId="29" xfId="0" applyNumberFormat="1" applyFont="1" applyFill="1" applyBorder="1" applyAlignment="1">
      <alignment horizontal="right" vertical="center" indent="1"/>
    </xf>
    <xf numFmtId="172" fontId="8" fillId="21" borderId="25" xfId="0" applyNumberFormat="1" applyFont="1" applyFill="1" applyBorder="1" applyAlignment="1">
      <alignment horizontal="right" vertical="center" indent="1"/>
    </xf>
    <xf numFmtId="172" fontId="8" fillId="21" borderId="10" xfId="0" applyNumberFormat="1" applyFont="1" applyFill="1" applyBorder="1" applyAlignment="1">
      <alignment horizontal="right" vertical="center" indent="1"/>
    </xf>
    <xf numFmtId="172" fontId="8" fillId="14" borderId="12" xfId="0" applyNumberFormat="1" applyFont="1" applyFill="1" applyBorder="1" applyAlignment="1">
      <alignment horizontal="right" vertical="center" indent="1"/>
    </xf>
    <xf numFmtId="172" fontId="8" fillId="13" borderId="12" xfId="0" applyNumberFormat="1" applyFont="1" applyFill="1" applyBorder="1" applyAlignment="1">
      <alignment horizontal="right" vertical="center" indent="1"/>
    </xf>
    <xf numFmtId="172" fontId="13" fillId="4" borderId="12" xfId="0" applyNumberFormat="1" applyFont="1" applyFill="1" applyBorder="1" applyAlignment="1">
      <alignment horizontal="center" vertical="center"/>
    </xf>
    <xf numFmtId="172" fontId="13" fillId="4" borderId="29" xfId="0" applyNumberFormat="1" applyFont="1" applyFill="1" applyBorder="1" applyAlignment="1">
      <alignment horizontal="center" vertical="center"/>
    </xf>
    <xf numFmtId="172" fontId="13" fillId="4" borderId="25" xfId="0" applyNumberFormat="1" applyFont="1" applyFill="1" applyBorder="1" applyAlignment="1">
      <alignment horizontal="center" vertical="center"/>
    </xf>
    <xf numFmtId="172" fontId="10" fillId="0" borderId="25" xfId="0" applyNumberFormat="1" applyFont="1" applyBorder="1" applyAlignment="1">
      <alignment horizontal="center" vertical="center"/>
    </xf>
    <xf numFmtId="172" fontId="10" fillId="0" borderId="10" xfId="0" applyNumberFormat="1" applyFont="1" applyBorder="1" applyAlignment="1">
      <alignment horizontal="center" vertical="center"/>
    </xf>
    <xf numFmtId="172" fontId="10" fillId="0" borderId="29" xfId="0" applyNumberFormat="1" applyFont="1" applyBorder="1" applyAlignment="1">
      <alignment horizontal="center" vertical="center"/>
    </xf>
    <xf numFmtId="172" fontId="8" fillId="21" borderId="12" xfId="0" applyNumberFormat="1" applyFont="1" applyFill="1" applyBorder="1" applyAlignment="1">
      <alignment horizontal="right" vertical="center" indent="1"/>
    </xf>
    <xf numFmtId="172" fontId="8" fillId="0" borderId="12" xfId="0" quotePrefix="1" applyNumberFormat="1" applyFont="1" applyBorder="1" applyAlignment="1">
      <alignment horizontal="center" vertical="center" indent="1"/>
    </xf>
    <xf numFmtId="172" fontId="8" fillId="9" borderId="30" xfId="0" applyNumberFormat="1" applyFont="1" applyFill="1" applyBorder="1" applyAlignment="1">
      <alignment horizontal="right" vertical="center" indent="1"/>
    </xf>
    <xf numFmtId="172" fontId="8" fillId="9" borderId="16" xfId="0" applyNumberFormat="1" applyFont="1" applyFill="1" applyBorder="1" applyAlignment="1">
      <alignment horizontal="right" vertical="center" indent="1"/>
    </xf>
    <xf numFmtId="172" fontId="8" fillId="9" borderId="17" xfId="0" applyNumberFormat="1" applyFont="1" applyFill="1" applyBorder="1" applyAlignment="1">
      <alignment horizontal="right" vertical="center" indent="1"/>
    </xf>
    <xf numFmtId="172" fontId="8" fillId="9" borderId="26" xfId="0" applyNumberFormat="1" applyFont="1" applyFill="1" applyBorder="1" applyAlignment="1">
      <alignment horizontal="right" vertical="center" indent="1"/>
    </xf>
    <xf numFmtId="172" fontId="8" fillId="9" borderId="15" xfId="0" applyNumberFormat="1" applyFont="1" applyFill="1" applyBorder="1" applyAlignment="1">
      <alignment horizontal="right" vertical="center" indent="1"/>
    </xf>
    <xf numFmtId="172" fontId="8" fillId="0" borderId="32" xfId="0" applyNumberFormat="1" applyFont="1" applyBorder="1" applyAlignment="1">
      <alignment vertical="center"/>
    </xf>
    <xf numFmtId="172" fontId="8" fillId="4" borderId="33" xfId="0" applyNumberFormat="1" applyFont="1" applyFill="1" applyBorder="1" applyAlignment="1">
      <alignment vertical="center"/>
    </xf>
    <xf numFmtId="172" fontId="8" fillId="0" borderId="33" xfId="0" applyNumberFormat="1" applyFont="1" applyBorder="1" applyAlignment="1">
      <alignment vertical="center"/>
    </xf>
    <xf numFmtId="172" fontId="8" fillId="3" borderId="33" xfId="0" applyNumberFormat="1" applyFont="1" applyFill="1" applyBorder="1" applyAlignment="1">
      <alignment vertical="center"/>
    </xf>
    <xf numFmtId="172" fontId="8" fillId="18" borderId="33" xfId="0" applyNumberFormat="1" applyFont="1" applyFill="1" applyBorder="1" applyAlignment="1">
      <alignment vertical="center"/>
    </xf>
    <xf numFmtId="172" fontId="8" fillId="21" borderId="33" xfId="0" applyNumberFormat="1" applyFont="1" applyFill="1" applyBorder="1" applyAlignment="1">
      <alignment vertical="center"/>
    </xf>
    <xf numFmtId="172" fontId="8" fillId="9" borderId="34" xfId="0" applyNumberFormat="1" applyFont="1" applyFill="1" applyBorder="1" applyAlignment="1">
      <alignment vertical="center"/>
    </xf>
    <xf numFmtId="172" fontId="11" fillId="17" borderId="77" xfId="0" applyNumberFormat="1" applyFont="1" applyFill="1" applyBorder="1" applyAlignment="1">
      <alignment horizontal="right" vertical="center" indent="1"/>
    </xf>
    <xf numFmtId="172" fontId="11" fillId="0" borderId="78" xfId="0" applyNumberFormat="1" applyFont="1" applyBorder="1" applyAlignment="1">
      <alignment horizontal="right" indent="1"/>
    </xf>
    <xf numFmtId="172" fontId="11" fillId="0" borderId="79" xfId="0" applyNumberFormat="1" applyFont="1" applyBorder="1" applyAlignment="1">
      <alignment horizontal="right" indent="1"/>
    </xf>
    <xf numFmtId="172" fontId="11" fillId="0" borderId="93" xfId="0" applyNumberFormat="1" applyFont="1" applyBorder="1" applyAlignment="1">
      <alignment horizontal="right" indent="1"/>
    </xf>
    <xf numFmtId="172" fontId="11" fillId="0" borderId="94" xfId="0" applyNumberFormat="1" applyFont="1" applyBorder="1" applyAlignment="1">
      <alignment horizontal="right" indent="1"/>
    </xf>
    <xf numFmtId="172" fontId="11" fillId="0" borderId="74" xfId="0" applyNumberFormat="1" applyFont="1" applyBorder="1" applyAlignment="1">
      <alignment horizontal="right" indent="1"/>
    </xf>
    <xf numFmtId="172" fontId="11" fillId="0" borderId="80" xfId="0" applyNumberFormat="1" applyFont="1" applyBorder="1" applyAlignment="1">
      <alignment horizontal="right" indent="1"/>
    </xf>
    <xf numFmtId="172" fontId="8" fillId="0" borderId="27" xfId="0" applyNumberFormat="1" applyFont="1" applyBorder="1" applyAlignment="1">
      <alignment horizontal="right" indent="1"/>
    </xf>
    <xf numFmtId="172" fontId="8" fillId="0" borderId="46" xfId="0" applyNumberFormat="1" applyFont="1" applyBorder="1" applyAlignment="1">
      <alignment horizontal="right" indent="1"/>
    </xf>
    <xf numFmtId="172" fontId="8" fillId="0" borderId="23" xfId="0" applyNumberFormat="1" applyFont="1" applyBorder="1" applyAlignment="1">
      <alignment horizontal="right" indent="1"/>
    </xf>
    <xf numFmtId="172" fontId="8" fillId="0" borderId="95" xfId="0" applyNumberFormat="1" applyFont="1" applyBorder="1" applyAlignment="1">
      <alignment horizontal="right" indent="1"/>
    </xf>
    <xf numFmtId="172" fontId="8" fillId="0" borderId="96" xfId="0" applyNumberFormat="1" applyFont="1" applyBorder="1" applyAlignment="1">
      <alignment horizontal="right" indent="1"/>
    </xf>
    <xf numFmtId="172" fontId="8" fillId="0" borderId="22"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21" xfId="0" applyNumberFormat="1" applyFont="1" applyBorder="1" applyAlignment="1">
      <alignment horizontal="right" indent="1"/>
    </xf>
    <xf numFmtId="172" fontId="8" fillId="9" borderId="22" xfId="0" applyNumberFormat="1" applyFont="1" applyFill="1" applyBorder="1" applyAlignment="1">
      <alignment vertical="center"/>
    </xf>
    <xf numFmtId="172" fontId="8" fillId="3" borderId="40" xfId="0" applyNumberFormat="1" applyFont="1" applyFill="1" applyBorder="1" applyAlignment="1">
      <alignment horizontal="right" vertical="center" indent="1"/>
    </xf>
    <xf numFmtId="172" fontId="8" fillId="3" borderId="36"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4" borderId="40" xfId="0" applyNumberFormat="1" applyFont="1" applyFill="1" applyBorder="1" applyAlignment="1">
      <alignment horizontal="right" vertical="center" indent="1"/>
    </xf>
    <xf numFmtId="172" fontId="8" fillId="4" borderId="36"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0" borderId="40" xfId="0" applyNumberFormat="1" applyFont="1" applyBorder="1" applyAlignment="1">
      <alignment horizontal="right" vertical="center" indent="1"/>
    </xf>
    <xf numFmtId="172" fontId="8" fillId="0" borderId="36"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6" xfId="0" applyNumberFormat="1" applyFont="1" applyFill="1" applyBorder="1" applyAlignment="1">
      <alignment horizontal="right" vertical="center" indent="1"/>
    </xf>
    <xf numFmtId="172" fontId="8" fillId="8" borderId="40" xfId="0" applyNumberFormat="1" applyFont="1" applyFill="1" applyBorder="1" applyAlignment="1">
      <alignment horizontal="right" vertical="center" indent="1"/>
    </xf>
    <xf numFmtId="172" fontId="9" fillId="21" borderId="36" xfId="0" applyNumberFormat="1" applyFont="1" applyFill="1" applyBorder="1" applyAlignment="1">
      <alignment horizontal="left" vertical="center" indent="1"/>
    </xf>
    <xf numFmtId="172" fontId="8" fillId="21" borderId="36" xfId="0" applyNumberFormat="1" applyFont="1" applyFill="1" applyBorder="1" applyAlignment="1">
      <alignment horizontal="right" vertical="center" indent="1"/>
    </xf>
    <xf numFmtId="172" fontId="8" fillId="22" borderId="29" xfId="0" applyNumberFormat="1" applyFont="1" applyFill="1" applyBorder="1" applyAlignment="1">
      <alignment horizontal="right" vertical="center" indent="1"/>
    </xf>
    <xf numFmtId="172" fontId="8" fillId="22" borderId="40" xfId="0" applyNumberFormat="1" applyFont="1" applyFill="1" applyBorder="1" applyAlignment="1">
      <alignment horizontal="right" vertical="center" indent="1"/>
    </xf>
    <xf numFmtId="172" fontId="8" fillId="22" borderId="12" xfId="0" applyNumberFormat="1" applyFont="1" applyFill="1" applyBorder="1" applyAlignment="1">
      <alignment horizontal="right" vertical="center" indent="1"/>
    </xf>
    <xf numFmtId="172" fontId="8" fillId="22" borderId="36"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18" borderId="36" xfId="0" applyNumberFormat="1" applyFont="1" applyFill="1" applyBorder="1" applyAlignment="1">
      <alignment horizontal="right" vertical="center" indent="1"/>
    </xf>
    <xf numFmtId="172" fontId="8" fillId="20" borderId="40" xfId="0" applyNumberFormat="1" applyFont="1" applyFill="1" applyBorder="1" applyAlignment="1">
      <alignment horizontal="right" vertical="center" indent="1"/>
    </xf>
    <xf numFmtId="172" fontId="8" fillId="19" borderId="36"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9" fillId="21" borderId="29" xfId="0" applyNumberFormat="1" applyFont="1" applyFill="1" applyBorder="1" applyAlignment="1">
      <alignment horizontal="left" vertical="center" indent="1"/>
    </xf>
    <xf numFmtId="172" fontId="9" fillId="21" borderId="33" xfId="0" applyNumberFormat="1" applyFont="1" applyFill="1" applyBorder="1" applyAlignment="1">
      <alignment horizontal="left" vertical="center" indent="1"/>
    </xf>
    <xf numFmtId="172" fontId="13" fillId="4" borderId="36" xfId="0" applyNumberFormat="1" applyFont="1" applyFill="1" applyBorder="1" applyAlignment="1">
      <alignment horizontal="center" vertical="center"/>
    </xf>
    <xf numFmtId="172" fontId="13" fillId="4" borderId="33" xfId="0" applyNumberFormat="1" applyFont="1" applyFill="1" applyBorder="1" applyAlignment="1">
      <alignment horizontal="center" vertical="center"/>
    </xf>
    <xf numFmtId="172" fontId="8" fillId="9" borderId="41" xfId="0" applyNumberFormat="1" applyFont="1" applyFill="1" applyBorder="1" applyAlignment="1">
      <alignment horizontal="right" vertical="center" indent="1"/>
    </xf>
    <xf numFmtId="172" fontId="8" fillId="9" borderId="37" xfId="0" applyNumberFormat="1" applyFont="1" applyFill="1" applyBorder="1" applyAlignment="1">
      <alignment horizontal="right" vertical="center" indent="1"/>
    </xf>
    <xf numFmtId="172" fontId="8" fillId="9" borderId="34" xfId="0" applyNumberFormat="1" applyFont="1" applyFill="1" applyBorder="1" applyAlignment="1">
      <alignment horizontal="right" vertical="center" indent="1"/>
    </xf>
    <xf numFmtId="172" fontId="8" fillId="20" borderId="36" xfId="0" applyNumberFormat="1" applyFont="1" applyFill="1" applyBorder="1" applyAlignment="1">
      <alignment horizontal="right" vertical="center" indent="1"/>
    </xf>
    <xf numFmtId="172" fontId="8" fillId="20" borderId="33" xfId="0" applyNumberFormat="1" applyFont="1" applyFill="1" applyBorder="1" applyAlignment="1">
      <alignment horizontal="right" vertical="center" indent="1"/>
    </xf>
    <xf numFmtId="172" fontId="10" fillId="0" borderId="33" xfId="0" applyNumberFormat="1" applyFont="1" applyBorder="1" applyAlignment="1">
      <alignment horizontal="center" vertical="center"/>
    </xf>
    <xf numFmtId="172" fontId="10" fillId="0" borderId="36" xfId="0" applyNumberFormat="1" applyFont="1" applyBorder="1" applyAlignment="1">
      <alignment horizontal="center" vertical="center"/>
    </xf>
    <xf numFmtId="172" fontId="8" fillId="21" borderId="33" xfId="0" applyNumberFormat="1" applyFont="1" applyFill="1" applyBorder="1" applyAlignment="1">
      <alignment horizontal="right" vertical="center" indent="1"/>
    </xf>
    <xf numFmtId="172" fontId="8" fillId="19" borderId="40" xfId="0" applyNumberFormat="1" applyFont="1" applyFill="1" applyBorder="1" applyAlignment="1">
      <alignment horizontal="right" vertical="center" indent="1"/>
    </xf>
    <xf numFmtId="172" fontId="8" fillId="0" borderId="34" xfId="0" applyNumberFormat="1" applyFont="1" applyBorder="1" applyAlignment="1">
      <alignment vertical="center"/>
    </xf>
    <xf numFmtId="172" fontId="8" fillId="0" borderId="43" xfId="0" applyNumberFormat="1" applyFont="1" applyBorder="1" applyAlignment="1">
      <alignment horizontal="right" indent="1"/>
    </xf>
    <xf numFmtId="172" fontId="8" fillId="0" borderId="14" xfId="0" applyNumberFormat="1" applyFont="1" applyBorder="1" applyAlignment="1">
      <alignment horizontal="right" indent="1"/>
    </xf>
    <xf numFmtId="172" fontId="8" fillId="0" borderId="38" xfId="0" applyNumberFormat="1" applyFont="1" applyBorder="1" applyAlignment="1">
      <alignment horizontal="right" indent="1"/>
    </xf>
    <xf numFmtId="172" fontId="8" fillId="0" borderId="39" xfId="0" applyNumberFormat="1" applyFont="1" applyBorder="1" applyAlignment="1">
      <alignment horizontal="right" indent="1"/>
    </xf>
    <xf numFmtId="172" fontId="8" fillId="0" borderId="22" xfId="0" applyNumberFormat="1" applyFont="1" applyBorder="1"/>
    <xf numFmtId="172" fontId="8" fillId="0" borderId="12" xfId="0" applyNumberFormat="1" applyFont="1" applyFill="1" applyBorder="1" applyAlignment="1">
      <alignment horizontal="right" vertical="center" indent="1"/>
    </xf>
    <xf numFmtId="172" fontId="8" fillId="18" borderId="11" xfId="0" applyNumberFormat="1" applyFont="1" applyFill="1" applyBorder="1" applyAlignment="1">
      <alignment horizontal="right" vertical="center" indent="1"/>
    </xf>
    <xf numFmtId="172" fontId="8" fillId="25" borderId="12" xfId="0" applyNumberFormat="1" applyFont="1" applyFill="1" applyBorder="1" applyAlignment="1">
      <alignment horizontal="right" vertical="center" indent="1"/>
    </xf>
    <xf numFmtId="172" fontId="8" fillId="25" borderId="11" xfId="0" applyNumberFormat="1" applyFont="1" applyFill="1" applyBorder="1" applyAlignment="1">
      <alignment horizontal="right" vertical="center" indent="1"/>
    </xf>
    <xf numFmtId="172" fontId="8" fillId="25" borderId="10" xfId="0" applyNumberFormat="1" applyFont="1" applyFill="1" applyBorder="1" applyAlignment="1">
      <alignment horizontal="right" vertical="center" indent="1"/>
    </xf>
    <xf numFmtId="173" fontId="8" fillId="0" borderId="67" xfId="0" applyNumberFormat="1" applyFont="1" applyBorder="1" applyAlignment="1">
      <alignment horizontal="right" indent="1"/>
    </xf>
    <xf numFmtId="173" fontId="0" fillId="0" borderId="0" xfId="0" applyNumberFormat="1" applyBorder="1"/>
    <xf numFmtId="173" fontId="0" fillId="0" borderId="47"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12" xfId="0" applyNumberFormat="1" applyFont="1" applyFill="1" applyBorder="1" applyAlignment="1">
      <alignment horizontal="center" vertical="center"/>
    </xf>
    <xf numFmtId="170" fontId="8" fillId="0" borderId="97" xfId="0" applyNumberFormat="1" applyFont="1" applyBorder="1" applyAlignment="1">
      <alignment horizontal="right" indent="1"/>
    </xf>
    <xf numFmtId="170" fontId="8" fillId="0" borderId="98" xfId="0" applyNumberFormat="1" applyFont="1" applyBorder="1" applyAlignment="1">
      <alignment horizontal="right" indent="1"/>
    </xf>
    <xf numFmtId="164" fontId="0" fillId="6" borderId="0" xfId="0" applyNumberFormat="1" applyFill="1" applyAlignment="1">
      <alignment horizontal="center"/>
    </xf>
    <xf numFmtId="0" fontId="0" fillId="0" borderId="0" xfId="0" applyAlignment="1">
      <alignment horizontal="right"/>
    </xf>
    <xf numFmtId="175" fontId="0" fillId="0" borderId="0" xfId="0" applyNumberFormat="1"/>
    <xf numFmtId="4" fontId="0" fillId="0" borderId="0" xfId="0" applyNumberFormat="1"/>
    <xf numFmtId="0" fontId="0" fillId="2" borderId="0" xfId="0" applyNumberFormat="1" applyFill="1" applyAlignment="1">
      <alignment horizontal="center"/>
    </xf>
    <xf numFmtId="0" fontId="6" fillId="0" borderId="0" xfId="0" applyFont="1" applyAlignment="1">
      <alignment horizontal="centerContinuous"/>
    </xf>
    <xf numFmtId="175" fontId="0" fillId="0" borderId="0" xfId="0" applyNumberFormat="1" applyFont="1"/>
    <xf numFmtId="175" fontId="0" fillId="8" borderId="0" xfId="0" applyNumberFormat="1" applyFont="1" applyFill="1" applyAlignment="1"/>
    <xf numFmtId="175" fontId="0" fillId="8" borderId="0" xfId="0" applyNumberFormat="1" applyFont="1" applyFill="1" applyAlignment="1">
      <alignment horizontal="center"/>
    </xf>
    <xf numFmtId="4" fontId="6" fillId="0" borderId="0" xfId="0" applyNumberFormat="1" applyFont="1" applyAlignment="1">
      <alignment horizontal="centerContinuous"/>
    </xf>
    <xf numFmtId="176" fontId="0" fillId="0" borderId="0" xfId="0" applyNumberFormat="1"/>
    <xf numFmtId="176" fontId="0" fillId="0" borderId="0" xfId="0" applyNumberFormat="1" applyAlignment="1">
      <alignment horizontal="right" indent="1"/>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3" xfId="0" applyFont="1" applyBorder="1" applyAlignment="1">
      <alignment horizontal="center"/>
    </xf>
    <xf numFmtId="170" fontId="8" fillId="0" borderId="104" xfId="0" applyNumberFormat="1" applyFont="1" applyBorder="1" applyAlignment="1">
      <alignment horizontal="right" indent="1"/>
    </xf>
    <xf numFmtId="0" fontId="10" fillId="0" borderId="105" xfId="0" applyFont="1" applyBorder="1" applyAlignment="1">
      <alignment horizontal="center"/>
    </xf>
    <xf numFmtId="170" fontId="8" fillId="0" borderId="42"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0" fontId="8" fillId="0" borderId="111" xfId="0" applyNumberFormat="1" applyFont="1" applyBorder="1" applyAlignment="1">
      <alignment horizontal="right" indent="1"/>
    </xf>
    <xf numFmtId="170" fontId="8" fillId="0" borderId="112" xfId="0" applyNumberFormat="1" applyFont="1" applyBorder="1" applyAlignment="1">
      <alignment horizontal="right" indent="1"/>
    </xf>
    <xf numFmtId="170" fontId="8" fillId="0" borderId="113" xfId="0" applyNumberFormat="1" applyFont="1" applyBorder="1" applyAlignment="1">
      <alignment horizontal="right" indent="1"/>
    </xf>
    <xf numFmtId="170" fontId="8" fillId="0" borderId="114" xfId="0" applyNumberFormat="1" applyFont="1" applyBorder="1" applyAlignment="1">
      <alignment horizontal="right" indent="1"/>
    </xf>
    <xf numFmtId="0" fontId="0" fillId="0" borderId="0" xfId="0" applyNumberFormat="1"/>
    <xf numFmtId="178"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2" fontId="8" fillId="0" borderId="33"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18" borderId="25" xfId="0" applyNumberFormat="1" applyFont="1" applyFill="1" applyBorder="1" applyAlignment="1">
      <alignment horizontal="right" vertical="center" indent="1"/>
    </xf>
    <xf numFmtId="172" fontId="8" fillId="18" borderId="12" xfId="0" quotePrefix="1" applyNumberFormat="1" applyFont="1" applyFill="1" applyBorder="1" applyAlignment="1">
      <alignment horizontal="center" vertical="center" indent="1"/>
    </xf>
    <xf numFmtId="172" fontId="8" fillId="18" borderId="29" xfId="0" applyNumberFormat="1" applyFont="1" applyFill="1" applyBorder="1" applyAlignment="1">
      <alignment horizontal="center" vertical="center" indent="1"/>
    </xf>
    <xf numFmtId="172"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2" fontId="8" fillId="8" borderId="29" xfId="0" applyNumberFormat="1" applyFont="1" applyFill="1" applyBorder="1" applyAlignment="1">
      <alignment horizontal="right" vertical="center" indent="1"/>
    </xf>
    <xf numFmtId="179" fontId="6" fillId="0" borderId="0" xfId="0" applyNumberFormat="1" applyFont="1"/>
    <xf numFmtId="179" fontId="11" fillId="0" borderId="0" xfId="0" applyNumberFormat="1" applyFont="1"/>
    <xf numFmtId="173" fontId="8" fillId="0" borderId="0" xfId="0" applyNumberFormat="1" applyFont="1"/>
    <xf numFmtId="0" fontId="0" fillId="0" borderId="115" xfId="0" applyBorder="1"/>
    <xf numFmtId="173" fontId="0" fillId="0" borderId="115" xfId="0" applyNumberFormat="1" applyBorder="1" applyAlignment="1">
      <alignment horizontal="center" wrapText="1"/>
    </xf>
    <xf numFmtId="0" fontId="0" fillId="0" borderId="0" xfId="0" applyAlignment="1">
      <alignment wrapText="1"/>
    </xf>
    <xf numFmtId="179" fontId="0" fillId="0" borderId="115" xfId="0" applyNumberFormat="1" applyBorder="1" applyAlignment="1">
      <alignment horizontal="left"/>
    </xf>
    <xf numFmtId="173" fontId="0" fillId="0" borderId="115" xfId="0" applyNumberFormat="1" applyBorder="1"/>
    <xf numFmtId="179" fontId="0" fillId="0" borderId="0" xfId="0" applyNumberFormat="1"/>
    <xf numFmtId="0" fontId="0" fillId="0" borderId="115" xfId="0" pivotButton="1" applyBorder="1"/>
    <xf numFmtId="0" fontId="0" fillId="0" borderId="115" xfId="0" pivotButton="1" applyBorder="1" applyAlignment="1">
      <alignment wrapText="1"/>
    </xf>
    <xf numFmtId="172" fontId="8" fillId="0" borderId="29" xfId="0" applyNumberFormat="1" applyFont="1" applyFill="1" applyBorder="1" applyAlignment="1">
      <alignment horizontal="right" vertical="center" indent="1"/>
    </xf>
    <xf numFmtId="172" fontId="8" fillId="0" borderId="40" xfId="0" applyNumberFormat="1" applyFont="1" applyFill="1" applyBorder="1" applyAlignment="1">
      <alignment horizontal="right" vertical="center" indent="1"/>
    </xf>
    <xf numFmtId="172" fontId="8" fillId="0" borderId="33" xfId="0" applyNumberFormat="1" applyFont="1" applyFill="1" applyBorder="1" applyAlignment="1">
      <alignment vertical="center"/>
    </xf>
    <xf numFmtId="168" fontId="8" fillId="0" borderId="33" xfId="0" applyNumberFormat="1" applyFont="1" applyFill="1" applyBorder="1" applyAlignment="1">
      <alignment horizontal="center" vertical="center"/>
    </xf>
    <xf numFmtId="172" fontId="8" fillId="13" borderId="29" xfId="0" applyNumberFormat="1" applyFont="1" applyFill="1" applyBorder="1" applyAlignment="1">
      <alignment horizontal="right" vertical="center" indent="1"/>
    </xf>
    <xf numFmtId="170" fontId="8" fillId="0" borderId="126" xfId="0" applyNumberFormat="1" applyFont="1" applyBorder="1" applyAlignment="1">
      <alignment horizontal="right" indent="1"/>
    </xf>
    <xf numFmtId="170" fontId="8" fillId="0" borderId="127"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25" xfId="0" applyNumberFormat="1" applyFont="1" applyBorder="1" applyAlignment="1">
      <alignment horizontal="right" indent="1"/>
    </xf>
    <xf numFmtId="172" fontId="8" fillId="14" borderId="10" xfId="0" applyNumberFormat="1" applyFont="1" applyFill="1" applyBorder="1" applyAlignment="1">
      <alignment horizontal="right" vertical="center" indent="1"/>
    </xf>
    <xf numFmtId="172" fontId="8" fillId="26" borderId="10" xfId="0" applyNumberFormat="1" applyFont="1" applyFill="1" applyBorder="1" applyAlignment="1">
      <alignment horizontal="right" vertical="center" indent="1"/>
    </xf>
    <xf numFmtId="172"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3" fontId="0" fillId="0" borderId="0" xfId="0" applyNumberFormat="1"/>
    <xf numFmtId="180" fontId="11" fillId="0" borderId="128" xfId="0" applyNumberFormat="1" applyFont="1" applyBorder="1" applyAlignment="1">
      <alignment horizontal="right" indent="1"/>
    </xf>
    <xf numFmtId="180" fontId="11" fillId="0" borderId="79" xfId="0" applyNumberFormat="1" applyFont="1" applyBorder="1" applyAlignment="1">
      <alignment horizontal="right" indent="1"/>
    </xf>
    <xf numFmtId="180" fontId="11" fillId="0" borderId="80" xfId="0" applyNumberFormat="1" applyFont="1" applyBorder="1" applyAlignment="1">
      <alignment horizontal="right" indent="1"/>
    </xf>
    <xf numFmtId="180" fontId="8" fillId="0" borderId="46" xfId="0" applyNumberFormat="1" applyFont="1" applyBorder="1" applyAlignment="1">
      <alignment horizontal="right" indent="1"/>
    </xf>
    <xf numFmtId="180" fontId="8" fillId="0" borderId="23" xfId="0" applyNumberFormat="1" applyFont="1" applyBorder="1" applyAlignment="1">
      <alignment horizontal="right" indent="1"/>
    </xf>
    <xf numFmtId="180" fontId="8" fillId="0" borderId="27" xfId="0" applyNumberFormat="1" applyFont="1" applyBorder="1" applyAlignment="1">
      <alignment horizontal="right" indent="1"/>
    </xf>
    <xf numFmtId="180" fontId="8" fillId="0" borderId="116" xfId="0" applyNumberFormat="1" applyFont="1" applyFill="1" applyBorder="1" applyAlignment="1">
      <alignment horizontal="right" vertical="center" indent="1"/>
    </xf>
    <xf numFmtId="180" fontId="8" fillId="0" borderId="117" xfId="0" applyNumberFormat="1" applyFont="1" applyFill="1" applyBorder="1" applyAlignment="1">
      <alignment horizontal="right" vertical="center" indent="1"/>
    </xf>
    <xf numFmtId="180" fontId="8" fillId="0" borderId="117" xfId="0" applyNumberFormat="1" applyFont="1" applyBorder="1" applyAlignment="1">
      <alignment horizontal="right" vertical="center" indent="1"/>
    </xf>
    <xf numFmtId="180" fontId="8" fillId="0" borderId="118" xfId="0" applyNumberFormat="1" applyFont="1" applyBorder="1" applyAlignment="1">
      <alignment horizontal="right" vertical="center" indent="1"/>
    </xf>
    <xf numFmtId="180" fontId="8" fillId="4" borderId="119" xfId="0" applyNumberFormat="1" applyFont="1" applyFill="1" applyBorder="1" applyAlignment="1">
      <alignment horizontal="right" vertical="center" indent="1"/>
    </xf>
    <xf numFmtId="180" fontId="8" fillId="4" borderId="120" xfId="0" applyNumberFormat="1" applyFont="1" applyFill="1" applyBorder="1" applyAlignment="1">
      <alignment horizontal="right" vertical="center" indent="1"/>
    </xf>
    <xf numFmtId="180" fontId="8" fillId="4" borderId="121" xfId="0" applyNumberFormat="1" applyFont="1" applyFill="1" applyBorder="1" applyAlignment="1">
      <alignment horizontal="right" vertical="center" indent="1"/>
    </xf>
    <xf numFmtId="180" fontId="8" fillId="0" borderId="119" xfId="0" applyNumberFormat="1" applyFont="1" applyBorder="1" applyAlignment="1">
      <alignment horizontal="right" vertical="center" indent="1"/>
    </xf>
    <xf numFmtId="180" fontId="8" fillId="0" borderId="120" xfId="0" applyNumberFormat="1" applyFont="1" applyBorder="1" applyAlignment="1">
      <alignment horizontal="right" vertical="center" indent="1"/>
    </xf>
    <xf numFmtId="180" fontId="8" fillId="0" borderId="121" xfId="0" applyNumberFormat="1" applyFont="1" applyBorder="1" applyAlignment="1">
      <alignment horizontal="right" vertical="center" indent="1"/>
    </xf>
    <xf numFmtId="180" fontId="17" fillId="18" borderId="119" xfId="0" applyNumberFormat="1" applyFont="1" applyFill="1" applyBorder="1" applyAlignment="1">
      <alignment horizontal="left" vertical="center" indent="1"/>
    </xf>
    <xf numFmtId="180" fontId="8" fillId="18" borderId="120" xfId="0" applyNumberFormat="1" applyFont="1" applyFill="1" applyBorder="1" applyAlignment="1">
      <alignment horizontal="right" vertical="center" indent="1"/>
    </xf>
    <xf numFmtId="180" fontId="8" fillId="0" borderId="119" xfId="0" applyNumberFormat="1" applyFont="1" applyFill="1" applyBorder="1" applyAlignment="1">
      <alignment horizontal="right" vertical="center" indent="1"/>
    </xf>
    <xf numFmtId="180" fontId="8" fillId="0" borderId="120" xfId="0" applyNumberFormat="1" applyFont="1" applyFill="1" applyBorder="1" applyAlignment="1">
      <alignment horizontal="right" vertical="center" indent="1"/>
    </xf>
    <xf numFmtId="180" fontId="8" fillId="8" borderId="119" xfId="0" applyNumberFormat="1" applyFont="1" applyFill="1" applyBorder="1" applyAlignment="1">
      <alignment horizontal="right" vertical="center" indent="1"/>
    </xf>
    <xf numFmtId="180" fontId="8" fillId="3" borderId="119" xfId="0" applyNumberFormat="1" applyFont="1" applyFill="1" applyBorder="1" applyAlignment="1">
      <alignment horizontal="right" vertical="center" indent="1"/>
    </xf>
    <xf numFmtId="180" fontId="8" fillId="3" borderId="120" xfId="0" applyNumberFormat="1" applyFont="1" applyFill="1" applyBorder="1" applyAlignment="1">
      <alignment horizontal="right" vertical="center" indent="1"/>
    </xf>
    <xf numFmtId="180" fontId="8" fillId="3" borderId="121" xfId="0" applyNumberFormat="1" applyFont="1" applyFill="1" applyBorder="1" applyAlignment="1">
      <alignment horizontal="right" vertical="center" indent="1"/>
    </xf>
    <xf numFmtId="180" fontId="8" fillId="0" borderId="121" xfId="0" applyNumberFormat="1" applyFont="1" applyFill="1" applyBorder="1" applyAlignment="1">
      <alignment horizontal="right" vertical="center" indent="1"/>
    </xf>
    <xf numFmtId="180" fontId="8" fillId="8" borderId="120" xfId="0" applyNumberFormat="1" applyFont="1" applyFill="1" applyBorder="1" applyAlignment="1">
      <alignment horizontal="right" vertical="center" indent="1"/>
    </xf>
    <xf numFmtId="180" fontId="8" fillId="13" borderId="120" xfId="0" applyNumberFormat="1" applyFont="1" applyFill="1" applyBorder="1" applyAlignment="1">
      <alignment horizontal="right" vertical="center" indent="1"/>
    </xf>
    <xf numFmtId="180" fontId="8" fillId="18" borderId="119" xfId="0" applyNumberFormat="1" applyFont="1" applyFill="1" applyBorder="1" applyAlignment="1">
      <alignment horizontal="right" vertical="center" indent="1"/>
    </xf>
    <xf numFmtId="180" fontId="8" fillId="18" borderId="121" xfId="0" applyNumberFormat="1" applyFont="1" applyFill="1" applyBorder="1" applyAlignment="1">
      <alignment horizontal="right" vertical="center" indent="1"/>
    </xf>
    <xf numFmtId="180" fontId="8" fillId="21" borderId="119" xfId="0" applyNumberFormat="1" applyFont="1" applyFill="1" applyBorder="1" applyAlignment="1">
      <alignment horizontal="right" vertical="center" indent="1"/>
    </xf>
    <xf numFmtId="180" fontId="8" fillId="21" borderId="120" xfId="0" applyNumberFormat="1" applyFont="1" applyFill="1" applyBorder="1" applyAlignment="1">
      <alignment horizontal="right" vertical="center" indent="1"/>
    </xf>
    <xf numFmtId="180" fontId="8" fillId="21" borderId="121" xfId="0" applyNumberFormat="1" applyFont="1" applyFill="1" applyBorder="1" applyAlignment="1">
      <alignment horizontal="right" vertical="center" indent="1"/>
    </xf>
    <xf numFmtId="180" fontId="10" fillId="0" borderId="119" xfId="0" applyNumberFormat="1" applyFont="1" applyBorder="1" applyAlignment="1">
      <alignment horizontal="center" vertical="center"/>
    </xf>
    <xf numFmtId="180" fontId="10" fillId="0" borderId="120" xfId="0" applyNumberFormat="1" applyFont="1" applyBorder="1" applyAlignment="1">
      <alignment horizontal="center" vertical="center"/>
    </xf>
    <xf numFmtId="180" fontId="10" fillId="0" borderId="121" xfId="0" applyNumberFormat="1" applyFont="1" applyBorder="1" applyAlignment="1">
      <alignment horizontal="center" vertical="center"/>
    </xf>
    <xf numFmtId="180" fontId="8" fillId="9" borderId="122" xfId="0" applyNumberFormat="1" applyFont="1" applyFill="1" applyBorder="1" applyAlignment="1">
      <alignment horizontal="right" vertical="center" indent="1"/>
    </xf>
    <xf numFmtId="180" fontId="8" fillId="9" borderId="123" xfId="0" applyNumberFormat="1" applyFont="1" applyFill="1" applyBorder="1" applyAlignment="1">
      <alignment horizontal="right" vertical="center" indent="1"/>
    </xf>
    <xf numFmtId="180" fontId="8" fillId="9" borderId="124" xfId="0" applyNumberFormat="1" applyFont="1" applyFill="1" applyBorder="1" applyAlignment="1">
      <alignment horizontal="right" vertical="center" indent="1"/>
    </xf>
    <xf numFmtId="180" fontId="8" fillId="0" borderId="32" xfId="0" applyNumberFormat="1" applyFont="1" applyBorder="1" applyAlignment="1">
      <alignment horizontal="right" vertical="center" indent="1"/>
    </xf>
    <xf numFmtId="180" fontId="8" fillId="4" borderId="33" xfId="0" applyNumberFormat="1" applyFont="1" applyFill="1" applyBorder="1" applyAlignment="1">
      <alignment horizontal="right" vertical="center" indent="1"/>
    </xf>
    <xf numFmtId="180" fontId="8" fillId="0" borderId="33" xfId="0" applyNumberFormat="1" applyFont="1" applyBorder="1" applyAlignment="1">
      <alignment horizontal="right" vertical="center" indent="1"/>
    </xf>
    <xf numFmtId="180" fontId="8" fillId="3" borderId="33" xfId="0" applyNumberFormat="1" applyFont="1" applyFill="1" applyBorder="1" applyAlignment="1">
      <alignment horizontal="right" vertical="center" indent="1"/>
    </xf>
    <xf numFmtId="180" fontId="8" fillId="0" borderId="33" xfId="0" applyNumberFormat="1" applyFont="1" applyFill="1" applyBorder="1" applyAlignment="1">
      <alignment horizontal="right" vertical="center" indent="1"/>
    </xf>
    <xf numFmtId="180" fontId="8" fillId="18" borderId="33" xfId="0" applyNumberFormat="1" applyFont="1" applyFill="1" applyBorder="1" applyAlignment="1">
      <alignment horizontal="right" vertical="center" indent="1"/>
    </xf>
    <xf numFmtId="180" fontId="8" fillId="21" borderId="33" xfId="0" applyNumberFormat="1" applyFont="1" applyFill="1" applyBorder="1" applyAlignment="1">
      <alignment horizontal="right" vertical="center" indent="1"/>
    </xf>
    <xf numFmtId="180"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2" fontId="8" fillId="9" borderId="78" xfId="0" applyNumberFormat="1" applyFont="1" applyFill="1" applyBorder="1" applyAlignment="1">
      <alignment horizontal="right" vertical="center" indent="1"/>
    </xf>
    <xf numFmtId="172" fontId="8" fillId="9" borderId="46"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9" xfId="0" applyNumberFormat="1" applyFont="1" applyFill="1" applyBorder="1" applyAlignment="1">
      <alignment horizontal="right" vertical="center" indent="1"/>
    </xf>
    <xf numFmtId="172" fontId="8" fillId="4" borderId="129" xfId="0" applyNumberFormat="1" applyFont="1" applyFill="1" applyBorder="1" applyAlignment="1">
      <alignment horizontal="right" vertical="center" indent="1"/>
    </xf>
    <xf numFmtId="172" fontId="8" fillId="0" borderId="129" xfId="0" applyNumberFormat="1" applyFont="1" applyBorder="1" applyAlignment="1">
      <alignment horizontal="right" vertical="center" indent="1"/>
    </xf>
    <xf numFmtId="172" fontId="8" fillId="22" borderId="129" xfId="0" applyNumberFormat="1" applyFont="1" applyFill="1" applyBorder="1" applyAlignment="1">
      <alignment horizontal="right" vertical="center" indent="1"/>
    </xf>
    <xf numFmtId="172" fontId="8" fillId="20" borderId="129" xfId="0" applyNumberFormat="1" applyFont="1" applyFill="1" applyBorder="1" applyAlignment="1">
      <alignment horizontal="right" vertical="center" indent="1"/>
    </xf>
    <xf numFmtId="172" fontId="8" fillId="19" borderId="129" xfId="0" applyNumberFormat="1" applyFont="1" applyFill="1" applyBorder="1" applyAlignment="1">
      <alignment horizontal="right" vertical="center" indent="1"/>
    </xf>
    <xf numFmtId="172" fontId="8" fillId="0" borderId="129" xfId="0" applyNumberFormat="1" applyFont="1" applyFill="1" applyBorder="1" applyAlignment="1">
      <alignment horizontal="right" vertical="center" indent="1"/>
    </xf>
    <xf numFmtId="172" fontId="8" fillId="9" borderId="130" xfId="0" applyNumberFormat="1" applyFont="1" applyFill="1" applyBorder="1" applyAlignment="1">
      <alignment horizontal="right" vertical="center" indent="1"/>
    </xf>
    <xf numFmtId="172" fontId="8" fillId="0" borderId="131" xfId="0" applyNumberFormat="1" applyFont="1" applyBorder="1" applyAlignment="1">
      <alignment horizontal="right" indent="1"/>
    </xf>
    <xf numFmtId="170" fontId="8" fillId="0" borderId="131" xfId="0" applyNumberFormat="1" applyFont="1" applyBorder="1" applyAlignment="1">
      <alignment horizontal="right" indent="1"/>
    </xf>
    <xf numFmtId="172" fontId="8" fillId="17" borderId="39" xfId="0" applyNumberFormat="1" applyFont="1" applyFill="1" applyBorder="1" applyAlignment="1">
      <alignment horizontal="right" vertical="center" indent="1"/>
    </xf>
    <xf numFmtId="3" fontId="15" fillId="3" borderId="132" xfId="0" applyNumberFormat="1" applyFont="1" applyFill="1" applyBorder="1" applyAlignment="1">
      <alignment horizontal="left" vertical="center"/>
    </xf>
    <xf numFmtId="3" fontId="8" fillId="3" borderId="132" xfId="0" applyNumberFormat="1" applyFont="1" applyFill="1" applyBorder="1" applyAlignment="1">
      <alignment horizontal="left" vertical="center"/>
    </xf>
    <xf numFmtId="3" fontId="8" fillId="4" borderId="132" xfId="0" applyNumberFormat="1" applyFont="1" applyFill="1" applyBorder="1" applyAlignment="1">
      <alignment horizontal="left" vertical="center"/>
    </xf>
    <xf numFmtId="3" fontId="8" fillId="0" borderId="132" xfId="0" applyNumberFormat="1" applyFont="1" applyBorder="1" applyAlignment="1">
      <alignment horizontal="left" vertical="center"/>
    </xf>
    <xf numFmtId="3" fontId="8" fillId="0" borderId="132" xfId="0" applyNumberFormat="1" applyFont="1" applyFill="1" applyBorder="1" applyAlignment="1">
      <alignment horizontal="left" vertical="center"/>
    </xf>
    <xf numFmtId="3" fontId="8" fillId="9" borderId="133" xfId="0" applyNumberFormat="1" applyFont="1" applyFill="1" applyBorder="1" applyAlignment="1">
      <alignment horizontal="left" vertical="center"/>
    </xf>
    <xf numFmtId="0" fontId="0" fillId="0" borderId="134" xfId="0" pivotButton="1" applyBorder="1"/>
    <xf numFmtId="172" fontId="8" fillId="26" borderId="29" xfId="0" applyNumberFormat="1" applyFont="1" applyFill="1" applyBorder="1" applyAlignment="1">
      <alignment horizontal="right" vertical="center" indent="1"/>
    </xf>
    <xf numFmtId="172" fontId="9" fillId="0" borderId="36" xfId="0" applyNumberFormat="1" applyFont="1" applyFill="1" applyBorder="1" applyAlignment="1">
      <alignment horizontal="left" vertical="center" indent="1"/>
    </xf>
    <xf numFmtId="3" fontId="10" fillId="3" borderId="129" xfId="0" applyNumberFormat="1" applyFont="1" applyFill="1" applyBorder="1" applyAlignment="1">
      <alignment horizontal="center" vertical="center"/>
    </xf>
    <xf numFmtId="3" fontId="10" fillId="0" borderId="129" xfId="0" applyNumberFormat="1" applyFont="1" applyFill="1" applyBorder="1" applyAlignment="1">
      <alignment horizontal="center" vertical="center"/>
    </xf>
    <xf numFmtId="3" fontId="10" fillId="0" borderId="129" xfId="0" applyNumberFormat="1" applyFont="1" applyBorder="1" applyAlignment="1">
      <alignment horizontal="center" vertical="center"/>
    </xf>
    <xf numFmtId="3" fontId="10" fillId="4" borderId="129" xfId="0" applyNumberFormat="1" applyFont="1" applyFill="1" applyBorder="1" applyAlignment="1">
      <alignment horizontal="center" vertical="center"/>
    </xf>
    <xf numFmtId="3" fontId="10" fillId="9" borderId="130" xfId="0" applyNumberFormat="1" applyFont="1" applyFill="1" applyBorder="1" applyAlignment="1">
      <alignment horizontal="center" vertical="center"/>
    </xf>
    <xf numFmtId="3" fontId="10" fillId="9" borderId="131" xfId="0" applyNumberFormat="1" applyFont="1" applyFill="1" applyBorder="1" applyAlignment="1">
      <alignment horizontal="center"/>
    </xf>
    <xf numFmtId="3" fontId="10" fillId="0" borderId="0" xfId="0" applyNumberFormat="1" applyFont="1" applyAlignment="1">
      <alignment horizontal="center"/>
    </xf>
    <xf numFmtId="3" fontId="8" fillId="9" borderId="135" xfId="0" applyNumberFormat="1" applyFont="1" applyFill="1" applyBorder="1" applyAlignment="1">
      <alignment horizontal="left"/>
    </xf>
    <xf numFmtId="3" fontId="8" fillId="9" borderId="136" xfId="0" applyNumberFormat="1" applyFont="1" applyFill="1" applyBorder="1" applyAlignment="1">
      <alignment horizontal="left"/>
    </xf>
    <xf numFmtId="3" fontId="10" fillId="9" borderId="137" xfId="0" applyNumberFormat="1" applyFont="1" applyFill="1" applyBorder="1" applyAlignment="1">
      <alignment horizontal="center"/>
    </xf>
    <xf numFmtId="3" fontId="18" fillId="0" borderId="129" xfId="0" applyNumberFormat="1" applyFont="1" applyBorder="1" applyAlignment="1">
      <alignment horizontal="center" vertical="center"/>
    </xf>
    <xf numFmtId="3" fontId="18" fillId="4" borderId="129" xfId="0" applyNumberFormat="1" applyFont="1" applyFill="1" applyBorder="1" applyAlignment="1">
      <alignment horizontal="center" vertical="center"/>
    </xf>
    <xf numFmtId="168" fontId="15" fillId="4" borderId="33" xfId="0" applyNumberFormat="1" applyFont="1" applyFill="1" applyBorder="1" applyAlignment="1">
      <alignment horizontal="center" vertical="center"/>
    </xf>
    <xf numFmtId="0" fontId="0" fillId="0" borderId="0" xfId="0" applyFont="1" applyFill="1" applyBorder="1"/>
    <xf numFmtId="0" fontId="0" fillId="25" borderId="3" xfId="0" applyFill="1" applyBorder="1" applyAlignment="1">
      <alignment vertical="center"/>
    </xf>
    <xf numFmtId="0" fontId="7" fillId="18" borderId="5" xfId="0" applyFont="1" applyFill="1" applyBorder="1" applyAlignment="1">
      <alignment horizontal="right" vertical="center" indent="1"/>
    </xf>
    <xf numFmtId="181" fontId="0" fillId="0" borderId="0" xfId="0" applyNumberFormat="1"/>
    <xf numFmtId="0" fontId="0" fillId="27" borderId="138" xfId="0" applyFont="1" applyFill="1" applyBorder="1" applyAlignment="1"/>
    <xf numFmtId="172" fontId="8" fillId="4" borderId="29" xfId="0" applyNumberFormat="1" applyFont="1" applyFill="1" applyBorder="1" applyAlignment="1">
      <alignment horizontal="center" vertical="center" indent="1"/>
    </xf>
    <xf numFmtId="172" fontId="8" fillId="20" borderId="139" xfId="0" applyNumberFormat="1" applyFont="1" applyFill="1" applyBorder="1" applyAlignment="1">
      <alignment horizontal="right" vertical="center" indent="1"/>
    </xf>
    <xf numFmtId="172" fontId="8" fillId="20" borderId="140" xfId="0" applyNumberFormat="1" applyFont="1" applyFill="1" applyBorder="1" applyAlignment="1">
      <alignment horizontal="right" vertical="center" indent="1"/>
    </xf>
    <xf numFmtId="180" fontId="8" fillId="3" borderId="36" xfId="0" applyNumberFormat="1" applyFont="1" applyFill="1" applyBorder="1" applyAlignment="1">
      <alignment horizontal="right" vertical="center" indent="1"/>
    </xf>
    <xf numFmtId="180" fontId="8" fillId="3" borderId="29" xfId="0" applyNumberFormat="1" applyFont="1" applyFill="1" applyBorder="1" applyAlignment="1">
      <alignment horizontal="right" vertical="center" indent="1"/>
    </xf>
    <xf numFmtId="180" fontId="8" fillId="0" borderId="36" xfId="0" applyNumberFormat="1" applyFont="1" applyBorder="1" applyAlignment="1">
      <alignment horizontal="right" vertical="center" indent="1"/>
    </xf>
    <xf numFmtId="180" fontId="8" fillId="0" borderId="29" xfId="0" applyNumberFormat="1" applyFont="1" applyBorder="1" applyAlignment="1">
      <alignment horizontal="right" vertical="center" indent="1"/>
    </xf>
    <xf numFmtId="180" fontId="8" fillId="0" borderId="29" xfId="0" applyNumberFormat="1" applyFont="1" applyFill="1" applyBorder="1" applyAlignment="1">
      <alignment horizontal="right" vertical="center" indent="1"/>
    </xf>
    <xf numFmtId="180" fontId="8" fillId="0" borderId="36" xfId="0" applyNumberFormat="1" applyFont="1" applyFill="1" applyBorder="1" applyAlignment="1">
      <alignment horizontal="right" vertical="center" indent="1"/>
    </xf>
    <xf numFmtId="180" fontId="8" fillId="4" borderId="36" xfId="0" applyNumberFormat="1" applyFont="1" applyFill="1" applyBorder="1" applyAlignment="1">
      <alignment horizontal="right" vertical="center" indent="1"/>
    </xf>
    <xf numFmtId="180" fontId="8" fillId="4" borderId="29" xfId="0" applyNumberFormat="1" applyFont="1" applyFill="1" applyBorder="1" applyAlignment="1">
      <alignment horizontal="right" vertical="center" indent="1"/>
    </xf>
    <xf numFmtId="180" fontId="8" fillId="21" borderId="36" xfId="0" applyNumberFormat="1" applyFont="1" applyFill="1" applyBorder="1" applyAlignment="1">
      <alignment horizontal="right" vertical="center" indent="1"/>
    </xf>
    <xf numFmtId="180" fontId="8" fillId="21" borderId="29" xfId="0" applyNumberFormat="1" applyFont="1" applyFill="1" applyBorder="1" applyAlignment="1">
      <alignment horizontal="right" vertical="center" indent="1"/>
    </xf>
    <xf numFmtId="180" fontId="8" fillId="22" borderId="36" xfId="0" applyNumberFormat="1" applyFont="1" applyFill="1" applyBorder="1" applyAlignment="1">
      <alignment horizontal="right" vertical="center" indent="1"/>
    </xf>
    <xf numFmtId="180" fontId="8" fillId="18" borderId="36" xfId="0" applyNumberFormat="1" applyFont="1" applyFill="1" applyBorder="1" applyAlignment="1">
      <alignment horizontal="right" vertical="center" indent="1"/>
    </xf>
    <xf numFmtId="180" fontId="8" fillId="18" borderId="29" xfId="0" applyNumberFormat="1" applyFont="1" applyFill="1" applyBorder="1" applyAlignment="1">
      <alignment horizontal="right" vertical="center" indent="1"/>
    </xf>
    <xf numFmtId="180" fontId="8" fillId="19" borderId="36" xfId="0" applyNumberFormat="1" applyFont="1" applyFill="1" applyBorder="1" applyAlignment="1">
      <alignment horizontal="right" vertical="center" indent="1"/>
    </xf>
    <xf numFmtId="180" fontId="8" fillId="19" borderId="29" xfId="0" applyNumberFormat="1" applyFont="1" applyFill="1" applyBorder="1" applyAlignment="1">
      <alignment horizontal="right" vertical="center" indent="1"/>
    </xf>
    <xf numFmtId="180" fontId="9" fillId="21" borderId="36" xfId="0" applyNumberFormat="1" applyFont="1" applyFill="1" applyBorder="1" applyAlignment="1">
      <alignment horizontal="left" vertical="center" indent="1"/>
    </xf>
    <xf numFmtId="180" fontId="9" fillId="21" borderId="29" xfId="0" applyNumberFormat="1" applyFont="1" applyFill="1" applyBorder="1" applyAlignment="1">
      <alignment horizontal="left" vertical="center" indent="1"/>
    </xf>
    <xf numFmtId="180" fontId="9" fillId="21" borderId="119" xfId="0" applyNumberFormat="1" applyFont="1" applyFill="1" applyBorder="1" applyAlignment="1">
      <alignment horizontal="left" vertical="center" indent="1"/>
    </xf>
    <xf numFmtId="180" fontId="9" fillId="21" borderId="120" xfId="0" applyNumberFormat="1" applyFont="1" applyFill="1" applyBorder="1" applyAlignment="1">
      <alignment horizontal="left" vertical="center" indent="1"/>
    </xf>
    <xf numFmtId="180" fontId="9" fillId="21" borderId="121" xfId="0" applyNumberFormat="1" applyFont="1" applyFill="1" applyBorder="1" applyAlignment="1">
      <alignment horizontal="left" vertical="center" indent="1"/>
    </xf>
    <xf numFmtId="180" fontId="8" fillId="14" borderId="36" xfId="0" applyNumberFormat="1" applyFont="1" applyFill="1" applyBorder="1" applyAlignment="1">
      <alignment horizontal="right" vertical="center" indent="1"/>
    </xf>
    <xf numFmtId="180" fontId="10" fillId="0" borderId="36" xfId="0" applyNumberFormat="1" applyFont="1" applyBorder="1" applyAlignment="1">
      <alignment horizontal="center" vertical="center"/>
    </xf>
    <xf numFmtId="180" fontId="10" fillId="0" borderId="29" xfId="0" applyNumberFormat="1" applyFont="1" applyBorder="1" applyAlignment="1">
      <alignment horizontal="center" vertical="center"/>
    </xf>
    <xf numFmtId="180" fontId="8" fillId="9" borderId="37" xfId="0" applyNumberFormat="1" applyFont="1" applyFill="1" applyBorder="1" applyAlignment="1">
      <alignment horizontal="right" vertical="center" indent="1"/>
    </xf>
    <xf numFmtId="180" fontId="8" fillId="9" borderId="30" xfId="0" applyNumberFormat="1" applyFont="1" applyFill="1" applyBorder="1" applyAlignment="1">
      <alignment horizontal="right" vertical="center" indent="1"/>
    </xf>
    <xf numFmtId="180" fontId="17" fillId="21" borderId="36" xfId="0" applyNumberFormat="1" applyFont="1" applyFill="1" applyBorder="1" applyAlignment="1">
      <alignment horizontal="right" vertical="center" indent="1"/>
    </xf>
    <xf numFmtId="180" fontId="17" fillId="18" borderId="120" xfId="0" applyNumberFormat="1" applyFont="1" applyFill="1" applyBorder="1" applyAlignment="1">
      <alignment horizontal="left" vertical="center" indent="1"/>
    </xf>
    <xf numFmtId="180" fontId="8" fillId="19" borderId="119" xfId="0" applyNumberFormat="1" applyFont="1" applyFill="1" applyBorder="1" applyAlignment="1">
      <alignment horizontal="right" vertical="center" indent="1"/>
    </xf>
    <xf numFmtId="180" fontId="8" fillId="19" borderId="120" xfId="0" applyNumberFormat="1" applyFont="1" applyFill="1" applyBorder="1" applyAlignment="1">
      <alignment horizontal="right" vertical="center" indent="1"/>
    </xf>
    <xf numFmtId="180" fontId="8" fillId="0" borderId="21" xfId="0" applyNumberFormat="1" applyFont="1" applyBorder="1" applyAlignment="1">
      <alignment horizontal="right" indent="1"/>
    </xf>
    <xf numFmtId="180" fontId="8" fillId="28" borderId="120" xfId="0" applyNumberFormat="1" applyFont="1" applyFill="1" applyBorder="1" applyAlignment="1">
      <alignment horizontal="right" vertical="center" indent="1"/>
    </xf>
    <xf numFmtId="3" fontId="8" fillId="9" borderId="141" xfId="0" applyNumberFormat="1" applyFont="1" applyFill="1" applyBorder="1" applyAlignment="1">
      <alignment horizontal="left"/>
    </xf>
    <xf numFmtId="0" fontId="11" fillId="0" borderId="21" xfId="0" applyFont="1" applyBorder="1"/>
    <xf numFmtId="180" fontId="8" fillId="20" borderId="119" xfId="0" applyNumberFormat="1" applyFont="1" applyFill="1" applyBorder="1" applyAlignment="1">
      <alignment horizontal="right" vertical="center" indent="1"/>
    </xf>
    <xf numFmtId="180" fontId="8" fillId="20" borderId="120"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9" xfId="0" applyNumberFormat="1" applyFont="1" applyFill="1" applyBorder="1" applyAlignment="1">
      <alignment horizontal="right" vertical="center" indent="1"/>
    </xf>
    <xf numFmtId="172" fontId="8" fillId="29" borderId="11" xfId="0" applyNumberFormat="1" applyFont="1" applyFill="1" applyBorder="1" applyAlignment="1">
      <alignment horizontal="right" vertical="center" indent="1"/>
    </xf>
    <xf numFmtId="172" fontId="8" fillId="29" borderId="12" xfId="0" applyNumberFormat="1" applyFont="1" applyFill="1" applyBorder="1" applyAlignment="1">
      <alignment horizontal="right" vertical="center" indent="1"/>
    </xf>
    <xf numFmtId="172" fontId="8" fillId="29" borderId="25" xfId="0" applyNumberFormat="1" applyFont="1" applyFill="1" applyBorder="1" applyAlignment="1">
      <alignment horizontal="right" vertical="center" indent="1"/>
    </xf>
    <xf numFmtId="172" fontId="8" fillId="29" borderId="10" xfId="0" applyNumberFormat="1" applyFont="1" applyFill="1" applyBorder="1" applyAlignment="1">
      <alignment horizontal="right" vertical="center" indent="1"/>
    </xf>
    <xf numFmtId="180" fontId="8" fillId="29" borderId="119" xfId="0" applyNumberFormat="1" applyFont="1" applyFill="1" applyBorder="1" applyAlignment="1">
      <alignment horizontal="right" vertical="center" indent="1"/>
    </xf>
    <xf numFmtId="180" fontId="8" fillId="29" borderId="120"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2" fontId="8" fillId="29" borderId="36" xfId="0" applyNumberFormat="1" applyFont="1" applyFill="1" applyBorder="1" applyAlignment="1">
      <alignment horizontal="right" vertical="center" indent="1"/>
    </xf>
    <xf numFmtId="180" fontId="8" fillId="29" borderId="36" xfId="0" applyNumberFormat="1" applyFont="1" applyFill="1" applyBorder="1" applyAlignment="1">
      <alignment horizontal="right" vertical="center" indent="1"/>
    </xf>
    <xf numFmtId="180" fontId="8" fillId="29" borderId="29" xfId="0" applyNumberFormat="1" applyFont="1" applyFill="1" applyBorder="1" applyAlignment="1">
      <alignment horizontal="right" vertical="center" indent="1"/>
    </xf>
    <xf numFmtId="172" fontId="8" fillId="29" borderId="129" xfId="0" applyNumberFormat="1" applyFont="1" applyFill="1" applyBorder="1" applyAlignment="1">
      <alignment horizontal="right" vertical="center" indent="1"/>
    </xf>
    <xf numFmtId="172" fontId="8" fillId="29" borderId="40" xfId="0" applyNumberFormat="1" applyFont="1" applyFill="1" applyBorder="1" applyAlignment="1">
      <alignment horizontal="right" vertical="center" indent="1"/>
    </xf>
    <xf numFmtId="180" fontId="17" fillId="18" borderId="120" xfId="0" applyNumberFormat="1" applyFont="1" applyFill="1" applyBorder="1" applyAlignment="1">
      <alignment horizontal="right" vertical="center" indent="1"/>
    </xf>
    <xf numFmtId="172" fontId="17" fillId="18" borderId="120" xfId="0" applyNumberFormat="1" applyFont="1" applyFill="1" applyBorder="1" applyAlignment="1">
      <alignment horizontal="left" vertical="center" indent="1"/>
    </xf>
    <xf numFmtId="172" fontId="10" fillId="4" borderId="33" xfId="0" applyNumberFormat="1" applyFont="1" applyFill="1" applyBorder="1" applyAlignment="1">
      <alignment horizontal="center" vertical="center"/>
    </xf>
    <xf numFmtId="172" fontId="10" fillId="4" borderId="36" xfId="0" applyNumberFormat="1" applyFont="1" applyFill="1" applyBorder="1" applyAlignment="1">
      <alignment horizontal="center" vertical="center"/>
    </xf>
    <xf numFmtId="180" fontId="10" fillId="4" borderId="36" xfId="0" applyNumberFormat="1" applyFont="1" applyFill="1" applyBorder="1" applyAlignment="1">
      <alignment horizontal="center" vertical="center"/>
    </xf>
    <xf numFmtId="180" fontId="10" fillId="4" borderId="29" xfId="0" applyNumberFormat="1" applyFont="1" applyFill="1" applyBorder="1" applyAlignment="1">
      <alignment horizontal="center" vertical="center"/>
    </xf>
    <xf numFmtId="180" fontId="10" fillId="4" borderId="119" xfId="0" applyNumberFormat="1" applyFont="1" applyFill="1" applyBorder="1" applyAlignment="1">
      <alignment horizontal="center" vertical="center"/>
    </xf>
    <xf numFmtId="180" fontId="10" fillId="4" borderId="120" xfId="0" applyNumberFormat="1" applyFont="1" applyFill="1" applyBorder="1" applyAlignment="1">
      <alignment horizontal="center" vertical="center"/>
    </xf>
    <xf numFmtId="172" fontId="10" fillId="4" borderId="25" xfId="0" applyNumberFormat="1" applyFont="1" applyFill="1" applyBorder="1" applyAlignment="1">
      <alignment horizontal="center" vertical="center"/>
    </xf>
    <xf numFmtId="172" fontId="10" fillId="4" borderId="10" xfId="0" applyNumberFormat="1" applyFont="1" applyFill="1" applyBorder="1" applyAlignment="1">
      <alignment horizontal="center" vertical="center"/>
    </xf>
    <xf numFmtId="172" fontId="10" fillId="4" borderId="29" xfId="0" applyNumberFormat="1" applyFont="1" applyFill="1" applyBorder="1" applyAlignment="1">
      <alignment horizontal="center" vertical="center"/>
    </xf>
    <xf numFmtId="3" fontId="0" fillId="0" borderId="0" xfId="0" applyNumberFormat="1" applyAlignment="1">
      <alignment horizontal="center"/>
    </xf>
    <xf numFmtId="1" fontId="0" fillId="0" borderId="0" xfId="0" applyNumberFormat="1" applyAlignment="1">
      <alignment horizontal="center"/>
    </xf>
    <xf numFmtId="0" fontId="0" fillId="8" borderId="0" xfId="0" applyFill="1" applyAlignment="1">
      <alignment horizontal="center"/>
    </xf>
    <xf numFmtId="4" fontId="0" fillId="8" borderId="0" xfId="0" applyNumberFormat="1" applyFill="1" applyAlignment="1">
      <alignment horizontal="center"/>
    </xf>
    <xf numFmtId="4" fontId="0" fillId="8" borderId="0" xfId="0" applyNumberFormat="1" applyFill="1"/>
    <xf numFmtId="0" fontId="22" fillId="18" borderId="10" xfId="0" applyFont="1" applyFill="1" applyBorder="1" applyAlignment="1">
      <alignment vertical="center"/>
    </xf>
    <xf numFmtId="0" fontId="22" fillId="18" borderId="11" xfId="0" applyFont="1" applyFill="1" applyBorder="1" applyAlignment="1">
      <alignment vertical="center"/>
    </xf>
    <xf numFmtId="3" fontId="10" fillId="30" borderId="129" xfId="0" applyNumberFormat="1" applyFont="1" applyFill="1" applyBorder="1" applyAlignment="1">
      <alignment horizontal="center" vertical="center"/>
    </xf>
    <xf numFmtId="3" fontId="10" fillId="31" borderId="129" xfId="0" applyNumberFormat="1" applyFont="1" applyFill="1" applyBorder="1" applyAlignment="1">
      <alignment horizontal="center" vertical="center"/>
    </xf>
    <xf numFmtId="180"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5" xfId="0" applyNumberFormat="1" applyFont="1" applyBorder="1" applyAlignment="1">
      <alignment horizontal="right" vertical="center" indent="1"/>
    </xf>
    <xf numFmtId="180" fontId="8" fillId="0" borderId="85" xfId="0" applyNumberFormat="1" applyFont="1" applyBorder="1" applyAlignment="1">
      <alignment horizontal="right" vertical="center" indent="1"/>
    </xf>
    <xf numFmtId="180" fontId="8" fillId="18" borderId="119"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80" fontId="8" fillId="32" borderId="120" xfId="0" applyNumberFormat="1" applyFont="1" applyFill="1" applyBorder="1" applyAlignment="1">
      <alignment horizontal="right" vertical="center" indent="1"/>
    </xf>
    <xf numFmtId="0" fontId="0" fillId="0" borderId="142" xfId="0" pivotButton="1" applyBorder="1"/>
    <xf numFmtId="0" fontId="0" fillId="0" borderId="143" xfId="0" applyBorder="1" applyAlignment="1">
      <alignment wrapText="1"/>
    </xf>
    <xf numFmtId="14" fontId="0" fillId="0" borderId="45" xfId="0" applyNumberFormat="1" applyBorder="1" applyAlignment="1">
      <alignment horizontal="center"/>
    </xf>
    <xf numFmtId="173" fontId="0" fillId="0" borderId="45"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5" xfId="0" applyFont="1" applyBorder="1" applyAlignment="1">
      <alignment horizontal="center"/>
    </xf>
    <xf numFmtId="179" fontId="0" fillId="0" borderId="115" xfId="0" applyNumberFormat="1" applyBorder="1" applyAlignment="1">
      <alignment horizontal="left" indent="1"/>
    </xf>
    <xf numFmtId="172" fontId="0" fillId="0" borderId="115" xfId="0" applyNumberFormat="1" applyBorder="1"/>
    <xf numFmtId="172" fontId="0" fillId="0" borderId="115" xfId="0" applyNumberFormat="1" applyBorder="1" applyAlignment="1">
      <alignment horizontal="right" indent="1"/>
    </xf>
    <xf numFmtId="173" fontId="24" fillId="33" borderId="144" xfId="0" applyNumberFormat="1" applyFont="1" applyFill="1" applyBorder="1" applyAlignment="1">
      <alignment horizontal="center" wrapText="1"/>
    </xf>
    <xf numFmtId="0" fontId="24" fillId="33" borderId="145" xfId="0" applyFont="1" applyFill="1" applyBorder="1"/>
    <xf numFmtId="0" fontId="24" fillId="33" borderId="146" xfId="0" applyFont="1" applyFill="1" applyBorder="1" applyAlignment="1">
      <alignment horizontal="center" wrapText="1"/>
    </xf>
    <xf numFmtId="0" fontId="24" fillId="33" borderId="147" xfId="0" applyFont="1" applyFill="1" applyBorder="1"/>
    <xf numFmtId="173" fontId="24" fillId="33" borderId="148" xfId="0" applyNumberFormat="1" applyFont="1" applyFill="1" applyBorder="1" applyAlignment="1">
      <alignment horizontal="center" wrapText="1"/>
    </xf>
    <xf numFmtId="0" fontId="24" fillId="33" borderId="149" xfId="0" applyFont="1" applyFill="1" applyBorder="1" applyAlignment="1">
      <alignment horizontal="left" indent="1"/>
    </xf>
    <xf numFmtId="0" fontId="24" fillId="33" borderId="150" xfId="0" applyFont="1" applyFill="1" applyBorder="1"/>
    <xf numFmtId="173" fontId="24" fillId="34" borderId="152" xfId="0" applyNumberFormat="1" applyFont="1" applyFill="1" applyBorder="1"/>
    <xf numFmtId="179" fontId="24" fillId="34" borderId="151" xfId="0" applyNumberFormat="1" applyFont="1" applyFill="1" applyBorder="1" applyAlignment="1">
      <alignment horizontal="center"/>
    </xf>
    <xf numFmtId="0" fontId="25" fillId="0" borderId="0" xfId="0" applyFont="1"/>
    <xf numFmtId="4" fontId="0" fillId="0" borderId="0" xfId="0" applyNumberFormat="1" applyAlignment="1">
      <alignment horizontal="right" wrapText="1"/>
    </xf>
    <xf numFmtId="4" fontId="0" fillId="27" borderId="138" xfId="0" applyNumberFormat="1" applyFont="1" applyFill="1" applyBorder="1" applyAlignment="1">
      <alignment horizontal="right" indent="1"/>
    </xf>
    <xf numFmtId="165" fontId="0" fillId="0" borderId="0" xfId="0" applyNumberFormat="1" applyFill="1" applyAlignment="1"/>
    <xf numFmtId="0" fontId="0" fillId="0" borderId="0" xfId="0" applyFill="1"/>
    <xf numFmtId="179" fontId="24" fillId="0" borderId="0" xfId="0" applyNumberFormat="1" applyFont="1" applyFill="1" applyBorder="1" applyAlignment="1">
      <alignment horizontal="center"/>
    </xf>
    <xf numFmtId="173" fontId="24" fillId="0" borderId="0" xfId="0" applyNumberFormat="1" applyFont="1" applyFill="1" applyBorder="1"/>
    <xf numFmtId="173" fontId="24" fillId="0" borderId="0" xfId="0" applyNumberFormat="1" applyFont="1" applyFill="1" applyBorder="1" applyAlignment="1">
      <alignment horizontal="right" indent="1"/>
    </xf>
    <xf numFmtId="0" fontId="0" fillId="0" borderId="0" xfId="0" applyBorder="1" applyAlignment="1">
      <alignment vertical="center"/>
    </xf>
    <xf numFmtId="0" fontId="12" fillId="0" borderId="0" xfId="0" applyNumberFormat="1" applyFont="1" applyFill="1" applyAlignment="1">
      <alignment horizontal="center"/>
    </xf>
    <xf numFmtId="0" fontId="0" fillId="0" borderId="25" xfId="0" applyNumberFormat="1" applyFont="1" applyFill="1" applyBorder="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5" borderId="25" xfId="0" applyNumberFormat="1" applyFont="1" applyFill="1" applyBorder="1" applyAlignment="1">
      <alignment horizontal="right"/>
    </xf>
    <xf numFmtId="4" fontId="0" fillId="35" borderId="25" xfId="0" applyNumberFormat="1" applyFill="1" applyBorder="1" applyAlignment="1">
      <alignment horizontal="right" wrapText="1"/>
    </xf>
    <xf numFmtId="0" fontId="0" fillId="0" borderId="0" xfId="0" applyNumberFormat="1" applyAlignment="1">
      <alignment horizontal="center"/>
    </xf>
    <xf numFmtId="182" fontId="0" fillId="8" borderId="0" xfId="0" applyNumberFormat="1" applyFill="1" applyAlignment="1">
      <alignment horizontal="center"/>
    </xf>
    <xf numFmtId="180" fontId="8" fillId="28" borderId="121" xfId="0" applyNumberFormat="1" applyFont="1" applyFill="1" applyBorder="1" applyAlignment="1">
      <alignment horizontal="right" vertical="center" indent="1"/>
    </xf>
    <xf numFmtId="0" fontId="12" fillId="4" borderId="154" xfId="0" applyNumberFormat="1" applyFont="1" applyFill="1" applyBorder="1" applyAlignment="1">
      <alignment horizontal="center"/>
    </xf>
    <xf numFmtId="4" fontId="0" fillId="4" borderId="154" xfId="0" applyNumberFormat="1" applyFill="1" applyBorder="1" applyAlignment="1">
      <alignment horizontal="right" wrapText="1"/>
    </xf>
    <xf numFmtId="4" fontId="0" fillId="4" borderId="154" xfId="0" applyNumberFormat="1" applyFill="1" applyBorder="1" applyAlignment="1">
      <alignment horizontal="right"/>
    </xf>
    <xf numFmtId="11" fontId="0" fillId="4" borderId="154" xfId="0" applyNumberFormat="1" applyFill="1" applyBorder="1"/>
    <xf numFmtId="43" fontId="0" fillId="4" borderId="154" xfId="0" applyNumberFormat="1" applyFill="1" applyBorder="1"/>
    <xf numFmtId="180" fontId="8" fillId="28" borderId="155" xfId="0" applyNumberFormat="1" applyFont="1" applyFill="1" applyBorder="1" applyAlignment="1">
      <alignment horizontal="right" vertical="center" indent="1"/>
    </xf>
    <xf numFmtId="0" fontId="0" fillId="0" borderId="0" xfId="0" applyFont="1" applyFill="1" applyBorder="1" applyAlignment="1">
      <alignment horizontal="right" indent="1"/>
    </xf>
    <xf numFmtId="183" fontId="0" fillId="0" borderId="0" xfId="0" applyNumberFormat="1" applyAlignment="1">
      <alignment horizontal="center"/>
    </xf>
    <xf numFmtId="0" fontId="0" fillId="0" borderId="0" xfId="0" applyNumberFormat="1" applyAlignment="1"/>
    <xf numFmtId="14" fontId="4" fillId="4" borderId="153" xfId="0" applyNumberFormat="1" applyFont="1" applyFill="1" applyBorder="1" applyAlignment="1">
      <alignment horizontal="left" indent="1"/>
    </xf>
    <xf numFmtId="0" fontId="1" fillId="36" borderId="0" xfId="1"/>
    <xf numFmtId="183" fontId="1" fillId="38" borderId="0" xfId="2" applyNumberFormat="1" applyFill="1" applyAlignment="1">
      <alignment vertical="center"/>
    </xf>
    <xf numFmtId="183" fontId="26" fillId="38" borderId="0" xfId="2" applyNumberFormat="1" applyFont="1" applyFill="1" applyAlignment="1">
      <alignment horizontal="center" vertical="center"/>
    </xf>
    <xf numFmtId="183" fontId="1" fillId="38" borderId="0" xfId="2" applyNumberFormat="1" applyFill="1" applyAlignment="1">
      <alignment horizontal="center" vertical="center"/>
    </xf>
    <xf numFmtId="0" fontId="1" fillId="38" borderId="0" xfId="2" applyFill="1"/>
    <xf numFmtId="0" fontId="1" fillId="38" borderId="0" xfId="2" applyFill="1" applyAlignment="1">
      <alignment vertical="center"/>
    </xf>
    <xf numFmtId="0" fontId="1" fillId="38" borderId="0" xfId="2" applyFill="1" applyAlignment="1">
      <alignment wrapText="1"/>
    </xf>
    <xf numFmtId="0" fontId="1" fillId="38" borderId="0" xfId="2" applyFill="1" applyAlignment="1">
      <alignment horizontal="center" wrapText="1"/>
    </xf>
    <xf numFmtId="14" fontId="1" fillId="38" borderId="0" xfId="2" applyNumberFormat="1" applyFill="1" applyAlignment="1">
      <alignment horizontal="center" wrapText="1"/>
    </xf>
    <xf numFmtId="169" fontId="0" fillId="4" borderId="154" xfId="0" applyNumberFormat="1" applyFill="1" applyBorder="1" applyAlignment="1">
      <alignment horizontal="center" wrapText="1"/>
    </xf>
    <xf numFmtId="169" fontId="0" fillId="35" borderId="25" xfId="0" quotePrefix="1" applyNumberFormat="1" applyFont="1" applyFill="1" applyBorder="1" applyAlignment="1">
      <alignment horizontal="center"/>
    </xf>
    <xf numFmtId="169" fontId="0" fillId="0" borderId="25" xfId="0" applyNumberFormat="1" applyBorder="1" applyAlignment="1">
      <alignment horizontal="center" wrapText="1"/>
    </xf>
    <xf numFmtId="169" fontId="0" fillId="0" borderId="0" xfId="0" applyNumberFormat="1" applyAlignment="1">
      <alignment horizontal="center" wrapText="1"/>
    </xf>
    <xf numFmtId="14" fontId="1" fillId="38" borderId="25" xfId="2" applyNumberFormat="1" applyFill="1" applyBorder="1" applyAlignment="1">
      <alignment horizontal="center"/>
    </xf>
    <xf numFmtId="0" fontId="0" fillId="0" borderId="25" xfId="0" applyBorder="1" applyAlignment="1">
      <alignment horizontal="center"/>
    </xf>
    <xf numFmtId="0" fontId="1" fillId="38" borderId="0" xfId="2" applyFill="1" applyAlignment="1">
      <alignment horizontal="center"/>
    </xf>
    <xf numFmtId="0" fontId="1" fillId="38" borderId="0" xfId="0" applyFont="1" applyFill="1"/>
    <xf numFmtId="0" fontId="1" fillId="38" borderId="0" xfId="0" applyFont="1" applyFill="1" applyAlignment="1">
      <alignment horizontal="center"/>
    </xf>
    <xf numFmtId="14" fontId="4" fillId="0" borderId="0" xfId="0" applyNumberFormat="1" applyFont="1" applyAlignment="1"/>
    <xf numFmtId="169" fontId="0" fillId="0" borderId="0" xfId="0" applyNumberFormat="1"/>
    <xf numFmtId="169" fontId="1" fillId="38" borderId="0" xfId="2" applyNumberFormat="1" applyFill="1" applyAlignment="1">
      <alignment horizontal="center"/>
    </xf>
    <xf numFmtId="0" fontId="1" fillId="38" borderId="0" xfId="2" applyFill="1" applyAlignment="1"/>
    <xf numFmtId="0" fontId="1" fillId="38" borderId="0" xfId="2" applyNumberFormat="1" applyFill="1" applyAlignment="1">
      <alignment horizontal="center" vertical="center"/>
    </xf>
    <xf numFmtId="0" fontId="1" fillId="38" borderId="0" xfId="2" applyNumberFormat="1" applyFill="1" applyAlignment="1">
      <alignment horizontal="center"/>
    </xf>
    <xf numFmtId="164" fontId="0" fillId="39" borderId="156" xfId="0" applyNumberFormat="1" applyFill="1" applyBorder="1" applyAlignment="1">
      <alignment horizontal="center"/>
    </xf>
    <xf numFmtId="164" fontId="2" fillId="39" borderId="157" xfId="0" applyNumberFormat="1" applyFont="1" applyFill="1" applyBorder="1" applyAlignment="1">
      <alignment horizontal="center"/>
    </xf>
    <xf numFmtId="14" fontId="0" fillId="39" borderId="157" xfId="0" applyNumberFormat="1" applyFill="1" applyBorder="1" applyAlignment="1">
      <alignment horizontal="center"/>
    </xf>
    <xf numFmtId="4" fontId="0" fillId="39" borderId="157" xfId="0" applyNumberFormat="1" applyFill="1" applyBorder="1" applyAlignment="1">
      <alignment horizontal="right" indent="1"/>
    </xf>
    <xf numFmtId="0" fontId="0" fillId="39" borderId="157" xfId="0" applyFill="1" applyBorder="1"/>
    <xf numFmtId="165" fontId="0" fillId="39" borderId="157" xfId="0" applyNumberFormat="1" applyFill="1" applyBorder="1"/>
    <xf numFmtId="165" fontId="0" fillId="39" borderId="157" xfId="0" applyNumberFormat="1" applyFill="1" applyBorder="1" applyAlignment="1">
      <alignment horizontal="center" shrinkToFit="1"/>
    </xf>
    <xf numFmtId="49" fontId="0" fillId="40" borderId="158" xfId="0" applyNumberFormat="1" applyFill="1" applyBorder="1"/>
    <xf numFmtId="164" fontId="0" fillId="0" borderId="0" xfId="0" applyNumberFormat="1" applyFont="1" applyAlignment="1">
      <alignment horizontal="center"/>
    </xf>
    <xf numFmtId="0" fontId="3" fillId="0" borderId="0" xfId="0" applyFont="1" applyAlignment="1">
      <alignment vertical="center" wrapText="1"/>
    </xf>
    <xf numFmtId="180" fontId="8" fillId="19" borderId="121" xfId="0" applyNumberFormat="1" applyFont="1" applyFill="1" applyBorder="1" applyAlignment="1">
      <alignment horizontal="right" vertical="center" indent="1"/>
    </xf>
    <xf numFmtId="0" fontId="0" fillId="0" borderId="143" xfId="0" applyBorder="1"/>
    <xf numFmtId="4" fontId="0" fillId="41" borderId="138" xfId="0" applyNumberFormat="1" applyFont="1" applyFill="1" applyBorder="1" applyAlignment="1">
      <alignment horizontal="right" indent="1"/>
    </xf>
    <xf numFmtId="180" fontId="8" fillId="42" borderId="33" xfId="0" applyNumberFormat="1" applyFont="1" applyFill="1" applyBorder="1" applyAlignment="1">
      <alignment horizontal="right" vertical="center" indent="1"/>
    </xf>
    <xf numFmtId="180" fontId="30" fillId="43" borderId="119" xfId="0" applyNumberFormat="1" applyFont="1" applyFill="1" applyBorder="1" applyAlignment="1">
      <alignment horizontal="right" vertical="center" indent="1"/>
    </xf>
    <xf numFmtId="180" fontId="8" fillId="44" borderId="120" xfId="0" applyNumberFormat="1" applyFont="1" applyFill="1" applyBorder="1" applyAlignment="1">
      <alignment horizontal="right" vertical="center" indent="1"/>
    </xf>
    <xf numFmtId="177" fontId="0" fillId="0" borderId="0" xfId="0" applyNumberFormat="1" applyAlignment="1">
      <alignment horizontal="left" indent="1"/>
    </xf>
    <xf numFmtId="3" fontId="16" fillId="0" borderId="0" xfId="0" applyNumberFormat="1" applyFont="1" applyBorder="1" applyAlignment="1">
      <alignment horizontal="right" vertical="top"/>
    </xf>
    <xf numFmtId="3" fontId="5" fillId="0" borderId="0" xfId="0" applyNumberFormat="1" applyFont="1" applyBorder="1" applyAlignment="1">
      <alignment shrinkToFit="1"/>
    </xf>
    <xf numFmtId="179" fontId="1" fillId="38" borderId="0" xfId="2" applyNumberFormat="1" applyFill="1" applyAlignment="1">
      <alignment horizontal="center" vertical="center"/>
    </xf>
    <xf numFmtId="3" fontId="0" fillId="0" borderId="0" xfId="0" applyNumberFormat="1" applyFont="1"/>
    <xf numFmtId="0" fontId="0" fillId="2" borderId="159" xfId="0" quotePrefix="1" applyFill="1" applyBorder="1" applyAlignment="1">
      <alignment horizontal="right"/>
    </xf>
    <xf numFmtId="0" fontId="0" fillId="2" borderId="160" xfId="0" applyFill="1" applyBorder="1" applyAlignment="1"/>
    <xf numFmtId="4" fontId="0" fillId="2" borderId="160" xfId="0" applyNumberFormat="1" applyFill="1" applyBorder="1"/>
    <xf numFmtId="4" fontId="0" fillId="2" borderId="161" xfId="0" applyNumberFormat="1" applyFill="1" applyBorder="1"/>
    <xf numFmtId="0" fontId="0" fillId="2" borderId="162" xfId="0" applyFill="1" applyBorder="1"/>
    <xf numFmtId="0" fontId="0" fillId="2" borderId="0" xfId="0" applyFill="1" applyBorder="1" applyAlignment="1">
      <alignment horizontal="left"/>
    </xf>
    <xf numFmtId="4" fontId="0" fillId="2" borderId="0" xfId="0" applyNumberFormat="1" applyFill="1" applyBorder="1"/>
    <xf numFmtId="4" fontId="0" fillId="2" borderId="163" xfId="0" applyNumberFormat="1" applyFill="1" applyBorder="1"/>
    <xf numFmtId="0" fontId="0" fillId="2" borderId="164" xfId="0" applyFill="1" applyBorder="1"/>
    <xf numFmtId="0" fontId="0" fillId="2" borderId="165" xfId="0" applyFill="1" applyBorder="1" applyAlignment="1"/>
    <xf numFmtId="4" fontId="0" fillId="2" borderId="165" xfId="0" applyNumberFormat="1" applyFill="1" applyBorder="1"/>
    <xf numFmtId="4" fontId="0" fillId="2" borderId="166" xfId="0" applyNumberFormat="1" applyFill="1" applyBorder="1"/>
  </cellXfs>
  <cellStyles count="4">
    <cellStyle name="Énfasis2" xfId="1" builtinId="33"/>
    <cellStyle name="Énfasis5" xfId="2" builtinId="45"/>
    <cellStyle name="Hyperlink" xfId="3"/>
    <cellStyle name="Normal" xfId="0" builtinId="0"/>
  </cellStyles>
  <dxfs count="866">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alignment wrapText="1" readingOrder="0"/>
    </dxf>
    <dxf>
      <border>
        <right style="thin">
          <color theme="0" tint="-0.34998626667073579"/>
        </right>
      </border>
    </dxf>
    <dxf>
      <alignment horizontal="center" readingOrder="0"/>
    </dxf>
    <dxf>
      <border>
        <right style="thin">
          <color theme="0" tint="-0.34998626667073579"/>
        </right>
      </border>
    </dxf>
    <dxf>
      <border>
        <right style="thin">
          <color theme="0" tint="-0.34998626667073579"/>
        </right>
      </border>
    </dxf>
    <dxf>
      <alignment horizontal="center" readingOrder="0"/>
    </dxf>
    <dxf>
      <border>
        <horizontal/>
      </border>
    </dxf>
    <dxf>
      <border>
        <left style="thin">
          <color theme="0" tint="-0.34998626667073579"/>
        </left>
      </border>
    </dxf>
    <dxf>
      <border>
        <left style="thin">
          <color theme="0" tint="-0.34998626667073579"/>
        </left>
      </border>
    </dxf>
    <dxf>
      <border>
        <left style="thin">
          <color theme="0" tint="-0.34998626667073579"/>
        </left>
      </border>
    </dxf>
    <dxf>
      <border>
        <right style="thin">
          <color theme="0" tint="-0.34998626667073579"/>
        </right>
      </border>
    </dxf>
    <dxf>
      <border>
        <bottom style="thin">
          <color theme="0" tint="-0.34998626667073579"/>
        </bottom>
        <vertical/>
      </border>
    </dxf>
    <dxf>
      <border>
        <vertical style="thin">
          <color theme="0" tint="-0.34998626667073579"/>
        </vertical>
      </border>
    </dxf>
    <dxf>
      <alignment horizontal="right" readingOrder="0"/>
    </dxf>
    <dxf>
      <alignment horizontal="right" readingOrder="0"/>
    </dxf>
    <dxf>
      <alignment wrapText="1" readingOrder="0"/>
    </dxf>
    <dxf>
      <alignment wrapText="1" readingOrder="0"/>
    </dxf>
    <dxf>
      <alignment wrapText="1" readingOrder="0"/>
    </dxf>
    <dxf>
      <numFmt numFmtId="179" formatCode="mmm\.\ yyyy"/>
    </dxf>
    <dxf>
      <numFmt numFmtId="179" formatCode="mmm\.\ yyyy"/>
    </dxf>
    <dxf>
      <numFmt numFmtId="173" formatCode="#,##0.00_ ;[Red]\-#,##0.00\ "/>
    </dxf>
    <dxf>
      <numFmt numFmtId="173" formatCode="#,##0.00_ ;[Red]\-#,##0.00\ "/>
    </dxf>
    <dxf>
      <numFmt numFmtId="173" formatCode="#,##0.00_ ;[Red]\-#,##0.00\ "/>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s-VE" sz="1400" b="1" i="0" u="none" strike="noStrike" kern="1200" spc="0" baseline="0">
                <a:solidFill>
                  <a:sysClr val="windowText" lastClr="000000">
                    <a:lumMod val="65000"/>
                    <a:lumOff val="35000"/>
                  </a:sysClr>
                </a:solidFill>
                <a:latin typeface="+mn-lt"/>
                <a:ea typeface="+mn-ea"/>
                <a:cs typeface="+mn-cs"/>
              </a:defRPr>
            </a:pPr>
            <a:r>
              <a:rPr lang="es-VE" sz="1400" b="1" i="0" u="none" strike="noStrike" kern="1200" spc="0" baseline="0">
                <a:solidFill>
                  <a:sysClr val="windowText" lastClr="000000">
                    <a:lumMod val="65000"/>
                    <a:lumOff val="35000"/>
                  </a:sysClr>
                </a:solidFill>
                <a:latin typeface="+mn-lt"/>
                <a:ea typeface="+mn-ea"/>
                <a:cs typeface="+mn-cs"/>
              </a:rPr>
              <a:t>Gestión de Cobranzas</a:t>
            </a:r>
          </a:p>
        </c:rich>
      </c:tx>
      <c:layout/>
      <c:overlay val="0"/>
      <c:spPr>
        <a:noFill/>
        <a:ln>
          <a:noFill/>
        </a:ln>
        <a:effectLst/>
      </c:spPr>
      <c:txPr>
        <a:bodyPr rot="0" spcFirstLastPara="1" vertOverflow="ellipsis" vert="horz" wrap="square" anchor="ctr" anchorCtr="1"/>
        <a:lstStyle/>
        <a:p>
          <a:pPr algn="ctr" rtl="0">
            <a:defRPr lang="es-VE" sz="1400" b="1" i="0" u="none" strike="noStrike" kern="1200" spc="0" baseline="0">
              <a:solidFill>
                <a:sysClr val="windowText" lastClr="000000">
                  <a:lumMod val="65000"/>
                  <a:lumOff val="35000"/>
                </a:sysClr>
              </a:solidFill>
              <a:latin typeface="+mn-lt"/>
              <a:ea typeface="+mn-ea"/>
              <a:cs typeface="+mn-cs"/>
            </a:defRPr>
          </a:pPr>
          <a:endParaRPr lang="es-VE"/>
        </a:p>
      </c:txPr>
    </c:title>
    <c:autoTitleDeleted val="0"/>
    <c:plotArea>
      <c:layout/>
      <c:lineChart>
        <c:grouping val="standard"/>
        <c:varyColors val="0"/>
        <c:ser>
          <c:idx val="1"/>
          <c:order val="0"/>
          <c:tx>
            <c:strRef>
              <c:f>Cobranzas!$V$2</c:f>
              <c:strCache>
                <c:ptCount val="1"/>
                <c:pt idx="0">
                  <c:v>mar.2020</c:v>
                </c:pt>
              </c:strCache>
            </c:strRef>
          </c:tx>
          <c:spPr>
            <a:ln w="41275" cap="rnd">
              <a:solidFill>
                <a:schemeClr val="accent2"/>
              </a:solidFill>
              <a:round/>
            </a:ln>
            <a:effectLst/>
          </c:spPr>
          <c:marker>
            <c:symbol val="none"/>
          </c:marker>
          <c:trendline>
            <c:spPr>
              <a:ln w="19050" cap="rnd">
                <a:solidFill>
                  <a:schemeClr val="accent2"/>
                </a:solidFill>
                <a:prstDash val="sysDot"/>
              </a:ln>
              <a:effectLst/>
            </c:spPr>
            <c:trendlineType val="linear"/>
            <c:dispRSqr val="0"/>
            <c:dispEq val="0"/>
          </c:trendline>
          <c:val>
            <c:numRef>
              <c:f>Cobranzas!$V$3:$V$33</c:f>
              <c:numCache>
                <c:formatCode>0.0%</c:formatCode>
                <c:ptCount val="31"/>
                <c:pt idx="0">
                  <c:v>0</c:v>
                </c:pt>
                <c:pt idx="1">
                  <c:v>0</c:v>
                </c:pt>
                <c:pt idx="2">
                  <c:v>9.6487439181809159E-2</c:v>
                </c:pt>
                <c:pt idx="3">
                  <c:v>0.26022490318736968</c:v>
                </c:pt>
                <c:pt idx="4">
                  <c:v>0.33380250223413765</c:v>
                </c:pt>
                <c:pt idx="5">
                  <c:v>0.44913365107735082</c:v>
                </c:pt>
                <c:pt idx="6">
                  <c:v>0.47646460133055307</c:v>
                </c:pt>
                <c:pt idx="7">
                  <c:v>0.513253400853937</c:v>
                </c:pt>
                <c:pt idx="8">
                  <c:v>0.53962764372952032</c:v>
                </c:pt>
                <c:pt idx="9">
                  <c:v>0.57639161950153894</c:v>
                </c:pt>
                <c:pt idx="10">
                  <c:v>0.61318041902492293</c:v>
                </c:pt>
                <c:pt idx="11">
                  <c:v>0.65989871909442943</c:v>
                </c:pt>
                <c:pt idx="12">
                  <c:v>0.71530533214179315</c:v>
                </c:pt>
                <c:pt idx="13">
                  <c:v>0.71530533214179315</c:v>
                </c:pt>
                <c:pt idx="14">
                  <c:v>0.73369973190348514</c:v>
                </c:pt>
                <c:pt idx="15">
                  <c:v>0.75216860291927301</c:v>
                </c:pt>
                <c:pt idx="16">
                  <c:v>0.75216860291927301</c:v>
                </c:pt>
                <c:pt idx="17">
                  <c:v>0.75216860291927301</c:v>
                </c:pt>
                <c:pt idx="18">
                  <c:v>0.77063747393506088</c:v>
                </c:pt>
                <c:pt idx="19">
                  <c:v>0.8272852745506899</c:v>
                </c:pt>
                <c:pt idx="20">
                  <c:v>0.8272852745506899</c:v>
                </c:pt>
                <c:pt idx="21">
                  <c:v>0.84567967431238189</c:v>
                </c:pt>
                <c:pt idx="22">
                  <c:v>#N/A</c:v>
                </c:pt>
                <c:pt idx="23">
                  <c:v>#N/A</c:v>
                </c:pt>
                <c:pt idx="24">
                  <c:v>#N/A</c:v>
                </c:pt>
                <c:pt idx="25">
                  <c:v>#N/A</c:v>
                </c:pt>
                <c:pt idx="26">
                  <c:v>#N/A</c:v>
                </c:pt>
                <c:pt idx="27">
                  <c:v>#N/A</c:v>
                </c:pt>
                <c:pt idx="28">
                  <c:v>#N/A</c:v>
                </c:pt>
                <c:pt idx="29">
                  <c:v>#N/A</c:v>
                </c:pt>
                <c:pt idx="30">
                  <c:v>#N/A</c:v>
                </c:pt>
              </c:numCache>
            </c:numRef>
          </c:val>
          <c:smooth val="0"/>
          <c:extLst xmlns:c16r2="http://schemas.microsoft.com/office/drawing/2015/06/chart">
            <c:ext xmlns:c16="http://schemas.microsoft.com/office/drawing/2014/chart" uri="{C3380CC4-5D6E-409C-BE32-E72D297353CC}">
              <c16:uniqueId val="{00000000-D068-2349-8814-D70DFC8BAEA5}"/>
            </c:ext>
          </c:extLst>
        </c:ser>
        <c:ser>
          <c:idx val="0"/>
          <c:order val="1"/>
          <c:tx>
            <c:strRef>
              <c:f>Cobranzas!$U$2</c:f>
              <c:strCache>
                <c:ptCount val="1"/>
                <c:pt idx="0">
                  <c:v>Promedio 5 últimos meses</c:v>
                </c:pt>
              </c:strCache>
            </c:strRef>
          </c:tx>
          <c:spPr>
            <a:ln w="41275" cap="rnd">
              <a:solidFill>
                <a:schemeClr val="accent1"/>
              </a:solidFill>
              <a:round/>
            </a:ln>
            <a:effectLst/>
          </c:spPr>
          <c:marker>
            <c:symbol val="none"/>
          </c:marker>
          <c:val>
            <c:numRef>
              <c:f>Cobranzas!$U$3:$U$33</c:f>
              <c:numCache>
                <c:formatCode>0.0%</c:formatCode>
                <c:ptCount val="31"/>
                <c:pt idx="0">
                  <c:v>8.0748566733500504E-2</c:v>
                </c:pt>
                <c:pt idx="1">
                  <c:v>0.12581073123267322</c:v>
                </c:pt>
                <c:pt idx="2">
                  <c:v>0.17921940178587173</c:v>
                </c:pt>
                <c:pt idx="3">
                  <c:v>0.25400395785644264</c:v>
                </c:pt>
                <c:pt idx="4">
                  <c:v>0.32622153658894554</c:v>
                </c:pt>
                <c:pt idx="5">
                  <c:v>0.41006040157792845</c:v>
                </c:pt>
                <c:pt idx="6">
                  <c:v>0.4681850276876009</c:v>
                </c:pt>
                <c:pt idx="7">
                  <c:v>0.49539333640842698</c:v>
                </c:pt>
                <c:pt idx="8">
                  <c:v>0.54439745822015184</c:v>
                </c:pt>
                <c:pt idx="9">
                  <c:v>0.59122713152657358</c:v>
                </c:pt>
                <c:pt idx="10">
                  <c:v>0.72752491292998012</c:v>
                </c:pt>
                <c:pt idx="11">
                  <c:v>0.74710784149221543</c:v>
                </c:pt>
                <c:pt idx="12">
                  <c:v>0.79441311447622809</c:v>
                </c:pt>
                <c:pt idx="13">
                  <c:v>0.8019403872035008</c:v>
                </c:pt>
                <c:pt idx="14">
                  <c:v>0.8257530128127526</c:v>
                </c:pt>
                <c:pt idx="15">
                  <c:v>0.84386870142361547</c:v>
                </c:pt>
                <c:pt idx="16">
                  <c:v>0.8731853860190455</c:v>
                </c:pt>
                <c:pt idx="17">
                  <c:v>0.88083140703834562</c:v>
                </c:pt>
                <c:pt idx="18">
                  <c:v>0.90346890362240084</c:v>
                </c:pt>
                <c:pt idx="19">
                  <c:v>0.92882033931830443</c:v>
                </c:pt>
                <c:pt idx="20">
                  <c:v>0.98074828106487077</c:v>
                </c:pt>
                <c:pt idx="21">
                  <c:v>1.0231178228303626</c:v>
                </c:pt>
                <c:pt idx="22">
                  <c:v>1.0817750865440723</c:v>
                </c:pt>
                <c:pt idx="23">
                  <c:v>1.1076495954961929</c:v>
                </c:pt>
                <c:pt idx="24">
                  <c:v>1.1231477204450644</c:v>
                </c:pt>
                <c:pt idx="25">
                  <c:v>1.1567459790961379</c:v>
                </c:pt>
                <c:pt idx="26">
                  <c:v>1.1821849719130868</c:v>
                </c:pt>
                <c:pt idx="27">
                  <c:v>1.209603989614678</c:v>
                </c:pt>
                <c:pt idx="28">
                  <c:v>1.2798262924430259</c:v>
                </c:pt>
                <c:pt idx="29">
                  <c:v>1.3509860984777489</c:v>
                </c:pt>
                <c:pt idx="30">
                  <c:v>1.365095972101503</c:v>
                </c:pt>
              </c:numCache>
            </c:numRef>
          </c:val>
          <c:smooth val="0"/>
          <c:extLst xmlns:c16r2="http://schemas.microsoft.com/office/drawing/2015/06/chart">
            <c:ext xmlns:c16="http://schemas.microsoft.com/office/drawing/2014/chart" uri="{C3380CC4-5D6E-409C-BE32-E72D297353CC}">
              <c16:uniqueId val="{00000001-D068-2349-8814-D70DFC8BAEA5}"/>
            </c:ext>
          </c:extLst>
        </c:ser>
        <c:ser>
          <c:idx val="2"/>
          <c:order val="2"/>
          <c:tx>
            <c:strRef>
              <c:f>Cobranzas!$W$2</c:f>
              <c:strCache>
                <c:ptCount val="1"/>
                <c:pt idx="0">
                  <c:v>Pago Vigilantes</c:v>
                </c:pt>
              </c:strCache>
            </c:strRef>
          </c:tx>
          <c:spPr>
            <a:ln w="19050" cap="rnd">
              <a:solidFill>
                <a:schemeClr val="accent3"/>
              </a:solidFill>
              <a:round/>
            </a:ln>
            <a:effectLst/>
          </c:spPr>
          <c:marker>
            <c:symbol val="none"/>
          </c:marker>
          <c:val>
            <c:numRef>
              <c:f>Cobranzas!$W$3:$W$33</c:f>
              <c:numCache>
                <c:formatCode>0.0%</c:formatCode>
                <c:ptCount val="3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smooth val="0"/>
          <c:extLst xmlns:c16r2="http://schemas.microsoft.com/office/drawing/2015/06/chart">
            <c:ext xmlns:c16="http://schemas.microsoft.com/office/drawing/2014/chart" uri="{C3380CC4-5D6E-409C-BE32-E72D297353CC}">
              <c16:uniqueId val="{00000002-D068-2349-8814-D70DFC8BAEA5}"/>
            </c:ext>
          </c:extLst>
        </c:ser>
        <c:dLbls>
          <c:showLegendKey val="0"/>
          <c:showVal val="0"/>
          <c:showCatName val="0"/>
          <c:showSerName val="0"/>
          <c:showPercent val="0"/>
          <c:showBubbleSize val="0"/>
        </c:dLbls>
        <c:smooth val="0"/>
        <c:axId val="359050592"/>
        <c:axId val="359052552"/>
      </c:lineChart>
      <c:catAx>
        <c:axId val="359050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359052552"/>
        <c:crosses val="autoZero"/>
        <c:auto val="1"/>
        <c:lblAlgn val="ctr"/>
        <c:lblOffset val="100"/>
        <c:tickLblSkip val="1"/>
        <c:noMultiLvlLbl val="0"/>
      </c:catAx>
      <c:valAx>
        <c:axId val="35905255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Cobertura de Pago de Vigilantes, Pasivos</a:t>
                </a:r>
                <a:r>
                  <a:rPr lang="en-US" baseline="0"/>
                  <a:t> </a:t>
                </a:r>
                <a:r>
                  <a:rPr lang="en-US"/>
                  <a:t>y Consumibles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VE"/>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35905059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V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aseline="0">
                <a:solidFill>
                  <a:sysClr val="windowText" lastClr="000000"/>
                </a:solidFill>
              </a:rPr>
              <a:t>Cuotas equivalentes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s-VE"/>
        </a:p>
      </c:txPr>
    </c:title>
    <c:autoTitleDeleted val="0"/>
    <c:plotArea>
      <c:layout/>
      <c:barChart>
        <c:barDir val="col"/>
        <c:grouping val="clustered"/>
        <c:varyColors val="0"/>
        <c:ser>
          <c:idx val="0"/>
          <c:order val="0"/>
          <c:tx>
            <c:strRef>
              <c:f>Cobranzas!$AA$2</c:f>
              <c:strCache>
                <c:ptCount val="1"/>
                <c:pt idx="0">
                  <c:v>100% eqv.</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s-V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Cobranzas!$Z$3:$Z$15</c:f>
              <c:numCache>
                <c:formatCode>[$-C0A]mmmyyyy;@</c:formatCode>
                <c:ptCount val="13"/>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numCache>
            </c:numRef>
          </c:cat>
          <c:val>
            <c:numRef>
              <c:f>Cobranzas!$AA$3:$AA$15</c:f>
              <c:numCache>
                <c:formatCode>#,##0</c:formatCode>
                <c:ptCount val="13"/>
                <c:pt idx="0">
                  <c:v>81.238516666666669</c:v>
                </c:pt>
                <c:pt idx="1">
                  <c:v>78.426000000000002</c:v>
                </c:pt>
                <c:pt idx="2">
                  <c:v>79.122500000000002</c:v>
                </c:pt>
                <c:pt idx="3">
                  <c:v>80.704999999999998</c:v>
                </c:pt>
                <c:pt idx="4">
                  <c:v>80.95</c:v>
                </c:pt>
                <c:pt idx="5">
                  <c:v>80.94</c:v>
                </c:pt>
                <c:pt idx="6">
                  <c:v>83.164875482625476</c:v>
                </c:pt>
                <c:pt idx="7">
                  <c:v>78.368935323383084</c:v>
                </c:pt>
                <c:pt idx="8">
                  <c:v>111.65960275019098</c:v>
                </c:pt>
                <c:pt idx="9">
                  <c:v>75.060474802165757</c:v>
                </c:pt>
                <c:pt idx="10">
                  <c:v>76.013648596693585</c:v>
                </c:pt>
                <c:pt idx="11">
                  <c:v>71.812703119266061</c:v>
                </c:pt>
                <c:pt idx="12">
                  <c:v>40.930310391363022</c:v>
                </c:pt>
              </c:numCache>
            </c:numRef>
          </c:val>
          <c:extLst xmlns:c16r2="http://schemas.microsoft.com/office/drawing/2015/06/chart">
            <c:ext xmlns:c16="http://schemas.microsoft.com/office/drawing/2014/chart" uri="{C3380CC4-5D6E-409C-BE32-E72D297353CC}">
              <c16:uniqueId val="{00000000-96F4-264C-82B5-A47F2444F5CA}"/>
            </c:ext>
          </c:extLst>
        </c:ser>
        <c:dLbls>
          <c:showLegendKey val="0"/>
          <c:showVal val="0"/>
          <c:showCatName val="0"/>
          <c:showSerName val="0"/>
          <c:showPercent val="0"/>
          <c:showBubbleSize val="0"/>
        </c:dLbls>
        <c:gapWidth val="219"/>
        <c:overlap val="-27"/>
        <c:axId val="359050984"/>
        <c:axId val="359053336"/>
      </c:barChart>
      <c:lineChart>
        <c:grouping val="standard"/>
        <c:varyColors val="0"/>
        <c:ser>
          <c:idx val="1"/>
          <c:order val="1"/>
          <c:tx>
            <c:strRef>
              <c:f>Cobranzas!$AB$2</c:f>
              <c:strCache>
                <c:ptCount val="1"/>
                <c:pt idx="0">
                  <c:v>Promedio últimos 12 meses = 81; actual = 41</c:v>
                </c:pt>
              </c:strCache>
            </c:strRef>
          </c:tx>
          <c:spPr>
            <a:ln w="19050" cap="rnd">
              <a:solidFill>
                <a:schemeClr val="accent2"/>
              </a:solidFill>
              <a:round/>
            </a:ln>
            <a:effectLst/>
          </c:spPr>
          <c:marker>
            <c:symbol val="none"/>
          </c:marker>
          <c:cat>
            <c:numRef>
              <c:f>Cobranzas!$Z$3:$Z$15</c:f>
              <c:numCache>
                <c:formatCode>[$-C0A]mmmyyyy;@</c:formatCode>
                <c:ptCount val="13"/>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numCache>
            </c:numRef>
          </c:cat>
          <c:val>
            <c:numRef>
              <c:f>Cobranzas!$AB$3:$AB$15</c:f>
              <c:numCache>
                <c:formatCode>0</c:formatCode>
                <c:ptCount val="13"/>
                <c:pt idx="0">
                  <c:v>81.455188061749297</c:v>
                </c:pt>
                <c:pt idx="1">
                  <c:v>81.455188061749297</c:v>
                </c:pt>
                <c:pt idx="2">
                  <c:v>81.455188061749297</c:v>
                </c:pt>
                <c:pt idx="3">
                  <c:v>81.455188061749297</c:v>
                </c:pt>
                <c:pt idx="4">
                  <c:v>81.455188061749297</c:v>
                </c:pt>
                <c:pt idx="5">
                  <c:v>81.455188061749297</c:v>
                </c:pt>
                <c:pt idx="6">
                  <c:v>81.455188061749297</c:v>
                </c:pt>
                <c:pt idx="7">
                  <c:v>81.455188061749297</c:v>
                </c:pt>
                <c:pt idx="8">
                  <c:v>81.455188061749297</c:v>
                </c:pt>
                <c:pt idx="9">
                  <c:v>81.455188061749297</c:v>
                </c:pt>
                <c:pt idx="10">
                  <c:v>81.455188061749297</c:v>
                </c:pt>
                <c:pt idx="11">
                  <c:v>81.455188061749297</c:v>
                </c:pt>
                <c:pt idx="12">
                  <c:v>81.455188061749297</c:v>
                </c:pt>
              </c:numCache>
            </c:numRef>
          </c:val>
          <c:smooth val="0"/>
          <c:extLst xmlns:c16r2="http://schemas.microsoft.com/office/drawing/2015/06/chart">
            <c:ext xmlns:c16="http://schemas.microsoft.com/office/drawing/2014/chart" uri="{C3380CC4-5D6E-409C-BE32-E72D297353CC}">
              <c16:uniqueId val="{00000001-96F4-264C-82B5-A47F2444F5CA}"/>
            </c:ext>
          </c:extLst>
        </c:ser>
        <c:ser>
          <c:idx val="2"/>
          <c:order val="2"/>
          <c:tx>
            <c:strRef>
              <c:f>Cobranzas!$AC$2</c:f>
              <c:strCache>
                <c:ptCount val="1"/>
                <c:pt idx="0">
                  <c:v>Pto.Equilibrio = 55 familias</c:v>
                </c:pt>
              </c:strCache>
            </c:strRef>
          </c:tx>
          <c:spPr>
            <a:ln w="15875" cap="rnd">
              <a:solidFill>
                <a:srgbClr val="FFC000"/>
              </a:solidFill>
              <a:prstDash val="dash"/>
              <a:round/>
            </a:ln>
            <a:effectLst/>
          </c:spPr>
          <c:marker>
            <c:symbol val="none"/>
          </c:marker>
          <c:cat>
            <c:numRef>
              <c:f>Cobranzas!$Z$3:$Z$15</c:f>
              <c:numCache>
                <c:formatCode>[$-C0A]mmmyyyy;@</c:formatCode>
                <c:ptCount val="13"/>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numCache>
            </c:numRef>
          </c:cat>
          <c:val>
            <c:numRef>
              <c:f>Cobranzas!$AC$3:$AC$15</c:f>
              <c:numCache>
                <c:formatCode>General</c:formatCode>
                <c:ptCount val="13"/>
                <c:pt idx="0">
                  <c:v>55</c:v>
                </c:pt>
                <c:pt idx="1">
                  <c:v>55</c:v>
                </c:pt>
                <c:pt idx="2">
                  <c:v>55</c:v>
                </c:pt>
                <c:pt idx="3">
                  <c:v>55</c:v>
                </c:pt>
                <c:pt idx="4">
                  <c:v>55</c:v>
                </c:pt>
                <c:pt idx="5">
                  <c:v>55</c:v>
                </c:pt>
                <c:pt idx="6">
                  <c:v>55</c:v>
                </c:pt>
                <c:pt idx="7">
                  <c:v>55</c:v>
                </c:pt>
                <c:pt idx="8">
                  <c:v>55</c:v>
                </c:pt>
                <c:pt idx="9">
                  <c:v>55</c:v>
                </c:pt>
                <c:pt idx="10">
                  <c:v>55</c:v>
                </c:pt>
                <c:pt idx="11">
                  <c:v>55</c:v>
                </c:pt>
                <c:pt idx="12">
                  <c:v>55</c:v>
                </c:pt>
              </c:numCache>
            </c:numRef>
          </c:val>
          <c:smooth val="0"/>
          <c:extLst xmlns:c16r2="http://schemas.microsoft.com/office/drawing/2015/06/chart">
            <c:ext xmlns:c16="http://schemas.microsoft.com/office/drawing/2014/chart" uri="{C3380CC4-5D6E-409C-BE32-E72D297353CC}">
              <c16:uniqueId val="{00000000-227A-1C4F-9AF3-3D5FF15905D5}"/>
            </c:ext>
          </c:extLst>
        </c:ser>
        <c:dLbls>
          <c:showLegendKey val="0"/>
          <c:showVal val="0"/>
          <c:showCatName val="0"/>
          <c:showSerName val="0"/>
          <c:showPercent val="0"/>
          <c:showBubbleSize val="0"/>
        </c:dLbls>
        <c:marker val="1"/>
        <c:smooth val="0"/>
        <c:axId val="359050984"/>
        <c:axId val="359053336"/>
      </c:lineChart>
      <c:dateAx>
        <c:axId val="359050984"/>
        <c:scaling>
          <c:orientation val="minMax"/>
        </c:scaling>
        <c:delete val="0"/>
        <c:axPos val="b"/>
        <c:numFmt formatCode="[$-C0A]mmm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359053336"/>
        <c:crosses val="autoZero"/>
        <c:auto val="1"/>
        <c:lblOffset val="100"/>
        <c:baseTimeUnit val="months"/>
      </c:dateAx>
      <c:valAx>
        <c:axId val="3590533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359050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legend>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s-V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135467</xdr:colOff>
      <xdr:row>0</xdr:row>
      <xdr:rowOff>35983</xdr:rowOff>
    </xdr:from>
    <xdr:to>
      <xdr:col>10</xdr:col>
      <xdr:colOff>345016</xdr:colOff>
      <xdr:row>18</xdr:row>
      <xdr:rowOff>150283</xdr:rowOff>
    </xdr:to>
    <xdr:graphicFrame macro="">
      <xdr:nvGraphicFramePr>
        <xdr:cNvPr id="6" name="Gráfico 5">
          <a:extLst>
            <a:ext uri="{FF2B5EF4-FFF2-40B4-BE49-F238E27FC236}">
              <a16:creationId xmlns:a16="http://schemas.microsoft.com/office/drawing/2014/main" xmlns=""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707144</xdr:colOff>
      <xdr:row>1</xdr:row>
      <xdr:rowOff>33177</xdr:rowOff>
    </xdr:from>
    <xdr:to>
      <xdr:col>6</xdr:col>
      <xdr:colOff>351664</xdr:colOff>
      <xdr:row>2</xdr:row>
      <xdr:rowOff>100231</xdr:rowOff>
    </xdr:to>
    <xdr:sp macro="" textlink="B2">
      <xdr:nvSpPr>
        <xdr:cNvPr id="2" name="CuadroTexto 1">
          <a:extLst>
            <a:ext uri="{FF2B5EF4-FFF2-40B4-BE49-F238E27FC236}">
              <a16:creationId xmlns:a16="http://schemas.microsoft.com/office/drawing/2014/main" xmlns="" id="{00000000-0008-0000-0400-000002000000}"/>
            </a:ext>
          </a:extLst>
        </xdr:cNvPr>
        <xdr:cNvSpPr txBox="1"/>
      </xdr:nvSpPr>
      <xdr:spPr>
        <a:xfrm>
          <a:off x="2548644" y="276594"/>
          <a:ext cx="1591853" cy="25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49D2B3A-1B19-4DBD-8208-11CF4A69FC42}" type="TxLink">
            <a:rPr lang="en-US" sz="1050" b="0" i="1" u="none" strike="noStrike" baseline="0">
              <a:solidFill>
                <a:srgbClr val="595959"/>
              </a:solidFill>
              <a:latin typeface="+mn-lt"/>
              <a:cs typeface="Calibri"/>
            </a:rPr>
            <a:pPr algn="ctr"/>
            <a:t>al 22 mar. 2020</a:t>
          </a:fld>
          <a:endParaRPr lang="es-VE" sz="1050" i="1" baseline="0">
            <a:solidFill>
              <a:srgbClr val="595959"/>
            </a:solidFill>
            <a:latin typeface="+mn-lt"/>
          </a:endParaRPr>
        </a:p>
      </xdr:txBody>
    </xdr:sp>
    <xdr:clientData/>
  </xdr:twoCellAnchor>
  <xdr:twoCellAnchor>
    <xdr:from>
      <xdr:col>3</xdr:col>
      <xdr:colOff>426416</xdr:colOff>
      <xdr:row>13</xdr:row>
      <xdr:rowOff>136250</xdr:rowOff>
    </xdr:from>
    <xdr:to>
      <xdr:col>10</xdr:col>
      <xdr:colOff>273923</xdr:colOff>
      <xdr:row>15</xdr:row>
      <xdr:rowOff>20200</xdr:rowOff>
    </xdr:to>
    <xdr:sp macro="" textlink="$B$18">
      <xdr:nvSpPr>
        <xdr:cNvPr id="3" name="CuadroTexto 2">
          <a:extLst>
            <a:ext uri="{FF2B5EF4-FFF2-40B4-BE49-F238E27FC236}">
              <a16:creationId xmlns:a16="http://schemas.microsoft.com/office/drawing/2014/main" xmlns="" id="{00000000-0008-0000-0400-000003000000}"/>
            </a:ext>
          </a:extLst>
        </xdr:cNvPr>
        <xdr:cNvSpPr txBox="1"/>
      </xdr:nvSpPr>
      <xdr:spPr>
        <a:xfrm>
          <a:off x="2267916" y="2665667"/>
          <a:ext cx="4250174" cy="264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6E7B2C0F-0945-4223-A46E-A3F32FAD52D5}" type="TxLink">
            <a:rPr lang="en-US" sz="1100" b="0" i="0" u="none" strike="noStrike" baseline="0">
              <a:solidFill>
                <a:srgbClr val="595959"/>
              </a:solidFill>
              <a:latin typeface="Calibri"/>
              <a:cs typeface="Calibri"/>
            </a:rPr>
            <a:pPr algn="r"/>
            <a:t>Recaudado: Bs. 8.516.840 (85% del estimado)</a:t>
          </a:fld>
          <a:endParaRPr lang="es-VE" sz="1100" baseline="0">
            <a:solidFill>
              <a:srgbClr val="595959"/>
            </a:solidFill>
          </a:endParaRPr>
        </a:p>
      </xdr:txBody>
    </xdr:sp>
    <xdr:clientData/>
  </xdr:twoCellAnchor>
  <xdr:twoCellAnchor>
    <xdr:from>
      <xdr:col>0</xdr:col>
      <xdr:colOff>142874</xdr:colOff>
      <xdr:row>19</xdr:row>
      <xdr:rowOff>56091</xdr:rowOff>
    </xdr:from>
    <xdr:to>
      <xdr:col>10</xdr:col>
      <xdr:colOff>352424</xdr:colOff>
      <xdr:row>33</xdr:row>
      <xdr:rowOff>132291</xdr:rowOff>
    </xdr:to>
    <xdr:grpSp>
      <xdr:nvGrpSpPr>
        <xdr:cNvPr id="4" name="Grupo 3">
          <a:extLst>
            <a:ext uri="{FF2B5EF4-FFF2-40B4-BE49-F238E27FC236}">
              <a16:creationId xmlns:a16="http://schemas.microsoft.com/office/drawing/2014/main" xmlns="" id="{00000000-0008-0000-0400-000004000000}"/>
            </a:ext>
          </a:extLst>
        </xdr:cNvPr>
        <xdr:cNvGrpSpPr/>
      </xdr:nvGrpSpPr>
      <xdr:grpSpPr>
        <a:xfrm>
          <a:off x="142874" y="3688882"/>
          <a:ext cx="6456178" cy="2712188"/>
          <a:chOff x="142874" y="3728508"/>
          <a:chExt cx="6453717" cy="2743200"/>
        </a:xfrm>
      </xdr:grpSpPr>
      <xdr:graphicFrame macro="">
        <xdr:nvGraphicFramePr>
          <xdr:cNvPr id="7" name="Gráfico 6">
            <a:extLst>
              <a:ext uri="{FF2B5EF4-FFF2-40B4-BE49-F238E27FC236}">
                <a16:creationId xmlns:a16="http://schemas.microsoft.com/office/drawing/2014/main" xmlns="" id="{00000000-0008-0000-0400-000007000000}"/>
              </a:ext>
              <a:ext uri="{147F2762-F138-4A5C-976F-8EAC2B608ADB}">
                <a16:predDERef xmlns:a16="http://schemas.microsoft.com/office/drawing/2014/main" xmlns="" pred="{00000000-0008-0000-0200-000004000000}"/>
              </a:ext>
            </a:extLst>
          </xdr:cNvPr>
          <xdr:cNvGraphicFramePr>
            <a:graphicFrameLocks/>
          </xdr:cNvGraphicFramePr>
        </xdr:nvGraphicFramePr>
        <xdr:xfrm>
          <a:off x="142874" y="3728508"/>
          <a:ext cx="6453717" cy="2743200"/>
        </xdr:xfrm>
        <a:graphic>
          <a:graphicData uri="http://schemas.openxmlformats.org/drawingml/2006/chart">
            <c:chart xmlns:c="http://schemas.openxmlformats.org/drawingml/2006/chart" xmlns:r="http://schemas.openxmlformats.org/officeDocument/2006/relationships" r:id="rId2"/>
          </a:graphicData>
        </a:graphic>
      </xdr:graphicFrame>
      <xdr:sp macro="" textlink="B2">
        <xdr:nvSpPr>
          <xdr:cNvPr id="8" name="CuadroTexto 7">
            <a:extLst>
              <a:ext uri="{FF2B5EF4-FFF2-40B4-BE49-F238E27FC236}">
                <a16:creationId xmlns:a16="http://schemas.microsoft.com/office/drawing/2014/main" xmlns="" id="{00000000-0008-0000-0400-000008000000}"/>
              </a:ext>
            </a:extLst>
          </xdr:cNvPr>
          <xdr:cNvSpPr txBox="1"/>
        </xdr:nvSpPr>
        <xdr:spPr>
          <a:xfrm>
            <a:off x="2552880" y="3963821"/>
            <a:ext cx="1591853" cy="25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49D2B3A-1B19-4DBD-8208-11CF4A69FC42}" type="TxLink">
              <a:rPr lang="en-US" sz="1050" b="0" i="1" u="none" strike="noStrike" baseline="0">
                <a:solidFill>
                  <a:srgbClr val="595959"/>
                </a:solidFill>
                <a:latin typeface="+mn-lt"/>
                <a:cs typeface="Calibri"/>
              </a:rPr>
              <a:pPr algn="ctr"/>
              <a:t>al 22 mar. 2020</a:t>
            </a:fld>
            <a:endParaRPr lang="es-VE" sz="1050" i="1" baseline="0">
              <a:solidFill>
                <a:srgbClr val="595959"/>
              </a:solidFill>
              <a:latin typeface="+mn-lt"/>
            </a:endParaRPr>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Colosso" refreshedDate="43699.834664236114" createdVersion="5" refreshedVersion="5" minRefreshableVersion="3" recordCount="1994">
  <cacheSource type="worksheet">
    <worksheetSource ref="A1:Q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08">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s v="Familia Navarrete Medina"/>
        <s v="Familia Alonso Rojas"/>
        <s v="Familia Jiménez de Avila"/>
        <s v="Familia Romero"/>
        <s v="Familia Ozar Rivero"/>
        <s v="Familia Costermani Terrer"/>
        <s v="Isbeth Palacios"/>
        <s v="Carmen Moreno"/>
        <s v="Familia Civitico Rueda"/>
        <s v="Familia Acevedo"/>
        <s v="Wilson Escamilla"/>
        <s v="Judith Lazo"/>
        <s v="Familia Abbinante Pinto"/>
        <s v="Familia Calzadilla Trujillo"/>
        <s v="Andrea Valor"/>
        <s v="Familia Soto Urdaneta"/>
        <m u="1"/>
        <s v="Familia Kabblan Sarmiento" u="1"/>
        <s v="Familia Kabblan" u="1"/>
        <s v="Familia Acosta" u="1"/>
        <s v="Familia Kattar" u="1"/>
        <s v="Franco Gómez" u="1"/>
        <s v="Manuel Rodríguez" u="1"/>
        <s v="Ely Saúl Rivero Gómez, C.I 18.448.557"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Excel Services" refreshedDate="43891.727225347226" createdVersion="5" refreshedVersion="6" minRefreshableVersion="3" recordCount="2771">
  <cacheSource type="worksheet">
    <worksheetSource ref="A1:Q1048576" sheet="Vigilancia"/>
  </cacheSource>
  <cacheFields count="17">
    <cacheField name="Nro. Recibo" numFmtId="164">
      <sharedItems containsString="0" containsBlank="1" containsNumber="1" containsInteger="1" minValue="1" maxValue="2770"/>
    </cacheField>
    <cacheField name="Generar" numFmtId="0">
      <sharedItems containsNonDate="0" containsString="0" containsBlank="1"/>
    </cacheField>
    <cacheField name="Enviado" numFmtId="164">
      <sharedItems containsBlank="1" count="3">
        <s v="ü"/>
        <s v="û"/>
        <m/>
      </sharedItems>
    </cacheField>
    <cacheField name="Fecha" numFmtId="14">
      <sharedItems containsNonDate="0" containsDate="1" containsString="0" containsBlank="1" minDate="2016-12-09T00:00:00" maxDate="2020-03-01T00:00:00"/>
    </cacheField>
    <cacheField name="Monto" numFmtId="4">
      <sharedItems containsString="0" containsBlank="1" containsNumber="1" minValue="1.4999999999999999E-2" maxValue="2387000"/>
    </cacheField>
    <cacheField name="Beneficiario" numFmtId="0">
      <sharedItems containsBlank="1"/>
    </cacheField>
    <cacheField name="E-mail o celular" numFmtId="0">
      <sharedItems containsBlank="1"/>
    </cacheField>
    <cacheField name="Dirección" numFmtId="0">
      <sharedItems containsBlank="1"/>
    </cacheField>
    <cacheField name="Concepto" numFmtId="0">
      <sharedItems containsBlank="1"/>
    </cacheField>
    <cacheField name="Categoría" numFmtId="165">
      <sharedItems containsBlank="1" count="17">
        <s v="Vigilancia"/>
        <s v="Anticipo"/>
        <s v="Control"/>
        <s v="ANULADO"/>
        <s v="Reja CC"/>
        <s v="Logo"/>
        <s v="DONACION"/>
        <s v="Otros"/>
        <s v="Caseta Vigilancia"/>
        <s v="Comida Vigilantes"/>
        <s v="Reparación Portón"/>
        <s v="Reparación Portón 2"/>
        <s v="REVERSADO"/>
        <s v="Aporte caseta"/>
        <s v="SOLVENTE"/>
        <m/>
        <s v="REVERTIDO" u="1"/>
      </sharedItems>
    </cacheField>
    <cacheField name="Shared Link" numFmtId="49">
      <sharedItems containsBlank="1"/>
    </cacheField>
    <cacheField name="Recibo (ed)" numFmtId="165">
      <sharedItems containsBlank="1"/>
    </cacheField>
    <cacheField name="Fecha (ed)" numFmtId="165">
      <sharedItems containsBlank="1"/>
    </cacheField>
    <cacheField name="Día" numFmtId="0">
      <sharedItems containsString="0" containsBlank="1" containsNumber="1" containsInteger="1" minValue="0" maxValue="31"/>
    </cacheField>
    <cacheField name="Mes" numFmtId="167">
      <sharedItems containsNonDate="0" containsDate="1" containsString="0" containsBlank="1" minDate="1899-12-31T00:00:00" maxDate="2020-12-02T00:00:00" count="42">
        <d v="2016-12-01T00:00:00"/>
        <d v="2017-01-01T00:00:00"/>
        <d v="2017-02-01T00:00:00"/>
        <d v="2017-03-01T00:00:00"/>
        <d v="2017-04-01T00:00:00"/>
        <d v="2017-05-01T00:00:00"/>
        <d v="1899-12-31T00:00:00"/>
        <d v="2017-06-01T00:00:00"/>
        <d v="2017-07-01T00:00:00"/>
        <d v="2017-08-01T00:00:00"/>
        <d v="2017-09-01T00:00:00"/>
        <d v="2017-10-01T00:00:00"/>
        <d v="2017-11-01T00:00:00"/>
        <d v="2017-12-01T00:00:00"/>
        <d v="2018-01-01T00:00:00"/>
        <d v="2018-02-01T00:00:00"/>
        <d v="2018-03-01T00:00:00"/>
        <d v="2018-04-01T00:00:00"/>
        <d v="2018-05-01T00:00:00"/>
        <d v="2018-06-01T00:00:00"/>
        <d v="2018-07-01T00:00:00"/>
        <d v="2018-08-01T00:00:00"/>
        <d v="2018-09-01T00:00:00"/>
        <d v="2018-10-01T00:00:00"/>
        <d v="2018-11-01T00:00:00"/>
        <d v="2018-12-01T00:00:00"/>
        <d v="2019-01-01T00:00:00"/>
        <d v="2019-02-01T00:00:00"/>
        <d v="2019-03-01T00:00:00"/>
        <d v="2019-04-01T00:00:00"/>
        <d v="2019-05-01T00:00:00"/>
        <d v="2019-06-01T00:00:00"/>
        <d v="2019-07-01T00:00:00"/>
        <d v="2019-08-01T00:00:00"/>
        <d v="2019-09-01T00:00:00"/>
        <d v="2019-10-01T00:00:00"/>
        <d v="2019-11-01T00:00:00"/>
        <d v="2019-12-01T00:00:00"/>
        <d v="2020-01-01T00:00:00"/>
        <d v="2020-02-01T00:00:00"/>
        <m/>
        <d v="2020-12-01T00:00:00" u="1"/>
      </sharedItems>
    </cacheField>
    <cacheField name="Monto (ed)" numFmtId="165">
      <sharedItems containsBlank="1"/>
    </cacheField>
    <cacheField name="Monto en letra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s v="Cero Bolívares con 10/100"/>
  </r>
  <r>
    <n v="2"/>
    <m/>
    <s v="ü"/>
    <d v="2016-12-13T00:00:00"/>
    <n v="0.105"/>
    <x v="1"/>
    <x v="1"/>
    <s v="Calle Güigüe Nro. 88-44"/>
    <s v="Anticipo Vigilancia, mes de Enero 2017"/>
    <s v="Vigilancia"/>
    <s v="https://drive.google.com/open?id=0ByOb8wNqoBtVWTdmYzQ4N0NUQ3c"/>
    <s v="00002"/>
    <s v="13 de Diciembre de 2016"/>
    <n v="13"/>
    <d v="2016-12-01T00:00:00"/>
    <s v="0,11"/>
    <s v="Cero Bolívares con 10/100"/>
  </r>
  <r>
    <n v="3"/>
    <m/>
    <s v="ü"/>
    <d v="2016-12-20T00:00:00"/>
    <n v="4.4999999999999998E-2"/>
    <x v="2"/>
    <x v="2"/>
    <s v="Calle Guacara Nro. 88-19"/>
    <s v="Anticipo Vigilancia, mes de Enero 2017"/>
    <s v="Vigilancia"/>
    <s v="https://drive.google.com/open?id=0ByOb8wNqoBtVZU5vcE5wOUtYRVU"/>
    <s v="00003"/>
    <s v="20 de Diciembre de 2016"/>
    <n v="20"/>
    <d v="2016-12-01T00:00:00"/>
    <s v="0,05"/>
    <s v="Cero Bolívares con 04/100"/>
  </r>
  <r>
    <n v="4"/>
    <m/>
    <s v="ü"/>
    <d v="2017-01-02T00:00:00"/>
    <n v="0.105"/>
    <x v="3"/>
    <x v="3"/>
    <s v="Calle Güigüe Nro. 88-62"/>
    <s v="Anticipo Vigilancia, mes de Enero 2017"/>
    <s v="Vigilancia"/>
    <s v="https://drive.google.com/open?id=0ByOb8wNqoBtVbnMxZWNSWHF3WlU"/>
    <s v="00004"/>
    <s v="02 de Enero de 2017"/>
    <n v="2"/>
    <d v="2017-01-01T00:00:00"/>
    <s v="0,11"/>
    <s v="Cero Bolívares con 10/100"/>
  </r>
  <r>
    <n v="5"/>
    <m/>
    <s v="ü"/>
    <d v="2017-01-06T00:00:00"/>
    <n v="0.105"/>
    <x v="4"/>
    <x v="4"/>
    <s v="Calle Güigüe Nro. 89-55"/>
    <s v="Anticipo Vigilancia, mes de Enero 2017"/>
    <s v="Vigilancia"/>
    <s v="https://drive.google.com/open?id=0ByOb8wNqoBtVcm9mb2w4S1F3N1k"/>
    <s v="00005"/>
    <s v="06 de Enero de 2017"/>
    <n v="6"/>
    <d v="2017-01-01T00:00:00"/>
    <s v="0,11"/>
    <s v="Cero Bolívares con 10/100"/>
  </r>
  <r>
    <n v="6"/>
    <m/>
    <s v="ü"/>
    <d v="2017-01-07T00:00:00"/>
    <n v="0.105"/>
    <x v="5"/>
    <x v="5"/>
    <s v="Calle Güigüe Nro. 88-120"/>
    <s v="Anticipo Vigilancia, mes de Enero 2017"/>
    <s v="Vigilancia"/>
    <s v="https://drive.google.com/open?id=0ByOb8wNqoBtVM1MzMzhjNmMzeEE"/>
    <s v="00006"/>
    <s v="07 de Enero de 2017"/>
    <n v="7"/>
    <d v="2017-01-01T00:00:00"/>
    <s v="0,11"/>
    <s v="Cero Bolívares con 10/100"/>
  </r>
  <r>
    <n v="7"/>
    <m/>
    <s v="ü"/>
    <d v="2017-01-10T00:00:00"/>
    <n v="0.1"/>
    <x v="6"/>
    <x v="6"/>
    <s v="Calle Guacara Nro. 89-60"/>
    <s v="Anticipo Vigilancia, mes de Enero 2017"/>
    <s v="Vigilancia"/>
    <s v="https://drive.google.com/open?id=0ByOb8wNqoBtVUmlGT0tPUnR5WU0"/>
    <s v="00007"/>
    <s v="10 de Enero de 2017"/>
    <n v="10"/>
    <d v="2017-01-01T00:00:00"/>
    <s v="0,10"/>
    <s v="Cero Bolívares con 10/100"/>
  </r>
  <r>
    <n v="8"/>
    <m/>
    <s v="ü"/>
    <d v="2017-01-11T00:00:00"/>
    <n v="0.05"/>
    <x v="7"/>
    <x v="7"/>
    <s v="Calle Guacara Nro. 87-86"/>
    <s v="Colaboración Vigilancia, mes de Enero 2017"/>
    <s v="Vigilancia"/>
    <s v="https://drive.google.com/open?id=0ByOb8wNqoBtVb0Z2TFRxN0pyLTA"/>
    <s v="00008"/>
    <s v="11 de Enero de 2017"/>
    <n v="11"/>
    <d v="2017-01-01T00:00:00"/>
    <s v="0,05"/>
    <s v="Cero Bolívares con 05/100"/>
  </r>
  <r>
    <n v="9"/>
    <m/>
    <s v="ü"/>
    <d v="2017-01-11T00:00:00"/>
    <n v="0.105"/>
    <x v="8"/>
    <x v="8"/>
    <s v="Calle Guacara Nro. 90-51"/>
    <s v="Anticipo Vigilancia, mes de Enero 2017"/>
    <s v="Vigilancia"/>
    <s v="https://drive.google.com/open?id=0ByOb8wNqoBtVRXNhMmNDZkI0eVE"/>
    <s v="00009"/>
    <s v="11 de Enero de 2017"/>
    <n v="11"/>
    <d v="2017-01-01T00:00:00"/>
    <s v="0,11"/>
    <s v="Cero Bolívares con 10/100"/>
  </r>
  <r>
    <n v="10"/>
    <m/>
    <s v="ü"/>
    <d v="2017-01-15T00:00:00"/>
    <n v="0.12"/>
    <x v="9"/>
    <x v="9"/>
    <s v="Av. &quot;M&quot; Nro. 146-30"/>
    <s v="Cancelación Vigilancia, mes de Enero 2017"/>
    <s v="Vigilancia"/>
    <s v="https://drive.google.com/open?id=0ByOb8wNqoBtVRDZWQUxwZm43cUU"/>
    <s v="00010"/>
    <s v="15 de Enero de 2017"/>
    <n v="15"/>
    <d v="2017-01-01T00:00:00"/>
    <s v="0,12"/>
    <s v="Cero Bolívares con 12/100"/>
  </r>
  <r>
    <n v="11"/>
    <m/>
    <s v="ü"/>
    <d v="2017-01-13T00:00:00"/>
    <n v="0.105"/>
    <x v="10"/>
    <x v="10"/>
    <s v="Av. &quot;M&quot; Nro. 146-15"/>
    <s v="Anticipo Vigilancia, mes de Enero 2017"/>
    <s v="Vigilancia"/>
    <s v="https://drive.google.com/open?id=0ByOb8wNqoBtVc1BVRG1xMDFyck0"/>
    <s v="00011"/>
    <s v="13 de Enero de 2017"/>
    <n v="13"/>
    <d v="2017-01-01T00:00:00"/>
    <s v="0,11"/>
    <s v="Cero Bolívares con 10/100"/>
  </r>
  <r>
    <n v="12"/>
    <m/>
    <s v="ü"/>
    <d v="2017-01-15T00:00:00"/>
    <n v="0.105"/>
    <x v="11"/>
    <x v="11"/>
    <s v="Calle Guacara Nro. 89-86"/>
    <s v="Anticipo Vigilancia, mes de Enero 2017"/>
    <s v="Vigilancia"/>
    <s v="https://drive.google.com/open?id=0ByOb8wNqoBtVLTlZOGVxSlVYV0U"/>
    <s v="00012"/>
    <s v="15 de Enero de 2017"/>
    <n v="15"/>
    <d v="2017-01-01T00:00:00"/>
    <s v="0,11"/>
    <s v="Cero Bolívares con 10/100"/>
  </r>
  <r>
    <n v="13"/>
    <m/>
    <s v="ü"/>
    <d v="2017-01-19T00:00:00"/>
    <n v="0.105"/>
    <x v="12"/>
    <x v="12"/>
    <s v="Calle Guacara Nro. 89-20"/>
    <s v="Anticipo Vigilancia, mes de Enero 2017"/>
    <s v="Vigilancia"/>
    <s v="https://drive.google.com/open?id=0ByOb8wNqoBtVQzNkS1BObWJDMWs"/>
    <s v="00013"/>
    <s v="19 de Enero de 2017"/>
    <n v="19"/>
    <d v="2017-01-01T00:00:00"/>
    <s v="0,11"/>
    <s v="Cero Bolívares con 10/100"/>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s v="Cero Bolívares con 04/100"/>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s v="Cero Bolívares con 06/100"/>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s v="Cero Bolívares con 06/100"/>
  </r>
  <r>
    <n v="17"/>
    <m/>
    <s v="ü"/>
    <d v="2017-01-20T00:00:00"/>
    <n v="0.17"/>
    <x v="14"/>
    <x v="13"/>
    <s v="Calle Güigüe Nro. 89-83"/>
    <s v="Cancelación Vigilancia, mes de Enero 2017"/>
    <s v="Vigilancia"/>
    <s v="https://drive.google.com/open?id=0ByOb8wNqoBtVbmVRMlBsVFN0b0U"/>
    <s v="00017"/>
    <s v="20 de Enero de 2017"/>
    <n v="20"/>
    <d v="2017-01-01T00:00:00"/>
    <s v="0,17"/>
    <s v="Cero Bolívares con 17/100"/>
  </r>
  <r>
    <n v="18"/>
    <m/>
    <s v="ü"/>
    <d v="2017-01-20T00:00:00"/>
    <n v="0.06"/>
    <x v="15"/>
    <x v="14"/>
    <s v="Calle Guacara Nro. 89-94"/>
    <s v="Colaboración Vigilancia, mes de Enero 2017"/>
    <s v="Vigilancia"/>
    <s v="https://drive.google.com/open?id=0ByOb8wNqoBtVQW1LSko5bFZRUUE"/>
    <s v="00018"/>
    <s v="20 de Enero de 2017"/>
    <n v="20"/>
    <d v="2017-01-01T00:00:00"/>
    <s v="0,06"/>
    <s v="Cero Bolívares con 06/100"/>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s v="Cero Bolívares con 06/100"/>
  </r>
  <r>
    <n v="20"/>
    <m/>
    <s v="ü"/>
    <d v="2017-01-24T00:00:00"/>
    <n v="0.1"/>
    <x v="2"/>
    <x v="2"/>
    <s v="Calle Guacara Nro. 88-19"/>
    <s v="Anticipo Vigilancia, mes de Enero 2017"/>
    <s v="Vigilancia"/>
    <s v="https://drive.google.com/open?id=0ByOb8wNqoBtVTU4tNjBsajdQRDQ"/>
    <s v="00020"/>
    <s v="24 de Enero de 2017"/>
    <n v="24"/>
    <d v="2017-01-01T00:00:00"/>
    <s v="0,10"/>
    <s v="Cero Bolívares con 10/100"/>
  </r>
  <r>
    <n v="21"/>
    <m/>
    <s v="ü"/>
    <d v="2017-01-24T00:00:00"/>
    <n v="0.17"/>
    <x v="16"/>
    <x v="15"/>
    <s v="Calle Guacara Nro. 90-81"/>
    <s v="Cancelación Vigilancia, mes de Enero 2017"/>
    <s v="Vigilancia"/>
    <s v="https://drive.google.com/open?id=0ByOb8wNqoBtVS3l5VmhmSjFmSVU"/>
    <s v="00021"/>
    <s v="24 de Enero de 2017"/>
    <n v="24"/>
    <d v="2017-01-01T00:00:00"/>
    <s v="0,17"/>
    <s v="Cero Bolívares con 17/100"/>
  </r>
  <r>
    <n v="22"/>
    <m/>
    <s v="ü"/>
    <d v="2017-01-25T00:00:00"/>
    <n v="0.02"/>
    <x v="17"/>
    <x v="16"/>
    <s v="Av. &quot;M&quot; Nro. 146-20"/>
    <s v="Colaboración Vigilancia, mes de Enero 2017"/>
    <s v="Vigilancia"/>
    <s v="https://drive.google.com/open?id=0ByOb8wNqoBtVWUo3dWpkTk55NmM"/>
    <s v="00022"/>
    <s v="25 de Enero de 2017"/>
    <n v="25"/>
    <d v="2017-01-01T00:00:00"/>
    <s v="0,02"/>
    <s v="Cero Bolívares con 02/100"/>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s v="Cero Bolívares con 06/100"/>
  </r>
  <r>
    <n v="24"/>
    <m/>
    <s v="ü"/>
    <d v="2017-01-25T00:00:00"/>
    <n v="0.17"/>
    <x v="18"/>
    <x v="16"/>
    <s v="Calle Guacara Nro. 87-100"/>
    <s v="Cancelación Vigilancia, mes de Enero 2017"/>
    <s v="Vigilancia"/>
    <s v="https://drive.google.com/open?id=0ByOb8wNqoBtVYlZIVVZKODlkY2s"/>
    <s v="00024"/>
    <s v="25 de Enero de 2017"/>
    <n v="25"/>
    <d v="2017-01-01T00:00:00"/>
    <s v="0,17"/>
    <s v="Cero Bolívares con 17/100"/>
  </r>
  <r>
    <n v="25"/>
    <m/>
    <s v="ü"/>
    <d v="2017-01-26T00:00:00"/>
    <n v="0.17"/>
    <x v="19"/>
    <x v="17"/>
    <s v="Calle Guacara Nro. 89-130"/>
    <s v="Cancelación Vigilancia, mes de Enero 2017"/>
    <s v="Vigilancia"/>
    <s v="https://drive.google.com/open?id=0ByOb8wNqoBtVOGxVVDBFdjFoOEE"/>
    <s v="00025"/>
    <s v="26 de Enero de 2017"/>
    <n v="26"/>
    <d v="2017-01-01T00:00:00"/>
    <s v="0,17"/>
    <s v="Cero Bolívares con 17/100"/>
  </r>
  <r>
    <n v="26"/>
    <m/>
    <s v="ü"/>
    <d v="2017-01-27T00:00:00"/>
    <n v="0.17"/>
    <x v="20"/>
    <x v="18"/>
    <s v="Calle Guacara Nro. 89-30"/>
    <s v="Cancelación Vigilancia, mes de Enero 2017"/>
    <s v="Vigilancia"/>
    <s v="https://drive.google.com/open?id=0ByOb8wNqoBtVWWhHMFRzN19FMkE"/>
    <s v="00026"/>
    <s v="27 de Enero de 2017"/>
    <n v="27"/>
    <d v="2017-01-01T00:00:00"/>
    <s v="0,17"/>
    <s v="Cero Bolívares con 17/100"/>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s v="Cero Bolívares con 06/100"/>
  </r>
  <r>
    <n v="28"/>
    <m/>
    <s v="ü"/>
    <d v="2017-01-30T00:00:00"/>
    <n v="7.4880000000000002E-2"/>
    <x v="4"/>
    <x v="4"/>
    <s v="Calle Güigüe Nro. 89-55"/>
    <s v="Anticipo Vigilancia, mes de Febrero 2017"/>
    <s v="Vigilancia"/>
    <s v="https://drive.google.com/open?id=0ByOb8wNqoBtVMWUwa3dUWW1rNjg"/>
    <s v="00028"/>
    <s v="30 de Enero de 2017"/>
    <n v="30"/>
    <d v="2017-01-01T00:00:00"/>
    <s v="0,07"/>
    <s v="Cero Bolívares con 07/100"/>
  </r>
  <r>
    <n v="29"/>
    <m/>
    <s v="ü"/>
    <d v="2017-01-31T00:00:00"/>
    <n v="0.17"/>
    <x v="21"/>
    <x v="19"/>
    <s v="Calle Güigüe Nro. 89-105"/>
    <s v="Cancelación Vigilancia, mes de Enero 2017"/>
    <s v="Vigilancia"/>
    <s v="https://drive.google.com/open?id=0ByOb8wNqoBtVTFo0NGg5NmJjTWM"/>
    <s v="00029"/>
    <s v="31 de Enero de 2017"/>
    <n v="31"/>
    <d v="2017-01-01T00:00:00"/>
    <s v="0,17"/>
    <s v="Cero Bolívares con 17/100"/>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s v="Cero Bolívares con 08/100"/>
  </r>
  <r>
    <n v="31"/>
    <m/>
    <s v="ü"/>
    <d v="2017-02-01T00:00:00"/>
    <n v="0.17"/>
    <x v="23"/>
    <x v="21"/>
    <s v="Calle Güigüe Nro. 88-116"/>
    <s v="Cancelación Vigilancia, mes de Enero 2017"/>
    <s v="Vigilancia"/>
    <s v="https://drive.google.com/open?id=0ByOb8wNqoBtVZWtLcEtyMWxfV28"/>
    <s v="00031"/>
    <s v="01 de Febrero de 2017"/>
    <n v="1"/>
    <d v="2017-02-01T00:00:00"/>
    <s v="0,17"/>
    <s v="Cero Bolívares con 17/100"/>
  </r>
  <r>
    <n v="32"/>
    <m/>
    <s v="ü"/>
    <d v="2017-02-01T00:00:00"/>
    <n v="0.17"/>
    <x v="24"/>
    <x v="22"/>
    <s v="Calle Güigüe Nro. 88-54"/>
    <s v="Cancelación Vigilancia, mes de Enero 2017"/>
    <s v="Vigilancia"/>
    <s v="https://drive.google.com/open?id=0ByOb8wNqoBtVYzd4OGlhTTFJTlU"/>
    <s v="00032"/>
    <s v="01 de Febrero de 2017"/>
    <n v="1"/>
    <d v="2017-02-01T00:00:00"/>
    <s v="0,17"/>
    <s v="Cero Bolívares con 17/100"/>
  </r>
  <r>
    <n v="33"/>
    <m/>
    <s v="ü"/>
    <d v="2017-02-01T00:00:00"/>
    <n v="0.105"/>
    <x v="25"/>
    <x v="23"/>
    <s v="Calle Güigüe Nro. 88-58"/>
    <s v="Colaboración Vigilancia, mes de Enero 2017"/>
    <s v="Vigilancia"/>
    <s v="https://drive.google.com/open?id=0ByOb8wNqoBtVclJQNllLdEJPQXc"/>
    <s v="00033"/>
    <s v="01 de Febrero de 2017"/>
    <n v="1"/>
    <d v="2017-02-01T00:00:00"/>
    <s v="0,11"/>
    <s v="Cero Bolívares con 10/100"/>
  </r>
  <r>
    <n v="34"/>
    <m/>
    <s v="ü"/>
    <d v="2017-02-02T00:00:00"/>
    <n v="0.17"/>
    <x v="26"/>
    <x v="24"/>
    <s v="Calle Güigüe Nro. 89-96"/>
    <s v="Cancelación Vigilancia, mes de Enero 2017"/>
    <s v="Vigilancia"/>
    <s v="https://drive.google.com/open?id=0ByOb8wNqoBtVbTczRzFtWnRLVDg"/>
    <s v="00034"/>
    <s v="02 de Febrero de 2017"/>
    <n v="2"/>
    <d v="2017-02-01T00:00:00"/>
    <s v="0,17"/>
    <s v="Cero Bolívares con 17/100"/>
  </r>
  <r>
    <n v="35"/>
    <m/>
    <s v="ü"/>
    <d v="2017-02-02T00:00:00"/>
    <n v="0.17"/>
    <x v="27"/>
    <x v="25"/>
    <s v="Calle Güigüe Nro. 89-106"/>
    <s v="Cancelación Vigilancia, mes de Enero 2017"/>
    <s v="Vigilancia"/>
    <s v="https://drive.google.com/open?id=0ByOb8wNqoBtVempWaXRRMXprTkE"/>
    <s v="00035"/>
    <s v="02 de Febrero de 2017"/>
    <n v="2"/>
    <d v="2017-02-01T00:00:00"/>
    <s v="0,17"/>
    <s v="Cero Bolívares con 17/100"/>
  </r>
  <r>
    <n v="36"/>
    <m/>
    <s v="ü"/>
    <d v="2017-02-02T00:00:00"/>
    <n v="0.17"/>
    <x v="6"/>
    <x v="6"/>
    <s v="Calle Guacara Nro. 89-60"/>
    <s v="Cancelación Vigilancia, mes de Febrero 2017"/>
    <s v="Vigilancia"/>
    <s v="https://drive.google.com/open?id=0ByOb8wNqoBtVQm9MS3FaU19uRDQ"/>
    <s v="00036"/>
    <s v="02 de Febrero de 2017"/>
    <n v="2"/>
    <d v="2017-02-01T00:00:00"/>
    <s v="0,17"/>
    <s v="Cero Bolívares con 17/100"/>
  </r>
  <r>
    <n v="37"/>
    <m/>
    <s v="ü"/>
    <d v="2017-02-02T00:00:00"/>
    <n v="0.03"/>
    <x v="28"/>
    <x v="26"/>
    <s v="Calle Güigüe Nro. 88-30"/>
    <s v="Colaboración Vigilancia, mes de Enero 2017"/>
    <s v="Vigilancia"/>
    <s v="https://drive.google.com/open?id=0ByOb8wNqoBtVamduZWo4ZThvSUE"/>
    <s v="00037"/>
    <s v="02 de Febrero de 2017"/>
    <n v="2"/>
    <d v="2017-02-01T00:00:00"/>
    <s v="0,03"/>
    <s v="Cero Bolívares con 03/100"/>
  </r>
  <r>
    <n v="38"/>
    <m/>
    <s v="ü"/>
    <d v="2017-02-03T00:00:00"/>
    <n v="0.17"/>
    <x v="29"/>
    <x v="27"/>
    <s v="Calle Guacara Nro. 88-75"/>
    <s v="Cancelación Vigilancia, mes de Enero 2017"/>
    <s v="Vigilancia"/>
    <s v="https://drive.google.com/open?id=0ByOb8wNqoBtVZVhicDRZalZyTVk"/>
    <s v="00038"/>
    <s v="03 de Febrero de 2017"/>
    <n v="3"/>
    <d v="2017-02-01T00:00:00"/>
    <s v="0,17"/>
    <s v="Cero Bolívares con 17/100"/>
  </r>
  <r>
    <n v="39"/>
    <m/>
    <s v="ü"/>
    <d v="2017-02-03T00:00:00"/>
    <n v="0.17"/>
    <x v="30"/>
    <x v="28"/>
    <s v="Calle Güigüe Nro. 89-04"/>
    <s v="Cancelación Vigilancia, mes de Enero 2017"/>
    <s v="Vigilancia"/>
    <s v="https://drive.google.com/open?id=0ByOb8wNqoBtVS2lTMnE2M0UzVW8"/>
    <s v="00039"/>
    <s v="03 de Febrero de 2017"/>
    <n v="3"/>
    <d v="2017-02-01T00:00:00"/>
    <s v="0,17"/>
    <s v="Cero Bolívares con 17/100"/>
  </r>
  <r>
    <n v="40"/>
    <m/>
    <s v="ü"/>
    <d v="2017-02-04T00:00:00"/>
    <n v="9.5119999999999996E-2"/>
    <x v="4"/>
    <x v="4"/>
    <s v="Calle Güigüe Nro. 89-55"/>
    <s v="Cancelación saldo Vigilancia, mes de Febrero 2017"/>
    <s v="Vigilancia"/>
    <s v="https://drive.google.com/open?id=0ByOb8wNqoBtVT1Qzd0hkN1g1OWs"/>
    <s v="00040"/>
    <s v="04 de Febrero de 2017"/>
    <n v="4"/>
    <d v="2017-02-01T00:00:00"/>
    <s v="0,10"/>
    <s v="Cero Bolívares con 10/100"/>
  </r>
  <r>
    <n v="41"/>
    <m/>
    <s v="ü"/>
    <d v="2017-02-05T00:00:00"/>
    <n v="0.05"/>
    <x v="7"/>
    <x v="7"/>
    <s v="Calle Guacara Nro. 87-86"/>
    <s v="Colaboración Vigilancia, mes de Febrero 2017"/>
    <s v="Vigilancia"/>
    <s v="https://drive.google.com/open?id=0ByOb8wNqoBtVVktmTlFfRDdlUGM"/>
    <s v="00041"/>
    <s v="05 de Febrero de 2017"/>
    <n v="5"/>
    <d v="2017-02-01T00:00:00"/>
    <s v="0,05"/>
    <s v="Cero Bolívares con 05/100"/>
  </r>
  <r>
    <n v="42"/>
    <m/>
    <s v="ü"/>
    <d v="2017-02-05T00:00:00"/>
    <n v="0.04"/>
    <x v="15"/>
    <x v="14"/>
    <s v="Calle Guacara Nro. 89-94"/>
    <s v="Colaboración Vigilancia, mes de Enero 2017"/>
    <s v="Vigilancia"/>
    <s v="https://drive.google.com/open?id=0ByOb8wNqoBtVNXZxU2VEOEt0RlU"/>
    <s v="00042"/>
    <s v="05 de Febrero de 2017"/>
    <n v="5"/>
    <d v="2017-02-01T00:00:00"/>
    <s v="0,04"/>
    <s v="Cero Bolívares con 04/100"/>
  </r>
  <r>
    <n v="43"/>
    <m/>
    <s v="ü"/>
    <d v="2017-02-07T00:00:00"/>
    <n v="0.17"/>
    <x v="1"/>
    <x v="1"/>
    <s v="Calle Güigüe Nro. 88-44"/>
    <s v="Cancelación Vigilancia, mes de Febrero 2017"/>
    <s v="Vigilancia"/>
    <s v="https://drive.google.com/open?id=0ByOb8wNqoBtVUUtRcEp5REVFOUk"/>
    <s v="00043"/>
    <s v="07 de Febrero de 2017"/>
    <n v="7"/>
    <d v="2017-02-01T00:00:00"/>
    <s v="0,17"/>
    <s v="Cero Bolívares con 17/100"/>
  </r>
  <r>
    <n v="44"/>
    <m/>
    <s v="ü"/>
    <d v="2017-02-08T00:00:00"/>
    <n v="0.17"/>
    <x v="31"/>
    <x v="29"/>
    <s v="Calle Güigüe Nro. 89-95"/>
    <s v="Cancelación Vigilancia, mes de Enero 2017"/>
    <s v="Vigilancia"/>
    <s v="https://drive.google.com/open?id=0ByOb8wNqoBtVaDZDQ2JQMkRIWjQ"/>
    <s v="00044"/>
    <s v="08 de Febrero de 2017"/>
    <n v="8"/>
    <d v="2017-02-01T00:00:00"/>
    <s v="0,17"/>
    <s v="Cero Bolívares con 17/100"/>
  </r>
  <r>
    <n v="45"/>
    <m/>
    <s v="ü"/>
    <d v="2017-02-08T00:00:00"/>
    <n v="0.12"/>
    <x v="31"/>
    <x v="29"/>
    <s v="Calle Güigüe Nro. 89-95"/>
    <s v="Anticipo Vigilancia, mes de Febrero 2017"/>
    <s v="Vigilancia"/>
    <s v="https://drive.google.com/open?id=0ByOb8wNqoBtVRDFXdWdqZF81b28"/>
    <s v="00045"/>
    <s v="08 de Febrero de 2017"/>
    <n v="8"/>
    <d v="2017-02-01T00:00:00"/>
    <s v="0,12"/>
    <s v="Cero Bolívares con 12/100"/>
  </r>
  <r>
    <n v="46"/>
    <m/>
    <s v="ü"/>
    <d v="2017-02-08T00:00:00"/>
    <n v="0.17"/>
    <x v="32"/>
    <x v="30"/>
    <s v="Calle Güigüe Nro. 89-120"/>
    <s v="Cancelación Vigilancia, mes de Enero 2017"/>
    <s v="Vigilancia"/>
    <s v="https://drive.google.com/open?id=0ByOb8wNqoBtVT0ZSd3ZWTVMybFE"/>
    <s v="00046"/>
    <s v="08 de Febrero de 2017"/>
    <n v="8"/>
    <d v="2017-02-01T00:00:00"/>
    <s v="0,17"/>
    <s v="Cero Bolívares con 17/100"/>
  </r>
  <r>
    <n v="47"/>
    <m/>
    <s v="ü"/>
    <d v="2017-02-08T00:00:00"/>
    <n v="0.02"/>
    <x v="33"/>
    <x v="9"/>
    <s v="Calle Güigüe Nro. 88-110"/>
    <s v="Colaboración Vigilancia, mes de Enero 2017"/>
    <s v="Vigilancia"/>
    <s v="https://drive.google.com/open?id=0ByOb8wNqoBtVTGt0X2pvUXozaEU"/>
    <s v="00047"/>
    <s v="08 de Febrero de 2017"/>
    <n v="8"/>
    <d v="2017-02-01T00:00:00"/>
    <s v="0,02"/>
    <s v="Cero Bolívares con 02/100"/>
  </r>
  <r>
    <n v="48"/>
    <m/>
    <s v="ü"/>
    <d v="2017-02-08T00:00:00"/>
    <n v="0.03"/>
    <x v="28"/>
    <x v="26"/>
    <s v="Calle Güigüe Nro. 88-30"/>
    <s v="Colaboración Vigilancia, mes de Febrero 2017"/>
    <s v="Vigilancia"/>
    <s v="https://drive.google.com/open?id=0ByOb8wNqoBtVb0pxcE91dkRwNUk"/>
    <s v="00048"/>
    <s v="08 de Febrero de 2017"/>
    <n v="8"/>
    <d v="2017-02-01T00:00:00"/>
    <s v="0,03"/>
    <s v="Cero Bolívares con 03/100"/>
  </r>
  <r>
    <n v="49"/>
    <m/>
    <s v="ü"/>
    <d v="2017-02-08T00:00:00"/>
    <n v="0.17"/>
    <x v="16"/>
    <x v="15"/>
    <s v="Calle Guacara Nro. 90-81"/>
    <s v="Cancelación Vigilancia, mes de Febrero 2017"/>
    <s v="Vigilancia"/>
    <s v="https://drive.google.com/open?id=0ByOb8wNqoBtVb1VuTmFjUDNaME0"/>
    <s v="00049"/>
    <s v="08 de Febrero de 2017"/>
    <n v="8"/>
    <d v="2017-02-01T00:00:00"/>
    <s v="0,17"/>
    <s v="Cero Bolívares con 17/100"/>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s v="Cero Bolívares con 04/100"/>
  </r>
  <r>
    <n v="51"/>
    <m/>
    <s v="ü"/>
    <d v="2017-02-09T00:00:00"/>
    <n v="0.105"/>
    <x v="34"/>
    <x v="31"/>
    <s v="Av. &quot;O&quot; Nro. 146-11"/>
    <s v="Colaboración Vigilancia, mes de Enero 2017"/>
    <s v="Vigilancia"/>
    <s v="https://drive.google.com/open?id=0ByOb8wNqoBtVN3BPaFhSVWZpTms"/>
    <s v="00051"/>
    <s v="09 de Febrero de 2017"/>
    <n v="9"/>
    <d v="2017-02-01T00:00:00"/>
    <s v="0,11"/>
    <s v="Cero Bolívares con 10/100"/>
  </r>
  <r>
    <n v="52"/>
    <m/>
    <s v="ü"/>
    <d v="2017-02-09T00:00:00"/>
    <n v="0.1"/>
    <x v="35"/>
    <x v="32"/>
    <s v="Calle Güigüe Nro. 89-80"/>
    <s v="Colaboración Vigilancia, mes de Enero 2017"/>
    <s v="Vigilancia"/>
    <s v="https://drive.google.com/open?id=0ByOb8wNqoBtVdzdwOHk0RlotOEE"/>
    <s v="00052"/>
    <s v="09 de Febrero de 2017"/>
    <n v="9"/>
    <d v="2017-02-01T00:00:00"/>
    <s v="0,10"/>
    <s v="Cero Bolívares con 10/100"/>
  </r>
  <r>
    <n v="53"/>
    <m/>
    <s v="ü"/>
    <d v="2017-02-11T00:00:00"/>
    <n v="0.17"/>
    <x v="36"/>
    <x v="33"/>
    <s v="Calle Güigüe Nro. 89-10"/>
    <s v="Cancelación Vigilancia, mes de Enero 2017"/>
    <s v="Vigilancia"/>
    <s v="https://drive.google.com/open?id=0ByOb8wNqoBtVYlNEMFVTUC1EUjg"/>
    <s v="00053"/>
    <s v="11 de Febrero de 2017"/>
    <n v="11"/>
    <d v="2017-02-01T00:00:00"/>
    <s v="0,17"/>
    <s v="Cero Bolívares con 17/100"/>
  </r>
  <r>
    <n v="54"/>
    <m/>
    <s v="ü"/>
    <d v="2017-02-12T00:00:00"/>
    <n v="0.17"/>
    <x v="14"/>
    <x v="13"/>
    <s v="Calle Güigüe Nro. 89-83"/>
    <s v="Cancelación Vigilancia, mes de Febrero 2017"/>
    <s v="Vigilancia"/>
    <s v="https://drive.google.com/open?id=0ByOb8wNqoBtVWnlXMTFuSzA5dm8"/>
    <s v="00054"/>
    <s v="12 de Febrero de 2017"/>
    <n v="12"/>
    <d v="2017-02-01T00:00:00"/>
    <s v="0,17"/>
    <s v="Cero Bolívares con 17/100"/>
  </r>
  <r>
    <n v="55"/>
    <m/>
    <s v="ü"/>
    <d v="2017-02-12T00:00:00"/>
    <n v="0.17"/>
    <x v="11"/>
    <x v="11"/>
    <s v="Calle Guacara Nro. 89-86"/>
    <s v="Cancelación Vigilancia, mes de Febrero 2017"/>
    <s v="Vigilancia"/>
    <s v="https://drive.google.com/open?id=0ByOb8wNqoBtVR3NHX2RBVHdMRUE"/>
    <s v="00055"/>
    <s v="12 de Febrero de 2017"/>
    <n v="12"/>
    <d v="2017-02-01T00:00:00"/>
    <s v="0,17"/>
    <s v="Cero Bolívares con 17/100"/>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s v="Cero Bolívares con 02/100"/>
  </r>
  <r>
    <n v="57"/>
    <m/>
    <s v="ü"/>
    <d v="2017-02-13T00:00:00"/>
    <n v="0.1"/>
    <x v="15"/>
    <x v="14"/>
    <s v="Calle Guacara Nro. 89-94"/>
    <s v="Colaboración Vigilancia, mes de Febrero 2017"/>
    <s v="Vigilancia"/>
    <s v="https://drive.google.com/open?id=0ByOb8wNqoBtVUjQ4Q0swVTVHZEU"/>
    <s v="00057"/>
    <s v="13 de Febrero de 2017"/>
    <n v="13"/>
    <d v="2017-02-01T00:00:00"/>
    <s v="0,10"/>
    <s v="Cero Bolívares con 10/100"/>
  </r>
  <r>
    <n v="58"/>
    <m/>
    <s v="ü"/>
    <d v="2017-02-14T00:00:00"/>
    <n v="0.17"/>
    <x v="27"/>
    <x v="25"/>
    <s v="Calle Güigüe Nro. 89-106"/>
    <s v="Cancelación Vigilancia, mes de Febrero 2017"/>
    <s v="Vigilancia"/>
    <s v="https://drive.google.com/open?id=0ByOb8wNqoBtVdWRXdWdtZ1YwdXM"/>
    <s v="00058"/>
    <s v="14 de Febrero de 2017"/>
    <n v="14"/>
    <d v="2017-02-01T00:00:00"/>
    <s v="0,17"/>
    <s v="Cero Bolívares con 17/100"/>
  </r>
  <r>
    <n v="59"/>
    <m/>
    <s v="ü"/>
    <d v="2017-02-14T00:00:00"/>
    <n v="0.17"/>
    <x v="19"/>
    <x v="17"/>
    <s v="Calle Guacara Nro. 89-130"/>
    <s v="Cancelación Vigilancia, mes de Febrero 2017"/>
    <s v="Vigilancia"/>
    <s v="https://drive.google.com/open?id=0ByOb8wNqoBtVWHhMdUtYekJUV1U"/>
    <s v="00059"/>
    <s v="14 de Febrero de 2017"/>
    <n v="14"/>
    <d v="2017-02-01T00:00:00"/>
    <s v="0,17"/>
    <s v="Cero Bolívares con 17/100"/>
  </r>
  <r>
    <n v="60"/>
    <m/>
    <s v="ü"/>
    <d v="2017-02-14T00:00:00"/>
    <n v="0.34"/>
    <x v="0"/>
    <x v="0"/>
    <s v="Calle Guacara Nro. 88-45"/>
    <s v="Cancelación Vigilancia, meses de Feb-Mar 2017"/>
    <s v="Vigilancia"/>
    <s v="https://drive.google.com/open?id=0ByOb8wNqoBtVM2ZQQjdkOVV6UVE"/>
    <s v="00060"/>
    <s v="14 de Febrero de 2017"/>
    <n v="14"/>
    <d v="2017-02-01T00:00:00"/>
    <s v="0,34"/>
    <s v="Cero Bolívares con 34/100"/>
  </r>
  <r>
    <n v="61"/>
    <m/>
    <s v="ü"/>
    <d v="2017-02-14T00:00:00"/>
    <n v="0.17"/>
    <x v="37"/>
    <x v="34"/>
    <s v="Av. &quot;I&quot; Nro. 146-40"/>
    <s v="Cancelación Vigilancia, mes de Enero 2017"/>
    <s v="Vigilancia"/>
    <s v="https://drive.google.com/open?id=0ByOb8wNqoBtVQWlFM0g0XzIxcU0"/>
    <s v="00061"/>
    <s v="14 de Febrero de 2017"/>
    <n v="14"/>
    <d v="2017-02-01T00:00:00"/>
    <s v="0,17"/>
    <s v="Cero Bolívares con 17/100"/>
  </r>
  <r>
    <n v="62"/>
    <m/>
    <s v="ü"/>
    <d v="2017-02-14T00:00:00"/>
    <n v="0.17"/>
    <x v="38"/>
    <x v="35"/>
    <s v="Calle Guacara Nro. 89-78"/>
    <s v="Cancelación Vigilancia, mes de Enero 2017"/>
    <s v="Vigilancia"/>
    <s v="https://drive.google.com/open?id=0ByOb8wNqoBtVTGhxT2p0M2pybG8"/>
    <s v="00062"/>
    <s v="14 de Febrero de 2017"/>
    <n v="14"/>
    <d v="2017-02-01T00:00:00"/>
    <s v="0,17"/>
    <s v="Cero Bolívares con 17/100"/>
  </r>
  <r>
    <n v="63"/>
    <m/>
    <s v="ü"/>
    <d v="2017-02-14T00:00:00"/>
    <n v="0.17"/>
    <x v="21"/>
    <x v="19"/>
    <s v="Calle Güigüe Nro. 89-105"/>
    <s v="Cancelación Vigilancia, mes de Febrero 2017"/>
    <s v="Vigilancia"/>
    <s v="https://drive.google.com/open?id=0ByOb8wNqoBtVWF9BSkxwOHgzMDA"/>
    <s v="00063"/>
    <s v="14 de Febrero de 2017"/>
    <n v="14"/>
    <d v="2017-02-01T00:00:00"/>
    <s v="0,17"/>
    <s v="Cero Bolívares con 17/100"/>
  </r>
  <r>
    <n v="64"/>
    <m/>
    <s v="ü"/>
    <d v="2017-02-15T00:00:00"/>
    <n v="0.17"/>
    <x v="39"/>
    <x v="36"/>
    <s v="Calle Güigüe Nro. 88-111"/>
    <s v="Cancelación Vigilancia, mes de Enero 2017"/>
    <s v="Vigilancia"/>
    <s v="https://drive.google.com/open?id=0ByOb8wNqoBtVUnJDbUZaZ3k2NDQ"/>
    <s v="00064"/>
    <s v="15 de Febrero de 2017"/>
    <n v="15"/>
    <d v="2017-02-01T00:00:00"/>
    <s v="0,17"/>
    <s v="Cero Bolívares con 17/100"/>
  </r>
  <r>
    <n v="65"/>
    <m/>
    <s v="ü"/>
    <d v="2017-02-15T00:00:00"/>
    <n v="0.17"/>
    <x v="10"/>
    <x v="10"/>
    <s v="Av. &quot;M&quot; Nro. 146-15"/>
    <s v="Cancelación Vigilancia, mes de Febrero 2017"/>
    <s v="Vigilancia"/>
    <s v="https://drive.google.com/open?id=0ByOb8wNqoBtVVDhUS2R2Z2xoWTg"/>
    <s v="00065"/>
    <s v="15 de Febrero de 2017"/>
    <n v="15"/>
    <d v="2017-02-01T00:00:00"/>
    <s v="0,17"/>
    <s v="Cero Bolívares con 17/100"/>
  </r>
  <r>
    <n v="66"/>
    <m/>
    <s v="ü"/>
    <d v="2017-02-15T00:00:00"/>
    <n v="0.17"/>
    <x v="40"/>
    <x v="37"/>
    <s v="Calle Güigüe Nro. 88-101"/>
    <s v="Cancelación Vigilancia, mes de Enero 2017"/>
    <s v="Vigilancia"/>
    <s v="https://drive.google.com/open?id=0ByOb8wNqoBtVTlB1OEItUXRHYk0"/>
    <s v="00066"/>
    <s v="15 de Febrero de 2017"/>
    <n v="15"/>
    <d v="2017-02-01T00:00:00"/>
    <s v="0,17"/>
    <s v="Cero Bolívares con 17/100"/>
  </r>
  <r>
    <n v="67"/>
    <m/>
    <s v="ü"/>
    <d v="2017-02-15T00:00:00"/>
    <n v="0.17"/>
    <x v="41"/>
    <x v="38"/>
    <s v="Calle Güigüe Nro. 88-91"/>
    <s v="Cancelación Vigilancia, mes de Enero 2017"/>
    <s v="Vigilancia"/>
    <s v="https://drive.google.com/open?id=0ByOb8wNqoBtVakxqRFctYlFad0U"/>
    <s v="00067"/>
    <s v="15 de Febrero de 2017"/>
    <n v="15"/>
    <d v="2017-02-01T00:00:00"/>
    <s v="0,17"/>
    <s v="Cero Bolívares con 17/100"/>
  </r>
  <r>
    <n v="68"/>
    <m/>
    <s v="ü"/>
    <d v="2017-02-15T00:00:00"/>
    <n v="0.34"/>
    <x v="42"/>
    <x v="39"/>
    <s v="Calle Güigüe Nro. 89-79"/>
    <s v="Cancelación Vigilancia, meses de Ene-Feb 2017"/>
    <s v="Vigilancia"/>
    <s v="https://drive.google.com/open?id=0ByOb8wNqoBtVNFRlVVkyeENWb3c"/>
    <s v="00068"/>
    <s v="15 de Febrero de 2017"/>
    <n v="15"/>
    <d v="2017-02-01T00:00:00"/>
    <s v="0,34"/>
    <s v="Cero Bolívares con 34/100"/>
  </r>
  <r>
    <n v="69"/>
    <m/>
    <s v="ü"/>
    <d v="2017-02-15T00:00:00"/>
    <n v="0.1"/>
    <x v="22"/>
    <x v="20"/>
    <s v="Calle Guacara Nro. 88-25"/>
    <s v="Colaboración Vigilancia, mes de Febrero 2017"/>
    <s v="Vigilancia"/>
    <s v="https://drive.google.com/open?id=0ByOb8wNqoBtVSG1iQnZKWnJRTGM"/>
    <s v="00069"/>
    <s v="15 de Febrero de 2017"/>
    <n v="15"/>
    <d v="2017-02-01T00:00:00"/>
    <s v="0,10"/>
    <s v="Cero Bolívares con 10/100"/>
  </r>
  <r>
    <n v="70"/>
    <m/>
    <s v="û"/>
    <d v="2017-02-16T00:00:00"/>
    <n v="1.7"/>
    <x v="0"/>
    <x v="0"/>
    <s v="Calle Guacara Nro. 88-45"/>
    <s v="Anticipo Vigilancia y compra de control"/>
    <s v="Anticipo"/>
    <s v="https://drive.google.com/open?id=0ByOb8wNqoBtVbWtSbzJfSnl2NkE"/>
    <s v="00070"/>
    <s v="16 de Febrero de 2017"/>
    <n v="16"/>
    <d v="2017-02-01T00:00:00"/>
    <s v="1,70"/>
    <s v="Un Bolívares con 70/100"/>
  </r>
  <r>
    <n v="71"/>
    <m/>
    <s v="ü"/>
    <d v="2017-02-16T00:00:00"/>
    <n v="0.17"/>
    <x v="29"/>
    <x v="27"/>
    <s v="Calle Guacara Nro. 88-75"/>
    <s v="Cancelación Vigilancia, mes de Febrero 2017"/>
    <s v="Vigilancia"/>
    <s v="https://drive.google.com/open?id=0ByOb8wNqoBtVdXUwLVFWVWlEUDA"/>
    <s v="00071"/>
    <s v="16 de Febrero de 2017"/>
    <n v="16"/>
    <d v="2017-02-01T00:00:00"/>
    <s v="0,17"/>
    <s v="Cero Bolívares con 17/100"/>
  </r>
  <r>
    <n v="72"/>
    <m/>
    <s v="ü"/>
    <d v="2017-02-16T00:00:00"/>
    <n v="0.17"/>
    <x v="43"/>
    <x v="40"/>
    <s v="Calle Güigüe Nro. 88-50"/>
    <s v="Cancelación Vigilancia, mes de Enero 2017"/>
    <s v="Vigilancia"/>
    <s v="https://drive.google.com/open?id=0ByOb8wNqoBtVUllDQVNEdWdNVjg"/>
    <s v="00072"/>
    <s v="16 de Febrero de 2017"/>
    <n v="16"/>
    <d v="2017-02-01T00:00:00"/>
    <s v="0,17"/>
    <s v="Cero Bolívares con 17/100"/>
  </r>
  <r>
    <n v="73"/>
    <m/>
    <s v="ü"/>
    <d v="2017-02-16T00:00:00"/>
    <n v="0.17"/>
    <x v="20"/>
    <x v="18"/>
    <s v="Calle Guacara Nro. 89-30"/>
    <s v="Cancelación Vigilancia, mes de Febrero 2017"/>
    <s v="Vigilancia"/>
    <s v="https://drive.google.com/open?id=0ByOb8wNqoBtVcDFJWTY3dkhSZWc"/>
    <s v="00073"/>
    <s v="16 de Febrero de 2017"/>
    <n v="16"/>
    <d v="2017-02-01T00:00:00"/>
    <s v="0,17"/>
    <s v="Cero Bolívares con 17/100"/>
  </r>
  <r>
    <n v="74"/>
    <m/>
    <s v="ü"/>
    <d v="2017-02-17T00:00:00"/>
    <n v="0.17"/>
    <x v="24"/>
    <x v="22"/>
    <s v="Calle Güigüe Nro. 88-54"/>
    <s v="Cancelación Vigilancia, mes de Febrero 2017"/>
    <s v="Vigilancia"/>
    <s v="https://drive.google.com/open?id=0ByOb8wNqoBtVcWc4NWNJMzBqakE"/>
    <s v="00074"/>
    <s v="17 de Febrero de 2017"/>
    <n v="17"/>
    <d v="2017-02-01T00:00:00"/>
    <s v="0,17"/>
    <s v="Cero Bolívares con 17/100"/>
  </r>
  <r>
    <n v="75"/>
    <m/>
    <s v="ü"/>
    <d v="2017-02-17T00:00:00"/>
    <n v="0.17"/>
    <x v="38"/>
    <x v="35"/>
    <s v="Calle Guacara Nro. 89-78"/>
    <s v="Cancelación Vigilancia, mes de Febrero 2017"/>
    <s v="Vigilancia"/>
    <s v="https://drive.google.com/open?id=0ByOb8wNqoBtVRG13cEJ2M3poNFk"/>
    <s v="00075"/>
    <s v="17 de Febrero de 2017"/>
    <n v="17"/>
    <d v="2017-02-01T00:00:00"/>
    <s v="0,17"/>
    <s v="Cero Bolívares con 17/100"/>
  </r>
  <r>
    <n v="76"/>
    <m/>
    <s v="ü"/>
    <d v="2017-02-18T00:00:00"/>
    <n v="0.17"/>
    <x v="12"/>
    <x v="12"/>
    <s v="Calle Guacara Nro. 89-20"/>
    <s v="Cancelación Vigilancia, mes de Febrero 2017"/>
    <s v="Vigilancia"/>
    <s v="https://drive.google.com/open?id=0ByOb8wNqoBtVR0hrSGxIT3dpNkk"/>
    <s v="00076"/>
    <s v="18 de Febrero de 2017"/>
    <n v="18"/>
    <d v="2017-02-01T00:00:00"/>
    <s v="0,17"/>
    <s v="Cero Bolívares con 17/100"/>
  </r>
  <r>
    <n v="77"/>
    <m/>
    <s v="ü"/>
    <d v="2017-02-18T00:00:00"/>
    <n v="0.17"/>
    <x v="8"/>
    <x v="8"/>
    <s v="Calle Guacara Nro. 90-51"/>
    <s v="Cancelación Vigilancia, mes de Febrero 2017"/>
    <s v="Vigilancia"/>
    <s v="https://drive.google.com/open?id=0ByOb8wNqoBtVSTZKZWhwQ1hZODA"/>
    <s v="00077"/>
    <s v="18 de Febrero de 2017"/>
    <n v="18"/>
    <d v="2017-02-01T00:00:00"/>
    <s v="0,17"/>
    <s v="Cero Bolívares con 17/100"/>
  </r>
  <r>
    <n v="78"/>
    <m/>
    <s v="ü"/>
    <d v="2017-02-18T00:00:00"/>
    <n v="0.14000000000000001"/>
    <x v="44"/>
    <x v="41"/>
    <s v="Calle Guacara Nro. 89-40"/>
    <s v="Anticipo Vigilancia, mes de Enero 2017"/>
    <s v="Vigilancia"/>
    <s v="https://drive.google.com/open?id=0ByOb8wNqoBtVM2RKU0ZLUldzR1U"/>
    <s v="00078"/>
    <s v="18 de Febrero de 2017"/>
    <n v="18"/>
    <d v="2017-02-01T00:00:00"/>
    <s v="0,14"/>
    <s v="Cero Bolívares con 14/100"/>
  </r>
  <r>
    <n v="79"/>
    <m/>
    <s v="ü"/>
    <d v="2017-02-18T00:00:00"/>
    <n v="0.1"/>
    <x v="45"/>
    <x v="42"/>
    <s v="Calle Güigüe Nro. 87-A-11"/>
    <s v="Anticipo Vigilancia, mes de Enero 2017"/>
    <s v="Vigilancia"/>
    <s v="https://drive.google.com/open?id=0ByOb8wNqoBtVeTdod09mT0JMdnc"/>
    <s v="00079"/>
    <s v="18 de Febrero de 2017"/>
    <n v="18"/>
    <d v="2017-02-01T00:00:00"/>
    <s v="0,10"/>
    <s v="Cero Bolívares con 10/100"/>
  </r>
  <r>
    <n v="80"/>
    <m/>
    <s v="ü"/>
    <d v="2017-02-18T00:00:00"/>
    <n v="0.17"/>
    <x v="30"/>
    <x v="28"/>
    <s v="Calle Güigüe Nro. 89-04"/>
    <s v="Cancelación Vigilancia, mes de Febrero 2017"/>
    <s v="Vigilancia"/>
    <s v="https://drive.google.com/open?id=0ByOb8wNqoBtVOFNfaUFxSXA2MFk"/>
    <s v="00080"/>
    <s v="18 de Febrero de 2017"/>
    <n v="18"/>
    <d v="2017-02-01T00:00:00"/>
    <s v="0,17"/>
    <s v="Cero Bolívares con 17/100"/>
  </r>
  <r>
    <n v="81"/>
    <m/>
    <s v="ü"/>
    <d v="2017-02-18T00:00:00"/>
    <n v="0.34"/>
    <x v="46"/>
    <x v="43"/>
    <s v="Av. &quot;I&quot; Nro. 146-20"/>
    <s v="Cancelación Vigilancia, meses de Ene-Feb 2017"/>
    <s v="Vigilancia"/>
    <s v="https://drive.google.com/open?id=0ByOb8wNqoBtVbGFhMEVMdDkwS2M"/>
    <s v="00081"/>
    <s v="18 de Febrero de 2017"/>
    <n v="18"/>
    <d v="2017-02-01T00:00:00"/>
    <s v="0,34"/>
    <s v="Cero Bolívares con 34/100"/>
  </r>
  <r>
    <n v="82"/>
    <m/>
    <s v="ü"/>
    <d v="2017-02-19T00:00:00"/>
    <n v="0.06"/>
    <x v="47"/>
    <x v="44"/>
    <s v="Calle Güigüe Nro. 88-80"/>
    <s v="Colaboración Vigilancia, mes de Febrero 2017"/>
    <s v="Vigilancia"/>
    <s v="https://drive.google.com/open?id=0ByOb8wNqoBtVTm16QVpmaGpjcDg"/>
    <s v="00082"/>
    <s v="19 de Febrero de 2017"/>
    <n v="19"/>
    <d v="2017-02-01T00:00:00"/>
    <s v="0,06"/>
    <s v="Cero Bolívares con 06/100"/>
  </r>
  <r>
    <n v="83"/>
    <m/>
    <s v="ü"/>
    <d v="2017-02-20T00:00:00"/>
    <n v="0.02"/>
    <x v="17"/>
    <x v="16"/>
    <s v="Av. &quot;M&quot; Nro. 146-20"/>
    <s v="Colaboración Vigilancia, mes de Febrero 2017"/>
    <s v="Vigilancia"/>
    <s v="https://drive.google.com/open?id=0ByOb8wNqoBtVbzFKV21LSDBaMTQ"/>
    <s v="00083"/>
    <s v="20 de Febrero de 2017"/>
    <n v="20"/>
    <d v="2017-02-01T00:00:00"/>
    <s v="0,02"/>
    <s v="Cero Bolívares con 02/100"/>
  </r>
  <r>
    <n v="84"/>
    <m/>
    <s v="ü"/>
    <d v="2017-02-20T00:00:00"/>
    <n v="0.17"/>
    <x v="43"/>
    <x v="40"/>
    <s v="Calle Güigüe Nro. 88-50"/>
    <s v="Cancelación Vigilancia, mes de Febrero 2017"/>
    <s v="Vigilancia"/>
    <s v="https://drive.google.com/open?id=0ByOb8wNqoBtVblhXQTV6U0ZQN2s"/>
    <s v="00084"/>
    <s v="20 de Febrero de 2017"/>
    <n v="20"/>
    <d v="2017-02-01T00:00:00"/>
    <s v="0,17"/>
    <s v="Cero Bolívares con 17/100"/>
  </r>
  <r>
    <n v="85"/>
    <m/>
    <s v="ü"/>
    <d v="2017-02-20T00:00:00"/>
    <n v="0.1"/>
    <x v="35"/>
    <x v="32"/>
    <s v="Calle Güigüe Nro. 89-80"/>
    <s v="Colaboración Vigilancia, mes de Febrero 2017"/>
    <s v="Vigilancia"/>
    <s v="https://drive.google.com/open?id=0ByOb8wNqoBtVYjBuQ3lYdlJqM2M"/>
    <s v="00085"/>
    <s v="20 de Febrero de 2017"/>
    <n v="20"/>
    <d v="2017-02-01T00:00:00"/>
    <s v="0,10"/>
    <s v="Cero Bolívares con 10/100"/>
  </r>
  <r>
    <n v="86"/>
    <m/>
    <s v="ü"/>
    <d v="2017-02-20T00:00:00"/>
    <n v="0.17"/>
    <x v="48"/>
    <x v="45"/>
    <s v="Calle Güigüe Nro. 88-90"/>
    <s v="Cancelación Vigilancia, mes de Febrero 2017"/>
    <s v="Vigilancia"/>
    <s v="https://drive.google.com/open?id=0ByOb8wNqoBtVdTZiMWp5M1djRlE"/>
    <s v="00086"/>
    <s v="20 de Febrero de 2017"/>
    <n v="20"/>
    <d v="2017-02-01T00:00:00"/>
    <s v="0,17"/>
    <s v="Cero Bolívares con 17/100"/>
  </r>
  <r>
    <n v="87"/>
    <m/>
    <s v="ü"/>
    <d v="2017-02-20T00:00:00"/>
    <n v="0.17"/>
    <x v="18"/>
    <x v="16"/>
    <s v="Calle Guacara Nro. 87-100"/>
    <s v="Cancelación Vigilancia, mes de Febrero 2017"/>
    <s v="Vigilancia"/>
    <s v="https://drive.google.com/open?id=0ByOb8wNqoBtVeHJtMFp0d3Zxd0k"/>
    <s v="00087"/>
    <s v="20 de Febrero de 2017"/>
    <n v="20"/>
    <d v="2017-02-01T00:00:00"/>
    <s v="0,17"/>
    <s v="Cero Bolívares con 17/100"/>
  </r>
  <r>
    <n v="88"/>
    <m/>
    <s v="ü"/>
    <d v="2017-02-22T00:00:00"/>
    <n v="0.34"/>
    <x v="49"/>
    <x v="46"/>
    <s v="Av. &quot;O&quot; Nro. 146-17"/>
    <s v="Cancelación Vigilancia, meses de Ene-Feb 2017"/>
    <s v="Vigilancia"/>
    <s v="https://drive.google.com/open?id=0ByOb8wNqoBtVTmhhUDVjeEk4VTg"/>
    <s v="00088"/>
    <s v="22 de Febrero de 2017"/>
    <n v="22"/>
    <d v="2017-02-01T00:00:00"/>
    <s v="0,34"/>
    <s v="Cero Bolívares con 34/100"/>
  </r>
  <r>
    <n v="89"/>
    <m/>
    <s v="ü"/>
    <d v="2017-02-22T00:00:00"/>
    <n v="0.34"/>
    <x v="5"/>
    <x v="5"/>
    <s v="Calle Güigüe Nro. 88-120"/>
    <s v="Cancelación Vigilancia, meses de Feb-Mar 2017"/>
    <s v="Vigilancia"/>
    <s v="https://drive.google.com/open?id=0ByOb8wNqoBtVMVAxRHh5N0RINDA"/>
    <s v="00089"/>
    <s v="22 de Febrero de 2017"/>
    <n v="22"/>
    <d v="2017-02-01T00:00:00"/>
    <s v="0,34"/>
    <s v="Cero Bolívares con 34/100"/>
  </r>
  <r>
    <n v="90"/>
    <m/>
    <s v="ü"/>
    <d v="2017-02-23T00:00:00"/>
    <n v="0.17"/>
    <x v="26"/>
    <x v="24"/>
    <s v="Calle Güigüe Nro. 89-96"/>
    <s v="Cancelación Vigilancia, mes de Febrero 2017"/>
    <s v="Vigilancia"/>
    <s v="https://drive.google.com/open?id=0ByOb8wNqoBtVbmRuMUwxWTU0dE0"/>
    <s v="00090"/>
    <s v="23 de Febrero de 2017"/>
    <n v="23"/>
    <d v="2017-02-01T00:00:00"/>
    <s v="0,17"/>
    <s v="Cero Bolívares con 17/100"/>
  </r>
  <r>
    <n v="91"/>
    <m/>
    <s v="ü"/>
    <d v="2017-02-23T00:00:00"/>
    <n v="0.105"/>
    <x v="50"/>
    <x v="47"/>
    <s v="Av. &quot;I&quot; Nro. 146-30"/>
    <s v="Colaboración Vigilancia, mes de Enero 2017"/>
    <s v="Vigilancia"/>
    <s v="https://drive.google.com/open?id=0ByOb8wNqoBtVMC1WZ3ZxQlNDdnM"/>
    <s v="00091"/>
    <s v="23 de Febrero de 2017"/>
    <n v="23"/>
    <d v="2017-02-01T00:00:00"/>
    <s v="0,11"/>
    <s v="Cero Bolívares con 10/100"/>
  </r>
  <r>
    <n v="92"/>
    <m/>
    <s v="ü"/>
    <d v="2017-02-23T00:00:00"/>
    <n v="0.17"/>
    <x v="32"/>
    <x v="30"/>
    <s v="Calle Güigüe Nro. 89-120"/>
    <s v="Cancelación Vigilancia, mes de Febrero 2017"/>
    <s v="Vigilancia"/>
    <s v="https://drive.google.com/open?id=0ByOb8wNqoBtVY3BmbmVXU1BhRGc"/>
    <s v="00092"/>
    <s v="23 de Febrero de 2017"/>
    <n v="23"/>
    <d v="2017-02-01T00:00:00"/>
    <s v="0,17"/>
    <s v="Cero Bolívares con 17/100"/>
  </r>
  <r>
    <n v="93"/>
    <m/>
    <s v="ü"/>
    <d v="2017-02-24T00:00:00"/>
    <n v="0.2"/>
    <x v="51"/>
    <x v="48"/>
    <s v="Calle Guacara Nro. 90-110"/>
    <s v="Colaboración Vigilancia, meses de Enero y Febrero 2017"/>
    <s v="Vigilancia"/>
    <s v="https://drive.google.com/open?id=0ByOb8wNqoBtVODlZNnBTM1Z6NlU"/>
    <s v="00093"/>
    <s v="24 de Febrero de 2017"/>
    <n v="24"/>
    <d v="2017-02-01T00:00:00"/>
    <s v="0,20"/>
    <s v="Cero Bolívares con 20/100"/>
  </r>
  <r>
    <n v="94"/>
    <m/>
    <s v="ü"/>
    <d v="2017-02-24T00:00:00"/>
    <n v="0.16"/>
    <x v="52"/>
    <x v="49"/>
    <s v="Calle Güigüe Nro. 89-45"/>
    <s v="Anticipo Vigilancia, mes de Enero 2017"/>
    <s v="Vigilancia"/>
    <s v="https://drive.google.com/open?id=0ByOb8wNqoBtVWHVhTFJKcGZHWUk"/>
    <s v="00094"/>
    <s v="24 de Febrero de 2017"/>
    <n v="24"/>
    <d v="2017-02-01T00:00:00"/>
    <s v="0,16"/>
    <s v="Cero Bolívares con 16/100"/>
  </r>
  <r>
    <n v="95"/>
    <m/>
    <s v="ü"/>
    <d v="2017-02-23T00:00:00"/>
    <n v="0.2"/>
    <x v="53"/>
    <x v="48"/>
    <s v="Calle Guacara Nro. 88-91"/>
    <s v="Colaboración Vigilancia, meses de Enero y Febrero 2017"/>
    <s v="Vigilancia"/>
    <s v="https://drive.google.com/open?id=0ByOb8wNqoBtVRHRIOGp5T3BLbmc"/>
    <s v="00095"/>
    <s v="23 de Febrero de 2017"/>
    <n v="23"/>
    <d v="2017-02-01T00:00:00"/>
    <s v="0,20"/>
    <s v="Cero Bolívares con 20/100"/>
  </r>
  <r>
    <n v="96"/>
    <m/>
    <s v="ü"/>
    <d v="2017-02-24T00:00:00"/>
    <n v="0.34"/>
    <x v="54"/>
    <x v="50"/>
    <s v="Calle Güigüe Nro. 89-21"/>
    <s v="Cancelación Vigilancia, meses de Ene-Feb 2017"/>
    <s v="Vigilancia"/>
    <s v="https://drive.google.com/open?id=0ByOb8wNqoBtVOE52UWMwV2J5ajg"/>
    <s v="00096"/>
    <s v="24 de Febrero de 2017"/>
    <n v="24"/>
    <d v="2017-02-01T00:00:00"/>
    <s v="0,34"/>
    <s v="Cero Bolívares con 34/100"/>
  </r>
  <r>
    <n v="97"/>
    <m/>
    <s v="ü"/>
    <d v="2017-02-24T00:00:00"/>
    <n v="0.03"/>
    <x v="55"/>
    <x v="51"/>
    <s v="Calle Güigüe Nro. 89-16"/>
    <s v="Colaboración Vigilancia, meses de Ene-Feb 2017"/>
    <s v="Vigilancia"/>
    <s v="https://drive.google.com/open?id=0ByOb8wNqoBtVd01iVE5RNTlwbXM"/>
    <s v="00097"/>
    <s v="24 de Febrero de 2017"/>
    <n v="24"/>
    <d v="2017-02-01T00:00:00"/>
    <s v="0,03"/>
    <s v="Cero Bolívares con 03/100"/>
  </r>
  <r>
    <n v="98"/>
    <m/>
    <s v="ü"/>
    <d v="2017-02-25T00:00:00"/>
    <n v="0.2"/>
    <x v="56"/>
    <x v="52"/>
    <s v="Calle Güigüe Nro. 88-70"/>
    <s v="Colaboración Vigilancia, meses de Ene-Feb 2017"/>
    <s v="Vigilancia"/>
    <s v="https://drive.google.com/open?id=0ByOb8wNqoBtVSnQtSDhQbFktRmc"/>
    <s v="00098"/>
    <s v="25 de Febrero de 2017"/>
    <n v="25"/>
    <d v="2017-02-01T00:00:00"/>
    <s v="0,20"/>
    <s v="Cero Bolívares con 20/100"/>
  </r>
  <r>
    <n v="99"/>
    <m/>
    <s v="ü"/>
    <d v="2017-02-25T00:00:00"/>
    <n v="0.105"/>
    <x v="2"/>
    <x v="2"/>
    <s v="Calle Guacara Nro. 88-19"/>
    <s v="Colaboración Vigilancia, mes de Febrero 2017"/>
    <s v="Vigilancia"/>
    <s v="https://drive.google.com/open?id=0ByOb8wNqoBtVTllwTk1GcEZFZVE"/>
    <s v="00099"/>
    <s v="25 de Febrero de 2017"/>
    <n v="25"/>
    <d v="2017-02-01T00:00:00"/>
    <s v="0,11"/>
    <s v="Cero Bolívares con 10/100"/>
  </r>
  <r>
    <n v="100"/>
    <m/>
    <s v="ü"/>
    <d v="2017-03-01T00:00:00"/>
    <n v="0.14199999999999999"/>
    <x v="18"/>
    <x v="16"/>
    <s v="Calle Guacara Nro. 87-100"/>
    <s v="Anticipo Vigilancia, mes de Marzo 2017"/>
    <s v="Vigilancia"/>
    <s v="https://drive.google.com/open?id=0ByOb8wNqoBtVSTY3V2lRMUxyTzQ"/>
    <s v="00100"/>
    <s v="01 de Marzo de 2017"/>
    <n v="1"/>
    <d v="2017-03-01T00:00:00"/>
    <s v="0,14"/>
    <s v="Cero Bolívares con 14/100"/>
  </r>
  <r>
    <n v="101"/>
    <m/>
    <s v="ü"/>
    <d v="2017-03-02T00:00:00"/>
    <n v="0.06"/>
    <x v="57"/>
    <x v="9"/>
    <s v="Calle Güigüe Nro. 88-40"/>
    <s v="Colaboración Vigilancia, meses de Ene-Feb 2017"/>
    <s v="Vigilancia"/>
    <s v="https://drive.google.com/open?id=0ByOb8wNqoBtVU1lmUmtjYmFJOEU"/>
    <s v="00101"/>
    <s v="02 de Marzo de 2017"/>
    <n v="2"/>
    <d v="2017-03-01T00:00:00"/>
    <s v="0,06"/>
    <s v="Cero Bolívares con 06/100"/>
  </r>
  <r>
    <n v="102"/>
    <m/>
    <s v="ü"/>
    <d v="2017-03-02T00:00:00"/>
    <n v="0.17"/>
    <x v="16"/>
    <x v="15"/>
    <s v="Calle Guacara Nro. 90-81"/>
    <s v="Cancelación Vigilancia, mes de Marzo 2017"/>
    <s v="Vigilancia"/>
    <s v="https://drive.google.com/open?id=0ByOb8wNqoBtVXzBQUk5oOTdOdnc"/>
    <s v="00102"/>
    <s v="02 de Marzo de 2017"/>
    <n v="2"/>
    <d v="2017-03-01T00:00:00"/>
    <s v="0,17"/>
    <s v="Cero Bolívares con 17/100"/>
  </r>
  <r>
    <n v="103"/>
    <m/>
    <s v="ü"/>
    <d v="2017-03-02T00:00:00"/>
    <n v="0.02"/>
    <x v="16"/>
    <x v="15"/>
    <s v="Calle Guacara Nro. 90-81"/>
    <s v="Donación Vigilancia, mes de Marzo 2017"/>
    <s v="Vigilancia"/>
    <s v="https://drive.google.com/open?id=0ByOb8wNqoBtVeUlCb3hya095NGc"/>
    <s v="00103"/>
    <s v="02 de Marzo de 2017"/>
    <n v="2"/>
    <d v="2017-03-01T00:00:00"/>
    <s v="0,02"/>
    <s v="Cero Bolívares con 02/100"/>
  </r>
  <r>
    <n v="104"/>
    <m/>
    <s v="ü"/>
    <d v="2017-03-03T00:00:00"/>
    <n v="0.24"/>
    <x v="45"/>
    <x v="42"/>
    <s v="Calle Güigüe Nro. 87-A-11"/>
    <s v="Cancelación Saldo Vigilancia, mes de Enero 2017 y cancelación Vigilancia, mes de Febrero 2017"/>
    <s v="Vigilancia"/>
    <s v="https://drive.google.com/open?id=0ByOb8wNqoBtVdUo1SDNIdi1tRm8"/>
    <s v="00104"/>
    <s v="03 de Marzo de 2017"/>
    <n v="3"/>
    <d v="2017-03-01T00:00:00"/>
    <s v="0,24"/>
    <s v="Cero Bolívares con 24/100"/>
  </r>
  <r>
    <n v="105"/>
    <m/>
    <s v="ü"/>
    <d v="2017-03-03T00:00:00"/>
    <n v="0.17"/>
    <x v="58"/>
    <x v="53"/>
    <s v="Calle Güigüe Nro. 88-51"/>
    <s v="Colaboración Vigilancia, meses de Ene-Mar 2017"/>
    <s v="Vigilancia"/>
    <s v="https://drive.google.com/open?id=0ByOb8wNqoBtVRFlqUkZfeGp5M28"/>
    <s v="00105"/>
    <s v="03 de Marzo de 2017"/>
    <n v="3"/>
    <d v="2017-03-01T00:00:00"/>
    <s v="0,17"/>
    <s v="Cero Bolívares con 17/100"/>
  </r>
  <r>
    <n v="106"/>
    <m/>
    <s v="ü"/>
    <d v="2017-03-05T00:00:00"/>
    <n v="7.0000000000000007E-2"/>
    <x v="7"/>
    <x v="7"/>
    <s v="Calle Guacara Nro. 87-86"/>
    <s v="Colaboración Vigilancia, mes de Marzo 2017"/>
    <s v="Vigilancia"/>
    <s v="https://drive.google.com/open?id=0ByOb8wNqoBtVdlNhb0wyRkNIOTQ"/>
    <s v="00106"/>
    <s v="05 de Marzo de 2017"/>
    <n v="5"/>
    <d v="2017-03-01T00:00:00"/>
    <s v="0,07"/>
    <s v="Cero Bolívares con 07/100"/>
  </r>
  <r>
    <n v="107"/>
    <m/>
    <s v="ü"/>
    <d v="2017-03-05T00:00:00"/>
    <n v="0.34"/>
    <x v="59"/>
    <x v="9"/>
    <s v="Calle Guacara Nro. 90-35"/>
    <s v="Cancelación Vigilancia, meses de Ene-Feb 2017"/>
    <s v="Vigilancia"/>
    <s v="https://drive.google.com/open?id=0ByOb8wNqoBtVakQ5Z2l1RTAtNGs"/>
    <s v="00107"/>
    <s v="05 de Marzo de 2017"/>
    <n v="5"/>
    <d v="2017-03-01T00:00:00"/>
    <s v="0,34"/>
    <s v="Cero Bolívares con 34/100"/>
  </r>
  <r>
    <n v="108"/>
    <m/>
    <s v="ü"/>
    <d v="2017-03-05T00:00:00"/>
    <n v="0.03"/>
    <x v="59"/>
    <x v="9"/>
    <s v="Calle Guacara Nro. 90-35"/>
    <s v="Anticipo Vigilancia, mes de Marzo 2017"/>
    <s v="Vigilancia"/>
    <s v="https://drive.google.com/open?id=0ByOb8wNqoBtVcVZvTjdxQUE4cUk"/>
    <s v="00108"/>
    <s v="05 de Marzo de 2017"/>
    <n v="5"/>
    <d v="2017-03-01T00:00:00"/>
    <s v="0,03"/>
    <s v="Cero Bolívares con 03/100"/>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s v="Cero Bolívares con 26/100"/>
  </r>
  <r>
    <n v="110"/>
    <m/>
    <s v="ü"/>
    <d v="2017-03-08T00:00:00"/>
    <n v="0.17"/>
    <x v="1"/>
    <x v="1"/>
    <s v="Calle Güigüe Nro. 88-44"/>
    <s v="Cancelación Vigilancia, mes de Marzo 2017"/>
    <s v="Vigilancia"/>
    <s v="https://drive.google.com/open?id=0ByOb8wNqoBtVUlpEa2NybWVrNWc"/>
    <s v="00110"/>
    <s v="08 de Marzo de 2017"/>
    <n v="8"/>
    <d v="2017-03-01T00:00:00"/>
    <s v="0,17"/>
    <s v="Cero Bolívares con 17/100"/>
  </r>
  <r>
    <n v="111"/>
    <m/>
    <s v="ü"/>
    <d v="2017-03-08T00:00:00"/>
    <n v="0.17"/>
    <x v="4"/>
    <x v="4"/>
    <s v="Calle Güigüe Nro. 89-55"/>
    <s v="Cancelación Vigilancia, mes de Marzo 2017"/>
    <s v="Vigilancia"/>
    <s v="https://drive.google.com/open?id=0ByOb8wNqoBtVd1Bha1RaTXJVTW8"/>
    <s v="00111"/>
    <s v="08 de Marzo de 2017"/>
    <n v="8"/>
    <d v="2017-03-01T00:00:00"/>
    <s v="0,17"/>
    <s v="Cero Bolívares con 17/100"/>
  </r>
  <r>
    <n v="112"/>
    <m/>
    <s v="ü"/>
    <d v="2017-03-08T00:00:00"/>
    <n v="0.17"/>
    <x v="37"/>
    <x v="34"/>
    <s v="Av. &quot;I&quot; Nro. 146-40"/>
    <s v="Cancelación Vigilancia, mes de Febrero 2017"/>
    <s v="Vigilancia"/>
    <s v="https://drive.google.com/open?id=0ByOb8wNqoBtVTjVGLW5McTNyTEU"/>
    <s v="00112"/>
    <s v="08 de Marzo de 2017"/>
    <n v="8"/>
    <d v="2017-03-01T00:00:00"/>
    <s v="0,17"/>
    <s v="Cero Bolívares con 17/100"/>
  </r>
  <r>
    <n v="113"/>
    <m/>
    <s v="ü"/>
    <d v="2017-03-08T00:00:00"/>
    <n v="0.35"/>
    <x v="52"/>
    <x v="49"/>
    <s v="Calle Güigüe Nro. 89-45"/>
    <s v="Cancelación Saldo Vigilancia, mes de Enero 2017 y cancelación Vigilancia, meses de Feb-Mar 2017"/>
    <s v="Vigilancia"/>
    <s v="https://drive.google.com/open?id=0ByOb8wNqoBtVVTZMQ3JGNkpOQ2s"/>
    <s v="00113"/>
    <s v="08 de Marzo de 2017"/>
    <n v="8"/>
    <d v="2017-03-01T00:00:00"/>
    <s v="0,35"/>
    <s v="Cero Bolívares con 35/100"/>
  </r>
  <r>
    <n v="114"/>
    <m/>
    <s v="ü"/>
    <d v="2017-03-08T00:00:00"/>
    <n v="0.17"/>
    <x v="20"/>
    <x v="18"/>
    <s v="Calle Guacara Nro. 89-30"/>
    <s v="Cancelación Vigilancia, mes de Marzo 2017"/>
    <s v="Vigilancia"/>
    <s v="https://drive.google.com/open?id=0ByOb8wNqoBtVc182N2Job1dvOVk"/>
    <s v="00114"/>
    <s v="08 de Marzo de 2017"/>
    <n v="8"/>
    <d v="2017-03-01T00:00:00"/>
    <s v="0,17"/>
    <s v="Cero Bolívares con 17/100"/>
  </r>
  <r>
    <n v="115"/>
    <m/>
    <s v="ü"/>
    <d v="2017-03-08T00:00:00"/>
    <n v="0.34"/>
    <x v="61"/>
    <x v="14"/>
    <s v="Calle Guacara Nro. 87-07"/>
    <s v="Cancelación Vigilancia, meses de Ene-Feb 2017"/>
    <s v="Vigilancia"/>
    <s v="https://drive.google.com/open?id=0ByOb8wNqoBtVY2hIMjBnenBHUlU"/>
    <s v="00115"/>
    <s v="08 de Marzo de 2017"/>
    <n v="8"/>
    <d v="2017-03-01T00:00:00"/>
    <s v="0,34"/>
    <s v="Cero Bolívares con 34/100"/>
  </r>
  <r>
    <n v="116"/>
    <m/>
    <s v="ü"/>
    <d v="2017-03-08T00:00:00"/>
    <n v="0.34"/>
    <x v="62"/>
    <x v="55"/>
    <s v="Av. &quot;M&quot; Nro. 145-10"/>
    <s v="Cancelación Vigilancia, meses de Ene-Feb 2017"/>
    <s v="Vigilancia"/>
    <s v="https://drive.google.com/open?id=0ByOb8wNqoBtVdC1VZzF5Rk9vTEE"/>
    <s v="00116"/>
    <s v="08 de Marzo de 2017"/>
    <n v="8"/>
    <d v="2017-03-01T00:00:00"/>
    <s v="0,34"/>
    <s v="Cero Bolívares con 34/100"/>
  </r>
  <r>
    <n v="117"/>
    <m/>
    <s v="ü"/>
    <d v="2017-03-10T00:00:00"/>
    <n v="0.17"/>
    <x v="12"/>
    <x v="12"/>
    <s v="Calle Guacara Nro. 89-20"/>
    <s v="Cancelación Vigilancia, mes de Marzo 2017"/>
    <s v="Vigilancia"/>
    <s v="https://drive.google.com/open?id=0ByOb8wNqoBtVT0ZVSFpaVlNyN0U"/>
    <s v="00117"/>
    <s v="10 de Marzo de 2017"/>
    <n v="10"/>
    <d v="2017-03-01T00:00:00"/>
    <s v="0,17"/>
    <s v="Cero Bolívares con 17/100"/>
  </r>
  <r>
    <n v="118"/>
    <m/>
    <s v="ü"/>
    <d v="2017-03-10T00:00:00"/>
    <n v="0.45"/>
    <x v="63"/>
    <x v="56"/>
    <s v="Calle Guacara Nro. 88-85"/>
    <s v="Colaboración Vigilancia, meses de Ene-Mar 2017"/>
    <s v="Vigilancia"/>
    <s v="https://drive.google.com/open?id=0ByOb8wNqoBtVeC1SNVJRNjFuTVE"/>
    <s v="00118"/>
    <s v="10 de Marzo de 2017"/>
    <n v="10"/>
    <d v="2017-03-01T00:00:00"/>
    <s v="0,45"/>
    <s v="Cero Bolívares con 45/100"/>
  </r>
  <r>
    <n v="119"/>
    <m/>
    <s v="ü"/>
    <d v="2017-03-10T00:00:00"/>
    <n v="0.13613"/>
    <x v="3"/>
    <x v="3"/>
    <s v="Calle Güigüe Nro. 88-62"/>
    <s v="Anticipo Vigilancia, mes de Febrero 2017"/>
    <s v="Vigilancia"/>
    <s v="https://drive.google.com/open?id=0ByOb8wNqoBtVQlRuWnlZdnQ2MEE"/>
    <s v="00119"/>
    <s v="10 de Marzo de 2017"/>
    <n v="10"/>
    <d v="2017-03-01T00:00:00"/>
    <s v="0,14"/>
    <s v="Cero Bolívares con 14/100"/>
  </r>
  <r>
    <n v="120"/>
    <m/>
    <s v="ü"/>
    <d v="2017-03-06T00:00:00"/>
    <n v="0.17"/>
    <x v="48"/>
    <x v="45"/>
    <s v="Calle Güigüe Nro. 88-90"/>
    <s v="Cancelación Vigilancia, mes de Enero 2017"/>
    <s v="Vigilancia"/>
    <s v="https://drive.google.com/open?id=0ByOb8wNqoBtVc1NYcl9LRWhfVUU"/>
    <s v="00120"/>
    <s v="06 de Marzo de 2017"/>
    <n v="6"/>
    <d v="2017-03-01T00:00:00"/>
    <s v="0,17"/>
    <s v="Cero Bolívares con 17/100"/>
  </r>
  <r>
    <n v="121"/>
    <m/>
    <s v="ü"/>
    <d v="2017-03-10T00:00:00"/>
    <n v="0.17"/>
    <x v="45"/>
    <x v="42"/>
    <s v="Calle Güigüe Nro. 87-A-11"/>
    <s v="Cancelación Vigilancia, mes de Marzo 2017"/>
    <s v="Vigilancia"/>
    <s v="https://drive.google.com/open?id=0ByOb8wNqoBtVbkNhZV92RVBBeDQ"/>
    <s v="00121"/>
    <s v="10 de Marzo de 2017"/>
    <n v="10"/>
    <d v="2017-03-01T00:00:00"/>
    <s v="0,17"/>
    <s v="Cero Bolívares con 17/100"/>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s v="Cero Bolívares con 03/100"/>
  </r>
  <r>
    <n v="123"/>
    <m/>
    <s v="ü"/>
    <d v="2017-03-10T00:00:00"/>
    <n v="0.1"/>
    <x v="15"/>
    <x v="14"/>
    <s v="Calle Guacara Nro. 89-94"/>
    <s v="Colaboración Vigilancia, mes de Marzo 2017"/>
    <s v="Vigilancia"/>
    <s v="https://drive.google.com/open?id=0ByOb8wNqoBtVMDl1eDRUSl9QVkU"/>
    <s v="00123"/>
    <s v="10 de Marzo de 2017"/>
    <n v="10"/>
    <d v="2017-03-01T00:00:00"/>
    <s v="0,10"/>
    <s v="Cero Bolívares con 10/100"/>
  </r>
  <r>
    <n v="124"/>
    <m/>
    <s v="ü"/>
    <d v="2017-03-11T00:00:00"/>
    <n v="0.1"/>
    <x v="35"/>
    <x v="32"/>
    <s v="Calle Güigüe Nro. 89-80"/>
    <s v="Colaboración Vigilancia, mes de Marzo 2017"/>
    <s v="Vigilancia"/>
    <s v="https://drive.google.com/open?id=0ByOb8wNqoBtVUFhOUEVycGNfNEU"/>
    <s v="00124"/>
    <s v="11 de Marzo de 2017"/>
    <n v="11"/>
    <d v="2017-03-01T00:00:00"/>
    <s v="0,10"/>
    <s v="Cero Bolívares con 10/100"/>
  </r>
  <r>
    <n v="125"/>
    <m/>
    <s v="ü"/>
    <d v="2017-03-11T00:00:00"/>
    <n v="0.17"/>
    <x v="64"/>
    <x v="57"/>
    <s v="Calle Guacara Nro. 88-35"/>
    <s v="Cancelación Vigilancia, mes de Enero 2017"/>
    <s v="Vigilancia"/>
    <s v="https://drive.google.com/open?id=0ByOb8wNqoBtVVm9PdXd6U0VPdXM"/>
    <s v="00125"/>
    <s v="11 de Marzo de 2017"/>
    <n v="11"/>
    <d v="2017-03-01T00:00:00"/>
    <s v="0,17"/>
    <s v="Cero Bolívares con 17/100"/>
  </r>
  <r>
    <n v="126"/>
    <m/>
    <s v="ü"/>
    <d v="2017-03-14T00:00:00"/>
    <n v="0.17"/>
    <x v="46"/>
    <x v="43"/>
    <s v="Av. &quot;I&quot; Nro. 146-20"/>
    <s v="Cancelación Vigilancia, mes de Marzo 2017"/>
    <s v="Vigilancia"/>
    <s v="https://drive.google.com/open?id=0ByOb8wNqoBtVUU9TdUdRckFETmc"/>
    <s v="00126"/>
    <s v="14 de Marzo de 2017"/>
    <n v="14"/>
    <d v="2017-03-01T00:00:00"/>
    <s v="0,17"/>
    <s v="Cero Bolívares con 17/100"/>
  </r>
  <r>
    <n v="127"/>
    <m/>
    <s v="ü"/>
    <d v="2017-03-10T00:00:00"/>
    <n v="0.03"/>
    <x v="17"/>
    <x v="16"/>
    <s v="Av. &quot;M&quot; Nro. 146-20"/>
    <s v="Colaboración Vigilancia, mes de Marzo 2017"/>
    <s v="Vigilancia"/>
    <s v="https://drive.google.com/open?id=0ByOb8wNqoBtVSElUZ2ctWVVhbmc"/>
    <s v="00127"/>
    <s v="10 de Marzo de 2017"/>
    <n v="10"/>
    <d v="2017-03-01T00:00:00"/>
    <s v="0,03"/>
    <s v="Cero Bolívares con 03/100"/>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s v="Cero Bolívares con 06/100"/>
  </r>
  <r>
    <n v="129"/>
    <m/>
    <s v="ü"/>
    <d v="2017-03-01T00:00:00"/>
    <n v="0.17"/>
    <x v="40"/>
    <x v="37"/>
    <s v="Calle Güigüe Nro. 88-101"/>
    <s v="Cancelación Vigilancia, mes de Febrero 2017"/>
    <s v="Vigilancia"/>
    <s v="https://drive.google.com/open?id=0ByOb8wNqoBtVT2tYRlNoMkMwdUE"/>
    <s v="00129"/>
    <s v="01 de Marzo de 2017"/>
    <n v="1"/>
    <d v="2017-03-01T00:00:00"/>
    <s v="0,17"/>
    <s v="Cero Bolívares con 17/100"/>
  </r>
  <r>
    <n v="130"/>
    <m/>
    <s v="ü"/>
    <d v="2017-03-06T00:00:00"/>
    <n v="0.17"/>
    <x v="41"/>
    <x v="38"/>
    <s v="Calle Güigüe Nro. 88-91"/>
    <s v="Cancelación Vigilancia, mes de Febrero 2017"/>
    <s v="Vigilancia"/>
    <s v="https://drive.google.com/open?id=0ByOb8wNqoBtVTktPck5mMlpEY3c"/>
    <s v="00130"/>
    <s v="06 de Marzo de 2017"/>
    <n v="6"/>
    <d v="2017-03-01T00:00:00"/>
    <s v="0,17"/>
    <s v="Cero Bolívares con 17/100"/>
  </r>
  <r>
    <n v="131"/>
    <m/>
    <s v="ü"/>
    <d v="2017-02-27T00:00:00"/>
    <n v="0.17"/>
    <x v="65"/>
    <x v="58"/>
    <s v="Calle Güigüe Nro. 88-10"/>
    <s v="Cancelación Vigilancia, mes de Enero 2017"/>
    <s v="Vigilancia"/>
    <s v="https://drive.google.com/open?id=0ByOb8wNqoBtVUGJmeHI2UTZKVlE"/>
    <s v="00131"/>
    <s v="27 de Febrero de 2017"/>
    <n v="27"/>
    <d v="2017-02-01T00:00:00"/>
    <s v="0,17"/>
    <s v="Cero Bolívares con 17/100"/>
  </r>
  <r>
    <n v="132"/>
    <m/>
    <s v="ü"/>
    <d v="2017-02-14T00:00:00"/>
    <n v="0.17"/>
    <x v="23"/>
    <x v="21"/>
    <s v="Calle Güigüe Nro. 88-116"/>
    <s v="Cancelación Vigilancia, mes de Febrero 2017"/>
    <s v="Vigilancia"/>
    <s v="https://drive.google.com/open?id=0ByOb8wNqoBtVYlpzUXFSREtCTUE"/>
    <s v="00132"/>
    <s v="14 de Febrero de 2017"/>
    <n v="14"/>
    <d v="2017-02-01T00:00:00"/>
    <s v="0,17"/>
    <s v="Cero Bolívares con 17/100"/>
  </r>
  <r>
    <n v="133"/>
    <m/>
    <s v="ü"/>
    <d v="2017-02-14T00:00:00"/>
    <n v="6.2E-2"/>
    <x v="6"/>
    <x v="6"/>
    <s v="Calle Guacara Nro. 89-60"/>
    <s v="14 02 2017 Bs. 6.200 - Cancelación control del portón"/>
    <s v="Control"/>
    <s v="https://drive.google.com/open?id=0ByOb8wNqoBtVLWdrMGVUemh6cGs"/>
    <s v="00133"/>
    <s v="14 de Febrero de 2017"/>
    <n v="14"/>
    <d v="2017-02-01T00:00:00"/>
    <s v="0,06"/>
    <s v="Cero Bolívares con 06/100"/>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s v="Cero Bolívares con 06/100"/>
  </r>
  <r>
    <n v="135"/>
    <m/>
    <s v="ü"/>
    <d v="2017-02-20T00:00:00"/>
    <n v="0.34"/>
    <x v="66"/>
    <x v="59"/>
    <s v="Calle Güigüe Nro. 89-70"/>
    <s v="Cancelación Vigilancia, meses de Ene-Feb 2017"/>
    <s v="Vigilancia"/>
    <s v="https://drive.google.com/open?id=0ByOb8wNqoBtVVHhGTUdTOWd3TVk"/>
    <s v="00135"/>
    <s v="20 de Febrero de 2017"/>
    <n v="20"/>
    <d v="2017-02-01T00:00:00"/>
    <s v="0,34"/>
    <s v="Cero Bolívares con 34/100"/>
  </r>
  <r>
    <n v="136"/>
    <m/>
    <s v="ü"/>
    <d v="2017-03-14T00:00:00"/>
    <n v="0.17"/>
    <x v="23"/>
    <x v="21"/>
    <s v="Calle Güigüe Nro. 88-116"/>
    <s v="Cancelación Vigilancia, mes de Marzo 2017"/>
    <s v="Vigilancia"/>
    <s v="https://drive.google.com/open?id=0ByOb8wNqoBtVNm52V1J6V0N3aUE"/>
    <s v="00136"/>
    <s v="14 de Marzo de 2017"/>
    <n v="14"/>
    <d v="2017-03-01T00:00:00"/>
    <s v="0,17"/>
    <s v="Cero Bolívares con 17/100"/>
  </r>
  <r>
    <n v="137"/>
    <m/>
    <s v="ü"/>
    <d v="2017-03-14T00:00:00"/>
    <n v="0.05"/>
    <x v="13"/>
    <x v="9"/>
    <s v="Calle Güigüe Nro. 89-90"/>
    <s v="Colaboración Vigilancia, mes de Marzo 2017"/>
    <s v="Vigilancia"/>
    <s v="https://drive.google.com/open?id=0ByOb8wNqoBtVLVJ1Tk96RUN1M3M"/>
    <s v="00137"/>
    <s v="14 de Marzo de 2017"/>
    <n v="14"/>
    <d v="2017-03-01T00:00:00"/>
    <s v="0,05"/>
    <s v="Cero Bolívares con 05/100"/>
  </r>
  <r>
    <n v="138"/>
    <m/>
    <s v="ü"/>
    <d v="2017-03-10T00:00:00"/>
    <n v="0.22"/>
    <x v="11"/>
    <x v="11"/>
    <s v="Calle Guacara Nro. 89-86"/>
    <s v="Cancelación Vigilancia, mes de Marzo 2017"/>
    <s v="Vigilancia"/>
    <s v="https://drive.google.com/open?id=0ByOb8wNqoBtVcTJ2N1lNUHpoR1k"/>
    <s v="00138"/>
    <s v="10 de Marzo de 2017"/>
    <n v="10"/>
    <d v="2017-03-01T00:00:00"/>
    <s v="0,22"/>
    <s v="Cero Bolívares con 22/100"/>
  </r>
  <r>
    <n v="139"/>
    <m/>
    <s v="ü"/>
    <d v="2017-03-16T00:00:00"/>
    <n v="0.17"/>
    <x v="6"/>
    <x v="6"/>
    <s v="Calle Guacara Nro. 89-60"/>
    <s v="Cancelación Vigilancia, mes de Marzo 2017"/>
    <s v="Vigilancia"/>
    <s v="https://drive.google.com/open?id=0ByOb8wNqoBtVejltaUpYVXh5VlE"/>
    <s v="00139"/>
    <s v="16 de Marzo de 2017"/>
    <n v="16"/>
    <d v="2017-03-01T00:00:00"/>
    <s v="0,17"/>
    <s v="Cero Bolívares con 17/100"/>
  </r>
  <r>
    <n v="140"/>
    <m/>
    <s v="ü"/>
    <d v="2017-03-19T00:00:00"/>
    <n v="0.17"/>
    <x v="61"/>
    <x v="14"/>
    <s v="Calle Guacara Nro. 87-07"/>
    <s v="Cancelación Vigilancia, mes de Marzo 2017"/>
    <s v="Vigilancia"/>
    <s v="https://drive.google.com/open?id=0ByOb8wNqoBtVdWZOUWFPdnR1N1E"/>
    <s v="00140"/>
    <s v="19 de Marzo de 2017"/>
    <n v="19"/>
    <d v="2017-03-01T00:00:00"/>
    <s v="0,17"/>
    <s v="Cero Bolívares con 17/100"/>
  </r>
  <r>
    <n v="141"/>
    <m/>
    <s v="ü"/>
    <d v="2017-03-18T00:00:00"/>
    <n v="0.1"/>
    <x v="22"/>
    <x v="20"/>
    <s v="Calle Guacara Nro. 88-25"/>
    <s v="Colaboración Vigilancia, mes de Marzo 2017"/>
    <s v="Vigilancia"/>
    <s v="https://drive.google.com/open?id=0ByOb8wNqoBtVX2NYLWV3YkpZb28"/>
    <s v="00141"/>
    <s v="18 de Marzo de 2017"/>
    <n v="18"/>
    <d v="2017-03-01T00:00:00"/>
    <s v="0,10"/>
    <s v="Cero Bolívares con 10/100"/>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s v="Cero Bolívares con 18/100"/>
  </r>
  <r>
    <n v="143"/>
    <m/>
    <s v="ü"/>
    <d v="2017-03-15T00:00:00"/>
    <n v="0.17"/>
    <x v="29"/>
    <x v="27"/>
    <s v="Calle Guacara Nro. 88-75"/>
    <s v="Cancelación Vigilancia, mes de Marzo 2017"/>
    <s v="Vigilancia"/>
    <s v="https://drive.google.com/open?id=0ByOb8wNqoBtVWV95R2U0RFZyYW8"/>
    <s v="00143"/>
    <s v="15 de Marzo de 2017"/>
    <n v="15"/>
    <d v="2017-03-01T00:00:00"/>
    <s v="0,17"/>
    <s v="Cero Bolívares con 17/100"/>
  </r>
  <r>
    <n v="144"/>
    <m/>
    <s v="ü"/>
    <d v="2017-03-16T00:00:00"/>
    <n v="0.17"/>
    <x v="19"/>
    <x v="17"/>
    <s v="Calle Guacara Nro. 89-130"/>
    <s v="Cancelación Vigilancia, mes de Marzo 2017"/>
    <s v="Vigilancia"/>
    <s v="https://drive.google.com/open?id=0ByOb8wNqoBtVcjJvNUUza2ZRa0k"/>
    <s v="00144"/>
    <s v="16 de Marzo de 2017"/>
    <n v="16"/>
    <d v="2017-03-01T00:00:00"/>
    <s v="0,17"/>
    <s v="Cero Bolívares con 17/100"/>
  </r>
  <r>
    <n v="145"/>
    <m/>
    <s v="ü"/>
    <d v="2017-03-15T00:00:00"/>
    <n v="0.17"/>
    <x v="14"/>
    <x v="13"/>
    <s v="Calle Güigüe Nro. 89-83"/>
    <s v="Cancelación Vigilancia, mes de Marzo 2017"/>
    <s v="Vigilancia"/>
    <s v="https://drive.google.com/open?id=0ByOb8wNqoBtVel83UkE2ZGl3cjA"/>
    <s v="00145"/>
    <s v="15 de Marzo de 2017"/>
    <n v="15"/>
    <d v="2017-03-01T00:00:00"/>
    <s v="0,17"/>
    <s v="Cero Bolívares con 17/100"/>
  </r>
  <r>
    <n v="146"/>
    <m/>
    <s v="ü"/>
    <d v="2017-03-15T00:00:00"/>
    <n v="0.105"/>
    <x v="34"/>
    <x v="31"/>
    <s v="Av. &quot;O&quot; Nro. 146-11"/>
    <s v="Anticipo Vigilancia, mes de Febrero 2017"/>
    <s v="Vigilancia"/>
    <s v="https://drive.google.com/open?id=0ByOb8wNqoBtVU0Nna2k1YjJ4aHc"/>
    <s v="00146"/>
    <s v="15 de Marzo de 2017"/>
    <n v="15"/>
    <d v="2017-03-01T00:00:00"/>
    <s v="0,11"/>
    <s v="Cero Bolívares con 10/100"/>
  </r>
  <r>
    <n v="147"/>
    <m/>
    <s v="ü"/>
    <d v="2017-03-25T00:00:00"/>
    <n v="0.17"/>
    <x v="34"/>
    <x v="31"/>
    <s v="Av. &quot;O&quot; Nro. 146-11"/>
    <s v="Cancelación saldo Vigilancia, mes de Febrero 2017 y anticipo Bs. 10.500 mes de Marzo 2017"/>
    <s v="Vigilancia"/>
    <s v="https://drive.google.com/open?id=0ByOb8wNqoBtVbWI4bUszb2tYckk"/>
    <s v="00147"/>
    <s v="25 de Marzo de 2017"/>
    <n v="25"/>
    <d v="2017-03-01T00:00:00"/>
    <s v="0,17"/>
    <s v="Cero Bolívares con 17/100"/>
  </r>
  <r>
    <n v="148"/>
    <m/>
    <s v="ü"/>
    <d v="2017-03-21T00:00:00"/>
    <n v="0.17"/>
    <x v="36"/>
    <x v="33"/>
    <s v="Calle Güigüe Nro. 89-10"/>
    <s v="Cancelación Vigilancia, mes de Febrero 2017"/>
    <s v="Vigilancia"/>
    <s v="https://drive.google.com/open?id=0ByOb8wNqoBtVcGNWQVhDdkhfVXc"/>
    <s v="00148"/>
    <s v="21 de Marzo de 2017"/>
    <n v="21"/>
    <d v="2017-03-01T00:00:00"/>
    <s v="0,17"/>
    <s v="Cero Bolívares con 17/100"/>
  </r>
  <r>
    <n v="149"/>
    <m/>
    <s v="ü"/>
    <d v="2017-03-24T00:00:00"/>
    <n v="0.17"/>
    <x v="32"/>
    <x v="30"/>
    <s v="Calle Güigüe Nro. 89-120"/>
    <s v="Cancelación Vigilancia, mes de Marzo 2017"/>
    <s v="Vigilancia"/>
    <s v="https://drive.google.com/open?id=0ByOb8wNqoBtVcFRNQVpiR0dNS2M"/>
    <s v="00149"/>
    <s v="24 de Marzo de 2017"/>
    <n v="24"/>
    <d v="2017-03-01T00:00:00"/>
    <s v="0,17"/>
    <s v="Cero Bolívares con 17/100"/>
  </r>
  <r>
    <n v="150"/>
    <m/>
    <s v="ü"/>
    <d v="2017-03-26T00:00:00"/>
    <n v="0.03"/>
    <x v="57"/>
    <x v="9"/>
    <s v="Calle Güigüe Nro. 88-40"/>
    <s v="Colaboración Vigilancia, mes de Marzo 2017"/>
    <s v="Vigilancia"/>
    <s v="https://drive.google.com/open?id=0ByOb8wNqoBtVZTJBYXhQdlBrX0k"/>
    <s v="00150"/>
    <s v="26 de Marzo de 2017"/>
    <n v="26"/>
    <d v="2017-03-01T00:00:00"/>
    <s v="0,03"/>
    <s v="Cero Bolívares con 03/100"/>
  </r>
  <r>
    <n v="151"/>
    <m/>
    <s v="ü"/>
    <d v="2017-03-27T00:00:00"/>
    <n v="0.17"/>
    <x v="24"/>
    <x v="22"/>
    <s v="Calle Güigüe Nro. 88-54"/>
    <s v="Cancelación Vigilancia, mes de Marzo 2017"/>
    <s v="Vigilancia"/>
    <s v="https://drive.google.com/open?id=0ByOb8wNqoBtVQm55c1Jmdm54bTg"/>
    <s v="00151"/>
    <s v="27 de Marzo de 2017"/>
    <n v="27"/>
    <d v="2017-03-01T00:00:00"/>
    <s v="0,17"/>
    <s v="Cero Bolívares con 17/100"/>
  </r>
  <r>
    <n v="152"/>
    <m/>
    <s v="ü"/>
    <d v="2017-03-30T00:00:00"/>
    <n v="0.04"/>
    <x v="28"/>
    <x v="26"/>
    <s v="Calle Güigüe Nro. 88-30"/>
    <s v="Colaboración Vigilancia, mes de Marzo 2017"/>
    <s v="Vigilancia"/>
    <s v="https://drive.google.com/open?id=0ByOb8wNqoBtVLTlOUkRqZEtQYms"/>
    <s v="00152"/>
    <s v="30 de Marzo de 2017"/>
    <n v="30"/>
    <d v="2017-03-01T00:00:00"/>
    <s v="0,04"/>
    <s v="Cero Bolívares con 04/100"/>
  </r>
  <r>
    <n v="153"/>
    <m/>
    <s v="ü"/>
    <d v="2017-03-30T00:00:00"/>
    <n v="0.1"/>
    <x v="56"/>
    <x v="52"/>
    <s v="Calle Güigüe Nro. 88-70"/>
    <s v="Colaboración Vigilancia, mes de Marzo 2017"/>
    <s v="Vigilancia"/>
    <s v="https://drive.google.com/open?id=0ByOb8wNqoBtVb0J3bGZITmRla0k"/>
    <s v="00153"/>
    <s v="30 de Marzo de 2017"/>
    <n v="30"/>
    <d v="2017-03-01T00:00:00"/>
    <s v="0,10"/>
    <s v="Cero Bolívares con 10/100"/>
  </r>
  <r>
    <n v="154"/>
    <m/>
    <s v="ü"/>
    <d v="2017-04-04T00:00:00"/>
    <n v="0.17"/>
    <x v="20"/>
    <x v="18"/>
    <s v="Calle Guacara Nro. 89-30"/>
    <s v="Cancelación Vigilancia, mes de Abril 2017"/>
    <s v="Vigilancia"/>
    <m/>
    <s v="00154"/>
    <s v="04 de Abril de 2017"/>
    <n v="4"/>
    <d v="2017-04-01T00:00:00"/>
    <s v="0,17"/>
    <s v="Cero Bolívares con 17/100"/>
  </r>
  <r>
    <n v="155"/>
    <m/>
    <s v="ü"/>
    <d v="2017-04-04T00:00:00"/>
    <n v="0.21"/>
    <x v="2"/>
    <x v="2"/>
    <s v="Calle Guacara Nro. 88-19"/>
    <s v="Colaboración Vigilancia, meses de Mar-Abr 2017"/>
    <s v="Vigilancia"/>
    <m/>
    <s v="00155"/>
    <s v="04 de Abril de 2017"/>
    <n v="4"/>
    <d v="2017-04-01T00:00:00"/>
    <s v="0,21"/>
    <s v="Cero Bolívares con 21/100"/>
  </r>
  <r>
    <n v="156"/>
    <m/>
    <s v="ü"/>
    <d v="2017-03-27T00:00:00"/>
    <n v="0.34"/>
    <x v="64"/>
    <x v="57"/>
    <s v="Calle Guacara Nro. 88-35"/>
    <s v="Cancelación Vigilancia, meses de Feb-Mar 2017"/>
    <s v="Vigilancia"/>
    <m/>
    <s v="00156"/>
    <s v="27 de Marzo de 2017"/>
    <n v="27"/>
    <d v="2017-03-01T00:00:00"/>
    <s v="0,34"/>
    <s v="Cero Bolívares con 34/100"/>
  </r>
  <r>
    <n v="157"/>
    <m/>
    <s v="ü"/>
    <d v="2017-03-24T00:00:00"/>
    <n v="7.0000000000000007E-2"/>
    <x v="67"/>
    <x v="9"/>
    <s v="Calle Guacara Nro. 90-93"/>
    <s v="Colaboración Vigilancia, meses de Noviembre 2016 a Enero 2017"/>
    <s v="Vigilancia"/>
    <m/>
    <s v="00157"/>
    <s v="24 de Marzo de 2017"/>
    <n v="24"/>
    <d v="2017-03-01T00:00:00"/>
    <s v="0,07"/>
    <s v="Cero Bolívares con 07/100"/>
  </r>
  <r>
    <n v="158"/>
    <m/>
    <s v="ü"/>
    <d v="2017-03-26T00:00:00"/>
    <n v="0.17"/>
    <x v="27"/>
    <x v="25"/>
    <s v="Calle Güigüe Nro. 89-106"/>
    <s v="Cancelación Vigilancia, mes de Marzo 2017"/>
    <s v="Vigilancia"/>
    <m/>
    <s v="00158"/>
    <s v="26 de Marzo de 2017"/>
    <n v="26"/>
    <d v="2017-03-01T00:00:00"/>
    <s v="0,17"/>
    <s v="Cero Bolívares con 17/100"/>
  </r>
  <r>
    <n v="159"/>
    <m/>
    <s v="ü"/>
    <d v="2017-03-31T00:00:00"/>
    <n v="0.17"/>
    <x v="38"/>
    <x v="35"/>
    <s v="Calle Guacara Nro. 89-78"/>
    <s v="Cancelación Vigilancia, mes de Marzo 2017"/>
    <s v="Vigilancia"/>
    <m/>
    <s v="00159"/>
    <s v="31 de Marzo de 2017"/>
    <n v="31"/>
    <d v="2017-03-01T00:00:00"/>
    <s v="0,17"/>
    <s v="Cero Bolívares con 17/100"/>
  </r>
  <r>
    <n v="160"/>
    <m/>
    <s v="ü"/>
    <d v="2017-03-31T00:00:00"/>
    <n v="0.17"/>
    <x v="10"/>
    <x v="10"/>
    <s v="Av. &quot;M&quot; Nro. 146-15"/>
    <s v="Cancelación Vigilancia, mes de Marzo 2017"/>
    <s v="Vigilancia"/>
    <m/>
    <s v="00160"/>
    <s v="31 de Marzo de 2017"/>
    <n v="31"/>
    <d v="2017-03-01T00:00:00"/>
    <s v="0,17"/>
    <s v="Cero Bolívares con 17/100"/>
  </r>
  <r>
    <n v="161"/>
    <m/>
    <s v="ü"/>
    <d v="2017-03-27T00:00:00"/>
    <n v="0.34"/>
    <x v="42"/>
    <x v="39"/>
    <s v="Calle Güigüe Nro. 89-79"/>
    <s v="Cancelación Vigilancia, meses de Mar-Abr 2017"/>
    <s v="Vigilancia"/>
    <m/>
    <s v="00161"/>
    <s v="27 de Marzo de 2017"/>
    <n v="27"/>
    <d v="2017-03-01T00:00:00"/>
    <s v="0,34"/>
    <s v="Cero Bolívares con 34/100"/>
  </r>
  <r>
    <n v="162"/>
    <m/>
    <s v="ü"/>
    <d v="2017-04-03T00:00:00"/>
    <n v="0.1"/>
    <x v="68"/>
    <x v="60"/>
    <s v="Calle Güigüe Nro. 89-29"/>
    <s v="Colaboración Vigilancia, mes de Abril 2017"/>
    <s v="Vigilancia"/>
    <m/>
    <s v="00162"/>
    <s v="03 de Abril de 2017"/>
    <n v="3"/>
    <d v="2017-04-01T00:00:00"/>
    <s v="0,10"/>
    <s v="Cero Bolívares con 10/100"/>
  </r>
  <r>
    <n v="163"/>
    <m/>
    <s v="ü"/>
    <d v="2017-04-05T00:00:00"/>
    <n v="0.17"/>
    <x v="6"/>
    <x v="6"/>
    <s v="Calle Guacara Nro. 89-60"/>
    <s v="Cancelación Vigilancia, mes de Abril 2017"/>
    <s v="Vigilancia"/>
    <m/>
    <s v="00163"/>
    <s v="05 de Abril de 2017"/>
    <n v="5"/>
    <d v="2017-04-01T00:00:00"/>
    <s v="0,17"/>
    <s v="Cero Bolívares con 17/100"/>
  </r>
  <r>
    <n v="164"/>
    <m/>
    <s v="ü"/>
    <d v="2017-04-06T00:00:00"/>
    <n v="0.17"/>
    <x v="1"/>
    <x v="1"/>
    <s v="Calle Güigüe Nro. 88-44"/>
    <s v="Cancelación Vigilancia, mes de Abril 2017"/>
    <s v="Vigilancia"/>
    <m/>
    <s v="00164"/>
    <s v="06 de Abril de 2017"/>
    <n v="6"/>
    <d v="2017-04-01T00:00:00"/>
    <s v="0,17"/>
    <s v="Cero Bolívares con 17/100"/>
  </r>
  <r>
    <n v="165"/>
    <m/>
    <s v="ü"/>
    <d v="2017-04-06T00:00:00"/>
    <n v="0.17"/>
    <x v="0"/>
    <x v="0"/>
    <s v="Calle Guacara Nro. 88-45"/>
    <s v="Cancelación Vigilancia, mes de Abril 2017"/>
    <s v="Vigilancia"/>
    <m/>
    <s v="00165"/>
    <s v="06 de Abril de 2017"/>
    <n v="6"/>
    <d v="2017-04-01T00:00:00"/>
    <s v="0,17"/>
    <s v="Cero Bolívares con 17/100"/>
  </r>
  <r>
    <n v="166"/>
    <m/>
    <s v="ü"/>
    <d v="2017-04-06T00:00:00"/>
    <n v="0.14000000000000001"/>
    <x v="59"/>
    <x v="9"/>
    <s v="Calle Guacara Nro. 90-35"/>
    <s v="Cancelación Saldo Vigilancia, mes de Mar 2017"/>
    <s v="Vigilancia"/>
    <m/>
    <s v="00166"/>
    <s v="06 de Abril de 2017"/>
    <n v="6"/>
    <d v="2017-04-01T00:00:00"/>
    <s v="0,14"/>
    <s v="Cero Bolívares con 14/100"/>
  </r>
  <r>
    <n v="167"/>
    <m/>
    <s v="ü"/>
    <d v="2017-03-15T00:00:00"/>
    <n v="0.17"/>
    <x v="40"/>
    <x v="37"/>
    <s v="Calle Güigüe Nro. 88-101"/>
    <s v="Cancelación Vigilancia, mes de Marzo 2017"/>
    <s v="Vigilancia"/>
    <m/>
    <s v="00167"/>
    <s v="15 de Marzo de 2017"/>
    <n v="15"/>
    <d v="2017-03-01T00:00:00"/>
    <s v="0,17"/>
    <s v="Cero Bolívares con 17/100"/>
  </r>
  <r>
    <n v="168"/>
    <m/>
    <s v="ü"/>
    <d v="2017-04-05T00:00:00"/>
    <n v="0.17"/>
    <x v="43"/>
    <x v="40"/>
    <s v="Calle Güigüe Nro. 88-50"/>
    <s v="Cancelación Vigilancia, mes de Marzo 2017"/>
    <s v="Vigilancia"/>
    <m/>
    <s v="00168"/>
    <s v="05 de Abril de 2017"/>
    <n v="5"/>
    <d v="2017-04-01T00:00:00"/>
    <s v="0,17"/>
    <s v="Cero Bolívares con 17/100"/>
  </r>
  <r>
    <n v="169"/>
    <m/>
    <s v="ü"/>
    <d v="2017-04-06T00:00:00"/>
    <n v="0.17"/>
    <x v="14"/>
    <x v="13"/>
    <s v="Calle Güigüe Nro. 89-83"/>
    <s v="Cancelación Vigilancia, mes de Abril 2017"/>
    <s v="Vigilancia"/>
    <m/>
    <s v="00169"/>
    <s v="06 de Abril de 2017"/>
    <n v="6"/>
    <d v="2017-04-01T00:00:00"/>
    <s v="0,17"/>
    <s v="Cero Bolívares con 17/100"/>
  </r>
  <r>
    <n v="170"/>
    <m/>
    <s v="ü"/>
    <d v="2017-04-09T00:00:00"/>
    <n v="0.17"/>
    <x v="4"/>
    <x v="4"/>
    <s v="Calle Güigüe Nro. 89-55"/>
    <s v="Cancelación Vigilancia, mes de Abril 2017"/>
    <s v="Vigilancia"/>
    <m/>
    <s v="00170"/>
    <s v="09 de Abril de 2017"/>
    <n v="9"/>
    <d v="2017-04-01T00:00:00"/>
    <s v="0,17"/>
    <s v="Cero Bolívares con 17/100"/>
  </r>
  <r>
    <n v="171"/>
    <m/>
    <s v="ü"/>
    <d v="2017-03-13T00:00:00"/>
    <n v="0.17"/>
    <x v="26"/>
    <x v="24"/>
    <s v="Calle Güigüe Nro. 89-96"/>
    <s v="Cancelación Vigilancia, mes de Marzo 2017"/>
    <s v="Vigilancia"/>
    <m/>
    <s v="00171"/>
    <s v="13 de Marzo de 2017"/>
    <n v="13"/>
    <d v="2017-03-01T00:00:00"/>
    <s v="0,17"/>
    <s v="Cero Bolívares con 17/100"/>
  </r>
  <r>
    <n v="172"/>
    <m/>
    <s v="ü"/>
    <d v="2017-04-08T00:00:00"/>
    <n v="0.17"/>
    <x v="26"/>
    <x v="24"/>
    <s v="Calle Güigüe Nro. 89-96"/>
    <s v="Cancelación Vigilancia, mes de Abril 2017"/>
    <s v="Vigilancia"/>
    <m/>
    <s v="00172"/>
    <s v="08 de Abril de 2017"/>
    <n v="8"/>
    <d v="2017-04-01T00:00:00"/>
    <s v="0,17"/>
    <s v="Cero Bolívares con 17/100"/>
  </r>
  <r>
    <n v="173"/>
    <m/>
    <s v="ü"/>
    <d v="2017-04-11T00:00:00"/>
    <n v="0.1"/>
    <x v="35"/>
    <x v="32"/>
    <s v="Calle Güigüe Nro. 89-80"/>
    <s v="Colaboración Vigilancia, mes de Abril 2017"/>
    <s v="Vigilancia"/>
    <m/>
    <s v="00173"/>
    <s v="11 de Abril de 2017"/>
    <n v="11"/>
    <d v="2017-04-01T00:00:00"/>
    <s v="0,10"/>
    <s v="Cero Bolívares con 10/100"/>
  </r>
  <r>
    <n v="174"/>
    <m/>
    <s v="ü"/>
    <d v="2017-04-12T00:00:00"/>
    <n v="0.34"/>
    <x v="37"/>
    <x v="34"/>
    <s v="Av. &quot;I&quot; Nro. 146-40"/>
    <s v="Cancelación Vigilancia, meses de Mar-Abr 2017"/>
    <s v="Vigilancia"/>
    <m/>
    <s v="00174"/>
    <s v="12 de Abril de 2017"/>
    <n v="12"/>
    <d v="2017-04-01T00:00:00"/>
    <s v="0,34"/>
    <s v="Cero Bolívares con 34/100"/>
  </r>
  <r>
    <n v="175"/>
    <m/>
    <s v="ü"/>
    <d v="2017-04-06T00:00:00"/>
    <n v="0.05"/>
    <x v="13"/>
    <x v="9"/>
    <s v="Calle Güigüe Nro. 89-90"/>
    <s v="Colaboración Vigilancia, mes de Abril 2017"/>
    <s v="Vigilancia"/>
    <m/>
    <s v="00175"/>
    <s v="06 de Abril de 2017"/>
    <n v="6"/>
    <d v="2017-04-01T00:00:00"/>
    <s v="0,05"/>
    <s v="Cero Bolívares con 05/100"/>
  </r>
  <r>
    <n v="176"/>
    <m/>
    <s v="ü"/>
    <d v="2017-04-06T00:00:00"/>
    <n v="0.12"/>
    <x v="25"/>
    <x v="23"/>
    <s v="Calle Güigüe Nro. 88-58"/>
    <s v="Colaboración Vigilancia, mes de Febrero 2017"/>
    <s v="Vigilancia"/>
    <m/>
    <s v="00176"/>
    <s v="06 de Abril de 2017"/>
    <n v="6"/>
    <d v="2017-04-01T00:00:00"/>
    <s v="0,12"/>
    <s v="Cero Bolívares con 12/100"/>
  </r>
  <r>
    <n v="177"/>
    <m/>
    <s v="ü"/>
    <d v="2017-04-16T00:00:00"/>
    <n v="0.17"/>
    <x v="12"/>
    <x v="12"/>
    <s v="Calle Guacara Nro. 89-20"/>
    <s v="Cancelación Vigilancia, mes de Abril 2017"/>
    <s v="Vigilancia"/>
    <m/>
    <s v="00177"/>
    <s v="16 de Abril de 2017"/>
    <n v="16"/>
    <d v="2017-04-01T00:00:00"/>
    <s v="0,17"/>
    <s v="Cero Bolívares con 17/100"/>
  </r>
  <r>
    <n v="178"/>
    <m/>
    <s v="ü"/>
    <d v="2017-04-17T00:00:00"/>
    <n v="0.44"/>
    <x v="11"/>
    <x v="11"/>
    <s v="Calle Guacara Nro. 89-86"/>
    <s v="Cancelación Vigilancia, meses de Abril y Mayo 2017 *DEFINITIVO*"/>
    <s v="Vigilancia"/>
    <m/>
    <s v="00178"/>
    <s v="17 de Abril de 2017"/>
    <n v="17"/>
    <d v="2017-04-01T00:00:00"/>
    <s v="0,44"/>
    <s v="Cero Bolívares con 44/100"/>
  </r>
  <r>
    <n v="179"/>
    <m/>
    <s v="ü"/>
    <d v="2017-04-17T00:00:00"/>
    <n v="0.1"/>
    <x v="22"/>
    <x v="20"/>
    <s v="Calle Guacara Nro. 88-25"/>
    <s v="Colaboración Vigilancia, mes de Abril 2017"/>
    <s v="Vigilancia"/>
    <m/>
    <s v="00179"/>
    <s v="17 de Abril de 2017"/>
    <n v="17"/>
    <d v="2017-04-01T00:00:00"/>
    <s v="0,10"/>
    <s v="Cero Bolívares con 10/100"/>
  </r>
  <r>
    <n v="180"/>
    <m/>
    <s v="ü"/>
    <d v="2017-04-17T00:00:00"/>
    <n v="0.17"/>
    <x v="29"/>
    <x v="27"/>
    <s v="Calle Guacara Nro. 88-75"/>
    <s v="Cancelación Vigilancia, mes de Abril 2017"/>
    <s v="Vigilancia"/>
    <m/>
    <s v="00180"/>
    <s v="17 de Abril de 2017"/>
    <n v="17"/>
    <d v="2017-04-01T00:00:00"/>
    <s v="0,17"/>
    <s v="Cero Bolívares con 17/100"/>
  </r>
  <r>
    <n v="181"/>
    <m/>
    <s v="ü"/>
    <d v="2017-04-16T00:00:00"/>
    <n v="0.17"/>
    <x v="19"/>
    <x v="17"/>
    <s v="Calle Guacara Nro. 89-130"/>
    <s v="Cancelación Vigilancia, mes de Abril 2017"/>
    <s v="Vigilancia"/>
    <m/>
    <s v="00181"/>
    <s v="16 de Abril de 2017"/>
    <n v="16"/>
    <d v="2017-04-01T00:00:00"/>
    <s v="0,17"/>
    <s v="Cero Bolívares con 17/100"/>
  </r>
  <r>
    <n v="182"/>
    <m/>
    <s v="ü"/>
    <d v="2017-04-17T00:00:00"/>
    <n v="0.32"/>
    <x v="48"/>
    <x v="45"/>
    <s v="Calle Güigüe Nro. 88-90"/>
    <s v="Colaboración Vigilancia, meses de Mar-Abr 2017"/>
    <s v="Vigilancia"/>
    <m/>
    <s v="00182"/>
    <s v="17 de Abril de 2017"/>
    <n v="17"/>
    <d v="2017-04-01T00:00:00"/>
    <s v="0,32"/>
    <s v="Cero Bolívares con 32/100"/>
  </r>
  <r>
    <n v="183"/>
    <m/>
    <s v="ü"/>
    <d v="2017-04-18T00:00:00"/>
    <n v="0.17"/>
    <x v="32"/>
    <x v="30"/>
    <s v="Calle Güigüe Nro. 89-120"/>
    <s v="Cancelación Vigilancia, mes de Abril 2017"/>
    <s v="Vigilancia"/>
    <m/>
    <s v="00183"/>
    <s v="18 de Abril de 2017"/>
    <n v="18"/>
    <d v="2017-04-01T00:00:00"/>
    <s v="0,17"/>
    <s v="Cero Bolívares con 17/100"/>
  </r>
  <r>
    <n v="184"/>
    <m/>
    <s v="ü"/>
    <d v="2017-04-17T00:00:00"/>
    <n v="0.34"/>
    <x v="54"/>
    <x v="50"/>
    <s v="Calle Güigüe Nro. 89-21"/>
    <s v="Cancelación Vigilancia, meses de Mar-Abr 2017"/>
    <s v="Vigilancia"/>
    <m/>
    <s v="00184"/>
    <s v="17 de Abril de 2017"/>
    <n v="17"/>
    <d v="2017-04-01T00:00:00"/>
    <s v="0,34"/>
    <s v="Cero Bolívares con 34/100"/>
  </r>
  <r>
    <n v="185"/>
    <m/>
    <s v="ü"/>
    <d v="2017-04-17T00:00:00"/>
    <n v="0.17"/>
    <x v="61"/>
    <x v="14"/>
    <s v="Calle Guacara Nro. 87-07"/>
    <s v="Cancelación Vigilancia, mes de Abril 2017"/>
    <s v="Vigilancia"/>
    <m/>
    <s v="00185"/>
    <s v="17 de Abril de 2017"/>
    <n v="17"/>
    <d v="2017-04-01T00:00:00"/>
    <s v="0,17"/>
    <s v="Cero Bolívares con 17/100"/>
  </r>
  <r>
    <n v="186"/>
    <m/>
    <s v="ü"/>
    <d v="2017-04-20T00:00:00"/>
    <n v="0.1"/>
    <x v="15"/>
    <x v="14"/>
    <s v="Calle Guacara Nro. 89-94"/>
    <s v="Colaboración Vigilancia, mes de Abril 2017"/>
    <s v="Vigilancia"/>
    <m/>
    <s v="00186"/>
    <s v="20 de Abril de 2017"/>
    <n v="20"/>
    <d v="2017-04-01T00:00:00"/>
    <s v="0,10"/>
    <s v="Cero Bolívares con 10/100"/>
  </r>
  <r>
    <n v="187"/>
    <m/>
    <s v="ü"/>
    <d v="2017-04-06T00:00:00"/>
    <n v="7.0000000000000007E-2"/>
    <x v="7"/>
    <x v="7"/>
    <s v="Calle Guacara Nro. 87-86"/>
    <s v="Colaboración Vigilancia, mes de Abril 2017"/>
    <s v="Vigilancia"/>
    <m/>
    <s v="00187"/>
    <s v="06 de Abril de 2017"/>
    <n v="6"/>
    <d v="2017-04-01T00:00:00"/>
    <s v="0,07"/>
    <s v="Cero Bolívares con 07/100"/>
  </r>
  <r>
    <n v="188"/>
    <m/>
    <s v="ü"/>
    <d v="2017-04-20T00:00:00"/>
    <n v="0.03"/>
    <x v="57"/>
    <x v="9"/>
    <s v="Calle Güigüe Nro. 88-40"/>
    <s v="Colaboración Vigilancia, mes de Abril 2017"/>
    <s v="Vigilancia"/>
    <m/>
    <s v="00188"/>
    <s v="20 de Abril de 2017"/>
    <n v="20"/>
    <d v="2017-04-01T00:00:00"/>
    <s v="0,03"/>
    <s v="Cero Bolívares con 03/100"/>
  </r>
  <r>
    <n v="189"/>
    <m/>
    <s v="ü"/>
    <d v="2017-01-15T00:00:00"/>
    <n v="0.12"/>
    <x v="69"/>
    <x v="61"/>
    <s v="Calle Güigüe Nro. 89-40"/>
    <s v="Colaboración Vigilancia, mes de Enero 2017"/>
    <s v="Vigilancia"/>
    <m/>
    <s v="00189"/>
    <s v="15 de Enero de 2017"/>
    <n v="15"/>
    <d v="2017-01-01T00:00:00"/>
    <s v="0,12"/>
    <s v="Cero Bolívares con 12/100"/>
  </r>
  <r>
    <n v="190"/>
    <m/>
    <s v="ü"/>
    <d v="2017-02-16T00:00:00"/>
    <n v="0.12"/>
    <x v="69"/>
    <x v="61"/>
    <s v="Calle Güigüe Nro. 89-40"/>
    <s v="Colaboración Vigilancia, mes de Febrero 2017"/>
    <s v="Vigilancia"/>
    <m/>
    <s v="00190"/>
    <s v="16 de Febrero de 2017"/>
    <n v="16"/>
    <d v="2017-02-01T00:00:00"/>
    <s v="0,12"/>
    <s v="Cero Bolívares con 12/100"/>
  </r>
  <r>
    <n v="191"/>
    <m/>
    <s v="ü"/>
    <d v="2017-03-15T00:00:00"/>
    <n v="0.12"/>
    <x v="69"/>
    <x v="61"/>
    <s v="Calle Güigüe Nro. 89-40"/>
    <s v="Colaboración Vigilancia, mes de Marzo 2017"/>
    <s v="Vigilancia"/>
    <m/>
    <s v="00191"/>
    <s v="15 de Marzo de 2017"/>
    <n v="15"/>
    <d v="2017-03-01T00:00:00"/>
    <s v="0,12"/>
    <s v="Cero Bolívares con 12/100"/>
  </r>
  <r>
    <n v="192"/>
    <m/>
    <s v="ü"/>
    <d v="2017-04-21T00:00:00"/>
    <n v="0.34"/>
    <x v="62"/>
    <x v="55"/>
    <s v="Av. &quot;M&quot; Nro. 145-10"/>
    <s v="Cancelación Vigilancia, meses de Mar-Abr 2017"/>
    <s v="Vigilancia"/>
    <m/>
    <s v="00192"/>
    <s v="21 de Abril de 2017"/>
    <n v="21"/>
    <d v="2017-04-01T00:00:00"/>
    <s v="0,34"/>
    <s v="Cero Bolívares con 34/100"/>
  </r>
  <r>
    <n v="193"/>
    <m/>
    <s v="ü"/>
    <d v="2017-04-21T00:00:00"/>
    <n v="0.17"/>
    <x v="23"/>
    <x v="21"/>
    <s v="Calle Güigüe Nro. 88-116"/>
    <s v="Cancelación Vigilancia, mes de Abril 2017"/>
    <s v="Vigilancia"/>
    <m/>
    <s v="00193"/>
    <s v="21 de Abril de 2017"/>
    <n v="21"/>
    <d v="2017-04-01T00:00:00"/>
    <s v="0,17"/>
    <s v="Cero Bolívares con 17/100"/>
  </r>
  <r>
    <n v="194"/>
    <m/>
    <s v="ü"/>
    <d v="2017-04-20T00:00:00"/>
    <n v="0.17"/>
    <x v="36"/>
    <x v="33"/>
    <s v="Calle Güigüe Nro. 89-10"/>
    <s v="Cancelación Vigilancia, mes de Marzo 2017"/>
    <s v="Vigilancia"/>
    <m/>
    <s v="00194"/>
    <s v="20 de Abril de 2017"/>
    <n v="20"/>
    <d v="2017-04-01T00:00:00"/>
    <s v="0,17"/>
    <s v="Cero Bolívares con 17/100"/>
  </r>
  <r>
    <n v="195"/>
    <m/>
    <s v="ü"/>
    <d v="2017-04-22T00:00:00"/>
    <n v="0.17"/>
    <x v="5"/>
    <x v="5"/>
    <s v="Calle Güigüe Nro. 88-120"/>
    <s v="Cancelación Vigilancia, mes de Abril 2017"/>
    <s v="Vigilancia"/>
    <m/>
    <s v="00195"/>
    <s v="22 de Abril de 2017"/>
    <n v="22"/>
    <d v="2017-04-01T00:00:00"/>
    <s v="0,17"/>
    <s v="Cero Bolívares con 17/100"/>
  </r>
  <r>
    <n v="196"/>
    <m/>
    <s v="ü"/>
    <d v="2017-04-22T00:00:00"/>
    <n v="0.34"/>
    <x v="70"/>
    <x v="9"/>
    <s v="Calle Guacara Nro. 89-70"/>
    <s v="Cancelación Vigilancia, meses de Ene-Feb 2017"/>
    <s v="Vigilancia"/>
    <m/>
    <s v="00196"/>
    <s v="22 de Abril de 2017"/>
    <n v="22"/>
    <d v="2017-04-01T00:00:00"/>
    <s v="0,34"/>
    <s v="Cero Bolívares con 34/100"/>
  </r>
  <r>
    <n v="197"/>
    <m/>
    <s v="ü"/>
    <d v="2017-04-23T00:00:00"/>
    <n v="0.34"/>
    <x v="39"/>
    <x v="36"/>
    <s v="Calle Güigüe Nro. 88-111"/>
    <s v="Cancelación Vigilancia, meses de Feb-Mar 2017"/>
    <s v="Vigilancia"/>
    <m/>
    <s v="00197"/>
    <s v="23 de Abril de 2017"/>
    <n v="23"/>
    <d v="2017-04-01T00:00:00"/>
    <s v="0,34"/>
    <s v="Cero Bolívares con 34/100"/>
  </r>
  <r>
    <n v="198"/>
    <m/>
    <s v="ü"/>
    <d v="2017-04-23T00:00:00"/>
    <n v="0.3"/>
    <x v="71"/>
    <x v="62"/>
    <s v="Calle Güigüe Nro. 89-71"/>
    <s v="Colaboración Vigilancia, meses de Ene-Mar 2017"/>
    <s v="Vigilancia"/>
    <m/>
    <s v="00198"/>
    <s v="23 de Abril de 2017"/>
    <n v="23"/>
    <d v="2017-04-01T00:00:00"/>
    <s v="0,30"/>
    <s v="Cero Bolívares con 30/100"/>
  </r>
  <r>
    <n v="199"/>
    <m/>
    <s v="ü"/>
    <d v="2017-04-24T00:00:00"/>
    <n v="0.17"/>
    <x v="40"/>
    <x v="37"/>
    <s v="Calle Güigüe Nro. 88-101"/>
    <s v="Cancelación Vigilancia, mes de Abril 2017"/>
    <s v="Vigilancia"/>
    <m/>
    <s v="00199"/>
    <s v="24 de Abril de 2017"/>
    <n v="24"/>
    <d v="2017-04-01T00:00:00"/>
    <s v="0,17"/>
    <s v="Cero Bolívares con 17/100"/>
  </r>
  <r>
    <n v="200"/>
    <m/>
    <s v="ü"/>
    <d v="2017-04-24T00:00:00"/>
    <n v="0.54"/>
    <x v="44"/>
    <x v="41"/>
    <s v="Calle Guacara Nro. 89-40"/>
    <s v="Cancelación Saldo Vigilancia, mes de Enero 2017 y Cancelación Vigilancia, meses de Feb-Abr 2017"/>
    <s v="Vigilancia"/>
    <m/>
    <s v="00200"/>
    <s v="24 de Abril de 2017"/>
    <n v="24"/>
    <d v="2017-04-01T00:00:00"/>
    <s v="0,54"/>
    <s v="Cero Bolívares con 54/100"/>
  </r>
  <r>
    <n v="201"/>
    <m/>
    <s v="ü"/>
    <d v="2017-03-10T00:00:00"/>
    <n v="0.17"/>
    <x v="30"/>
    <x v="28"/>
    <s v="Calle Güigüe Nro. 89-04"/>
    <s v="Cancelación Vigilancia, mes de Marzo 2017"/>
    <s v="Vigilancia"/>
    <m/>
    <s v="00201"/>
    <s v="10 de Marzo de 2017"/>
    <n v="10"/>
    <d v="2017-03-01T00:00:00"/>
    <s v="0,17"/>
    <s v="Cero Bolívares con 17/100"/>
  </r>
  <r>
    <n v="202"/>
    <m/>
    <s v="ü"/>
    <d v="2017-04-21T00:00:00"/>
    <n v="0.17"/>
    <x v="30"/>
    <x v="28"/>
    <s v="Calle Güigüe Nro. 89-04"/>
    <s v="Cancelación Vigilancia, mes de Abril 2017"/>
    <s v="Vigilancia"/>
    <m/>
    <s v="00202"/>
    <s v="21 de Abril de 2017"/>
    <n v="21"/>
    <d v="2017-04-01T00:00:00"/>
    <s v="0,17"/>
    <s v="Cero Bolívares con 17/100"/>
  </r>
  <r>
    <n v="203"/>
    <m/>
    <s v="ü"/>
    <d v="2017-04-26T00:00:00"/>
    <n v="0.34"/>
    <x v="49"/>
    <x v="46"/>
    <s v="Av. &quot;O&quot; Nro. 146-17"/>
    <s v="Cancelación Vigilancia, meses de Mar-Abr 2017"/>
    <s v="Vigilancia"/>
    <m/>
    <s v="00203"/>
    <s v="26 de Abril de 2017"/>
    <n v="26"/>
    <d v="2017-04-01T00:00:00"/>
    <s v="0,34"/>
    <s v="Cero Bolívares con 34/100"/>
  </r>
  <r>
    <n v="204"/>
    <m/>
    <s v="ü"/>
    <d v="2017-04-27T00:00:00"/>
    <n v="0.17"/>
    <x v="18"/>
    <x v="16"/>
    <s v="Calle Guacara Nro. 87-100"/>
    <s v="Cancelación Vigilancia, mes de Abril 2017"/>
    <s v="Vigilancia"/>
    <m/>
    <s v="00204"/>
    <s v="27 de Abril de 2017"/>
    <n v="27"/>
    <d v="2017-04-01T00:00:00"/>
    <s v="0,17"/>
    <s v="Cero Bolívares con 17/100"/>
  </r>
  <r>
    <n v="205"/>
    <m/>
    <s v="ü"/>
    <d v="2017-04-27T00:00:00"/>
    <n v="0.03"/>
    <x v="17"/>
    <x v="16"/>
    <s v="Av. &quot;M&quot; Nro. 146-20"/>
    <s v="Colaboración Vigilancia, mes de Abril 2017"/>
    <s v="Vigilancia"/>
    <m/>
    <s v="00205"/>
    <s v="27 de Abril de 2017"/>
    <n v="27"/>
    <d v="2017-04-01T00:00:00"/>
    <s v="0,03"/>
    <s v="Cero Bolívares con 03/100"/>
  </r>
  <r>
    <n v="206"/>
    <m/>
    <s v="ü"/>
    <d v="2017-04-27T00:00:00"/>
    <n v="0.17"/>
    <x v="69"/>
    <x v="61"/>
    <s v="Calle Güigüe Nro. 89-40"/>
    <s v="Colaboración Vigilancia, mes de Abril 2017"/>
    <s v="Vigilancia"/>
    <m/>
    <s v="00206"/>
    <s v="27 de Abril de 2017"/>
    <n v="27"/>
    <d v="2017-04-01T00:00:00"/>
    <s v="0,17"/>
    <s v="Cero Bolívares con 17/100"/>
  </r>
  <r>
    <n v="207"/>
    <m/>
    <s v="ü"/>
    <d v="2017-03-27T00:00:00"/>
    <n v="0.105"/>
    <x v="50"/>
    <x v="47"/>
    <s v="Av. &quot;I&quot; Nro. 146-30"/>
    <s v="Colaboración Vigilancia, mes de Febrero 2017"/>
    <s v="Vigilancia"/>
    <m/>
    <s v="00207"/>
    <s v="27 de Marzo de 2017"/>
    <n v="27"/>
    <d v="2017-03-01T00:00:00"/>
    <s v="0,11"/>
    <s v="Cero Bolívares con 10/100"/>
  </r>
  <r>
    <n v="208"/>
    <m/>
    <s v="ü"/>
    <d v="2017-05-02T00:00:00"/>
    <n v="0.1"/>
    <x v="58"/>
    <x v="53"/>
    <s v="Calle Güigüe Nro. 88-51"/>
    <s v="Colaboración Vigilancia, mes de Abril 2017"/>
    <s v="Vigilancia"/>
    <m/>
    <s v="00208"/>
    <s v="02 de Mayo de 2017"/>
    <n v="2"/>
    <d v="2017-05-01T00:00:00"/>
    <s v="0,10"/>
    <s v="Cero Bolívares con 10/100"/>
  </r>
  <r>
    <n v="209"/>
    <m/>
    <s v="ü"/>
    <d v="2017-05-05T00:00:00"/>
    <n v="0.17"/>
    <x v="56"/>
    <x v="52"/>
    <s v="Calle Güigüe Nro. 88-70"/>
    <s v="Cancelación Vigilancia, mes de Abril 2017"/>
    <s v="Vigilancia"/>
    <m/>
    <s v="00209"/>
    <s v="05 de Mayo de 2017"/>
    <n v="5"/>
    <d v="2017-05-01T00:00:00"/>
    <s v="0,17"/>
    <s v="Cero Bolívares con 17/100"/>
  </r>
  <r>
    <n v="210"/>
    <m/>
    <s v="ü"/>
    <d v="2017-05-05T00:00:00"/>
    <n v="0.17"/>
    <x v="32"/>
    <x v="30"/>
    <s v="Calle Güigüe Nro. 89-120"/>
    <s v="Anticipo Vigilancia, mes de Mayo 2017"/>
    <s v="Vigilancia"/>
    <m/>
    <s v="00210"/>
    <s v="05 de Mayo de 2017"/>
    <n v="5"/>
    <d v="2017-05-01T00:00:00"/>
    <s v="0,17"/>
    <s v="Cero Bolívares con 17/100"/>
  </r>
  <r>
    <n v="211"/>
    <m/>
    <s v="ü"/>
    <d v="2017-05-05T00:00:00"/>
    <n v="0.17"/>
    <x v="10"/>
    <x v="10"/>
    <s v="Av. &quot;M&quot; Nro. 146-15"/>
    <s v="Cancelación Vigilancia, mes de Abril 2017"/>
    <s v="Vigilancia"/>
    <m/>
    <s v="00211"/>
    <s v="05 de Mayo de 2017"/>
    <n v="5"/>
    <d v="2017-05-01T00:00:00"/>
    <s v="0,17"/>
    <s v="Cero Bolívares con 17/100"/>
  </r>
  <r>
    <n v="212"/>
    <m/>
    <s v="ü"/>
    <d v="2017-05-05T00:00:00"/>
    <n v="0.17"/>
    <x v="27"/>
    <x v="25"/>
    <s v="Calle Güigüe Nro. 89-106"/>
    <s v="Cancelación Vigilancia, mes de Abril 2017"/>
    <s v="Vigilancia"/>
    <m/>
    <s v="00212"/>
    <s v="05 de Mayo de 2017"/>
    <n v="5"/>
    <d v="2017-05-01T00:00:00"/>
    <s v="0,17"/>
    <s v="Cero Bolívares con 17/100"/>
  </r>
  <r>
    <n v="213"/>
    <m/>
    <s v="ü"/>
    <d v="2017-04-28T00:00:00"/>
    <n v="0.05"/>
    <x v="72"/>
    <x v="63"/>
    <s v="Calle Güigüe Nro. 89-35"/>
    <s v="Colaboración Vigilancia, mes de Abril 2017"/>
    <s v="Vigilancia"/>
    <m/>
    <s v="00213"/>
    <s v="28 de Abril de 2017"/>
    <n v="28"/>
    <d v="2017-04-01T00:00:00"/>
    <s v="0,05"/>
    <s v="Cero Bolívares con 05/100"/>
  </r>
  <r>
    <n v="214"/>
    <m/>
    <s v="ü"/>
    <d v="2017-05-06T00:00:00"/>
    <n v="0.26"/>
    <x v="6"/>
    <x v="6"/>
    <s v="Calle Guacara Nro. 89-60"/>
    <s v="Cancelación Vigilancia, mes de Mayo 2017"/>
    <s v="Vigilancia"/>
    <m/>
    <s v="00214"/>
    <s v="06 de Mayo de 2017"/>
    <n v="6"/>
    <d v="2017-05-01T00:00:00"/>
    <s v="0,26"/>
    <s v="Cero Bolívares con 26/100"/>
  </r>
  <r>
    <n v="215"/>
    <m/>
    <s v="ü"/>
    <d v="2017-04-05T00:00:00"/>
    <n v="0.17"/>
    <x v="16"/>
    <x v="15"/>
    <s v="Calle Guacara Nro. 90-81"/>
    <s v="Cancelación Vigilancia, mes de Abril 2017"/>
    <s v="Vigilancia"/>
    <m/>
    <s v="00215"/>
    <s v="05 de Abril de 2017"/>
    <n v="5"/>
    <d v="2017-04-01T00:00:00"/>
    <s v="0,17"/>
    <s v="Cero Bolívares con 17/100"/>
  </r>
  <r>
    <n v="216"/>
    <m/>
    <s v="ü"/>
    <d v="2017-05-03T00:00:00"/>
    <n v="0.17"/>
    <x v="16"/>
    <x v="15"/>
    <s v="Calle Guacara Nro. 90-81"/>
    <s v="Anticipo Vigilancia, mes de Mayo 2017"/>
    <s v="Vigilancia"/>
    <m/>
    <s v="00216"/>
    <s v="03 de Mayo de 2017"/>
    <n v="3"/>
    <d v="2017-05-01T00:00:00"/>
    <s v="0,17"/>
    <s v="Cero Bolívares con 17/100"/>
  </r>
  <r>
    <n v="217"/>
    <m/>
    <s v="ü"/>
    <d v="2017-05-07T00:00:00"/>
    <n v="0.09"/>
    <x v="16"/>
    <x v="15"/>
    <s v="Calle Guacara Nro. 90-81"/>
    <s v="Cancelación Saldo Vigilancia, mes de Mayo 2017"/>
    <s v="Vigilancia"/>
    <m/>
    <s v="00217"/>
    <s v="07 de Mayo de 2017"/>
    <n v="7"/>
    <d v="2017-05-01T00:00:00"/>
    <s v="0,09"/>
    <s v="Cero Bolívares con 09/100"/>
  </r>
  <r>
    <n v="218"/>
    <m/>
    <s v="ü"/>
    <d v="2017-05-07T00:00:00"/>
    <n v="0.26"/>
    <x v="5"/>
    <x v="5"/>
    <s v="Calle Güigüe Nro. 88-120"/>
    <s v="Cancelación Vigilancia, mes de Mayo 2017"/>
    <s v="Vigilancia"/>
    <m/>
    <s v="00218"/>
    <s v="07 de Mayo de 2017"/>
    <n v="7"/>
    <d v="2017-05-01T00:00:00"/>
    <s v="0,26"/>
    <s v="Cero Bolívares con 26/100"/>
  </r>
  <r>
    <n v="219"/>
    <m/>
    <s v="ü"/>
    <d v="2017-05-07T00:00:00"/>
    <n v="0.26"/>
    <x v="1"/>
    <x v="1"/>
    <s v="Calle Güigüe Nro. 88-44"/>
    <s v="Cancelación Vigilancia, mes de Mayo 2017"/>
    <s v="Vigilancia"/>
    <m/>
    <s v="00219"/>
    <s v="07 de Mayo de 2017"/>
    <n v="7"/>
    <d v="2017-05-01T00:00:00"/>
    <s v="0,26"/>
    <s v="Cero Bolívares con 26/100"/>
  </r>
  <r>
    <n v="220"/>
    <m/>
    <s v="ü"/>
    <d v="2017-05-07T00:00:00"/>
    <n v="0.17"/>
    <x v="34"/>
    <x v="9"/>
    <s v="Av. &quot;O&quot; Nro. 146-11"/>
    <s v="Cancelación Vigilancia, mes de Abril 2017"/>
    <s v="Vigilancia"/>
    <m/>
    <s v="00220"/>
    <s v="07 de Mayo de 2017"/>
    <n v="7"/>
    <d v="2017-05-01T00:00:00"/>
    <s v="0,17"/>
    <s v="Cero Bolívares con 17/100"/>
  </r>
  <r>
    <n v="221"/>
    <m/>
    <s v="ü"/>
    <d v="2017-02-15T00:00:00"/>
    <n v="0.2"/>
    <x v="9"/>
    <x v="9"/>
    <s v="Av. &quot;M&quot; Nro. 146-30"/>
    <s v="Cancelación Vigilancia, mes de Febrero 2017"/>
    <s v="Vigilancia"/>
    <m/>
    <s v="00221"/>
    <s v="15 de Febrero de 2017"/>
    <n v="15"/>
    <d v="2017-02-01T00:00:00"/>
    <s v="0,20"/>
    <s v="Cero Bolívares con 20/100"/>
  </r>
  <r>
    <n v="222"/>
    <m/>
    <s v="ü"/>
    <d v="2017-01-15T00:00:00"/>
    <n v="0.3"/>
    <x v="73"/>
    <x v="9"/>
    <s v="Calle Güigüe Nros. 88-71 y 88-81"/>
    <s v="Cancelación Vigilancia, mes de Enero 2017"/>
    <s v="Vigilancia"/>
    <m/>
    <s v="00222"/>
    <s v="15 de Enero de 2017"/>
    <n v="15"/>
    <d v="2017-01-01T00:00:00"/>
    <s v="0,30"/>
    <s v="Cero Bolívares con 30/100"/>
  </r>
  <r>
    <n v="223"/>
    <m/>
    <s v="ü"/>
    <d v="2017-05-08T00:00:00"/>
    <n v="0.26"/>
    <x v="12"/>
    <x v="12"/>
    <s v="Calle Guacara Nro. 89-20"/>
    <s v="Cancelación Vigilancia, mes de Mayo 2017"/>
    <s v="Vigilancia"/>
    <m/>
    <s v="00223"/>
    <s v="08 de Mayo de 2017"/>
    <n v="8"/>
    <d v="2017-05-01T00:00:00"/>
    <s v="0,26"/>
    <s v="Cero Bolívares con 26/100"/>
  </r>
  <r>
    <n v="224"/>
    <m/>
    <s v="ü"/>
    <d v="2017-05-08T00:00:00"/>
    <n v="0.26"/>
    <x v="0"/>
    <x v="0"/>
    <s v="Calle Guacara Nro. 88-45"/>
    <s v="Cancelación Vigilancia, mes de Mayo 2017"/>
    <s v="Vigilancia"/>
    <m/>
    <s v="00224"/>
    <s v="08 de Mayo de 2017"/>
    <n v="8"/>
    <d v="2017-05-01T00:00:00"/>
    <s v="0,26"/>
    <s v="Cero Bolívares con 26/100"/>
  </r>
  <r>
    <n v="225"/>
    <m/>
    <s v="ü"/>
    <d v="2017-03-15T00:00:00"/>
    <n v="0.17"/>
    <x v="8"/>
    <x v="8"/>
    <s v="Calle Guacara Nro. 90-51"/>
    <s v="Cancelación Vigilancia, mes de Marzo 2017"/>
    <s v="Vigilancia"/>
    <m/>
    <s v="00225"/>
    <s v="15 de Marzo de 2017"/>
    <n v="15"/>
    <d v="2017-03-01T00:00:00"/>
    <s v="0,17"/>
    <s v="Cero Bolívares con 17/100"/>
  </r>
  <r>
    <n v="226"/>
    <m/>
    <s v="ü"/>
    <d v="2017-05-08T00:00:00"/>
    <n v="0.34"/>
    <x v="46"/>
    <x v="43"/>
    <s v="Av. &quot;I&quot; Nro. 146-20"/>
    <s v="Cancelación Vigilancia, mes de Abr 2017 y anticipo May 2017"/>
    <s v="Vigilancia"/>
    <m/>
    <s v="00226"/>
    <s v="08 de Mayo de 2017"/>
    <n v="8"/>
    <d v="2017-05-01T00:00:00"/>
    <s v="0,34"/>
    <s v="Cero Bolívares con 34/100"/>
  </r>
  <r>
    <n v="227"/>
    <m/>
    <s v="ü"/>
    <d v="2017-03-15T00:00:00"/>
    <n v="0.17"/>
    <x v="65"/>
    <x v="58"/>
    <s v="Calle Güigüe Nro. 88-10"/>
    <s v="Cancelación Vigilancia, mes de Febrero 2017"/>
    <s v="Vigilancia"/>
    <m/>
    <s v="00227"/>
    <s v="15 de Marzo de 2017"/>
    <n v="15"/>
    <d v="2017-03-01T00:00:00"/>
    <s v="0,17"/>
    <s v="Cero Bolívares con 17/100"/>
  </r>
  <r>
    <n v="228"/>
    <m/>
    <s v="û"/>
    <m/>
    <m/>
    <x v="65"/>
    <x v="58"/>
    <s v="Calle Güigüe Nro. 88-10"/>
    <s v="ANULADO: Cancelación Vigilancia, mes de Marzo 2017"/>
    <s v="ANULADO"/>
    <m/>
    <s v="00228"/>
    <s v=""/>
    <n v="0"/>
    <d v="1899-12-31T00:00:00"/>
    <s v="0,00"/>
    <s v="Cero Bolívares con 00/100"/>
  </r>
  <r>
    <n v="229"/>
    <m/>
    <s v="ü"/>
    <d v="2017-05-05T00:00:00"/>
    <n v="0.17"/>
    <x v="65"/>
    <x v="58"/>
    <s v="Calle Güigüe Nro. 88-10"/>
    <s v="Cancelación Vigilancia, mes de Marzo 2017"/>
    <s v="Vigilancia"/>
    <m/>
    <s v="00229"/>
    <s v="05 de Mayo de 2017"/>
    <n v="5"/>
    <d v="2017-05-01T00:00:00"/>
    <s v="0,17"/>
    <s v="Cero Bolívares con 17/100"/>
  </r>
  <r>
    <n v="230"/>
    <m/>
    <s v="ü"/>
    <d v="2017-05-08T00:00:00"/>
    <n v="0.17"/>
    <x v="24"/>
    <x v="22"/>
    <s v="Calle Güigüe Nro. 88-54"/>
    <s v="Cancelación Vigilancia, mes de Abril 2017"/>
    <s v="Vigilancia"/>
    <m/>
    <s v="00230"/>
    <s v="08 de Mayo de 2017"/>
    <n v="8"/>
    <d v="2017-05-01T00:00:00"/>
    <s v="0,17"/>
    <s v="Cero Bolívares con 17/100"/>
  </r>
  <r>
    <n v="231"/>
    <m/>
    <s v="ü"/>
    <d v="2017-05-09T00:00:00"/>
    <n v="0.26"/>
    <x v="18"/>
    <x v="16"/>
    <s v="Calle Guacara Nro. 87-100"/>
    <s v="Cancelación Vigilancia, mes de Mayo 2017"/>
    <s v="Vigilancia"/>
    <m/>
    <s v="00231"/>
    <s v="09 de Mayo de 2017"/>
    <n v="9"/>
    <d v="2017-05-01T00:00:00"/>
    <s v="0,26"/>
    <s v="Cero Bolívares con 26/100"/>
  </r>
  <r>
    <n v="232"/>
    <m/>
    <s v="ü"/>
    <d v="2017-05-09T00:00:00"/>
    <n v="0.04"/>
    <x v="17"/>
    <x v="16"/>
    <s v="Av. &quot;M&quot; Nro. 146-20"/>
    <s v="Colaboración Vigilancia, mes de Mayo 2017"/>
    <s v="Vigilancia"/>
    <m/>
    <s v="00232"/>
    <s v="09 de Mayo de 2017"/>
    <n v="9"/>
    <d v="2017-05-01T00:00:00"/>
    <s v="0,04"/>
    <s v="Cero Bolívares con 04/100"/>
  </r>
  <r>
    <n v="233"/>
    <m/>
    <s v="ü"/>
    <d v="2017-04-30T00:00:00"/>
    <n v="0.17"/>
    <x v="64"/>
    <x v="57"/>
    <s v="Calle Guacara Nro. 88-35"/>
    <s v="Cancelación Vigilancia, mes de Abril 2017, contra facturas"/>
    <s v="Vigilancia"/>
    <m/>
    <s v="00233"/>
    <s v="30 de Abril de 2017"/>
    <n v="30"/>
    <d v="2017-04-01T00:00:00"/>
    <s v="0,17"/>
    <s v="Cero Bolívares con 17/100"/>
  </r>
  <r>
    <n v="234"/>
    <m/>
    <s v="ü"/>
    <d v="2017-05-09T00:00:00"/>
    <n v="0.43"/>
    <x v="42"/>
    <x v="39"/>
    <s v="Calle Güigüe Nro. 89-79"/>
    <s v="Cancelación Vigilancia, mes de Mayo 2017 y Bs. 17.000 adelanto Junio 2017"/>
    <s v="Vigilancia"/>
    <m/>
    <s v="00234"/>
    <s v="09 de Mayo de 2017"/>
    <n v="9"/>
    <d v="2017-05-01T00:00:00"/>
    <s v="0,43"/>
    <s v="Cero Bolívares con 43/100"/>
  </r>
  <r>
    <n v="235"/>
    <m/>
    <s v="ü"/>
    <d v="2017-05-09T00:00:00"/>
    <n v="0.26"/>
    <x v="40"/>
    <x v="37"/>
    <s v="Calle Güigüe Nro. 88-101"/>
    <s v="Cancelación Vigilancia, mes de Mayo 2017"/>
    <s v="Vigilancia"/>
    <m/>
    <s v="00235"/>
    <s v="09 de Mayo de 2017"/>
    <n v="9"/>
    <d v="2017-05-01T00:00:00"/>
    <s v="0,26"/>
    <s v="Cero Bolívares con 26/100"/>
  </r>
  <r>
    <n v="236"/>
    <m/>
    <s v="ü"/>
    <d v="2017-04-06T00:00:00"/>
    <n v="0.14000000000000001"/>
    <x v="53"/>
    <x v="48"/>
    <s v="Calle Guacara Nro. 88-91"/>
    <s v="Colaboración Vigilancia, mes de Marzo 2017"/>
    <s v="Vigilancia"/>
    <m/>
    <s v="00236"/>
    <s v="06 de Abril de 2017"/>
    <n v="6"/>
    <d v="2017-04-01T00:00:00"/>
    <s v="0,14"/>
    <s v="Cero Bolívares con 14/100"/>
  </r>
  <r>
    <n v="237"/>
    <m/>
    <s v="ü"/>
    <d v="2017-05-09T00:00:00"/>
    <n v="0.105"/>
    <x v="50"/>
    <x v="47"/>
    <s v="Av. &quot;I&quot; Nro. 146-30"/>
    <s v="Colaboración Vigilancia, mes de Marzo 2017"/>
    <s v="Vigilancia"/>
    <m/>
    <s v="00237"/>
    <s v="09 de Mayo de 2017"/>
    <n v="9"/>
    <d v="2017-05-01T00:00:00"/>
    <s v="0,11"/>
    <s v="Cero Bolívares con 10/100"/>
  </r>
  <r>
    <n v="238"/>
    <m/>
    <s v="ü"/>
    <d v="2017-05-09T00:00:00"/>
    <n v="0.24"/>
    <x v="25"/>
    <x v="23"/>
    <s v="Calle Güigüe Nro. 88-58"/>
    <s v="Colaboración Vigilancia, meses de Mar-Abr 2017"/>
    <s v="Vigilancia"/>
    <m/>
    <s v="00238"/>
    <s v="09 de Mayo de 2017"/>
    <n v="9"/>
    <d v="2017-05-01T00:00:00"/>
    <s v="0,24"/>
    <s v="Cero Bolívares con 24/100"/>
  </r>
  <r>
    <n v="239"/>
    <m/>
    <s v="ü"/>
    <d v="2017-05-09T00:00:00"/>
    <n v="0.6"/>
    <x v="21"/>
    <x v="19"/>
    <s v="Calle Güigüe Nro. 89-105"/>
    <s v="Cancelación Vigilancia, meses de Marzo, Abril y Mayo 2017"/>
    <s v="Vigilancia"/>
    <m/>
    <s v="00239"/>
    <s v="09 de Mayo de 2017"/>
    <n v="9"/>
    <d v="2017-05-01T00:00:00"/>
    <s v="0,60"/>
    <s v="Cero Bolívares con 60/100"/>
  </r>
  <r>
    <n v="240"/>
    <m/>
    <s v="ü"/>
    <d v="2017-05-10T00:00:00"/>
    <n v="0.26"/>
    <x v="19"/>
    <x v="17"/>
    <s v="Calle Guacara Nro. 89-130"/>
    <s v="Cancelación Vigilancia, mes de Mayo 2017"/>
    <s v="Vigilancia"/>
    <m/>
    <s v="00240"/>
    <s v="10 de Mayo de 2017"/>
    <n v="10"/>
    <d v="2017-05-01T00:00:00"/>
    <s v="0,26"/>
    <s v="Cero Bolívares con 26/100"/>
  </r>
  <r>
    <n v="241"/>
    <m/>
    <s v="ü"/>
    <d v="2017-05-10T00:00:00"/>
    <n v="0.17"/>
    <x v="53"/>
    <x v="48"/>
    <s v="Calle Guacara Nro. 88-91"/>
    <s v="Cancelación Vigilancia, mes de Abril 2017"/>
    <s v="Vigilancia"/>
    <m/>
    <s v="00241"/>
    <s v="10 de Mayo de 2017"/>
    <n v="10"/>
    <d v="2017-05-01T00:00:00"/>
    <s v="0,17"/>
    <s v="Cero Bolívares con 17/100"/>
  </r>
  <r>
    <n v="242"/>
    <m/>
    <s v="ü"/>
    <d v="2017-05-10T00:00:00"/>
    <n v="0.1"/>
    <x v="68"/>
    <x v="60"/>
    <s v="Calle Güigüe Nro. 89-29"/>
    <s v="Colaboración Vigilancia, mes de Mayo 2017"/>
    <s v="Vigilancia"/>
    <m/>
    <s v="00242"/>
    <s v="10 de Mayo de 2017"/>
    <n v="10"/>
    <d v="2017-05-01T00:00:00"/>
    <s v="0,10"/>
    <s v="Cero Bolívares con 10/100"/>
  </r>
  <r>
    <n v="243"/>
    <m/>
    <s v="ü"/>
    <d v="2017-05-11T00:00:00"/>
    <n v="0.26"/>
    <x v="11"/>
    <x v="11"/>
    <s v="Calle Guacara Nro. 89-86"/>
    <s v="Cancelación Vigilancia, mes de Junio 2017 *DEFINITIVO*"/>
    <s v="Vigilancia"/>
    <m/>
    <s v="00243"/>
    <s v="11 de Mayo de 2017"/>
    <n v="11"/>
    <d v="2017-05-01T00:00:00"/>
    <s v="0,26"/>
    <s v="Cero Bolívares con 26/100"/>
  </r>
  <r>
    <n v="244"/>
    <m/>
    <s v="ü"/>
    <d v="2017-05-11T00:00:00"/>
    <n v="0.15"/>
    <x v="35"/>
    <x v="32"/>
    <s v="Calle Güigüe Nro. 89-80"/>
    <s v="Colaboración Vigilancia, mes de Mayo 2017"/>
    <s v="Vigilancia"/>
    <m/>
    <s v="00244"/>
    <s v="11 de Mayo de 2017"/>
    <n v="11"/>
    <d v="2017-05-01T00:00:00"/>
    <s v="0,15"/>
    <s v="Cero Bolívares con 15/100"/>
  </r>
  <r>
    <n v="245"/>
    <m/>
    <s v="ü"/>
    <d v="2017-05-11T00:00:00"/>
    <n v="0.1"/>
    <x v="47"/>
    <x v="44"/>
    <s v="Calle Güigüe Nro. 88-80"/>
    <s v="Colaboración Vigilancia, mes de Mayo 2017"/>
    <s v="Vigilancia"/>
    <m/>
    <s v="00245"/>
    <s v="11 de Mayo de 2017"/>
    <n v="11"/>
    <d v="2017-05-01T00:00:00"/>
    <s v="0,10"/>
    <s v="Cero Bolívares con 10/100"/>
  </r>
  <r>
    <n v="246"/>
    <m/>
    <s v="ü"/>
    <d v="2017-05-13T00:00:00"/>
    <n v="7.0000000000000007E-2"/>
    <x v="7"/>
    <x v="7"/>
    <s v="Calle Guacara Nro. 87-86"/>
    <s v="Colaboración Vigilancia, mes de Mayo 2017"/>
    <s v="Vigilancia"/>
    <m/>
    <s v="00246"/>
    <s v="13 de Mayo de 2017"/>
    <n v="13"/>
    <d v="2017-05-01T00:00:00"/>
    <s v="0,07"/>
    <s v="Cero Bolívares con 07/100"/>
  </r>
  <r>
    <n v="247"/>
    <m/>
    <s v="ü"/>
    <d v="2017-05-15T00:00:00"/>
    <n v="0.26"/>
    <x v="4"/>
    <x v="4"/>
    <s v="Calle Güigüe Nro. 89-55"/>
    <s v="Cancelación Vigilancia, mes de Mayo 2017"/>
    <s v="Vigilancia"/>
    <m/>
    <s v="00247"/>
    <s v="15 de Mayo de 2017"/>
    <n v="15"/>
    <d v="2017-05-01T00:00:00"/>
    <s v="0,26"/>
    <s v="Cero Bolívares con 26/100"/>
  </r>
  <r>
    <n v="248"/>
    <m/>
    <s v="ü"/>
    <d v="2017-05-15T00:00:00"/>
    <n v="0.17"/>
    <x v="38"/>
    <x v="35"/>
    <s v="Calle Guacara Nro. 89-78"/>
    <s v="Cancelación Vigilancia, mes de Abril 2017"/>
    <s v="Vigilancia"/>
    <m/>
    <s v="00248"/>
    <s v="15 de Mayo de 2017"/>
    <n v="15"/>
    <d v="2017-05-01T00:00:00"/>
    <s v="0,17"/>
    <s v="Cero Bolívares con 17/100"/>
  </r>
  <r>
    <n v="249"/>
    <m/>
    <s v="ü"/>
    <d v="2017-05-15T00:00:00"/>
    <n v="0.2"/>
    <x v="2"/>
    <x v="2"/>
    <s v="Calle Guacara Nro. 88-19"/>
    <s v="Colaboración Vigilancia, mes de Mayo 2017"/>
    <s v="Vigilancia"/>
    <m/>
    <s v="00249"/>
    <s v="15 de Mayo de 2017"/>
    <n v="15"/>
    <d v="2017-05-01T00:00:00"/>
    <s v="0,20"/>
    <s v="Cero Bolívares con 20/100"/>
  </r>
  <r>
    <n v="250"/>
    <m/>
    <s v="ü"/>
    <d v="2017-05-15T00:00:00"/>
    <n v="0.26"/>
    <x v="23"/>
    <x v="21"/>
    <s v="Calle Güigüe Nro. 88-116"/>
    <s v="Cancelación Vigilancia, mes de Mayo 2017"/>
    <s v="Vigilancia"/>
    <m/>
    <s v="00250"/>
    <s v="15 de Mayo de 2017"/>
    <n v="15"/>
    <d v="2017-05-01T00:00:00"/>
    <s v="0,26"/>
    <s v="Cero Bolívares con 26/100"/>
  </r>
  <r>
    <n v="251"/>
    <m/>
    <s v="ü"/>
    <d v="2017-05-15T00:00:00"/>
    <n v="0.26"/>
    <x v="30"/>
    <x v="28"/>
    <s v="Calle Güigüe Nro. 89-04"/>
    <s v="Cancelación Vigilancia, mes de Mayo 2017"/>
    <s v="Vigilancia"/>
    <m/>
    <s v="00251"/>
    <s v="15 de Mayo de 2017"/>
    <n v="15"/>
    <d v="2017-05-01T00:00:00"/>
    <s v="0,26"/>
    <s v="Cero Bolívares con 26/100"/>
  </r>
  <r>
    <n v="252"/>
    <m/>
    <s v="ü"/>
    <d v="2017-05-09T00:00:00"/>
    <n v="0.05"/>
    <x v="13"/>
    <x v="9"/>
    <s v="Calle Güigüe Nro. 89-90"/>
    <s v="Colaboración Vigilancia, mes de Mayo 2017"/>
    <s v="Vigilancia"/>
    <m/>
    <s v="00252"/>
    <s v="09 de Mayo de 2017"/>
    <n v="9"/>
    <d v="2017-05-01T00:00:00"/>
    <s v="0,05"/>
    <s v="Cero Bolívares con 05/100"/>
  </r>
  <r>
    <n v="253"/>
    <m/>
    <s v="ü"/>
    <d v="2017-05-16T00:00:00"/>
    <n v="0.17"/>
    <x v="61"/>
    <x v="14"/>
    <s v="Calle Guacara Nro. 87-07"/>
    <s v="Colaboración Vigilancia, mes de Mayo 2017"/>
    <s v="Vigilancia"/>
    <m/>
    <s v="00253"/>
    <s v="16 de Mayo de 2017"/>
    <n v="16"/>
    <d v="2017-05-01T00:00:00"/>
    <s v="0,17"/>
    <s v="Cero Bolívares con 17/100"/>
  </r>
  <r>
    <n v="254"/>
    <m/>
    <s v="ü"/>
    <d v="2017-05-17T00:00:00"/>
    <n v="0.26"/>
    <x v="14"/>
    <x v="13"/>
    <s v="Calle Güigüe Nro. 89-83"/>
    <s v="Cancelación Vigilancia, mes de Mayo 2017"/>
    <s v="Vigilancia"/>
    <m/>
    <s v="00254"/>
    <s v="17 de Mayo de 2017"/>
    <n v="17"/>
    <d v="2017-05-01T00:00:00"/>
    <s v="0,26"/>
    <s v="Cero Bolívares con 26/100"/>
  </r>
  <r>
    <n v="255"/>
    <m/>
    <s v="ü"/>
    <d v="2017-03-15T00:00:00"/>
    <n v="0.2"/>
    <x v="9"/>
    <x v="9"/>
    <s v="Av. &quot;M&quot; Nro. 146-30"/>
    <s v="Cancelación Vigilancia, mes de Marzo 2017"/>
    <s v="Vigilancia"/>
    <m/>
    <s v="00255"/>
    <s v="15 de Marzo de 2017"/>
    <n v="15"/>
    <d v="2017-03-01T00:00:00"/>
    <s v="0,20"/>
    <s v="Cero Bolívares con 20/100"/>
  </r>
  <r>
    <n v="256"/>
    <m/>
    <s v="ü"/>
    <d v="2017-04-15T00:00:00"/>
    <n v="0.2"/>
    <x v="9"/>
    <x v="9"/>
    <s v="Av. &quot;M&quot; Nro. 146-30"/>
    <s v="Cancelación Vigilancia, mes de Abril 2017"/>
    <s v="Vigilancia"/>
    <m/>
    <s v="00256"/>
    <s v="15 de Abril de 2017"/>
    <n v="15"/>
    <d v="2017-04-01T00:00:00"/>
    <s v="0,20"/>
    <s v="Cero Bolívares con 20/100"/>
  </r>
  <r>
    <n v="257"/>
    <m/>
    <s v="ü"/>
    <d v="2017-02-15T00:00:00"/>
    <n v="0.3"/>
    <x v="73"/>
    <x v="9"/>
    <s v="Calle Güigüe Nros. 88-71 y 88-81"/>
    <s v="Cancelación Vigilancia, mes de Febrero 2017"/>
    <s v="Vigilancia"/>
    <m/>
    <s v="00257"/>
    <s v="15 de Febrero de 2017"/>
    <n v="15"/>
    <d v="2017-02-01T00:00:00"/>
    <s v="0,30"/>
    <s v="Cero Bolívares con 30/100"/>
  </r>
  <r>
    <n v="258"/>
    <m/>
    <s v="ü"/>
    <d v="2017-03-15T00:00:00"/>
    <n v="0.3"/>
    <x v="73"/>
    <x v="9"/>
    <s v="Calle Güigüe Nros. 88-71 y 88-81"/>
    <s v="Cancelación Vigilancia, mes de Marzo 2017"/>
    <s v="Vigilancia"/>
    <m/>
    <s v="00258"/>
    <s v="15 de Marzo de 2017"/>
    <n v="15"/>
    <d v="2017-03-01T00:00:00"/>
    <s v="0,30"/>
    <s v="Cero Bolívares con 30/100"/>
  </r>
  <r>
    <n v="259"/>
    <m/>
    <s v="ü"/>
    <d v="2017-04-15T00:00:00"/>
    <n v="0.3"/>
    <x v="73"/>
    <x v="9"/>
    <s v="Calle Güigüe Nros. 88-71 y 88-81"/>
    <s v="Cancelación Vigilancia, mes de Abril 2017"/>
    <s v="Vigilancia"/>
    <m/>
    <s v="00259"/>
    <s v="15 de Abril de 2017"/>
    <n v="15"/>
    <d v="2017-04-01T00:00:00"/>
    <s v="0,30"/>
    <s v="Cero Bolívares con 30/100"/>
  </r>
  <r>
    <n v="260"/>
    <m/>
    <s v="ü"/>
    <d v="2017-05-18T00:00:00"/>
    <n v="0.2"/>
    <x v="22"/>
    <x v="20"/>
    <s v="Calle Guacara Nro. 88-25"/>
    <s v="Colaboración Vigilancia, mes de Mayo 2017"/>
    <s v="Vigilancia"/>
    <m/>
    <s v="00260"/>
    <s v="18 de Mayo de 2017"/>
    <n v="18"/>
    <d v="2017-05-01T00:00:00"/>
    <s v="0,20"/>
    <s v="Cero Bolívares con 20/100"/>
  </r>
  <r>
    <n v="261"/>
    <m/>
    <s v="ü"/>
    <d v="2017-05-22T00:00:00"/>
    <n v="0.3"/>
    <x v="9"/>
    <x v="9"/>
    <s v="Av. &quot;M&quot; Nro. 146-30"/>
    <s v="Cancelación Vigilancia, mes de Mayo 2017"/>
    <s v="Vigilancia"/>
    <m/>
    <s v="00261"/>
    <s v="22 de Mayo de 2017"/>
    <n v="22"/>
    <d v="2017-05-01T00:00:00"/>
    <s v="0,30"/>
    <s v="Cero Bolívares con 30/100"/>
  </r>
  <r>
    <n v="262"/>
    <m/>
    <s v="ü"/>
    <d v="2017-05-22T00:00:00"/>
    <n v="0.34"/>
    <x v="59"/>
    <x v="9"/>
    <s v="Calle Guacara Nro. 90-35"/>
    <s v="Cancelación Vigilancia, mes de Abril 2017 y anticipo Mayo 2017 (Bs. 17.000)"/>
    <s v="Vigilancia"/>
    <m/>
    <s v="00262"/>
    <s v="22 de Mayo de 2017"/>
    <n v="22"/>
    <d v="2017-05-01T00:00:00"/>
    <s v="0,34"/>
    <s v="Cero Bolívares con 34/100"/>
  </r>
  <r>
    <n v="263"/>
    <m/>
    <s v="ü"/>
    <d v="2017-05-23T00:00:00"/>
    <n v="0.4"/>
    <x v="73"/>
    <x v="9"/>
    <s v="Calle Güigüe Nros. 88-71 y 88-81"/>
    <s v="Cancelación Vigilancia, mes de Mayo 2017"/>
    <s v="Vigilancia"/>
    <m/>
    <s v="00263"/>
    <s v="23 de Mayo de 2017"/>
    <n v="23"/>
    <d v="2017-05-01T00:00:00"/>
    <s v="0,40"/>
    <s v="Cero Bolívares con 40/100"/>
  </r>
  <r>
    <n v="264"/>
    <m/>
    <s v="ü"/>
    <d v="2017-05-24T00:00:00"/>
    <n v="0.26"/>
    <x v="48"/>
    <x v="9"/>
    <s v="Calle Güigüe Nro. 88-90"/>
    <s v="Cancelación Vigilancia, mes de Mayo 2017"/>
    <s v="Vigilancia"/>
    <m/>
    <s v="00264"/>
    <s v="24 de Mayo de 2017"/>
    <n v="24"/>
    <d v="2017-05-01T00:00:00"/>
    <s v="0,26"/>
    <s v="Cero Bolívares con 26/100"/>
  </r>
  <r>
    <n v="265"/>
    <m/>
    <s v="ü"/>
    <d v="2017-05-26T00:00:00"/>
    <n v="0.22"/>
    <x v="24"/>
    <x v="22"/>
    <s v="Calle Güigüe Nro. 88-54"/>
    <s v="Anticipo Vigilancia, mes de Mayo 2017"/>
    <s v="Vigilancia"/>
    <m/>
    <s v="00265"/>
    <s v="26 de Mayo de 2017"/>
    <n v="26"/>
    <d v="2017-05-01T00:00:00"/>
    <s v="0,22"/>
    <s v="Cero Bolívares con 22/100"/>
  </r>
  <r>
    <n v="266"/>
    <m/>
    <s v="ü"/>
    <d v="2017-05-24T00:00:00"/>
    <n v="0.03"/>
    <x v="28"/>
    <x v="26"/>
    <s v="Calle Güigüe Nro. 88-30"/>
    <s v="Colaboración Vigilancia, mes de Abril 2017"/>
    <s v="Vigilancia"/>
    <m/>
    <s v="00266"/>
    <s v="24 de Mayo de 2017"/>
    <n v="24"/>
    <d v="2017-05-01T00:00:00"/>
    <s v="0,03"/>
    <s v="Cero Bolívares con 03/100"/>
  </r>
  <r>
    <n v="267"/>
    <m/>
    <s v="ü"/>
    <d v="2017-05-26T00:00:00"/>
    <n v="0.05"/>
    <x v="57"/>
    <x v="9"/>
    <s v="Calle Güigüe Nro. 88-40"/>
    <s v="Colaboración Vigilancia, mes de Mayo 2017"/>
    <s v="Vigilancia"/>
    <m/>
    <s v="00267"/>
    <s v="26 de Mayo de 2017"/>
    <n v="26"/>
    <d v="2017-05-01T00:00:00"/>
    <s v="0,05"/>
    <s v="Cero Bolívares con 05/100"/>
  </r>
  <r>
    <n v="268"/>
    <m/>
    <s v="ü"/>
    <d v="2017-05-27T00:00:00"/>
    <n v="0.26"/>
    <x v="41"/>
    <x v="38"/>
    <s v="Calle Güigüe Nro. 88-91"/>
    <s v="Cancelación Vigilancia, mes de Mayo 2017"/>
    <s v="Vigilancia"/>
    <m/>
    <s v="00268"/>
    <s v="27 de Mayo de 2017"/>
    <n v="27"/>
    <d v="2017-05-01T00:00:00"/>
    <s v="0,26"/>
    <s v="Cero Bolívares con 26/100"/>
  </r>
  <r>
    <n v="269"/>
    <m/>
    <s v="ü"/>
    <d v="2017-05-27T00:00:00"/>
    <n v="0.15"/>
    <x v="74"/>
    <x v="64"/>
    <s v="Calle Güigüe Nro. 88-20"/>
    <s v="Colaboración Vigilancia, meses de Noviembre 2016 a Marzo 2017"/>
    <s v="Vigilancia"/>
    <m/>
    <s v="00269"/>
    <s v="27 de Mayo de 2017"/>
    <n v="27"/>
    <d v="2017-05-01T00:00:00"/>
    <s v="0,15"/>
    <s v="Cero Bolívares con 15/100"/>
  </r>
  <r>
    <n v="270"/>
    <m/>
    <s v="ü"/>
    <d v="2017-05-28T00:00:00"/>
    <n v="0.09"/>
    <x v="59"/>
    <x v="9"/>
    <s v="Calle Guacara Nro. 90-35"/>
    <s v="Cancelación Saldo Vigilancia, mes de Mayo 2017"/>
    <s v="Vigilancia"/>
    <m/>
    <s v="00270"/>
    <s v="28 de Mayo de 2017"/>
    <n v="28"/>
    <d v="2017-05-01T00:00:00"/>
    <s v="0,09"/>
    <s v="Cero Bolívares con 09/100"/>
  </r>
  <r>
    <n v="271"/>
    <m/>
    <s v="ü"/>
    <d v="2017-05-28T00:00:00"/>
    <n v="0.26"/>
    <x v="27"/>
    <x v="25"/>
    <s v="Calle Güigüe Nro. 89-106"/>
    <s v="Cancelación Vigilancia, mes de Mayo 2017"/>
    <s v="Vigilancia"/>
    <m/>
    <s v="00271"/>
    <s v="28 de Mayo de 2017"/>
    <n v="28"/>
    <d v="2017-05-01T00:00:00"/>
    <s v="0,26"/>
    <s v="Cero Bolívares con 26/100"/>
  </r>
  <r>
    <n v="272"/>
    <m/>
    <s v="ü"/>
    <d v="2017-05-29T00:00:00"/>
    <n v="0.69"/>
    <x v="45"/>
    <x v="42"/>
    <s v="Calle Güigüe Nro. 87-A-11"/>
    <s v="Cancelación Vigilancia, meses de Abril, Mayo y Junio 2017"/>
    <s v="Vigilancia"/>
    <m/>
    <s v="00272"/>
    <s v="29 de Mayo de 2017"/>
    <n v="29"/>
    <d v="2017-05-01T00:00:00"/>
    <s v="0,69"/>
    <s v="Cero Bolívares con 69/100"/>
  </r>
  <r>
    <n v="273"/>
    <m/>
    <s v="ü"/>
    <d v="2017-05-29T00:00:00"/>
    <n v="0.26"/>
    <x v="39"/>
    <x v="36"/>
    <s v="Calle Güigüe Nro. 88-111"/>
    <s v="Cancelación Vigilancia, mes de Mayo 2017"/>
    <s v="Vigilancia"/>
    <m/>
    <s v="00273"/>
    <s v="29 de Mayo de 2017"/>
    <n v="29"/>
    <d v="2017-05-01T00:00:00"/>
    <s v="0,26"/>
    <s v="Cero Bolívares con 26/100"/>
  </r>
  <r>
    <n v="274"/>
    <m/>
    <s v="ü"/>
    <d v="2017-05-29T00:00:00"/>
    <n v="0.27"/>
    <x v="26"/>
    <x v="24"/>
    <s v="Calle Güigüe Nro. 89-96"/>
    <s v="Cancelación Vigilancia, mes de Mayo 2017"/>
    <s v="Vigilancia"/>
    <m/>
    <s v="00274"/>
    <s v="29 de Mayo de 2017"/>
    <n v="29"/>
    <d v="2017-05-01T00:00:00"/>
    <s v="0,27"/>
    <s v="Cero Bolívares con 27/100"/>
  </r>
  <r>
    <n v="275"/>
    <m/>
    <s v="ü"/>
    <d v="2017-06-01T00:00:00"/>
    <n v="0.2"/>
    <x v="58"/>
    <x v="53"/>
    <s v="Calle Güigüe Nro. 88-51"/>
    <s v="Colaboración Vigilancia, mes de Mayo 2017"/>
    <s v="Vigilancia"/>
    <m/>
    <s v="00275"/>
    <s v="01 de Junio de 2017"/>
    <n v="1"/>
    <d v="2017-06-01T00:00:00"/>
    <s v="0,20"/>
    <s v="Cero Bolívares con 20/100"/>
  </r>
  <r>
    <n v="276"/>
    <m/>
    <s v="ü"/>
    <d v="2017-06-01T00:00:00"/>
    <n v="0.04"/>
    <x v="24"/>
    <x v="22"/>
    <s v="Calle Güigüe Nro. 88-54"/>
    <s v="Cancelación Saldo Vigilancia, mes de Mayo 2017"/>
    <s v="Vigilancia"/>
    <m/>
    <s v="00276"/>
    <s v="01 de Junio de 2017"/>
    <n v="1"/>
    <d v="2017-06-01T00:00:00"/>
    <s v="0,04"/>
    <s v="Cero Bolívares con 04/100"/>
  </r>
  <r>
    <n v="277"/>
    <m/>
    <s v="ü"/>
    <d v="2017-06-01T00:00:00"/>
    <n v="1.2"/>
    <x v="75"/>
    <x v="65"/>
    <s v="Av. &quot;Ñ&quot; Nro. 145-25"/>
    <s v="Cancelación Vigilancia, meses de Ene-Jun 2017 (saldo a favor: Bs. 156.000)"/>
    <s v="Vigilancia"/>
    <m/>
    <s v="00277"/>
    <s v="01 de Junio de 2017"/>
    <n v="1"/>
    <d v="2017-06-01T00:00:00"/>
    <s v="1,20"/>
    <s v="Un Bolívares con 20/100"/>
  </r>
  <r>
    <n v="278"/>
    <m/>
    <s v="ü"/>
    <d v="2017-06-01T00:00:00"/>
    <n v="0.26"/>
    <x v="0"/>
    <x v="0"/>
    <s v="Calle Guacara Nro. 88-45"/>
    <s v="Cancelación Vigilancia, mes de Junio 2017 (saldo a favor: Bs. 165.000)"/>
    <s v="Vigilancia"/>
    <m/>
    <s v="00278"/>
    <s v="01 de Junio de 2017"/>
    <n v="1"/>
    <d v="2017-06-01T00:00:00"/>
    <s v="0,26"/>
    <s v="Cero Bolívares con 26/100"/>
  </r>
  <r>
    <n v="279"/>
    <m/>
    <s v="ü"/>
    <d v="2017-06-04T00:00:00"/>
    <n v="0.26"/>
    <x v="76"/>
    <x v="66"/>
    <s v="Calle Güigüe Nro. 89-90"/>
    <s v="Cancelación Vigilancia, mes de Junio 2017"/>
    <s v="Vigilancia"/>
    <m/>
    <s v="00279"/>
    <s v="04 de Junio de 2017"/>
    <n v="4"/>
    <d v="2017-06-01T00:00:00"/>
    <s v="0,26"/>
    <s v="Cero Bolívares con 26/100"/>
  </r>
  <r>
    <n v="280"/>
    <m/>
    <s v="ü"/>
    <d v="2017-06-04T00:00:00"/>
    <n v="0.17"/>
    <x v="43"/>
    <x v="40"/>
    <s v="Calle Güigüe Nro. 88-50"/>
    <s v="Cancelación Vigilancia, mes de Abril 2017"/>
    <s v="Vigilancia"/>
    <m/>
    <s v="00280"/>
    <s v="04 de Junio de 2017"/>
    <n v="4"/>
    <d v="2017-06-01T00:00:00"/>
    <s v="0,17"/>
    <s v="Cero Bolívares con 17/100"/>
  </r>
  <r>
    <n v="281"/>
    <m/>
    <s v="ü"/>
    <d v="2017-06-05T00:00:00"/>
    <n v="0.1"/>
    <x v="7"/>
    <x v="7"/>
    <s v="Calle Guacara Nro. 87-86"/>
    <s v="Colaboración Vigilancia, mes de Junio 2017"/>
    <s v="Vigilancia"/>
    <m/>
    <s v="00281"/>
    <s v="05 de Junio de 2017"/>
    <n v="5"/>
    <d v="2017-06-01T00:00:00"/>
    <s v="0,10"/>
    <s v="Cero Bolívares con 10/100"/>
  </r>
  <r>
    <n v="282"/>
    <m/>
    <s v="ü"/>
    <d v="2017-06-05T00:00:00"/>
    <n v="0.26"/>
    <x v="29"/>
    <x v="27"/>
    <s v="Calle Guacara Nro. 88-75"/>
    <s v="Cancelación Vigilancia, mes de Mayo 2017"/>
    <s v="Vigilancia"/>
    <m/>
    <s v="00282"/>
    <s v="05 de Junio de 2017"/>
    <n v="5"/>
    <d v="2017-06-01T00:00:00"/>
    <s v="0,26"/>
    <s v="Cero Bolívares con 26/100"/>
  </r>
  <r>
    <n v="283"/>
    <m/>
    <s v="ü"/>
    <d v="2017-06-06T00:00:00"/>
    <n v="0.15"/>
    <x v="35"/>
    <x v="32"/>
    <s v="Calle Güigüe Nro. 89-80"/>
    <s v="Colaboración Vigilancia, mes de Junio 2017"/>
    <s v="Vigilancia"/>
    <m/>
    <s v="00283"/>
    <s v="06 de Junio de 2017"/>
    <n v="6"/>
    <d v="2017-06-01T00:00:00"/>
    <s v="0,15"/>
    <s v="Cero Bolívares con 15/100"/>
  </r>
  <r>
    <n v="284"/>
    <m/>
    <s v="ü"/>
    <d v="2017-06-06T00:00:00"/>
    <n v="0.26"/>
    <x v="31"/>
    <x v="29"/>
    <s v="Calle Güigüe Nro. 89-95"/>
    <s v="Cancelación Vigilancia, mes de Mayo 2017"/>
    <s v="Vigilancia"/>
    <m/>
    <s v="00284"/>
    <s v="06 de Junio de 2017"/>
    <n v="6"/>
    <d v="2017-06-01T00:00:00"/>
    <s v="0,26"/>
    <s v="Cero Bolívares con 26/100"/>
  </r>
  <r>
    <n v="285"/>
    <m/>
    <s v="ü"/>
    <d v="2017-06-07T00:00:00"/>
    <n v="0.35"/>
    <x v="32"/>
    <x v="30"/>
    <s v="Calle Güigüe Nro. 89-120"/>
    <s v="Cancelación Vigilancia, saldo mes de Mayo 2017 y Junio 2017"/>
    <s v="Vigilancia"/>
    <m/>
    <s v="00285"/>
    <s v="07 de Junio de 2017"/>
    <n v="7"/>
    <d v="2017-06-01T00:00:00"/>
    <s v="0,35"/>
    <s v="Cero Bolívares con 35/100"/>
  </r>
  <r>
    <n v="286"/>
    <m/>
    <s v="ü"/>
    <d v="2017-06-07T00:00:00"/>
    <n v="0.26"/>
    <x v="1"/>
    <x v="1"/>
    <s v="Calle Güigüe Nro. 88-44"/>
    <s v="Cancelación Vigilancia, mes de Junio 2017"/>
    <s v="Vigilancia"/>
    <m/>
    <s v="00286"/>
    <s v="07 de Junio de 2017"/>
    <n v="7"/>
    <d v="2017-06-01T00:00:00"/>
    <s v="0,26"/>
    <s v="Cero Bolívares con 26/100"/>
  </r>
  <r>
    <n v="287"/>
    <m/>
    <s v="ü"/>
    <d v="2017-06-07T00:00:00"/>
    <n v="0.27"/>
    <x v="6"/>
    <x v="6"/>
    <s v="Calle Guacara Nro. 89-60"/>
    <s v="Cancelación Vigilancia, mes de Junio 2017"/>
    <s v="Vigilancia"/>
    <m/>
    <s v="00287"/>
    <s v="07 de Junio de 2017"/>
    <n v="7"/>
    <d v="2017-06-01T00:00:00"/>
    <s v="0,27"/>
    <s v="Cero Bolívares con 27/100"/>
  </r>
  <r>
    <n v="288"/>
    <m/>
    <s v="ü"/>
    <d v="2017-06-07T00:00:00"/>
    <n v="0.26"/>
    <x v="20"/>
    <x v="18"/>
    <s v="Calle Guacara Nro. 89-30"/>
    <s v="Cancelación Vigilancia, mes de Mayo 2017"/>
    <s v="Vigilancia"/>
    <m/>
    <s v="00288"/>
    <s v="07 de Junio de 2017"/>
    <n v="7"/>
    <d v="2017-06-01T00:00:00"/>
    <s v="0,26"/>
    <s v="Cero Bolívares con 26/100"/>
  </r>
  <r>
    <n v="289"/>
    <m/>
    <s v="ü"/>
    <d v="2017-06-02T00:00:00"/>
    <n v="0.26"/>
    <x v="10"/>
    <x v="10"/>
    <s v="Av. &quot;M&quot; Nro. 146-15"/>
    <s v="Cancelación Vigilancia, mes de Mayo 2017"/>
    <s v="Vigilancia"/>
    <m/>
    <s v="00289"/>
    <s v="02 de Junio de 2017"/>
    <n v="2"/>
    <d v="2017-06-01T00:00:00"/>
    <s v="0,26"/>
    <s v="Cero Bolívares con 26/100"/>
  </r>
  <r>
    <n v="290"/>
    <m/>
    <s v="ü"/>
    <d v="2017-06-02T00:00:00"/>
    <n v="0.26"/>
    <x v="64"/>
    <x v="57"/>
    <s v="Calle Guacara Nro. 88-35"/>
    <s v="Cancelación Vigilancia, mes de Mayo 2017"/>
    <s v="Vigilancia"/>
    <m/>
    <s v="00290"/>
    <s v="02 de Junio de 2017"/>
    <n v="2"/>
    <d v="2017-06-01T00:00:00"/>
    <s v="0,26"/>
    <s v="Cero Bolívares con 26/100"/>
  </r>
  <r>
    <n v="291"/>
    <m/>
    <s v="ü"/>
    <d v="2017-06-04T00:00:00"/>
    <n v="0.26"/>
    <x v="16"/>
    <x v="15"/>
    <s v="Calle Guacara Nro. 90-81"/>
    <s v="Cancelación Vigilancia, mes de Junio 2017"/>
    <s v="Vigilancia"/>
    <m/>
    <s v="00291"/>
    <s v="04 de Junio de 2017"/>
    <n v="4"/>
    <d v="2017-06-01T00:00:00"/>
    <s v="0,26"/>
    <s v="Cero Bolívares con 26/100"/>
  </r>
  <r>
    <n v="292"/>
    <m/>
    <s v="ü"/>
    <d v="2017-06-06T00:00:00"/>
    <n v="0.26"/>
    <x v="14"/>
    <x v="13"/>
    <s v="Calle Güigüe Nro. 89-83"/>
    <s v="Cancelación Vigilancia, mes de Junio 2017"/>
    <s v="Vigilancia"/>
    <m/>
    <s v="00292"/>
    <s v="06 de Junio de 2017"/>
    <n v="6"/>
    <d v="2017-06-01T00:00:00"/>
    <s v="0,26"/>
    <s v="Cero Bolívares con 26/100"/>
  </r>
  <r>
    <n v="293"/>
    <m/>
    <s v="ü"/>
    <d v="2017-05-17T00:00:00"/>
    <n v="0.26"/>
    <x v="54"/>
    <x v="50"/>
    <s v="Calle Güigüe Nro. 89-21"/>
    <s v="Cancelación Vigilancia, mes de Mayo 2017"/>
    <s v="Vigilancia"/>
    <m/>
    <s v="00293"/>
    <s v="17 de Mayo de 2017"/>
    <n v="17"/>
    <d v="2017-05-01T00:00:00"/>
    <s v="0,26"/>
    <s v="Cero Bolívares con 26/100"/>
  </r>
  <r>
    <n v="294"/>
    <m/>
    <s v="ü"/>
    <d v="2017-06-02T00:00:00"/>
    <n v="0.26"/>
    <x v="56"/>
    <x v="52"/>
    <s v="Calle Güigüe Nro. 88-70"/>
    <s v="Cancelación Vigilancia, mes de Mayo 2017"/>
    <s v="Vigilancia"/>
    <m/>
    <s v="00294"/>
    <s v="02 de Junio de 2017"/>
    <n v="2"/>
    <d v="2017-06-01T00:00:00"/>
    <s v="0,26"/>
    <s v="Cero Bolívares con 26/100"/>
  </r>
  <r>
    <n v="295"/>
    <m/>
    <s v="ü"/>
    <d v="2017-06-09T00:00:00"/>
    <n v="0.26"/>
    <x v="19"/>
    <x v="17"/>
    <s v="Calle Guacara Nro. 89-130"/>
    <s v="Cancelación Vigilancia, mes de Junio 2017"/>
    <s v="Vigilancia"/>
    <m/>
    <s v="00295"/>
    <s v="09 de Junio de 2017"/>
    <n v="9"/>
    <d v="2017-06-01T00:00:00"/>
    <s v="0,26"/>
    <s v="Cero Bolívares con 26/100"/>
  </r>
  <r>
    <n v="296"/>
    <m/>
    <s v="ü"/>
    <d v="2017-06-09T00:00:00"/>
    <n v="0.52"/>
    <x v="62"/>
    <x v="55"/>
    <s v="Av. &quot;M&quot; Nro. 145-10"/>
    <s v="Cancelación Vigilancia, meses de Mayo y Junio 2017"/>
    <s v="Vigilancia"/>
    <m/>
    <s v="00296"/>
    <s v="09 de Junio de 2017"/>
    <n v="9"/>
    <d v="2017-06-01T00:00:00"/>
    <s v="0,52"/>
    <s v="Cero Bolívares con 52/100"/>
  </r>
  <r>
    <n v="297"/>
    <m/>
    <s v="ü"/>
    <d v="2017-06-01T00:00:00"/>
    <n v="0.17"/>
    <x v="65"/>
    <x v="58"/>
    <s v="Calle Güigüe Nro. 88-10"/>
    <s v="Cancelación Vigilancia, mes de Abril 2017"/>
    <s v="Vigilancia"/>
    <m/>
    <s v="00297"/>
    <s v="01 de Junio de 2017"/>
    <n v="1"/>
    <d v="2017-06-01T00:00:00"/>
    <s v="0,17"/>
    <s v="Cero Bolívares con 17/100"/>
  </r>
  <r>
    <n v="298"/>
    <m/>
    <s v="ü"/>
    <d v="2017-06-16T00:00:00"/>
    <n v="0.56000000000000005"/>
    <x v="18"/>
    <x v="16"/>
    <s v="Calle Guacara Nro. 87-100"/>
    <s v="Cancelación Vigilancia, mes de Junio y anticipo de Julio y Agosto 2017 (contra facturas)"/>
    <s v="Vigilancia"/>
    <m/>
    <s v="00298"/>
    <s v="16 de Junio de 2017"/>
    <n v="16"/>
    <d v="2017-06-01T00:00:00"/>
    <s v="0,56"/>
    <s v="Cero Bolívares con 56/100"/>
  </r>
  <r>
    <n v="299"/>
    <m/>
    <s v="ü"/>
    <d v="2017-06-16T00:00:00"/>
    <n v="0.08"/>
    <x v="17"/>
    <x v="16"/>
    <s v="Av. &quot;M&quot; Nro. 146-20"/>
    <s v="Colaboración Vigilancia, meses de Junio y Julio 2017 (contra facturas)"/>
    <s v="Vigilancia"/>
    <m/>
    <s v="00299"/>
    <s v="16 de Junio de 2017"/>
    <n v="16"/>
    <d v="2017-06-01T00:00:00"/>
    <s v="0,08"/>
    <s v="Cero Bolívares con 08/100"/>
  </r>
  <r>
    <n v="300"/>
    <m/>
    <s v="ü"/>
    <d v="2017-06-08T00:00:00"/>
    <n v="0.2"/>
    <x v="34"/>
    <x v="9"/>
    <s v="Av. &quot;O&quot; Nro. 146-11"/>
    <s v="Cancelación Vigilancia, mes de Mayo 2017"/>
    <s v="Vigilancia"/>
    <m/>
    <s v="00300"/>
    <s v="08 de Junio de 2017"/>
    <n v="8"/>
    <d v="2017-06-01T00:00:00"/>
    <s v="0,20"/>
    <s v="Cero Bolívares con 20/100"/>
  </r>
  <r>
    <n v="301"/>
    <m/>
    <s v="ü"/>
    <d v="2017-05-15T00:00:00"/>
    <n v="0.17"/>
    <x v="39"/>
    <x v="36"/>
    <s v="Calle Güigüe Nro. 88-111"/>
    <s v="Cancelación Vigilancia, mes de Abril 2017"/>
    <s v="Vigilancia"/>
    <m/>
    <s v="00301"/>
    <s v="15 de Mayo de 2017"/>
    <n v="15"/>
    <d v="2017-05-01T00:00:00"/>
    <s v="0,17"/>
    <s v="Cero Bolívares con 17/100"/>
  </r>
  <r>
    <n v="302"/>
    <m/>
    <s v="ü"/>
    <d v="2017-06-05T00:00:00"/>
    <n v="0.26"/>
    <x v="20"/>
    <x v="18"/>
    <s v="Calle Guacara Nro. 89-30"/>
    <s v="Cancelación Vigilancia, mes de Junio 2017"/>
    <s v="Vigilancia"/>
    <m/>
    <s v="00302"/>
    <s v="05 de Junio de 2017"/>
    <n v="5"/>
    <d v="2017-06-01T00:00:00"/>
    <s v="0,26"/>
    <s v="Cero Bolívares con 26/100"/>
  </r>
  <r>
    <n v="303"/>
    <m/>
    <s v="ü"/>
    <d v="2017-06-14T00:00:00"/>
    <n v="0.1"/>
    <x v="43"/>
    <x v="40"/>
    <s v="Calle Güigüe Nro. 88-50"/>
    <s v="Cuota especial, reja vereda Centro Comercial"/>
    <s v="Reja CC"/>
    <m/>
    <s v="00303"/>
    <s v="14 de Junio de 2017"/>
    <n v="14"/>
    <d v="2017-06-01T00:00:00"/>
    <s v="0,10"/>
    <s v="Cero Bolívares con 10/100"/>
  </r>
  <r>
    <n v="304"/>
    <m/>
    <s v="ü"/>
    <d v="2017-06-14T00:00:00"/>
    <n v="0.4"/>
    <x v="73"/>
    <x v="9"/>
    <s v="Calle Güigüe Nros. 88-71 y 88-81"/>
    <s v="Cancelación Vigilancia, mes de Junio 2017"/>
    <s v="Vigilancia"/>
    <m/>
    <s v="00304"/>
    <s v="14 de Junio de 2017"/>
    <n v="14"/>
    <d v="2017-06-01T00:00:00"/>
    <s v="0,40"/>
    <s v="Cero Bolívares con 40/100"/>
  </r>
  <r>
    <n v="305"/>
    <m/>
    <s v="ü"/>
    <d v="2017-06-14T00:00:00"/>
    <n v="7.0000000000000007E-2"/>
    <x v="73"/>
    <x v="9"/>
    <s v="Calle Güigüe Nros. 88-71 y 88-81"/>
    <s v="Cuota especial, reja vereda Centro Comercial"/>
    <s v="Reja CC"/>
    <m/>
    <s v="00305"/>
    <s v="14 de Junio de 2017"/>
    <n v="14"/>
    <d v="2017-06-01T00:00:00"/>
    <s v="0,07"/>
    <s v="Cero Bolívares con 07/100"/>
  </r>
  <r>
    <n v="306"/>
    <m/>
    <s v="ü"/>
    <d v="2017-06-14T00:00:00"/>
    <n v="7.0000000000000007E-2"/>
    <x v="29"/>
    <x v="27"/>
    <s v="Calle Guacara Nro. 88-75"/>
    <s v="Cuota especial, reja vereda Centro Comercial"/>
    <s v="Reja CC"/>
    <m/>
    <s v="00306"/>
    <s v="14 de Junio de 2017"/>
    <n v="14"/>
    <d v="2017-06-01T00:00:00"/>
    <s v="0,07"/>
    <s v="Cero Bolívares con 07/100"/>
  </r>
  <r>
    <n v="307"/>
    <m/>
    <s v="ü"/>
    <d v="2017-06-14T00:00:00"/>
    <n v="0.52"/>
    <x v="44"/>
    <x v="41"/>
    <s v="Calle Guacara Nro. 89-40"/>
    <s v="Cancelación Vigilancia, meses de Mayo y Junio 2017"/>
    <s v="Vigilancia"/>
    <m/>
    <s v="00307"/>
    <s v="14 de Junio de 2017"/>
    <n v="14"/>
    <d v="2017-06-01T00:00:00"/>
    <s v="0,52"/>
    <s v="Cero Bolívares con 52/100"/>
  </r>
  <r>
    <n v="308"/>
    <m/>
    <s v="ü"/>
    <d v="2017-06-14T00:00:00"/>
    <n v="7.0000000000000007E-2"/>
    <x v="44"/>
    <x v="41"/>
    <s v="Calle Guacara Nro. 89-40"/>
    <s v="Cuota especial, reja vereda Centro Comercial"/>
    <s v="Reja CC"/>
    <m/>
    <s v="00308"/>
    <s v="14 de Junio de 2017"/>
    <n v="14"/>
    <d v="2017-06-01T00:00:00"/>
    <s v="0,07"/>
    <s v="Cero Bolívares con 07/100"/>
  </r>
  <r>
    <n v="309"/>
    <m/>
    <s v="ü"/>
    <d v="2017-06-14T00:00:00"/>
    <n v="0.34"/>
    <x v="49"/>
    <x v="46"/>
    <s v="Av. &quot;O&quot; Nro. 146-17"/>
    <s v="Anticipo Vigilancia, meses de Mayo y Junio 2017"/>
    <s v="Vigilancia"/>
    <m/>
    <s v="00309"/>
    <s v="14 de Junio de 2017"/>
    <n v="14"/>
    <d v="2017-06-01T00:00:00"/>
    <s v="0,34"/>
    <s v="Cero Bolívares con 34/100"/>
  </r>
  <r>
    <n v="310"/>
    <m/>
    <s v="ü"/>
    <d v="2017-06-14T00:00:00"/>
    <n v="7.0000000000000007E-2"/>
    <x v="49"/>
    <x v="46"/>
    <s v="Av. &quot;O&quot; Nro. 146-17"/>
    <s v="Cuota especial, reja vereda Centro Comercial"/>
    <s v="Reja CC"/>
    <m/>
    <s v="00310"/>
    <s v="14 de Junio de 2017"/>
    <n v="14"/>
    <d v="2017-06-01T00:00:00"/>
    <s v="0,07"/>
    <s v="Cero Bolívares con 07/100"/>
  </r>
  <r>
    <n v="311"/>
    <m/>
    <s v="ü"/>
    <d v="2017-06-14T00:00:00"/>
    <n v="7.0000000000000007E-2"/>
    <x v="6"/>
    <x v="6"/>
    <s v="Calle Guacara Nro. 89-60"/>
    <s v="Cuota especial, reja vereda Centro Comercial"/>
    <s v="Reja CC"/>
    <m/>
    <s v="00311"/>
    <s v="14 de Junio de 2017"/>
    <n v="14"/>
    <d v="2017-06-01T00:00:00"/>
    <s v="0,07"/>
    <s v="Cero Bolívares con 07/100"/>
  </r>
  <r>
    <n v="312"/>
    <m/>
    <s v="ü"/>
    <d v="2017-06-14T00:00:00"/>
    <n v="0.13"/>
    <x v="68"/>
    <x v="60"/>
    <s v="Calle Güigüe Nro. 89-29"/>
    <s v="Colaboración Vigilancia, mes de Junio 2017"/>
    <s v="Vigilancia"/>
    <m/>
    <s v="00312"/>
    <s v="14 de Junio de 2017"/>
    <n v="14"/>
    <d v="2017-06-01T00:00:00"/>
    <s v="0,13"/>
    <s v="Cero Bolívares con 13/100"/>
  </r>
  <r>
    <n v="313"/>
    <m/>
    <s v="ü"/>
    <d v="2017-06-14T00:00:00"/>
    <n v="7.0000000000000007E-2"/>
    <x v="1"/>
    <x v="1"/>
    <s v="Calle Güigüe Nro. 88-44"/>
    <s v="Cuota especial, reja vereda Centro Comercial"/>
    <s v="Reja CC"/>
    <m/>
    <s v="00313"/>
    <s v="14 de Junio de 2017"/>
    <n v="14"/>
    <d v="2017-06-01T00:00:00"/>
    <s v="0,07"/>
    <s v="Cero Bolívares con 07/100"/>
  </r>
  <r>
    <n v="314"/>
    <m/>
    <s v="ü"/>
    <d v="2017-06-14T00:00:00"/>
    <n v="7.0000000000000007E-2"/>
    <x v="77"/>
    <x v="9"/>
    <s v="Calle Guacara Nro. 88-65"/>
    <s v="Cuota especial, reja vereda Centro Comercial"/>
    <s v="Reja CC"/>
    <m/>
    <s v="00314"/>
    <s v="14 de Junio de 2017"/>
    <n v="14"/>
    <d v="2017-06-01T00:00:00"/>
    <s v="0,07"/>
    <s v="Cero Bolívares con 07/100"/>
  </r>
  <r>
    <n v="315"/>
    <m/>
    <s v="ü"/>
    <d v="2017-06-15T00:00:00"/>
    <n v="0.15"/>
    <x v="67"/>
    <x v="2"/>
    <s v="Calle Guacara Nro. 90-93"/>
    <s v="Colaboración Vigilancia, meses de Febrero a Junio 2017"/>
    <s v="Vigilancia"/>
    <m/>
    <s v="00315"/>
    <s v="15 de Junio de 2017"/>
    <n v="15"/>
    <d v="2017-06-01T00:00:00"/>
    <s v="0,15"/>
    <s v="Cero Bolívares con 15/100"/>
  </r>
  <r>
    <n v="316"/>
    <m/>
    <s v="ü"/>
    <d v="2017-06-15T00:00:00"/>
    <n v="0.05"/>
    <x v="67"/>
    <x v="2"/>
    <s v="Calle Guacara Nro. 90-93"/>
    <s v="Colaboración cuota especial, reja vereda Centro Comercial"/>
    <s v="Reja CC"/>
    <m/>
    <s v="00316"/>
    <s v="15 de Junio de 2017"/>
    <n v="15"/>
    <d v="2017-06-01T00:00:00"/>
    <s v="0,05"/>
    <s v="Cero Bolívares con 05/100"/>
  </r>
  <r>
    <n v="317"/>
    <m/>
    <s v="ü"/>
    <d v="2017-06-15T00:00:00"/>
    <n v="0.2"/>
    <x v="2"/>
    <x v="2"/>
    <s v="Calle Guacara Nro. 88-19"/>
    <s v="Colaboración Vigilancia, mes de Junio 2017"/>
    <s v="Vigilancia"/>
    <m/>
    <s v="00317"/>
    <s v="15 de Junio de 2017"/>
    <n v="15"/>
    <d v="2017-06-01T00:00:00"/>
    <s v="0,20"/>
    <s v="Cero Bolívares con 20/100"/>
  </r>
  <r>
    <n v="318"/>
    <m/>
    <s v="ü"/>
    <d v="2017-06-15T00:00:00"/>
    <n v="7.0000000000000007E-2"/>
    <x v="20"/>
    <x v="18"/>
    <s v="Calle Guacara Nro. 89-30"/>
    <s v="Cuota especial, reja vereda Centro Comercial"/>
    <s v="Reja CC"/>
    <m/>
    <s v="00318"/>
    <s v="15 de Junio de 2017"/>
    <n v="15"/>
    <d v="2017-06-01T00:00:00"/>
    <s v="0,07"/>
    <s v="Cero Bolívares con 07/100"/>
  </r>
  <r>
    <n v="319"/>
    <m/>
    <s v="ü"/>
    <d v="2017-06-15T00:00:00"/>
    <n v="1.4999999999999999E-2"/>
    <x v="20"/>
    <x v="18"/>
    <s v="Calle Guacara Nro. 89-30"/>
    <s v="Compra de tres (03) calcomanías a Bs. 500 c u"/>
    <s v="Logo"/>
    <m/>
    <s v="00319"/>
    <s v="15 de Junio de 2017"/>
    <n v="15"/>
    <d v="2017-06-01T00:00:00"/>
    <s v="0,02"/>
    <s v="Cero Bolívares con 02/100"/>
  </r>
  <r>
    <n v="320"/>
    <m/>
    <s v="ü"/>
    <d v="2017-06-15T00:00:00"/>
    <n v="7.0000000000000007E-2"/>
    <x v="4"/>
    <x v="4"/>
    <s v="Calle Güigüe Nro. 89-55"/>
    <s v="Cuota especial, reja vereda Centro Comercial"/>
    <s v="Reja CC"/>
    <m/>
    <s v="00320"/>
    <s v="15 de Junio de 2017"/>
    <n v="15"/>
    <d v="2017-06-01T00:00:00"/>
    <s v="0,07"/>
    <s v="Cero Bolívares con 07/100"/>
  </r>
  <r>
    <n v="321"/>
    <m/>
    <s v="ü"/>
    <d v="2017-06-16T00:00:00"/>
    <n v="7.0000000000000007E-2"/>
    <x v="38"/>
    <x v="35"/>
    <s v="Calle Guacara Nro. 89-78"/>
    <s v="Cuota especial, reja vereda Centro Comercial"/>
    <s v="Reja CC"/>
    <m/>
    <s v="00321"/>
    <s v="16 de Junio de 2017"/>
    <n v="16"/>
    <d v="2017-06-01T00:00:00"/>
    <s v="0,07"/>
    <s v="Cero Bolívares con 07/100"/>
  </r>
  <r>
    <n v="322"/>
    <m/>
    <s v="ü"/>
    <d v="2017-06-16T00:00:00"/>
    <n v="7.0000000000000007E-2"/>
    <x v="18"/>
    <x v="16"/>
    <s v="Calle Guacara Nro. 87-100"/>
    <s v="Cuota especial, reja vereda Centro Comercial"/>
    <s v="Reja CC"/>
    <m/>
    <s v="00322"/>
    <s v="16 de Junio de 2017"/>
    <n v="16"/>
    <d v="2017-06-01T00:00:00"/>
    <s v="0,07"/>
    <s v="Cero Bolívares con 07/100"/>
  </r>
  <r>
    <n v="323"/>
    <m/>
    <s v="ü"/>
    <d v="2017-06-16T00:00:00"/>
    <n v="0.27"/>
    <x v="38"/>
    <x v="35"/>
    <s v="Calle Guacara Nro. 89-78"/>
    <s v="Cancelación Vigilancia, mes de Mayo y anticipo de Junio 2017"/>
    <s v="Vigilancia"/>
    <m/>
    <s v="00323"/>
    <s v="16 de Junio de 2017"/>
    <n v="16"/>
    <d v="2017-06-01T00:00:00"/>
    <s v="0,27"/>
    <s v="Cero Bolívares con 27/100"/>
  </r>
  <r>
    <n v="324"/>
    <m/>
    <s v="ü"/>
    <d v="2017-06-16T00:00:00"/>
    <n v="0.26"/>
    <x v="64"/>
    <x v="57"/>
    <s v="Calle Guacara Nro. 88-35"/>
    <s v="Cancelación Vigilancia, mes de Junio 2017, contra factura"/>
    <s v="Vigilancia"/>
    <m/>
    <s v="00324"/>
    <s v="16 de Junio de 2017"/>
    <n v="16"/>
    <d v="2017-06-01T00:00:00"/>
    <s v="0,26"/>
    <s v="Cero Bolívares con 26/100"/>
  </r>
  <r>
    <n v="325"/>
    <m/>
    <s v="ü"/>
    <d v="2017-06-16T00:00:00"/>
    <n v="7.0000000000000007E-2"/>
    <x v="7"/>
    <x v="7"/>
    <s v="Calle Guacara Nro. 87-86"/>
    <s v="Cuota especial, reja vereda Centro Comercial"/>
    <s v="Reja CC"/>
    <m/>
    <s v="00325"/>
    <s v="16 de Junio de 2017"/>
    <n v="16"/>
    <d v="2017-06-01T00:00:00"/>
    <s v="0,07"/>
    <s v="Cero Bolívares con 07/100"/>
  </r>
  <r>
    <n v="326"/>
    <m/>
    <s v="ü"/>
    <d v="2017-06-16T00:00:00"/>
    <n v="0.26"/>
    <x v="4"/>
    <x v="4"/>
    <s v="Calle Güigüe Nro. 89-55"/>
    <s v="Cancelación Vigilancia, mes de Junio 2017"/>
    <s v="Vigilancia"/>
    <m/>
    <s v="00326"/>
    <s v="16 de Junio de 2017"/>
    <n v="16"/>
    <d v="2017-06-01T00:00:00"/>
    <s v="0,26"/>
    <s v="Cero Bolívares con 26/100"/>
  </r>
  <r>
    <n v="327"/>
    <m/>
    <s v="ü"/>
    <d v="2017-06-17T00:00:00"/>
    <n v="0.26"/>
    <x v="37"/>
    <x v="34"/>
    <s v="Av. &quot;I&quot; Nro. 146-40"/>
    <s v="Cancelación Vigilancia, mes de Mayo 2017"/>
    <s v="Vigilancia"/>
    <m/>
    <s v="00327"/>
    <s v="17 de Junio de 2017"/>
    <n v="17"/>
    <d v="2017-06-01T00:00:00"/>
    <s v="0,26"/>
    <s v="Cero Bolívares con 26/100"/>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s v="Cero Bolívares con 56/100"/>
  </r>
  <r>
    <n v="329"/>
    <m/>
    <s v="ü"/>
    <d v="2017-06-19T00:00:00"/>
    <n v="7.0000000000000007E-2"/>
    <x v="16"/>
    <x v="15"/>
    <s v="Calle Guacara Nro. 90-81"/>
    <s v="Cuota especial, reja vereda Centro Comercial"/>
    <s v="Reja CC"/>
    <m/>
    <s v="00329"/>
    <s v="19 de Junio de 2017"/>
    <n v="19"/>
    <d v="2017-06-01T00:00:00"/>
    <s v="0,07"/>
    <s v="Cero Bolívares con 07/100"/>
  </r>
  <r>
    <n v="330"/>
    <m/>
    <s v="ü"/>
    <d v="2017-06-20T00:00:00"/>
    <n v="7.0000000000000007E-2"/>
    <x v="56"/>
    <x v="52"/>
    <s v="Calle Güigüe Nro. 88-70"/>
    <s v="Cuota especial, reja vereda Centro Comercial"/>
    <s v="Reja CC"/>
    <m/>
    <s v="00330"/>
    <s v="20 de Junio de 2017"/>
    <n v="20"/>
    <d v="2017-06-01T00:00:00"/>
    <s v="0,07"/>
    <s v="Cero Bolívares con 07/100"/>
  </r>
  <r>
    <n v="331"/>
    <m/>
    <s v="ü"/>
    <d v="2017-06-20T00:00:00"/>
    <n v="7.0000000000000007E-2"/>
    <x v="35"/>
    <x v="32"/>
    <s v="Calle Güigüe Nro. 89-80"/>
    <s v="Cuota especial, reja vereda Centro Comercial"/>
    <s v="Reja CC"/>
    <m/>
    <s v="00331"/>
    <s v="20 de Junio de 2017"/>
    <n v="20"/>
    <d v="2017-06-01T00:00:00"/>
    <s v="0,07"/>
    <s v="Cero Bolívares con 07/100"/>
  </r>
  <r>
    <n v="332"/>
    <m/>
    <s v="ü"/>
    <d v="2017-06-21T00:00:00"/>
    <n v="0.13"/>
    <x v="36"/>
    <x v="33"/>
    <s v="Calle Güigüe Nro. 89-10"/>
    <s v="Cancelación saldo Vigilancia, mes de Junio 2017"/>
    <s v="Vigilancia"/>
    <m/>
    <s v="00332"/>
    <s v="21 de Junio de 2017"/>
    <n v="21"/>
    <d v="2017-06-01T00:00:00"/>
    <s v="0,13"/>
    <s v="Cero Bolívares con 13/100"/>
  </r>
  <r>
    <n v="333"/>
    <m/>
    <s v="ü"/>
    <d v="2017-06-21T00:00:00"/>
    <n v="7.0000000000000007E-2"/>
    <x v="36"/>
    <x v="33"/>
    <s v="Calle Güigüe Nro. 89-10"/>
    <s v="Cuota especial, reja vereda Centro Comercial"/>
    <s v="Reja CC"/>
    <m/>
    <s v="00333"/>
    <s v="21 de Junio de 2017"/>
    <n v="21"/>
    <d v="2017-06-01T00:00:00"/>
    <s v="0,07"/>
    <s v="Cero Bolívares con 07/100"/>
  </r>
  <r>
    <n v="334"/>
    <m/>
    <s v="ü"/>
    <d v="2017-06-21T00:00:00"/>
    <n v="7.4999999999999997E-2"/>
    <x v="78"/>
    <x v="67"/>
    <s v="Calle Güigüe Nro. 88-61"/>
    <s v="Cuota especial, reja vereda Centro Comercial"/>
    <s v="Reja CC"/>
    <m/>
    <s v="00334"/>
    <s v="21 de Junio de 2017"/>
    <n v="21"/>
    <d v="2017-06-01T00:00:00"/>
    <s v="0,08"/>
    <s v="Cero Bolívares con 08/100"/>
  </r>
  <r>
    <n v="335"/>
    <m/>
    <s v="ü"/>
    <d v="2017-06-21T00:00:00"/>
    <n v="7.0000000000000007E-2"/>
    <x v="59"/>
    <x v="9"/>
    <s v="Calle Guacara Nro. 90-35"/>
    <s v="Cuota especial, reja vereda Centro Comercial"/>
    <s v="Reja CC"/>
    <m/>
    <s v="00335"/>
    <s v="21 de Junio de 2017"/>
    <n v="21"/>
    <d v="2017-06-01T00:00:00"/>
    <s v="0,07"/>
    <s v="Cero Bolívares con 07/100"/>
  </r>
  <r>
    <n v="336"/>
    <m/>
    <s v="ü"/>
    <d v="2017-06-21T00:00:00"/>
    <n v="0.3"/>
    <x v="9"/>
    <x v="9"/>
    <s v="Av. &quot;M&quot; Nro. 146-30"/>
    <s v="Cancelación Vigilancia, mes de Junio 2017"/>
    <s v="Vigilancia"/>
    <m/>
    <s v="00336"/>
    <s v="21 de Junio de 2017"/>
    <n v="21"/>
    <d v="2017-06-01T00:00:00"/>
    <s v="0,30"/>
    <s v="Cero Bolívares con 30/100"/>
  </r>
  <r>
    <n v="337"/>
    <m/>
    <s v="ü"/>
    <d v="2017-06-21T00:00:00"/>
    <n v="7.0000000000000007E-2"/>
    <x v="9"/>
    <x v="9"/>
    <s v="Av. &quot;M&quot; Nro. 146-30"/>
    <s v="Cuota especial, reja vereda Centro Comercial"/>
    <s v="Reja CC"/>
    <m/>
    <s v="00337"/>
    <s v="21 de Junio de 2017"/>
    <n v="21"/>
    <d v="2017-06-01T00:00:00"/>
    <s v="0,07"/>
    <s v="Cero Bolívares con 07/100"/>
  </r>
  <r>
    <n v="338"/>
    <m/>
    <s v="ü"/>
    <d v="2017-06-21T00:00:00"/>
    <n v="0.05"/>
    <x v="34"/>
    <x v="31"/>
    <s v="Av. &quot;O&quot; Nro. 146-11"/>
    <s v="Anticipo cuota especial, reja vereda Centro Comercial"/>
    <s v="Reja CC"/>
    <m/>
    <s v="00338"/>
    <s v="21 de Junio de 2017"/>
    <n v="21"/>
    <d v="2017-06-01T00:00:00"/>
    <s v="0,05"/>
    <s v="Cero Bolívares con 05/100"/>
  </r>
  <r>
    <n v="339"/>
    <m/>
    <s v="ü"/>
    <d v="2017-06-21T00:00:00"/>
    <n v="0.09"/>
    <x v="42"/>
    <x v="39"/>
    <s v="Calle Güigüe Nro. 89-79"/>
    <s v="Cancelación saldo Vigilancia, mes de Junio 2017"/>
    <s v="Vigilancia"/>
    <m/>
    <s v="00339"/>
    <s v="21 de Junio de 2017"/>
    <n v="21"/>
    <d v="2017-06-01T00:00:00"/>
    <s v="0,09"/>
    <s v="Cero Bolívares con 09/100"/>
  </r>
  <r>
    <n v="340"/>
    <m/>
    <s v="ü"/>
    <d v="2017-06-21T00:00:00"/>
    <n v="7.0000000000000007E-2"/>
    <x v="42"/>
    <x v="39"/>
    <s v="Calle Güigüe Nro. 89-79"/>
    <s v="Cuota especial, reja vereda Centro Comercial"/>
    <s v="Reja CC"/>
    <m/>
    <s v="00340"/>
    <s v="21 de Junio de 2017"/>
    <n v="21"/>
    <d v="2017-06-01T00:00:00"/>
    <s v="0,07"/>
    <s v="Cero Bolívares con 07/100"/>
  </r>
  <r>
    <n v="341"/>
    <m/>
    <s v="ü"/>
    <d v="2017-06-21T00:00:00"/>
    <n v="7.0000000000000007E-2"/>
    <x v="31"/>
    <x v="29"/>
    <s v="Calle Güigüe Nro. 89-95"/>
    <s v="Cuota especial, reja vereda Centro Comercial"/>
    <s v="Reja CC"/>
    <m/>
    <s v="00341"/>
    <s v="21 de Junio de 2017"/>
    <n v="21"/>
    <d v="2017-06-01T00:00:00"/>
    <s v="0,07"/>
    <s v="Cero Bolívares con 07/100"/>
  </r>
  <r>
    <n v="342"/>
    <m/>
    <s v="ü"/>
    <d v="2017-06-21T00:00:00"/>
    <n v="7.0000000000000007E-2"/>
    <x v="11"/>
    <x v="11"/>
    <s v="Calle Guacara Nro. 89-86"/>
    <s v="Cuota especial, reja vereda Centro Comercial"/>
    <s v="Reja CC"/>
    <m/>
    <s v="00342"/>
    <s v="21 de Junio de 2017"/>
    <n v="21"/>
    <d v="2017-06-01T00:00:00"/>
    <s v="0,07"/>
    <s v="Cero Bolívares con 07/100"/>
  </r>
  <r>
    <n v="343"/>
    <m/>
    <s v="ü"/>
    <d v="2017-06-21T00:00:00"/>
    <n v="0.26"/>
    <x v="30"/>
    <x v="28"/>
    <s v="Calle Güigüe Nro. 89-04"/>
    <s v="Cancelación Vigilancia, mes de Junio 2017"/>
    <s v="Vigilancia"/>
    <m/>
    <s v="00343"/>
    <s v="21 de Junio de 2017"/>
    <n v="21"/>
    <d v="2017-06-01T00:00:00"/>
    <s v="0,26"/>
    <s v="Cero Bolívares con 26/100"/>
  </r>
  <r>
    <n v="344"/>
    <m/>
    <s v="ü"/>
    <d v="2017-06-21T00:00:00"/>
    <n v="7.0000000000000007E-2"/>
    <x v="30"/>
    <x v="28"/>
    <s v="Calle Güigüe Nro. 89-04"/>
    <s v="Cuota especial, reja vereda Centro Comercial"/>
    <s v="Reja CC"/>
    <m/>
    <s v="00344"/>
    <s v="21 de Junio de 2017"/>
    <n v="21"/>
    <d v="2017-06-01T00:00:00"/>
    <s v="0,07"/>
    <s v="Cero Bolívares con 07/100"/>
  </r>
  <r>
    <n v="345"/>
    <m/>
    <s v="ü"/>
    <d v="2017-06-22T00:00:00"/>
    <n v="7.0000000000000007E-2"/>
    <x v="19"/>
    <x v="17"/>
    <s v="Calle Guacara Nro. 89-130"/>
    <s v="Cuota especial, reja vereda Centro Comercial"/>
    <s v="Reja CC"/>
    <m/>
    <s v="00345"/>
    <s v="22 de Junio de 2017"/>
    <n v="22"/>
    <d v="2017-06-01T00:00:00"/>
    <s v="0,07"/>
    <s v="Cero Bolívares con 07/100"/>
  </r>
  <r>
    <n v="346"/>
    <m/>
    <s v="ü"/>
    <d v="2017-06-22T00:00:00"/>
    <n v="0.03"/>
    <x v="60"/>
    <x v="54"/>
    <s v="Calle Guacara Nro. 88-51"/>
    <s v="Colaboración cuota especial, reja vereda Centro Comercial"/>
    <s v="Reja CC"/>
    <m/>
    <s v="00346"/>
    <s v="22 de Junio de 2017"/>
    <n v="22"/>
    <d v="2017-06-01T00:00:00"/>
    <s v="0,03"/>
    <s v="Cero Bolívares con 03/100"/>
  </r>
  <r>
    <n v="347"/>
    <m/>
    <s v="ü"/>
    <d v="2017-06-22T00:00:00"/>
    <n v="7.0000000000000007E-2"/>
    <x v="48"/>
    <x v="9"/>
    <s v="Calle Güigüe Nro. 88-90"/>
    <s v="Cuota especial, reja vereda Centro Comercial"/>
    <s v="Reja CC"/>
    <m/>
    <s v="00347"/>
    <s v="22 de Junio de 2017"/>
    <n v="22"/>
    <d v="2017-06-01T00:00:00"/>
    <s v="0,07"/>
    <s v="Cero Bolívares con 07/100"/>
  </r>
  <r>
    <n v="348"/>
    <m/>
    <s v="ü"/>
    <d v="2017-06-22T00:00:00"/>
    <n v="4.3200000000000002E-2"/>
    <x v="2"/>
    <x v="2"/>
    <s v="Calle Guacara Nro. 88-19"/>
    <s v="Colaboración cuota especial, reja vereda Centro Comercial"/>
    <s v="Reja CC"/>
    <m/>
    <s v="00348"/>
    <s v="22 de Junio de 2017"/>
    <n v="22"/>
    <d v="2017-06-01T00:00:00"/>
    <s v="0,04"/>
    <s v="Cero Bolívares con 04/100"/>
  </r>
  <r>
    <n v="349"/>
    <m/>
    <s v="ü"/>
    <d v="2017-06-22T00:00:00"/>
    <n v="0.26"/>
    <x v="40"/>
    <x v="37"/>
    <s v="Calle Güigüe Nro. 88-101"/>
    <s v="Cancelación Vigilancia, mes de Junio 2017"/>
    <s v="Vigilancia"/>
    <m/>
    <s v="00349"/>
    <s v="22 de Junio de 2017"/>
    <n v="22"/>
    <d v="2017-06-01T00:00:00"/>
    <s v="0,26"/>
    <s v="Cero Bolívares con 26/100"/>
  </r>
  <r>
    <n v="350"/>
    <m/>
    <s v="ü"/>
    <d v="2017-06-22T00:00:00"/>
    <n v="7.0000000000000007E-2"/>
    <x v="40"/>
    <x v="37"/>
    <s v="Calle Güigüe Nro. 88-101"/>
    <s v="Cuota especial, reja vereda Centro Comercial"/>
    <s v="Reja CC"/>
    <m/>
    <s v="00350"/>
    <s v="22 de Junio de 2017"/>
    <n v="22"/>
    <d v="2017-06-01T00:00:00"/>
    <s v="0,07"/>
    <s v="Cero Bolívares con 07/100"/>
  </r>
  <r>
    <n v="351"/>
    <m/>
    <s v="ü"/>
    <d v="2017-06-22T00:00:00"/>
    <n v="0.26"/>
    <x v="43"/>
    <x v="40"/>
    <s v="Calle Güigüe Nro. 88-50"/>
    <s v="Cancelación Vigilancia, mes de Mayo 2017"/>
    <s v="Vigilancia"/>
    <m/>
    <s v="00351"/>
    <s v="22 de Junio de 2017"/>
    <n v="22"/>
    <d v="2017-06-01T00:00:00"/>
    <s v="0,26"/>
    <s v="Cero Bolívares con 26/100"/>
  </r>
  <r>
    <n v="352"/>
    <m/>
    <s v="ü"/>
    <d v="2017-06-22T00:00:00"/>
    <n v="7.0000000000000007E-2"/>
    <x v="27"/>
    <x v="25"/>
    <s v="Calle Güigüe Nro. 89-106"/>
    <s v="Cuota especial, reja vereda Centro Comercial"/>
    <s v="Reja CC"/>
    <m/>
    <s v="00352"/>
    <s v="22 de Junio de 2017"/>
    <n v="22"/>
    <d v="2017-06-01T00:00:00"/>
    <s v="0,07"/>
    <s v="Cero Bolívares con 07/100"/>
  </r>
  <r>
    <n v="353"/>
    <m/>
    <s v="ü"/>
    <d v="2017-06-23T00:00:00"/>
    <n v="7.0000000000000007E-2"/>
    <x v="58"/>
    <x v="53"/>
    <s v="Calle Güigüe Nro. 88-51"/>
    <s v="Cuota especial, reja vereda Centro Comercial"/>
    <s v="Reja CC"/>
    <m/>
    <s v="00353"/>
    <s v="23 de Junio de 2017"/>
    <n v="23"/>
    <d v="2017-06-01T00:00:00"/>
    <s v="0,07"/>
    <s v="Cero Bolívares con 07/100"/>
  </r>
  <r>
    <n v="354"/>
    <m/>
    <s v="ü"/>
    <d v="2017-06-24T00:00:00"/>
    <n v="0.3"/>
    <x v="71"/>
    <x v="62"/>
    <s v="Calle Güigüe Nro. 89-71"/>
    <s v="Colaboración Vigilancia, meses de Abril y Mayo 2017"/>
    <s v="Vigilancia"/>
    <m/>
    <s v="00354"/>
    <s v="24 de Junio de 2017"/>
    <n v="24"/>
    <d v="2017-06-01T00:00:00"/>
    <s v="0,30"/>
    <s v="Cero Bolívares con 30/100"/>
  </r>
  <r>
    <n v="355"/>
    <m/>
    <s v="ü"/>
    <d v="2017-06-24T00:00:00"/>
    <n v="0.2"/>
    <x v="22"/>
    <x v="20"/>
    <s v="Calle Guacara Nro. 88-25"/>
    <s v="Colaboración Vigilancia, mes de Junio 2017"/>
    <s v="Vigilancia"/>
    <m/>
    <s v="00355"/>
    <s v="24 de Junio de 2017"/>
    <n v="24"/>
    <d v="2017-06-01T00:00:00"/>
    <s v="0,20"/>
    <s v="Cero Bolívares con 20/100"/>
  </r>
  <r>
    <n v="356"/>
    <m/>
    <s v="ü"/>
    <d v="2017-06-26T00:00:00"/>
    <n v="7.0000000000000007E-2"/>
    <x v="14"/>
    <x v="13"/>
    <s v="Calle Güigüe Nro. 89-83"/>
    <s v="Cuota especial, reja vereda Centro Comercial"/>
    <s v="Reja CC"/>
    <m/>
    <s v="00356"/>
    <s v="26 de Junio de 2017"/>
    <n v="26"/>
    <d v="2017-06-01T00:00:00"/>
    <s v="0,07"/>
    <s v="Cero Bolívares con 07/100"/>
  </r>
  <r>
    <n v="357"/>
    <m/>
    <s v="ü"/>
    <d v="2017-06-26T00:00:00"/>
    <n v="0.26"/>
    <x v="24"/>
    <x v="22"/>
    <s v="Calle Güigüe Nro. 88-54"/>
    <s v="Cancelación Vigilancia, mes de Junio 2017"/>
    <s v="Vigilancia"/>
    <m/>
    <s v="00357"/>
    <s v="26 de Junio de 2017"/>
    <n v="26"/>
    <d v="2017-06-01T00:00:00"/>
    <s v="0,26"/>
    <s v="Cero Bolívares con 26/100"/>
  </r>
  <r>
    <n v="358"/>
    <m/>
    <s v="ü"/>
    <d v="2017-06-26T00:00:00"/>
    <n v="0.26"/>
    <x v="65"/>
    <x v="58"/>
    <s v="Calle Güigüe Nro. 88-10"/>
    <s v="Cancelación Vigilancia, mes de Mayo 2017"/>
    <s v="Vigilancia"/>
    <m/>
    <s v="00358"/>
    <s v="26 de Junio de 2017"/>
    <n v="26"/>
    <d v="2017-06-01T00:00:00"/>
    <s v="0,26"/>
    <s v="Cero Bolívares con 26/100"/>
  </r>
  <r>
    <n v="359"/>
    <m/>
    <s v="ü"/>
    <d v="2017-06-26T00:00:00"/>
    <n v="7.0000000000000007E-2"/>
    <x v="65"/>
    <x v="58"/>
    <s v="Calle Güigüe Nro. 88-10"/>
    <s v="Cuota especial, reja vereda Centro Comercial"/>
    <s v="Reja CC"/>
    <m/>
    <s v="00359"/>
    <s v="26 de Junio de 2017"/>
    <n v="26"/>
    <d v="2017-06-01T00:00:00"/>
    <s v="0,07"/>
    <s v="Cero Bolívares con 07/100"/>
  </r>
  <r>
    <n v="360"/>
    <m/>
    <s v="ü"/>
    <d v="2017-06-26T00:00:00"/>
    <n v="7.0000000000000007E-2"/>
    <x v="57"/>
    <x v="9"/>
    <s v="Calle Güigüe Nro. 88-40"/>
    <s v="Cuota especial, reja vereda Centro Comercial"/>
    <s v="Reja CC"/>
    <m/>
    <s v="00360"/>
    <s v="26 de Junio de 2017"/>
    <n v="26"/>
    <d v="2017-06-01T00:00:00"/>
    <s v="0,07"/>
    <s v="Cero Bolívares con 07/100"/>
  </r>
  <r>
    <n v="361"/>
    <m/>
    <s v="ü"/>
    <d v="2017-06-27T00:00:00"/>
    <n v="7.0000000000000007E-2"/>
    <x v="76"/>
    <x v="66"/>
    <s v="Calle Güigüe Nro. 89-90"/>
    <s v="Cuota especial, reja vereda Centro Comercial"/>
    <s v="Reja CC"/>
    <m/>
    <s v="00361"/>
    <s v="27 de Junio de 2017"/>
    <n v="27"/>
    <d v="2017-06-01T00:00:00"/>
    <s v="0,07"/>
    <s v="Cero Bolívares con 07/100"/>
  </r>
  <r>
    <n v="362"/>
    <m/>
    <s v="ü"/>
    <d v="2017-06-28T00:00:00"/>
    <n v="0.03"/>
    <x v="28"/>
    <x v="26"/>
    <s v="Calle Güigüe Nro. 88-30"/>
    <s v="Colaboración Vigilancia, mes de Mayo 2017"/>
    <s v="Vigilancia"/>
    <m/>
    <s v="00362"/>
    <s v="28 de Junio de 2017"/>
    <n v="28"/>
    <d v="2017-06-01T00:00:00"/>
    <s v="0,03"/>
    <s v="Cero Bolívares con 03/100"/>
  </r>
  <r>
    <n v="363"/>
    <m/>
    <s v="ü"/>
    <d v="2017-06-20T00:00:00"/>
    <n v="0.26"/>
    <x v="23"/>
    <x v="21"/>
    <s v="Calle Güigüe Nro. 88-116"/>
    <s v="Cancelación Vigilancia, mes de Junio 2017"/>
    <s v="Vigilancia"/>
    <m/>
    <s v="00363"/>
    <s v="20 de Junio de 2017"/>
    <n v="20"/>
    <d v="2017-06-01T00:00:00"/>
    <s v="0,26"/>
    <s v="Cero Bolívares con 26/100"/>
  </r>
  <r>
    <n v="364"/>
    <m/>
    <s v="û"/>
    <d v="2017-06-28T00:00:00"/>
    <n v="7.0000000000000007E-2"/>
    <x v="19"/>
    <x v="17"/>
    <s v="Calle Guacara Nro. 89-130"/>
    <s v="ANULADO: Cuota especial, reja vereda Centro Comercial"/>
    <s v="ANULADO"/>
    <m/>
    <s v="00364"/>
    <s v="28 de Junio de 2017"/>
    <n v="28"/>
    <d v="2017-06-01T00:00:00"/>
    <s v="0,07"/>
    <s v="Cero Bolívares con 07/100"/>
  </r>
  <r>
    <n v="365"/>
    <m/>
    <s v="ü"/>
    <d v="2017-06-28T00:00:00"/>
    <n v="0.17"/>
    <x v="8"/>
    <x v="8"/>
    <s v="Calle Guacara Nro. 90-51"/>
    <s v="Cancelación Vigilancia, mes de Abril 2017"/>
    <s v="Vigilancia"/>
    <m/>
    <s v="00365"/>
    <s v="28 de Junio de 2017"/>
    <n v="28"/>
    <d v="2017-06-01T00:00:00"/>
    <s v="0,17"/>
    <s v="Cero Bolívares con 17/100"/>
  </r>
  <r>
    <n v="366"/>
    <m/>
    <s v="ü"/>
    <d v="2017-06-28T00:00:00"/>
    <n v="0.52"/>
    <x v="8"/>
    <x v="8"/>
    <s v="Calle Guacara Nro. 90-51"/>
    <s v="Cancelación Vigilancia, meses de Mayo y Junio 2017"/>
    <s v="Vigilancia"/>
    <m/>
    <s v="00366"/>
    <s v="28 de Junio de 2017"/>
    <n v="28"/>
    <d v="2017-06-01T00:00:00"/>
    <s v="0,52"/>
    <s v="Cero Bolívares con 52/100"/>
  </r>
  <r>
    <n v="367"/>
    <m/>
    <s v="ü"/>
    <d v="2017-06-29T00:00:00"/>
    <n v="7.0000000000000007E-2"/>
    <x v="64"/>
    <x v="57"/>
    <s v="Calle Guacara Nro. 88-35"/>
    <s v="Cuota especial, reja vereda Centro Comercial"/>
    <s v="Reja CC"/>
    <m/>
    <s v="00367"/>
    <s v="29 de Junio de 2017"/>
    <n v="29"/>
    <d v="2017-06-01T00:00:00"/>
    <s v="0,07"/>
    <s v="Cero Bolívares con 07/100"/>
  </r>
  <r>
    <n v="368"/>
    <m/>
    <s v="ü"/>
    <d v="2017-06-30T00:00:00"/>
    <n v="0.02"/>
    <x v="34"/>
    <x v="31"/>
    <s v="Av. &quot;O&quot; Nro. 146-11"/>
    <s v="Cancelación saldo cuota especial, reja vereda Centro Comercial"/>
    <s v="Reja CC"/>
    <m/>
    <s v="00368"/>
    <s v="30 de Junio de 2017"/>
    <n v="30"/>
    <d v="2017-06-01T00:00:00"/>
    <s v="0,02"/>
    <s v="Cero Bolívares con 02/100"/>
  </r>
  <r>
    <n v="369"/>
    <m/>
    <s v="ü"/>
    <d v="2017-06-30T00:00:00"/>
    <n v="7.0000000000000007E-2"/>
    <x v="72"/>
    <x v="63"/>
    <s v="Calle Güigüe Nro. 89-35"/>
    <s v="Cuota especial, reja vereda Centro Comercial"/>
    <s v="Reja CC"/>
    <m/>
    <s v="00369"/>
    <s v="30 de Junio de 2017"/>
    <n v="30"/>
    <d v="2017-06-01T00:00:00"/>
    <s v="0,07"/>
    <s v="Cero Bolívares con 07/100"/>
  </r>
  <r>
    <n v="370"/>
    <m/>
    <s v="ü"/>
    <d v="2017-06-30T00:00:00"/>
    <n v="0.05"/>
    <x v="79"/>
    <x v="9"/>
    <s v="Calle Güigüe Nro. 89-30"/>
    <s v="Colaboración cuota especial, reja vereda Centro Comercial"/>
    <s v="Reja CC"/>
    <m/>
    <s v="00370"/>
    <s v="30 de Junio de 2017"/>
    <n v="30"/>
    <d v="2017-06-01T00:00:00"/>
    <s v="0,05"/>
    <s v="Cero Bolívares con 05/100"/>
  </r>
  <r>
    <n v="371"/>
    <m/>
    <s v="ü"/>
    <d v="2017-06-30T00:00:00"/>
    <n v="0.27"/>
    <x v="6"/>
    <x v="6"/>
    <s v="Calle Guacara Nro. 89-60"/>
    <s v="Anticipo Vigilancia, mes de Julio 2017"/>
    <s v="Vigilancia"/>
    <m/>
    <s v="00371"/>
    <s v="30 de Junio de 2017"/>
    <n v="30"/>
    <d v="2017-06-01T00:00:00"/>
    <s v="0,27"/>
    <s v="Cero Bolívares con 27/100"/>
  </r>
  <r>
    <n v="372"/>
    <m/>
    <s v="ü"/>
    <d v="2017-07-02T00:00:00"/>
    <n v="0.05"/>
    <x v="22"/>
    <x v="20"/>
    <s v="Calle Guacara Nro. 88-25"/>
    <s v="Colaboración cuota especial, reja vereda Centro Comercial"/>
    <s v="Reja CC"/>
    <m/>
    <s v="00372"/>
    <s v="02 de Julio de 2017"/>
    <n v="2"/>
    <d v="2017-07-01T00:00:00"/>
    <s v="0,05"/>
    <s v="Cero Bolívares con 05/100"/>
  </r>
  <r>
    <n v="373"/>
    <m/>
    <s v="ü"/>
    <d v="2017-07-02T00:00:00"/>
    <n v="0.34"/>
    <x v="61"/>
    <x v="14"/>
    <s v="Calle Guacara Nro. 87-07"/>
    <s v="Colaboración Vigilancia, meses de Junio y Julio 2017"/>
    <s v="Vigilancia"/>
    <m/>
    <s v="00373"/>
    <s v="02 de Julio de 2017"/>
    <n v="2"/>
    <d v="2017-07-01T00:00:00"/>
    <s v="0,34"/>
    <s v="Cero Bolívares con 34/100"/>
  </r>
  <r>
    <n v="374"/>
    <m/>
    <s v="ü"/>
    <d v="2017-07-02T00:00:00"/>
    <n v="7.0000000000000007E-2"/>
    <x v="61"/>
    <x v="14"/>
    <s v="Calle Guacara Nro. 87-07"/>
    <s v="Cuota especial, reja vereda Centro Comercial"/>
    <s v="Reja CC"/>
    <m/>
    <s v="00374"/>
    <s v="02 de Julio de 2017"/>
    <n v="2"/>
    <d v="2017-07-01T00:00:00"/>
    <s v="0,07"/>
    <s v="Cero Bolívares con 07/100"/>
  </r>
  <r>
    <n v="375"/>
    <m/>
    <s v="ü"/>
    <d v="2017-07-01T00:00:00"/>
    <n v="0.26"/>
    <x v="0"/>
    <x v="0"/>
    <s v="Calle Guacara Nro. 88-45"/>
    <s v="Anticipo Vigilancia, mes de Julio 2017 (saldo a favor: Bs. 139.000)"/>
    <s v="Vigilancia"/>
    <m/>
    <s v="00375"/>
    <s v="01 de Julio de 2017"/>
    <n v="1"/>
    <d v="2017-07-01T00:00:00"/>
    <s v="0,26"/>
    <s v="Cero Bolívares con 26/100"/>
  </r>
  <r>
    <n v="376"/>
    <m/>
    <s v="ü"/>
    <d v="2017-07-01T00:00:00"/>
    <n v="0.26"/>
    <x v="75"/>
    <x v="65"/>
    <s v="Av. &quot;Ñ&quot; Nro. 145-25"/>
    <s v="Anticipo Vigilancia, mes de Julio 2017 (saldo a favor: Bs. 130.000)"/>
    <s v="Vigilancia"/>
    <m/>
    <s v="00376"/>
    <s v="01 de Julio de 2017"/>
    <n v="1"/>
    <d v="2017-07-01T00:00:00"/>
    <s v="0,26"/>
    <s v="Cero Bolívares con 26/100"/>
  </r>
  <r>
    <n v="377"/>
    <m/>
    <s v="ü"/>
    <d v="2017-07-02T00:00:00"/>
    <n v="7.0000000000000007E-2"/>
    <x v="24"/>
    <x v="22"/>
    <s v="Calle Güigüe Nro. 88-54"/>
    <s v="Cuota especial, reja vereda Centro Comercial"/>
    <s v="Reja CC"/>
    <m/>
    <s v="00377"/>
    <s v="02 de Julio de 2017"/>
    <n v="2"/>
    <d v="2017-07-01T00:00:00"/>
    <s v="0,07"/>
    <s v="Cero Bolívares con 07/100"/>
  </r>
  <r>
    <n v="378"/>
    <m/>
    <s v="ü"/>
    <d v="2017-07-03T00:00:00"/>
    <n v="0.26"/>
    <x v="5"/>
    <x v="5"/>
    <s v="Calle Güigüe Nro. 88-120"/>
    <s v="Anticipo Vigilancia, mes de Julio 2017"/>
    <s v="Vigilancia"/>
    <m/>
    <s v="00378"/>
    <s v="03 de Julio de 2017"/>
    <n v="3"/>
    <d v="2017-07-01T00:00:00"/>
    <s v="0,26"/>
    <s v="Cero Bolívares con 26/100"/>
  </r>
  <r>
    <n v="379"/>
    <m/>
    <s v="ü"/>
    <d v="2017-07-03T00:00:00"/>
    <n v="7.0000000000000007E-2"/>
    <x v="5"/>
    <x v="5"/>
    <s v="Calle Güigüe Nro. 88-120"/>
    <s v="Cuota especial, reja vereda Centro Comercial"/>
    <s v="Reja CC"/>
    <m/>
    <s v="00379"/>
    <s v="03 de Julio de 2017"/>
    <n v="3"/>
    <d v="2017-07-01T00:00:00"/>
    <s v="0,07"/>
    <s v="Cero Bolívares con 07/100"/>
  </r>
  <r>
    <n v="380"/>
    <m/>
    <s v="ü"/>
    <d v="2017-07-03T00:00:00"/>
    <n v="0.25"/>
    <x v="4"/>
    <x v="4"/>
    <s v="Calle Güigüe Nro. 89-55"/>
    <s v="Anticipo Vigilancia, mes de Julio 2017"/>
    <s v="Vigilancia"/>
    <m/>
    <s v="00380"/>
    <s v="03 de Julio de 2017"/>
    <n v="3"/>
    <d v="2017-07-01T00:00:00"/>
    <s v="0,25"/>
    <s v="Cero Bolívares con 25/100"/>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s v="Cero Bolívares con 89/100"/>
  </r>
  <r>
    <n v="382"/>
    <m/>
    <s v="ü"/>
    <d v="2017-07-03T00:00:00"/>
    <n v="0.15"/>
    <x v="15"/>
    <x v="14"/>
    <s v="Calle Guacara Nro. 89-94"/>
    <s v="Colaboración Vigilancia, mes de Julio 2017"/>
    <s v="Vigilancia"/>
    <m/>
    <s v="00382"/>
    <s v="03 de Julio de 2017"/>
    <n v="3"/>
    <d v="2017-07-01T00:00:00"/>
    <s v="0,15"/>
    <s v="Cero Bolívares con 15/100"/>
  </r>
  <r>
    <n v="383"/>
    <m/>
    <s v="ü"/>
    <d v="2017-07-03T00:00:00"/>
    <n v="7.0000000000000007E-2"/>
    <x v="15"/>
    <x v="14"/>
    <s v="Calle Guacara Nro. 89-94"/>
    <s v="Cuota especial, reja vereda Centro Comercial"/>
    <s v="Reja CC"/>
    <m/>
    <s v="00383"/>
    <s v="03 de Julio de 2017"/>
    <n v="3"/>
    <d v="2017-07-01T00:00:00"/>
    <s v="0,07"/>
    <s v="Cero Bolívares con 07/100"/>
  </r>
  <r>
    <n v="384"/>
    <m/>
    <s v="ü"/>
    <d v="2017-07-04T00:00:00"/>
    <n v="0.94"/>
    <x v="80"/>
    <x v="68"/>
    <s v="Calle Guacara Nro. 88-55"/>
    <s v="Cancelación Vigilancia, meses de Enero, Febrero, Marzo, Abril y Mayo 2017"/>
    <s v="Vigilancia"/>
    <m/>
    <s v="00384"/>
    <s v="04 de Julio de 2017"/>
    <n v="4"/>
    <d v="2017-07-01T00:00:00"/>
    <s v="0,94"/>
    <s v="Cero Bolívares con 94/100"/>
  </r>
  <r>
    <n v="385"/>
    <m/>
    <s v="ü"/>
    <d v="2017-07-04T00:00:00"/>
    <n v="7.0000000000000007E-2"/>
    <x v="45"/>
    <x v="42"/>
    <s v="Calle Güigüe Nro. 87-A-11"/>
    <s v="Cuota especial, reja vereda Centro Comercial"/>
    <s v="Reja CC"/>
    <m/>
    <s v="00385"/>
    <s v="04 de Julio de 2017"/>
    <n v="4"/>
    <d v="2017-07-01T00:00:00"/>
    <s v="0,07"/>
    <s v="Cero Bolívares con 07/100"/>
  </r>
  <r>
    <n v="386"/>
    <m/>
    <s v="ü"/>
    <d v="2017-07-05T00:00:00"/>
    <n v="0.1"/>
    <x v="7"/>
    <x v="7"/>
    <s v="Calle Guacara Nro. 87-86"/>
    <s v="Colaboración Vigilancia, mes de Julio 2017"/>
    <s v="Vigilancia"/>
    <m/>
    <s v="00386"/>
    <s v="05 de Julio de 2017"/>
    <n v="5"/>
    <d v="2017-07-01T00:00:00"/>
    <s v="0,10"/>
    <s v="Cero Bolívares con 10/100"/>
  </r>
  <r>
    <n v="387"/>
    <m/>
    <s v="ü"/>
    <d v="2017-07-06T00:00:00"/>
    <n v="0.2"/>
    <x v="58"/>
    <x v="53"/>
    <s v="Calle Güigüe Nro. 88-51"/>
    <s v="Colaboración Vigilancia, mes de Junio 2017"/>
    <s v="Vigilancia"/>
    <m/>
    <s v="00387"/>
    <s v="06 de Julio de 2017"/>
    <n v="6"/>
    <d v="2017-07-01T00:00:00"/>
    <s v="0,20"/>
    <s v="Cero Bolívares con 20/100"/>
  </r>
  <r>
    <n v="388"/>
    <m/>
    <s v="ü"/>
    <d v="2017-07-06T00:00:00"/>
    <n v="0.26"/>
    <x v="81"/>
    <x v="69"/>
    <s v="Calle Güigüe Nro. 89-65"/>
    <s v="Cancelación Vigilancia, mes de Junio 2017"/>
    <s v="Vigilancia"/>
    <m/>
    <s v="00388"/>
    <s v="06 de Julio de 2017"/>
    <n v="6"/>
    <d v="2017-07-01T00:00:00"/>
    <s v="0,26"/>
    <s v="Cero Bolívares con 26/100"/>
  </r>
  <r>
    <n v="389"/>
    <m/>
    <s v="ü"/>
    <d v="2017-07-06T00:00:00"/>
    <n v="0.04"/>
    <x v="81"/>
    <x v="69"/>
    <s v="Calle Güigüe Nro. 89-65"/>
    <s v="Colaboración cuota especial, reja vereda Centro Comercial"/>
    <s v="Reja CC"/>
    <m/>
    <s v="00389"/>
    <s v="06 de Julio de 2017"/>
    <n v="6"/>
    <d v="2017-07-01T00:00:00"/>
    <s v="0,04"/>
    <s v="Cero Bolívares con 04/100"/>
  </r>
  <r>
    <n v="390"/>
    <m/>
    <s v="ü"/>
    <d v="2017-07-06T00:00:00"/>
    <n v="0.26"/>
    <x v="16"/>
    <x v="15"/>
    <s v="Calle Guacara Nro. 90-81"/>
    <s v="Anticipo Vigilancia, mes de Julio 2017"/>
    <s v="Vigilancia"/>
    <m/>
    <s v="00390"/>
    <s v="06 de Julio de 2017"/>
    <n v="6"/>
    <d v="2017-07-01T00:00:00"/>
    <s v="0,26"/>
    <s v="Cero Bolívares con 26/100"/>
  </r>
  <r>
    <n v="391"/>
    <m/>
    <s v="ü"/>
    <d v="2017-07-07T00:00:00"/>
    <n v="0.52"/>
    <x v="21"/>
    <x v="19"/>
    <s v="Calle Güigüe Nro. 89-105"/>
    <s v="Cancelación Vigilancia, mes de Junio y anticipo Julio 2017"/>
    <s v="Vigilancia"/>
    <m/>
    <s v="00391"/>
    <s v="07 de Julio de 2017"/>
    <n v="7"/>
    <d v="2017-07-01T00:00:00"/>
    <s v="0,52"/>
    <s v="Cero Bolívares con 52/100"/>
  </r>
  <r>
    <n v="392"/>
    <m/>
    <s v="ü"/>
    <d v="2017-07-07T00:00:00"/>
    <n v="7.0000000000000007E-2"/>
    <x v="21"/>
    <x v="19"/>
    <s v="Calle Güigüe Nro. 89-105"/>
    <s v="Cuota especial, reja vereda Centro Comercial"/>
    <s v="Reja CC"/>
    <m/>
    <s v="00392"/>
    <s v="07 de Julio de 2017"/>
    <n v="7"/>
    <d v="2017-07-01T00:00:00"/>
    <s v="0,07"/>
    <s v="Cero Bolívares con 07/100"/>
  </r>
  <r>
    <n v="393"/>
    <m/>
    <s v="ü"/>
    <d v="2017-06-06T00:00:00"/>
    <n v="0.26"/>
    <x v="59"/>
    <x v="9"/>
    <s v="Calle Guacara Nro. 90-35"/>
    <s v="Cancelación Vigilancia, mes de Junio 2017"/>
    <s v="Vigilancia"/>
    <m/>
    <s v="00393"/>
    <s v="06 de Junio de 2017"/>
    <n v="6"/>
    <d v="2017-06-01T00:00:00"/>
    <s v="0,26"/>
    <s v="Cero Bolívares con 26/100"/>
  </r>
  <r>
    <n v="394"/>
    <m/>
    <s v="ü"/>
    <d v="2017-07-09T00:00:00"/>
    <n v="0.26"/>
    <x v="1"/>
    <x v="1"/>
    <s v="Calle Güigüe Nro. 88-44"/>
    <s v="Anticipo Vigilancia, mes de Julio 2017"/>
    <s v="Vigilancia"/>
    <m/>
    <s v="00394"/>
    <s v="09 de Julio de 2017"/>
    <n v="9"/>
    <d v="2017-07-01T00:00:00"/>
    <s v="0,26"/>
    <s v="Cero Bolívares con 26/100"/>
  </r>
  <r>
    <n v="395"/>
    <m/>
    <s v="ü"/>
    <d v="2017-07-10T00:00:00"/>
    <n v="7.0000000000000007E-2"/>
    <x v="23"/>
    <x v="21"/>
    <s v="Calle Güigüe Nro. 88-116"/>
    <s v="Cuota especial, reja vereda Centro Comercial"/>
    <s v="Reja CC"/>
    <m/>
    <s v="00395"/>
    <s v="10 de Julio de 2017"/>
    <n v="10"/>
    <d v="2017-07-01T00:00:00"/>
    <s v="0,07"/>
    <s v="Cero Bolívares con 07/100"/>
  </r>
  <r>
    <n v="396"/>
    <m/>
    <s v="ü"/>
    <d v="2017-07-10T00:00:00"/>
    <n v="0.26"/>
    <x v="39"/>
    <x v="36"/>
    <s v="Calle Güigüe Nro. 88-111"/>
    <s v="Cancelación Vigilancia, mes de Junio 2017"/>
    <s v="Vigilancia"/>
    <m/>
    <s v="00396"/>
    <s v="10 de Julio de 2017"/>
    <n v="10"/>
    <d v="2017-07-01T00:00:00"/>
    <s v="0,26"/>
    <s v="Cero Bolívares con 26/100"/>
  </r>
  <r>
    <n v="397"/>
    <m/>
    <s v="ü"/>
    <d v="2017-06-02T00:00:00"/>
    <n v="0.26"/>
    <x v="5"/>
    <x v="5"/>
    <s v="Calle Güigüe Nro. 88-120"/>
    <s v="Cancelación Vigilancia, mes de Junio 2017"/>
    <s v="Vigilancia"/>
    <m/>
    <s v="00397"/>
    <s v="02 de Junio de 2017"/>
    <n v="2"/>
    <d v="2017-06-01T00:00:00"/>
    <s v="0,26"/>
    <s v="Cero Bolívares con 26/100"/>
  </r>
  <r>
    <n v="398"/>
    <m/>
    <s v="ü"/>
    <d v="2017-07-11T00:00:00"/>
    <n v="0.26"/>
    <x v="29"/>
    <x v="27"/>
    <s v="Calle Guacara Nro. 88-75"/>
    <s v="Cancelación Vigilancia, mes de Junio 2017"/>
    <s v="Vigilancia"/>
    <m/>
    <s v="00398"/>
    <s v="11 de Julio de 2017"/>
    <n v="11"/>
    <d v="2017-07-01T00:00:00"/>
    <s v="0,26"/>
    <s v="Cero Bolívares con 26/100"/>
  </r>
  <r>
    <n v="399"/>
    <m/>
    <s v="ü"/>
    <d v="2017-06-14T00:00:00"/>
    <n v="0.26"/>
    <x v="12"/>
    <x v="12"/>
    <s v="Calle Guacara Nro. 89-20"/>
    <s v="Cancelación Vigilancia, mes de Junio 2017"/>
    <s v="Vigilancia"/>
    <m/>
    <s v="00399"/>
    <s v="14 de Junio de 2017"/>
    <n v="14"/>
    <d v="2017-06-01T00:00:00"/>
    <s v="0,26"/>
    <s v="Cero Bolívares con 26/100"/>
  </r>
  <r>
    <n v="400"/>
    <m/>
    <s v="ü"/>
    <d v="2017-06-14T00:00:00"/>
    <n v="7.0000000000000007E-2"/>
    <x v="12"/>
    <x v="12"/>
    <s v="Calle Guacara Nro. 89-20"/>
    <s v="Cuota especial, reja vereda Centro Comercial"/>
    <s v="Reja CC"/>
    <m/>
    <s v="00400"/>
    <s v="14 de Junio de 2017"/>
    <n v="14"/>
    <d v="2017-06-01T00:00:00"/>
    <s v="0,07"/>
    <s v="Cero Bolívares con 07/100"/>
  </r>
  <r>
    <n v="401"/>
    <m/>
    <s v="ü"/>
    <d v="2017-07-11T00:00:00"/>
    <n v="0.26"/>
    <x v="76"/>
    <x v="66"/>
    <s v="Calle Güigüe Nro. 89-90"/>
    <s v="Anticipo Vigilancia, mes de Julio 2017"/>
    <s v="Vigilancia"/>
    <m/>
    <s v="00401"/>
    <s v="11 de Julio de 2017"/>
    <n v="11"/>
    <d v="2017-07-01T00:00:00"/>
    <s v="0,26"/>
    <s v="Cero Bolívares con 26/100"/>
  </r>
  <r>
    <n v="402"/>
    <m/>
    <s v="ü"/>
    <d v="2017-07-11T00:00:00"/>
    <n v="0.26"/>
    <x v="12"/>
    <x v="12"/>
    <s v="Calle Guacara Nro. 89-20"/>
    <s v="Anticipo Vigilancia, mes de Julio 2017"/>
    <s v="Vigilancia"/>
    <m/>
    <s v="00402"/>
    <s v="11 de Julio de 2017"/>
    <n v="11"/>
    <d v="2017-07-01T00:00:00"/>
    <s v="0,26"/>
    <s v="Cero Bolívares con 26/100"/>
  </r>
  <r>
    <n v="403"/>
    <m/>
    <s v="ü"/>
    <d v="2017-07-11T00:00:00"/>
    <n v="0.05"/>
    <x v="55"/>
    <x v="51"/>
    <s v="Calle Güigüe Nro. 89-16"/>
    <s v="Colaboración cuota especial, reja vereda Centro Comercial"/>
    <s v="Reja CC"/>
    <m/>
    <s v="00403"/>
    <s v="11 de Julio de 2017"/>
    <n v="11"/>
    <d v="2017-07-01T00:00:00"/>
    <s v="0,05"/>
    <s v="Cero Bolívares con 05/100"/>
  </r>
  <r>
    <n v="404"/>
    <m/>
    <s v="û"/>
    <d v="2017-07-11T00:00:00"/>
    <m/>
    <x v="55"/>
    <x v="51"/>
    <s v="Calle Güigüe Nro. 89-16"/>
    <s v="Donación de láminas de acerolit, manto asfáltico y vidrios para la caseta de vigilancia, quedando exonerada de pago hasta Diciembre 2017"/>
    <s v="Vigilancia"/>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s v="Cero Bolívares con 66/100"/>
  </r>
  <r>
    <n v="406"/>
    <m/>
    <s v="ü"/>
    <d v="2017-07-12T00:00:00"/>
    <n v="0.26"/>
    <x v="45"/>
    <x v="42"/>
    <s v="Calle Güigüe Nro. 87-A-11"/>
    <s v="Anticipo Vigilancia, mes de Julio 2017"/>
    <s v="Vigilancia"/>
    <m/>
    <s v="00406"/>
    <s v="12 de Julio de 2017"/>
    <n v="12"/>
    <d v="2017-07-01T00:00:00"/>
    <s v="0,26"/>
    <s v="Cero Bolívares con 26/100"/>
  </r>
  <r>
    <n v="407"/>
    <m/>
    <s v="ü"/>
    <d v="2017-07-12T00:00:00"/>
    <n v="0.26"/>
    <x v="69"/>
    <x v="61"/>
    <s v="Calle Güigüe Nro. 89-40"/>
    <s v="Cancelación Vigilancia, mes de Junio y anticipo Julio 2017"/>
    <s v="Vigilancia"/>
    <m/>
    <s v="00407"/>
    <s v="12 de Julio de 2017"/>
    <n v="12"/>
    <d v="2017-07-01T00:00:00"/>
    <s v="0,26"/>
    <s v="Cero Bolívares con 26/100"/>
  </r>
  <r>
    <n v="408"/>
    <m/>
    <s v="ü"/>
    <d v="2017-07-12T00:00:00"/>
    <n v="7.0000000000000007E-2"/>
    <x v="69"/>
    <x v="61"/>
    <s v="Calle Güigüe Nro. 89-40"/>
    <s v="Cuota especial, reja vereda Centro Comercial"/>
    <s v="Reja CC"/>
    <m/>
    <s v="00408"/>
    <s v="12 de Julio de 2017"/>
    <n v="12"/>
    <d v="2017-07-01T00:00:00"/>
    <s v="0,07"/>
    <s v="Cero Bolívares con 07/100"/>
  </r>
  <r>
    <n v="409"/>
    <m/>
    <s v="ü"/>
    <d v="2017-07-12T00:00:00"/>
    <n v="0.26"/>
    <x v="20"/>
    <x v="18"/>
    <s v="Calle Guacara Nro. 89-30"/>
    <s v="Anticipo Vigilancia, mes de Julio 2017"/>
    <s v="Vigilancia"/>
    <m/>
    <s v="00409"/>
    <s v="12 de Julio de 2017"/>
    <n v="12"/>
    <d v="2017-07-01T00:00:00"/>
    <s v="0,26"/>
    <s v="Cero Bolívares con 26/100"/>
  </r>
  <r>
    <n v="410"/>
    <m/>
    <s v="ü"/>
    <d v="2017-07-12T00:00:00"/>
    <n v="0.1"/>
    <x v="82"/>
    <x v="9"/>
    <s v="Calle Guacara Nro. 90-61"/>
    <s v="Colaboración Vigilancia, meses de Ene-May 2017"/>
    <s v="Vigilancia"/>
    <m/>
    <s v="00410"/>
    <s v="12 de Julio de 2017"/>
    <n v="12"/>
    <d v="2017-07-01T00:00:00"/>
    <s v="0,10"/>
    <s v="Cero Bolívares con 10/100"/>
  </r>
  <r>
    <n v="411"/>
    <m/>
    <s v="ü"/>
    <d v="2017-07-04T00:00:00"/>
    <n v="0.18"/>
    <x v="49"/>
    <x v="46"/>
    <s v="Av. &quot;O&quot; Nro. 146-17"/>
    <s v="Cancelación saldo Vigilancia, meses de Mayo y Junio 2017"/>
    <s v="Vigilancia"/>
    <m/>
    <s v="00411"/>
    <s v="04 de Julio de 2017"/>
    <n v="4"/>
    <d v="2017-07-01T00:00:00"/>
    <s v="0,18"/>
    <s v="Cero Bolívares con 18/100"/>
  </r>
  <r>
    <n v="412"/>
    <m/>
    <s v="ü"/>
    <d v="2017-07-12T00:00:00"/>
    <n v="0.26"/>
    <x v="27"/>
    <x v="25"/>
    <s v="Calle Güigüe Nro. 89-106"/>
    <s v="Cancelación Vigilancia, mes de Junio 2017"/>
    <s v="Vigilancia"/>
    <m/>
    <s v="00412"/>
    <s v="12 de Julio de 2017"/>
    <n v="12"/>
    <d v="2017-07-01T00:00:00"/>
    <s v="0,26"/>
    <s v="Cero Bolívares con 26/100"/>
  </r>
  <r>
    <n v="413"/>
    <m/>
    <s v="ü"/>
    <d v="2017-07-13T00:00:00"/>
    <n v="0.26"/>
    <x v="31"/>
    <x v="29"/>
    <s v="Calle Güigüe Nro. 89-95"/>
    <s v="Cancelación Vigilancia, mes de Junio 2017"/>
    <s v="Vigilancia"/>
    <m/>
    <s v="00413"/>
    <s v="13 de Julio de 2017"/>
    <n v="13"/>
    <d v="2017-07-01T00:00:00"/>
    <s v="0,26"/>
    <s v="Cero Bolívares con 26/100"/>
  </r>
  <r>
    <n v="414"/>
    <m/>
    <s v="ü"/>
    <d v="2017-07-14T00:00:00"/>
    <n v="0.34"/>
    <x v="70"/>
    <x v="9"/>
    <s v="Calle Guacara Nro. 89-70"/>
    <s v="Cancelación Vigilancia, meses de Marzo y Abril 2017"/>
    <s v="Vigilancia"/>
    <m/>
    <s v="00414"/>
    <s v="14 de Julio de 2017"/>
    <n v="14"/>
    <d v="2017-07-01T00:00:00"/>
    <s v="0,34"/>
    <s v="Cero Bolívares con 34/100"/>
  </r>
  <r>
    <n v="415"/>
    <m/>
    <s v="ü"/>
    <d v="2017-07-14T00:00:00"/>
    <n v="0.27"/>
    <x v="38"/>
    <x v="35"/>
    <s v="Calle Guacara Nro. 89-78"/>
    <s v="Cancelación Vigilancia, mes de Junio y anticipo del mes de Julio 2017"/>
    <s v="Vigilancia"/>
    <m/>
    <s v="00415"/>
    <s v="14 de Julio de 2017"/>
    <n v="14"/>
    <d v="2017-07-01T00:00:00"/>
    <s v="0,27"/>
    <s v="Cero Bolívares con 27/100"/>
  </r>
  <r>
    <n v="416"/>
    <m/>
    <s v="ü"/>
    <d v="2017-07-04T00:00:00"/>
    <n v="0.12"/>
    <x v="25"/>
    <x v="23"/>
    <s v="Calle Güigüe Nro. 88-58"/>
    <s v="Colaboración Vigilancia, mes de Mayo 2017"/>
    <s v="Vigilancia"/>
    <m/>
    <s v="00416"/>
    <s v="04 de Julio de 2017"/>
    <n v="4"/>
    <d v="2017-07-01T00:00:00"/>
    <s v="0,12"/>
    <s v="Cero Bolívares con 12/100"/>
  </r>
  <r>
    <n v="417"/>
    <m/>
    <s v="ü"/>
    <d v="2017-07-14T00:00:00"/>
    <n v="0.26"/>
    <x v="14"/>
    <x v="13"/>
    <s v="Calle Güigüe Nro. 89-83"/>
    <s v="Anticipo Vigilancia, mes de Julio 2017"/>
    <s v="Vigilancia"/>
    <m/>
    <s v="00417"/>
    <s v="14 de Julio de 2017"/>
    <n v="14"/>
    <d v="2017-07-01T00:00:00"/>
    <s v="0,26"/>
    <s v="Cero Bolívares con 26/100"/>
  </r>
  <r>
    <n v="418"/>
    <m/>
    <s v="ü"/>
    <d v="2017-07-14T00:00:00"/>
    <n v="0.2"/>
    <x v="35"/>
    <x v="32"/>
    <s v="Calle Güigüe Nro. 89-80"/>
    <s v="Colaboración Vigilancia, mes de Julio 2017"/>
    <s v="Vigilancia"/>
    <m/>
    <s v="00418"/>
    <s v="14 de Julio de 2017"/>
    <n v="14"/>
    <d v="2017-07-01T00:00:00"/>
    <s v="0,20"/>
    <s v="Cero Bolívares con 20/100"/>
  </r>
  <r>
    <n v="419"/>
    <m/>
    <s v="ü"/>
    <d v="2017-06-30T00:00:00"/>
    <n v="0.26"/>
    <x v="10"/>
    <x v="10"/>
    <s v="Av. &quot;M&quot; Nro. 146-15"/>
    <s v="Cancelación Vigilancia, mes de Junio 2017"/>
    <s v="Vigilancia"/>
    <m/>
    <s v="00419"/>
    <s v="30 de Junio de 2017"/>
    <n v="30"/>
    <d v="2017-06-01T00:00:00"/>
    <s v="0,26"/>
    <s v="Cero Bolívares con 26/100"/>
  </r>
  <r>
    <n v="420"/>
    <m/>
    <s v="ü"/>
    <d v="2017-07-15T00:00:00"/>
    <n v="0.15"/>
    <x v="68"/>
    <x v="60"/>
    <s v="Calle Güigüe Nro. 89-29"/>
    <s v="Colaboración Vigilancia, mes de Julio 2017"/>
    <s v="Vigilancia"/>
    <m/>
    <s v="00420"/>
    <s v="15 de Julio de 2017"/>
    <n v="15"/>
    <d v="2017-07-01T00:00:00"/>
    <s v="0,15"/>
    <s v="Cero Bolívares con 15/100"/>
  </r>
  <r>
    <n v="421"/>
    <m/>
    <s v="ü"/>
    <d v="2017-07-17T00:00:00"/>
    <n v="0.26"/>
    <x v="65"/>
    <x v="58"/>
    <s v="Calle Güigüe Nro. 88-10"/>
    <s v="Cancelación Vigilancia, mes de Junio 2017"/>
    <s v="Vigilancia"/>
    <m/>
    <s v="00421"/>
    <s v="17 de Julio de 2017"/>
    <n v="17"/>
    <d v="2017-07-01T00:00:00"/>
    <s v="0,26"/>
    <s v="Cero Bolívares con 26/100"/>
  </r>
  <r>
    <n v="422"/>
    <m/>
    <s v="ü"/>
    <d v="2017-07-17T00:00:00"/>
    <n v="0.3"/>
    <x v="9"/>
    <x v="9"/>
    <s v="Av. &quot;M&quot; Nro. 146-30"/>
    <s v="Anticipo Vigilancia, mes de Julio 2017"/>
    <s v="Vigilancia"/>
    <m/>
    <s v="00422"/>
    <s v="17 de Julio de 2017"/>
    <n v="17"/>
    <d v="2017-07-01T00:00:00"/>
    <s v="0,30"/>
    <s v="Cero Bolívares con 30/100"/>
  </r>
  <r>
    <n v="423"/>
    <m/>
    <s v="ü"/>
    <d v="2017-07-17T00:00:00"/>
    <n v="0.06"/>
    <x v="34"/>
    <x v="9"/>
    <s v="Av. &quot;O&quot; Nro. 146-11"/>
    <s v="Cancelación saldo Vigilancia, mes de Mayo 2017"/>
    <s v="Vigilancia"/>
    <m/>
    <s v="00423"/>
    <s v="17 de Julio de 2017"/>
    <n v="17"/>
    <d v="2017-07-01T00:00:00"/>
    <s v="0,06"/>
    <s v="Cero Bolívares con 06/100"/>
  </r>
  <r>
    <n v="424"/>
    <m/>
    <s v="ü"/>
    <d v="2017-07-18T00:00:00"/>
    <n v="0.09"/>
    <x v="12"/>
    <x v="12"/>
    <s v="Calle Guacara Nro. 89-20"/>
    <s v="Cancelación saldo Vigilancia, mes de Julio 2017"/>
    <s v="Vigilancia"/>
    <m/>
    <s v="00424"/>
    <s v="18 de Julio de 2017"/>
    <n v="18"/>
    <d v="2017-07-01T00:00:00"/>
    <s v="0,09"/>
    <s v="Cero Bolívares con 09/100"/>
  </r>
  <r>
    <n v="425"/>
    <m/>
    <s v="ü"/>
    <d v="2017-07-18T00:00:00"/>
    <n v="0.1"/>
    <x v="9"/>
    <x v="9"/>
    <s v="Av. &quot;M&quot; Nro. 146-30"/>
    <s v="Cancelación saldo Vigilancia, mes de Julio 2017"/>
    <s v="Vigilancia"/>
    <m/>
    <s v="00425"/>
    <s v="18 de Julio de 2017"/>
    <n v="18"/>
    <d v="2017-07-01T00:00:00"/>
    <s v="0,10"/>
    <s v="Cero Bolívares con 10/100"/>
  </r>
  <r>
    <n v="426"/>
    <m/>
    <s v="ü"/>
    <d v="2017-07-18T00:00:00"/>
    <n v="0.26"/>
    <x v="34"/>
    <x v="9"/>
    <s v="Av. &quot;O&quot; Nro. 146-11"/>
    <s v="Cancelación Vigilancia, mes de Junio 2017"/>
    <s v="Vigilancia"/>
    <m/>
    <s v="00426"/>
    <s v="18 de Julio de 2017"/>
    <n v="18"/>
    <d v="2017-07-01T00:00:00"/>
    <s v="0,26"/>
    <s v="Cero Bolívares con 26/100"/>
  </r>
  <r>
    <n v="427"/>
    <m/>
    <s v="ü"/>
    <d v="2017-07-18T00:00:00"/>
    <n v="0.35"/>
    <x v="81"/>
    <x v="69"/>
    <s v="Calle Güigüe Nro. 89-65"/>
    <s v="Cancelación Vigilancia, mes de Julio 2017"/>
    <s v="Vigilancia"/>
    <m/>
    <s v="00427"/>
    <s v="18 de Julio de 2017"/>
    <n v="18"/>
    <d v="2017-07-01T00:00:00"/>
    <s v="0,35"/>
    <s v="Cero Bolívares con 35/100"/>
  </r>
  <r>
    <n v="428"/>
    <m/>
    <s v="ü"/>
    <d v="2017-07-18T00:00:00"/>
    <n v="0.35"/>
    <x v="30"/>
    <x v="28"/>
    <s v="Calle Güigüe Nro. 89-04"/>
    <s v="Cancelación Vigilancia, mes de Julio 2017"/>
    <s v="Vigilancia"/>
    <m/>
    <s v="00428"/>
    <s v="18 de Julio de 2017"/>
    <n v="18"/>
    <d v="2017-07-01T00:00:00"/>
    <s v="0,35"/>
    <s v="Cero Bolívares con 35/100"/>
  </r>
  <r>
    <n v="429"/>
    <m/>
    <s v="ü"/>
    <d v="2017-07-18T00:00:00"/>
    <n v="0.36"/>
    <x v="60"/>
    <x v="54"/>
    <s v="Calle Guacara Nro. 88-51"/>
    <s v="Complemento colaboración Vigilancia, mes de Mayo y Cancelación mes de Junio 2017"/>
    <s v="Vigilancia"/>
    <m/>
    <s v="00429"/>
    <s v="18 de Julio de 2017"/>
    <n v="18"/>
    <d v="2017-07-01T00:00:00"/>
    <s v="0,36"/>
    <s v="Cero Bolívares con 36/100"/>
  </r>
  <r>
    <n v="430"/>
    <m/>
    <s v="ü"/>
    <d v="2017-07-13T00:00:00"/>
    <n v="0.2"/>
    <x v="53"/>
    <x v="48"/>
    <s v="Calle Guacara Nro. 88-91"/>
    <s v="Colaboración Vigilancia, meses de Mayo y Junio 2017"/>
    <s v="Vigilancia"/>
    <m/>
    <s v="00430"/>
    <s v="13 de Julio de 2017"/>
    <n v="13"/>
    <d v="2017-07-01T00:00:00"/>
    <s v="0,20"/>
    <s v="Cero Bolívares con 20/100"/>
  </r>
  <r>
    <n v="431"/>
    <m/>
    <s v="ü"/>
    <d v="2017-07-18T00:00:00"/>
    <n v="0.09"/>
    <x v="0"/>
    <x v="0"/>
    <s v="Calle Guacara Nro. 88-45"/>
    <s v="Cancelación saldo Vigilancia, mes de Julio 2017 (saldo a favor: Bs. 130.000)"/>
    <s v="Vigilancia"/>
    <m/>
    <s v="00431"/>
    <s v="18 de Julio de 2017"/>
    <n v="18"/>
    <d v="2017-07-01T00:00:00"/>
    <s v="0,09"/>
    <s v="Cero Bolívares con 09/100"/>
  </r>
  <r>
    <n v="432"/>
    <m/>
    <s v="ü"/>
    <d v="2017-07-18T00:00:00"/>
    <n v="0.09"/>
    <x v="75"/>
    <x v="65"/>
    <s v="Av. &quot;Ñ&quot; Nro. 145-25"/>
    <s v="Cancelación saldo Vigilancia, mes de Julio 2017 (saldo a favor: Bs. 121.000)"/>
    <s v="Vigilancia"/>
    <m/>
    <s v="00432"/>
    <s v="18 de Julio de 2017"/>
    <n v="18"/>
    <d v="2017-07-01T00:00:00"/>
    <s v="0,09"/>
    <s v="Cero Bolívares con 09/100"/>
  </r>
  <r>
    <n v="433"/>
    <m/>
    <s v="ü"/>
    <d v="2017-07-18T00:00:00"/>
    <n v="0.09"/>
    <x v="18"/>
    <x v="16"/>
    <s v="Calle Guacara Nro. 87-100"/>
    <s v="Cancelación saldo Vigilancia, mes de Julio 2017"/>
    <s v="Vigilancia"/>
    <m/>
    <s v="00433"/>
    <s v="18 de Julio de 2017"/>
    <n v="18"/>
    <d v="2017-07-01T00:00:00"/>
    <s v="0,09"/>
    <s v="Cero Bolívares con 09/100"/>
  </r>
  <r>
    <n v="434"/>
    <m/>
    <s v="ü"/>
    <d v="2017-07-18T00:00:00"/>
    <n v="0.09"/>
    <x v="14"/>
    <x v="13"/>
    <s v="Calle Güigüe Nro. 89-83"/>
    <s v="Cancelación saldo Vigilancia, mes de Julio 2017"/>
    <s v="Vigilancia"/>
    <m/>
    <s v="00434"/>
    <s v="18 de Julio de 2017"/>
    <n v="18"/>
    <d v="2017-07-01T00:00:00"/>
    <s v="0,09"/>
    <s v="Cero Bolívares con 09/100"/>
  </r>
  <r>
    <n v="435"/>
    <m/>
    <s v="ü"/>
    <d v="2017-07-19T00:00:00"/>
    <n v="0.1"/>
    <x v="4"/>
    <x v="4"/>
    <s v="Calle Güigüe Nro. 89-55"/>
    <s v="Cancelación saldo Vigilancia, mes de Julio 2017"/>
    <s v="Vigilancia"/>
    <m/>
    <s v="00435"/>
    <s v="19 de Julio de 2017"/>
    <n v="19"/>
    <d v="2017-07-01T00:00:00"/>
    <s v="0,10"/>
    <s v="Cero Bolívares con 10/100"/>
  </r>
  <r>
    <n v="436"/>
    <m/>
    <s v="ü"/>
    <d v="2017-07-19T00:00:00"/>
    <n v="0.25"/>
    <x v="2"/>
    <x v="2"/>
    <s v="Calle Guacara Nro. 88-19"/>
    <s v="Colaboración Vigilancia, mes de Julio 2017"/>
    <s v="Vigilancia"/>
    <m/>
    <s v="00436"/>
    <s v="19 de Julio de 2017"/>
    <n v="19"/>
    <d v="2017-07-01T00:00:00"/>
    <s v="0,25"/>
    <s v="Cero Bolívares con 25/100"/>
  </r>
  <r>
    <n v="437"/>
    <m/>
    <s v="ü"/>
    <d v="2017-07-19T00:00:00"/>
    <n v="0.09"/>
    <x v="6"/>
    <x v="6"/>
    <s v="Calle Guacara Nro. 89-60"/>
    <s v="Cancelación saldo Vigilancia, mes de Julio 2017"/>
    <s v="Vigilancia"/>
    <m/>
    <s v="00437"/>
    <s v="19 de Julio de 2017"/>
    <n v="19"/>
    <d v="2017-07-01T00:00:00"/>
    <s v="0,09"/>
    <s v="Cero Bolívares con 09/100"/>
  </r>
  <r>
    <n v="438"/>
    <m/>
    <s v="ü"/>
    <d v="2017-07-19T00:00:00"/>
    <n v="0.3"/>
    <x v="64"/>
    <x v="57"/>
    <s v="Calle Guacara Nro. 88-35"/>
    <s v="Colaboración Vigilancia, mes de Julio 2017"/>
    <s v="Vigilancia"/>
    <m/>
    <s v="00438"/>
    <s v="19 de Julio de 2017"/>
    <n v="19"/>
    <d v="2017-07-01T00:00:00"/>
    <s v="0,30"/>
    <s v="Cero Bolívares con 30/100"/>
  </r>
  <r>
    <n v="439"/>
    <m/>
    <s v="ü"/>
    <d v="2017-07-18T00:00:00"/>
    <n v="0.52"/>
    <x v="41"/>
    <x v="38"/>
    <s v="Calle Güigüe Nro. 88-91"/>
    <s v="Cancelación Vigilancia, mes de Junio y anticipo mes de Julio 2017"/>
    <s v="Vigilancia"/>
    <m/>
    <s v="00439"/>
    <s v="18 de Julio de 2017"/>
    <n v="18"/>
    <d v="2017-07-01T00:00:00"/>
    <s v="0,52"/>
    <s v="Cero Bolívares con 52/100"/>
  </r>
  <r>
    <n v="440"/>
    <m/>
    <s v="ü"/>
    <d v="2017-07-19T00:00:00"/>
    <n v="0.09"/>
    <x v="20"/>
    <x v="18"/>
    <s v="Calle Guacara Nro. 89-30"/>
    <s v="Cancelación saldo Vigilancia, mes de Julio 2017"/>
    <s v="Vigilancia"/>
    <m/>
    <s v="00440"/>
    <s v="19 de Julio de 2017"/>
    <n v="19"/>
    <d v="2017-07-01T00:00:00"/>
    <s v="0,09"/>
    <s v="Cero Bolívares con 09/100"/>
  </r>
  <r>
    <n v="441"/>
    <m/>
    <s v="ü"/>
    <d v="2017-07-19T00:00:00"/>
    <n v="0.09"/>
    <x v="16"/>
    <x v="15"/>
    <s v="Calle Guacara Nro. 90-81"/>
    <s v="Cancelación saldo Vigilancia, mes de Julio 2017"/>
    <s v="Vigilancia"/>
    <m/>
    <s v="00441"/>
    <s v="19 de Julio de 2017"/>
    <n v="19"/>
    <d v="2017-07-01T00:00:00"/>
    <s v="0,09"/>
    <s v="Cero Bolívares con 09/100"/>
  </r>
  <r>
    <n v="442"/>
    <m/>
    <s v="ü"/>
    <d v="2017-07-17T00:00:00"/>
    <n v="0.15"/>
    <x v="25"/>
    <x v="23"/>
    <s v="Calle Güigüe Nro. 88-58"/>
    <s v="Colaboración Vigilancia, mes de Junio 2017"/>
    <s v="Vigilancia"/>
    <m/>
    <s v="00442"/>
    <s v="17 de Julio de 2017"/>
    <n v="17"/>
    <d v="2017-07-01T00:00:00"/>
    <s v="0,15"/>
    <s v="Cero Bolívares con 15/100"/>
  </r>
  <r>
    <n v="443"/>
    <m/>
    <s v="ü"/>
    <d v="2017-07-20T00:00:00"/>
    <n v="5.0999999999999997E-2"/>
    <x v="60"/>
    <x v="54"/>
    <s v="Calle Guacara Nro. 88-51"/>
    <s v="Complemento colaboración Vigilancia, mes de Abril 2017, contra factura"/>
    <s v="Vigilancia"/>
    <m/>
    <s v="00443"/>
    <s v="20 de Julio de 2017"/>
    <n v="20"/>
    <d v="2017-07-01T00:00:00"/>
    <s v="0,05"/>
    <s v="Cero Bolívares con 05/100"/>
  </r>
  <r>
    <n v="444"/>
    <m/>
    <s v="ü"/>
    <d v="2017-07-20T00:00:00"/>
    <n v="0.35"/>
    <x v="19"/>
    <x v="17"/>
    <s v="Calle Guacara Nro. 89-130"/>
    <s v="Cancelación Vigilancia, mes de Julio 2017"/>
    <s v="Vigilancia"/>
    <m/>
    <s v="00444"/>
    <s v="20 de Julio de 2017"/>
    <n v="20"/>
    <d v="2017-07-01T00:00:00"/>
    <s v="0,35"/>
    <s v="Cero Bolívares con 35/100"/>
  </r>
  <r>
    <n v="445"/>
    <m/>
    <s v="ü"/>
    <d v="2017-07-20T00:00:00"/>
    <n v="0.25"/>
    <x v="26"/>
    <x v="24"/>
    <s v="Calle Güigüe Nro. 89-96"/>
    <s v="Cancelación Vigilancia, mes de Junio 2017"/>
    <s v="Vigilancia"/>
    <m/>
    <s v="00445"/>
    <s v="20 de Julio de 2017"/>
    <n v="20"/>
    <d v="2017-07-01T00:00:00"/>
    <s v="0,25"/>
    <s v="Cero Bolívares con 25/100"/>
  </r>
  <r>
    <n v="446"/>
    <m/>
    <s v="ü"/>
    <d v="2017-07-21T00:00:00"/>
    <n v="0.05"/>
    <x v="28"/>
    <x v="26"/>
    <s v="Calle Güigüe Nro. 88-30"/>
    <s v="Colaboración Vigilancia, mes de Julio 2017"/>
    <s v="Vigilancia"/>
    <m/>
    <s v="00446"/>
    <s v="21 de Julio de 2017"/>
    <n v="21"/>
    <d v="2017-07-01T00:00:00"/>
    <s v="0,05"/>
    <s v="Cero Bolívares con 05/100"/>
  </r>
  <r>
    <n v="447"/>
    <m/>
    <s v="ü"/>
    <d v="2017-07-23T00:00:00"/>
    <n v="0.09"/>
    <x v="1"/>
    <x v="1"/>
    <s v="Calle Güigüe Nro. 88-44"/>
    <s v="Cancelación saldo Vigilancia, mes de Julio 2017"/>
    <s v="Vigilancia"/>
    <m/>
    <s v="00447"/>
    <s v="23 de Julio de 2017"/>
    <n v="23"/>
    <d v="2017-07-01T00:00:00"/>
    <s v="0,09"/>
    <s v="Cero Bolívares con 09/100"/>
  </r>
  <r>
    <n v="448"/>
    <m/>
    <s v="ü"/>
    <d v="2017-06-07T00:00:00"/>
    <n v="0.26"/>
    <x v="11"/>
    <x v="11"/>
    <s v="Calle Guacara Nro. 89-86"/>
    <s v="Anticipo Vigilancia, mes de Julio 2017"/>
    <s v="Vigilancia"/>
    <m/>
    <s v="00448"/>
    <s v="07 de Junio de 2017"/>
    <n v="7"/>
    <d v="2017-06-01T00:00:00"/>
    <s v="0,26"/>
    <s v="Cero Bolívares con 26/100"/>
  </r>
  <r>
    <n v="449"/>
    <m/>
    <s v="ü"/>
    <d v="2017-07-23T00:00:00"/>
    <n v="0.44"/>
    <x v="11"/>
    <x v="11"/>
    <s v="Calle Guacara Nro. 89-86"/>
    <s v="Cancelación saldo Vigilancia, mes de Julio y Cancelación Vigilancia Agosto 2017"/>
    <s v="Vigilancia"/>
    <m/>
    <s v="00449"/>
    <s v="23 de Julio de 2017"/>
    <n v="23"/>
    <d v="2017-07-01T00:00:00"/>
    <s v="0,44"/>
    <s v="Cero Bolívares con 44/100"/>
  </r>
  <r>
    <n v="450"/>
    <m/>
    <s v="ü"/>
    <d v="2017-07-24T00:00:00"/>
    <n v="1.08"/>
    <x v="73"/>
    <x v="9"/>
    <s v="Calle Güigüe Nros. 88-71 y 88-81"/>
    <s v="Cancelación Vigilancia, meses de Julio y Agosto 2017"/>
    <s v="Vigilancia"/>
    <m/>
    <s v="00450"/>
    <s v="24 de Julio de 2017"/>
    <n v="24"/>
    <d v="2017-07-01T00:00:00"/>
    <s v="1,08"/>
    <s v="Un Bolívares con 08/100"/>
  </r>
  <r>
    <n v="451"/>
    <m/>
    <s v="û"/>
    <d v="2017-04-06T00:00:00"/>
    <n v="0.14000000000000001"/>
    <x v="51"/>
    <x v="48"/>
    <s v="Calle Guacara Nro. 90-110"/>
    <s v="ANULADO: Colaboración Vigilancia, mes de Marzo 2017"/>
    <s v="ANULADO"/>
    <m/>
    <s v="00451"/>
    <s v="06 de Abril de 2017"/>
    <n v="6"/>
    <d v="2017-04-01T00:00:00"/>
    <s v="0,14"/>
    <s v="Cero Bolívares con 14/100"/>
  </r>
  <r>
    <n v="452"/>
    <m/>
    <s v="û"/>
    <d v="2017-05-10T00:00:00"/>
    <n v="0.17"/>
    <x v="51"/>
    <x v="48"/>
    <s v="Calle Guacara Nro. 90-110"/>
    <s v="ANULADO: Colaboración Vigilancia, mes de Abril 2017"/>
    <s v="ANULADO"/>
    <m/>
    <s v="00452"/>
    <s v="10 de Mayo de 2017"/>
    <n v="10"/>
    <d v="2017-05-01T00:00:00"/>
    <s v="0,17"/>
    <s v="Cero Bolívares con 17/100"/>
  </r>
  <r>
    <n v="453"/>
    <m/>
    <s v="û"/>
    <d v="2017-07-13T00:00:00"/>
    <n v="0.2"/>
    <x v="51"/>
    <x v="48"/>
    <s v="Calle Guacara Nro. 90-110"/>
    <s v="ANULADO: Colaboración Vigilancia, meses de Mayo y Junio 2017"/>
    <s v="ANULADO"/>
    <m/>
    <s v="00453"/>
    <s v="13 de Julio de 2017"/>
    <n v="13"/>
    <d v="2017-07-01T00:00:00"/>
    <s v="0,20"/>
    <s v="Cero Bolívares con 20/100"/>
  </r>
  <r>
    <n v="454"/>
    <m/>
    <s v="ü"/>
    <d v="2017-07-28T00:00:00"/>
    <n v="0.2"/>
    <x v="22"/>
    <x v="20"/>
    <s v="Calle Guacara Nro. 88-25"/>
    <s v="Colaboración Vigilancia, mes de Julio 2017"/>
    <s v="Vigilancia"/>
    <m/>
    <s v="00454"/>
    <s v="28 de Julio de 2017"/>
    <n v="28"/>
    <d v="2017-07-01T00:00:00"/>
    <s v="0,20"/>
    <s v="Cero Bolívares con 20/100"/>
  </r>
  <r>
    <n v="455"/>
    <m/>
    <s v="ü"/>
    <d v="2017-07-29T00:00:00"/>
    <n v="0.35"/>
    <x v="24"/>
    <x v="22"/>
    <s v="Calle Güigüe Nro. 88-54"/>
    <s v="Cancelación Vigilancia, mes de Julio 2017"/>
    <s v="Vigilancia"/>
    <m/>
    <s v="00455"/>
    <s v="29 de Julio de 2017"/>
    <n v="29"/>
    <d v="2017-07-01T00:00:00"/>
    <s v="0,35"/>
    <s v="Cero Bolívares con 35/100"/>
  </r>
  <r>
    <n v="456"/>
    <m/>
    <s v="ü"/>
    <d v="2017-07-20T00:00:00"/>
    <n v="0.35"/>
    <x v="36"/>
    <x v="33"/>
    <s v="Calle Güigüe Nro. 89-10"/>
    <s v="Cancelación Vigilancia, mes de Julio 2017"/>
    <s v="Vigilancia"/>
    <m/>
    <s v="00456"/>
    <s v="20 de Julio de 2017"/>
    <n v="20"/>
    <d v="2017-07-01T00:00:00"/>
    <s v="0,35"/>
    <s v="Cero Bolívares con 35/100"/>
  </r>
  <r>
    <n v="457"/>
    <m/>
    <s v="ü"/>
    <d v="2017-07-29T00:00:00"/>
    <n v="7.0000000000000007E-2"/>
    <x v="75"/>
    <x v="65"/>
    <s v="Av. &quot;Ñ&quot; Nro. 145-25"/>
    <s v="Cuota especial, reja vereda Centro Comercial (saldo a favor: Bs. 114.000)"/>
    <s v="Reja CC"/>
    <m/>
    <s v="00457"/>
    <s v="29 de Julio de 2017"/>
    <n v="29"/>
    <d v="2017-07-01T00:00:00"/>
    <s v="0,07"/>
    <s v="Cero Bolívares con 07/100"/>
  </r>
  <r>
    <n v="458"/>
    <m/>
    <s v="ü"/>
    <d v="2017-08-01T00:00:00"/>
    <n v="0.15"/>
    <x v="15"/>
    <x v="14"/>
    <s v="Calle Guacara Nro. 89-94"/>
    <s v="Colaboración Vigilancia, mes de Agosto 2017"/>
    <s v="Vigilancia"/>
    <m/>
    <s v="00458"/>
    <s v="01 de Agosto de 2017"/>
    <n v="1"/>
    <d v="2017-08-01T00:00:00"/>
    <s v="0,15"/>
    <s v="Cero Bolívares con 15/100"/>
  </r>
  <r>
    <n v="459"/>
    <m/>
    <s v="ü"/>
    <d v="2017-08-02T00:00:00"/>
    <n v="0.35"/>
    <x v="26"/>
    <x v="24"/>
    <s v="Calle Güigüe Nro. 89-96"/>
    <s v="Cancelación Vigilancia, mes de Julio 2017"/>
    <s v="Vigilancia"/>
    <m/>
    <s v="00459"/>
    <s v="02 de Agosto de 2017"/>
    <n v="2"/>
    <d v="2017-08-01T00:00:00"/>
    <s v="0,35"/>
    <s v="Cero Bolívares con 35/100"/>
  </r>
  <r>
    <n v="460"/>
    <m/>
    <s v="ü"/>
    <d v="2017-08-02T00:00:00"/>
    <n v="0.35"/>
    <x v="43"/>
    <x v="40"/>
    <s v="Calle Güigüe Nro. 88-50"/>
    <s v="Cancelación Vigilancia, mes de Julio 2017"/>
    <s v="Vigilancia"/>
    <m/>
    <s v="00460"/>
    <s v="02 de Agosto de 2017"/>
    <n v="2"/>
    <d v="2017-08-01T00:00:00"/>
    <s v="0,35"/>
    <s v="Cero Bolívares con 35/100"/>
  </r>
  <r>
    <n v="461"/>
    <m/>
    <s v="ü"/>
    <d v="2017-08-02T00:00:00"/>
    <n v="0.35"/>
    <x v="6"/>
    <x v="6"/>
    <s v="Calle Guacara Nro. 89-60"/>
    <s v="Cancelación Vigilancia, mes de Agosto 2017"/>
    <s v="Vigilancia"/>
    <m/>
    <s v="00461"/>
    <s v="02 de Agosto de 2017"/>
    <n v="2"/>
    <d v="2017-08-01T00:00:00"/>
    <s v="0,35"/>
    <s v="Cero Bolívares con 35/100"/>
  </r>
  <r>
    <n v="462"/>
    <m/>
    <s v="ü"/>
    <d v="2017-07-11T00:00:00"/>
    <n v="0.26"/>
    <x v="23"/>
    <x v="21"/>
    <s v="Calle Güigüe Nro. 88-116"/>
    <s v="Anticipo Vigilancia, mes de Julio 2017"/>
    <s v="Vigilancia"/>
    <m/>
    <s v="00462"/>
    <s v="11 de Julio de 2017"/>
    <n v="11"/>
    <d v="2017-07-01T00:00:00"/>
    <s v="0,26"/>
    <s v="Cero Bolívares con 26/100"/>
  </r>
  <r>
    <n v="463"/>
    <m/>
    <s v="ü"/>
    <d v="2017-08-02T00:00:00"/>
    <n v="0.26"/>
    <x v="48"/>
    <x v="9"/>
    <s v="Calle Güigüe Nro. 88-90"/>
    <s v="Cancelación Vigilancia, mes de Junio 2017"/>
    <s v="Vigilancia"/>
    <m/>
    <s v="00463"/>
    <s v="02 de Agosto de 2017"/>
    <n v="2"/>
    <d v="2017-08-01T00:00:00"/>
    <s v="0,26"/>
    <s v="Cero Bolívares con 26/100"/>
  </r>
  <r>
    <n v="464"/>
    <m/>
    <s v="ü"/>
    <d v="2017-08-02T00:00:00"/>
    <n v="0.1"/>
    <x v="57"/>
    <x v="9"/>
    <s v="Calle Güigüe Nro. 88-40"/>
    <s v="Colaboración Vigilancia, meses de Junio y Julio 2017"/>
    <s v="Vigilancia"/>
    <m/>
    <s v="00464"/>
    <s v="02 de Agosto de 2017"/>
    <n v="2"/>
    <d v="2017-08-01T00:00:00"/>
    <s v="0,10"/>
    <s v="Cero Bolívares con 10/100"/>
  </r>
  <r>
    <n v="465"/>
    <m/>
    <s v="ü"/>
    <d v="2017-08-02T00:00:00"/>
    <n v="0.33"/>
    <x v="38"/>
    <x v="35"/>
    <s v="Calle Guacara Nro. 89-78"/>
    <s v="Cancelación saldo Vigilancia, mes de Julio 2017"/>
    <s v="Vigilancia"/>
    <m/>
    <s v="00465"/>
    <s v="02 de Agosto de 2017"/>
    <n v="2"/>
    <d v="2017-08-01T00:00:00"/>
    <s v="0,33"/>
    <s v="Cero Bolívares con 33/100"/>
  </r>
  <r>
    <n v="466"/>
    <m/>
    <s v="ü"/>
    <d v="2017-08-03T00:00:00"/>
    <n v="0.35"/>
    <x v="5"/>
    <x v="5"/>
    <s v="Calle Güigüe Nro. 88-120"/>
    <s v="Cancelación Vigilancia, mes de Agosto 2017"/>
    <s v="Vigilancia"/>
    <m/>
    <s v="00466"/>
    <s v="03 de Agosto de 2017"/>
    <n v="3"/>
    <d v="2017-08-01T00:00:00"/>
    <s v="0,35"/>
    <s v="Cero Bolívares con 35/100"/>
  </r>
  <r>
    <n v="467"/>
    <m/>
    <s v="ü"/>
    <d v="2017-08-03T00:00:00"/>
    <n v="0.2"/>
    <x v="34"/>
    <x v="9"/>
    <s v="Av. &quot;O&quot; Nro. 146-11"/>
    <s v="Anticipo Vigilancia, mes de Julio 2017"/>
    <s v="Vigilancia"/>
    <m/>
    <s v="00467"/>
    <s v="03 de Agosto de 2017"/>
    <n v="3"/>
    <d v="2017-08-01T00:00:00"/>
    <s v="0,20"/>
    <s v="Cero Bolívares con 20/100"/>
  </r>
  <r>
    <n v="468"/>
    <m/>
    <s v="ü"/>
    <d v="2017-08-03T00:00:00"/>
    <n v="0.2"/>
    <x v="61"/>
    <x v="14"/>
    <s v="Calle Guacara Nro. 87-07"/>
    <s v="Colaboración Vigilancia, mes de Agosto 2017"/>
    <s v="Vigilancia"/>
    <m/>
    <s v="00468"/>
    <s v="03 de Agosto de 2017"/>
    <n v="3"/>
    <d v="2017-08-01T00:00:00"/>
    <s v="0,20"/>
    <s v="Cero Bolívares con 20/100"/>
  </r>
  <r>
    <n v="469"/>
    <m/>
    <s v="ü"/>
    <d v="2017-08-03T00:00:00"/>
    <n v="0.18"/>
    <x v="32"/>
    <x v="30"/>
    <s v="Calle Güigüe Nro. 89-120"/>
    <s v="Colaboración Vigilancia, mes de Julio 2017"/>
    <s v="Vigilancia"/>
    <m/>
    <s v="00469"/>
    <s v="03 de Agosto de 2017"/>
    <n v="3"/>
    <d v="2017-08-01T00:00:00"/>
    <s v="0,18"/>
    <s v="Cero Bolívares con 18/100"/>
  </r>
  <r>
    <n v="470"/>
    <m/>
    <s v="ü"/>
    <d v="2017-08-04T00:00:00"/>
    <n v="0.35"/>
    <x v="3"/>
    <x v="3"/>
    <s v="Calle Güigüe Nro. 88-62"/>
    <s v="Cancelación Vigilancia, mes de Julio 2017 (saldo a favor: Bs. 1.613)"/>
    <s v="Vigilancia"/>
    <m/>
    <s v="00470"/>
    <s v="04 de Agosto de 2017"/>
    <n v="4"/>
    <d v="2017-08-01T00:00:00"/>
    <s v="0,35"/>
    <s v="Cero Bolívares con 35/100"/>
  </r>
  <r>
    <n v="471"/>
    <m/>
    <s v="ü"/>
    <d v="2017-08-04T00:00:00"/>
    <n v="0.15"/>
    <x v="7"/>
    <x v="7"/>
    <s v="Calle Guacara Nro. 87-86"/>
    <s v="Colaboración Vigilancia, mes de Agosto 2017"/>
    <s v="Vigilancia"/>
    <m/>
    <s v="00471"/>
    <s v="04 de Agosto de 2017"/>
    <n v="4"/>
    <d v="2017-08-01T00:00:00"/>
    <s v="0,15"/>
    <s v="Cero Bolívares con 15/100"/>
  </r>
  <r>
    <n v="472"/>
    <m/>
    <s v="ü"/>
    <d v="2017-08-06T00:00:00"/>
    <n v="0.35"/>
    <x v="31"/>
    <x v="29"/>
    <s v="Calle Güigüe Nro. 89-95"/>
    <s v="Cancelación Vigilancia, mes de Julio 2017"/>
    <s v="Vigilancia"/>
    <m/>
    <s v="00472"/>
    <s v="06 de Agosto de 2017"/>
    <n v="6"/>
    <d v="2017-08-01T00:00:00"/>
    <s v="0,35"/>
    <s v="Cero Bolívares con 35/100"/>
  </r>
  <r>
    <n v="473"/>
    <m/>
    <s v="ü"/>
    <d v="2017-08-06T00:00:00"/>
    <n v="0.35"/>
    <x v="0"/>
    <x v="0"/>
    <s v="Calle Guacara Nro. 88-45"/>
    <s v="Cancelación Vigilancia, mes de Agosto 2017 (saldo a favor: Bs. 95.000)"/>
    <s v="Vigilancia"/>
    <m/>
    <s v="00473"/>
    <s v="06 de Agosto de 2017"/>
    <n v="6"/>
    <d v="2017-08-01T00:00:00"/>
    <s v="0,35"/>
    <s v="Cero Bolívares con 35/100"/>
  </r>
  <r>
    <n v="474"/>
    <m/>
    <s v="ü"/>
    <d v="2017-08-06T00:00:00"/>
    <n v="0.35"/>
    <x v="75"/>
    <x v="65"/>
    <s v="Av. &quot;Ñ&quot; Nro. 145-25"/>
    <s v="Cancelación saldo Vigilancia, mes de Agosto 2017 (saldo a favor: Bs. 79.000)"/>
    <s v="Vigilancia"/>
    <m/>
    <s v="00474"/>
    <s v="06 de Agosto de 2017"/>
    <n v="6"/>
    <d v="2017-08-01T00:00:00"/>
    <s v="0,35"/>
    <s v="Cero Bolívares con 35/100"/>
  </r>
  <r>
    <n v="475"/>
    <m/>
    <s v="ü"/>
    <d v="2017-08-07T00:00:00"/>
    <n v="0.3"/>
    <x v="58"/>
    <x v="53"/>
    <s v="Calle Güigüe Nro. 88-51"/>
    <s v="Colaboración Vigilancia, mes de Julio 2017"/>
    <s v="Vigilancia"/>
    <m/>
    <s v="00475"/>
    <s v="07 de Agosto de 2017"/>
    <n v="7"/>
    <d v="2017-08-01T00:00:00"/>
    <s v="0,30"/>
    <s v="Cero Bolívares con 30/100"/>
  </r>
  <r>
    <n v="476"/>
    <m/>
    <s v="ü"/>
    <d v="2017-08-07T00:00:00"/>
    <n v="0.35"/>
    <x v="40"/>
    <x v="37"/>
    <s v="Calle Güigüe Nro. 88-101"/>
    <s v="Cancelación Vigilancia, mes de Julio 2017"/>
    <s v="Vigilancia"/>
    <m/>
    <s v="00476"/>
    <s v="07 de Agosto de 2017"/>
    <n v="7"/>
    <d v="2017-08-01T00:00:00"/>
    <s v="0,35"/>
    <s v="Cero Bolívares con 35/100"/>
  </r>
  <r>
    <n v="477"/>
    <m/>
    <s v="ü"/>
    <d v="2017-08-08T00:00:00"/>
    <n v="0.35"/>
    <x v="1"/>
    <x v="1"/>
    <s v="Calle Güigüe Nro. 88-44"/>
    <s v="Cancelación Vigilancia, mes de Agosto 2017"/>
    <s v="Vigilancia"/>
    <m/>
    <s v="00477"/>
    <s v="08 de Agosto de 2017"/>
    <n v="8"/>
    <d v="2017-08-01T00:00:00"/>
    <s v="0,35"/>
    <s v="Cero Bolívares con 35/100"/>
  </r>
  <r>
    <n v="478"/>
    <m/>
    <s v="ü"/>
    <d v="2017-08-09T00:00:00"/>
    <n v="0.04"/>
    <x v="17"/>
    <x v="16"/>
    <s v="Av. &quot;M&quot; Nro. 146-20"/>
    <s v="Colaboración Vigilancia, mes de Agosto 2017"/>
    <s v="Vigilancia"/>
    <m/>
    <s v="00478"/>
    <s v="09 de Agosto de 2017"/>
    <n v="9"/>
    <d v="2017-08-01T00:00:00"/>
    <s v="0,04"/>
    <s v="Cero Bolívares con 04/100"/>
  </r>
  <r>
    <n v="479"/>
    <m/>
    <s v="ü"/>
    <d v="2017-08-09T00:00:00"/>
    <n v="0.31"/>
    <x v="18"/>
    <x v="16"/>
    <s v="Calle Guacara Nro. 87-100"/>
    <s v="Cancelación saldo Vigilancia, mes de Agosto 2017"/>
    <s v="Vigilancia"/>
    <m/>
    <s v="00479"/>
    <s v="09 de Agosto de 2017"/>
    <n v="9"/>
    <d v="2017-08-01T00:00:00"/>
    <s v="0,31"/>
    <s v="Cero Bolívares con 31/100"/>
  </r>
  <r>
    <n v="480"/>
    <m/>
    <s v="ü"/>
    <d v="2017-08-09T00:00:00"/>
    <n v="0.26"/>
    <x v="60"/>
    <x v="54"/>
    <s v="Calle Guacara Nro. 88-51"/>
    <s v="Cancelación Vigilancia, mes de Junio 2017: transferencia y contra factura"/>
    <s v="Vigilancia"/>
    <m/>
    <s v="00480"/>
    <s v="09 de Agosto de 2017"/>
    <n v="9"/>
    <d v="2017-08-01T00:00:00"/>
    <s v="0,26"/>
    <s v="Cero Bolívares con 26/100"/>
  </r>
  <r>
    <n v="481"/>
    <m/>
    <s v="ü"/>
    <d v="2017-08-09T00:00:00"/>
    <n v="0.35"/>
    <x v="69"/>
    <x v="61"/>
    <s v="Calle Güigüe Nro. 89-40"/>
    <s v="Cancelación Vigilancia, mes de Julio 2017"/>
    <s v="Vigilancia"/>
    <m/>
    <s v="00481"/>
    <s v="09 de Agosto de 2017"/>
    <n v="9"/>
    <d v="2017-08-01T00:00:00"/>
    <s v="0,35"/>
    <s v="Cero Bolívares con 35/100"/>
  </r>
  <r>
    <n v="482"/>
    <m/>
    <s v="ü"/>
    <d v="2017-08-10T00:00:00"/>
    <n v="0.35"/>
    <x v="12"/>
    <x v="12"/>
    <s v="Calle Guacara Nro. 89-20"/>
    <s v="Cancelación Vigilancia, mes de Agosto 2017"/>
    <s v="Vigilancia"/>
    <m/>
    <s v="00482"/>
    <s v="10 de Agosto de 2017"/>
    <n v="10"/>
    <d v="2017-08-01T00:00:00"/>
    <s v="0,35"/>
    <s v="Cero Bolívares con 35/100"/>
  </r>
  <r>
    <n v="483"/>
    <m/>
    <s v="ü"/>
    <d v="2017-08-10T00:00:00"/>
    <n v="0.35"/>
    <x v="19"/>
    <x v="17"/>
    <s v="Calle Guacara Nro. 89-130"/>
    <s v="Cancelación Vigilancia, mes de Agosto 2017"/>
    <s v="Vigilancia"/>
    <m/>
    <s v="00483"/>
    <s v="10 de Agosto de 2017"/>
    <n v="10"/>
    <d v="2017-08-01T00:00:00"/>
    <s v="0,35"/>
    <s v="Cero Bolívares con 35/100"/>
  </r>
  <r>
    <n v="484"/>
    <m/>
    <s v="ü"/>
    <d v="2017-08-10T00:00:00"/>
    <n v="0.26"/>
    <x v="49"/>
    <x v="46"/>
    <s v="Av. &quot;O&quot; Nro. 146-17"/>
    <s v="Anticipo Vigilancia, mes de Julio 2017"/>
    <s v="Vigilancia"/>
    <m/>
    <s v="00484"/>
    <s v="10 de Agosto de 2017"/>
    <n v="10"/>
    <d v="2017-08-01T00:00:00"/>
    <s v="0,26"/>
    <s v="Cero Bolívares con 26/100"/>
  </r>
  <r>
    <n v="485"/>
    <m/>
    <s v="ü"/>
    <d v="2017-08-10T00:00:00"/>
    <n v="0.35"/>
    <x v="4"/>
    <x v="4"/>
    <s v="Calle Güigüe Nro. 89-55"/>
    <s v="Cancelación Vigilancia, mes de Agosto 2017, transferencia y contra factura"/>
    <s v="Vigilancia"/>
    <m/>
    <s v="00485"/>
    <s v="10 de Agosto de 2017"/>
    <n v="10"/>
    <d v="2017-08-01T00:00:00"/>
    <s v="0,35"/>
    <s v="Cero Bolívares con 35/100"/>
  </r>
  <r>
    <n v="486"/>
    <m/>
    <s v="ü"/>
    <d v="2017-08-10T00:00:00"/>
    <n v="0.13"/>
    <x v="62"/>
    <x v="55"/>
    <s v="Av. &quot;M&quot; Nro. 145-10"/>
    <s v="Anticipo Vigilancia, mes de Julio 2017"/>
    <s v="Vigilancia"/>
    <m/>
    <s v="00486"/>
    <s v="10 de Agosto de 2017"/>
    <n v="10"/>
    <d v="2017-08-01T00:00:00"/>
    <s v="0,13"/>
    <s v="Cero Bolívares con 13/100"/>
  </r>
  <r>
    <n v="487"/>
    <m/>
    <s v="ü"/>
    <d v="2017-08-10T00:00:00"/>
    <n v="7.0000000000000007E-2"/>
    <x v="62"/>
    <x v="55"/>
    <s v="Av. &quot;M&quot; Nro. 145-10"/>
    <s v="Cuota especial, reja vereda Centro Comercial"/>
    <s v="Reja CC"/>
    <m/>
    <s v="00487"/>
    <s v="10 de Agosto de 2017"/>
    <n v="10"/>
    <d v="2017-08-01T00:00:00"/>
    <s v="0,07"/>
    <s v="Cero Bolívares con 07/100"/>
  </r>
  <r>
    <n v="488"/>
    <m/>
    <s v="ü"/>
    <d v="2017-08-10T00:00:00"/>
    <n v="0.35"/>
    <x v="76"/>
    <x v="66"/>
    <s v="Calle Güigüe Nro. 89-90"/>
    <s v="Cancelación Vigilancia, mes de Agosto 2017"/>
    <s v="Vigilancia"/>
    <m/>
    <s v="00488"/>
    <s v="10 de Agosto de 2017"/>
    <n v="10"/>
    <d v="2017-08-01T00:00:00"/>
    <s v="0,35"/>
    <s v="Cero Bolívares con 35/100"/>
  </r>
  <r>
    <n v="489"/>
    <m/>
    <s v="ü"/>
    <d v="2017-08-13T00:00:00"/>
    <n v="0.26"/>
    <x v="54"/>
    <x v="50"/>
    <s v="Calle Güigüe Nro. 89-21"/>
    <s v="Cancelación Vigilancia, mes de Junio 2017"/>
    <s v="Vigilancia"/>
    <m/>
    <s v="00489"/>
    <s v="13 de Agosto de 2017"/>
    <n v="13"/>
    <d v="2017-08-01T00:00:00"/>
    <s v="0,26"/>
    <s v="Cero Bolívares con 26/100"/>
  </r>
  <r>
    <n v="490"/>
    <m/>
    <s v="ü"/>
    <d v="2017-08-13T00:00:00"/>
    <n v="7.0000000000000007E-2"/>
    <x v="54"/>
    <x v="50"/>
    <s v="Calle Güigüe Nro. 89-21"/>
    <s v="Cuota especial, reja vereda Centro Comercial"/>
    <s v="Reja CC"/>
    <m/>
    <s v="00490"/>
    <s v="13 de Agosto de 2017"/>
    <n v="13"/>
    <d v="2017-08-01T00:00:00"/>
    <s v="0,07"/>
    <s v="Cero Bolívares con 07/100"/>
  </r>
  <r>
    <n v="491"/>
    <m/>
    <s v="ü"/>
    <d v="2017-08-14T00:00:00"/>
    <n v="0.35"/>
    <x v="16"/>
    <x v="15"/>
    <s v="Calle Guacara Nro. 90-81"/>
    <s v="Cancelación Vigilancia, mes de Agosto 2017"/>
    <s v="Vigilancia"/>
    <m/>
    <s v="00491"/>
    <s v="14 de Agosto de 2017"/>
    <n v="14"/>
    <d v="2017-08-01T00:00:00"/>
    <s v="0,35"/>
    <s v="Cero Bolívares con 35/100"/>
  </r>
  <r>
    <n v="492"/>
    <m/>
    <s v="ü"/>
    <d v="2017-08-14T00:00:00"/>
    <n v="0.09"/>
    <x v="49"/>
    <x v="46"/>
    <s v="Av. &quot;O&quot; Nro. 146-17"/>
    <s v="Cancelación saldo Vigilancia, mes de Julio 2017"/>
    <s v="Vigilancia"/>
    <m/>
    <s v="00492"/>
    <s v="14 de Agosto de 2017"/>
    <n v="14"/>
    <d v="2017-08-01T00:00:00"/>
    <s v="0,09"/>
    <s v="Cero Bolívares con 09/100"/>
  </r>
  <r>
    <n v="493"/>
    <m/>
    <s v="ü"/>
    <d v="2017-08-14T00:00:00"/>
    <n v="0.18"/>
    <x v="49"/>
    <x v="46"/>
    <s v="Av. &quot;O&quot; Nro. 146-17"/>
    <s v="Cancelación diferencia pago controles"/>
    <s v="Control"/>
    <m/>
    <s v="00493"/>
    <s v="14 de Agosto de 2017"/>
    <n v="14"/>
    <d v="2017-08-01T00:00:00"/>
    <s v="0,18"/>
    <s v="Cero Bolívares con 18/100"/>
  </r>
  <r>
    <n v="494"/>
    <m/>
    <s v="ü"/>
    <d v="2017-08-15T00:00:00"/>
    <n v="0.15"/>
    <x v="68"/>
    <x v="60"/>
    <s v="Calle Güigüe Nro. 89-29"/>
    <s v="Colaboración Vigilancia, mes de Agosto 2017"/>
    <s v="Vigilancia"/>
    <m/>
    <s v="00494"/>
    <s v="15 de Agosto de 2017"/>
    <n v="15"/>
    <d v="2017-08-01T00:00:00"/>
    <s v="0,15"/>
    <s v="Cero Bolívares con 15/100"/>
  </r>
  <r>
    <n v="495"/>
    <m/>
    <s v="ü"/>
    <d v="2017-08-15T00:00:00"/>
    <n v="0.2"/>
    <x v="35"/>
    <x v="32"/>
    <s v="Calle Güigüe Nro. 89-80"/>
    <s v="Colaboración Vigilancia, mes de Agosto 2017"/>
    <s v="Vigilancia"/>
    <m/>
    <s v="00495"/>
    <s v="15 de Agosto de 2017"/>
    <n v="15"/>
    <d v="2017-08-01T00:00:00"/>
    <s v="0,20"/>
    <s v="Cero Bolívares con 20/100"/>
  </r>
  <r>
    <n v="496"/>
    <m/>
    <s v="ü"/>
    <d v="2017-08-15T00:00:00"/>
    <n v="0.35"/>
    <x v="30"/>
    <x v="28"/>
    <s v="Calle Güigüe Nro. 89-04"/>
    <s v="Cancelación Vigilancia, mes de Agosto 2017"/>
    <s v="Vigilancia"/>
    <m/>
    <s v="00496"/>
    <s v="15 de Agosto de 2017"/>
    <n v="15"/>
    <d v="2017-08-01T00:00:00"/>
    <s v="0,35"/>
    <s v="Cero Bolívares con 35/100"/>
  </r>
  <r>
    <n v="497"/>
    <m/>
    <s v="ü"/>
    <d v="2017-06-25T00:00:00"/>
    <n v="0.26"/>
    <x v="56"/>
    <x v="52"/>
    <s v="Calle Güigüe Nro. 88-70"/>
    <s v="Cancelación Vigilancia, mes de Junio 2017"/>
    <s v="Vigilancia"/>
    <m/>
    <s v="00497"/>
    <s v="25 de Junio de 2017"/>
    <n v="25"/>
    <d v="2017-06-01T00:00:00"/>
    <s v="0,26"/>
    <s v="Cero Bolívares con 26/100"/>
  </r>
  <r>
    <n v="498"/>
    <m/>
    <s v="ü"/>
    <d v="2017-08-16T00:00:00"/>
    <n v="0.09"/>
    <x v="23"/>
    <x v="21"/>
    <s v="Calle Güigüe Nro. 88-116"/>
    <s v="Cancelación saldo Vigilancia, mes de Julio 2017"/>
    <s v="Vigilancia"/>
    <m/>
    <s v="00498"/>
    <s v="16 de Agosto de 2017"/>
    <n v="16"/>
    <d v="2017-08-01T00:00:00"/>
    <s v="0,09"/>
    <s v="Cero Bolívares con 09/100"/>
  </r>
  <r>
    <n v="499"/>
    <m/>
    <s v="ü"/>
    <d v="2017-08-16T00:00:00"/>
    <n v="0.35"/>
    <x v="23"/>
    <x v="21"/>
    <s v="Calle Güigüe Nro. 88-116"/>
    <s v="Cancelación Vigilancia, mes de Agosto 2017"/>
    <s v="Vigilancia"/>
    <m/>
    <s v="00499"/>
    <s v="16 de Agosto de 2017"/>
    <n v="16"/>
    <d v="2017-08-01T00:00:00"/>
    <s v="0,35"/>
    <s v="Cero Bolívares con 35/100"/>
  </r>
  <r>
    <n v="500"/>
    <m/>
    <s v="ü"/>
    <d v="2017-07-28T00:00:00"/>
    <n v="0.35"/>
    <x v="10"/>
    <x v="10"/>
    <s v="Av. &quot;M&quot; Nro. 146-15"/>
    <s v="Cancelación Vigilancia, mes de Julio 2017"/>
    <s v="Vigilancia"/>
    <m/>
    <s v="00500"/>
    <s v="28 de Julio de 2017"/>
    <n v="28"/>
    <d v="2017-07-01T00:00:00"/>
    <s v="0,35"/>
    <s v="Cero Bolívares con 35/100"/>
  </r>
  <r>
    <n v="501"/>
    <m/>
    <s v="ü"/>
    <d v="2017-07-25T00:00:00"/>
    <n v="0.35"/>
    <x v="56"/>
    <x v="52"/>
    <s v="Calle Güigüe Nro. 88-70"/>
    <s v="Cancelación Vigilancia, mes de Julio 2017"/>
    <s v="Vigilancia"/>
    <m/>
    <s v="00501"/>
    <s v="25 de Julio de 2017"/>
    <n v="25"/>
    <d v="2017-07-01T00:00:00"/>
    <s v="0,35"/>
    <s v="Cero Bolívares con 35/100"/>
  </r>
  <r>
    <n v="502"/>
    <m/>
    <s v="ü"/>
    <d v="2017-08-17T00:00:00"/>
    <n v="0.4"/>
    <x v="9"/>
    <x v="9"/>
    <s v="Av. &quot;M&quot; Nro. 146-30"/>
    <s v="Cancelación Vigilancia, mes de Agosto 2017"/>
    <s v="Vigilancia"/>
    <m/>
    <s v="00502"/>
    <s v="17 de Agosto de 2017"/>
    <n v="17"/>
    <d v="2017-08-01T00:00:00"/>
    <s v="0,40"/>
    <s v="Cero Bolívares con 40/100"/>
  </r>
  <r>
    <n v="503"/>
    <m/>
    <s v="ü"/>
    <d v="2017-07-30T00:00:00"/>
    <n v="0.62"/>
    <x v="37"/>
    <x v="34"/>
    <s v="Av. &quot;I&quot; Nro. 146-40"/>
    <s v="Cancelación Vigilancia, meses de Junio y Julio 2017 y anticipo mes de Agosto 2017 (Bs. 1.000)"/>
    <s v="Vigilancia"/>
    <m/>
    <s v="00503"/>
    <s v="30 de Julio de 2017"/>
    <n v="30"/>
    <d v="2017-07-01T00:00:00"/>
    <s v="0,62"/>
    <s v="Cero Bolívares con 62/100"/>
  </r>
  <r>
    <n v="504"/>
    <m/>
    <s v="ü"/>
    <d v="2017-08-17T00:00:00"/>
    <n v="0.15"/>
    <x v="34"/>
    <x v="9"/>
    <s v="Av. &quot;O&quot; Nro. 146-11"/>
    <s v="Cancelación saldo Vigilancia, mes de Julio 2017"/>
    <s v="Vigilancia"/>
    <m/>
    <s v="00504"/>
    <s v="17 de Agosto de 2017"/>
    <n v="17"/>
    <d v="2017-08-01T00:00:00"/>
    <s v="0,15"/>
    <s v="Cero Bolívares con 15/100"/>
  </r>
  <r>
    <n v="505"/>
    <m/>
    <s v="ü"/>
    <d v="2017-08-17T00:00:00"/>
    <n v="0.05"/>
    <x v="28"/>
    <x v="26"/>
    <s v="Calle Güigüe Nro. 88-30"/>
    <s v="Colaboración Vigilancia, mes de Agosto 2017"/>
    <s v="Vigilancia"/>
    <m/>
    <s v="00505"/>
    <s v="17 de Agosto de 2017"/>
    <n v="17"/>
    <d v="2017-08-01T00:00:00"/>
    <s v="0,05"/>
    <s v="Cero Bolívares con 05/100"/>
  </r>
  <r>
    <n v="506"/>
    <m/>
    <s v="ü"/>
    <d v="2017-08-17T00:00:00"/>
    <n v="0.35"/>
    <x v="20"/>
    <x v="18"/>
    <s v="Calle Guacara Nro. 89-30"/>
    <s v="Cancelación Vigilancia, mes de Agosto 2017"/>
    <s v="Vigilancia"/>
    <m/>
    <s v="00506"/>
    <s v="17 de Agosto de 2017"/>
    <n v="17"/>
    <d v="2017-08-01T00:00:00"/>
    <s v="0,35"/>
    <s v="Cero Bolívares con 35/100"/>
  </r>
  <r>
    <n v="507"/>
    <m/>
    <s v="ü"/>
    <d v="2017-07-18T00:00:00"/>
    <n v="0.2"/>
    <x v="22"/>
    <x v="20"/>
    <s v="Calle Guacara Nro. 88-25"/>
    <s v="Colaboración Vigilancia, mes de Agosto 2017"/>
    <s v="Vigilancia"/>
    <m/>
    <s v="00507"/>
    <s v="18 de Julio de 2017"/>
    <n v="18"/>
    <d v="2017-07-01T00:00:00"/>
    <s v="0,20"/>
    <s v="Cero Bolívares con 20/100"/>
  </r>
  <r>
    <n v="508"/>
    <m/>
    <s v="ü"/>
    <d v="2017-08-18T00:00:00"/>
    <n v="0.2"/>
    <x v="2"/>
    <x v="2"/>
    <s v="Calle Guacara Nro. 88-19"/>
    <s v="Colaboración Vigilancia, mes de Agosto 2017"/>
    <s v="Vigilancia"/>
    <m/>
    <s v="00508"/>
    <s v="18 de Agosto de 2017"/>
    <n v="18"/>
    <d v="2017-08-01T00:00:00"/>
    <s v="0,20"/>
    <s v="Cero Bolívares con 20/100"/>
  </r>
  <r>
    <n v="509"/>
    <m/>
    <s v="ü"/>
    <d v="2017-08-18T00:00:00"/>
    <n v="0.125"/>
    <x v="67"/>
    <x v="2"/>
    <s v="Calle Guacara Nro. 90-93"/>
    <s v="Colaboración Vigilancia, meses de Julio y Agosto 2017"/>
    <s v="Vigilancia"/>
    <m/>
    <s v="00509"/>
    <s v="18 de Agosto de 2017"/>
    <n v="18"/>
    <d v="2017-08-01T00:00:00"/>
    <s v="0,13"/>
    <s v="Cero Bolívares con 12/100"/>
  </r>
  <r>
    <n v="510"/>
    <m/>
    <s v="ü"/>
    <d v="2017-08-18T00:00:00"/>
    <n v="1.39"/>
    <x v="52"/>
    <x v="49"/>
    <s v="Calle Güigüe Nro. 89-45"/>
    <s v="Cancelación Vigilancia, meses de Abril a Agosto 2017"/>
    <s v="Vigilancia"/>
    <m/>
    <s v="00510"/>
    <s v="18 de Agosto de 2017"/>
    <n v="18"/>
    <d v="2017-08-01T00:00:00"/>
    <s v="1,39"/>
    <s v="Un Bolívares con 39/100"/>
  </r>
  <r>
    <n v="511"/>
    <m/>
    <s v="ü"/>
    <d v="2017-08-19T00:00:00"/>
    <n v="0.7"/>
    <x v="27"/>
    <x v="25"/>
    <s v="Calle Güigüe Nro. 89-106"/>
    <s v="Cancelación Vigilancia, meses de Julio y Agosto 2017"/>
    <s v="Vigilancia"/>
    <m/>
    <s v="00511"/>
    <s v="19 de Agosto de 2017"/>
    <n v="19"/>
    <d v="2017-08-01T00:00:00"/>
    <s v="0,70"/>
    <s v="Cero Bolívares con 70/100"/>
  </r>
  <r>
    <n v="512"/>
    <m/>
    <s v="ü"/>
    <d v="2017-08-19T00:00:00"/>
    <n v="0.3"/>
    <x v="64"/>
    <x v="57"/>
    <s v="Calle Guacara Nro. 88-35"/>
    <s v="Colaboración Vigilancia, mes de Agosto 2017"/>
    <s v="Vigilancia"/>
    <m/>
    <s v="00512"/>
    <s v="19 de Agosto de 2017"/>
    <n v="19"/>
    <d v="2017-08-01T00:00:00"/>
    <s v="0,30"/>
    <s v="Cero Bolívares con 30/100"/>
  </r>
  <r>
    <n v="513"/>
    <m/>
    <s v="ü"/>
    <d v="2017-08-19T00:00:00"/>
    <n v="0.35"/>
    <x v="65"/>
    <x v="58"/>
    <s v="Calle Güigüe Nro. 88-10"/>
    <s v="Cancelación Vigilancia, mes de Julio 2017"/>
    <s v="Vigilancia"/>
    <m/>
    <s v="00513"/>
    <s v="19 de Agosto de 2017"/>
    <n v="19"/>
    <d v="2017-08-01T00:00:00"/>
    <s v="0,35"/>
    <s v="Cero Bolívares con 35/100"/>
  </r>
  <r>
    <n v="514"/>
    <m/>
    <s v="ü"/>
    <d v="2017-08-19T00:00:00"/>
    <n v="0.35"/>
    <x v="81"/>
    <x v="69"/>
    <s v="Calle Güigüe Nro. 89-65"/>
    <s v="Cancelación Vigilancia, mes de Agosto 2017"/>
    <s v="Vigilancia"/>
    <m/>
    <s v="00514"/>
    <s v="19 de Agosto de 2017"/>
    <n v="19"/>
    <d v="2017-08-01T00:00:00"/>
    <s v="0,35"/>
    <s v="Cero Bolívares con 35/100"/>
  </r>
  <r>
    <n v="515"/>
    <m/>
    <s v="ü"/>
    <d v="2017-08-20T00:00:00"/>
    <n v="0.35"/>
    <x v="14"/>
    <x v="13"/>
    <s v="Calle Güigüe Nro. 89-83"/>
    <s v="Cancelación Vigilancia, mes de Agosto 2017"/>
    <s v="Vigilancia"/>
    <m/>
    <s v="00515"/>
    <s v="20 de Agosto de 2017"/>
    <n v="20"/>
    <d v="2017-08-01T00:00:00"/>
    <s v="0,35"/>
    <s v="Cero Bolívares con 35/100"/>
  </r>
  <r>
    <n v="516"/>
    <m/>
    <s v="ü"/>
    <d v="2017-08-16T00:00:00"/>
    <n v="0.61"/>
    <x v="46"/>
    <x v="43"/>
    <s v="Av. &quot;I&quot; Nro. 146-20"/>
    <s v="Cancelación Vigilancia, meses de Junio y Julio 2017"/>
    <s v="Vigilancia"/>
    <m/>
    <s v="00516"/>
    <s v="16 de Agosto de 2017"/>
    <n v="16"/>
    <d v="2017-08-01T00:00:00"/>
    <s v="0,61"/>
    <s v="Cero Bolívares con 61/100"/>
  </r>
  <r>
    <n v="517"/>
    <m/>
    <s v="ü"/>
    <d v="2017-08-20T00:00:00"/>
    <n v="0.15"/>
    <x v="25"/>
    <x v="23"/>
    <s v="Calle Güigüe Nro. 88-58"/>
    <s v="Colaboración Vigilancia, mes de Julio 2017"/>
    <s v="Vigilancia"/>
    <m/>
    <s v="00517"/>
    <s v="20 de Agosto de 2017"/>
    <n v="20"/>
    <d v="2017-08-01T00:00:00"/>
    <s v="0,15"/>
    <s v="Cero Bolívares con 15/100"/>
  </r>
  <r>
    <n v="518"/>
    <m/>
    <s v="ü"/>
    <d v="2017-08-21T00:00:00"/>
    <n v="0.44"/>
    <x v="45"/>
    <x v="42"/>
    <s v="Calle Güigüe Nro. 87-A-11"/>
    <s v="Cancelación saldo Vigilancia, mes de Julio 2017 y Cancelación Vigilancia mes de Agosto 2017"/>
    <s v="Vigilancia"/>
    <m/>
    <s v="00518"/>
    <s v="21 de Agosto de 2017"/>
    <n v="21"/>
    <d v="2017-08-01T00:00:00"/>
    <s v="0,44"/>
    <s v="Cero Bolívares con 44/100"/>
  </r>
  <r>
    <n v="519"/>
    <m/>
    <s v="ü"/>
    <d v="2017-08-23T00:00:00"/>
    <n v="0.35"/>
    <x v="46"/>
    <x v="43"/>
    <s v="Av. &quot;I&quot; Nro. 146-20"/>
    <s v="Cancelación Vigilancia, mes de Agosto 2017"/>
    <s v="Vigilancia"/>
    <m/>
    <s v="00519"/>
    <s v="23 de Agosto de 2017"/>
    <n v="23"/>
    <d v="2017-08-01T00:00:00"/>
    <s v="0,35"/>
    <s v="Cero Bolívares con 35/100"/>
  </r>
  <r>
    <n v="520"/>
    <m/>
    <s v="ü"/>
    <d v="2017-08-25T00:00:00"/>
    <n v="0.18"/>
    <x v="25"/>
    <x v="23"/>
    <s v="Calle Güigüe Nro. 88-58"/>
    <s v="Colaboración Vigilancia, mes de Agosto 2017"/>
    <s v="Vigilancia"/>
    <m/>
    <s v="00520"/>
    <s v="25 de Agosto de 2017"/>
    <n v="25"/>
    <d v="2017-08-01T00:00:00"/>
    <s v="0,18"/>
    <s v="Cero Bolívares con 18/100"/>
  </r>
  <r>
    <n v="521"/>
    <m/>
    <s v="ü"/>
    <d v="2017-08-28T00:00:00"/>
    <n v="0.7"/>
    <x v="8"/>
    <x v="8"/>
    <s v="Calle Guacara Nro. 90-51"/>
    <s v="Cancelación Vigilancia, meses de Julio y Agosto 2017"/>
    <s v="Vigilancia"/>
    <m/>
    <s v="00521"/>
    <s v="28 de Agosto de 2017"/>
    <n v="28"/>
    <d v="2017-08-01T00:00:00"/>
    <s v="0,70"/>
    <s v="Cero Bolívares con 70/100"/>
  </r>
  <r>
    <n v="522"/>
    <m/>
    <s v="ü"/>
    <d v="2017-08-24T00:00:00"/>
    <n v="0.36"/>
    <x v="29"/>
    <x v="27"/>
    <s v="Calle Guacara Nro. 88-75"/>
    <s v="Cancelación Vigilancia, mes de Julio 2017, y anticipo del mes de Agosto 2017"/>
    <s v="Vigilancia"/>
    <m/>
    <s v="00522"/>
    <s v="24 de Agosto de 2017"/>
    <n v="24"/>
    <d v="2017-08-01T00:00:00"/>
    <s v="0,36"/>
    <s v="Cero Bolívares con 36/100"/>
  </r>
  <r>
    <n v="523"/>
    <m/>
    <s v="ü"/>
    <d v="2017-08-30T00:00:00"/>
    <n v="0.35"/>
    <x v="6"/>
    <x v="6"/>
    <s v="Calle Guacara Nro. 89-60"/>
    <s v="Cancelación Vigilancia, mes de Septiembre 2017"/>
    <s v="Vigilancia"/>
    <m/>
    <s v="00523"/>
    <s v="30 de Agosto de 2017"/>
    <n v="30"/>
    <d v="2017-08-01T00:00:00"/>
    <s v="0,35"/>
    <s v="Cero Bolívares con 35/100"/>
  </r>
  <r>
    <n v="524"/>
    <m/>
    <s v="ü"/>
    <d v="2017-08-31T00:00:00"/>
    <n v="0.7"/>
    <x v="56"/>
    <x v="52"/>
    <s v="Calle Güigüe Nro. 88-70"/>
    <s v="Cancelación Vigilancia, meses de Agosto y Septiembre 2017"/>
    <s v="Vigilancia"/>
    <m/>
    <s v="00524"/>
    <s v="31 de Agosto de 2017"/>
    <n v="31"/>
    <d v="2017-08-01T00:00:00"/>
    <s v="0,70"/>
    <s v="Cero Bolívares con 70/100"/>
  </r>
  <r>
    <n v="525"/>
    <m/>
    <s v="ü"/>
    <d v="2017-08-30T00:00:00"/>
    <n v="0.1"/>
    <x v="72"/>
    <x v="63"/>
    <s v="Calle Güigüe Nro. 89-35"/>
    <s v="Colaboración Vigilancia, mes de Agosto 2017"/>
    <s v="Vigilancia"/>
    <m/>
    <s v="00525"/>
    <s v="30 de Agosto de 2017"/>
    <n v="30"/>
    <d v="2017-08-01T00:00:00"/>
    <s v="0,10"/>
    <s v="Cero Bolívares con 10/100"/>
  </r>
  <r>
    <n v="526"/>
    <m/>
    <s v="ü"/>
    <d v="2017-08-31T00:00:00"/>
    <n v="0.72"/>
    <x v="48"/>
    <x v="9"/>
    <s v="Calle Güigüe Nro. 88-90"/>
    <s v="Cancelación Vigilancia, meses de Julio y Agosto 2017 y Anticipo Vigilancia Septiembre 2017"/>
    <s v="Vigilancia"/>
    <m/>
    <s v="00526"/>
    <s v="31 de Agosto de 2017"/>
    <n v="31"/>
    <d v="2017-08-01T00:00:00"/>
    <s v="0,72"/>
    <s v="Cero Bolívares con 72/100"/>
  </r>
  <r>
    <n v="527"/>
    <m/>
    <s v="ü"/>
    <d v="2017-08-31T00:00:00"/>
    <n v="0.35"/>
    <x v="14"/>
    <x v="13"/>
    <s v="Calle Güigüe Nro. 89-83"/>
    <s v="Cancelación Vigilancia, mes de Septiembre 2017"/>
    <s v="Vigilancia"/>
    <m/>
    <s v="00527"/>
    <s v="31 de Agosto de 2017"/>
    <n v="31"/>
    <d v="2017-08-01T00:00:00"/>
    <s v="0,35"/>
    <s v="Cero Bolívares con 35/100"/>
  </r>
  <r>
    <n v="528"/>
    <m/>
    <s v="ü"/>
    <d v="2017-07-31T00:00:00"/>
    <n v="0.35"/>
    <x v="24"/>
    <x v="22"/>
    <s v="Calle Güigüe Nro. 88-54"/>
    <s v="Cancelación Vigilancia, mes de Agosto 2017"/>
    <s v="Vigilancia"/>
    <m/>
    <s v="00528"/>
    <s v="31 de Julio de 2017"/>
    <n v="31"/>
    <d v="2017-07-01T00:00:00"/>
    <s v="0,35"/>
    <s v="Cero Bolívares con 35/100"/>
  </r>
  <r>
    <n v="529"/>
    <m/>
    <s v="ü"/>
    <d v="2017-09-01T00:00:00"/>
    <n v="1"/>
    <x v="47"/>
    <x v="44"/>
    <s v="Calle Güigüe Nro. 88-80"/>
    <s v="Colaboración Vigilancia, meses de Junio, Julio, Agosto y Septiembre 2017"/>
    <s v="Vigilancia"/>
    <m/>
    <s v="00529"/>
    <s v="01 de Septiembre de 2017"/>
    <n v="1"/>
    <d v="2017-09-01T00:00:00"/>
    <s v="1,00"/>
    <s v="Un Bolívar con 00/100"/>
  </r>
  <r>
    <n v="530"/>
    <m/>
    <s v="ü"/>
    <d v="2017-09-01T00:00:00"/>
    <n v="0.35"/>
    <x v="1"/>
    <x v="1"/>
    <s v="Calle Güigüe Nro. 88-44"/>
    <s v="Cancelación Vigilancia, mes de Septiembre 2017"/>
    <s v="Vigilancia"/>
    <m/>
    <s v="00530"/>
    <s v="01 de Septiembre de 2017"/>
    <n v="1"/>
    <d v="2017-09-01T00:00:00"/>
    <s v="0,35"/>
    <s v="Cero Bolívares con 35/100"/>
  </r>
  <r>
    <n v="531"/>
    <m/>
    <s v="ü"/>
    <d v="2017-09-01T00:00:00"/>
    <n v="0.35"/>
    <x v="59"/>
    <x v="9"/>
    <s v="Calle Guacara Nro. 90-35"/>
    <s v="Cancelación Vigilancia, mes de Julio 2017"/>
    <s v="Vigilancia"/>
    <m/>
    <s v="00531"/>
    <s v="01 de Septiembre de 2017"/>
    <n v="1"/>
    <d v="2017-09-01T00:00:00"/>
    <s v="0,35"/>
    <s v="Cero Bolívares con 35/100"/>
  </r>
  <r>
    <n v="532"/>
    <m/>
    <s v="ü"/>
    <d v="2017-09-01T00:00:00"/>
    <n v="0.35"/>
    <x v="59"/>
    <x v="9"/>
    <s v="Calle Guacara Nro. 90-35"/>
    <s v="Cancelación Vigilancia, mes de Agosto 2017"/>
    <s v="Vigilancia"/>
    <m/>
    <s v="00532"/>
    <s v="01 de Septiembre de 2017"/>
    <n v="1"/>
    <d v="2017-09-01T00:00:00"/>
    <s v="0,35"/>
    <s v="Cero Bolívares con 35/100"/>
  </r>
  <r>
    <n v="533"/>
    <m/>
    <s v="ü"/>
    <d v="2017-09-01T00:00:00"/>
    <n v="0.35"/>
    <x v="10"/>
    <x v="10"/>
    <s v="Av. &quot;M&quot; Nro. 146-15"/>
    <s v="Cancelación Vigilancia, mes de Agosto 2017"/>
    <s v="Vigilancia"/>
    <m/>
    <s v="00533"/>
    <s v="01 de Septiembre de 2017"/>
    <n v="1"/>
    <d v="2017-09-01T00:00:00"/>
    <s v="0,35"/>
    <s v="Cero Bolívares con 35/100"/>
  </r>
  <r>
    <n v="534"/>
    <m/>
    <s v="ü"/>
    <d v="2017-09-01T00:00:00"/>
    <n v="0.35"/>
    <x v="75"/>
    <x v="65"/>
    <s v="Av. &quot;Ñ&quot; Nro. 145-25"/>
    <s v="Cancelación saldo Vigilancia, mes de Septiembre 2017 (saldo a favor: Bs. 44.000)"/>
    <s v="Vigilancia"/>
    <m/>
    <s v="00534"/>
    <s v="01 de Septiembre de 2017"/>
    <n v="1"/>
    <d v="2017-09-01T00:00:00"/>
    <s v="0,35"/>
    <s v="Cero Bolívares con 35/100"/>
  </r>
  <r>
    <n v="535"/>
    <m/>
    <s v="ü"/>
    <d v="2017-09-01T00:00:00"/>
    <n v="0.35"/>
    <x v="0"/>
    <x v="0"/>
    <s v="Calle Guacara Nro. 88-45"/>
    <s v="Cancelación Vigilancia, mes de Septiembre 2017 (saldo a favor: Bs. 60.000)"/>
    <s v="Vigilancia"/>
    <m/>
    <s v="00535"/>
    <s v="01 de Septiembre de 2017"/>
    <n v="1"/>
    <d v="2017-09-01T00:00:00"/>
    <s v="0,35"/>
    <s v="Cero Bolívares con 35/100"/>
  </r>
  <r>
    <n v="536"/>
    <m/>
    <s v="ü"/>
    <d v="2017-09-01T00:00:00"/>
    <n v="0.2"/>
    <x v="15"/>
    <x v="14"/>
    <s v="Calle Guacara Nro. 89-94"/>
    <s v="Colaboración Vigilancia, mes de Septiembre 2017"/>
    <s v="Vigilancia"/>
    <m/>
    <s v="00536"/>
    <s v="01 de Septiembre de 2017"/>
    <n v="1"/>
    <d v="2017-09-01T00:00:00"/>
    <s v="0,20"/>
    <s v="Cero Bolívares con 20/100"/>
  </r>
  <r>
    <n v="537"/>
    <m/>
    <s v="ü"/>
    <d v="2017-09-01T00:00:00"/>
    <n v="0.35"/>
    <x v="44"/>
    <x v="41"/>
    <s v="Calle Guacara Nro. 89-40"/>
    <s v="Cancelación Vigilancia, mes de Julio 2017"/>
    <s v="Vigilancia"/>
    <m/>
    <s v="00537"/>
    <s v="01 de Septiembre de 2017"/>
    <n v="1"/>
    <d v="2017-09-01T00:00:00"/>
    <s v="0,35"/>
    <s v="Cero Bolívares con 35/100"/>
  </r>
  <r>
    <n v="538"/>
    <m/>
    <s v="ü"/>
    <d v="2017-09-03T00:00:00"/>
    <n v="0.7"/>
    <x v="11"/>
    <x v="11"/>
    <s v="Calle Guacara Nro. 89-86"/>
    <s v="Cancelación Vigilancia, meses de Septiembre y Octubre 2017"/>
    <s v="Vigilancia"/>
    <m/>
    <s v="00538"/>
    <s v="03 de Septiembre de 2017"/>
    <n v="3"/>
    <d v="2017-09-01T00:00:00"/>
    <s v="0,70"/>
    <s v="Cero Bolívares con 70/100"/>
  </r>
  <r>
    <n v="539"/>
    <m/>
    <s v="ü"/>
    <d v="2017-09-04T00:00:00"/>
    <n v="0.7"/>
    <x v="21"/>
    <x v="19"/>
    <s v="Calle Güigüe Nro. 89-105"/>
    <s v="Cancelación Vigilancia, meses de Agosto y Septiembre 2017"/>
    <s v="Vigilancia"/>
    <m/>
    <s v="00539"/>
    <s v="04 de Septiembre de 2017"/>
    <n v="4"/>
    <d v="2017-09-01T00:00:00"/>
    <s v="0,70"/>
    <s v="Cero Bolívares con 70/100"/>
  </r>
  <r>
    <n v="540"/>
    <m/>
    <s v="ü"/>
    <d v="2017-09-04T00:00:00"/>
    <n v="0.35"/>
    <x v="40"/>
    <x v="37"/>
    <s v="Calle Güigüe Nro. 88-101"/>
    <s v="Cancelación Vigilancia, mes de Agosto 2017"/>
    <s v="Vigilancia"/>
    <m/>
    <s v="00540"/>
    <s v="04 de Septiembre de 2017"/>
    <n v="4"/>
    <d v="2017-09-01T00:00:00"/>
    <s v="0,35"/>
    <s v="Cero Bolívares con 35/100"/>
  </r>
  <r>
    <n v="541"/>
    <m/>
    <s v="ü"/>
    <d v="2017-09-05T00:00:00"/>
    <n v="0.35"/>
    <x v="69"/>
    <x v="61"/>
    <s v="Calle Güigüe Nro. 89-40"/>
    <s v="Cancelación Vigilancia, mes de Agosto 2017"/>
    <s v="Vigilancia"/>
    <m/>
    <s v="00541"/>
    <s v="05 de Septiembre de 2017"/>
    <n v="5"/>
    <d v="2017-09-01T00:00:00"/>
    <s v="0,35"/>
    <s v="Cero Bolívares con 35/100"/>
  </r>
  <r>
    <n v="542"/>
    <m/>
    <s v="ü"/>
    <d v="2017-09-05T00:00:00"/>
    <n v="0.35"/>
    <x v="12"/>
    <x v="12"/>
    <s v="Calle Guacara Nro. 89-20"/>
    <s v="Cancelación Vigilancia, mes de Septiembre 2017"/>
    <s v="Vigilancia"/>
    <m/>
    <s v="00542"/>
    <s v="05 de Septiembre de 2017"/>
    <n v="5"/>
    <d v="2017-09-01T00:00:00"/>
    <s v="0,35"/>
    <s v="Cero Bolívares con 35/100"/>
  </r>
  <r>
    <n v="543"/>
    <m/>
    <s v="ü"/>
    <d v="2017-09-05T00:00:00"/>
    <n v="1.05"/>
    <x v="42"/>
    <x v="39"/>
    <s v="Calle Güigüe Nro. 89-79"/>
    <s v="Cancelación Vigilancia, meses de Julio, Agosto y Septiembre 2017"/>
    <s v="Vigilancia"/>
    <m/>
    <s v="00543"/>
    <s v="05 de Septiembre de 2017"/>
    <n v="5"/>
    <d v="2017-09-01T00:00:00"/>
    <s v="1,05"/>
    <s v="Un Bolívares con 05/100"/>
  </r>
  <r>
    <n v="544"/>
    <m/>
    <s v="ü"/>
    <d v="2017-09-06T00:00:00"/>
    <n v="0.35"/>
    <x v="16"/>
    <x v="15"/>
    <s v="Calle Guacara Nro. 90-81"/>
    <s v="Cancelación Vigilancia, mes de Septiembre 2017"/>
    <s v="Vigilancia"/>
    <m/>
    <s v="00544"/>
    <s v="06 de Septiembre de 2017"/>
    <n v="6"/>
    <d v="2017-09-01T00:00:00"/>
    <s v="0,35"/>
    <s v="Cero Bolívares con 35/100"/>
  </r>
  <r>
    <n v="545"/>
    <m/>
    <s v="ü"/>
    <d v="2017-09-06T00:00:00"/>
    <n v="0.54"/>
    <x v="73"/>
    <x v="9"/>
    <s v="Calle Güigüe Nros. 88-71 y 88-81"/>
    <s v="Cancelación Vigilancia, mes de Septiembre 2017"/>
    <s v="Vigilancia"/>
    <m/>
    <s v="00545"/>
    <s v="06 de Septiembre de 2017"/>
    <n v="6"/>
    <d v="2017-09-01T00:00:00"/>
    <s v="0,54"/>
    <s v="Cero Bolívares con 54/100"/>
  </r>
  <r>
    <n v="546"/>
    <m/>
    <s v="ü"/>
    <d v="2017-09-06T00:00:00"/>
    <n v="0.15"/>
    <x v="7"/>
    <x v="7"/>
    <s v="Calle Guacara Nro. 87-86"/>
    <s v="Colaboración Vigilancia, mes de Septiembre 2017"/>
    <s v="Vigilancia"/>
    <m/>
    <s v="00546"/>
    <s v="06 de Septiembre de 2017"/>
    <n v="6"/>
    <d v="2017-09-01T00:00:00"/>
    <s v="0,15"/>
    <s v="Cero Bolívares con 15/100"/>
  </r>
  <r>
    <n v="547"/>
    <m/>
    <s v="ü"/>
    <d v="2017-08-23T00:00:00"/>
    <n v="0.35"/>
    <x v="36"/>
    <x v="33"/>
    <s v="Calle Güigüe Nro. 89-10"/>
    <s v="Cancelación Vigilancia, mes de Agosto 2017"/>
    <s v="Vigilancia"/>
    <m/>
    <s v="00547"/>
    <s v="23 de Agosto de 2017"/>
    <n v="23"/>
    <d v="2017-08-01T00:00:00"/>
    <s v="0,35"/>
    <s v="Cero Bolívares con 35/100"/>
  </r>
  <r>
    <n v="548"/>
    <m/>
    <s v="ü"/>
    <d v="2017-08-24T00:00:00"/>
    <n v="0.35"/>
    <x v="26"/>
    <x v="24"/>
    <s v="Calle Güigüe Nro. 89-96"/>
    <s v="Cancelación Vigilancia, mes de Agosto 2017"/>
    <s v="Vigilancia"/>
    <m/>
    <s v="00548"/>
    <s v="24 de Agosto de 2017"/>
    <n v="24"/>
    <d v="2017-08-01T00:00:00"/>
    <s v="0,35"/>
    <s v="Cero Bolívares con 35/100"/>
  </r>
  <r>
    <n v="549"/>
    <m/>
    <s v="ü"/>
    <d v="2017-09-07T00:00:00"/>
    <n v="0.35"/>
    <x v="39"/>
    <x v="36"/>
    <s v="Calle Güigüe Nro. 88-111"/>
    <s v="Cancelación Vigilancia, mes de Julio 2017"/>
    <s v="Vigilancia"/>
    <m/>
    <s v="00549"/>
    <s v="07 de Septiembre de 2017"/>
    <n v="7"/>
    <d v="2017-09-01T00:00:00"/>
    <s v="0,35"/>
    <s v="Cero Bolívares con 35/100"/>
  </r>
  <r>
    <n v="550"/>
    <m/>
    <s v="ü"/>
    <d v="2017-09-10T00:00:00"/>
    <n v="0.15"/>
    <x v="32"/>
    <x v="30"/>
    <s v="Calle Güigüe Nro. 89-120"/>
    <s v="Colaboración Vigilancia, mes de Agosto 2017"/>
    <s v="Vigilancia"/>
    <m/>
    <s v="00550"/>
    <s v="10 de Septiembre de 2017"/>
    <n v="10"/>
    <d v="2017-09-01T00:00:00"/>
    <s v="0,15"/>
    <s v="Cero Bolívares con 15/100"/>
  </r>
  <r>
    <n v="551"/>
    <m/>
    <s v="ü"/>
    <d v="2017-09-11T00:00:00"/>
    <n v="0.6"/>
    <x v="60"/>
    <x v="54"/>
    <s v="Calle Guacara Nro. 88-51"/>
    <s v="Colaboración Vigilancia, meses de Julio y Agosto 2017"/>
    <s v="Vigilancia"/>
    <m/>
    <s v="00551"/>
    <s v="11 de Septiembre de 2017"/>
    <n v="11"/>
    <d v="2017-09-01T00:00:00"/>
    <s v="0,60"/>
    <s v="Cero Bolívares con 60/100"/>
  </r>
  <r>
    <n v="552"/>
    <m/>
    <s v="ü"/>
    <d v="2017-09-12T00:00:00"/>
    <n v="0.35"/>
    <x v="60"/>
    <x v="54"/>
    <s v="Calle Guacara Nro. 88-51"/>
    <s v="Cancelación Vigilancia, mes de Septiembre 2017"/>
    <s v="Vigilancia"/>
    <m/>
    <s v="00552"/>
    <s v="12 de Septiembre de 2017"/>
    <n v="12"/>
    <d v="2017-09-01T00:00:00"/>
    <s v="0,35"/>
    <s v="Cero Bolívares con 35/100"/>
  </r>
  <r>
    <n v="553"/>
    <m/>
    <s v="ü"/>
    <d v="2017-09-13T00:00:00"/>
    <n v="0.09"/>
    <x v="21"/>
    <x v="19"/>
    <s v="Calle Güigüe Nro. 89-105"/>
    <s v="Cancelación saldo Vigilancia, mes de Julio 2017"/>
    <s v="Vigilancia"/>
    <m/>
    <s v="00553"/>
    <s v="13 de Septiembre de 2017"/>
    <n v="13"/>
    <d v="2017-09-01T00:00:00"/>
    <s v="0,09"/>
    <s v="Cero Bolívares con 09/100"/>
  </r>
  <r>
    <n v="554"/>
    <m/>
    <s v="ü"/>
    <d v="2017-09-13T00:00:00"/>
    <n v="0.35"/>
    <x v="18"/>
    <x v="16"/>
    <s v="Calle Guacara Nro. 87-100"/>
    <s v="Cancelación Vigilancia, mes de Septiembre 2017"/>
    <s v="Vigilancia"/>
    <m/>
    <s v="00554"/>
    <s v="13 de Septiembre de 2017"/>
    <n v="13"/>
    <d v="2017-09-01T00:00:00"/>
    <s v="0,35"/>
    <s v="Cero Bolívares con 35/100"/>
  </r>
  <r>
    <n v="555"/>
    <m/>
    <s v="ü"/>
    <d v="2017-09-13T00:00:00"/>
    <n v="0.03"/>
    <x v="17"/>
    <x v="16"/>
    <s v="Av. &quot;M&quot; Nro. 146-20"/>
    <s v="Colaboración Vigilancia, mes de Septiembre 2017"/>
    <s v="Vigilancia"/>
    <m/>
    <s v="00555"/>
    <s v="13 de Septiembre de 2017"/>
    <n v="13"/>
    <d v="2017-09-01T00:00:00"/>
    <s v="0,03"/>
    <s v="Cero Bolívares con 03/100"/>
  </r>
  <r>
    <n v="556"/>
    <m/>
    <s v="ü"/>
    <d v="2017-09-13T00:00:00"/>
    <n v="1.05"/>
    <x v="83"/>
    <x v="70"/>
    <s v="Calle Güigüe Nro. 89-22"/>
    <s v="Cancelación Vigilancia, meses de Julio, Agosto y Septiembre 2017"/>
    <s v="Vigilancia"/>
    <m/>
    <s v="00556"/>
    <s v="13 de Septiembre de 2017"/>
    <n v="13"/>
    <d v="2017-09-01T00:00:00"/>
    <s v="1,05"/>
    <s v="Un Bolívares con 05/100"/>
  </r>
  <r>
    <n v="557"/>
    <m/>
    <s v="ü"/>
    <d v="2017-09-14T00:00:00"/>
    <n v="0.14899999999999999"/>
    <x v="67"/>
    <x v="2"/>
    <s v="Calle Guacara Nro. 90-93"/>
    <s v="Colaboración Vigilancia, mes de Septiembre 2017"/>
    <s v="Vigilancia"/>
    <m/>
    <s v="00557"/>
    <s v="14 de Septiembre de 2017"/>
    <n v="14"/>
    <d v="2017-09-01T00:00:00"/>
    <s v="0,15"/>
    <s v="Cero Bolívares con 15/100"/>
  </r>
  <r>
    <n v="558"/>
    <m/>
    <s v="ü"/>
    <d v="2017-09-14T00:00:00"/>
    <n v="0.2"/>
    <x v="2"/>
    <x v="2"/>
    <s v="Calle Guacara Nro. 88-19"/>
    <s v="Colaboración Vigilancia, mes de Septiembre 2017"/>
    <s v="Vigilancia"/>
    <m/>
    <s v="00558"/>
    <s v="14 de Septiembre de 2017"/>
    <n v="14"/>
    <d v="2017-09-01T00:00:00"/>
    <s v="0,20"/>
    <s v="Cero Bolívares con 20/100"/>
  </r>
  <r>
    <n v="559"/>
    <m/>
    <s v="ü"/>
    <d v="2017-09-15T00:00:00"/>
    <n v="0.35"/>
    <x v="19"/>
    <x v="17"/>
    <s v="Calle Guacara Nro. 89-130"/>
    <s v="Cancelación Vigilancia, mes de Septiembre 2017"/>
    <s v="Vigilancia"/>
    <m/>
    <s v="00559"/>
    <s v="15 de Septiembre de 2017"/>
    <n v="15"/>
    <d v="2017-09-01T00:00:00"/>
    <s v="0,35"/>
    <s v="Cero Bolívares con 35/100"/>
  </r>
  <r>
    <n v="560"/>
    <m/>
    <s v="ü"/>
    <d v="2017-09-15T00:00:00"/>
    <n v="0.35"/>
    <x v="23"/>
    <x v="21"/>
    <s v="Calle Güigüe Nro. 88-116"/>
    <s v="Cancelación Vigilancia, mes de Septiembre 2017"/>
    <s v="Vigilancia"/>
    <m/>
    <s v="00560"/>
    <s v="15 de Septiembre de 2017"/>
    <n v="15"/>
    <d v="2017-09-01T00:00:00"/>
    <s v="0,35"/>
    <s v="Cero Bolívares con 35/100"/>
  </r>
  <r>
    <n v="561"/>
    <m/>
    <s v="ü"/>
    <d v="2017-09-15T00:00:00"/>
    <n v="0.17"/>
    <x v="68"/>
    <x v="60"/>
    <s v="Calle Güigüe Nro. 89-29"/>
    <s v="Colaboración Vigilancia, mes de Septiembre 2017"/>
    <s v="Vigilancia"/>
    <m/>
    <s v="00561"/>
    <s v="15 de Septiembre de 2017"/>
    <n v="15"/>
    <d v="2017-09-01T00:00:00"/>
    <s v="0,17"/>
    <s v="Cero Bolívares con 17/100"/>
  </r>
  <r>
    <n v="562"/>
    <m/>
    <s v="ü"/>
    <d v="2017-09-15T00:00:00"/>
    <n v="0.35"/>
    <x v="30"/>
    <x v="28"/>
    <s v="Calle Güigüe Nro. 89-04"/>
    <s v="Cancelación Vigilancia, mes de Septiembre 2017"/>
    <s v="Vigilancia"/>
    <m/>
    <s v="00562"/>
    <s v="15 de Septiembre de 2017"/>
    <n v="15"/>
    <d v="2017-09-01T00:00:00"/>
    <s v="0,35"/>
    <s v="Cero Bolívares con 35/100"/>
  </r>
  <r>
    <n v="563"/>
    <m/>
    <s v="ü"/>
    <d v="2017-09-16T00:00:00"/>
    <n v="0.2"/>
    <x v="35"/>
    <x v="32"/>
    <s v="Calle Güigüe Nro. 89-80"/>
    <s v="Colaboración Vigilancia, mes de Septiembre 2017"/>
    <s v="Vigilancia"/>
    <m/>
    <s v="00563"/>
    <s v="16 de Septiembre de 2017"/>
    <n v="16"/>
    <d v="2017-09-01T00:00:00"/>
    <s v="0,20"/>
    <s v="Cero Bolívares con 20/100"/>
  </r>
  <r>
    <n v="564"/>
    <m/>
    <s v="ü"/>
    <d v="2017-09-18T00:00:00"/>
    <n v="0.35"/>
    <x v="38"/>
    <x v="35"/>
    <s v="Calle Guacara Nro. 89-78"/>
    <s v="Cancelación Vigilancia, mes de Agosto 2017"/>
    <s v="Vigilancia"/>
    <m/>
    <s v="00564"/>
    <s v="18 de Septiembre de 2017"/>
    <n v="18"/>
    <d v="2017-09-01T00:00:00"/>
    <s v="0,35"/>
    <s v="Cero Bolívares con 35/100"/>
  </r>
  <r>
    <n v="565"/>
    <m/>
    <s v="ü"/>
    <d v="2017-09-18T00:00:00"/>
    <n v="0.35"/>
    <x v="20"/>
    <x v="18"/>
    <s v="Calle Guacara Nro. 89-30"/>
    <s v="Cancelación Vigilancia, mes de Septiembre 2017"/>
    <s v="Vigilancia"/>
    <m/>
    <s v="00565"/>
    <s v="18 de Septiembre de 2017"/>
    <n v="18"/>
    <d v="2017-09-01T00:00:00"/>
    <s v="0,35"/>
    <s v="Cero Bolívares con 35/100"/>
  </r>
  <r>
    <n v="566"/>
    <m/>
    <s v="ü"/>
    <d v="2017-09-18T00:00:00"/>
    <n v="0.2"/>
    <x v="53"/>
    <x v="48"/>
    <s v="Calle Guacara Nro. 88-91"/>
    <s v="Colaboración Vigilancia, meses de Julio y Agosto 2017"/>
    <s v="Vigilancia"/>
    <m/>
    <s v="00566"/>
    <s v="18 de Septiembre de 2017"/>
    <n v="18"/>
    <d v="2017-09-01T00:00:00"/>
    <s v="0,20"/>
    <s v="Cero Bolívares con 20/100"/>
  </r>
  <r>
    <n v="567"/>
    <m/>
    <s v="ü"/>
    <d v="2017-09-18T00:00:00"/>
    <n v="0.35"/>
    <x v="4"/>
    <x v="4"/>
    <s v="Calle Güigüe Nro. 89-55"/>
    <s v="Cancelación Vigilancia, mes de Septiembre 2017, transferencia y contra factura"/>
    <s v="Vigilancia"/>
    <m/>
    <s v="00567"/>
    <s v="18 de Septiembre de 2017"/>
    <n v="18"/>
    <d v="2017-09-01T00:00:00"/>
    <s v="0,35"/>
    <s v="Cero Bolívares con 35/100"/>
  </r>
  <r>
    <n v="568"/>
    <m/>
    <s v="ü"/>
    <d v="2017-09-19T00:00:00"/>
    <n v="0.35"/>
    <x v="5"/>
    <x v="5"/>
    <s v="Calle Güigüe Nro. 88-120"/>
    <s v="Cancelación Vigilancia, mes de Septiembre 2017"/>
    <s v="Vigilancia"/>
    <m/>
    <s v="00568"/>
    <s v="19 de Septiembre de 2017"/>
    <n v="19"/>
    <d v="2017-09-01T00:00:00"/>
    <s v="0,35"/>
    <s v="Cero Bolívares con 35/100"/>
  </r>
  <r>
    <n v="569"/>
    <m/>
    <s v="ü"/>
    <d v="2017-09-19T00:00:00"/>
    <n v="0.35"/>
    <x v="40"/>
    <x v="37"/>
    <s v="Calle Güigüe Nro. 88-101"/>
    <s v="Cancelación Vigilancia, mes de Septiembre 2017"/>
    <s v="Vigilancia"/>
    <m/>
    <s v="00569"/>
    <s v="19 de Septiembre de 2017"/>
    <n v="19"/>
    <d v="2017-09-01T00:00:00"/>
    <s v="0,35"/>
    <s v="Cero Bolívares con 35/100"/>
  </r>
  <r>
    <n v="570"/>
    <m/>
    <s v="ü"/>
    <d v="2017-09-19T00:00:00"/>
    <n v="0.7"/>
    <x v="54"/>
    <x v="50"/>
    <s v="Calle Güigüe Nro. 89-21"/>
    <s v="Cancelación Vigilancia, meses de Julio y Agosto 2017"/>
    <s v="Vigilancia"/>
    <m/>
    <s v="00570"/>
    <s v="19 de Septiembre de 2017"/>
    <n v="19"/>
    <d v="2017-09-01T00:00:00"/>
    <s v="0,70"/>
    <s v="Cero Bolívares con 70/100"/>
  </r>
  <r>
    <n v="571"/>
    <m/>
    <s v="ü"/>
    <d v="2017-09-20T00:00:00"/>
    <n v="0.35"/>
    <x v="26"/>
    <x v="24"/>
    <s v="Calle Güigüe Nro. 89-96"/>
    <s v="Cancelación Vigilancia, mes de Septiembre 2017"/>
    <s v="Vigilancia"/>
    <m/>
    <s v="00571"/>
    <s v="20 de Septiembre de 2017"/>
    <n v="20"/>
    <d v="2017-09-01T00:00:00"/>
    <s v="0,35"/>
    <s v="Cero Bolívares con 35/100"/>
  </r>
  <r>
    <n v="572"/>
    <m/>
    <s v="ü"/>
    <d v="2017-09-20T00:00:00"/>
    <n v="0.35"/>
    <x v="76"/>
    <x v="66"/>
    <s v="Calle Güigüe Nro. 89-90"/>
    <s v="Cancelación Vigilancia, mes de Septiembre 2017"/>
    <s v="Vigilancia"/>
    <m/>
    <s v="00572"/>
    <s v="20 de Septiembre de 2017"/>
    <n v="20"/>
    <d v="2017-09-01T00:00:00"/>
    <s v="0,35"/>
    <s v="Cero Bolívares con 35/100"/>
  </r>
  <r>
    <n v="573"/>
    <m/>
    <s v="ü"/>
    <d v="2017-09-20T00:00:00"/>
    <n v="0.35"/>
    <x v="43"/>
    <x v="40"/>
    <s v="Calle Güigüe Nro. 88-50"/>
    <s v="Cancelación Vigilancia, mes de Agosto 2017"/>
    <s v="Vigilancia"/>
    <m/>
    <s v="00573"/>
    <s v="20 de Septiembre de 2017"/>
    <n v="20"/>
    <d v="2017-09-01T00:00:00"/>
    <s v="0,35"/>
    <s v="Cero Bolívares con 35/100"/>
  </r>
  <r>
    <n v="574"/>
    <m/>
    <s v="ü"/>
    <d v="2017-09-21T00:00:00"/>
    <n v="0.35"/>
    <x v="0"/>
    <x v="0"/>
    <s v="Calle Guacara Nro. 88-45"/>
    <s v="Anticipo Vigilancia (saldo a favor: Bs. 105.000)"/>
    <s v="Anticipo"/>
    <m/>
    <s v="00574"/>
    <s v="21 de Septiembre de 2017"/>
    <n v="21"/>
    <d v="2017-09-01T00:00:00"/>
    <s v="0,35"/>
    <s v="Cero Bolívares con 35/100"/>
  </r>
  <r>
    <n v="575"/>
    <m/>
    <s v="ü"/>
    <d v="2017-09-21T00:00:00"/>
    <n v="0.1"/>
    <x v="57"/>
    <x v="9"/>
    <s v="Calle Güigüe Nro. 88-40"/>
    <s v="Colaboración Vigilancia, mes de Agosto 2017"/>
    <s v="Vigilancia"/>
    <m/>
    <s v="00575"/>
    <s v="21 de Septiembre de 2017"/>
    <n v="21"/>
    <d v="2017-09-01T00:00:00"/>
    <s v="0,10"/>
    <s v="Cero Bolívares con 10/100"/>
  </r>
  <r>
    <n v="576"/>
    <m/>
    <s v="ü"/>
    <d v="2017-09-21T00:00:00"/>
    <n v="0.35"/>
    <x v="37"/>
    <x v="34"/>
    <s v="Av. &quot;I&quot; Nro. 146-40"/>
    <s v="Cancelación saldo Vigilancia, mes de Agosto 2017 y anticipo mes de Septiembre 2017 (Bs. 1.000)"/>
    <s v="Vigilancia"/>
    <m/>
    <s v="00576"/>
    <s v="21 de Septiembre de 2017"/>
    <n v="21"/>
    <d v="2017-09-01T00:00:00"/>
    <s v="0,35"/>
    <s v="Cero Bolívares con 35/100"/>
  </r>
  <r>
    <n v="577"/>
    <m/>
    <s v="ü"/>
    <d v="2017-09-21T00:00:00"/>
    <n v="0.25"/>
    <x v="63"/>
    <x v="56"/>
    <s v="Calle Guacara Nro. 88-85"/>
    <s v="Colaboración Vigilancia, mes de Julio 2017"/>
    <s v="Vigilancia"/>
    <m/>
    <s v="00577"/>
    <s v="21 de Septiembre de 2017"/>
    <n v="21"/>
    <d v="2017-09-01T00:00:00"/>
    <s v="0,25"/>
    <s v="Cero Bolívares con 25/100"/>
  </r>
  <r>
    <n v="578"/>
    <m/>
    <s v="ü"/>
    <d v="2017-09-21T00:00:00"/>
    <n v="0.3"/>
    <x v="63"/>
    <x v="56"/>
    <s v="Calle Guacara Nro. 88-85"/>
    <s v="Colaboración Vigilancia, mes de Agosto 2017"/>
    <s v="Vigilancia"/>
    <m/>
    <s v="00578"/>
    <s v="21 de Septiembre de 2017"/>
    <n v="21"/>
    <d v="2017-09-01T00:00:00"/>
    <s v="0,30"/>
    <s v="Cero Bolívares con 30/100"/>
  </r>
  <r>
    <n v="579"/>
    <m/>
    <s v="ü"/>
    <d v="2017-09-22T00:00:00"/>
    <n v="0.35"/>
    <x v="59"/>
    <x v="9"/>
    <s v="Calle Guacara Nro. 90-35"/>
    <s v="Cancelación Vigilancia, mes de Septiembre 2017"/>
    <s v="Vigilancia"/>
    <m/>
    <s v="00579"/>
    <s v="22 de Septiembre de 2017"/>
    <n v="22"/>
    <d v="2017-09-01T00:00:00"/>
    <s v="0,35"/>
    <s v="Cero Bolívares con 35/100"/>
  </r>
  <r>
    <n v="580"/>
    <m/>
    <s v="ü"/>
    <d v="2017-09-23T00:00:00"/>
    <n v="0.21"/>
    <x v="74"/>
    <x v="64"/>
    <s v="Calle Güigüe Nro. 88-20"/>
    <s v="Colaboración Vigilancia, meses de Abril a Octubre 2017"/>
    <s v="Vigilancia"/>
    <m/>
    <s v="00580"/>
    <s v="23 de Septiembre de 2017"/>
    <n v="23"/>
    <d v="2017-09-01T00:00:00"/>
    <s v="0,21"/>
    <s v="Cero Bolívares con 21/100"/>
  </r>
  <r>
    <n v="581"/>
    <m/>
    <s v="ü"/>
    <d v="2017-09-25T00:00:00"/>
    <n v="0.4"/>
    <x v="9"/>
    <x v="9"/>
    <s v="Av. &quot;M&quot; Nro. 146-30"/>
    <s v="Cancelación Vigilancia, mes de Septiembre 2017"/>
    <s v="Vigilancia"/>
    <m/>
    <s v="00581"/>
    <s v="25 de Septiembre de 2017"/>
    <n v="25"/>
    <d v="2017-09-01T00:00:00"/>
    <s v="0,40"/>
    <s v="Cero Bolívares con 40/100"/>
  </r>
  <r>
    <n v="582"/>
    <m/>
    <s v="ü"/>
    <d v="2017-09-25T00:00:00"/>
    <n v="0.35"/>
    <x v="34"/>
    <x v="9"/>
    <s v="Av. &quot;O&quot; Nro. 146-11"/>
    <s v="Cancelación Vigilancia, mes de Agosto 2017"/>
    <s v="Vigilancia"/>
    <m/>
    <s v="00582"/>
    <s v="25 de Septiembre de 2017"/>
    <n v="25"/>
    <d v="2017-09-01T00:00:00"/>
    <s v="0,35"/>
    <s v="Cero Bolívares con 35/100"/>
  </r>
  <r>
    <n v="583"/>
    <m/>
    <s v="ü"/>
    <d v="2017-09-25T00:00:00"/>
    <n v="0.35"/>
    <x v="65"/>
    <x v="58"/>
    <s v="Calle Güigüe Nro. 88-10"/>
    <s v="Cancelación Vigilancia, mes de Agosto 2017"/>
    <s v="Vigilancia"/>
    <m/>
    <s v="00583"/>
    <s v="25 de Septiembre de 2017"/>
    <n v="25"/>
    <d v="2017-09-01T00:00:00"/>
    <s v="0,35"/>
    <s v="Cero Bolívares con 35/100"/>
  </r>
  <r>
    <n v="584"/>
    <m/>
    <s v="ü"/>
    <d v="2017-09-26T00:00:00"/>
    <n v="0.35"/>
    <x v="52"/>
    <x v="49"/>
    <s v="Calle Güigüe Nro. 89-45"/>
    <s v="Cancelación Vigilancia, mes de Septiembre 2017"/>
    <s v="Vigilancia"/>
    <m/>
    <s v="00584"/>
    <s v="26 de Septiembre de 2017"/>
    <n v="26"/>
    <d v="2017-09-01T00:00:00"/>
    <s v="0,35"/>
    <s v="Cero Bolívares con 35/100"/>
  </r>
  <r>
    <n v="585"/>
    <m/>
    <s v="ü"/>
    <d v="2017-09-29T00:00:00"/>
    <n v="0.35"/>
    <x v="10"/>
    <x v="10"/>
    <s v="Av. &quot;M&quot; Nro. 146-15"/>
    <s v="Cancelación Vigilancia, mes de Septiembre 2017"/>
    <s v="Vigilancia"/>
    <m/>
    <s v="00585"/>
    <s v="29 de Septiembre de 2017"/>
    <n v="29"/>
    <d v="2017-09-01T00:00:00"/>
    <s v="0,35"/>
    <s v="Cero Bolívares con 35/100"/>
  </r>
  <r>
    <n v="586"/>
    <m/>
    <s v="ü"/>
    <d v="2017-10-02T00:00:00"/>
    <n v="0.35"/>
    <x v="69"/>
    <x v="61"/>
    <s v="Calle Güigüe Nro. 89-40"/>
    <s v="Cancelación Vigilancia, mes de Septiembre 2017"/>
    <s v="Vigilancia"/>
    <m/>
    <s v="00586"/>
    <s v="02 de Octubre de 2017"/>
    <n v="2"/>
    <d v="2017-10-01T00:00:00"/>
    <s v="0,35"/>
    <s v="Cero Bolívares con 35/100"/>
  </r>
  <r>
    <n v="587"/>
    <m/>
    <s v="ü"/>
    <d v="2017-10-02T00:00:00"/>
    <n v="0.35"/>
    <x v="29"/>
    <x v="27"/>
    <s v="Calle Guacara Nro. 88-75"/>
    <s v="Cancelación saldo Vigilancia, mes de Agosto 2017, y anticipo del mes de Septiembre 2017"/>
    <s v="Vigilancia"/>
    <m/>
    <s v="00587"/>
    <s v="02 de Octubre de 2017"/>
    <n v="2"/>
    <d v="2017-10-01T00:00:00"/>
    <s v="0,35"/>
    <s v="Cero Bolívares con 35/100"/>
  </r>
  <r>
    <n v="588"/>
    <m/>
    <s v="ü"/>
    <d v="2017-10-03T00:00:00"/>
    <n v="0.35"/>
    <x v="6"/>
    <x v="6"/>
    <s v="Calle Guacara Nro. 89-60"/>
    <s v="Cancelación Vigilancia, mes de Octubre 2017"/>
    <s v="Vigilancia"/>
    <m/>
    <s v="00588"/>
    <s v="03 de Octubre de 2017"/>
    <n v="3"/>
    <d v="2017-10-01T00:00:00"/>
    <s v="0,35"/>
    <s v="Cero Bolívares con 35/100"/>
  </r>
  <r>
    <n v="589"/>
    <m/>
    <s v="ü"/>
    <d v="2017-10-03T00:00:00"/>
    <n v="0.22"/>
    <x v="62"/>
    <x v="55"/>
    <s v="Av. &quot;M&quot; Nro. 145-10"/>
    <s v="Cancelación saldo Vigilancia, mes de Julio 2017"/>
    <s v="Vigilancia"/>
    <m/>
    <s v="00589"/>
    <s v="03 de Octubre de 2017"/>
    <n v="3"/>
    <d v="2017-10-01T00:00:00"/>
    <s v="0,22"/>
    <s v="Cero Bolívares con 22/100"/>
  </r>
  <r>
    <n v="590"/>
    <m/>
    <s v="ü"/>
    <d v="2017-10-03T00:00:00"/>
    <n v="0.35"/>
    <x v="62"/>
    <x v="55"/>
    <s v="Av. &quot;M&quot; Nro. 145-10"/>
    <s v="Cancelación Vigilancia, mes de Agosto 2017"/>
    <s v="Vigilancia"/>
    <m/>
    <s v="00590"/>
    <s v="03 de Octubre de 2017"/>
    <n v="3"/>
    <d v="2017-10-01T00:00:00"/>
    <s v="0,35"/>
    <s v="Cero Bolívares con 35/100"/>
  </r>
  <r>
    <n v="591"/>
    <m/>
    <s v="ü"/>
    <d v="2017-10-03T00:00:00"/>
    <n v="0.2"/>
    <x v="22"/>
    <x v="20"/>
    <s v="Calle Guacara Nro. 88-25"/>
    <s v="Colaboración Vigilancia, mes de Septiembre 2017"/>
    <s v="Vigilancia"/>
    <m/>
    <s v="00591"/>
    <s v="03 de Octubre de 2017"/>
    <n v="3"/>
    <d v="2017-10-01T00:00:00"/>
    <s v="0,20"/>
    <s v="Cero Bolívares con 20/100"/>
  </r>
  <r>
    <n v="592"/>
    <m/>
    <s v="ü"/>
    <d v="2017-10-03T00:00:00"/>
    <n v="0.7"/>
    <x v="46"/>
    <x v="43"/>
    <s v="Av. &quot;I&quot; Nro. 146-20"/>
    <s v="Cancelación Vigilancia, meses de Septiembre y Octubre 2017"/>
    <s v="Vigilancia"/>
    <m/>
    <s v="00592"/>
    <s v="03 de Octubre de 2017"/>
    <n v="3"/>
    <d v="2017-10-01T00:00:00"/>
    <s v="0,70"/>
    <s v="Cero Bolívares con 70/100"/>
  </r>
  <r>
    <n v="593"/>
    <m/>
    <s v="ü"/>
    <d v="2017-10-04T00:00:00"/>
    <n v="0.15"/>
    <x v="7"/>
    <x v="7"/>
    <s v="Calle Guacara Nro. 87-86"/>
    <s v="Colaboración Vigilancia, mes de Octubre 2017"/>
    <s v="Vigilancia"/>
    <m/>
    <s v="00593"/>
    <s v="04 de Octubre de 2017"/>
    <n v="4"/>
    <d v="2017-10-01T00:00:00"/>
    <s v="0,15"/>
    <s v="Cero Bolívares con 15/100"/>
  </r>
  <r>
    <n v="594"/>
    <m/>
    <s v="ü"/>
    <d v="2017-10-04T00:00:00"/>
    <n v="0.35"/>
    <x v="14"/>
    <x v="13"/>
    <s v="Calle Güigüe Nro. 89-83"/>
    <s v="Cancelación Vigilancia, mes de Octubre 2017"/>
    <s v="Vigilancia"/>
    <m/>
    <s v="00594"/>
    <s v="04 de Octubre de 2017"/>
    <n v="4"/>
    <d v="2017-10-01T00:00:00"/>
    <s v="0,35"/>
    <s v="Cero Bolívares con 35/100"/>
  </r>
  <r>
    <n v="595"/>
    <m/>
    <s v="ü"/>
    <d v="2017-10-04T00:00:00"/>
    <n v="0.7"/>
    <x v="49"/>
    <x v="46"/>
    <s v="Av. &quot;O&quot; Nro. 146-17"/>
    <s v="Cancelación Vigilancia, meses de Agosto y Septiembre 2017"/>
    <s v="Vigilancia"/>
    <m/>
    <s v="00595"/>
    <s v="04 de Octubre de 2017"/>
    <n v="4"/>
    <d v="2017-10-01T00:00:00"/>
    <s v="0,70"/>
    <s v="Cero Bolívares con 70/100"/>
  </r>
  <r>
    <n v="596"/>
    <m/>
    <s v="ü"/>
    <d v="2017-10-04T00:00:00"/>
    <n v="0.35"/>
    <x v="12"/>
    <x v="12"/>
    <s v="Calle Guacara Nro. 89-20"/>
    <s v="Cancelación Vigilancia, mes de Octubre 2017"/>
    <s v="Vigilancia"/>
    <m/>
    <s v="00596"/>
    <s v="04 de Octubre de 2017"/>
    <n v="4"/>
    <d v="2017-10-01T00:00:00"/>
    <s v="0,35"/>
    <s v="Cero Bolívares con 35/100"/>
  </r>
  <r>
    <n v="597"/>
    <m/>
    <s v="ü"/>
    <d v="2017-10-04T00:00:00"/>
    <n v="0.25"/>
    <x v="15"/>
    <x v="14"/>
    <s v="Calle Guacara Nro. 89-94"/>
    <s v="Colaboración Vigilancia, mes de Octubre 2017"/>
    <s v="Vigilancia"/>
    <m/>
    <s v="00597"/>
    <s v="04 de Octubre de 2017"/>
    <n v="4"/>
    <d v="2017-10-01T00:00:00"/>
    <s v="0,25"/>
    <s v="Cero Bolívares con 25/100"/>
  </r>
  <r>
    <n v="598"/>
    <m/>
    <s v="ü"/>
    <d v="2017-10-05T00:00:00"/>
    <n v="0.35"/>
    <x v="0"/>
    <x v="0"/>
    <s v="Calle Guacara Nro. 88-45"/>
    <s v="Cancelación Vigilancia, mes de Octubre 2017 (saldo a favor: Bs. 70.000)"/>
    <s v="Vigilancia"/>
    <m/>
    <s v="00598"/>
    <s v="05 de Octubre de 2017"/>
    <n v="5"/>
    <d v="2017-10-01T00:00:00"/>
    <s v="0,35"/>
    <s v="Cero Bolívares con 35/100"/>
  </r>
  <r>
    <n v="599"/>
    <m/>
    <s v="ü"/>
    <d v="2017-10-05T00:00:00"/>
    <n v="0.35"/>
    <x v="75"/>
    <x v="65"/>
    <s v="Av. &quot;Ñ&quot; Nro. 145-25"/>
    <s v="Cancelación Vigilancia, mes de Octubre 2017 (saldo a favor: Bs. 9.000)"/>
    <s v="Vigilancia"/>
    <m/>
    <s v="00599"/>
    <s v="05 de Octubre de 2017"/>
    <n v="5"/>
    <d v="2017-10-01T00:00:00"/>
    <s v="0,35"/>
    <s v="Cero Bolívares con 35/100"/>
  </r>
  <r>
    <n v="600"/>
    <m/>
    <s v="ü"/>
    <d v="2017-09-20T00:00:00"/>
    <n v="0.1"/>
    <x v="28"/>
    <x v="26"/>
    <s v="Calle Güigüe Nro. 88-30"/>
    <s v="Colaboración Vigilancia, mes de Septiembre 2017"/>
    <s v="Vigilancia"/>
    <m/>
    <s v="00600"/>
    <s v="20 de Septiembre de 2017"/>
    <n v="20"/>
    <d v="2017-09-01T00:00:00"/>
    <s v="0,10"/>
    <s v="Cero Bolívares con 10/100"/>
  </r>
  <r>
    <n v="601"/>
    <m/>
    <s v="ü"/>
    <d v="2017-10-05T00:00:00"/>
    <n v="0.1"/>
    <x v="28"/>
    <x v="26"/>
    <s v="Calle Güigüe Nro. 88-30"/>
    <s v="Colaboración Vigilancia, mes de Octubre 2017"/>
    <s v="Vigilancia"/>
    <m/>
    <s v="00601"/>
    <s v="05 de Octubre de 2017"/>
    <n v="5"/>
    <d v="2017-10-01T00:00:00"/>
    <s v="0,10"/>
    <s v="Cero Bolívares con 10/100"/>
  </r>
  <r>
    <n v="602"/>
    <m/>
    <s v="ü"/>
    <d v="2017-10-06T00:00:00"/>
    <n v="0.1"/>
    <x v="72"/>
    <x v="63"/>
    <s v="Calle Güigüe Nro. 89-35"/>
    <s v="Colaboración Vigilancia, mes de Septiembre 2017"/>
    <s v="Vigilancia"/>
    <m/>
    <s v="00602"/>
    <s v="06 de Octubre de 2017"/>
    <n v="6"/>
    <d v="2017-10-01T00:00:00"/>
    <s v="0,10"/>
    <s v="Cero Bolívares con 10/100"/>
  </r>
  <r>
    <n v="603"/>
    <m/>
    <s v="ü"/>
    <d v="2017-10-06T00:00:00"/>
    <n v="0.35"/>
    <x v="24"/>
    <x v="22"/>
    <s v="Calle Güigüe Nro. 88-54"/>
    <s v="Cancelación Vigilancia, mes de Septiembre 2017"/>
    <s v="Vigilancia"/>
    <m/>
    <s v="00603"/>
    <s v="06 de Octubre de 2017"/>
    <n v="6"/>
    <d v="2017-10-01T00:00:00"/>
    <s v="0,35"/>
    <s v="Cero Bolívares con 35/100"/>
  </r>
  <r>
    <n v="604"/>
    <m/>
    <s v="ü"/>
    <d v="2017-10-06T00:00:00"/>
    <n v="0.54"/>
    <x v="73"/>
    <x v="9"/>
    <s v="Calle Güigüe Nros. 88-71 y 88-81"/>
    <s v="Cancelación Vigilancia, mes de Octubre 2017"/>
    <s v="Vigilancia"/>
    <m/>
    <s v="00604"/>
    <s v="06 de Octubre de 2017"/>
    <n v="6"/>
    <d v="2017-10-01T00:00:00"/>
    <s v="0,54"/>
    <s v="Cero Bolívares con 54/100"/>
  </r>
  <r>
    <n v="605"/>
    <m/>
    <s v="û"/>
    <d v="2017-10-09T00:00:00"/>
    <n v="1.56"/>
    <x v="75"/>
    <x v="65"/>
    <s v="Av. &quot;Ñ&quot; Nro. 145-25"/>
    <s v="Anticipo Vigilancia (saldo a favor: Bs. 165.000)"/>
    <s v="Anticipo"/>
    <m/>
    <s v="00605"/>
    <s v="09 de Octubre de 2017"/>
    <n v="9"/>
    <d v="2017-10-01T00:00:00"/>
    <s v="1,56"/>
    <s v="Un Bolívares con 56/100"/>
  </r>
  <r>
    <n v="606"/>
    <m/>
    <s v="ü"/>
    <d v="2017-10-10T00:00:00"/>
    <n v="0.35"/>
    <x v="1"/>
    <x v="1"/>
    <s v="Calle Güigüe Nro. 88-44"/>
    <s v="Cancelación Vigilancia, mes de Octubre 2017"/>
    <s v="Vigilancia"/>
    <m/>
    <s v="00606"/>
    <s v="10 de Octubre de 2017"/>
    <n v="10"/>
    <d v="2017-10-01T00:00:00"/>
    <s v="0,35"/>
    <s v="Cero Bolívares con 35/100"/>
  </r>
  <r>
    <n v="607"/>
    <m/>
    <s v="ü"/>
    <d v="2017-10-11T00:00:00"/>
    <n v="0.35"/>
    <x v="18"/>
    <x v="16"/>
    <s v="Calle Guacara Nro. 87-100"/>
    <s v="Cancelación Vigilancia, mes de Octubre 2017"/>
    <s v="Vigilancia"/>
    <m/>
    <s v="00607"/>
    <s v="11 de Octubre de 2017"/>
    <n v="11"/>
    <d v="2017-10-01T00:00:00"/>
    <s v="0,35"/>
    <s v="Cero Bolívares con 35/100"/>
  </r>
  <r>
    <n v="608"/>
    <m/>
    <s v="ü"/>
    <d v="2017-10-11T00:00:00"/>
    <n v="0.05"/>
    <x v="17"/>
    <x v="16"/>
    <s v="Av. &quot;M&quot; Nro. 146-20"/>
    <s v="Colaboración Vigilancia, mes de Octubre 2017"/>
    <s v="Vigilancia"/>
    <m/>
    <s v="00608"/>
    <s v="11 de Octubre de 2017"/>
    <n v="11"/>
    <d v="2017-10-01T00:00:00"/>
    <s v="0,05"/>
    <s v="Cero Bolívares con 05/100"/>
  </r>
  <r>
    <n v="609"/>
    <m/>
    <s v="ü"/>
    <d v="2017-10-11T00:00:00"/>
    <n v="0.35"/>
    <x v="19"/>
    <x v="17"/>
    <s v="Calle Guacara Nro. 89-130"/>
    <s v="Cancelación Vigilancia, mes de Octubre 2017"/>
    <s v="Vigilancia"/>
    <m/>
    <s v="00609"/>
    <s v="11 de Octubre de 2017"/>
    <n v="11"/>
    <d v="2017-10-01T00:00:00"/>
    <s v="0,35"/>
    <s v="Cero Bolívares con 35/100"/>
  </r>
  <r>
    <n v="610"/>
    <m/>
    <s v="ü"/>
    <d v="2017-10-11T00:00:00"/>
    <n v="0.35"/>
    <x v="29"/>
    <x v="27"/>
    <s v="Calle Guacara Nro. 88-75"/>
    <s v="Cancelación saldo Vigilancia, mes de Septiembre 2017, y anticipo del mes de Octubre 2017"/>
    <s v="Vigilancia"/>
    <m/>
    <s v="00610"/>
    <s v="11 de Octubre de 2017"/>
    <n v="11"/>
    <d v="2017-10-01T00:00:00"/>
    <s v="0,35"/>
    <s v="Cero Bolívares con 35/100"/>
  </r>
  <r>
    <n v="611"/>
    <m/>
    <s v="ü"/>
    <d v="2017-10-12T00:00:00"/>
    <n v="0.7"/>
    <x v="27"/>
    <x v="25"/>
    <s v="Calle Güigüe Nro. 89-106"/>
    <s v="Cancelación Vigilancia, meses de Septiembre y Octubre 2017"/>
    <s v="Vigilancia"/>
    <m/>
    <s v="00611"/>
    <s v="12 de Octubre de 2017"/>
    <n v="12"/>
    <d v="2017-10-01T00:00:00"/>
    <s v="0,70"/>
    <s v="Cero Bolívares con 70/100"/>
  </r>
  <r>
    <n v="612"/>
    <m/>
    <s v="ü"/>
    <d v="2017-10-15T00:00:00"/>
    <n v="0.35"/>
    <x v="40"/>
    <x v="37"/>
    <s v="Calle Güigüe Nro. 88-101"/>
    <s v="Cancelación Vigilancia, mes de Octubre 2017"/>
    <s v="Vigilancia"/>
    <m/>
    <s v="00612"/>
    <s v="15 de Octubre de 2017"/>
    <n v="15"/>
    <d v="2017-10-01T00:00:00"/>
    <s v="0,35"/>
    <s v="Cero Bolívares con 35/100"/>
  </r>
  <r>
    <n v="613"/>
    <m/>
    <s v="ü"/>
    <d v="2017-10-15T00:00:00"/>
    <n v="0.35"/>
    <x v="76"/>
    <x v="66"/>
    <s v="Calle Güigüe Nro. 89-90"/>
    <s v="Cancelación Vigilancia, mes de Octubre 2017"/>
    <s v="Vigilancia"/>
    <m/>
    <s v="00613"/>
    <s v="15 de Octubre de 2017"/>
    <n v="15"/>
    <d v="2017-10-01T00:00:00"/>
    <s v="0,35"/>
    <s v="Cero Bolívares con 35/100"/>
  </r>
  <r>
    <n v="614"/>
    <m/>
    <s v="ü"/>
    <d v="2017-10-14T00:00:00"/>
    <n v="0.35"/>
    <x v="4"/>
    <x v="4"/>
    <s v="Calle Güigüe Nro. 89-55"/>
    <s v="Cancelación Vigilancia, mes de Octubre 2017, transferencia y Bs. 7.868 contra factura"/>
    <s v="Vigilancia"/>
    <m/>
    <s v="00614"/>
    <s v="14 de Octubre de 2017"/>
    <n v="14"/>
    <d v="2017-10-01T00:00:00"/>
    <s v="0,35"/>
    <s v="Cero Bolívares con 35/100"/>
  </r>
  <r>
    <n v="615"/>
    <m/>
    <s v="ü"/>
    <d v="2017-10-16T00:00:00"/>
    <n v="0.35"/>
    <x v="30"/>
    <x v="28"/>
    <s v="Calle Güigüe Nro. 89-04"/>
    <s v="Cancelación Vigilancia, mes de Octubre 2017, transferencia y Bs. 12.000 contra factura"/>
    <s v="Vigilancia"/>
    <m/>
    <s v="00615"/>
    <s v="16 de Octubre de 2017"/>
    <n v="16"/>
    <d v="2017-10-01T00:00:00"/>
    <s v="0,35"/>
    <s v="Cero Bolívares con 35/100"/>
  </r>
  <r>
    <n v="616"/>
    <m/>
    <s v="ü"/>
    <d v="2017-10-16T00:00:00"/>
    <n v="0.35"/>
    <x v="81"/>
    <x v="69"/>
    <s v="Calle Güigüe Nro. 89-65"/>
    <s v="Cancelación Vigilancia, mes de Septiembre 2017"/>
    <s v="Vigilancia"/>
    <m/>
    <s v="00616"/>
    <s v="16 de Octubre de 2017"/>
    <n v="16"/>
    <d v="2017-10-01T00:00:00"/>
    <s v="0,35"/>
    <s v="Cero Bolívares con 35/100"/>
  </r>
  <r>
    <n v="617"/>
    <m/>
    <s v="ü"/>
    <d v="2017-10-16T00:00:00"/>
    <n v="0.15"/>
    <x v="68"/>
    <x v="60"/>
    <s v="Calle Güigüe Nro. 89-29"/>
    <s v="Colaboración Vigilancia, mes de Octubre 2017"/>
    <s v="Vigilancia"/>
    <m/>
    <s v="00617"/>
    <s v="16 de Octubre de 2017"/>
    <n v="16"/>
    <d v="2017-10-01T00:00:00"/>
    <s v="0,15"/>
    <s v="Cero Bolívares con 15/100"/>
  </r>
  <r>
    <n v="618"/>
    <m/>
    <s v="ü"/>
    <d v="2017-10-16T00:00:00"/>
    <n v="0.2"/>
    <x v="25"/>
    <x v="23"/>
    <s v="Calle Güigüe Nro. 88-58"/>
    <s v="Colaboración Vigilancia, mes de Octubre 2017"/>
    <s v="Vigilancia"/>
    <m/>
    <s v="00618"/>
    <s v="16 de Octubre de 2017"/>
    <n v="16"/>
    <d v="2017-10-01T00:00:00"/>
    <s v="0,20"/>
    <s v="Cero Bolívares con 20/100"/>
  </r>
  <r>
    <n v="619"/>
    <m/>
    <s v="ü"/>
    <d v="2017-10-18T00:00:00"/>
    <n v="0.2"/>
    <x v="25"/>
    <x v="23"/>
    <s v="Calle Güigüe Nro. 88-58"/>
    <s v="Colaboración Vigilancia, mes de Septiembre 2017"/>
    <s v="Vigilancia"/>
    <m/>
    <s v="00619"/>
    <s v="18 de Octubre de 2017"/>
    <n v="18"/>
    <d v="2017-10-01T00:00:00"/>
    <s v="0,20"/>
    <s v="Cero Bolívares con 20/100"/>
  </r>
  <r>
    <n v="620"/>
    <m/>
    <s v="ü"/>
    <d v="2017-10-18T00:00:00"/>
    <n v="0.35"/>
    <x v="36"/>
    <x v="33"/>
    <s v="Calle Güigüe Nro. 89-10"/>
    <s v="Cancelación Vigilancia, mes de Septiembre 2017"/>
    <s v="Vigilancia"/>
    <m/>
    <s v="00620"/>
    <s v="18 de Octubre de 2017"/>
    <n v="18"/>
    <d v="2017-10-01T00:00:00"/>
    <s v="0,35"/>
    <s v="Cero Bolívares con 35/100"/>
  </r>
  <r>
    <n v="621"/>
    <m/>
    <s v="ü"/>
    <d v="2017-10-19T00:00:00"/>
    <n v="0.35"/>
    <x v="23"/>
    <x v="21"/>
    <s v="Calle Güigüe Nro. 88-116"/>
    <s v="Cancelación Vigilancia, mes de Octubre 2017"/>
    <s v="Vigilancia"/>
    <m/>
    <s v="00621"/>
    <s v="19 de Octubre de 2017"/>
    <n v="19"/>
    <d v="2017-10-01T00:00:00"/>
    <s v="0,35"/>
    <s v="Cero Bolívares con 35/100"/>
  </r>
  <r>
    <n v="622"/>
    <m/>
    <s v="ü"/>
    <d v="2017-10-20T00:00:00"/>
    <n v="0.4"/>
    <x v="9"/>
    <x v="9"/>
    <s v="Av. &quot;M&quot; Nro. 146-30"/>
    <s v="Cancelación Vigilancia, mes de Octubre 2017"/>
    <s v="Vigilancia"/>
    <m/>
    <s v="00622"/>
    <s v="20 de Octubre de 2017"/>
    <n v="20"/>
    <d v="2017-10-01T00:00:00"/>
    <s v="0,40"/>
    <s v="Cero Bolívares con 40/100"/>
  </r>
  <r>
    <n v="623"/>
    <m/>
    <s v="ü"/>
    <d v="2017-10-21T00:00:00"/>
    <n v="0.7"/>
    <x v="8"/>
    <x v="8"/>
    <s v="Calle Guacara Nro. 90-51"/>
    <s v="Cancelación Vigilancia, meses de Septiembre y Octubre 2017"/>
    <s v="Vigilancia"/>
    <m/>
    <s v="00623"/>
    <s v="21 de Octubre de 2017"/>
    <n v="21"/>
    <d v="2017-10-01T00:00:00"/>
    <s v="0,70"/>
    <s v="Cero Bolívares con 70/100"/>
  </r>
  <r>
    <n v="624"/>
    <m/>
    <s v="ü"/>
    <d v="2017-10-21T00:00:00"/>
    <n v="0.35"/>
    <x v="38"/>
    <x v="35"/>
    <s v="Calle Guacara Nro. 89-78"/>
    <s v="Cancelación Vigilancia, mes de Septiembre 2017"/>
    <s v="Vigilancia"/>
    <m/>
    <s v="00624"/>
    <s v="21 de Octubre de 2017"/>
    <n v="21"/>
    <d v="2017-10-01T00:00:00"/>
    <s v="0,35"/>
    <s v="Cero Bolívares con 35/100"/>
  </r>
  <r>
    <n v="625"/>
    <m/>
    <s v="ü"/>
    <d v="2017-10-21T00:00:00"/>
    <n v="0.35"/>
    <x v="43"/>
    <x v="40"/>
    <s v="Calle Güigüe Nro. 88-50"/>
    <s v="Cancelación Vigilancia, mes de Septiembre 2017"/>
    <s v="Vigilancia"/>
    <m/>
    <s v="00625"/>
    <s v="21 de Octubre de 2017"/>
    <n v="21"/>
    <d v="2017-10-01T00:00:00"/>
    <s v="0,35"/>
    <s v="Cero Bolívares con 35/100"/>
  </r>
  <r>
    <n v="626"/>
    <m/>
    <s v="ü"/>
    <d v="2017-10-23T00:00:00"/>
    <n v="0.35"/>
    <x v="26"/>
    <x v="24"/>
    <s v="Calle Güigüe Nro. 89-96"/>
    <s v="Cancelación Vigilancia, mes de Octubre 2017"/>
    <s v="Vigilancia"/>
    <m/>
    <s v="00626"/>
    <s v="23 de Octubre de 2017"/>
    <n v="23"/>
    <d v="2017-10-01T00:00:00"/>
    <s v="0,35"/>
    <s v="Cero Bolívares con 35/100"/>
  </r>
  <r>
    <n v="627"/>
    <m/>
    <s v="ü"/>
    <d v="2017-10-23T00:00:00"/>
    <n v="0.35"/>
    <x v="20"/>
    <x v="18"/>
    <s v="Calle Guacara Nro. 89-30"/>
    <s v="Cancelación Vigilancia, mes de Octubre 2017"/>
    <s v="Vigilancia"/>
    <m/>
    <s v="00627"/>
    <s v="23 de Octubre de 2017"/>
    <n v="23"/>
    <d v="2017-10-01T00:00:00"/>
    <s v="0,35"/>
    <s v="Cero Bolívares con 35/100"/>
  </r>
  <r>
    <n v="628"/>
    <m/>
    <s v="ü"/>
    <d v="2017-10-23T00:00:00"/>
    <n v="0.35"/>
    <x v="5"/>
    <x v="5"/>
    <s v="Calle Güigüe Nro. 88-120"/>
    <s v="Cancelación Vigilancia, mes de Octubre 2017"/>
    <s v="Vigilancia"/>
    <m/>
    <s v="00628"/>
    <s v="23 de Octubre de 2017"/>
    <n v="23"/>
    <d v="2017-10-01T00:00:00"/>
    <s v="0,35"/>
    <s v="Cero Bolívares con 35/100"/>
  </r>
  <r>
    <n v="629"/>
    <m/>
    <s v="ü"/>
    <d v="2017-10-23T00:00:00"/>
    <n v="0.7"/>
    <x v="65"/>
    <x v="58"/>
    <s v="Calle Güigüe Nro. 88-10"/>
    <s v="Cancelación Vigilancia, meses de Septiembre y Octubre 2017"/>
    <s v="Vigilancia"/>
    <m/>
    <s v="00629"/>
    <s v="23 de Octubre de 2017"/>
    <n v="23"/>
    <d v="2017-10-01T00:00:00"/>
    <s v="0,70"/>
    <s v="Cero Bolívares con 70/100"/>
  </r>
  <r>
    <n v="630"/>
    <m/>
    <s v="ü"/>
    <d v="2017-10-23T00:00:00"/>
    <n v="0.7"/>
    <x v="44"/>
    <x v="41"/>
    <s v="Calle Guacara Nro. 89-40"/>
    <s v="Cancelación Vigilancia, meses de Agosto y Septiembre 2017"/>
    <s v="Vigilancia"/>
    <m/>
    <s v="00630"/>
    <s v="23 de Octubre de 2017"/>
    <n v="23"/>
    <d v="2017-10-01T00:00:00"/>
    <s v="0,70"/>
    <s v="Cero Bolívares con 70/100"/>
  </r>
  <r>
    <n v="631"/>
    <m/>
    <s v="ü"/>
    <d v="2017-10-25T00:00:00"/>
    <n v="0.3"/>
    <x v="63"/>
    <x v="56"/>
    <s v="Calle Guacara Nro. 88-85"/>
    <s v="Colaboración Vigilancia, mes de Septiembre 2017"/>
    <s v="Vigilancia"/>
    <m/>
    <s v="00631"/>
    <s v="25 de Octubre de 2017"/>
    <n v="25"/>
    <d v="2017-10-01T00:00:00"/>
    <s v="0,30"/>
    <s v="Cero Bolívares con 30/100"/>
  </r>
  <r>
    <n v="632"/>
    <m/>
    <s v="ü"/>
    <d v="2017-10-26T00:00:00"/>
    <n v="0.15"/>
    <x v="32"/>
    <x v="30"/>
    <s v="Calle Güigüe Nro. 89-120"/>
    <s v="Colaboración Vigilancia, mes de Septiembre 2017"/>
    <s v="Vigilancia"/>
    <m/>
    <s v="00632"/>
    <s v="26 de Octubre de 2017"/>
    <n v="26"/>
    <d v="2017-10-01T00:00:00"/>
    <s v="0,15"/>
    <s v="Cero Bolívares con 15/100"/>
  </r>
  <r>
    <n v="633"/>
    <m/>
    <s v="ü"/>
    <d v="2017-10-27T00:00:00"/>
    <n v="0.35"/>
    <x v="24"/>
    <x v="22"/>
    <s v="Calle Güigüe Nro. 88-54"/>
    <s v="Cancelación Vigilancia, mes de Octubre 2017"/>
    <s v="Vigilancia"/>
    <m/>
    <s v="00633"/>
    <s v="27 de Octubre de 2017"/>
    <n v="27"/>
    <d v="2017-10-01T00:00:00"/>
    <s v="0,35"/>
    <s v="Cero Bolívares con 35/100"/>
  </r>
  <r>
    <n v="634"/>
    <m/>
    <s v="ü"/>
    <d v="2017-10-27T00:00:00"/>
    <n v="1.05"/>
    <x v="45"/>
    <x v="42"/>
    <s v="Calle Güigüe Nro. 87-A-11"/>
    <s v="Cancelación Vigilancia, meses de Septiembre y Octubre 2017, y Anticipo Vigilancia, mes de Noviembre 2017"/>
    <s v="Vigilancia"/>
    <m/>
    <s v="00634"/>
    <s v="27 de Octubre de 2017"/>
    <n v="27"/>
    <d v="2017-10-01T00:00:00"/>
    <s v="1,05"/>
    <s v="Un Bolívares con 05/100"/>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s v="Cero Bolívares con 70/100"/>
  </r>
  <r>
    <n v="636"/>
    <m/>
    <s v="ü"/>
    <d v="2017-10-29T00:00:00"/>
    <n v="0.6"/>
    <x v="71"/>
    <x v="62"/>
    <s v="Calle Güigüe Nro. 89-71"/>
    <s v="Colaboración Vigilancia, meses de Junio, Julio, Agosto y Septiembre 2017"/>
    <s v="Vigilancia"/>
    <m/>
    <s v="00636"/>
    <s v="29 de Octubre de 2017"/>
    <n v="29"/>
    <d v="2017-10-01T00:00:00"/>
    <s v="0,60"/>
    <s v="Cero Bolívares con 60/100"/>
  </r>
  <r>
    <n v="637"/>
    <m/>
    <s v="ü"/>
    <d v="2017-10-30T00:00:00"/>
    <n v="0.2"/>
    <x v="67"/>
    <x v="2"/>
    <s v="Calle Guacara Nro. 90-93"/>
    <s v="Colaboración Vigilancia, mes de Octubre 2017"/>
    <s v="Vigilancia"/>
    <m/>
    <s v="00637"/>
    <s v="30 de Octubre de 2017"/>
    <n v="30"/>
    <d v="2017-10-01T00:00:00"/>
    <s v="0,20"/>
    <s v="Cero Bolívares con 20/100"/>
  </r>
  <r>
    <n v="638"/>
    <m/>
    <s v="ü"/>
    <d v="2017-10-30T00:00:00"/>
    <n v="0.2"/>
    <x v="2"/>
    <x v="2"/>
    <s v="Calle Guacara Nro. 88-19"/>
    <s v="Colaboración Vigilancia, mes de Octubre 2017"/>
    <s v="Vigilancia"/>
    <m/>
    <s v="00638"/>
    <s v="30 de Octubre de 2017"/>
    <n v="30"/>
    <d v="2017-10-01T00:00:00"/>
    <s v="0,20"/>
    <s v="Cero Bolívares con 20/100"/>
  </r>
  <r>
    <n v="639"/>
    <m/>
    <s v="ü"/>
    <d v="2017-10-31T00:00:00"/>
    <n v="0.35"/>
    <x v="56"/>
    <x v="52"/>
    <s v="Calle Güigüe Nro. 88-70"/>
    <s v="Cancelación Vigilancia, mes de Octubre 2017"/>
    <s v="Vigilancia"/>
    <m/>
    <s v="00639"/>
    <s v="31 de Octubre de 2017"/>
    <n v="31"/>
    <d v="2017-10-01T00:00:00"/>
    <s v="0,35"/>
    <s v="Cero Bolívares con 35/100"/>
  </r>
  <r>
    <n v="640"/>
    <m/>
    <s v="ü"/>
    <d v="2017-10-19T00:00:00"/>
    <n v="0.2"/>
    <x v="35"/>
    <x v="32"/>
    <s v="Calle Güigüe Nro. 89-80"/>
    <s v="Colaboración Vigilancia, mes de Octubre 2017"/>
    <s v="Vigilancia"/>
    <m/>
    <s v="00640"/>
    <s v="19 de Octubre de 2017"/>
    <n v="19"/>
    <d v="2017-10-01T00:00:00"/>
    <s v="0,20"/>
    <s v="Cero Bolívares con 20/100"/>
  </r>
  <r>
    <n v="641"/>
    <m/>
    <s v="ü"/>
    <d v="2017-11-01T00:00:00"/>
    <n v="0.35"/>
    <x v="10"/>
    <x v="10"/>
    <s v="Av. &quot;M&quot; Nro. 146-15"/>
    <s v="Cancelación Vigilancia, mes de Octubre 2017"/>
    <s v="Vigilancia"/>
    <m/>
    <s v="00641"/>
    <s v="01 de Noviembre de 2017"/>
    <n v="1"/>
    <d v="2017-11-01T00:00:00"/>
    <s v="0,35"/>
    <s v="Cero Bolívares con 35/100"/>
  </r>
  <r>
    <n v="642"/>
    <m/>
    <s v="ü"/>
    <d v="2017-11-01T00:00:00"/>
    <n v="0.35"/>
    <x v="14"/>
    <x v="13"/>
    <s v="Calle Güigüe Nro. 89-83"/>
    <s v="Anticipo Vigilancia, mes de Noviembre 2017"/>
    <s v="Vigilancia"/>
    <m/>
    <s v="00642"/>
    <s v="01 de Noviembre de 2017"/>
    <n v="1"/>
    <d v="2017-11-01T00:00:00"/>
    <s v="0,35"/>
    <s v="Cero Bolívares con 35/100"/>
  </r>
  <r>
    <n v="643"/>
    <m/>
    <s v="ü"/>
    <d v="2017-11-02T00:00:00"/>
    <n v="0.35"/>
    <x v="6"/>
    <x v="6"/>
    <s v="Calle Guacara Nro. 89-60"/>
    <s v="Anticipo Vigilancia, mes de Noviembre 2017"/>
    <s v="Vigilancia"/>
    <m/>
    <s v="00643"/>
    <s v="02 de Noviembre de 2017"/>
    <n v="2"/>
    <d v="2017-11-01T00:00:00"/>
    <s v="0,35"/>
    <s v="Cero Bolívares con 35/100"/>
  </r>
  <r>
    <n v="644"/>
    <m/>
    <s v="ü"/>
    <d v="2017-11-01T00:00:00"/>
    <n v="0.68"/>
    <x v="48"/>
    <x v="9"/>
    <s v="Calle Güigüe Nro. 88-90"/>
    <s v="Cancelación saldo Vigilancia, mes de Septiembre 2017 y Cancelación Vigilancia, mes de Octubre 2017"/>
    <s v="Vigilancia"/>
    <m/>
    <s v="00644"/>
    <s v="01 de Noviembre de 2017"/>
    <n v="1"/>
    <d v="2017-11-01T00:00:00"/>
    <s v="0,68"/>
    <s v="Cero Bolívares con 68/100"/>
  </r>
  <r>
    <n v="645"/>
    <m/>
    <s v="ü"/>
    <d v="2017-11-02T00:00:00"/>
    <n v="0.7"/>
    <x v="31"/>
    <x v="29"/>
    <s v="Calle Güigüe Nro. 89-95"/>
    <s v="Cancelación Vigilancia, meses de Agosto y Septiembre 2017"/>
    <s v="Vigilancia"/>
    <m/>
    <s v="00645"/>
    <s v="02 de Noviembre de 2017"/>
    <n v="2"/>
    <d v="2017-11-01T00:00:00"/>
    <s v="0,70"/>
    <s v="Cero Bolívares con 70/100"/>
  </r>
  <r>
    <n v="646"/>
    <m/>
    <s v="ü"/>
    <d v="2017-11-02T00:00:00"/>
    <n v="0.35"/>
    <x v="5"/>
    <x v="5"/>
    <s v="Calle Güigüe Nro. 88-120"/>
    <s v="Anticipo Vigilancia, mes de Noviembre 2017"/>
    <s v="Vigilancia"/>
    <m/>
    <s v="00646"/>
    <s v="02 de Noviembre de 2017"/>
    <n v="2"/>
    <d v="2017-11-01T00:00:00"/>
    <s v="0,35"/>
    <s v="Cero Bolívares con 35/100"/>
  </r>
  <r>
    <n v="647"/>
    <m/>
    <s v="ü"/>
    <d v="2017-11-02T00:00:00"/>
    <n v="0.7"/>
    <x v="52"/>
    <x v="49"/>
    <s v="Calle Güigüe Nro. 89-45"/>
    <s v="Cancelación Vigilancia, mes de Octubre 2017, y Anticipo Vigilancia, mes de Noviembre 2017"/>
    <s v="Vigilancia"/>
    <m/>
    <s v="00647"/>
    <s v="02 de Noviembre de 2017"/>
    <n v="2"/>
    <d v="2017-11-01T00:00:00"/>
    <s v="0,70"/>
    <s v="Cero Bolívares con 70/100"/>
  </r>
  <r>
    <n v="648"/>
    <m/>
    <s v="ü"/>
    <d v="2017-11-02T00:00:00"/>
    <n v="0.5"/>
    <x v="84"/>
    <x v="71"/>
    <s v="Calle Güigüe Nro. 89-54"/>
    <s v="Cancelación Vigilancia, mes de Noviembre 2017"/>
    <s v="Vigilancia"/>
    <m/>
    <s v="00648"/>
    <s v="02 de Noviembre de 2017"/>
    <n v="2"/>
    <d v="2017-11-01T00:00:00"/>
    <s v="0,50"/>
    <s v="Cero Bolívares con 50/100"/>
  </r>
  <r>
    <n v="649"/>
    <m/>
    <s v="ü"/>
    <d v="2017-11-03T00:00:00"/>
    <n v="0.5"/>
    <x v="1"/>
    <x v="1"/>
    <s v="Calle Güigüe Nro. 88-44"/>
    <s v="Cancelación Vigilancia, mes de Noviembre 2017"/>
    <s v="Vigilancia"/>
    <m/>
    <s v="00649"/>
    <s v="03 de Noviembre de 2017"/>
    <n v="3"/>
    <d v="2017-11-01T00:00:00"/>
    <s v="0,50"/>
    <s v="Cero Bolívares con 50/100"/>
  </r>
  <r>
    <n v="650"/>
    <m/>
    <s v="ü"/>
    <d v="2017-11-04T00:00:00"/>
    <n v="1.05"/>
    <x v="58"/>
    <x v="53"/>
    <s v="Calle Güigüe Nro. 88-51"/>
    <s v="Cancelación Vigilancia, meses de Agosto, Septiembre y Octubre 2017"/>
    <s v="Vigilancia"/>
    <m/>
    <s v="00650"/>
    <s v="04 de Noviembre de 2017"/>
    <n v="4"/>
    <d v="2017-11-01T00:00:00"/>
    <s v="1,05"/>
    <s v="Un Bolívares con 05/100"/>
  </r>
  <r>
    <n v="651"/>
    <m/>
    <s v="ü"/>
    <d v="2017-11-08T00:00:00"/>
    <n v="0.35"/>
    <x v="60"/>
    <x v="54"/>
    <s v="Calle Guacara Nro. 88-51"/>
    <s v="Cancelación Vigilancia, mes de Octubre y anticipo mes de Noviembre 2017: transferencia y contra factura"/>
    <s v="Vigilancia"/>
    <m/>
    <s v="00651"/>
    <s v="08 de Noviembre de 2017"/>
    <n v="8"/>
    <d v="2017-11-01T00:00:00"/>
    <s v="0,35"/>
    <s v="Cero Bolívares con 35/100"/>
  </r>
  <r>
    <n v="652"/>
    <m/>
    <s v="ü"/>
    <d v="2017-11-07T00:00:00"/>
    <n v="0.5"/>
    <x v="0"/>
    <x v="0"/>
    <s v="Calle Guacara Nro. 88-45"/>
    <s v="Cancelación Vigilancia, mes de Noviembre 2017 (saldo a favor: Bs. 20.000)"/>
    <s v="Vigilancia"/>
    <m/>
    <s v="00652"/>
    <s v="07 de Noviembre de 2017"/>
    <n v="7"/>
    <d v="2017-11-01T00:00:00"/>
    <s v="0,50"/>
    <s v="Cero Bolívares con 50/100"/>
  </r>
  <r>
    <n v="653"/>
    <m/>
    <s v="ü"/>
    <d v="2017-11-07T00:00:00"/>
    <n v="0.5"/>
    <x v="75"/>
    <x v="65"/>
    <s v="Av. &quot;Ñ&quot; Nro. 145-25"/>
    <s v="Cancelación Vigilancia, mes de Noviembre 2017 (saldo a favor: Bs. 115.000)"/>
    <s v="Vigilancia"/>
    <m/>
    <s v="00653"/>
    <s v="07 de Noviembre de 2017"/>
    <n v="7"/>
    <d v="2017-11-01T00:00:00"/>
    <s v="0,50"/>
    <s v="Cero Bolívares con 50/100"/>
  </r>
  <r>
    <n v="654"/>
    <m/>
    <s v="ü"/>
    <d v="2017-11-08T00:00:00"/>
    <n v="0.5"/>
    <x v="12"/>
    <x v="12"/>
    <s v="Calle Guacara Nro. 89-20"/>
    <s v="Cancelación Vigilancia, mes de Noviembre 2017"/>
    <s v="Vigilancia"/>
    <m/>
    <s v="00654"/>
    <s v="08 de Noviembre de 2017"/>
    <n v="8"/>
    <d v="2017-11-01T00:00:00"/>
    <s v="0,50"/>
    <s v="Cero Bolívares con 50/100"/>
  </r>
  <r>
    <n v="655"/>
    <m/>
    <s v="ü"/>
    <d v="2017-11-10T00:00:00"/>
    <n v="0.3"/>
    <x v="15"/>
    <x v="14"/>
    <s v="Calle Guacara Nro. 89-94"/>
    <s v="Colaboración Vigilancia, mes de Noviembre 2017"/>
    <s v="Vigilancia"/>
    <m/>
    <s v="00655"/>
    <s v="10 de Noviembre de 2017"/>
    <n v="10"/>
    <d v="2017-11-01T00:00:00"/>
    <s v="0,30"/>
    <s v="Cero Bolívares con 30/100"/>
  </r>
  <r>
    <n v="656"/>
    <m/>
    <s v="ü"/>
    <d v="2017-11-09T00:00:00"/>
    <n v="0.5"/>
    <x v="36"/>
    <x v="33"/>
    <s v="Calle Güigüe Nro. 89-10"/>
    <s v="Cancelación Vigilancia, mes de Noviembre 2017"/>
    <s v="Vigilancia"/>
    <m/>
    <s v="00656"/>
    <s v="09 de Noviembre de 2017"/>
    <n v="9"/>
    <d v="2017-11-01T00:00:00"/>
    <s v="0,50"/>
    <s v="Cero Bolívares con 50/100"/>
  </r>
  <r>
    <n v="657"/>
    <m/>
    <s v="ü"/>
    <d v="2017-11-09T00:00:00"/>
    <n v="0.85"/>
    <x v="31"/>
    <x v="29"/>
    <s v="Calle Güigüe Nro. 89-95"/>
    <s v="Cancelación Vigilancia, meses de Octubre y Noviembre 2017"/>
    <s v="Vigilancia"/>
    <m/>
    <s v="00657"/>
    <s v="09 de Noviembre de 2017"/>
    <n v="9"/>
    <d v="2017-11-01T00:00:00"/>
    <s v="0,85"/>
    <s v="Cero Bolívares con 85/100"/>
  </r>
  <r>
    <n v="658"/>
    <m/>
    <s v="ü"/>
    <d v="2017-11-10T00:00:00"/>
    <n v="1.35"/>
    <x v="16"/>
    <x v="15"/>
    <s v="Calle Guacara Nro. 90-81"/>
    <s v="Cancelación Vigilancia, meses de Octubre, Noviembre y Diciembre 2017"/>
    <s v="Vigilancia"/>
    <m/>
    <s v="00658"/>
    <s v="10 de Noviembre de 2017"/>
    <n v="10"/>
    <d v="2017-11-01T00:00:00"/>
    <s v="1,35"/>
    <s v="Un Bolívares con 35/100"/>
  </r>
  <r>
    <n v="659"/>
    <m/>
    <s v="ü"/>
    <d v="2017-11-10T00:00:00"/>
    <n v="0.35"/>
    <x v="7"/>
    <x v="7"/>
    <s v="Calle Guacara Nro. 87-86"/>
    <s v="Colaboración Vigilancia, mes de Noviembre 2017"/>
    <s v="Vigilancia"/>
    <m/>
    <s v="00659"/>
    <s v="10 de Noviembre de 2017"/>
    <n v="10"/>
    <d v="2017-11-01T00:00:00"/>
    <s v="0,35"/>
    <s v="Cero Bolívares con 35/100"/>
  </r>
  <r>
    <n v="660"/>
    <m/>
    <s v="ü"/>
    <d v="2017-11-11T00:00:00"/>
    <n v="1.2"/>
    <x v="54"/>
    <x v="50"/>
    <s v="Calle Güigüe Nro. 89-21"/>
    <s v="Cancelación Vigilancia, meses de Septiembre, Octubre y Noviembre 2017"/>
    <s v="Vigilancia"/>
    <m/>
    <s v="00660"/>
    <s v="11 de Noviembre de 2017"/>
    <n v="11"/>
    <d v="2017-11-01T00:00:00"/>
    <s v="1,20"/>
    <s v="Un Bolívares con 20/100"/>
  </r>
  <r>
    <n v="661"/>
    <m/>
    <s v="ü"/>
    <d v="2017-11-11T00:00:00"/>
    <n v="0.5"/>
    <x v="4"/>
    <x v="4"/>
    <s v="Calle Güigüe Nro. 89-55"/>
    <s v="Cancelación Vigilancia, mes de Noviembre 2017"/>
    <s v="Vigilancia"/>
    <m/>
    <s v="00661"/>
    <s v="11 de Noviembre de 2017"/>
    <n v="11"/>
    <d v="2017-11-01T00:00:00"/>
    <s v="0,50"/>
    <s v="Cero Bolívares con 50/100"/>
  </r>
  <r>
    <n v="662"/>
    <m/>
    <s v="ü"/>
    <d v="2017-11-12T00:00:00"/>
    <n v="0.85"/>
    <x v="42"/>
    <x v="39"/>
    <s v="Calle Güigüe Nro. 89-79"/>
    <s v="Cancelación Vigilancia, meses de Octubre y Noviembre 2017"/>
    <s v="Vigilancia"/>
    <m/>
    <s v="00662"/>
    <s v="12 de Noviembre de 2017"/>
    <n v="12"/>
    <d v="2017-11-01T00:00:00"/>
    <s v="0,85"/>
    <s v="Cero Bolívares con 85/100"/>
  </r>
  <r>
    <n v="663"/>
    <m/>
    <s v="ü"/>
    <d v="2017-11-12T00:00:00"/>
    <n v="0.1"/>
    <x v="28"/>
    <x v="26"/>
    <s v="Calle Güigüe Nro. 88-30"/>
    <s v="Colaboración Vigilancia, mes de Noviembre 2017"/>
    <s v="Vigilancia"/>
    <m/>
    <s v="00663"/>
    <s v="12 de Noviembre de 2017"/>
    <n v="12"/>
    <d v="2017-11-01T00:00:00"/>
    <s v="0,10"/>
    <s v="Cero Bolívares con 10/100"/>
  </r>
  <r>
    <n v="664"/>
    <m/>
    <s v="ü"/>
    <d v="2017-11-14T00:00:00"/>
    <n v="0.5"/>
    <x v="20"/>
    <x v="18"/>
    <s v="Calle Guacara Nro. 89-30"/>
    <s v="Cancelación Vigilancia, mes de Noviembre 2017"/>
    <s v="Vigilancia"/>
    <m/>
    <s v="00664"/>
    <s v="14 de Noviembre de 2017"/>
    <n v="14"/>
    <d v="2017-11-01T00:00:00"/>
    <s v="0,50"/>
    <s v="Cero Bolívares con 50/100"/>
  </r>
  <r>
    <n v="665"/>
    <m/>
    <s v="ü"/>
    <d v="2017-11-13T00:00:00"/>
    <n v="0.2"/>
    <x v="22"/>
    <x v="20"/>
    <s v="Calle Guacara Nro. 88-25"/>
    <s v="Colaboración Vigilancia, mes de Octubre 2017"/>
    <s v="Vigilancia"/>
    <m/>
    <s v="00665"/>
    <s v="13 de Noviembre de 2017"/>
    <n v="13"/>
    <d v="2017-11-01T00:00:00"/>
    <s v="0,20"/>
    <s v="Cero Bolívares con 20/100"/>
  </r>
  <r>
    <n v="666"/>
    <m/>
    <s v="ü"/>
    <d v="2017-11-09T00:00:00"/>
    <n v="0.35"/>
    <x v="59"/>
    <x v="9"/>
    <s v="Calle Guacara Nro. 90-35"/>
    <s v="Cancelación Vigilancia, mes de Octubre 2017"/>
    <s v="Vigilancia"/>
    <m/>
    <s v="00666"/>
    <s v="09 de Noviembre de 2017"/>
    <n v="9"/>
    <d v="2017-11-01T00:00:00"/>
    <s v="0,35"/>
    <s v="Cero Bolívares con 35/100"/>
  </r>
  <r>
    <n v="667"/>
    <m/>
    <s v="ü"/>
    <d v="2017-11-14T00:00:00"/>
    <n v="0.85"/>
    <x v="49"/>
    <x v="46"/>
    <s v="Av. &quot;O&quot; Nro. 146-17"/>
    <s v="Cancelación Vigilancia, meses de Octubre y Noviembre 2017"/>
    <s v="Vigilancia"/>
    <m/>
    <s v="00667"/>
    <s v="14 de Noviembre de 2017"/>
    <n v="14"/>
    <d v="2017-11-01T00:00:00"/>
    <s v="0,85"/>
    <s v="Cero Bolívares con 85/100"/>
  </r>
  <r>
    <n v="668"/>
    <m/>
    <s v="ü"/>
    <d v="2017-11-14T00:00:00"/>
    <n v="0.35"/>
    <x v="38"/>
    <x v="35"/>
    <s v="Calle Guacara Nro. 89-78"/>
    <s v="Cancelación Vigilancia, mes de Octubre 2017"/>
    <s v="Vigilancia"/>
    <m/>
    <s v="00668"/>
    <s v="14 de Noviembre de 2017"/>
    <n v="14"/>
    <d v="2017-11-01T00:00:00"/>
    <s v="0,35"/>
    <s v="Cero Bolívares con 35/100"/>
  </r>
  <r>
    <n v="669"/>
    <m/>
    <s v="ü"/>
    <d v="2017-11-14T00:00:00"/>
    <n v="1"/>
    <x v="11"/>
    <x v="11"/>
    <s v="Calle Guacara Nro. 89-86"/>
    <s v="Cancelación Vigilancia, meses de Noviembre y Diciembre 2017"/>
    <s v="Vigilancia"/>
    <m/>
    <s v="00669"/>
    <s v="14 de Noviembre de 2017"/>
    <n v="14"/>
    <d v="2017-11-01T00:00:00"/>
    <s v="1,00"/>
    <s v="Un Bolívar con 00/100"/>
  </r>
  <r>
    <n v="670"/>
    <m/>
    <s v="ü"/>
    <d v="2017-11-15T00:00:00"/>
    <n v="0.15"/>
    <x v="14"/>
    <x v="13"/>
    <s v="Calle Güigüe Nro. 89-83"/>
    <s v="Cancelación saldo Vigilancia, mes de Noviembre 2017"/>
    <s v="Vigilancia"/>
    <m/>
    <s v="00670"/>
    <s v="15 de Noviembre de 2017"/>
    <n v="15"/>
    <d v="2017-11-01T00:00:00"/>
    <s v="0,15"/>
    <s v="Cero Bolívares con 15/100"/>
  </r>
  <r>
    <n v="671"/>
    <m/>
    <s v="ü"/>
    <d v="2017-11-15T00:00:00"/>
    <n v="1.85"/>
    <x v="69"/>
    <x v="61"/>
    <s v="Calle Güigüe Nro. 89-40"/>
    <s v="Cancelación Vigilancia, meses de Octubre, Noviembre , diciembre 2017 y mes de Enero 2018"/>
    <s v="Vigilancia"/>
    <m/>
    <s v="00671"/>
    <s v="15 de Noviembre de 2017"/>
    <n v="15"/>
    <d v="2017-11-01T00:00:00"/>
    <s v="1,85"/>
    <s v="Un Bolívares con 85/100"/>
  </r>
  <r>
    <n v="672"/>
    <m/>
    <s v="ü"/>
    <d v="2017-11-15T00:00:00"/>
    <n v="0.15"/>
    <x v="68"/>
    <x v="60"/>
    <s v="Calle Güigüe Nro. 89-29"/>
    <s v="Colaboración Vigilancia, mes de Noviembre 2017"/>
    <s v="Vigilancia"/>
    <m/>
    <s v="00672"/>
    <s v="15 de Noviembre de 2017"/>
    <n v="15"/>
    <d v="2017-11-01T00:00:00"/>
    <s v="0,15"/>
    <s v="Cero Bolívares con 15/100"/>
  </r>
  <r>
    <n v="673"/>
    <m/>
    <s v="ü"/>
    <d v="2017-11-10T00:00:00"/>
    <n v="0.15"/>
    <x v="6"/>
    <x v="6"/>
    <s v="Calle Guacara Nro. 89-60"/>
    <s v="Cancelación saldo Vigilancia, mes de Noviembre 2017"/>
    <s v="Vigilancia"/>
    <m/>
    <s v="00673"/>
    <s v="10 de Noviembre de 2017"/>
    <n v="10"/>
    <d v="2017-11-01T00:00:00"/>
    <s v="0,15"/>
    <s v="Cero Bolívares con 15/100"/>
  </r>
  <r>
    <n v="674"/>
    <m/>
    <s v="ü"/>
    <d v="2017-11-15T00:00:00"/>
    <n v="0.85"/>
    <x v="81"/>
    <x v="69"/>
    <s v="Calle Güigüe Nro. 89-65"/>
    <s v="Cancelación Vigilancia, meses de Octubre y Noviembre 2017"/>
    <s v="Vigilancia"/>
    <m/>
    <s v="00674"/>
    <s v="15 de Noviembre de 2017"/>
    <n v="15"/>
    <d v="2017-11-01T00:00:00"/>
    <s v="0,85"/>
    <s v="Cero Bolívares con 85/100"/>
  </r>
  <r>
    <n v="675"/>
    <m/>
    <s v="ü"/>
    <d v="2017-11-15T00:00:00"/>
    <n v="0.85"/>
    <x v="44"/>
    <x v="41"/>
    <s v="Calle Guacara Nro. 89-40"/>
    <s v="Cancelación Vigilancia, meses de Octubre y Noviembre 2017"/>
    <s v="Vigilancia"/>
    <m/>
    <s v="00675"/>
    <s v="15 de Noviembre de 2017"/>
    <n v="15"/>
    <d v="2017-11-01T00:00:00"/>
    <s v="0,85"/>
    <s v="Cero Bolívares con 85/100"/>
  </r>
  <r>
    <n v="676"/>
    <m/>
    <s v="ü"/>
    <d v="2017-11-15T00:00:00"/>
    <n v="0.5"/>
    <x v="18"/>
    <x v="16"/>
    <s v="Calle Guacara Nro. 87-100"/>
    <s v="Cancelación Vigilancia, mes de Noviembre 2017"/>
    <s v="Vigilancia"/>
    <m/>
    <s v="00676"/>
    <s v="15 de Noviembre de 2017"/>
    <n v="15"/>
    <d v="2017-11-01T00:00:00"/>
    <s v="0,50"/>
    <s v="Cero Bolívares con 50/100"/>
  </r>
  <r>
    <n v="677"/>
    <m/>
    <s v="ü"/>
    <d v="2017-11-16T00:00:00"/>
    <n v="0.54"/>
    <x v="9"/>
    <x v="9"/>
    <s v="Av. &quot;M&quot; Nro. 146-30"/>
    <s v="Cancelación Vigilancia, mes de Noviembre 2017"/>
    <s v="Vigilancia"/>
    <m/>
    <s v="00677"/>
    <s v="16 de Noviembre de 2017"/>
    <n v="16"/>
    <d v="2017-11-01T00:00:00"/>
    <s v="0,54"/>
    <s v="Cero Bolívares con 54/100"/>
  </r>
  <r>
    <n v="678"/>
    <m/>
    <s v="ü"/>
    <d v="2017-11-16T00:00:00"/>
    <n v="0.35"/>
    <x v="83"/>
    <x v="70"/>
    <s v="Calle Güigüe Nro. 89-22"/>
    <s v="Cancelación Vigilancia, mes de Octubre 2017"/>
    <s v="Vigilancia"/>
    <m/>
    <s v="00678"/>
    <s v="16 de Noviembre de 2017"/>
    <n v="16"/>
    <d v="2017-11-01T00:00:00"/>
    <s v="0,35"/>
    <s v="Cero Bolívares con 35/100"/>
  </r>
  <r>
    <n v="679"/>
    <m/>
    <s v="ü"/>
    <d v="2017-11-17T00:00:00"/>
    <n v="0.5"/>
    <x v="23"/>
    <x v="21"/>
    <s v="Calle Güigüe Nro. 88-116"/>
    <s v="Cancelación Vigilancia, mes de Noviembre 2017"/>
    <s v="Vigilancia"/>
    <m/>
    <s v="00679"/>
    <s v="17 de Noviembre de 2017"/>
    <n v="17"/>
    <d v="2017-11-01T00:00:00"/>
    <s v="0,50"/>
    <s v="Cero Bolívares con 50/100"/>
  </r>
  <r>
    <n v="680"/>
    <m/>
    <s v="ü"/>
    <d v="2017-11-17T00:00:00"/>
    <n v="0.5"/>
    <x v="30"/>
    <x v="28"/>
    <s v="Calle Güigüe Nro. 89-04"/>
    <s v="Cancelación Vigilancia, mes de Noviembre 2017 (transferencia y Bs. 14.600 contra factura)"/>
    <s v="Vigilancia"/>
    <m/>
    <s v="00680"/>
    <s v="17 de Noviembre de 2017"/>
    <n v="17"/>
    <d v="2017-11-01T00:00:00"/>
    <s v="0,50"/>
    <s v="Cero Bolívares con 50/100"/>
  </r>
  <r>
    <n v="681"/>
    <m/>
    <s v="ü"/>
    <d v="2017-11-17T00:00:00"/>
    <n v="0.5"/>
    <x v="26"/>
    <x v="24"/>
    <s v="Calle Güigüe Nro. 89-96"/>
    <s v="Cancelación Vigilancia, mes de Noviembre 2017"/>
    <s v="Vigilancia"/>
    <m/>
    <s v="00681"/>
    <s v="17 de Noviembre de 2017"/>
    <n v="17"/>
    <d v="2017-11-01T00:00:00"/>
    <s v="0,50"/>
    <s v="Cero Bolívares con 50/100"/>
  </r>
  <r>
    <n v="682"/>
    <m/>
    <s v="ü"/>
    <d v="2017-11-17T00:00:00"/>
    <n v="1"/>
    <x v="34"/>
    <x v="9"/>
    <s v="Av. &quot;O&quot; Nro. 146-11"/>
    <s v="Cancelación Vigilancia, meses de Septiembre y Octubre 2017, y anticipo Vigilancia, mes de Noviembre 2017"/>
    <s v="Vigilancia"/>
    <m/>
    <s v="00682"/>
    <s v="17 de Noviembre de 2017"/>
    <n v="17"/>
    <d v="2017-11-01T00:00:00"/>
    <s v="1,00"/>
    <s v="Un Bolívar con 00/100"/>
  </r>
  <r>
    <n v="683"/>
    <m/>
    <s v="ü"/>
    <d v="2017-11-17T00:00:00"/>
    <n v="0.4"/>
    <x v="35"/>
    <x v="32"/>
    <s v="Calle Güigüe Nro. 89-80"/>
    <s v="Colaboración Vigilancia, mes de Noviembre 2017"/>
    <s v="Vigilancia"/>
    <m/>
    <s v="00683"/>
    <s v="17 de Noviembre de 2017"/>
    <n v="17"/>
    <d v="2017-11-01T00:00:00"/>
    <s v="0,40"/>
    <s v="Cero Bolívares con 40/100"/>
  </r>
  <r>
    <n v="684"/>
    <m/>
    <s v="ü"/>
    <d v="2017-11-19T00:00:00"/>
    <n v="0.35"/>
    <x v="43"/>
    <x v="40"/>
    <s v="Calle Güigüe Nro. 88-50"/>
    <s v="Cancelación Vigilancia, mes de Octubre 2017"/>
    <s v="Vigilancia"/>
    <m/>
    <s v="00684"/>
    <s v="19 de Noviembre de 2017"/>
    <n v="19"/>
    <d v="2017-11-01T00:00:00"/>
    <s v="0,35"/>
    <s v="Cero Bolívares con 35/100"/>
  </r>
  <r>
    <n v="685"/>
    <m/>
    <s v="ü"/>
    <d v="2017-11-19T00:00:00"/>
    <n v="0.5"/>
    <x v="59"/>
    <x v="9"/>
    <s v="Calle Guacara Nro. 90-35"/>
    <s v="Cancelación Vigilancia, mes de Noviembre 2017"/>
    <s v="Vigilancia"/>
    <m/>
    <s v="00685"/>
    <s v="19 de Noviembre de 2017"/>
    <n v="19"/>
    <d v="2017-11-01T00:00:00"/>
    <s v="0,50"/>
    <s v="Cero Bolívares con 50/100"/>
  </r>
  <r>
    <n v="686"/>
    <m/>
    <s v="ü"/>
    <d v="2017-11-20T00:00:00"/>
    <n v="0.5"/>
    <x v="84"/>
    <x v="71"/>
    <s v="Calle Güigüe Nro. 89-54"/>
    <s v="Cancelación Vigilancia, mes de Diciembre 2017"/>
    <s v="Vigilancia"/>
    <m/>
    <s v="00686"/>
    <s v="20 de Noviembre de 2017"/>
    <n v="20"/>
    <d v="2017-11-01T00:00:00"/>
    <s v="0,50"/>
    <s v="Cero Bolívares con 50/100"/>
  </r>
  <r>
    <n v="687"/>
    <m/>
    <s v="ü"/>
    <d v="2017-11-20T00:00:00"/>
    <n v="0.4"/>
    <x v="57"/>
    <x v="9"/>
    <s v="Calle Güigüe Nro. 88-40"/>
    <s v="Colaboración Vigilancia, meses de Septiembre y Octubre 2017"/>
    <s v="Vigilancia"/>
    <m/>
    <s v="00687"/>
    <s v="20 de Noviembre de 2017"/>
    <n v="20"/>
    <d v="2017-11-01T00:00:00"/>
    <s v="0,40"/>
    <s v="Cero Bolívares con 40/100"/>
  </r>
  <r>
    <n v="688"/>
    <m/>
    <s v="ü"/>
    <d v="2017-11-21T00:00:00"/>
    <n v="1.7"/>
    <x v="64"/>
    <x v="57"/>
    <s v="Calle Guacara Nro. 88-35"/>
    <s v="Cancelación Vigilancia, meses de Septiembre, Octubre, Noviembre y Diciembre 2017"/>
    <s v="Vigilancia"/>
    <m/>
    <s v="00688"/>
    <s v="21 de Noviembre de 2017"/>
    <n v="21"/>
    <d v="2017-11-01T00:00:00"/>
    <s v="1,70"/>
    <s v="Un Bolívares con 70/100"/>
  </r>
  <r>
    <n v="689"/>
    <m/>
    <s v="ü"/>
    <d v="2017-11-22T00:00:00"/>
    <n v="0.3"/>
    <x v="85"/>
    <x v="72"/>
    <s v="Calle Güigüe Nro. 89-116"/>
    <s v="Colaboración Vigilancia, mes de Noviembre 2017"/>
    <s v="Vigilancia"/>
    <m/>
    <s v="00689"/>
    <s v="22 de Noviembre de 2017"/>
    <n v="22"/>
    <d v="2017-11-01T00:00:00"/>
    <s v="0,30"/>
    <s v="Cero Bolívares con 30/100"/>
  </r>
  <r>
    <n v="690"/>
    <m/>
    <s v="ü"/>
    <d v="2017-11-22T00:00:00"/>
    <n v="0.5"/>
    <x v="19"/>
    <x v="17"/>
    <s v="Calle Guacara Nro. 89-130"/>
    <s v="Cancelación Vigilancia, mes de Noviembre 2017"/>
    <s v="Vigilancia"/>
    <m/>
    <s v="00690"/>
    <s v="22 de Noviembre de 2017"/>
    <n v="22"/>
    <d v="2017-11-01T00:00:00"/>
    <s v="0,50"/>
    <s v="Cero Bolívares con 50/100"/>
  </r>
  <r>
    <n v="691"/>
    <m/>
    <s v="ü"/>
    <d v="2017-11-23T00:00:00"/>
    <n v="0.5"/>
    <x v="76"/>
    <x v="66"/>
    <s v="Calle Güigüe Nro. 89-90"/>
    <s v="Cancelación Vigilancia, mes de Noviembre 2017"/>
    <s v="Vigilancia"/>
    <m/>
    <s v="00691"/>
    <s v="23 de Noviembre de 2017"/>
    <n v="23"/>
    <d v="2017-11-01T00:00:00"/>
    <s v="0,50"/>
    <s v="Cero Bolívares con 50/100"/>
  </r>
  <r>
    <n v="692"/>
    <m/>
    <s v="ü"/>
    <d v="2017-11-28T00:00:00"/>
    <n v="0.65"/>
    <x v="45"/>
    <x v="42"/>
    <s v="Calle Güigüe Nro. 87-A-11"/>
    <s v="Cancelación Vigilancia, saldo mes de Noviembre y mes de Diciembre 2017"/>
    <s v="Vigilancia"/>
    <m/>
    <s v="00692"/>
    <s v="28 de Noviembre de 2017"/>
    <n v="28"/>
    <d v="2017-11-01T00:00:00"/>
    <s v="0,65"/>
    <s v="Cero Bolívares con 65/100"/>
  </r>
  <r>
    <n v="693"/>
    <m/>
    <s v="ü"/>
    <d v="2017-11-28T00:00:00"/>
    <n v="1"/>
    <x v="56"/>
    <x v="52"/>
    <s v="Calle Güigüe Nro. 88-70"/>
    <s v="Cancelación Vigilancia, meses de Noviembre y Diciembre 2017"/>
    <s v="Vigilancia"/>
    <m/>
    <s v="00693"/>
    <s v="28 de Noviembre de 2017"/>
    <n v="28"/>
    <d v="2017-11-01T00:00:00"/>
    <s v="1,00"/>
    <s v="Un Bolívar con 00/100"/>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s v="Un Bolívar con 00/100"/>
  </r>
  <r>
    <n v="695"/>
    <m/>
    <s v="ü"/>
    <d v="2017-11-29T00:00:00"/>
    <n v="0.5"/>
    <x v="65"/>
    <x v="58"/>
    <s v="Calle Güigüe Nro. 88-10"/>
    <s v="Cancelación Vigilancia, mes de Noviembre 2017"/>
    <s v="Vigilancia"/>
    <m/>
    <s v="00695"/>
    <s v="29 de Noviembre de 2017"/>
    <n v="29"/>
    <d v="2017-11-01T00:00:00"/>
    <s v="0,50"/>
    <s v="Cero Bolívares con 50/100"/>
  </r>
  <r>
    <n v="696"/>
    <m/>
    <s v="ü"/>
    <d v="2017-12-03T00:00:00"/>
    <n v="1"/>
    <x v="14"/>
    <x v="13"/>
    <s v="Calle Güigüe Nro. 89-83"/>
    <s v="Cancelación Vigilancia, meses de Diciembre 2017 y Enero 2018"/>
    <s v="Vigilancia"/>
    <m/>
    <s v="00696"/>
    <s v="03 de Diciembre de 2017"/>
    <n v="3"/>
    <d v="2017-12-01T00:00:00"/>
    <s v="1,00"/>
    <s v="Un Bolívar con 00/100"/>
  </r>
  <r>
    <n v="697"/>
    <m/>
    <s v="ü"/>
    <d v="2017-11-21T00:00:00"/>
    <n v="0.71"/>
    <x v="73"/>
    <x v="9"/>
    <s v="Calle Güigüe Nros. 88-71 y 88-81"/>
    <s v="Cancelación Vigilancia, mes de Noviembre 2017"/>
    <s v="Vigilancia"/>
    <m/>
    <s v="00697"/>
    <s v="21 de Noviembre de 2017"/>
    <n v="21"/>
    <d v="2017-11-01T00:00:00"/>
    <s v="0,71"/>
    <s v="Cero Bolívares con 71/100"/>
  </r>
  <r>
    <n v="698"/>
    <m/>
    <s v="ü"/>
    <d v="2017-12-04T00:00:00"/>
    <n v="0.5"/>
    <x v="24"/>
    <x v="22"/>
    <s v="Calle Güigüe Nro. 88-54"/>
    <s v="Cancelación Vigilancia, mes de Noviembre 2017"/>
    <s v="Vigilancia"/>
    <m/>
    <s v="00698"/>
    <s v="04 de Diciembre de 2017"/>
    <n v="4"/>
    <d v="2017-12-01T00:00:00"/>
    <s v="0,50"/>
    <s v="Cero Bolívares con 50/100"/>
  </r>
  <r>
    <n v="699"/>
    <m/>
    <s v="ü"/>
    <d v="2017-12-04T00:00:00"/>
    <n v="0.32"/>
    <x v="2"/>
    <x v="2"/>
    <s v="Calle Guacara Nro. 88-19"/>
    <s v="Colaboración Vigilancia, mes de Noviembre 2017"/>
    <s v="Vigilancia"/>
    <m/>
    <s v="00699"/>
    <s v="04 de Diciembre de 2017"/>
    <n v="4"/>
    <d v="2017-12-01T00:00:00"/>
    <s v="0,32"/>
    <s v="Cero Bolívares con 32/100"/>
  </r>
  <r>
    <n v="700"/>
    <m/>
    <s v="ü"/>
    <d v="2017-12-04T00:00:00"/>
    <n v="0.18"/>
    <x v="67"/>
    <x v="2"/>
    <s v="Calle Guacara Nro. 90-93"/>
    <s v="Colaboración Vigilancia, mes de Noviembre 2017"/>
    <s v="Vigilancia"/>
    <m/>
    <s v="00700"/>
    <s v="04 de Diciembre de 2017"/>
    <n v="4"/>
    <d v="2017-12-01T00:00:00"/>
    <s v="0,18"/>
    <s v="Cero Bolívares con 18/100"/>
  </r>
  <r>
    <n v="701"/>
    <m/>
    <s v="ü"/>
    <d v="2017-12-04T00:00:00"/>
    <n v="0.25"/>
    <x v="32"/>
    <x v="30"/>
    <s v="Calle Güigüe Nro. 89-120"/>
    <s v="Colaboración Vigilancia, mes de Octubre 2017"/>
    <s v="Vigilancia"/>
    <m/>
    <s v="00701"/>
    <s v="04 de Diciembre de 2017"/>
    <n v="4"/>
    <d v="2017-12-01T00:00:00"/>
    <s v="0,25"/>
    <s v="Cero Bolívares con 25/100"/>
  </r>
  <r>
    <n v="702"/>
    <m/>
    <s v="ü"/>
    <d v="2017-12-04T00:00:00"/>
    <n v="1"/>
    <x v="8"/>
    <x v="8"/>
    <s v="Calle Guacara Nro. 90-51"/>
    <s v="Cancelación Vigilancia, meses de Noviembre y Diciembre 2017"/>
    <s v="Vigilancia"/>
    <m/>
    <s v="00702"/>
    <s v="04 de Diciembre de 2017"/>
    <n v="4"/>
    <d v="2017-12-01T00:00:00"/>
    <s v="1,00"/>
    <s v="Un Bolívar con 00/100"/>
  </r>
  <r>
    <n v="703"/>
    <m/>
    <s v="ü"/>
    <d v="2017-12-04T00:00:00"/>
    <n v="0.4"/>
    <x v="52"/>
    <x v="49"/>
    <s v="Calle Güigüe Nro. 89-45"/>
    <s v="Cancelación Vigilancia, saldo mes de Noviembre y anticipo mes de Diciembre 2017"/>
    <s v="Vigilancia"/>
    <m/>
    <s v="00703"/>
    <s v="04 de Diciembre de 2017"/>
    <n v="4"/>
    <d v="2017-12-01T00:00:00"/>
    <s v="0,40"/>
    <s v="Cero Bolívares con 40/100"/>
  </r>
  <r>
    <n v="704"/>
    <m/>
    <s v="ü"/>
    <d v="2017-12-04T00:00:00"/>
    <n v="0.5"/>
    <x v="40"/>
    <x v="37"/>
    <s v="Calle Güigüe Nro. 88-101"/>
    <s v="Cancelación Vigilancia, mes de Noviembre 2017"/>
    <s v="Vigilancia"/>
    <m/>
    <s v="00704"/>
    <s v="04 de Diciembre de 2017"/>
    <n v="4"/>
    <d v="2017-12-01T00:00:00"/>
    <s v="0,50"/>
    <s v="Cero Bolívares con 50/100"/>
  </r>
  <r>
    <n v="705"/>
    <m/>
    <s v="ü"/>
    <d v="2017-12-05T00:00:00"/>
    <n v="0.5"/>
    <x v="81"/>
    <x v="69"/>
    <s v="Calle Güigüe Nro. 89-65"/>
    <s v="Cancelación Vigilancia, mes de Diciembre 2017"/>
    <s v="Vigilancia"/>
    <m/>
    <s v="00705"/>
    <s v="05 de Diciembre de 2017"/>
    <n v="5"/>
    <d v="2017-12-01T00:00:00"/>
    <s v="0,50"/>
    <s v="Cero Bolívares con 50/100"/>
  </r>
  <r>
    <n v="706"/>
    <m/>
    <s v="ü"/>
    <d v="2017-12-05T00:00:00"/>
    <n v="0.5"/>
    <x v="0"/>
    <x v="0"/>
    <s v="Calle Guacara Nro. 88-45"/>
    <s v="Cancelación Vigilancia, mes de Diciembre 2017 (saldo a favor: Bs. 600.000)"/>
    <s v="Vigilancia"/>
    <m/>
    <s v="00706"/>
    <s v="05 de Diciembre de 2017"/>
    <n v="5"/>
    <d v="2017-12-01T00:00:00"/>
    <s v="0,50"/>
    <s v="Cero Bolívares con 50/100"/>
  </r>
  <r>
    <n v="707"/>
    <m/>
    <s v="ü"/>
    <d v="2017-12-05T00:00:00"/>
    <n v="0.5"/>
    <x v="75"/>
    <x v="65"/>
    <s v="Av. &quot;Ñ&quot; Nro. 145-25"/>
    <s v="Cancelación Vigilancia, mes de Diciembre 2017 (saldo a favor: Bs. 65.000)"/>
    <s v="Vigilancia"/>
    <m/>
    <s v="00707"/>
    <s v="05 de Diciembre de 2017"/>
    <n v="5"/>
    <d v="2017-12-01T00:00:00"/>
    <s v="0,50"/>
    <s v="Cero Bolívares con 50/100"/>
  </r>
  <r>
    <n v="708"/>
    <m/>
    <s v="ü"/>
    <d v="2017-12-05T00:00:00"/>
    <n v="0.35"/>
    <x v="7"/>
    <x v="7"/>
    <s v="Calle Guacara Nro. 87-86"/>
    <s v="Colaboración Vigilancia, mes de Diciembre 2017"/>
    <s v="Vigilancia"/>
    <m/>
    <s v="00708"/>
    <s v="05 de Diciembre de 2017"/>
    <n v="5"/>
    <d v="2017-12-01T00:00:00"/>
    <s v="0,35"/>
    <s v="Cero Bolívares con 35/100"/>
  </r>
  <r>
    <n v="709"/>
    <m/>
    <s v="ü"/>
    <d v="2017-12-05T00:00:00"/>
    <n v="0.5"/>
    <x v="12"/>
    <x v="12"/>
    <s v="Calle Guacara Nro. 89-20"/>
    <s v="Cancelación Vigilancia, mes de Diciembre 2017"/>
    <s v="Vigilancia"/>
    <m/>
    <s v="00709"/>
    <s v="05 de Diciembre de 2017"/>
    <n v="5"/>
    <d v="2017-12-01T00:00:00"/>
    <s v="0,50"/>
    <s v="Cero Bolívares con 50/100"/>
  </r>
  <r>
    <n v="710"/>
    <m/>
    <s v="ü"/>
    <d v="2017-12-05T00:00:00"/>
    <n v="0.5"/>
    <x v="6"/>
    <x v="6"/>
    <s v="Calle Guacara Nro. 89-60"/>
    <s v="Cancelación Vigilancia, mes de Diciembre 2017"/>
    <s v="Vigilancia"/>
    <m/>
    <s v="00710"/>
    <s v="05 de Diciembre de 2017"/>
    <n v="5"/>
    <d v="2017-12-01T00:00:00"/>
    <s v="0,50"/>
    <s v="Cero Bolívares con 50/100"/>
  </r>
  <r>
    <n v="711"/>
    <m/>
    <s v="ü"/>
    <d v="2017-12-05T00:00:00"/>
    <n v="0.3"/>
    <x v="15"/>
    <x v="14"/>
    <s v="Calle Guacara Nro. 89-94"/>
    <s v="Colaboración Vigilancia, mes de Diciembre 2017"/>
    <s v="Vigilancia"/>
    <m/>
    <s v="00711"/>
    <s v="05 de Diciembre de 2017"/>
    <n v="5"/>
    <d v="2017-12-01T00:00:00"/>
    <s v="0,30"/>
    <s v="Cero Bolívares con 30/100"/>
  </r>
  <r>
    <n v="712"/>
    <m/>
    <s v="ü"/>
    <d v="2017-12-05T00:00:00"/>
    <n v="0.84"/>
    <x v="29"/>
    <x v="27"/>
    <s v="Calle Guacara Nro. 88-75"/>
    <s v="Cancelación saldo Vigilancia, mes de Octubre 2017 y anticipo del mes de Noviembre 2017"/>
    <s v="Vigilancia"/>
    <m/>
    <s v="00712"/>
    <s v="05 de Diciembre de 2017"/>
    <n v="5"/>
    <d v="2017-12-01T00:00:00"/>
    <s v="0,84"/>
    <s v="Cero Bolívares con 84/100"/>
  </r>
  <r>
    <n v="713"/>
    <m/>
    <s v="ü"/>
    <d v="2017-12-06T00:00:00"/>
    <n v="1"/>
    <x v="27"/>
    <x v="25"/>
    <s v="Calle Güigüe Nro. 89-106"/>
    <s v="Cancelación Vigilancia, meses de Noviembre y Diciembre 2017"/>
    <s v="Vigilancia"/>
    <m/>
    <s v="00713"/>
    <s v="06 de Diciembre de 2017"/>
    <n v="6"/>
    <d v="2017-12-01T00:00:00"/>
    <s v="1,00"/>
    <s v="Un Bolívar con 00/100"/>
  </r>
  <r>
    <n v="714"/>
    <m/>
    <s v="ü"/>
    <d v="2017-12-06T00:00:00"/>
    <n v="0.5"/>
    <x v="30"/>
    <x v="28"/>
    <s v="Calle Güigüe Nro. 89-04"/>
    <s v="Cancelación Vigilancia, mes de Diciembre 2017 (transferencia y Bs. 15.200 contra factura)"/>
    <s v="Vigilancia"/>
    <m/>
    <s v="00714"/>
    <s v="06 de Diciembre de 2017"/>
    <n v="6"/>
    <d v="2017-12-01T00:00:00"/>
    <s v="0,50"/>
    <s v="Cero Bolívares con 50/100"/>
  </r>
  <r>
    <n v="715"/>
    <m/>
    <s v="ü"/>
    <d v="2017-12-06T00:00:00"/>
    <n v="0.3"/>
    <x v="25"/>
    <x v="23"/>
    <s v="Calle Güigüe Nro. 88-58"/>
    <s v="Colaboración Vigilancia, mes de Noviembre 2017"/>
    <s v="Vigilancia"/>
    <m/>
    <s v="00715"/>
    <s v="06 de Diciembre de 2017"/>
    <n v="6"/>
    <d v="2017-12-01T00:00:00"/>
    <s v="0,30"/>
    <s v="Cero Bolívares con 30/100"/>
  </r>
  <r>
    <n v="716"/>
    <m/>
    <s v="ü"/>
    <d v="2017-12-07T00:00:00"/>
    <n v="0.35"/>
    <x v="3"/>
    <x v="3"/>
    <s v="Calle Güigüe Nro. 88-62"/>
    <s v="Cancelación Vigilancia, mes de Agosto 2017"/>
    <s v="Vigilancia"/>
    <m/>
    <s v="00716"/>
    <s v="07 de Diciembre de 2017"/>
    <n v="7"/>
    <d v="2017-12-01T00:00:00"/>
    <s v="0,35"/>
    <s v="Cero Bolívares con 35/100"/>
  </r>
  <r>
    <n v="717"/>
    <m/>
    <s v="ü"/>
    <d v="2017-12-06T00:00:00"/>
    <n v="1.2"/>
    <x v="47"/>
    <x v="44"/>
    <s v="Calle Güigüe Nro. 88-80"/>
    <s v="Colaboración Vigilancia, meses de Octubre, Noviembre y Diciembre 2017"/>
    <s v="Vigilancia"/>
    <m/>
    <s v="00717"/>
    <s v="06 de Diciembre de 2017"/>
    <n v="6"/>
    <d v="2017-12-01T00:00:00"/>
    <s v="1,20"/>
    <s v="Un Bolívares con 20/100"/>
  </r>
  <r>
    <n v="718"/>
    <m/>
    <s v="ü"/>
    <d v="2017-12-06T00:00:00"/>
    <n v="1"/>
    <x v="61"/>
    <x v="14"/>
    <s v="Calle Guacara Nro. 87-07"/>
    <s v="Colaboración Vigilancia, meses de Septiembre, Octubre, Noviembre y Diciembre 2017"/>
    <s v="Vigilancia"/>
    <m/>
    <s v="00718"/>
    <s v="06 de Diciembre de 2017"/>
    <n v="6"/>
    <d v="2017-12-01T00:00:00"/>
    <s v="1,00"/>
    <s v="Un Bolívar con 00/100"/>
  </r>
  <r>
    <n v="719"/>
    <m/>
    <s v="ü"/>
    <d v="2017-12-07T00:00:00"/>
    <n v="1.1499999999999999"/>
    <x v="5"/>
    <x v="5"/>
    <s v="Calle Güigüe Nro. 88-120"/>
    <s v="Cancelación Vigilancia, saldo mes de Noviembre y meses de Diciembre 2017 y Enero 2018"/>
    <s v="Vigilancia"/>
    <m/>
    <s v="00719"/>
    <s v="07 de Diciembre de 2017"/>
    <n v="7"/>
    <d v="2017-12-01T00:00:00"/>
    <s v="1,15"/>
    <s v="Un Bolívares con 15/100"/>
  </r>
  <r>
    <n v="720"/>
    <m/>
    <s v="ü"/>
    <d v="2017-12-07T00:00:00"/>
    <n v="0.5"/>
    <x v="10"/>
    <x v="10"/>
    <s v="Av. &quot;M&quot; Nro. 146-15"/>
    <s v="Cancelación Vigilancia, mes de Noviembre 2017"/>
    <s v="Vigilancia"/>
    <m/>
    <s v="00720"/>
    <s v="07 de Diciembre de 2017"/>
    <n v="7"/>
    <d v="2017-12-01T00:00:00"/>
    <s v="0,50"/>
    <s v="Cero Bolívares con 50/100"/>
  </r>
  <r>
    <n v="721"/>
    <m/>
    <s v="ü"/>
    <d v="2017-12-07T00:00:00"/>
    <n v="0.5"/>
    <x v="1"/>
    <x v="1"/>
    <s v="Calle Güigüe Nro. 88-44"/>
    <s v="Cancelación Vigilancia, mes de Diciembre 2017"/>
    <s v="Vigilancia"/>
    <m/>
    <s v="00721"/>
    <s v="07 de Diciembre de 2017"/>
    <n v="7"/>
    <d v="2017-12-01T00:00:00"/>
    <s v="0,50"/>
    <s v="Cero Bolívares con 50/100"/>
  </r>
  <r>
    <n v="722"/>
    <m/>
    <s v="ü"/>
    <d v="2017-12-08T00:00:00"/>
    <n v="0.54"/>
    <x v="9"/>
    <x v="9"/>
    <s v="Av. &quot;M&quot; Nro. 146-30"/>
    <s v="Cancelación Vigilancia, mes de Diciembre 2017"/>
    <s v="Vigilancia"/>
    <m/>
    <s v="00722"/>
    <s v="08 de Diciembre de 2017"/>
    <n v="8"/>
    <d v="2017-12-01T00:00:00"/>
    <s v="0,54"/>
    <s v="Cero Bolívares con 54/100"/>
  </r>
  <r>
    <n v="723"/>
    <m/>
    <s v="ü"/>
    <d v="2017-12-08T00:00:00"/>
    <n v="0.5"/>
    <x v="20"/>
    <x v="18"/>
    <s v="Calle Guacara Nro. 89-30"/>
    <s v="Cancelación Vigilancia, mes de Diciembre 2017"/>
    <s v="Vigilancia"/>
    <m/>
    <s v="00723"/>
    <s v="08 de Diciembre de 2017"/>
    <n v="8"/>
    <d v="2017-12-01T00:00:00"/>
    <s v="0,50"/>
    <s v="Cero Bolívares con 50/100"/>
  </r>
  <r>
    <n v="724"/>
    <m/>
    <s v="ü"/>
    <d v="2017-12-08T00:00:00"/>
    <n v="0.2"/>
    <x v="67"/>
    <x v="2"/>
    <s v="Calle Guacara Nro. 90-93"/>
    <s v="Colaboración Vigilancia, mes de Diciembre 2017"/>
    <s v="Vigilancia"/>
    <m/>
    <s v="00724"/>
    <s v="08 de Diciembre de 2017"/>
    <n v="8"/>
    <d v="2017-12-01T00:00:00"/>
    <s v="0,20"/>
    <s v="Cero Bolívares con 20/100"/>
  </r>
  <r>
    <n v="725"/>
    <m/>
    <s v="ü"/>
    <d v="2017-12-12T00:00:00"/>
    <n v="0.71"/>
    <x v="73"/>
    <x v="9"/>
    <s v="Calle Güigüe Nros. 88-71 y 88-81"/>
    <s v="Cancelación Vigilancia, mes de Diciembre 2017"/>
    <s v="Vigilancia"/>
    <m/>
    <s v="00725"/>
    <s v="12 de Diciembre de 2017"/>
    <n v="12"/>
    <d v="2017-12-01T00:00:00"/>
    <s v="0,71"/>
    <s v="Cero Bolívares con 71/100"/>
  </r>
  <r>
    <n v="726"/>
    <m/>
    <s v="ü"/>
    <d v="2017-12-12T00:00:00"/>
    <n v="0.5"/>
    <x v="18"/>
    <x v="16"/>
    <s v="Calle Guacara Nro. 87-100"/>
    <s v="Cancelación Vigilancia, mes de Diciembre 2017"/>
    <s v="Vigilancia"/>
    <m/>
    <s v="00726"/>
    <s v="12 de Diciembre de 2017"/>
    <n v="12"/>
    <d v="2017-12-01T00:00:00"/>
    <s v="0,50"/>
    <s v="Cero Bolívares con 50/100"/>
  </r>
  <r>
    <n v="727"/>
    <m/>
    <s v="ü"/>
    <d v="2017-12-12T00:00:00"/>
    <n v="0.4"/>
    <x v="35"/>
    <x v="32"/>
    <s v="Calle Güigüe Nro. 89-80"/>
    <s v="Colaboración Vigilancia, mes de Diciembre 2017"/>
    <s v="Vigilancia"/>
    <m/>
    <s v="00727"/>
    <s v="12 de Diciembre de 2017"/>
    <n v="12"/>
    <d v="2017-12-01T00:00:00"/>
    <s v="0,40"/>
    <s v="Cero Bolívares con 40/100"/>
  </r>
  <r>
    <n v="728"/>
    <m/>
    <s v="ü"/>
    <d v="2017-12-13T00:00:00"/>
    <n v="0.5"/>
    <x v="4"/>
    <x v="4"/>
    <s v="Calle Güigüe Nro. 89-55"/>
    <s v="Cancelación Vigilancia, mes de Diciembre 2017"/>
    <s v="Vigilancia"/>
    <m/>
    <s v="00728"/>
    <s v="13 de Diciembre de 2017"/>
    <n v="13"/>
    <d v="2017-12-01T00:00:00"/>
    <s v="0,50"/>
    <s v="Cero Bolívares con 50/100"/>
  </r>
  <r>
    <n v="729"/>
    <m/>
    <s v="ü"/>
    <d v="2017-12-11T00:00:00"/>
    <n v="0.3"/>
    <x v="63"/>
    <x v="56"/>
    <s v="Calle Guacara Nro. 88-85"/>
    <s v="Colaboración Vigilancia, mes de Octubre 2017"/>
    <s v="Vigilancia"/>
    <m/>
    <s v="00729"/>
    <s v="11 de Diciembre de 2017"/>
    <n v="11"/>
    <d v="2017-12-01T00:00:00"/>
    <s v="0,30"/>
    <s v="Cero Bolívares con 30/100"/>
  </r>
  <r>
    <n v="730"/>
    <m/>
    <s v="ü"/>
    <d v="2017-12-11T00:00:00"/>
    <n v="0.4"/>
    <x v="63"/>
    <x v="56"/>
    <s v="Calle Guacara Nro. 88-85"/>
    <s v="Colaboración Vigilancia, mes de Noviembre 2017"/>
    <s v="Vigilancia"/>
    <m/>
    <s v="00730"/>
    <s v="11 de Diciembre de 2017"/>
    <n v="11"/>
    <d v="2017-12-01T00:00:00"/>
    <s v="0,40"/>
    <s v="Cero Bolívares con 40/100"/>
  </r>
  <r>
    <n v="731"/>
    <m/>
    <s v="ü"/>
    <d v="2017-12-10T00:00:00"/>
    <n v="0.85"/>
    <x v="36"/>
    <x v="33"/>
    <s v="Calle Güigüe Nro. 89-10"/>
    <s v="Cancelación Vigilancia, meses de Octubre y Diciembre 2017"/>
    <s v="Vigilancia"/>
    <m/>
    <s v="00731"/>
    <s v="10 de Diciembre de 2017"/>
    <n v="10"/>
    <d v="2017-12-01T00:00:00"/>
    <s v="0,85"/>
    <s v="Cero Bolívares con 85/100"/>
  </r>
  <r>
    <n v="732"/>
    <m/>
    <s v="ü"/>
    <d v="2017-12-13T00:00:00"/>
    <n v="0.5"/>
    <x v="24"/>
    <x v="22"/>
    <s v="Calle Güigüe Nro. 88-54"/>
    <s v="Cancelación Vigilancia, mes de Diciembre 2017"/>
    <s v="Vigilancia"/>
    <m/>
    <s v="00732"/>
    <s v="13 de Diciembre de 2017"/>
    <n v="13"/>
    <d v="2017-12-01T00:00:00"/>
    <s v="0,50"/>
    <s v="Cero Bolívares con 50/100"/>
  </r>
  <r>
    <n v="733"/>
    <m/>
    <s v="ü"/>
    <d v="2017-12-15T00:00:00"/>
    <n v="1"/>
    <x v="38"/>
    <x v="35"/>
    <s v="Calle Guacara Nro. 89-78"/>
    <s v="Cancelación Vigilancia, meses de Noviembre y Diciembre 2017"/>
    <s v="Vigilancia"/>
    <m/>
    <s v="00733"/>
    <s v="15 de Diciembre de 2017"/>
    <n v="15"/>
    <d v="2017-12-01T00:00:00"/>
    <s v="1,00"/>
    <s v="Un Bolívar con 00/100"/>
  </r>
  <r>
    <n v="734"/>
    <m/>
    <s v="ü"/>
    <d v="2017-10-11T00:00:00"/>
    <n v="0.35"/>
    <x v="39"/>
    <x v="36"/>
    <s v="Calle Güigüe Nro. 88-111"/>
    <s v="Cancelación Vigilancia, mes de Agosto 2017"/>
    <s v="Vigilancia"/>
    <m/>
    <s v="00734"/>
    <s v="11 de Octubre de 2017"/>
    <n v="11"/>
    <d v="2017-10-01T00:00:00"/>
    <s v="0,35"/>
    <s v="Cero Bolívares con 35/100"/>
  </r>
  <r>
    <n v="735"/>
    <m/>
    <s v="ü"/>
    <d v="2017-07-07T00:00:00"/>
    <n v="0.03"/>
    <x v="28"/>
    <x v="26"/>
    <s v="Calle Güigüe Nro. 88-30"/>
    <s v="Colaboración Vigilancia, mes de Junio 2017"/>
    <s v="Vigilancia"/>
    <m/>
    <s v="00735"/>
    <s v="07 de Julio de 2017"/>
    <n v="7"/>
    <d v="2017-07-01T00:00:00"/>
    <s v="0,03"/>
    <s v="Cero Bolívares con 03/100"/>
  </r>
  <r>
    <n v="736"/>
    <m/>
    <s v="ü"/>
    <d v="2017-12-17T00:00:00"/>
    <n v="0.5"/>
    <x v="23"/>
    <x v="21"/>
    <s v="Calle Güigüe Nro. 88-116"/>
    <s v="Cancelación Vigilancia, mes de Diciembre 2017"/>
    <s v="Vigilancia"/>
    <m/>
    <s v="00736"/>
    <s v="17 de Diciembre de 2017"/>
    <n v="17"/>
    <d v="2017-12-01T00:00:00"/>
    <s v="0,50"/>
    <s v="Cero Bolívares con 50/100"/>
  </r>
  <r>
    <n v="737"/>
    <m/>
    <s v="ü"/>
    <d v="2017-12-18T00:00:00"/>
    <n v="0.5"/>
    <x v="86"/>
    <x v="73"/>
    <s v="Calle Guacara Nro. 89-50"/>
    <s v="Cancelación Vigilancia, mes de Diciembre 2017"/>
    <s v="Vigilancia"/>
    <m/>
    <s v="00737"/>
    <s v="18 de Diciembre de 2017"/>
    <n v="18"/>
    <d v="2017-12-01T00:00:00"/>
    <s v="0,50"/>
    <s v="Cero Bolívares con 50/100"/>
  </r>
  <r>
    <n v="738"/>
    <m/>
    <s v="ü"/>
    <d v="2017-12-19T00:00:00"/>
    <n v="0.6"/>
    <x v="71"/>
    <x v="62"/>
    <s v="Calle Güigüe Nro. 89-71"/>
    <s v="Colaboración Vigilancia, meses de Octubre, Noviembre y Diciembre 2017"/>
    <s v="Vigilancia"/>
    <m/>
    <s v="00738"/>
    <s v="19 de Diciembre de 2017"/>
    <n v="19"/>
    <d v="2017-12-01T00:00:00"/>
    <s v="0,60"/>
    <s v="Cero Bolívares con 60/100"/>
  </r>
  <r>
    <n v="739"/>
    <m/>
    <s v="ü"/>
    <d v="2017-12-20T00:00:00"/>
    <n v="1.35"/>
    <x v="21"/>
    <x v="19"/>
    <s v="Calle Güigüe Nro. 89-105"/>
    <s v="Cancelación Vigilancia, meses de Octubre, Noviembre y Diciembre 2017"/>
    <s v="Vigilancia"/>
    <m/>
    <s v="00739"/>
    <s v="20 de Diciembre de 2017"/>
    <n v="20"/>
    <d v="2017-12-01T00:00:00"/>
    <s v="1,35"/>
    <s v="Un Bolívares con 35/100"/>
  </r>
  <r>
    <n v="740"/>
    <m/>
    <s v="ü"/>
    <d v="2017-12-20T00:00:00"/>
    <n v="0.4"/>
    <x v="63"/>
    <x v="56"/>
    <s v="Calle Guacara Nro. 88-85"/>
    <s v="Colaboración Vigilancia, mes de Diciembre 2017"/>
    <s v="Vigilancia"/>
    <m/>
    <s v="00740"/>
    <s v="20 de Diciembre de 2017"/>
    <n v="20"/>
    <d v="2017-12-01T00:00:00"/>
    <s v="0,40"/>
    <s v="Cero Bolívares con 40/100"/>
  </r>
  <r>
    <n v="741"/>
    <m/>
    <s v="ü"/>
    <d v="2017-12-20T00:00:00"/>
    <n v="0.25"/>
    <x v="52"/>
    <x v="49"/>
    <s v="Calle Güigüe Nro. 89-45"/>
    <s v="Cancelación Vigilancia, saldo mes de Diciembre 2017"/>
    <s v="Vigilancia"/>
    <m/>
    <s v="00741"/>
    <s v="20 de Diciembre de 2017"/>
    <n v="20"/>
    <d v="2017-12-01T00:00:00"/>
    <s v="0,25"/>
    <s v="Cero Bolívares con 25/100"/>
  </r>
  <r>
    <n v="742"/>
    <m/>
    <s v="ü"/>
    <d v="2017-12-22T00:00:00"/>
    <n v="0.17"/>
    <x v="68"/>
    <x v="60"/>
    <s v="Calle Güigüe Nro. 89-29"/>
    <s v="Colaboración Vigilancia, mes de Diciembre 2017"/>
    <s v="Vigilancia"/>
    <m/>
    <s v="00742"/>
    <s v="22 de Diciembre de 2017"/>
    <n v="22"/>
    <d v="2017-12-01T00:00:00"/>
    <s v="0,17"/>
    <s v="Cero Bolívares con 17/100"/>
  </r>
  <r>
    <n v="743"/>
    <m/>
    <s v="ü"/>
    <d v="2017-12-22T00:00:00"/>
    <n v="0.15"/>
    <x v="22"/>
    <x v="20"/>
    <s v="Calle Guacara Nro. 88-25"/>
    <s v="Colaboración Vigilancia, mes de Noviembre 2017"/>
    <s v="Vigilancia"/>
    <m/>
    <s v="00743"/>
    <s v="22 de Diciembre de 2017"/>
    <n v="22"/>
    <d v="2017-12-01T00:00:00"/>
    <s v="0,15"/>
    <s v="Cero Bolívares con 15/100"/>
  </r>
  <r>
    <n v="744"/>
    <m/>
    <s v="ü"/>
    <d v="2017-12-23T00:00:00"/>
    <n v="1"/>
    <x v="54"/>
    <x v="50"/>
    <s v="Calle Güigüe Nro. 89-21"/>
    <s v="Cancelación Vigilancia, meses de Diciembre 2017 y Enero 2018"/>
    <s v="Vigilancia"/>
    <m/>
    <s v="00744"/>
    <s v="23 de Diciembre de 2017"/>
    <n v="23"/>
    <d v="2017-12-01T00:00:00"/>
    <s v="1,00"/>
    <s v="Un Bolívar con 00/100"/>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s v="Un Bolívar con 00/100"/>
  </r>
  <r>
    <n v="746"/>
    <m/>
    <s v="ü"/>
    <d v="2017-12-26T00:00:00"/>
    <n v="0.5"/>
    <x v="19"/>
    <x v="17"/>
    <s v="Calle Guacara Nro. 89-130"/>
    <s v="Cancelación Vigilancia, mes de Diciembre 2017"/>
    <s v="Vigilancia"/>
    <m/>
    <s v="00746"/>
    <s v="26 de Diciembre de 2017"/>
    <n v="26"/>
    <d v="2017-12-01T00:00:00"/>
    <s v="0,50"/>
    <s v="Cero Bolívares con 50/100"/>
  </r>
  <r>
    <n v="747"/>
    <m/>
    <s v="ü"/>
    <d v="2017-12-23T00:00:00"/>
    <n v="0.5"/>
    <x v="40"/>
    <x v="37"/>
    <s v="Calle Güigüe Nro. 88-101"/>
    <s v="Cancelación Vigilancia, mes de Diciembre 2017"/>
    <s v="Vigilancia"/>
    <m/>
    <s v="00747"/>
    <s v="23 de Diciembre de 2017"/>
    <n v="23"/>
    <d v="2017-12-01T00:00:00"/>
    <s v="0,50"/>
    <s v="Cero Bolívares con 50/100"/>
  </r>
  <r>
    <n v="748"/>
    <m/>
    <s v="ü"/>
    <d v="2017-12-26T00:00:00"/>
    <n v="0.2"/>
    <x v="74"/>
    <x v="64"/>
    <s v="Calle Güigüe Nro. 88-20"/>
    <s v="Colaboración Vigilancia, meses de Noviembre y Diciembre 2017"/>
    <s v="Vigilancia"/>
    <m/>
    <s v="00748"/>
    <s v="26 de Diciembre de 2017"/>
    <n v="26"/>
    <d v="2017-12-01T00:00:00"/>
    <s v="0,20"/>
    <s v="Cero Bolívares con 20/100"/>
  </r>
  <r>
    <n v="749"/>
    <m/>
    <s v="ü"/>
    <d v="2017-12-26T00:00:00"/>
    <n v="0.5"/>
    <x v="84"/>
    <x v="71"/>
    <s v="Calle Güigüe Nro. 89-54"/>
    <s v="Cancelación Vigilancia, mes de Enero 2018"/>
    <s v="Vigilancia"/>
    <m/>
    <s v="00749"/>
    <s v="26 de Diciembre de 2017"/>
    <n v="26"/>
    <d v="2017-12-01T00:00:00"/>
    <s v="0,50"/>
    <s v="Cero Bolívares con 50/100"/>
  </r>
  <r>
    <n v="750"/>
    <m/>
    <s v="ü"/>
    <d v="2017-12-27T00:00:00"/>
    <n v="0.25"/>
    <x v="57"/>
    <x v="9"/>
    <s v="Calle Güigüe Nro. 88-40"/>
    <s v="Colaboración Vigilancia, mes de Noviembre 2017"/>
    <s v="Vigilancia"/>
    <m/>
    <s v="00750"/>
    <s v="27 de Diciembre de 2017"/>
    <n v="27"/>
    <d v="2017-12-01T00:00:00"/>
    <s v="0,25"/>
    <s v="Cero Bolívares con 25/100"/>
  </r>
  <r>
    <n v="751"/>
    <m/>
    <s v="ü"/>
    <d v="2017-12-29T00:00:00"/>
    <n v="1"/>
    <x v="46"/>
    <x v="43"/>
    <s v="Av. &quot;I&quot; Nro. 146-20"/>
    <s v="Cancelación Vigilancia, meses de Noviembre y Diciembre 2017"/>
    <s v="Vigilancia"/>
    <m/>
    <s v="00751"/>
    <s v="29 de Diciembre de 2017"/>
    <n v="29"/>
    <d v="2017-12-01T00:00:00"/>
    <s v="1,00"/>
    <s v="Un Bolívar con 00/100"/>
  </r>
  <r>
    <n v="752"/>
    <m/>
    <s v="ü"/>
    <d v="2018-01-02T00:00:00"/>
    <n v="0.3"/>
    <x v="15"/>
    <x v="14"/>
    <s v="Calle Guacara Nro. 89-94"/>
    <s v="Colaboración Vigilancia, mes de Enero 2018"/>
    <s v="Vigilancia"/>
    <m/>
    <s v="00752"/>
    <s v="02 de Enero de 2018"/>
    <n v="2"/>
    <d v="2018-01-01T00:00:00"/>
    <s v="0,30"/>
    <s v="Cero Bolívares con 30/100"/>
  </r>
  <r>
    <n v="753"/>
    <m/>
    <s v="ü"/>
    <d v="2018-01-02T00:00:00"/>
    <n v="0.3"/>
    <x v="2"/>
    <x v="2"/>
    <s v="Calle Guacara Nro. 88-19"/>
    <s v="Colaboración Vigilancia, mes de Diciembre 2017"/>
    <s v="Vigilancia"/>
    <m/>
    <s v="00753"/>
    <s v="02 de Enero de 2018"/>
    <n v="2"/>
    <d v="2018-01-01T00:00:00"/>
    <s v="0,30"/>
    <s v="Cero Bolívares con 30/100"/>
  </r>
  <r>
    <n v="754"/>
    <m/>
    <s v="ü"/>
    <d v="2018-01-04T00:00:00"/>
    <n v="0.45"/>
    <x v="22"/>
    <x v="20"/>
    <s v="Calle Guacara Nro. 88-25"/>
    <s v="Colaboración Vigilancia, mes de Diciembre 2017"/>
    <s v="Vigilancia"/>
    <m/>
    <s v="00754"/>
    <s v="04 de Enero de 2018"/>
    <n v="4"/>
    <d v="2018-01-01T00:00:00"/>
    <s v="0,45"/>
    <s v="Cero Bolívares con 45/100"/>
  </r>
  <r>
    <n v="755"/>
    <m/>
    <s v="ü"/>
    <d v="2017-12-29T00:00:00"/>
    <n v="0.5"/>
    <x v="6"/>
    <x v="6"/>
    <s v="Calle Guacara Nro. 89-60"/>
    <s v="Anticipo Vigilancia, mes de Enero 2018"/>
    <s v="Vigilancia"/>
    <m/>
    <s v="00755"/>
    <s v="29 de Diciembre de 2017"/>
    <n v="29"/>
    <d v="2017-12-01T00:00:00"/>
    <s v="0,50"/>
    <s v="Cero Bolívares con 50/100"/>
  </r>
  <r>
    <n v="756"/>
    <m/>
    <s v="ü"/>
    <d v="2018-01-07T00:00:00"/>
    <n v="0.5"/>
    <x v="12"/>
    <x v="12"/>
    <s v="Calle Guacara Nro. 89-20"/>
    <s v="Anticipo Vigilancia, mes de Enero 2018"/>
    <s v="Vigilancia"/>
    <m/>
    <s v="00756"/>
    <s v="07 de Enero de 2018"/>
    <n v="7"/>
    <d v="2018-01-01T00:00:00"/>
    <s v="0,50"/>
    <s v="Cero Bolívares con 50/100"/>
  </r>
  <r>
    <n v="757"/>
    <m/>
    <s v="ü"/>
    <d v="2018-01-10T00:00:00"/>
    <n v="0.5"/>
    <x v="42"/>
    <x v="39"/>
    <s v="Calle Güigüe Nro. 89-79"/>
    <s v="Cancelación Vigilancia, mes de Diciembre 2017"/>
    <s v="Vigilancia"/>
    <m/>
    <s v="00757"/>
    <s v="10 de Enero de 2018"/>
    <n v="10"/>
    <d v="2018-01-01T00:00:00"/>
    <s v="0,50"/>
    <s v="Cero Bolívares con 50/100"/>
  </r>
  <r>
    <n v="758"/>
    <m/>
    <s v="ü"/>
    <d v="2018-01-10T00:00:00"/>
    <n v="0.3"/>
    <x v="12"/>
    <x v="12"/>
    <s v="Calle Guacara Nro. 89-20"/>
    <s v="Cancelación saldo Vigilancia, mes de Enero 2018"/>
    <s v="Vigilancia"/>
    <m/>
    <s v="00758"/>
    <s v="10 de Enero de 2018"/>
    <n v="10"/>
    <d v="2018-01-01T00:00:00"/>
    <s v="0,30"/>
    <s v="Cero Bolívares con 30/100"/>
  </r>
  <r>
    <n v="759"/>
    <m/>
    <s v="ü"/>
    <d v="2018-01-10T00:00:00"/>
    <n v="0.3"/>
    <x v="84"/>
    <x v="71"/>
    <s v="Calle Güigüe Nro. 89-54"/>
    <s v="Cancelación saldo Vigilancia, mes de Enero 2018"/>
    <s v="Vigilancia"/>
    <m/>
    <s v="00759"/>
    <s v="10 de Enero de 2018"/>
    <n v="10"/>
    <d v="2018-01-01T00:00:00"/>
    <s v="0,30"/>
    <s v="Cero Bolívares con 30/100"/>
  </r>
  <r>
    <n v="760"/>
    <m/>
    <s v="ü"/>
    <d v="2018-01-10T00:00:00"/>
    <n v="0.8"/>
    <x v="0"/>
    <x v="0"/>
    <s v="Calle Guacara Nro. 88-45"/>
    <s v="Cancelación Vigilancia, mes de Enero 2018 (saldo a favor: Bs. 880.000)"/>
    <s v="Vigilancia"/>
    <m/>
    <s v="00760"/>
    <s v="10 de Enero de 2018"/>
    <n v="10"/>
    <d v="2018-01-01T00:00:00"/>
    <s v="0,80"/>
    <s v="Cero Bolívares con 80/100"/>
  </r>
  <r>
    <n v="761"/>
    <m/>
    <s v="ü"/>
    <d v="2018-01-10T00:00:00"/>
    <n v="0.5"/>
    <x v="65"/>
    <x v="58"/>
    <s v="Calle Güigüe Nro. 88-10"/>
    <s v="Cancelación Vigilancia, mes de Diciembre 2017"/>
    <s v="Vigilancia"/>
    <m/>
    <s v="00761"/>
    <s v="10 de Enero de 2018"/>
    <n v="10"/>
    <d v="2018-01-01T00:00:00"/>
    <s v="0,50"/>
    <s v="Cero Bolívares con 50/100"/>
  </r>
  <r>
    <n v="762"/>
    <m/>
    <s v="ü"/>
    <d v="2018-01-10T00:00:00"/>
    <n v="1.3"/>
    <x v="29"/>
    <x v="27"/>
    <s v="Calle Guacara Nro. 88-75"/>
    <s v="Cancelación Vigilancia, meses de Diciembre 2017 y Enero 2018"/>
    <s v="Vigilancia"/>
    <m/>
    <s v="00762"/>
    <s v="10 de Enero de 2018"/>
    <n v="10"/>
    <d v="2018-01-01T00:00:00"/>
    <s v="1,30"/>
    <s v="Un Bolívares con 30/100"/>
  </r>
  <r>
    <n v="763"/>
    <m/>
    <s v="ü"/>
    <d v="2018-01-10T00:00:00"/>
    <n v="0.8"/>
    <x v="20"/>
    <x v="18"/>
    <s v="Calle Guacara Nro. 89-30"/>
    <s v="Cancelación Vigilancia, mes de Enero 2018"/>
    <s v="Vigilancia"/>
    <m/>
    <s v="00763"/>
    <s v="10 de Enero de 2018"/>
    <n v="10"/>
    <d v="2018-01-01T00:00:00"/>
    <s v="0,80"/>
    <s v="Cero Bolívares con 80/100"/>
  </r>
  <r>
    <n v="764"/>
    <m/>
    <s v="ü"/>
    <d v="2018-01-10T00:00:00"/>
    <n v="0.7"/>
    <x v="37"/>
    <x v="34"/>
    <s v="Av. &quot;I&quot; Nro. 146-40"/>
    <s v="Cancelación Vigilancia, mes de Noviembre y anticipo mes de Diciembre 2017 (Bs. 21.000)"/>
    <s v="Vigilancia"/>
    <m/>
    <s v="00764"/>
    <s v="10 de Enero de 2018"/>
    <n v="10"/>
    <d v="2018-01-01T00:00:00"/>
    <s v="0,70"/>
    <s v="Cero Bolívares con 70/100"/>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s v="Un Bolívares con 60/100"/>
  </r>
  <r>
    <n v="766"/>
    <m/>
    <s v="ü"/>
    <d v="2018-01-11T00:00:00"/>
    <n v="0.8"/>
    <x v="30"/>
    <x v="28"/>
    <s v="Calle Güigüe Nro. 89-04"/>
    <s v="Cancelación Vigilancia, mes de Enero 2018"/>
    <s v="Vigilancia"/>
    <m/>
    <s v="00766"/>
    <s v="11 de Enero de 2018"/>
    <n v="11"/>
    <d v="2018-01-01T00:00:00"/>
    <s v="0,80"/>
    <s v="Cero Bolívares con 80/100"/>
  </r>
  <r>
    <n v="767"/>
    <m/>
    <s v="ü"/>
    <d v="2018-01-11T00:00:00"/>
    <n v="0.8"/>
    <x v="17"/>
    <x v="74"/>
    <s v="Av. &quot;M&quot; Nro. 146-20"/>
    <s v="Cancelación Vigilancia, mes de Enero 2018"/>
    <s v="Vigilancia"/>
    <m/>
    <s v="00767"/>
    <s v="11 de Enero de 2018"/>
    <n v="11"/>
    <d v="2018-01-01T00:00:00"/>
    <s v="0,80"/>
    <s v="Cero Bolívares con 80/100"/>
  </r>
  <r>
    <n v="768"/>
    <m/>
    <s v="ü"/>
    <d v="2018-01-11T00:00:00"/>
    <n v="1"/>
    <x v="43"/>
    <x v="40"/>
    <s v="Calle Güigüe Nro. 88-50"/>
    <s v="Cancelación Vigilancia, meses de Noviembre y Diciembre 2017"/>
    <s v="Vigilancia"/>
    <m/>
    <s v="00768"/>
    <s v="11 de Enero de 2018"/>
    <n v="11"/>
    <d v="2018-01-01T00:00:00"/>
    <s v="1,00"/>
    <s v="Un Bolívar con 00/100"/>
  </r>
  <r>
    <n v="769"/>
    <m/>
    <s v="ü"/>
    <d v="2018-01-11T00:00:00"/>
    <n v="0.8"/>
    <x v="65"/>
    <x v="58"/>
    <s v="Calle Güigüe Nro. 88-10"/>
    <s v="Cancelación Vigilancia, mes de Enero 2018"/>
    <s v="Vigilancia"/>
    <m/>
    <s v="00769"/>
    <s v="11 de Enero de 2018"/>
    <n v="11"/>
    <d v="2018-01-01T00:00:00"/>
    <s v="0,80"/>
    <s v="Cero Bolívares con 80/100"/>
  </r>
  <r>
    <n v="770"/>
    <m/>
    <s v="ü"/>
    <d v="2018-01-11T00:00:00"/>
    <n v="0.8"/>
    <x v="45"/>
    <x v="42"/>
    <s v="Calle Güigüe Nro. 87-A-11"/>
    <s v="Cancelación Vigilancia, mes de Enero 2018"/>
    <s v="Vigilancia"/>
    <m/>
    <s v="00770"/>
    <s v="11 de Enero de 2018"/>
    <n v="11"/>
    <d v="2018-01-01T00:00:00"/>
    <s v="0,80"/>
    <s v="Cero Bolívares con 80/100"/>
  </r>
  <r>
    <n v="771"/>
    <m/>
    <s v="ü"/>
    <d v="2018-01-11T00:00:00"/>
    <n v="0.8"/>
    <x v="1"/>
    <x v="1"/>
    <s v="Calle Güigüe Nro. 88-44"/>
    <s v="Cancelación Vigilancia, mes de Enero 2018"/>
    <s v="Vigilancia"/>
    <m/>
    <s v="00771"/>
    <s v="11 de Enero de 2018"/>
    <n v="11"/>
    <d v="2018-01-01T00:00:00"/>
    <s v="0,80"/>
    <s v="Cero Bolívares con 80/100"/>
  </r>
  <r>
    <n v="772"/>
    <m/>
    <s v="ü"/>
    <d v="2018-01-12T00:00:00"/>
    <n v="1.6"/>
    <x v="11"/>
    <x v="11"/>
    <s v="Calle Guacara Nro. 89-86"/>
    <s v="Cancelación Vigilancia, meses de Enero y Febrero 2018"/>
    <s v="Vigilancia"/>
    <m/>
    <s v="00772"/>
    <s v="12 de Enero de 2018"/>
    <n v="12"/>
    <d v="2018-01-01T00:00:00"/>
    <s v="1,60"/>
    <s v="Un Bolívares con 60/100"/>
  </r>
  <r>
    <n v="773"/>
    <m/>
    <s v="ü"/>
    <d v="2018-01-13T00:00:00"/>
    <n v="0.8"/>
    <x v="19"/>
    <x v="17"/>
    <s v="Calle Guacara Nro. 89-130"/>
    <s v="Cancelación Vigilancia, mes de Enero 2018"/>
    <s v="Vigilancia"/>
    <m/>
    <s v="00773"/>
    <s v="13 de Enero de 2018"/>
    <n v="13"/>
    <d v="2018-01-01T00:00:00"/>
    <s v="0,80"/>
    <s v="Cero Bolívares con 80/100"/>
  </r>
  <r>
    <n v="774"/>
    <m/>
    <s v="ü"/>
    <d v="2018-01-14T00:00:00"/>
    <n v="1"/>
    <x v="86"/>
    <x v="73"/>
    <s v="Calle Guacara Nro. 89-50"/>
    <s v="Colaboración Vigilancia, meses de Enero y Febrero 2018"/>
    <s v="Vigilancia"/>
    <m/>
    <s v="00774"/>
    <s v="14 de Enero de 2018"/>
    <n v="14"/>
    <d v="2018-01-01T00:00:00"/>
    <s v="1,00"/>
    <s v="Un Bolívar con 00/100"/>
  </r>
  <r>
    <n v="775"/>
    <m/>
    <s v="ü"/>
    <d v="2018-01-16T00:00:00"/>
    <n v="0.4"/>
    <x v="25"/>
    <x v="23"/>
    <s v="Calle Güigüe Nro. 88-58"/>
    <s v="Colaboración Vigilancia, mes de Enero 2018"/>
    <s v="Vigilancia"/>
    <m/>
    <s v="00775"/>
    <s v="16 de Enero de 2018"/>
    <n v="16"/>
    <d v="2018-01-01T00:00:00"/>
    <s v="0,40"/>
    <s v="Cero Bolívares con 40/100"/>
  </r>
  <r>
    <n v="776"/>
    <m/>
    <s v="ü"/>
    <d v="2018-01-17T00:00:00"/>
    <n v="0.8"/>
    <x v="23"/>
    <x v="21"/>
    <s v="Calle Güigüe Nro. 88-116"/>
    <s v="Cancelación Vigilancia, mes de Enero 2018"/>
    <s v="Vigilancia"/>
    <m/>
    <s v="00776"/>
    <s v="17 de Enero de 2018"/>
    <n v="17"/>
    <d v="2018-01-01T00:00:00"/>
    <s v="0,80"/>
    <s v="Cero Bolívares con 80/100"/>
  </r>
  <r>
    <n v="777"/>
    <m/>
    <s v="ü"/>
    <d v="2018-01-18T00:00:00"/>
    <n v="0.8"/>
    <x v="42"/>
    <x v="39"/>
    <s v="Calle Güigüe Nro. 89-79"/>
    <s v="Cancelación Vigilancia, mes de Enero 2018"/>
    <s v="Vigilancia"/>
    <m/>
    <s v="00777"/>
    <s v="18 de Enero de 2018"/>
    <n v="18"/>
    <d v="2018-01-01T00:00:00"/>
    <s v="0,80"/>
    <s v="Cero Bolívares con 80/100"/>
  </r>
  <r>
    <n v="778"/>
    <m/>
    <s v="ü"/>
    <d v="2018-01-18T00:00:00"/>
    <n v="0.4"/>
    <x v="68"/>
    <x v="60"/>
    <s v="Calle Güigüe Nro. 89-29"/>
    <s v="Colaboración Vigilancia, mes de Enero 2018"/>
    <s v="Vigilancia"/>
    <m/>
    <s v="00778"/>
    <s v="18 de Enero de 2018"/>
    <n v="18"/>
    <d v="2018-01-01T00:00:00"/>
    <s v="0,40"/>
    <s v="Cero Bolívares con 40/100"/>
  </r>
  <r>
    <n v="779"/>
    <m/>
    <s v="ü"/>
    <d v="2018-01-18T00:00:00"/>
    <n v="0.8"/>
    <x v="4"/>
    <x v="4"/>
    <s v="Calle Güigüe Nro. 89-55"/>
    <s v="Cancelación Vigilancia, mes de Enero 2018"/>
    <s v="Vigilancia"/>
    <m/>
    <s v="00779"/>
    <s v="18 de Enero de 2018"/>
    <n v="18"/>
    <d v="2018-01-01T00:00:00"/>
    <s v="0,80"/>
    <s v="Cero Bolívares con 80/100"/>
  </r>
  <r>
    <n v="780"/>
    <m/>
    <s v="ü"/>
    <d v="2018-01-18T00:00:00"/>
    <n v="1"/>
    <x v="52"/>
    <x v="9"/>
    <s v="Calle Güigüe Nro. 89-45"/>
    <s v="Cancelación Vigilancia, mes de Enero y anticipo mes de Febrero 2018"/>
    <s v="Vigilancia"/>
    <m/>
    <s v="00780"/>
    <s v="18 de Enero de 2018"/>
    <n v="18"/>
    <d v="2018-01-01T00:00:00"/>
    <s v="1,00"/>
    <s v="Un Bolívar con 00/100"/>
  </r>
  <r>
    <n v="781"/>
    <m/>
    <s v="ü"/>
    <d v="2018-01-18T00:00:00"/>
    <n v="0.8"/>
    <x v="35"/>
    <x v="32"/>
    <s v="Calle Güigüe Nro. 89-80"/>
    <s v="Cancelación Vigilancia, mes de Enero 2018"/>
    <s v="Vigilancia"/>
    <m/>
    <s v="00781"/>
    <s v="18 de Enero de 2018"/>
    <n v="18"/>
    <d v="2018-01-01T00:00:00"/>
    <s v="0,80"/>
    <s v="Cero Bolívares con 80/100"/>
  </r>
  <r>
    <n v="782"/>
    <m/>
    <s v="ü"/>
    <d v="2018-01-18T00:00:00"/>
    <n v="0.8"/>
    <x v="75"/>
    <x v="65"/>
    <s v="Av. &quot;Ñ&quot; Nro. 145-25"/>
    <s v="Cancelación Vigilancia, mes de Enero 2018 (saldo a favor: Bs. 945.000)"/>
    <s v="Vigilancia"/>
    <m/>
    <s v="00782"/>
    <s v="18 de Enero de 2018"/>
    <n v="18"/>
    <d v="2018-01-01T00:00:00"/>
    <s v="0,80"/>
    <s v="Cero Bolívares con 80/100"/>
  </r>
  <r>
    <n v="783"/>
    <m/>
    <s v="ü"/>
    <d v="2018-01-18T00:00:00"/>
    <n v="0.35"/>
    <x v="7"/>
    <x v="7"/>
    <s v="Calle Guacara Nro. 87-86"/>
    <s v="Colaboración Vigilancia, mes de Enero 2018"/>
    <s v="Vigilancia"/>
    <m/>
    <s v="00783"/>
    <s v="18 de Enero de 2018"/>
    <n v="18"/>
    <d v="2018-01-01T00:00:00"/>
    <s v="0,35"/>
    <s v="Cero Bolívares con 35/100"/>
  </r>
  <r>
    <n v="784"/>
    <m/>
    <s v="ü"/>
    <d v="2018-01-18T00:00:00"/>
    <n v="0.8"/>
    <x v="38"/>
    <x v="35"/>
    <s v="Calle Guacara Nro. 89-78"/>
    <s v="Cancelación Vigilancia, mes de Enero 2018"/>
    <s v="Vigilancia"/>
    <m/>
    <s v="00784"/>
    <s v="18 de Enero de 2018"/>
    <n v="18"/>
    <d v="2018-01-01T00:00:00"/>
    <s v="0,80"/>
    <s v="Cero Bolívares con 80/100"/>
  </r>
  <r>
    <n v="785"/>
    <m/>
    <s v="ü"/>
    <d v="2018-01-18T00:00:00"/>
    <n v="0.8"/>
    <x v="16"/>
    <x v="15"/>
    <s v="Calle Guacara Nro. 90-81"/>
    <s v="Cancelación Vigilancia, mes de Enero 2018"/>
    <s v="Vigilancia"/>
    <m/>
    <s v="00785"/>
    <s v="18 de Enero de 2018"/>
    <n v="18"/>
    <d v="2018-01-01T00:00:00"/>
    <s v="0,80"/>
    <s v="Cero Bolívares con 80/100"/>
  </r>
  <r>
    <n v="786"/>
    <m/>
    <s v="ü"/>
    <d v="2018-01-19T00:00:00"/>
    <n v="0.8"/>
    <x v="43"/>
    <x v="40"/>
    <s v="Calle Güigüe Nro. 88-50"/>
    <s v="Cancelación Vigilancia, mes de Enero 2018"/>
    <s v="Vigilancia"/>
    <m/>
    <s v="00786"/>
    <s v="19 de Enero de 2018"/>
    <n v="19"/>
    <d v="2018-01-01T00:00:00"/>
    <s v="0,80"/>
    <s v="Cero Bolívares con 80/100"/>
  </r>
  <r>
    <n v="787"/>
    <m/>
    <s v="ü"/>
    <d v="2018-01-19T00:00:00"/>
    <n v="2.8"/>
    <x v="87"/>
    <x v="75"/>
    <s v="Calle Güigüe Nro. 88-06"/>
    <s v="Cancelación Vigilancia, meses de Octubre 2017 a Enero 2018 y anticipo Febrero 2018 (Bs. 65.000)"/>
    <s v="Vigilancia"/>
    <m/>
    <s v="00787"/>
    <s v="19 de Enero de 2018"/>
    <n v="19"/>
    <d v="2018-01-01T00:00:00"/>
    <s v="2,80"/>
    <s v="Dos Bolívares con 80/100"/>
  </r>
  <r>
    <n v="788"/>
    <m/>
    <s v="ü"/>
    <d v="2018-01-19T00:00:00"/>
    <n v="0.4"/>
    <x v="32"/>
    <x v="30"/>
    <s v="Calle Güigüe Nro. 89-120"/>
    <s v="Colaboración Vigilancia, mes de Enero 2018"/>
    <s v="Vigilancia"/>
    <m/>
    <s v="00788"/>
    <s v="19 de Enero de 2018"/>
    <n v="19"/>
    <d v="2018-01-01T00:00:00"/>
    <s v="0,40"/>
    <s v="Cero Bolívares con 40/100"/>
  </r>
  <r>
    <n v="789"/>
    <m/>
    <s v="ü"/>
    <d v="2018-01-22T00:00:00"/>
    <n v="0.8"/>
    <x v="84"/>
    <x v="71"/>
    <s v="Calle Güigüe Nro. 89-54"/>
    <s v="Cancelación Vigilancia, mes de Febrero 2018"/>
    <s v="Vigilancia"/>
    <m/>
    <s v="00789"/>
    <s v="22 de Enero de 2018"/>
    <n v="22"/>
    <d v="2018-01-01T00:00:00"/>
    <s v="0,80"/>
    <s v="Cero Bolívares con 80/100"/>
  </r>
  <r>
    <n v="790"/>
    <m/>
    <s v="ü"/>
    <d v="2018-01-22T00:00:00"/>
    <n v="0.8"/>
    <x v="59"/>
    <x v="9"/>
    <s v="Calle Guacara Nro. 90-35"/>
    <s v="Cancelación Vigilancia, mes de Enero 2018"/>
    <s v="Vigilancia"/>
    <m/>
    <s v="00790"/>
    <s v="22 de Enero de 2018"/>
    <n v="22"/>
    <d v="2018-01-01T00:00:00"/>
    <s v="0,80"/>
    <s v="Cero Bolívares con 80/100"/>
  </r>
  <r>
    <n v="791"/>
    <m/>
    <s v="ü"/>
    <d v="2018-01-22T00:00:00"/>
    <n v="0.8"/>
    <x v="81"/>
    <x v="69"/>
    <s v="Calle Güigüe Nro. 89-65"/>
    <s v="Cancelación Vigilancia, mes de Enero 2018"/>
    <s v="Vigilancia"/>
    <m/>
    <s v="00791"/>
    <s v="22 de Enero de 2018"/>
    <n v="22"/>
    <d v="2018-01-01T00:00:00"/>
    <s v="0,80"/>
    <s v="Cero Bolívares con 80/100"/>
  </r>
  <r>
    <n v="792"/>
    <m/>
    <s v="ü"/>
    <d v="2018-01-22T00:00:00"/>
    <n v="1.5"/>
    <x v="6"/>
    <x v="6"/>
    <s v="Calle Guacara Nro. 89-60"/>
    <s v="Cancelación Vigilancia, saldo mes de Enero, Febrero 2018 y colaboración adicional"/>
    <s v="Vigilancia"/>
    <m/>
    <s v="00792"/>
    <s v="22 de Enero de 2018"/>
    <n v="22"/>
    <d v="2018-01-01T00:00:00"/>
    <s v="1,50"/>
    <s v="Un Bolívares con 50/100"/>
  </r>
  <r>
    <n v="793"/>
    <m/>
    <s v="ü"/>
    <d v="2018-01-15T00:00:00"/>
    <n v="0.5"/>
    <x v="59"/>
    <x v="9"/>
    <s v="Calle Guacara Nro. 90-35"/>
    <s v="Cancelación Vigilancia, mes de Diciembre 2017"/>
    <s v="Vigilancia"/>
    <m/>
    <s v="00793"/>
    <s v="15 de Enero de 2018"/>
    <n v="15"/>
    <d v="2018-01-01T00:00:00"/>
    <s v="0,50"/>
    <s v="Cero Bolívares con 50/100"/>
  </r>
  <r>
    <n v="794"/>
    <m/>
    <s v="ü"/>
    <d v="2018-01-23T00:00:00"/>
    <n v="0.86399999999999999"/>
    <x v="9"/>
    <x v="9"/>
    <s v="Av. &quot;M&quot; Nro. 146-30"/>
    <s v="Cancelación Vigilancia, mes de Enero 2018"/>
    <s v="Vigilancia"/>
    <m/>
    <s v="00794"/>
    <s v="23 de Enero de 2018"/>
    <n v="23"/>
    <d v="2018-01-01T00:00:00"/>
    <s v="0,86"/>
    <s v="Cero Bolívares con 86/100"/>
  </r>
  <r>
    <n v="795"/>
    <m/>
    <s v="ü"/>
    <d v="2018-01-23T00:00:00"/>
    <n v="0.8"/>
    <x v="24"/>
    <x v="22"/>
    <s v="Calle Güigüe Nro. 88-54"/>
    <s v="Cancelación Vigilancia, mes de Enero 2018"/>
    <s v="Vigilancia"/>
    <m/>
    <s v="00795"/>
    <s v="23 de Enero de 2018"/>
    <n v="23"/>
    <d v="2018-01-01T00:00:00"/>
    <s v="0,80"/>
    <s v="Cero Bolívares con 80/100"/>
  </r>
  <r>
    <n v="796"/>
    <m/>
    <s v="ü"/>
    <d v="2018-01-24T00:00:00"/>
    <n v="0.5"/>
    <x v="10"/>
    <x v="10"/>
    <s v="Av. &quot;M&quot; Nro. 146-15"/>
    <s v="Cancelación Vigilancia, mes de Diciembre 2017"/>
    <s v="Vigilancia"/>
    <m/>
    <s v="00796"/>
    <s v="24 de Enero de 2018"/>
    <n v="24"/>
    <d v="2018-01-01T00:00:00"/>
    <s v="0,50"/>
    <s v="Cero Bolívares con 50/100"/>
  </r>
  <r>
    <n v="797"/>
    <m/>
    <s v="ü"/>
    <d v="2017-12-14T00:00:00"/>
    <n v="0.5"/>
    <x v="49"/>
    <x v="46"/>
    <s v="Av. &quot;O&quot; Nro. 146-17"/>
    <s v="Cancelación Vigilancia, mes de Diciembre 2017"/>
    <s v="Vigilancia"/>
    <m/>
    <s v="00797"/>
    <s v="14 de Diciembre de 2017"/>
    <n v="14"/>
    <d v="2017-12-01T00:00:00"/>
    <s v="0,50"/>
    <s v="Cero Bolívares con 50/100"/>
  </r>
  <r>
    <n v="798"/>
    <m/>
    <s v="ü"/>
    <d v="2018-01-23T00:00:00"/>
    <n v="0.8"/>
    <x v="49"/>
    <x v="46"/>
    <s v="Av. &quot;O&quot; Nro. 146-17"/>
    <s v="Cancelación Vigilancia, mes de Enero 2018"/>
    <s v="Vigilancia"/>
    <m/>
    <s v="00798"/>
    <s v="23 de Enero de 2018"/>
    <n v="23"/>
    <d v="2018-01-01T00:00:00"/>
    <s v="0,80"/>
    <s v="Cero Bolívares con 80/100"/>
  </r>
  <r>
    <n v="799"/>
    <m/>
    <s v="ü"/>
    <d v="2018-01-24T00:00:00"/>
    <n v="1.3"/>
    <x v="76"/>
    <x v="66"/>
    <s v="Calle Güigüe Nro. 89-90"/>
    <s v="Cancelación Vigilancia, meses de Diciembre 2017 y Enero 2018"/>
    <s v="Vigilancia"/>
    <m/>
    <s v="00799"/>
    <s v="24 de Enero de 2018"/>
    <n v="24"/>
    <d v="2018-01-01T00:00:00"/>
    <s v="1,30"/>
    <s v="Un Bolívares con 30/100"/>
  </r>
  <r>
    <n v="800"/>
    <m/>
    <s v="ü"/>
    <d v="2018-01-24T00:00:00"/>
    <n v="1.1359999999999999"/>
    <x v="73"/>
    <x v="9"/>
    <s v="Calle Güigüe Nros. 88-71 y 88-81"/>
    <s v="Cancelación Vigilancia, mes de Enero 2018"/>
    <s v="Vigilancia"/>
    <m/>
    <s v="00800"/>
    <s v="24 de Enero de 2018"/>
    <n v="24"/>
    <d v="2018-01-01T00:00:00"/>
    <s v="1,14"/>
    <s v="Un Bolívares con 14/100"/>
  </r>
  <r>
    <n v="801"/>
    <m/>
    <s v="ü"/>
    <d v="2018-01-24T00:00:00"/>
    <n v="1.6"/>
    <x v="18"/>
    <x v="16"/>
    <s v="Calle Guacara Nro. 87-100"/>
    <s v="Cancelación Vigilancia, meses de Enero y Febrero 2018"/>
    <s v="Vigilancia"/>
    <m/>
    <s v="00801"/>
    <s v="24 de Enero de 2018"/>
    <n v="24"/>
    <d v="2018-01-01T00:00:00"/>
    <s v="1,60"/>
    <s v="Un Bolívares con 60/100"/>
  </r>
  <r>
    <n v="802"/>
    <m/>
    <s v="ü"/>
    <d v="2018-01-24T00:00:00"/>
    <n v="1"/>
    <x v="48"/>
    <x v="9"/>
    <s v="Calle Güigüe Nro. 88-90"/>
    <s v="Cancelación Vigilancia, meses de Noviembre y Diciembre 2017"/>
    <s v="Vigilancia"/>
    <m/>
    <s v="00802"/>
    <s v="24 de Enero de 2018"/>
    <n v="24"/>
    <d v="2018-01-01T00:00:00"/>
    <s v="1,00"/>
    <s v="Un Bolívar con 00/100"/>
  </r>
  <r>
    <n v="803"/>
    <m/>
    <s v="ü"/>
    <d v="2018-01-24T00:00:00"/>
    <n v="0.2"/>
    <x v="67"/>
    <x v="2"/>
    <s v="Calle Guacara Nro. 90-93"/>
    <s v="Colaboración Vigilancia, mes de Enero 2018"/>
    <s v="Vigilancia"/>
    <m/>
    <s v="00803"/>
    <s v="24 de Enero de 2018"/>
    <n v="24"/>
    <d v="2018-01-01T00:00:00"/>
    <s v="0,20"/>
    <s v="Cero Bolívares con 20/100"/>
  </r>
  <r>
    <n v="804"/>
    <m/>
    <s v="ü"/>
    <d v="2018-01-24T00:00:00"/>
    <n v="0.5"/>
    <x v="2"/>
    <x v="2"/>
    <s v="Calle Guacara Nro. 88-19"/>
    <s v="Colaboración Vigilancia, mes de Enero 2018"/>
    <s v="Vigilancia"/>
    <m/>
    <s v="00804"/>
    <s v="24 de Enero de 2018"/>
    <n v="24"/>
    <d v="2018-01-01T00:00:00"/>
    <s v="0,50"/>
    <s v="Cero Bolívares con 50/100"/>
  </r>
  <r>
    <n v="805"/>
    <m/>
    <s v="ü"/>
    <d v="2018-01-23T00:00:00"/>
    <n v="0.3"/>
    <x v="14"/>
    <x v="13"/>
    <s v="Calle Güigüe Nro. 89-83"/>
    <s v="Cancelación saldo Vigilancia, mes de Enero 2018"/>
    <s v="Vigilancia"/>
    <m/>
    <s v="00805"/>
    <s v="23 de Enero de 2018"/>
    <n v="23"/>
    <d v="2018-01-01T00:00:00"/>
    <s v="0,30"/>
    <s v="Cero Bolívares con 30/100"/>
  </r>
  <r>
    <n v="806"/>
    <m/>
    <s v="ü"/>
    <d v="2018-01-26T00:00:00"/>
    <n v="1"/>
    <x v="34"/>
    <x v="9"/>
    <s v="Av. &quot;O&quot; Nro. 146-11"/>
    <s v="Cancelación Vigilancia, saldo mes de Enero y anticipo mes de Febrero 2018"/>
    <s v="Vigilancia"/>
    <m/>
    <s v="00806"/>
    <s v="26 de Enero de 2018"/>
    <n v="26"/>
    <d v="2018-01-01T00:00:00"/>
    <s v="1,00"/>
    <s v="Un Bolívar con 00/100"/>
  </r>
  <r>
    <n v="807"/>
    <m/>
    <s v="ü"/>
    <d v="2018-01-27T00:00:00"/>
    <n v="0.8"/>
    <x v="26"/>
    <x v="24"/>
    <s v="Calle Güigüe Nro. 89-96"/>
    <s v="Cancelación Vigilancia, mes de Enero 2018"/>
    <s v="Vigilancia"/>
    <m/>
    <s v="00807"/>
    <s v="27 de Enero de 2018"/>
    <n v="27"/>
    <d v="2018-01-01T00:00:00"/>
    <s v="0,80"/>
    <s v="Cero Bolívares con 80/100"/>
  </r>
  <r>
    <n v="808"/>
    <m/>
    <s v="ü"/>
    <d v="2018-01-29T00:00:00"/>
    <n v="1.1000000000000001"/>
    <x v="5"/>
    <x v="5"/>
    <s v="Calle Güigüe Nro. 88-120"/>
    <s v="Cancelación Vigilancia, saldo mes de Enero y Febrero 2018"/>
    <s v="Vigilancia"/>
    <m/>
    <s v="00808"/>
    <s v="29 de Enero de 2018"/>
    <n v="29"/>
    <d v="2018-01-01T00:00:00"/>
    <s v="1,10"/>
    <s v="Un Bolívares con 10/100"/>
  </r>
  <r>
    <n v="809"/>
    <m/>
    <s v="ü"/>
    <d v="2018-01-29T00:00:00"/>
    <n v="0.8"/>
    <x v="40"/>
    <x v="37"/>
    <s v="Calle Güigüe Nro. 88-101"/>
    <s v="Cancelación Vigilancia, mes de Enero 2018"/>
    <s v="Vigilancia"/>
    <m/>
    <s v="00809"/>
    <s v="29 de Enero de 2018"/>
    <n v="29"/>
    <d v="2018-01-01T00:00:00"/>
    <s v="0,80"/>
    <s v="Cero Bolívares con 80/100"/>
  </r>
  <r>
    <n v="810"/>
    <m/>
    <s v="ü"/>
    <d v="2018-01-30T00:00:00"/>
    <n v="0.2"/>
    <x v="74"/>
    <x v="64"/>
    <s v="Calle Güigüe Nro. 88-20"/>
    <s v="Colaboración Vigilancia, meses de Enero y Febrero 2018"/>
    <s v="Vigilancia"/>
    <m/>
    <s v="00810"/>
    <s v="30 de Enero de 2018"/>
    <n v="30"/>
    <d v="2018-01-01T00:00:00"/>
    <s v="0,20"/>
    <s v="Cero Bolívares con 20/100"/>
  </r>
  <r>
    <n v="811"/>
    <m/>
    <s v="ü"/>
    <d v="2018-01-28T00:00:00"/>
    <n v="0.4"/>
    <x v="25"/>
    <x v="23"/>
    <s v="Calle Güigüe Nro. 88-58"/>
    <s v="Colaboración Vigilancia, mes de Diciembre 2017"/>
    <s v="Vigilancia"/>
    <m/>
    <s v="00811"/>
    <s v="28 de Enero de 2018"/>
    <n v="28"/>
    <d v="2018-01-01T00:00:00"/>
    <s v="0,40"/>
    <s v="Cero Bolívares con 40/100"/>
  </r>
  <r>
    <n v="812"/>
    <m/>
    <s v="ü"/>
    <d v="2018-02-01T00:00:00"/>
    <n v="2.1"/>
    <x v="37"/>
    <x v="34"/>
    <s v="Av. &quot;I&quot; Nro. 146-40"/>
    <s v="Cancelación Vigilancia, saldo Diciembre 2017 y meses de Enero y Febrero 2018"/>
    <s v="Vigilancia"/>
    <m/>
    <s v="00812"/>
    <s v="01 de Febrero de 2018"/>
    <n v="1"/>
    <d v="2018-02-01T00:00:00"/>
    <s v="2,10"/>
    <s v="Dos Bolívares con 10/100"/>
  </r>
  <r>
    <n v="813"/>
    <m/>
    <s v="ü"/>
    <d v="2018-02-01T00:00:00"/>
    <n v="0.3"/>
    <x v="57"/>
    <x v="9"/>
    <s v="Calle Güigüe Nro. 88-40"/>
    <s v="Colaboración Vigilancia, mes de Diciembre 2017"/>
    <s v="Vigilancia"/>
    <m/>
    <s v="00813"/>
    <s v="01 de Febrero de 2018"/>
    <n v="1"/>
    <d v="2018-02-01T00:00:00"/>
    <s v="0,30"/>
    <s v="Cero Bolívares con 30/100"/>
  </r>
  <r>
    <n v="814"/>
    <m/>
    <s v="ü"/>
    <d v="2018-02-01T00:00:00"/>
    <n v="2.7"/>
    <x v="69"/>
    <x v="61"/>
    <s v="Calle Güigüe Nro. 89-40"/>
    <s v="Cancelación Vigilancia, saldo Enero 2018 y meses de Febrero, Marzo y Abril 2018"/>
    <s v="Vigilancia"/>
    <m/>
    <s v="00814"/>
    <s v="01 de Febrero de 2018"/>
    <n v="1"/>
    <d v="2018-02-01T00:00:00"/>
    <s v="2,70"/>
    <s v="Dos Bolívares con 70/100"/>
  </r>
  <r>
    <n v="815"/>
    <m/>
    <s v="ü"/>
    <d v="2018-02-01T00:00:00"/>
    <n v="3.2"/>
    <x v="64"/>
    <x v="57"/>
    <s v="Calle Guacara Nro. 88-35"/>
    <s v="Cancelación Vigilancia, meses de Enero, Febrero, Marzo y Abril 2018"/>
    <s v="Vigilancia"/>
    <m/>
    <s v="00815"/>
    <s v="01 de Febrero de 2018"/>
    <n v="1"/>
    <d v="2018-02-01T00:00:00"/>
    <s v="3,20"/>
    <s v="Tres Bolívares con 20/100"/>
  </r>
  <r>
    <n v="816"/>
    <m/>
    <s v="ü"/>
    <d v="2018-02-01T00:00:00"/>
    <n v="0.5"/>
    <x v="22"/>
    <x v="20"/>
    <s v="Calle Guacara Nro. 88-25"/>
    <s v="Colaboración Vigilancia, mes de Enero 2018"/>
    <s v="Vigilancia"/>
    <m/>
    <s v="00816"/>
    <s v="01 de Febrero de 2018"/>
    <n v="1"/>
    <d v="2018-02-01T00:00:00"/>
    <s v="0,50"/>
    <s v="Cero Bolívares con 50/100"/>
  </r>
  <r>
    <n v="817"/>
    <m/>
    <s v="ü"/>
    <d v="2018-02-02T00:00:00"/>
    <n v="1.6"/>
    <x v="8"/>
    <x v="8"/>
    <s v="Calle Guacara Nro. 90-51"/>
    <s v="Cancelación Vigilancia, meses de Enero y Febrero 2018"/>
    <s v="Vigilancia"/>
    <m/>
    <s v="00817"/>
    <s v="02 de Febrero de 2018"/>
    <n v="2"/>
    <d v="2018-02-01T00:00:00"/>
    <s v="1,60"/>
    <s v="Un Bolívares con 60/100"/>
  </r>
  <r>
    <n v="818"/>
    <m/>
    <s v="ü"/>
    <d v="2018-02-02T00:00:00"/>
    <n v="1.6"/>
    <x v="46"/>
    <x v="43"/>
    <s v="Av. &quot;I&quot; Nro. 146-20"/>
    <s v="Cancelación Vigilancia, meses de Enero y Febrero 2018"/>
    <s v="Vigilancia"/>
    <m/>
    <s v="00818"/>
    <s v="02 de Febrero de 2018"/>
    <n v="2"/>
    <d v="2018-02-01T00:00:00"/>
    <s v="1,60"/>
    <s v="Un Bolívares con 60/100"/>
  </r>
  <r>
    <n v="819"/>
    <m/>
    <s v="ü"/>
    <d v="2018-02-05T00:00:00"/>
    <n v="0.8"/>
    <x v="14"/>
    <x v="13"/>
    <s v="Calle Güigüe Nro. 89-83"/>
    <s v="Cancelación Vigilancia, mes de Febrero 2018"/>
    <s v="Vigilancia"/>
    <m/>
    <s v="00819"/>
    <s v="05 de Febrero de 2018"/>
    <n v="5"/>
    <d v="2018-02-01T00:00:00"/>
    <s v="0,80"/>
    <s v="Cero Bolívares con 80/100"/>
  </r>
  <r>
    <n v="820"/>
    <m/>
    <s v="ü"/>
    <d v="2018-02-05T00:00:00"/>
    <n v="0.8"/>
    <x v="1"/>
    <x v="1"/>
    <s v="Calle Güigüe Nro. 88-44"/>
    <s v="Cancelación Vigilancia, mes de Febrero 2018"/>
    <s v="Vigilancia"/>
    <m/>
    <s v="00820"/>
    <s v="05 de Febrero de 2018"/>
    <n v="5"/>
    <d v="2018-02-01T00:00:00"/>
    <s v="0,80"/>
    <s v="Cero Bolívares con 80/100"/>
  </r>
  <r>
    <n v="821"/>
    <m/>
    <s v="ü"/>
    <d v="2018-02-05T00:00:00"/>
    <n v="0.8"/>
    <x v="0"/>
    <x v="0"/>
    <s v="Calle Guacara Nro. 88-45"/>
    <s v="Cancelación Vigilancia, mes de Febrero 2018 (saldo a favor: Bs. 800.000)"/>
    <s v="Vigilancia"/>
    <m/>
    <s v="00821"/>
    <s v="05 de Febrero de 2018"/>
    <n v="5"/>
    <d v="2018-02-01T00:00:00"/>
    <s v="0,80"/>
    <s v="Cero Bolívares con 80/100"/>
  </r>
  <r>
    <n v="822"/>
    <m/>
    <s v="ü"/>
    <d v="2018-02-05T00:00:00"/>
    <n v="0.8"/>
    <x v="75"/>
    <x v="65"/>
    <s v="Av. &quot;Ñ&quot; Nro. 145-25"/>
    <s v="Cancelación Vigilancia, mes de Febrero 2018 (saldo a favor: Bs. 865.000)"/>
    <s v="Vigilancia"/>
    <m/>
    <s v="00822"/>
    <s v="05 de Febrero de 2018"/>
    <n v="5"/>
    <d v="2018-02-01T00:00:00"/>
    <s v="0,80"/>
    <s v="Cero Bolívares con 80/100"/>
  </r>
  <r>
    <n v="823"/>
    <m/>
    <s v="ü"/>
    <d v="2018-02-06T00:00:00"/>
    <n v="0.8"/>
    <x v="4"/>
    <x v="4"/>
    <s v="Calle Güigüe Nro. 89-55"/>
    <s v="Cancelación Vigilancia, mes de Febrero 2018"/>
    <s v="Vigilancia"/>
    <m/>
    <s v="00823"/>
    <s v="06 de Febrero de 2018"/>
    <n v="6"/>
    <d v="2018-02-01T00:00:00"/>
    <s v="0,80"/>
    <s v="Cero Bolívares con 80/100"/>
  </r>
  <r>
    <n v="824"/>
    <m/>
    <s v="ü"/>
    <d v="2018-02-06T00:00:00"/>
    <n v="1.6"/>
    <x v="52"/>
    <x v="9"/>
    <s v="Calle Güigüe Nro. 89-45"/>
    <s v="Cancelación Vigilancia, saldo mes de Febrero, mes de Marzo y anticipo mes de Abril 2018"/>
    <s v="Vigilancia"/>
    <m/>
    <s v="00824"/>
    <s v="06 de Febrero de 2018"/>
    <n v="6"/>
    <d v="2018-02-01T00:00:00"/>
    <s v="1,60"/>
    <s v="Un Bolívares con 60/100"/>
  </r>
  <r>
    <n v="825"/>
    <m/>
    <s v="ü"/>
    <d v="2018-02-08T00:00:00"/>
    <n v="0.8"/>
    <x v="76"/>
    <x v="66"/>
    <s v="Calle Güigüe Nro. 89-90"/>
    <s v="Cancelación Vigilancia, mes de Febrero 2018"/>
    <s v="Vigilancia"/>
    <m/>
    <s v="00825"/>
    <s v="08 de Febrero de 2018"/>
    <n v="8"/>
    <d v="2018-02-01T00:00:00"/>
    <s v="0,80"/>
    <s v="Cero Bolívares con 80/100"/>
  </r>
  <r>
    <n v="826"/>
    <m/>
    <s v="ü"/>
    <d v="2018-02-09T00:00:00"/>
    <n v="0.4"/>
    <x v="32"/>
    <x v="30"/>
    <s v="Calle Güigüe Nro. 89-120"/>
    <s v="Colaboración Vigilancia, mes de Febrero 2018"/>
    <s v="Vigilancia"/>
    <m/>
    <s v="00826"/>
    <s v="09 de Febrero de 2018"/>
    <n v="9"/>
    <d v="2018-02-01T00:00:00"/>
    <s v="0,40"/>
    <s v="Cero Bolívares con 40/100"/>
  </r>
  <r>
    <n v="827"/>
    <m/>
    <s v="ü"/>
    <d v="2018-01-30T00:00:00"/>
    <n v="0.8"/>
    <x v="36"/>
    <x v="33"/>
    <s v="Calle Güigüe Nro. 89-10"/>
    <s v="Cancelación Vigilancia, mes de Enero 2018"/>
    <s v="Vigilancia"/>
    <m/>
    <s v="00827"/>
    <s v="30 de Enero de 2018"/>
    <n v="30"/>
    <d v="2018-01-01T00:00:00"/>
    <s v="0,80"/>
    <s v="Cero Bolívares con 80/100"/>
  </r>
  <r>
    <n v="828"/>
    <m/>
    <s v="ü"/>
    <d v="2018-01-29T00:00:00"/>
    <n v="0.8"/>
    <x v="56"/>
    <x v="52"/>
    <s v="Calle Güigüe Nro. 88-70"/>
    <s v="Cancelación Vigilancia, mes de Enero 2018"/>
    <s v="Vigilancia"/>
    <m/>
    <s v="00828"/>
    <s v="29 de Enero de 2018"/>
    <n v="29"/>
    <d v="2018-01-01T00:00:00"/>
    <s v="0,80"/>
    <s v="Cero Bolívares con 80/100"/>
  </r>
  <r>
    <n v="829"/>
    <m/>
    <s v="ü"/>
    <d v="2018-02-08T00:00:00"/>
    <n v="0.8"/>
    <x v="12"/>
    <x v="12"/>
    <s v="Calle Guacara Nro. 89-20"/>
    <s v="Cancelación saldo Vigilancia, mes de Febrero 2018"/>
    <s v="Vigilancia"/>
    <m/>
    <s v="00829"/>
    <s v="08 de Febrero de 2018"/>
    <n v="8"/>
    <d v="2018-02-01T00:00:00"/>
    <s v="0,80"/>
    <s v="Cero Bolívares con 80/100"/>
  </r>
  <r>
    <n v="830"/>
    <m/>
    <s v="ü"/>
    <d v="2018-02-09T00:00:00"/>
    <n v="0.8"/>
    <x v="20"/>
    <x v="18"/>
    <s v="Calle Guacara Nro. 89-30"/>
    <s v="Cancelación Vigilancia, mes de Febrero 2018"/>
    <s v="Vigilancia"/>
    <m/>
    <s v="00830"/>
    <s v="09 de Febrero de 2018"/>
    <n v="9"/>
    <d v="2018-02-01T00:00:00"/>
    <s v="0,80"/>
    <s v="Cero Bolívares con 80/100"/>
  </r>
  <r>
    <n v="831"/>
    <m/>
    <s v="ü"/>
    <d v="2018-02-09T00:00:00"/>
    <n v="2.8"/>
    <x v="63"/>
    <x v="56"/>
    <s v="Calle Guacara Nro. 88-85"/>
    <s v="Colaboración Vigilancia, meses de Enero, Febrero, Marzo y Abril 2018"/>
    <s v="Vigilancia"/>
    <m/>
    <s v="00831"/>
    <s v="09 de Febrero de 2018"/>
    <n v="9"/>
    <d v="2018-02-01T00:00:00"/>
    <s v="2,80"/>
    <s v="Dos Bolívares con 80/100"/>
  </r>
  <r>
    <n v="832"/>
    <m/>
    <s v="ü"/>
    <d v="2018-02-10T00:00:00"/>
    <n v="1.6"/>
    <x v="27"/>
    <x v="25"/>
    <s v="Calle Güigüe Nro. 89-106"/>
    <s v="Cancelación Vigilancia, meses de Enero y Febrero 2018"/>
    <s v="Vigilancia"/>
    <m/>
    <s v="00832"/>
    <s v="10 de Febrero de 2018"/>
    <n v="10"/>
    <d v="2018-02-01T00:00:00"/>
    <s v="1,60"/>
    <s v="Un Bolívares con 60/100"/>
  </r>
  <r>
    <n v="833"/>
    <m/>
    <s v="ü"/>
    <d v="2018-01-12T00:00:00"/>
    <n v="1"/>
    <x v="71"/>
    <x v="62"/>
    <s v="Calle Güigüe Nro. 89-71"/>
    <s v="Colaboración Vigilancia, meses de Enero y Febrero 2018"/>
    <s v="Vigilancia"/>
    <m/>
    <s v="00833"/>
    <s v="12 de Enero de 2018"/>
    <n v="12"/>
    <d v="2018-01-01T00:00:00"/>
    <s v="1,00"/>
    <s v="Un Bolívar con 00/100"/>
  </r>
  <r>
    <n v="834"/>
    <m/>
    <s v="ü"/>
    <d v="2018-01-14T00:00:00"/>
    <n v="0.8"/>
    <x v="38"/>
    <x v="35"/>
    <s v="Calle Guacara Nro. 89-78"/>
    <s v="Cancelación Vigilancia, mes de Febrero 2018"/>
    <s v="Vigilancia"/>
    <m/>
    <s v="00834"/>
    <s v="14 de Enero de 2018"/>
    <n v="14"/>
    <d v="2018-01-01T00:00:00"/>
    <s v="0,80"/>
    <s v="Cero Bolívares con 80/100"/>
  </r>
  <r>
    <n v="835"/>
    <m/>
    <s v="ü"/>
    <d v="2018-01-14T00:00:00"/>
    <n v="0.86399999999999999"/>
    <x v="9"/>
    <x v="9"/>
    <s v="Av. &quot;M&quot; Nro. 146-30"/>
    <s v="Cancelación Vigilancia, mes de Febrero 2018"/>
    <s v="Vigilancia"/>
    <m/>
    <s v="00835"/>
    <s v="14 de Enero de 2018"/>
    <n v="14"/>
    <d v="2018-01-01T00:00:00"/>
    <s v="0,86"/>
    <s v="Cero Bolívares con 86/100"/>
  </r>
  <r>
    <n v="836"/>
    <m/>
    <s v="ü"/>
    <d v="2018-02-15T00:00:00"/>
    <n v="1.1359999999999999"/>
    <x v="73"/>
    <x v="9"/>
    <s v="Calle Güigüe Nros. 88-71 y 88-81"/>
    <s v="Cancelación Vigilancia, mes de Febrero 2018"/>
    <s v="Vigilancia"/>
    <m/>
    <s v="00836"/>
    <s v="15 de Febrero de 2018"/>
    <n v="15"/>
    <d v="2018-02-01T00:00:00"/>
    <s v="1,14"/>
    <s v="Un Bolívares con 14/100"/>
  </r>
  <r>
    <n v="837"/>
    <m/>
    <s v="ü"/>
    <d v="2018-02-15T00:00:00"/>
    <n v="0.8"/>
    <x v="45"/>
    <x v="42"/>
    <s v="Calle Güigüe Nro. 87-A-11"/>
    <s v="Cancelación Vigilancia, mes de Febrero 2018"/>
    <s v="Vigilancia"/>
    <m/>
    <s v="00837"/>
    <s v="15 de Febrero de 2018"/>
    <n v="15"/>
    <d v="2018-02-01T00:00:00"/>
    <s v="0,80"/>
    <s v="Cero Bolívares con 80/100"/>
  </r>
  <r>
    <n v="838"/>
    <m/>
    <s v="ü"/>
    <d v="2018-02-15T00:00:00"/>
    <n v="0.8"/>
    <x v="30"/>
    <x v="28"/>
    <s v="Calle Güigüe Nro. 89-04"/>
    <s v="Cancelación Vigilancia, mes de Febrero 2018"/>
    <s v="Vigilancia"/>
    <m/>
    <s v="00838"/>
    <s v="15 de Febrero de 2018"/>
    <n v="15"/>
    <d v="2018-02-01T00:00:00"/>
    <s v="0,80"/>
    <s v="Cero Bolívares con 80/100"/>
  </r>
  <r>
    <n v="839"/>
    <m/>
    <s v="ü"/>
    <d v="2018-02-16T00:00:00"/>
    <n v="0.8"/>
    <x v="19"/>
    <x v="17"/>
    <s v="Calle Guacara Nro. 89-130"/>
    <s v="Cancelación Vigilancia, mes de Febrero 2018"/>
    <s v="Vigilancia"/>
    <m/>
    <s v="00839"/>
    <s v="16 de Febrero de 2018"/>
    <n v="16"/>
    <d v="2018-02-01T00:00:00"/>
    <s v="0,80"/>
    <s v="Cero Bolívares con 80/100"/>
  </r>
  <r>
    <n v="840"/>
    <m/>
    <s v="ü"/>
    <d v="2018-02-19T00:00:00"/>
    <n v="0.8"/>
    <x v="36"/>
    <x v="33"/>
    <s v="Calle Güigüe Nro. 89-10"/>
    <s v="Cancelación Vigilancia, mes de Febrero 2018"/>
    <s v="Vigilancia"/>
    <m/>
    <s v="00840"/>
    <s v="19 de Febrero de 2018"/>
    <n v="19"/>
    <d v="2018-02-01T00:00:00"/>
    <s v="0,80"/>
    <s v="Cero Bolívares con 80/100"/>
  </r>
  <r>
    <n v="841"/>
    <m/>
    <s v="ü"/>
    <d v="2018-02-20T00:00:00"/>
    <n v="0.4"/>
    <x v="68"/>
    <x v="60"/>
    <s v="Calle Güigüe Nro. 89-29"/>
    <s v="Colaboración Vigilancia, mes de Febrero 2018"/>
    <s v="Vigilancia"/>
    <m/>
    <s v="00841"/>
    <s v="20 de Febrero de 2018"/>
    <n v="20"/>
    <d v="2018-02-01T00:00:00"/>
    <s v="0,40"/>
    <s v="Cero Bolívares con 40/100"/>
  </r>
  <r>
    <n v="842"/>
    <m/>
    <s v="ü"/>
    <d v="2018-02-20T00:00:00"/>
    <n v="0.8"/>
    <x v="23"/>
    <x v="21"/>
    <s v="Calle Güigüe Nro. 88-116"/>
    <s v="Cancelación Vigilancia, mes de Febrero 2018"/>
    <s v="Vigilancia"/>
    <m/>
    <s v="00842"/>
    <s v="20 de Febrero de 2018"/>
    <n v="20"/>
    <d v="2018-02-01T00:00:00"/>
    <s v="0,80"/>
    <s v="Cero Bolívares con 80/100"/>
  </r>
  <r>
    <n v="843"/>
    <m/>
    <s v="ü"/>
    <d v="2018-02-20T00:00:00"/>
    <n v="0.8"/>
    <x v="24"/>
    <x v="22"/>
    <s v="Calle Güigüe Nro. 88-54"/>
    <s v="Cancelación Vigilancia, mes de Febrero 2018"/>
    <s v="Vigilancia"/>
    <m/>
    <s v="00843"/>
    <s v="20 de Febrero de 2018"/>
    <n v="20"/>
    <d v="2018-02-01T00:00:00"/>
    <s v="0,80"/>
    <s v="Cero Bolívares con 80/100"/>
  </r>
  <r>
    <n v="844"/>
    <m/>
    <s v="ü"/>
    <d v="2018-02-20T00:00:00"/>
    <n v="0.5"/>
    <x v="2"/>
    <x v="2"/>
    <s v="Calle Guacara Nro. 88-19"/>
    <s v="Colaboración Vigilancia, mes de Febrero 2018"/>
    <s v="Vigilancia"/>
    <m/>
    <s v="00844"/>
    <s v="20 de Febrero de 2018"/>
    <n v="20"/>
    <d v="2018-02-01T00:00:00"/>
    <s v="0,50"/>
    <s v="Cero Bolívares con 50/100"/>
  </r>
  <r>
    <n v="845"/>
    <m/>
    <s v="ü"/>
    <d v="2018-02-20T00:00:00"/>
    <n v="0.2"/>
    <x v="67"/>
    <x v="2"/>
    <s v="Calle Guacara Nro. 90-93"/>
    <s v="Colaboración Vigilancia, mes de Febrero 2018"/>
    <s v="Vigilancia"/>
    <m/>
    <s v="00845"/>
    <s v="20 de Febrero de 2018"/>
    <n v="20"/>
    <d v="2018-02-01T00:00:00"/>
    <s v="0,20"/>
    <s v="Cero Bolívares con 20/100"/>
  </r>
  <r>
    <n v="846"/>
    <m/>
    <s v="ü"/>
    <d v="2018-02-21T00:00:00"/>
    <n v="0.8"/>
    <x v="25"/>
    <x v="23"/>
    <s v="Calle Güigüe Nro. 88-58"/>
    <s v="Cancelación Vigilancia, mes de Febrero 2018"/>
    <s v="Vigilancia"/>
    <m/>
    <s v="00846"/>
    <s v="21 de Febrero de 2018"/>
    <n v="21"/>
    <d v="2018-02-01T00:00:00"/>
    <s v="0,80"/>
    <s v="Cero Bolívares con 80/100"/>
  </r>
  <r>
    <n v="847"/>
    <m/>
    <s v="ü"/>
    <d v="2018-02-22T00:00:00"/>
    <n v="1.5"/>
    <x v="3"/>
    <x v="3"/>
    <s v="Calle Güigüe Nro. 88-62"/>
    <s v="Colaboración Vigilancia, meses de Enero y Febrero 2018"/>
    <s v="Vigilancia"/>
    <m/>
    <s v="00847"/>
    <s v="22 de Febrero de 2018"/>
    <n v="22"/>
    <d v="2018-02-01T00:00:00"/>
    <s v="1,50"/>
    <s v="Un Bolívares con 50/100"/>
  </r>
  <r>
    <n v="848"/>
    <m/>
    <s v="ü"/>
    <d v="2018-02-23T00:00:00"/>
    <n v="1.1499999999999999"/>
    <x v="29"/>
    <x v="27"/>
    <s v="Calle Guacara Nro. 88-75"/>
    <s v="Cancelación Vigilancia, mes de Febrero 2018"/>
    <s v="Vigilancia"/>
    <m/>
    <s v="00848"/>
    <s v="23 de Febrero de 2018"/>
    <n v="23"/>
    <d v="2018-02-01T00:00:00"/>
    <s v="1,15"/>
    <s v="Un Bolívares con 15/100"/>
  </r>
  <r>
    <n v="849"/>
    <m/>
    <s v="ü"/>
    <d v="2018-02-24T00:00:00"/>
    <n v="2.4"/>
    <x v="60"/>
    <x v="54"/>
    <s v="Calle Guacara Nro. 88-51"/>
    <s v="Cancelación Vigilancia, meses de Marzo, Abril y Mayo 2018"/>
    <s v="Vigilancia"/>
    <m/>
    <s v="00849"/>
    <s v="24 de Febrero de 2018"/>
    <n v="24"/>
    <d v="2018-02-01T00:00:00"/>
    <s v="2,40"/>
    <s v="Dos Bolívares con 40/100"/>
  </r>
  <r>
    <n v="850"/>
    <m/>
    <s v="ü"/>
    <d v="2018-02-24T00:00:00"/>
    <n v="0.8"/>
    <x v="42"/>
    <x v="39"/>
    <s v="Calle Güigüe Nro. 89-79"/>
    <s v="Cancelación Vigilancia, mes de Febrero 2018"/>
    <s v="Vigilancia"/>
    <m/>
    <s v="00850"/>
    <s v="24 de Febrero de 2018"/>
    <n v="24"/>
    <d v="2018-02-01T00:00:00"/>
    <s v="0,80"/>
    <s v="Cero Bolívares con 80/100"/>
  </r>
  <r>
    <n v="851"/>
    <m/>
    <s v="ü"/>
    <d v="2018-02-25T00:00:00"/>
    <n v="0.8"/>
    <x v="43"/>
    <x v="40"/>
    <s v="Calle Güigüe Nro. 88-50"/>
    <s v="Cancelación Vigilancia, mes de Febrero 2018"/>
    <s v="Vigilancia"/>
    <m/>
    <s v="00851"/>
    <s v="25 de Febrero de 2018"/>
    <n v="25"/>
    <d v="2018-02-01T00:00:00"/>
    <s v="0,80"/>
    <s v="Cero Bolívares con 80/100"/>
  </r>
  <r>
    <n v="852"/>
    <m/>
    <s v="ü"/>
    <d v="2018-02-25T00:00:00"/>
    <n v="0.8"/>
    <x v="18"/>
    <x v="16"/>
    <s v="Calle Guacara Nro. 87-100"/>
    <s v="Cancelación Vigilancia, mes de Marzo 2018"/>
    <s v="Vigilancia"/>
    <m/>
    <s v="00852"/>
    <s v="25 de Febrero de 2018"/>
    <n v="25"/>
    <d v="2018-02-01T00:00:00"/>
    <s v="0,80"/>
    <s v="Cero Bolívares con 80/100"/>
  </r>
  <r>
    <n v="853"/>
    <m/>
    <s v="ü"/>
    <d v="2018-02-26T00:00:00"/>
    <n v="0.8"/>
    <x v="10"/>
    <x v="10"/>
    <s v="Av. &quot;M&quot; Nro. 146-15"/>
    <s v="Cancelación Vigilancia, mes de Enero 2018"/>
    <s v="Vigilancia"/>
    <m/>
    <s v="00853"/>
    <s v="26 de Febrero de 2018"/>
    <n v="26"/>
    <d v="2018-02-01T00:00:00"/>
    <s v="0,80"/>
    <s v="Cero Bolívares con 80/100"/>
  </r>
  <r>
    <n v="854"/>
    <m/>
    <s v="ü"/>
    <d v="2018-02-26T00:00:00"/>
    <n v="0.8"/>
    <x v="35"/>
    <x v="32"/>
    <s v="Calle Güigüe Nro. 89-80"/>
    <s v="Cancelación Vigilancia, mes de Febrero 2018"/>
    <s v="Vigilancia"/>
    <m/>
    <s v="00854"/>
    <s v="26 de Febrero de 2018"/>
    <n v="26"/>
    <d v="2018-02-01T00:00:00"/>
    <s v="0,80"/>
    <s v="Cero Bolívares con 80/100"/>
  </r>
  <r>
    <n v="855"/>
    <m/>
    <s v="ü"/>
    <d v="2018-02-26T00:00:00"/>
    <n v="2.6"/>
    <x v="31"/>
    <x v="29"/>
    <s v="Calle Güigüe Nro. 89-95"/>
    <s v="Cancelación Vigilancia, meses de Diciembre 2017, Enero, Febrero y anticipo de Marzo 2018"/>
    <s v="Vigilancia"/>
    <m/>
    <s v="00855"/>
    <s v="26 de Febrero de 2018"/>
    <n v="26"/>
    <d v="2018-02-01T00:00:00"/>
    <s v="2,60"/>
    <s v="Dos Bolívares con 60/100"/>
  </r>
  <r>
    <n v="856"/>
    <m/>
    <s v="ü"/>
    <d v="2018-02-24T00:00:00"/>
    <n v="0.5"/>
    <x v="86"/>
    <x v="73"/>
    <s v="Calle Guacara Nro. 89-50"/>
    <s v="Colaboración Vigilancia, mes de Marzo 2018"/>
    <s v="Vigilancia"/>
    <m/>
    <s v="00856"/>
    <s v="24 de Febrero de 2018"/>
    <n v="24"/>
    <d v="2018-02-01T00:00:00"/>
    <s v="0,50"/>
    <s v="Cero Bolívares con 50/100"/>
  </r>
  <r>
    <n v="857"/>
    <m/>
    <s v="ü"/>
    <d v="2018-02-25T00:00:00"/>
    <n v="0.8"/>
    <x v="88"/>
    <x v="76"/>
    <s v="Calle Güigüe Nro. 88-11"/>
    <s v="Cancelación Vigilancia, mes de Febrero 2018"/>
    <s v="Vigilancia"/>
    <m/>
    <s v="00857"/>
    <s v="25 de Febrero de 2018"/>
    <n v="25"/>
    <d v="2018-02-01T00:00:00"/>
    <s v="0,80"/>
    <s v="Cero Bolívares con 80/100"/>
  </r>
  <r>
    <n v="858"/>
    <m/>
    <s v="ü"/>
    <d v="2018-02-26T00:00:00"/>
    <n v="1"/>
    <x v="16"/>
    <x v="15"/>
    <s v="Calle Guacara Nro. 90-81"/>
    <s v="Cancelación Vigilancia, mes de Febrero 2018"/>
    <s v="Vigilancia"/>
    <m/>
    <s v="00858"/>
    <s v="26 de Febrero de 2018"/>
    <n v="26"/>
    <d v="2018-02-01T00:00:00"/>
    <s v="1,00"/>
    <s v="Un Bolívar con 00/100"/>
  </r>
  <r>
    <n v="859"/>
    <m/>
    <s v="ü"/>
    <d v="2018-01-22T00:00:00"/>
    <n v="0.1245"/>
    <x v="54"/>
    <x v="50"/>
    <s v="Calle Güigüe Nro. 89-21"/>
    <s v="Anticipo Vigilancia, mes de Enero 2018 (anticipo al Sr. Francisco en su primer día de trabajo)"/>
    <s v="Vigilancia"/>
    <m/>
    <s v="00859"/>
    <s v="22 de Enero de 2018"/>
    <n v="22"/>
    <d v="2018-01-01T00:00:00"/>
    <s v="0,12"/>
    <s v="Cero Bolívares con 12/100"/>
  </r>
  <r>
    <n v="860"/>
    <m/>
    <s v="ü"/>
    <d v="2018-02-26T00:00:00"/>
    <n v="1"/>
    <x v="54"/>
    <x v="50"/>
    <s v="Calle Güigüe Nro. 89-21"/>
    <s v="Cancelación Vigilancia, saldo mes de Enero, Febrero y anticipo Marzo 2018"/>
    <s v="Vigilancia"/>
    <m/>
    <s v="00860"/>
    <s v="26 de Febrero de 2018"/>
    <n v="26"/>
    <d v="2018-02-01T00:00:00"/>
    <s v="1,00"/>
    <s v="Un Bolívar con 00/100"/>
  </r>
  <r>
    <n v="861"/>
    <m/>
    <s v="ü"/>
    <d v="2018-02-27T00:00:00"/>
    <n v="1.6"/>
    <x v="80"/>
    <x v="9"/>
    <s v="Calle Guacara Nro. 88-55"/>
    <s v="Cancelación Vigilancia, meses de Enero y Febrero 2018"/>
    <s v="Vigilancia"/>
    <m/>
    <s v="00861"/>
    <s v="27 de Febrero de 2018"/>
    <n v="27"/>
    <d v="2018-02-01T00:00:00"/>
    <s v="1,60"/>
    <s v="Un Bolívares con 60/100"/>
  </r>
  <r>
    <n v="862"/>
    <m/>
    <s v="ü"/>
    <d v="2018-02-27T00:00:00"/>
    <n v="0.3"/>
    <x v="28"/>
    <x v="26"/>
    <s v="Calle Güigüe Nro. 88-30"/>
    <s v="Colaboración Vigilancia, meses de Diciembre 2017, Enero y Febrero 2018"/>
    <s v="Vigilancia"/>
    <m/>
    <s v="00862"/>
    <s v="27 de Febrero de 2018"/>
    <n v="27"/>
    <d v="2018-02-01T00:00:00"/>
    <s v="0,30"/>
    <s v="Cero Bolívares con 30/100"/>
  </r>
  <r>
    <n v="863"/>
    <m/>
    <s v="ü"/>
    <d v="2018-02-27T00:00:00"/>
    <n v="0.8"/>
    <x v="40"/>
    <x v="37"/>
    <s v="Calle Güigüe Nro. 88-101"/>
    <s v="Cancelación Vigilancia, mes de Febrero 2018"/>
    <s v="Vigilancia"/>
    <m/>
    <s v="00863"/>
    <s v="27 de Febrero de 2018"/>
    <n v="27"/>
    <d v="2018-02-01T00:00:00"/>
    <s v="0,80"/>
    <s v="Cero Bolívares con 80/100"/>
  </r>
  <r>
    <n v="864"/>
    <m/>
    <s v="ü"/>
    <d v="2018-02-27T00:00:00"/>
    <n v="0.8"/>
    <x v="56"/>
    <x v="52"/>
    <s v="Calle Güigüe Nro. 88-70"/>
    <s v="Cancelación Vigilancia, mes de Febrero 2018"/>
    <s v="Vigilancia"/>
    <m/>
    <s v="00864"/>
    <s v="27 de Febrero de 2018"/>
    <n v="27"/>
    <d v="2018-02-01T00:00:00"/>
    <s v="0,80"/>
    <s v="Cero Bolívares con 80/100"/>
  </r>
  <r>
    <n v="865"/>
    <m/>
    <s v="ü"/>
    <d v="2018-02-28T00:00:00"/>
    <n v="2"/>
    <x v="6"/>
    <x v="6"/>
    <s v="Calle Guacara Nro. 89-60"/>
    <s v="Cancelación Vigilancia, mes de Marzo 2018 y aporte especial"/>
    <s v="Vigilancia"/>
    <m/>
    <s v="00865"/>
    <s v="28 de Febrero de 2018"/>
    <n v="28"/>
    <d v="2018-02-01T00:00:00"/>
    <s v="2,00"/>
    <s v="Dos Bolívares con 00/100"/>
  </r>
  <r>
    <n v="866"/>
    <m/>
    <s v="ü"/>
    <d v="2018-02-28T00:00:00"/>
    <n v="0.8"/>
    <x v="26"/>
    <x v="24"/>
    <s v="Calle Güigüe Nro. 89-96"/>
    <s v="Cancelación Vigilancia, mes de Febrero 2018"/>
    <s v="Vigilancia"/>
    <m/>
    <s v="00866"/>
    <s v="28 de Febrero de 2018"/>
    <n v="28"/>
    <d v="2018-02-01T00:00:00"/>
    <s v="0,80"/>
    <s v="Cero Bolívares con 80/100"/>
  </r>
  <r>
    <n v="867"/>
    <m/>
    <s v="ü"/>
    <d v="2018-02-28T00:00:00"/>
    <n v="1.8"/>
    <x v="44"/>
    <x v="41"/>
    <s v="Calle Guacara Nro. 89-40"/>
    <s v="Cancelación Vigilancia, meses de Enero y Febrero 2018"/>
    <s v="Vigilancia"/>
    <m/>
    <s v="00867"/>
    <s v="28 de Febrero de 2018"/>
    <n v="28"/>
    <d v="2018-02-01T00:00:00"/>
    <s v="1,80"/>
    <s v="Un Bolívares con 80/100"/>
  </r>
  <r>
    <n v="868"/>
    <m/>
    <s v="ü"/>
    <d v="2018-02-28T00:00:00"/>
    <n v="1.6"/>
    <x v="81"/>
    <x v="69"/>
    <s v="Calle Güigüe Nro. 89-65"/>
    <s v="Cancelación Vigilancia, meses de Febrero y Marzo 2018"/>
    <s v="Vigilancia"/>
    <m/>
    <s v="00868"/>
    <s v="28 de Febrero de 2018"/>
    <n v="28"/>
    <d v="2018-02-01T00:00:00"/>
    <s v="1,60"/>
    <s v="Un Bolívares con 60/100"/>
  </r>
  <r>
    <n v="869"/>
    <m/>
    <s v="ü"/>
    <d v="2018-03-01T00:00:00"/>
    <n v="1.3"/>
    <x v="20"/>
    <x v="18"/>
    <s v="Calle Guacara Nro. 89-30"/>
    <s v="Cancelación Vigilancia, anticipo mes de Marzo 2018"/>
    <s v="Vigilancia"/>
    <m/>
    <s v="00869"/>
    <s v="01 de Marzo de 2018"/>
    <n v="1"/>
    <d v="2018-03-01T00:00:00"/>
    <s v="1,30"/>
    <s v="Un Bolívares con 30/100"/>
  </r>
  <r>
    <n v="870"/>
    <m/>
    <s v="ü"/>
    <d v="2018-03-01T00:00:00"/>
    <n v="1.4"/>
    <x v="84"/>
    <x v="71"/>
    <s v="Calle Güigüe Nro. 89-54"/>
    <s v="Cancelación Vigilancia, mes de Marzo 2018"/>
    <s v="Vigilancia"/>
    <m/>
    <s v="00870"/>
    <s v="01 de Marzo de 2018"/>
    <n v="1"/>
    <d v="2018-03-01T00:00:00"/>
    <s v="1,40"/>
    <s v="Un Bolívares con 40/100"/>
  </r>
  <r>
    <n v="871"/>
    <m/>
    <s v="ü"/>
    <d v="2018-03-02T00:00:00"/>
    <n v="0.1"/>
    <x v="20"/>
    <x v="18"/>
    <s v="Calle Guacara Nro. 89-30"/>
    <s v="Cancelación Vigilancia, saldo mes de Marzo 2018"/>
    <s v="Vigilancia"/>
    <m/>
    <s v="00871"/>
    <s v="02 de Marzo de 2018"/>
    <n v="2"/>
    <d v="2018-03-01T00:00:00"/>
    <s v="0,10"/>
    <s v="Cero Bolívares con 10/100"/>
  </r>
  <r>
    <n v="872"/>
    <m/>
    <s v="ü"/>
    <d v="2018-03-02T00:00:00"/>
    <n v="1.4"/>
    <x v="14"/>
    <x v="13"/>
    <s v="Calle Güigüe Nro. 89-83"/>
    <s v="Cancelación Vigilancia, mes de Marzo 2018"/>
    <s v="Vigilancia"/>
    <m/>
    <s v="00872"/>
    <s v="02 de Marzo de 2018"/>
    <n v="2"/>
    <d v="2018-03-01T00:00:00"/>
    <s v="1,40"/>
    <s v="Un Bolívares con 40/100"/>
  </r>
  <r>
    <n v="873"/>
    <m/>
    <s v="ü"/>
    <d v="2018-03-02T00:00:00"/>
    <n v="1.8"/>
    <x v="52"/>
    <x v="9"/>
    <s v="Calle Güigüe Nro. 89-45"/>
    <s v="Cancelación Vigilancia, saldo meses de Marzo y Abril 2018 (saldo a favor: Bs. 393.000)"/>
    <s v="Vigilancia"/>
    <m/>
    <s v="00873"/>
    <s v="02 de Marzo de 2018"/>
    <n v="2"/>
    <d v="2018-03-01T00:00:00"/>
    <s v="1,80"/>
    <s v="Un Bolívares con 80/100"/>
  </r>
  <r>
    <n v="874"/>
    <m/>
    <s v="ü"/>
    <d v="2018-03-02T00:00:00"/>
    <n v="1.7"/>
    <x v="34"/>
    <x v="9"/>
    <s v="Av. &quot;O&quot; Nro. 146-11"/>
    <s v="Cancelación Vigilancia, saldo mes de Febrero y cancelación mes de Marzo 2018"/>
    <s v="Vigilancia"/>
    <m/>
    <s v="00874"/>
    <s v="02 de Marzo de 2018"/>
    <n v="2"/>
    <d v="2018-03-01T00:00:00"/>
    <s v="1,70"/>
    <s v="Un Bolívares con 70/100"/>
  </r>
  <r>
    <n v="875"/>
    <m/>
    <s v="ü"/>
    <d v="2018-03-02T00:00:00"/>
    <n v="0.8"/>
    <x v="65"/>
    <x v="58"/>
    <s v="Calle Güigüe Nro. 88-10"/>
    <s v="Cancelación Vigilancia, mes de Febrero 2018"/>
    <s v="Vigilancia"/>
    <m/>
    <s v="00875"/>
    <s v="02 de Marzo de 2018"/>
    <n v="2"/>
    <d v="2018-03-01T00:00:00"/>
    <s v="0,80"/>
    <s v="Cero Bolívares con 80/100"/>
  </r>
  <r>
    <n v="876"/>
    <m/>
    <s v="ü"/>
    <d v="2018-03-02T00:00:00"/>
    <n v="1"/>
    <x v="15"/>
    <x v="14"/>
    <s v="Calle Guacara Nro. 89-94"/>
    <s v="Colaboración Vigilancia, meses de Febrero y Marzo 2018"/>
    <s v="Vigilancia"/>
    <m/>
    <s v="00876"/>
    <s v="02 de Marzo de 2018"/>
    <n v="2"/>
    <d v="2018-03-01T00:00:00"/>
    <s v="1,00"/>
    <s v="Un Bolívar con 00/100"/>
  </r>
  <r>
    <n v="877"/>
    <m/>
    <s v="ü"/>
    <d v="2018-03-02T00:00:00"/>
    <n v="1.4"/>
    <x v="0"/>
    <x v="0"/>
    <s v="Calle Guacara Nro. 88-45"/>
    <s v="Cancelación Vigilancia, mes de Marzo 2018 (saldo a favor: Bs. 660.000)"/>
    <s v="Vigilancia"/>
    <m/>
    <s v="00877"/>
    <s v="02 de Marzo de 2018"/>
    <n v="2"/>
    <d v="2018-03-01T00:00:00"/>
    <s v="1,40"/>
    <s v="Un Bolívares con 40/100"/>
  </r>
  <r>
    <n v="878"/>
    <m/>
    <s v="ü"/>
    <d v="2018-03-05T00:00:00"/>
    <n v="2"/>
    <x v="7"/>
    <x v="7"/>
    <s v="Calle Guacara Nro. 87-86"/>
    <s v="Colaboración Vigilancia, meses de Febrero y Marzo, y anticipo Abril 2018"/>
    <s v="Vigilancia"/>
    <m/>
    <s v="00878"/>
    <s v="05 de Marzo de 2018"/>
    <n v="5"/>
    <d v="2018-03-01T00:00:00"/>
    <s v="2,00"/>
    <s v="Dos Bolívares con 00/100"/>
  </r>
  <r>
    <n v="879"/>
    <m/>
    <s v="ü"/>
    <d v="2018-01-22T00:00:00"/>
    <n v="0.8"/>
    <x v="59"/>
    <x v="9"/>
    <s v="Calle Guacara Nro. 90-35"/>
    <s v="Cancelación Vigilancia, mes de Febrero 2018"/>
    <s v="Vigilancia"/>
    <m/>
    <s v="00879"/>
    <s v="22 de Enero de 2018"/>
    <n v="22"/>
    <d v="2018-01-01T00:00:00"/>
    <s v="0,80"/>
    <s v="Cero Bolívares con 80/100"/>
  </r>
  <r>
    <n v="880"/>
    <m/>
    <s v="ü"/>
    <d v="2018-03-07T00:00:00"/>
    <n v="1.4"/>
    <x v="12"/>
    <x v="12"/>
    <s v="Calle Guacara Nro. 89-20"/>
    <s v="Cancelación saldo Vigilancia, mes de Marzo 2018"/>
    <s v="Vigilancia"/>
    <m/>
    <s v="00880"/>
    <s v="07 de Marzo de 2018"/>
    <n v="7"/>
    <d v="2018-03-01T00:00:00"/>
    <s v="1,40"/>
    <s v="Un Bolívares con 40/100"/>
  </r>
  <r>
    <n v="881"/>
    <m/>
    <s v="ü"/>
    <d v="2018-03-07T00:00:00"/>
    <n v="1.6"/>
    <x v="48"/>
    <x v="9"/>
    <s v="Calle Güigüe Nro. 88-90"/>
    <s v="Cancelación Vigilancia, meses de Enero y Febrero 2018"/>
    <s v="Vigilancia"/>
    <m/>
    <s v="00881"/>
    <s v="07 de Marzo de 2018"/>
    <n v="7"/>
    <d v="2018-03-01T00:00:00"/>
    <s v="1,60"/>
    <s v="Un Bolívares con 60/100"/>
  </r>
  <r>
    <n v="882"/>
    <m/>
    <s v="ü"/>
    <d v="2018-03-07T00:00:00"/>
    <n v="1.4"/>
    <x v="1"/>
    <x v="1"/>
    <s v="Calle Güigüe Nro. 88-44"/>
    <s v="Cancelación Vigilancia, mes de Marzo 2018"/>
    <s v="Vigilancia"/>
    <m/>
    <s v="00882"/>
    <s v="07 de Marzo de 2018"/>
    <n v="7"/>
    <d v="2018-03-01T00:00:00"/>
    <s v="1,40"/>
    <s v="Un Bolívares con 40/100"/>
  </r>
  <r>
    <n v="883"/>
    <m/>
    <s v="ü"/>
    <d v="2018-03-09T00:00:00"/>
    <n v="1.4"/>
    <x v="5"/>
    <x v="5"/>
    <s v="Calle Güigüe Nro. 88-120"/>
    <s v="Cancelación Vigilancia, mes de Marzo 2018"/>
    <s v="Vigilancia"/>
    <m/>
    <s v="00883"/>
    <s v="09 de Marzo de 2018"/>
    <n v="9"/>
    <d v="2018-03-01T00:00:00"/>
    <s v="1,40"/>
    <s v="Un Bolívares con 40/100"/>
  </r>
  <r>
    <n v="884"/>
    <m/>
    <s v="ü"/>
    <d v="2018-03-09T00:00:00"/>
    <n v="1.4"/>
    <x v="75"/>
    <x v="65"/>
    <s v="Av. &quot;Ñ&quot; Nro. 145-25"/>
    <s v="Cancelación Vigilancia, mes de Marzo 2018 (saldo a favor: Bs. 725.000)"/>
    <s v="Vigilancia"/>
    <m/>
    <s v="00884"/>
    <s v="09 de Marzo de 2018"/>
    <n v="9"/>
    <d v="2018-03-01T00:00:00"/>
    <s v="1,40"/>
    <s v="Un Bolívares con 40/100"/>
  </r>
  <r>
    <n v="885"/>
    <m/>
    <s v="ü"/>
    <d v="2018-03-12T00:00:00"/>
    <n v="1.4"/>
    <x v="35"/>
    <x v="32"/>
    <s v="Calle Güigüe Nro. 89-80"/>
    <s v="Cancelación Vigilancia, mes de Marzo 2018"/>
    <s v="Vigilancia"/>
    <m/>
    <s v="00885"/>
    <s v="12 de Marzo de 2018"/>
    <n v="12"/>
    <d v="2018-03-01T00:00:00"/>
    <s v="1,40"/>
    <s v="Un Bolívares con 40/100"/>
  </r>
  <r>
    <n v="886"/>
    <m/>
    <s v="ü"/>
    <d v="2018-03-12T00:00:00"/>
    <n v="0.8"/>
    <x v="22"/>
    <x v="20"/>
    <s v="Calle Guacara Nro. 88-25"/>
    <s v="Cancelación Vigilancia, mes de Febrero 2018"/>
    <s v="Vigilancia"/>
    <m/>
    <s v="00886"/>
    <s v="12 de Marzo de 2018"/>
    <n v="12"/>
    <d v="2018-03-01T00:00:00"/>
    <s v="0,80"/>
    <s v="Cero Bolívares con 80/100"/>
  </r>
  <r>
    <n v="887"/>
    <m/>
    <s v="ü"/>
    <d v="2018-03-12T00:00:00"/>
    <n v="2.2000000000000002"/>
    <x v="49"/>
    <x v="46"/>
    <s v="Av. &quot;O&quot; Nro. 146-17"/>
    <s v="Cancelación Vigilancia, meses de Febrero y Marzo 2018"/>
    <s v="Vigilancia"/>
    <m/>
    <s v="00887"/>
    <s v="12 de Marzo de 2018"/>
    <n v="12"/>
    <d v="2018-03-01T00:00:00"/>
    <s v="2,20"/>
    <s v="Dos Bolívares con 20/100"/>
  </r>
  <r>
    <n v="888"/>
    <m/>
    <s v="ü"/>
    <d v="2018-02-22T00:00:00"/>
    <n v="0.3"/>
    <x v="57"/>
    <x v="9"/>
    <s v="Calle Güigüe Nro. 88-40"/>
    <s v="Colaboración Vigilancia, mes de Enero 2018"/>
    <s v="Vigilancia"/>
    <m/>
    <s v="00888"/>
    <s v="22 de Febrero de 2018"/>
    <n v="22"/>
    <d v="2018-02-01T00:00:00"/>
    <s v="0,30"/>
    <s v="Cero Bolívares con 30/100"/>
  </r>
  <r>
    <n v="889"/>
    <m/>
    <s v="ü"/>
    <d v="2018-03-02T00:00:00"/>
    <n v="1.4"/>
    <x v="19"/>
    <x v="17"/>
    <s v="Calle Guacara Nro. 89-130"/>
    <s v="Cancelación Vigilancia, mes de Marzo 2018"/>
    <s v="Vigilancia"/>
    <m/>
    <s v="00889"/>
    <s v="02 de Marzo de 2018"/>
    <n v="2"/>
    <d v="2018-03-01T00:00:00"/>
    <s v="1,40"/>
    <s v="Un Bolívares con 40/100"/>
  </r>
  <r>
    <n v="890"/>
    <m/>
    <s v="ü"/>
    <d v="2018-03-13T00:00:00"/>
    <n v="4.5"/>
    <x v="61"/>
    <x v="14"/>
    <s v="Calle Guacara Nro. 87-07"/>
    <s v="Cancelación Vigilancia, meses de Enero, Febrero, Marzo y Abril, y anticipo Mayo 2018"/>
    <s v="Vigilancia"/>
    <m/>
    <s v="00890"/>
    <s v="13 de Marzo de 2018"/>
    <n v="13"/>
    <d v="2018-03-01T00:00:00"/>
    <s v="4,50"/>
    <s v="Cuatro Bolívares con 50/100"/>
  </r>
  <r>
    <n v="891"/>
    <m/>
    <s v="ü"/>
    <d v="2018-03-14T00:00:00"/>
    <n v="1.4"/>
    <x v="38"/>
    <x v="35"/>
    <s v="Calle Guacara Nro. 89-78"/>
    <s v="Cancelación Vigilancia, mes de Marzo 2018"/>
    <s v="Vigilancia"/>
    <m/>
    <s v="00891"/>
    <s v="14 de Marzo de 2018"/>
    <n v="14"/>
    <d v="2018-03-01T00:00:00"/>
    <s v="1,40"/>
    <s v="Un Bolívares con 40/100"/>
  </r>
  <r>
    <n v="892"/>
    <m/>
    <s v="ü"/>
    <d v="2018-03-14T00:00:00"/>
    <n v="1.4"/>
    <x v="24"/>
    <x v="22"/>
    <s v="Calle Güigüe Nro. 88-54"/>
    <s v="Cancelación Vigilancia, mes de Marzo 2018"/>
    <s v="Vigilancia"/>
    <m/>
    <s v="00892"/>
    <s v="14 de Marzo de 2018"/>
    <n v="14"/>
    <d v="2018-03-01T00:00:00"/>
    <s v="1,40"/>
    <s v="Un Bolívares con 40/100"/>
  </r>
  <r>
    <n v="893"/>
    <m/>
    <s v="ü"/>
    <d v="2018-03-14T00:00:00"/>
    <n v="3"/>
    <x v="24"/>
    <x v="22"/>
    <s v="Calle Güigüe Nro. 88-54"/>
    <s v="Venta de tubería "/>
    <s v="Otros"/>
    <m/>
    <s v="00893"/>
    <s v="14 de Marzo de 2018"/>
    <n v="14"/>
    <d v="2018-03-01T00:00:00"/>
    <s v="3,00"/>
    <s v="Tres Bolívares con 00/100"/>
  </r>
  <r>
    <n v="894"/>
    <m/>
    <s v="ü"/>
    <d v="2018-03-14T00:00:00"/>
    <n v="1.4"/>
    <x v="30"/>
    <x v="28"/>
    <s v="Calle Güigüe Nro. 89-04"/>
    <s v="Cancelación Vigilancia, mes de Marzo 2018"/>
    <s v="Vigilancia"/>
    <m/>
    <s v="00894"/>
    <s v="14 de Marzo de 2018"/>
    <n v="14"/>
    <d v="2018-03-01T00:00:00"/>
    <s v="1,40"/>
    <s v="Un Bolívares con 40/100"/>
  </r>
  <r>
    <n v="895"/>
    <m/>
    <s v="ü"/>
    <d v="2018-03-14T00:00:00"/>
    <n v="0.4"/>
    <x v="60"/>
    <x v="54"/>
    <s v="Calle Guacara Nro. 88-51"/>
    <s v="Cancelación ajuste de Vigilancia, meses de Marzo y Abril 2018"/>
    <s v="Vigilancia"/>
    <m/>
    <s v="00895"/>
    <s v="14 de Marzo de 2018"/>
    <n v="14"/>
    <d v="2018-03-01T00:00:00"/>
    <s v="0,40"/>
    <s v="Cero Bolívares con 40/100"/>
  </r>
  <r>
    <n v="896"/>
    <m/>
    <s v="ü"/>
    <d v="2018-03-16T00:00:00"/>
    <n v="1.4"/>
    <x v="4"/>
    <x v="4"/>
    <s v="Calle Güigüe Nro. 89-55"/>
    <s v="Cancelación Vigilancia, mes de Marzo 2018"/>
    <s v="Vigilancia"/>
    <m/>
    <s v="00896"/>
    <s v="16 de Marzo de 2018"/>
    <n v="16"/>
    <d v="2018-03-01T00:00:00"/>
    <s v="1,40"/>
    <s v="Un Bolívares con 40/100"/>
  </r>
  <r>
    <n v="897"/>
    <m/>
    <s v="ü"/>
    <d v="2018-03-16T00:00:00"/>
    <n v="1.55"/>
    <x v="9"/>
    <x v="9"/>
    <s v="Av. &quot;M&quot; Nro. 146-30"/>
    <s v="Cancelación Vigilancia, mes de Marzo 2018"/>
    <s v="Vigilancia"/>
    <m/>
    <s v="00897"/>
    <s v="16 de Marzo de 2018"/>
    <n v="16"/>
    <d v="2018-03-01T00:00:00"/>
    <s v="1,55"/>
    <s v="Un Bolívares con 55/100"/>
  </r>
  <r>
    <n v="898"/>
    <m/>
    <s v="ü"/>
    <d v="2018-03-19T00:00:00"/>
    <n v="0.8"/>
    <x v="68"/>
    <x v="60"/>
    <s v="Calle Güigüe Nro. 89-29"/>
    <s v="Colaboración Vigilancia, mes de Marzo 2018"/>
    <s v="Vigilancia"/>
    <m/>
    <s v="00898"/>
    <s v="19 de Marzo de 2018"/>
    <n v="19"/>
    <d v="2018-03-01T00:00:00"/>
    <s v="0,80"/>
    <s v="Cero Bolívares con 80/100"/>
  </r>
  <r>
    <n v="899"/>
    <m/>
    <s v="ü"/>
    <d v="2018-03-20T00:00:00"/>
    <n v="4.7"/>
    <x v="62"/>
    <x v="55"/>
    <s v="Av. &quot;M&quot; Nro. 145-10"/>
    <s v="Cancelación Vigilancia, meses de Septiembre a Diciembre 2017 y Enero a Marzo 2018"/>
    <s v="Vigilancia"/>
    <m/>
    <s v="00899"/>
    <s v="20 de Marzo de 2018"/>
    <n v="20"/>
    <d v="2018-03-01T00:00:00"/>
    <s v="4,70"/>
    <s v="Cuatro Bolívares con 70/100"/>
  </r>
  <r>
    <n v="900"/>
    <m/>
    <s v="ü"/>
    <d v="2018-03-20T00:00:00"/>
    <n v="1.4"/>
    <x v="45"/>
    <x v="42"/>
    <s v="Calle Güigüe Nro. 87-A-11"/>
    <s v="Cancelación Vigilancia, mes de Marzo 2018"/>
    <s v="Vigilancia"/>
    <m/>
    <s v="00900"/>
    <s v="20 de Marzo de 2018"/>
    <n v="20"/>
    <d v="2018-03-01T00:00:00"/>
    <s v="1,40"/>
    <s v="Un Bolívares con 40/100"/>
  </r>
  <r>
    <n v="901"/>
    <m/>
    <s v="ü"/>
    <d v="2018-02-28T00:00:00"/>
    <n v="0.8"/>
    <x v="10"/>
    <x v="10"/>
    <s v="Av. &quot;M&quot; Nro. 146-15"/>
    <s v="Cancelación Vigilancia, mes de Febrero 2018"/>
    <s v="Vigilancia"/>
    <m/>
    <s v="00901"/>
    <s v="28 de Febrero de 2018"/>
    <n v="28"/>
    <d v="2018-02-01T00:00:00"/>
    <s v="0,80"/>
    <s v="Cero Bolívares con 80/100"/>
  </r>
  <r>
    <n v="902"/>
    <m/>
    <s v="ü"/>
    <d v="2018-03-21T00:00:00"/>
    <n v="2"/>
    <x v="73"/>
    <x v="9"/>
    <s v="Calle Güigüe Nros. 88-71 y 88-81"/>
    <s v="Cancelación Vigilancia, mes de Marzo 2018"/>
    <s v="Vigilancia"/>
    <m/>
    <s v="00902"/>
    <s v="21 de Marzo de 2018"/>
    <n v="21"/>
    <d v="2018-03-01T00:00:00"/>
    <s v="2,00"/>
    <s v="Dos Bolívares con 00/100"/>
  </r>
  <r>
    <n v="903"/>
    <m/>
    <s v="ü"/>
    <d v="2018-03-21T00:00:00"/>
    <n v="3"/>
    <x v="21"/>
    <x v="19"/>
    <s v="Calle Güigüe Nro. 89-105"/>
    <s v="Cancelación Vigilancia, meses de Enero, Febrero y Marzo 2018"/>
    <s v="Vigilancia"/>
    <m/>
    <s v="00903"/>
    <s v="21 de Marzo de 2018"/>
    <n v="21"/>
    <d v="2018-03-01T00:00:00"/>
    <s v="3,00"/>
    <s v="Tres Bolívares con 00/100"/>
  </r>
  <r>
    <n v="904"/>
    <m/>
    <s v="ü"/>
    <d v="2018-03-21T00:00:00"/>
    <n v="2.2000000000000002"/>
    <x v="17"/>
    <x v="74"/>
    <s v="Av. &quot;M&quot; Nro. 146-20"/>
    <s v="Cancelación Vigilancia, meses de Febrero y Marzo 2018"/>
    <s v="Vigilancia"/>
    <m/>
    <s v="00904"/>
    <s v="21 de Marzo de 2018"/>
    <n v="21"/>
    <d v="2018-03-01T00:00:00"/>
    <s v="2,20"/>
    <s v="Dos Bolívares con 20/100"/>
  </r>
  <r>
    <n v="905"/>
    <m/>
    <s v="ü"/>
    <d v="2018-03-21T00:00:00"/>
    <n v="2.5"/>
    <x v="31"/>
    <x v="29"/>
    <s v="Calle Güigüe Nro. 89-95"/>
    <s v="Cancelación Vigilancia, saldo mes de Marzo, y anticipo meses de Abril y Mayo 2018"/>
    <s v="Vigilancia"/>
    <m/>
    <s v="00905"/>
    <s v="21 de Marzo de 2018"/>
    <n v="21"/>
    <d v="2018-03-01T00:00:00"/>
    <s v="2,50"/>
    <s v="Dos Bolívares con 50/100"/>
  </r>
  <r>
    <n v="906"/>
    <m/>
    <s v="ü"/>
    <d v="2018-03-23T00:00:00"/>
    <n v="1.8"/>
    <x v="59"/>
    <x v="9"/>
    <s v="Calle Guacara Nro. 90-35"/>
    <s v="Cancelación Vigilancia, mes de Marzo y anticipo Abril 2018"/>
    <s v="Vigilancia"/>
    <m/>
    <s v="00906"/>
    <s v="23 de Marzo de 2018"/>
    <n v="23"/>
    <d v="2018-03-01T00:00:00"/>
    <s v="1,80"/>
    <s v="Un Bolívares con 80/100"/>
  </r>
  <r>
    <n v="907"/>
    <m/>
    <s v="ü"/>
    <d v="2018-03-23T00:00:00"/>
    <n v="1.4"/>
    <x v="23"/>
    <x v="21"/>
    <s v="Calle Güigüe Nro. 88-116"/>
    <s v="Cancelación Vigilancia, mes de Marzo 2018"/>
    <s v="Vigilancia"/>
    <m/>
    <s v="00907"/>
    <s v="23 de Marzo de 2018"/>
    <n v="23"/>
    <d v="2018-03-01T00:00:00"/>
    <s v="1,40"/>
    <s v="Un Bolívares con 40/100"/>
  </r>
  <r>
    <n v="908"/>
    <m/>
    <s v="ü"/>
    <d v="2018-03-26T00:00:00"/>
    <n v="1.2"/>
    <x v="69"/>
    <x v="61"/>
    <s v="Calle Güigüe Nro. 89-40"/>
    <s v="Cancelación saldo Vigilancia, meses de Marzo y Abril 2018"/>
    <s v="Vigilancia"/>
    <m/>
    <s v="00908"/>
    <s v="26 de Marzo de 2018"/>
    <n v="26"/>
    <d v="2018-03-01T00:00:00"/>
    <s v="1,20"/>
    <s v="Un Bolívares con 20/100"/>
  </r>
  <r>
    <n v="909"/>
    <m/>
    <s v="ü"/>
    <d v="2018-03-26T00:00:00"/>
    <n v="1.4"/>
    <x v="26"/>
    <x v="24"/>
    <s v="Calle Güigüe Nro. 89-96"/>
    <s v="Cancelación Vigilancia, mes de Marzo 2018"/>
    <s v="Vigilancia"/>
    <m/>
    <s v="00909"/>
    <s v="26 de Marzo de 2018"/>
    <n v="26"/>
    <d v="2018-03-01T00:00:00"/>
    <s v="1,40"/>
    <s v="Un Bolívares con 40/100"/>
  </r>
  <r>
    <n v="910"/>
    <m/>
    <s v="ü"/>
    <d v="2018-03-26T00:00:00"/>
    <n v="3"/>
    <x v="47"/>
    <x v="44"/>
    <s v="Calle Güigüe Nro. 88-80"/>
    <s v="Colaboración Vigilancia, meses de Enero, Febrero y Marzo 2017"/>
    <s v="Vigilancia"/>
    <m/>
    <s v="00910"/>
    <s v="26 de Marzo de 2018"/>
    <n v="26"/>
    <d v="2018-03-01T00:00:00"/>
    <s v="3,00"/>
    <s v="Tres Bolívares con 00/100"/>
  </r>
  <r>
    <n v="911"/>
    <m/>
    <s v="ü"/>
    <d v="2018-03-26T00:00:00"/>
    <n v="2.8"/>
    <x v="27"/>
    <x v="25"/>
    <s v="Calle Güigüe Nro. 89-106"/>
    <s v="Cancelación Vigilancia, meses de Marzo y Abril 2018"/>
    <s v="Vigilancia"/>
    <m/>
    <s v="00911"/>
    <s v="26 de Marzo de 2018"/>
    <n v="26"/>
    <d v="2018-03-01T00:00:00"/>
    <s v="2,80"/>
    <s v="Dos Bolívares con 80/100"/>
  </r>
  <r>
    <n v="912"/>
    <m/>
    <s v="ü"/>
    <d v="2018-03-26T00:00:00"/>
    <n v="3"/>
    <x v="28"/>
    <x v="77"/>
    <s v="Calle Güigüe Nro. 88-30"/>
    <s v="Colaboración Vigilancia, meses de Marzo, Abril y Mayo 2018"/>
    <s v="Vigilancia"/>
    <m/>
    <s v="00912"/>
    <s v="26 de Marzo de 2018"/>
    <n v="26"/>
    <d v="2018-03-01T00:00:00"/>
    <s v="3,00"/>
    <s v="Tres Bolívares con 00/100"/>
  </r>
  <r>
    <n v="913"/>
    <m/>
    <s v="ü"/>
    <d v="2018-03-26T00:00:00"/>
    <n v="1.4"/>
    <x v="36"/>
    <x v="33"/>
    <s v="Calle Güigüe Nro. 89-10"/>
    <s v="Cancelación Vigilancia, mes de Marzo 2018"/>
    <s v="Vigilancia"/>
    <m/>
    <s v="00913"/>
    <s v="26 de Marzo de 2018"/>
    <n v="26"/>
    <d v="2018-03-01T00:00:00"/>
    <s v="1,40"/>
    <s v="Un Bolívares con 40/100"/>
  </r>
  <r>
    <n v="914"/>
    <m/>
    <s v="ü"/>
    <d v="2018-03-28T00:00:00"/>
    <n v="1.4"/>
    <x v="43"/>
    <x v="40"/>
    <s v="Calle Güigüe Nro. 88-50"/>
    <s v="Cancelación Vigilancia, mes de Marzo 2018"/>
    <s v="Vigilancia"/>
    <m/>
    <s v="00914"/>
    <s v="28 de Marzo de 2018"/>
    <n v="28"/>
    <d v="2018-03-01T00:00:00"/>
    <s v="1,40"/>
    <s v="Un Bolívares con 40/100"/>
  </r>
  <r>
    <n v="915"/>
    <m/>
    <s v="ü"/>
    <d v="2018-03-28T00:00:00"/>
    <n v="4"/>
    <x v="83"/>
    <x v="70"/>
    <s v="Calle Güigüe Nro. 89-22"/>
    <s v="Cancelación Vigilancia, meses de Noviembre y Diciembre 2017 y de Enero a Marzo 2018"/>
    <s v="Vigilancia"/>
    <m/>
    <s v="00915"/>
    <s v="28 de Marzo de 2018"/>
    <n v="28"/>
    <d v="2018-03-01T00:00:00"/>
    <s v="4,00"/>
    <s v="Cuatro Bolívares con 00/100"/>
  </r>
  <r>
    <n v="916"/>
    <m/>
    <s v="ü"/>
    <d v="2018-03-28T00:00:00"/>
    <n v="2.7755000000000001"/>
    <x v="54"/>
    <x v="50"/>
    <s v="Calle Güigüe Nro. 89-21"/>
    <s v="Cancelación Vigilancia, saldo mes de Marzo y mes de Abril 2018"/>
    <s v="Vigilancia"/>
    <m/>
    <s v="00916"/>
    <s v="28 de Marzo de 2018"/>
    <n v="28"/>
    <d v="2018-03-01T00:00:00"/>
    <s v="2,78"/>
    <s v="Dos Bolívares con 78/100"/>
  </r>
  <r>
    <n v="917"/>
    <m/>
    <s v="ü"/>
    <d v="2018-03-28T00:00:00"/>
    <n v="1.4"/>
    <x v="56"/>
    <x v="52"/>
    <s v="Calle Güigüe Nro. 88-70"/>
    <s v="Cancelación Vigilancia, mes de Marzo 2018"/>
    <s v="Vigilancia"/>
    <m/>
    <s v="00917"/>
    <s v="28 de Marzo de 2018"/>
    <n v="28"/>
    <d v="2018-03-01T00:00:00"/>
    <s v="1,40"/>
    <s v="Un Bolívares con 40/100"/>
  </r>
  <r>
    <n v="918"/>
    <m/>
    <s v="ü"/>
    <d v="2018-03-30T00:00:00"/>
    <n v="1.4"/>
    <x v="42"/>
    <x v="39"/>
    <s v="Calle Güigüe Nro. 89-79"/>
    <s v="Cancelación Vigilancia, mes de Marzo 2018 (saldo a favor: Bs. 700.000)"/>
    <s v="Vigilancia"/>
    <m/>
    <s v="00918"/>
    <s v="30 de Marzo de 2018"/>
    <n v="30"/>
    <d v="2018-03-01T00:00:00"/>
    <s v="1,40"/>
    <s v="Un Bolívares con 40/100"/>
  </r>
  <r>
    <n v="919"/>
    <m/>
    <s v="ü"/>
    <d v="2018-03-30T00:00:00"/>
    <n v="0.5"/>
    <x v="2"/>
    <x v="2"/>
    <s v="Calle Guacara Nro. 88-19"/>
    <s v="Colaboración Vigilancia, mes de Marzo 2018"/>
    <s v="Vigilancia"/>
    <m/>
    <s v="00919"/>
    <s v="30 de Marzo de 2018"/>
    <n v="30"/>
    <d v="2018-03-01T00:00:00"/>
    <s v="0,50"/>
    <s v="Cero Bolívares con 50/100"/>
  </r>
  <r>
    <n v="920"/>
    <m/>
    <s v="ü"/>
    <d v="2018-03-30T00:00:00"/>
    <n v="4.2"/>
    <x v="11"/>
    <x v="11"/>
    <s v="Calle Guacara Nro. 89-86"/>
    <s v="Cancelación Vigilancia, meses de Marzo, Abril y Mayo 2018"/>
    <s v="Vigilancia"/>
    <m/>
    <s v="00920"/>
    <s v="30 de Marzo de 2018"/>
    <n v="30"/>
    <d v="2018-03-01T00:00:00"/>
    <s v="4,20"/>
    <s v="Cuatro Bolívares con 20/100"/>
  </r>
  <r>
    <n v="921"/>
    <m/>
    <s v="ü"/>
    <d v="2018-04-02T00:00:00"/>
    <n v="0.5"/>
    <x v="2"/>
    <x v="2"/>
    <s v="Calle Guacara Nro. 88-19"/>
    <s v="Colaboración Vigilancia, complemento mes de Marzo 2018"/>
    <s v="Vigilancia"/>
    <m/>
    <s v="00921"/>
    <s v="02 de Abril de 2018"/>
    <n v="2"/>
    <d v="2018-04-01T00:00:00"/>
    <s v="0,50"/>
    <s v="Cero Bolívares con 50/100"/>
  </r>
  <r>
    <n v="922"/>
    <m/>
    <s v="ü"/>
    <d v="2018-04-04T00:00:00"/>
    <n v="2"/>
    <x v="18"/>
    <x v="16"/>
    <s v="Calle Guacara Nro. 87-100"/>
    <s v="Vigilancia, saldo mes de Marzo y cancelación mes de Abril 2018"/>
    <s v="Vigilancia"/>
    <m/>
    <s v="00922"/>
    <s v="04 de Abril de 2018"/>
    <n v="4"/>
    <d v="2018-04-01T00:00:00"/>
    <s v="2,00"/>
    <s v="Dos Bolívares con 00/100"/>
  </r>
  <r>
    <n v="923"/>
    <m/>
    <s v="ü"/>
    <d v="2018-04-03T00:00:00"/>
    <n v="2.8"/>
    <x v="76"/>
    <x v="66"/>
    <s v="Calle Güigüe Nro. 89-90"/>
    <s v="Cancelación Vigilancia, meses de Marzo y Abril 2018"/>
    <s v="Vigilancia"/>
    <m/>
    <s v="00923"/>
    <s v="03 de Abril de 2018"/>
    <n v="3"/>
    <d v="2018-04-01T00:00:00"/>
    <s v="2,80"/>
    <s v="Dos Bolívares con 80/100"/>
  </r>
  <r>
    <n v="924"/>
    <m/>
    <s v="ü"/>
    <d v="2018-04-04T00:00:00"/>
    <n v="1.4"/>
    <x v="1"/>
    <x v="1"/>
    <s v="Calle Güigüe Nro. 88-44"/>
    <s v="Cancelación Vigilancia, mes de Abril 2018"/>
    <s v="Vigilancia"/>
    <m/>
    <s v="00924"/>
    <s v="04 de Abril de 2018"/>
    <n v="4"/>
    <d v="2018-04-01T00:00:00"/>
    <s v="1,40"/>
    <s v="Un Bolívares con 40/100"/>
  </r>
  <r>
    <n v="925"/>
    <m/>
    <s v="ü"/>
    <d v="2018-04-04T00:00:00"/>
    <n v="0.5"/>
    <x v="86"/>
    <x v="73"/>
    <s v="Calle Guacara Nro. 89-50"/>
    <s v="Colaboración Vigilancia, mes de Abril 2018"/>
    <s v="Vigilancia"/>
    <m/>
    <s v="00925"/>
    <s v="04 de Abril de 2018"/>
    <n v="4"/>
    <d v="2018-04-01T00:00:00"/>
    <s v="0,50"/>
    <s v="Cero Bolívares con 50/100"/>
  </r>
  <r>
    <n v="926"/>
    <m/>
    <s v="ü"/>
    <d v="2018-04-04T00:00:00"/>
    <n v="1.4"/>
    <x v="20"/>
    <x v="18"/>
    <s v="Calle Guacara Nro. 89-30"/>
    <s v="Cancelación Vigilancia, mes de Abril 2018"/>
    <s v="Vigilancia"/>
    <m/>
    <s v="00926"/>
    <s v="04 de Abril de 2018"/>
    <n v="4"/>
    <d v="2018-04-01T00:00:00"/>
    <s v="1,40"/>
    <s v="Un Bolívares con 40/100"/>
  </r>
  <r>
    <n v="927"/>
    <m/>
    <s v="ü"/>
    <d v="2018-04-04T00:00:00"/>
    <n v="0.6"/>
    <x v="20"/>
    <x v="18"/>
    <s v="Calle Guacara Nro. 89-30"/>
    <s v="Anticipo Vigilancia, mes de Junio 2018"/>
    <s v="Vigilancia"/>
    <m/>
    <s v="00927"/>
    <s v="04 de Abril de 2018"/>
    <n v="4"/>
    <d v="2018-04-01T00:00:00"/>
    <s v="0,60"/>
    <s v="Cero Bolívares con 60/100"/>
  </r>
  <r>
    <n v="928"/>
    <m/>
    <s v="ü"/>
    <d v="2018-04-04T00:00:00"/>
    <n v="2.5"/>
    <x v="6"/>
    <x v="6"/>
    <s v="Calle Guacara Nro. 89-60"/>
    <s v="Cancelación Vigilancia, mes de Abril 2018 y aporte especial"/>
    <s v="Vigilancia"/>
    <m/>
    <s v="00928"/>
    <s v="04 de Abril de 2018"/>
    <n v="4"/>
    <d v="2018-04-01T00:00:00"/>
    <s v="2,50"/>
    <s v="Dos Bolívares con 50/100"/>
  </r>
  <r>
    <n v="929"/>
    <m/>
    <s v="ü"/>
    <d v="2018-04-04T00:00:00"/>
    <n v="1.4"/>
    <x v="84"/>
    <x v="71"/>
    <s v="Calle Güigüe Nro. 89-54"/>
    <s v="Cancelación Vigilancia, mes de Abril 2018"/>
    <s v="Vigilancia"/>
    <m/>
    <s v="00929"/>
    <s v="04 de Abril de 2018"/>
    <n v="4"/>
    <d v="2018-04-01T00:00:00"/>
    <s v="1,40"/>
    <s v="Un Bolívares con 40/100"/>
  </r>
  <r>
    <n v="930"/>
    <m/>
    <s v="ü"/>
    <d v="2018-04-04T00:00:00"/>
    <n v="2.8"/>
    <x v="16"/>
    <x v="15"/>
    <s v="Calle Guacara Nro. 90-81"/>
    <s v="Cancelación Vigilancia, meses de Marzo y Abril 2018"/>
    <s v="Vigilancia"/>
    <m/>
    <s v="00930"/>
    <s v="04 de Abril de 2018"/>
    <n v="4"/>
    <d v="2018-04-01T00:00:00"/>
    <s v="2,80"/>
    <s v="Dos Bolívares con 80/100"/>
  </r>
  <r>
    <n v="931"/>
    <m/>
    <s v="ü"/>
    <d v="2018-04-04T00:00:00"/>
    <n v="1.2"/>
    <x v="16"/>
    <x v="15"/>
    <s v="Calle Guacara Nro. 90-81"/>
    <s v="Colaboración mantenimiento Caseta de Vigilancia"/>
    <s v="Caseta Vigilancia"/>
    <m/>
    <s v="00931"/>
    <s v="04 de Abril de 2018"/>
    <n v="4"/>
    <d v="2018-04-01T00:00:00"/>
    <s v="1,20"/>
    <s v="Un Bolívares con 20/100"/>
  </r>
  <r>
    <n v="932"/>
    <m/>
    <s v="ü"/>
    <d v="2018-04-05T00:00:00"/>
    <n v="1.4"/>
    <x v="0"/>
    <x v="0"/>
    <s v="Calle Guacara Nro. 88-45"/>
    <s v="Cancelación Vigilancia, mes de Abril 2018 (saldo a favor: Bs. 520.000)"/>
    <s v="Vigilancia"/>
    <m/>
    <s v="00932"/>
    <s v="05 de Abril de 2018"/>
    <n v="5"/>
    <d v="2018-04-01T00:00:00"/>
    <s v="1,40"/>
    <s v="Un Bolívares con 40/100"/>
  </r>
  <r>
    <n v="933"/>
    <m/>
    <s v="ü"/>
    <d v="2018-04-05T00:00:00"/>
    <n v="1.4"/>
    <x v="75"/>
    <x v="65"/>
    <s v="Av. &quot;Ñ&quot; Nro. 145-25"/>
    <s v="Cancelación Vigilancia, mes de Abril 2018 (saldo a favor: Bs. 585.000)"/>
    <s v="Vigilancia"/>
    <m/>
    <s v="00933"/>
    <s v="05 de Abril de 2018"/>
    <n v="5"/>
    <d v="2018-04-01T00:00:00"/>
    <s v="1,40"/>
    <s v="Un Bolívares con 40/100"/>
  </r>
  <r>
    <n v="934"/>
    <m/>
    <s v="ü"/>
    <d v="2018-04-05T00:00:00"/>
    <n v="1.4"/>
    <x v="42"/>
    <x v="39"/>
    <s v="Calle Güigüe Nro. 89-79"/>
    <s v="Cancelación Vigilancia, mes de Abril 2018 (saldo a favor: Bs. 560.000)"/>
    <s v="Vigilancia"/>
    <m/>
    <s v="00934"/>
    <s v="05 de Abril de 2018"/>
    <n v="5"/>
    <d v="2018-04-01T00:00:00"/>
    <s v="1,40"/>
    <s v="Un Bolívares con 40/100"/>
  </r>
  <r>
    <n v="935"/>
    <m/>
    <s v="ü"/>
    <d v="2018-04-05T00:00:00"/>
    <n v="3"/>
    <x v="8"/>
    <x v="78"/>
    <s v="Calle Guacara Nro. 90-51"/>
    <s v="Cancelación Vigilancia, meses de Marzo y Abril 2018 y aporte especial"/>
    <s v="Vigilancia"/>
    <m/>
    <s v="00935"/>
    <s v="05 de Abril de 2018"/>
    <n v="5"/>
    <d v="2018-04-01T00:00:00"/>
    <s v="3,00"/>
    <s v="Tres Bolívares con 00/100"/>
  </r>
  <r>
    <n v="936"/>
    <m/>
    <s v="ü"/>
    <d v="2018-04-05T00:00:00"/>
    <n v="1.4"/>
    <x v="12"/>
    <x v="12"/>
    <s v="Calle Guacara Nro. 89-20"/>
    <s v="Cancelación Vigilancia, mes de Abril 2018"/>
    <s v="Vigilancia"/>
    <m/>
    <s v="00936"/>
    <s v="05 de Abril de 2018"/>
    <n v="5"/>
    <d v="2018-04-01T00:00:00"/>
    <s v="1,40"/>
    <s v="Un Bolívares con 40/100"/>
  </r>
  <r>
    <n v="937"/>
    <m/>
    <s v="ü"/>
    <d v="2018-04-05T00:00:00"/>
    <n v="1.4"/>
    <x v="44"/>
    <x v="41"/>
    <s v="Calle Guacara Nro. 89-40"/>
    <s v="Colaboración Vigilancia, mes de Marzo 2018"/>
    <s v="Vigilancia"/>
    <m/>
    <s v="00937"/>
    <s v="05 de Abril de 2018"/>
    <n v="5"/>
    <d v="2018-04-01T00:00:00"/>
    <s v="1,40"/>
    <s v="Un Bolívares con 40/100"/>
  </r>
  <r>
    <n v="938"/>
    <m/>
    <s v="ü"/>
    <d v="2018-04-05T00:00:00"/>
    <n v="2.8"/>
    <x v="88"/>
    <x v="76"/>
    <s v="Calle Güigüe Nro. 88-11"/>
    <s v="Cancelación Vigilancia, meses de Marzo y Abril 2018"/>
    <s v="Vigilancia"/>
    <m/>
    <s v="00938"/>
    <s v="05 de Abril de 2018"/>
    <n v="5"/>
    <d v="2018-04-01T00:00:00"/>
    <s v="2,80"/>
    <s v="Dos Bolívares con 80/100"/>
  </r>
  <r>
    <n v="939"/>
    <m/>
    <s v="ü"/>
    <d v="2018-04-05T00:00:00"/>
    <n v="0.8"/>
    <x v="15"/>
    <x v="14"/>
    <s v="Calle Guacara Nro. 89-94"/>
    <s v="Colaboración Vigilancia, mes de Abril 2018"/>
    <s v="Vigilancia"/>
    <m/>
    <s v="00939"/>
    <s v="05 de Abril de 2018"/>
    <n v="5"/>
    <d v="2018-04-01T00:00:00"/>
    <s v="0,80"/>
    <s v="Cero Bolívares con 80/100"/>
  </r>
  <r>
    <n v="940"/>
    <m/>
    <s v="ü"/>
    <d v="2018-04-05T00:00:00"/>
    <n v="1.4"/>
    <x v="5"/>
    <x v="5"/>
    <s v="Calle Güigüe Nro. 88-120"/>
    <s v="Cancelación Vigilancia, mes de Abril 2018"/>
    <s v="Vigilancia"/>
    <m/>
    <s v="00940"/>
    <s v="05 de Abril de 2018"/>
    <n v="5"/>
    <d v="2018-04-01T00:00:00"/>
    <s v="1,40"/>
    <s v="Un Bolívares con 40/100"/>
  </r>
  <r>
    <n v="941"/>
    <m/>
    <s v="ü"/>
    <d v="2018-04-05T00:00:00"/>
    <n v="0.6"/>
    <x v="5"/>
    <x v="5"/>
    <s v="Calle Güigüe Nro. 88-120"/>
    <s v="Colaboración mantenimiento Caseta de Vigilancia"/>
    <s v="Caseta Vigilancia"/>
    <m/>
    <s v="00941"/>
    <s v="05 de Abril de 2018"/>
    <n v="5"/>
    <d v="2018-04-01T00:00:00"/>
    <s v="0,60"/>
    <s v="Cero Bolívares con 60/100"/>
  </r>
  <r>
    <n v="942"/>
    <m/>
    <s v="ü"/>
    <d v="2017-12-09T00:00:00"/>
    <n v="0.5"/>
    <x v="26"/>
    <x v="24"/>
    <s v="Calle Güigüe Nro. 89-96"/>
    <s v="Cancelación Vigilancia, mes de Diciembre 2017"/>
    <s v="Vigilancia"/>
    <m/>
    <s v="00942"/>
    <s v="09 de Diciembre de 2017"/>
    <n v="9"/>
    <d v="2017-12-01T00:00:00"/>
    <s v="0,50"/>
    <s v="Cero Bolívares con 50/100"/>
  </r>
  <r>
    <n v="943"/>
    <m/>
    <s v="ü"/>
    <d v="2018-04-06T00:00:00"/>
    <n v="1.4"/>
    <x v="10"/>
    <x v="10"/>
    <s v="Av. &quot;M&quot; Nro. 146-15"/>
    <s v="Cancelación Vigilancia, mes de Marzo 2018"/>
    <s v="Vigilancia"/>
    <m/>
    <s v="00943"/>
    <s v="06 de Abril de 2018"/>
    <n v="6"/>
    <d v="2018-04-01T00:00:00"/>
    <s v="1,40"/>
    <s v="Un Bolívares con 40/100"/>
  </r>
  <r>
    <n v="944"/>
    <m/>
    <s v="ü"/>
    <d v="2018-04-06T00:00:00"/>
    <n v="2.6"/>
    <x v="37"/>
    <x v="34"/>
    <s v="Av. &quot;I&quot; Nro. 146-40"/>
    <s v="Cancelación Vigilancia, meses de Marzo y Abril 2018"/>
    <s v="Vigilancia"/>
    <m/>
    <s v="00944"/>
    <s v="06 de Abril de 2018"/>
    <n v="6"/>
    <d v="2018-04-01T00:00:00"/>
    <s v="2,60"/>
    <s v="Dos Bolívares con 60/100"/>
  </r>
  <r>
    <n v="945"/>
    <m/>
    <s v="ü"/>
    <d v="2018-04-07T00:00:00"/>
    <n v="0.8"/>
    <x v="7"/>
    <x v="7"/>
    <s v="Calle Guacara Nro. 87-86"/>
    <s v="Colaboración Vigilancia, saldo mes de Abril 2018"/>
    <s v="Vigilancia"/>
    <m/>
    <s v="00945"/>
    <s v="07 de Abril de 2018"/>
    <n v="7"/>
    <d v="2018-04-01T00:00:00"/>
    <s v="0,80"/>
    <s v="Cero Bolívares con 80/100"/>
  </r>
  <r>
    <n v="946"/>
    <m/>
    <s v="ü"/>
    <d v="2018-04-08T00:00:00"/>
    <n v="2"/>
    <x v="22"/>
    <x v="20"/>
    <s v="Calle Guacara Nro. 88-25"/>
    <s v="Colaboración Vigilancia, meses de Marzo y Abril 2018"/>
    <s v="Vigilancia"/>
    <m/>
    <s v="00946"/>
    <s v="08 de Abril de 2018"/>
    <n v="8"/>
    <d v="2018-04-01T00:00:00"/>
    <s v="2,00"/>
    <s v="Dos Bolívares con 00/100"/>
  </r>
  <r>
    <n v="947"/>
    <m/>
    <s v="ü"/>
    <d v="2018-04-08T00:00:00"/>
    <n v="1.4"/>
    <x v="34"/>
    <x v="9"/>
    <s v="Av. &quot;O&quot; Nro. 146-11"/>
    <s v="Cancelación Vigilancia, mes de Abril 2018"/>
    <s v="Vigilancia"/>
    <m/>
    <s v="00947"/>
    <s v="08 de Abril de 2018"/>
    <n v="8"/>
    <d v="2018-04-01T00:00:00"/>
    <s v="1,40"/>
    <s v="Un Bolívares con 40/100"/>
  </r>
  <r>
    <n v="948"/>
    <m/>
    <s v="ü"/>
    <d v="2018-04-10T00:00:00"/>
    <n v="2.8"/>
    <x v="65"/>
    <x v="58"/>
    <s v="Calle Güigüe Nro. 88-10"/>
    <s v="Cancelación Vigilancia, meses de Marzo y Abril 2018"/>
    <s v="Vigilancia"/>
    <m/>
    <s v="00948"/>
    <s v="10 de Abril de 2018"/>
    <n v="10"/>
    <d v="2018-04-01T00:00:00"/>
    <s v="2,80"/>
    <s v="Dos Bolívares con 80/100"/>
  </r>
  <r>
    <n v="949"/>
    <m/>
    <s v="ü"/>
    <d v="2018-04-10T00:00:00"/>
    <n v="2"/>
    <x v="81"/>
    <x v="69"/>
    <s v="Calle Güigüe Nro. 89-65"/>
    <s v="Cancelación Vigilancia, saldo mes de Marzo y cancelación mes de Abril 2018"/>
    <s v="Vigilancia"/>
    <m/>
    <s v="00949"/>
    <s v="10 de Abril de 2018"/>
    <n v="10"/>
    <d v="2018-04-01T00:00:00"/>
    <s v="2,00"/>
    <s v="Dos Bolívares con 00/100"/>
  </r>
  <r>
    <n v="950"/>
    <m/>
    <s v="ü"/>
    <d v="2018-04-11T00:00:00"/>
    <n v="2"/>
    <x v="73"/>
    <x v="9"/>
    <s v="Calle Güigüe Nros. 88-71 y 88-81"/>
    <s v="Cancelación Vigilancia, mes de Abril 2018"/>
    <s v="Vigilancia"/>
    <m/>
    <s v="00950"/>
    <s v="11 de Abril de 2018"/>
    <n v="11"/>
    <d v="2018-04-01T00:00:00"/>
    <s v="2,00"/>
    <s v="Dos Bolívares con 00/100"/>
  </r>
  <r>
    <n v="951"/>
    <m/>
    <s v="ü"/>
    <d v="2018-04-11T00:00:00"/>
    <n v="1.4"/>
    <x v="30"/>
    <x v="28"/>
    <s v="Calle Güigüe Nro. 89-04"/>
    <s v="Cancelación Vigilancia, mes de Abril 2018"/>
    <s v="Vigilancia"/>
    <m/>
    <s v="00951"/>
    <s v="11 de Abril de 2018"/>
    <n v="11"/>
    <d v="2018-04-01T00:00:00"/>
    <s v="1,40"/>
    <s v="Un Bolívares con 40/100"/>
  </r>
  <r>
    <n v="952"/>
    <m/>
    <s v="ü"/>
    <d v="2018-04-11T00:00:00"/>
    <n v="1.4"/>
    <x v="20"/>
    <x v="18"/>
    <s v="Calle Guacara Nro. 89-30"/>
    <s v="Anticipo Vigilancia, mes de Junio 2018"/>
    <s v="Vigilancia"/>
    <m/>
    <s v="00952"/>
    <s v="11 de Abril de 2018"/>
    <n v="11"/>
    <d v="2018-04-01T00:00:00"/>
    <s v="1,40"/>
    <s v="Un Bolívares con 40/100"/>
  </r>
  <r>
    <n v="953"/>
    <m/>
    <s v="ü"/>
    <d v="2018-04-13T00:00:00"/>
    <n v="1.4"/>
    <x v="38"/>
    <x v="35"/>
    <s v="Calle Guacara Nro. 89-78"/>
    <s v="Cancelación Vigilancia, mes de Abril 2018"/>
    <s v="Vigilancia"/>
    <m/>
    <s v="00953"/>
    <s v="13 de Abril de 2018"/>
    <n v="13"/>
    <d v="2018-04-01T00:00:00"/>
    <s v="1,40"/>
    <s v="Un Bolívares con 40/100"/>
  </r>
  <r>
    <n v="954"/>
    <m/>
    <s v="ü"/>
    <d v="2018-04-13T00:00:00"/>
    <n v="0.6"/>
    <x v="38"/>
    <x v="35"/>
    <s v="Calle Guacara Nro. 89-78"/>
    <s v="Colaboración mantenimiento Caseta de Vigilancia"/>
    <s v="Caseta Vigilancia"/>
    <m/>
    <s v="00954"/>
    <s v="13 de Abril de 2018"/>
    <n v="13"/>
    <d v="2018-04-01T00:00:00"/>
    <s v="0,60"/>
    <s v="Cero Bolívares con 60/100"/>
  </r>
  <r>
    <n v="955"/>
    <m/>
    <s v="ü"/>
    <d v="2018-04-13T00:00:00"/>
    <n v="1.4"/>
    <x v="45"/>
    <x v="42"/>
    <s v="Calle Güigüe Nro. 87-A-11"/>
    <s v="Cancelación Vigilancia, mes de Abril 2018"/>
    <s v="Vigilancia"/>
    <m/>
    <s v="00955"/>
    <s v="13 de Abril de 2018"/>
    <n v="13"/>
    <d v="2018-04-01T00:00:00"/>
    <s v="1,40"/>
    <s v="Un Bolívares con 40/100"/>
  </r>
  <r>
    <n v="956"/>
    <m/>
    <s v="ü"/>
    <d v="2018-04-13T00:00:00"/>
    <n v="0.6"/>
    <x v="45"/>
    <x v="42"/>
    <s v="Calle Güigüe Nro. 87-A-11"/>
    <s v="Colaboración mantenimiento Caseta de Vigilancia"/>
    <s v="Caseta Vigilancia"/>
    <m/>
    <s v="00956"/>
    <s v="13 de Abril de 2018"/>
    <n v="13"/>
    <d v="2018-04-01T00:00:00"/>
    <s v="0,60"/>
    <s v="Cero Bolívares con 60/100"/>
  </r>
  <r>
    <n v="957"/>
    <m/>
    <s v="ü"/>
    <d v="2018-04-13T00:00:00"/>
    <n v="1.4"/>
    <x v="40"/>
    <x v="37"/>
    <s v="Calle Güigüe Nro. 88-101"/>
    <s v="Cancelación Vigilancia, mes de Marzo 2018"/>
    <s v="Vigilancia"/>
    <m/>
    <s v="00957"/>
    <s v="13 de Abril de 2018"/>
    <n v="13"/>
    <d v="2018-04-01T00:00:00"/>
    <s v="1,40"/>
    <s v="Un Bolívares con 40/100"/>
  </r>
  <r>
    <n v="958"/>
    <m/>
    <s v="ü"/>
    <d v="2018-04-13T00:00:00"/>
    <n v="1.4"/>
    <x v="35"/>
    <x v="32"/>
    <s v="Calle Güigüe Nro. 89-80"/>
    <s v="Cancelación Vigilancia, mes de Abril 2018"/>
    <s v="Vigilancia"/>
    <m/>
    <s v="00958"/>
    <s v="13 de Abril de 2018"/>
    <n v="13"/>
    <d v="2018-04-01T00:00:00"/>
    <s v="1,40"/>
    <s v="Un Bolívares con 40/100"/>
  </r>
  <r>
    <n v="959"/>
    <m/>
    <s v="ü"/>
    <d v="2018-04-16T00:00:00"/>
    <n v="1.4"/>
    <x v="26"/>
    <x v="24"/>
    <s v="Calle Güigüe Nro. 89-96"/>
    <s v="Cancelación Vigilancia, mes de Abril 2018"/>
    <s v="Vigilancia"/>
    <m/>
    <s v="00959"/>
    <s v="16 de Abril de 2018"/>
    <n v="16"/>
    <d v="2018-04-01T00:00:00"/>
    <s v="1,40"/>
    <s v="Un Bolívares con 40/100"/>
  </r>
  <r>
    <n v="960"/>
    <m/>
    <s v="ü"/>
    <d v="2018-04-17T00:00:00"/>
    <n v="0.8"/>
    <x v="68"/>
    <x v="60"/>
    <s v="Calle Güigüe Nro. 89-29"/>
    <s v="Colaboración Vigilancia, mes de Abril 2018"/>
    <s v="Vigilancia"/>
    <m/>
    <s v="00960"/>
    <s v="17 de Abril de 2018"/>
    <n v="17"/>
    <d v="2018-04-01T00:00:00"/>
    <s v="0,80"/>
    <s v="Cero Bolívares con 80/100"/>
  </r>
  <r>
    <n v="961"/>
    <m/>
    <s v="ü"/>
    <d v="2018-04-17T00:00:00"/>
    <n v="1.4"/>
    <x v="19"/>
    <x v="17"/>
    <s v="Calle Guacara Nro. 89-130"/>
    <s v="Cancelación Vigilancia, mes de Abril 2018"/>
    <s v="Vigilancia"/>
    <m/>
    <s v="00961"/>
    <s v="17 de Abril de 2018"/>
    <n v="17"/>
    <d v="2018-04-01T00:00:00"/>
    <s v="1,40"/>
    <s v="Un Bolívares con 40/100"/>
  </r>
  <r>
    <n v="962"/>
    <m/>
    <s v="ü"/>
    <d v="2018-04-19T00:00:00"/>
    <n v="1.4"/>
    <x v="23"/>
    <x v="21"/>
    <s v="Calle Güigüe Nro. 88-116"/>
    <s v="Cancelación Vigilancia, mes de Abril 2018"/>
    <s v="Vigilancia"/>
    <m/>
    <s v="00962"/>
    <s v="19 de Abril de 2018"/>
    <n v="19"/>
    <d v="2018-04-01T00:00:00"/>
    <s v="1,40"/>
    <s v="Un Bolívares con 40/100"/>
  </r>
  <r>
    <n v="963"/>
    <m/>
    <s v="ü"/>
    <d v="2018-04-16T00:00:00"/>
    <n v="1.4"/>
    <x v="4"/>
    <x v="4"/>
    <s v="Calle Güigüe Nro. 89-55"/>
    <s v="Cancelación Vigilancia, mes de Abril 2018"/>
    <s v="Vigilancia"/>
    <m/>
    <s v="00963"/>
    <s v="16 de Abril de 2018"/>
    <n v="16"/>
    <d v="2018-04-01T00:00:00"/>
    <s v="1,40"/>
    <s v="Un Bolívares con 40/100"/>
  </r>
  <r>
    <n v="964"/>
    <m/>
    <s v="ü"/>
    <d v="2018-04-20T00:00:00"/>
    <n v="2.8"/>
    <x v="67"/>
    <x v="79"/>
    <s v="Calle Guacara Nro. 90-93"/>
    <s v="Cancelación Vigilancia, meses de Marzo y Abril 2018"/>
    <s v="Vigilancia"/>
    <m/>
    <s v="00964"/>
    <s v="20 de Abril de 2018"/>
    <n v="20"/>
    <d v="2018-04-01T00:00:00"/>
    <s v="2,80"/>
    <s v="Dos Bolívares con 80/100"/>
  </r>
  <r>
    <n v="965"/>
    <m/>
    <s v="ü"/>
    <d v="2018-04-20T00:00:00"/>
    <n v="5"/>
    <x v="60"/>
    <x v="54"/>
    <s v="Calle Guacara Nro. 88-51"/>
    <s v="Colaboración mantenimiento Caseta de Vigilancia"/>
    <s v="Caseta Vigilancia"/>
    <m/>
    <s v="00965"/>
    <s v="20 de Abril de 2018"/>
    <n v="20"/>
    <d v="2018-04-01T00:00:00"/>
    <s v="5,00"/>
    <s v="Cinco Bolívares con 00/100"/>
  </r>
  <r>
    <n v="966"/>
    <m/>
    <s v="ü"/>
    <d v="2018-04-21T00:00:00"/>
    <n v="2"/>
    <x v="71"/>
    <x v="62"/>
    <s v="Calle Güigüe Nro. 89-71"/>
    <s v="Colaboración Vigilancia, meses de Marzo y Abril 2018"/>
    <s v="Vigilancia"/>
    <m/>
    <s v="00966"/>
    <s v="21 de Abril de 2018"/>
    <n v="21"/>
    <d v="2018-04-01T00:00:00"/>
    <s v="2,00"/>
    <s v="Dos Bolívares con 00/100"/>
  </r>
  <r>
    <n v="967"/>
    <m/>
    <s v="ü"/>
    <d v="2018-04-21T00:00:00"/>
    <n v="1"/>
    <x v="59"/>
    <x v="9"/>
    <s v="Calle Guacara Nro. 90-35"/>
    <s v="Cancelación Vigilancia, saldo mes de Abril 2018"/>
    <s v="Vigilancia"/>
    <m/>
    <s v="00967"/>
    <s v="21 de Abril de 2018"/>
    <n v="21"/>
    <d v="2018-04-01T00:00:00"/>
    <s v="1,00"/>
    <s v="Un Bolívar con 00/100"/>
  </r>
  <r>
    <n v="968"/>
    <m/>
    <s v="ü"/>
    <d v="2018-04-22T00:00:00"/>
    <n v="1.4"/>
    <x v="24"/>
    <x v="22"/>
    <s v="Calle Güigüe Nro. 88-54"/>
    <s v="Cancelación Vigilancia, mes de Abril 2018"/>
    <s v="Vigilancia"/>
    <m/>
    <s v="00968"/>
    <s v="22 de Abril de 2018"/>
    <n v="22"/>
    <d v="2018-04-01T00:00:00"/>
    <s v="1,40"/>
    <s v="Un Bolívares con 40/100"/>
  </r>
  <r>
    <n v="969"/>
    <m/>
    <s v="ü"/>
    <d v="2018-04-22T00:00:00"/>
    <n v="1"/>
    <x v="24"/>
    <x v="22"/>
    <s v="Calle Güigüe Nro. 88-54"/>
    <s v="Colaboración mantenimiento Caseta de Vigilancia"/>
    <s v="Caseta Vigilancia"/>
    <m/>
    <s v="00969"/>
    <s v="22 de Abril de 2018"/>
    <n v="22"/>
    <d v="2018-04-01T00:00:00"/>
    <s v="1,00"/>
    <s v="Un Bolívar con 00/100"/>
  </r>
  <r>
    <n v="970"/>
    <m/>
    <s v="ü"/>
    <d v="2018-04-23T00:00:00"/>
    <n v="1.4"/>
    <x v="84"/>
    <x v="71"/>
    <s v="Calle Güigüe Nro. 89-54"/>
    <s v="Cancelación Vigilancia, mes de Mayo 2018"/>
    <s v="Vigilancia"/>
    <m/>
    <s v="00970"/>
    <s v="23 de Abril de 2018"/>
    <n v="23"/>
    <d v="2018-04-01T00:00:00"/>
    <s v="1,40"/>
    <s v="Un Bolívares con 40/100"/>
  </r>
  <r>
    <n v="971"/>
    <m/>
    <s v="ü"/>
    <d v="2018-04-23T00:00:00"/>
    <n v="0.6"/>
    <x v="84"/>
    <x v="71"/>
    <s v="Calle Güigüe Nro. 89-54"/>
    <s v="Colaboración mantenimiento Caseta de Vigilancia"/>
    <s v="Caseta Vigilancia"/>
    <m/>
    <s v="00971"/>
    <s v="23 de Abril de 2018"/>
    <n v="23"/>
    <d v="2018-04-01T00:00:00"/>
    <s v="0,60"/>
    <s v="Cero Bolívares con 60/100"/>
  </r>
  <r>
    <n v="972"/>
    <m/>
    <s v="ü"/>
    <d v="2018-04-24T00:00:00"/>
    <n v="0.6"/>
    <x v="74"/>
    <x v="64"/>
    <s v="Calle Güigüe Nro. 88-20"/>
    <s v="Colaboración Vigilancia, meses de Marzo y Abril 2018"/>
    <s v="Vigilancia"/>
    <m/>
    <s v="00972"/>
    <s v="24 de Abril de 2018"/>
    <n v="24"/>
    <d v="2018-04-01T00:00:00"/>
    <s v="0,60"/>
    <s v="Cero Bolívares con 60/100"/>
  </r>
  <r>
    <n v="973"/>
    <m/>
    <s v="ü"/>
    <d v="2018-04-25T00:00:00"/>
    <n v="1.4"/>
    <x v="36"/>
    <x v="33"/>
    <s v="Calle Güigüe Nro. 89-10"/>
    <s v="Cancelación Vigilancia, mes de Abril 2018"/>
    <s v="Vigilancia"/>
    <m/>
    <s v="00973"/>
    <s v="25 de Abril de 2018"/>
    <n v="25"/>
    <d v="2018-04-01T00:00:00"/>
    <s v="1,40"/>
    <s v="Un Bolívares con 40/100"/>
  </r>
  <r>
    <n v="974"/>
    <m/>
    <s v="ü"/>
    <d v="2018-04-26T00:00:00"/>
    <n v="3"/>
    <x v="6"/>
    <x v="6"/>
    <s v="Calle Guacara Nro. 89-60"/>
    <s v="Cancelación Vigilancia, mes de Mayo 2018 y aporte especial"/>
    <s v="Vigilancia"/>
    <m/>
    <s v="00974"/>
    <s v="26 de Abril de 2018"/>
    <n v="26"/>
    <d v="2018-04-01T00:00:00"/>
    <s v="3,00"/>
    <s v="Tres Bolívares con 00/100"/>
  </r>
  <r>
    <n v="975"/>
    <m/>
    <s v="ü"/>
    <d v="2018-04-26T00:00:00"/>
    <n v="3"/>
    <x v="6"/>
    <x v="6"/>
    <s v="Calle Guacara Nro. 89-60"/>
    <s v="Anticipo Vigilancia, mes de Junio 2018"/>
    <s v="Vigilancia"/>
    <m/>
    <s v="00975"/>
    <s v="26 de Abril de 2018"/>
    <n v="26"/>
    <d v="2018-04-01T00:00:00"/>
    <s v="3,00"/>
    <s v="Tres Bolívares con 00/100"/>
  </r>
  <r>
    <n v="976"/>
    <m/>
    <s v="ü"/>
    <d v="2018-04-26T00:00:00"/>
    <n v="2.5"/>
    <x v="18"/>
    <x v="16"/>
    <s v="Calle Guacara Nro. 87-100"/>
    <s v="Cancelación Vigilancia, mes de Mayo 2018"/>
    <s v="Vigilancia"/>
    <m/>
    <s v="00976"/>
    <s v="26 de Abril de 2018"/>
    <n v="26"/>
    <d v="2018-04-01T00:00:00"/>
    <s v="2,50"/>
    <s v="Dos Bolívares con 50/100"/>
  </r>
  <r>
    <n v="977"/>
    <m/>
    <s v="ü"/>
    <d v="2018-04-26T00:00:00"/>
    <n v="2.5"/>
    <x v="18"/>
    <x v="16"/>
    <s v="Calle Guacara Nro. 87-100"/>
    <s v="Colaboración mantenimiento Caseta de Vigilancia"/>
    <s v="Caseta Vigilancia"/>
    <m/>
    <s v="00977"/>
    <s v="26 de Abril de 2018"/>
    <n v="26"/>
    <d v="2018-04-01T00:00:00"/>
    <s v="2,50"/>
    <s v="Dos Bolívares con 50/100"/>
  </r>
  <r>
    <n v="978"/>
    <m/>
    <s v="ü"/>
    <d v="2018-04-26T00:00:00"/>
    <n v="3"/>
    <x v="43"/>
    <x v="40"/>
    <s v="Calle Güigüe Nro. 88-50"/>
    <s v="Cancelación Vigilancia, mes de Abril 2018"/>
    <s v="Vigilancia"/>
    <m/>
    <s v="00978"/>
    <s v="26 de Abril de 2018"/>
    <n v="26"/>
    <d v="2018-04-01T00:00:00"/>
    <s v="3,00"/>
    <s v="Tres Bolívares con 00/100"/>
  </r>
  <r>
    <n v="979"/>
    <m/>
    <s v="û"/>
    <d v="2018-04-26T00:00:00"/>
    <n v="1.6"/>
    <x v="43"/>
    <x v="40"/>
    <s v="Calle Güigüe Nro. 88-50"/>
    <s v="ANULADO: Colaboración mantenimiento Caseta de Vigilancia"/>
    <s v="ANULADO"/>
    <m/>
    <s v="00979"/>
    <s v="26 de Abril de 2018"/>
    <n v="26"/>
    <d v="2018-04-01T00:00:00"/>
    <s v="1,60"/>
    <s v="Un Bolívares con 60/100"/>
  </r>
  <r>
    <n v="980"/>
    <m/>
    <s v="ü"/>
    <d v="2018-04-26T00:00:00"/>
    <n v="2.8"/>
    <x v="46"/>
    <x v="43"/>
    <s v="Av. &quot;I&quot; Nro. 146-20"/>
    <s v="Cancelación Vigilancia, meses de Marzo y Abril 2018"/>
    <s v="Vigilancia"/>
    <m/>
    <s v="00980"/>
    <s v="26 de Abril de 2018"/>
    <n v="26"/>
    <d v="2018-04-01T00:00:00"/>
    <s v="2,80"/>
    <s v="Dos Bolívares con 80/100"/>
  </r>
  <r>
    <n v="981"/>
    <m/>
    <s v="ü"/>
    <d v="2018-04-26T00:00:00"/>
    <n v="2.8"/>
    <x v="87"/>
    <x v="75"/>
    <s v="Calle Güigüe Nro. 88-06"/>
    <s v="Cancelación Vigilancia, meses de Marzo y Abril 2018"/>
    <s v="Vigilancia"/>
    <m/>
    <s v="00981"/>
    <s v="26 de Abril de 2018"/>
    <n v="26"/>
    <d v="2018-04-01T00:00:00"/>
    <s v="2,80"/>
    <s v="Dos Bolívares con 80/100"/>
  </r>
  <r>
    <n v="982"/>
    <m/>
    <s v="ü"/>
    <d v="2018-04-30T00:00:00"/>
    <n v="1.4"/>
    <x v="40"/>
    <x v="37"/>
    <s v="Calle Güigüe Nro. 88-101"/>
    <s v="Cancelación Vigilancia, mes de Abril 2018"/>
    <s v="Vigilancia"/>
    <m/>
    <s v="00982"/>
    <s v="30 de Abril de 2018"/>
    <n v="30"/>
    <d v="2018-04-01T00:00:00"/>
    <s v="1,40"/>
    <s v="Un Bolívares con 40/100"/>
  </r>
  <r>
    <n v="983"/>
    <m/>
    <s v="ü"/>
    <d v="2018-05-03T00:00:00"/>
    <n v="5"/>
    <x v="53"/>
    <x v="80"/>
    <s v="Calle Guacara Nro. 88-91"/>
    <s v="Colaboración Vigilancia, meses de Enero, Febrero, Marzo, Abril y anticipo mes de Mayo 2018"/>
    <s v="Vigilancia"/>
    <m/>
    <s v="00983"/>
    <s v="03 de Mayo de 2018"/>
    <n v="3"/>
    <d v="2018-05-01T00:00:00"/>
    <s v="5,00"/>
    <s v="Cinco Bolívares con 00/100"/>
  </r>
  <r>
    <n v="984"/>
    <m/>
    <s v="ü"/>
    <d v="2018-05-03T00:00:00"/>
    <n v="4"/>
    <x v="4"/>
    <x v="4"/>
    <s v="Calle Güigüe Nro. 89-55"/>
    <s v="Cancelación Vigilancia, mes de Mayo 2018 (saldo a favor: Bs. 360.000)"/>
    <s v="Vigilancia"/>
    <m/>
    <s v="00984"/>
    <s v="03 de Mayo de 2018"/>
    <n v="3"/>
    <d v="2018-05-01T00:00:00"/>
    <s v="4,00"/>
    <s v="Cuatro Bolívares con 00/100"/>
  </r>
  <r>
    <n v="985"/>
    <m/>
    <s v="ü"/>
    <d v="2018-05-03T00:00:00"/>
    <n v="4"/>
    <x v="52"/>
    <x v="9"/>
    <s v="Calle Güigüe Nro. 89-45"/>
    <s v="Cancelación Vigilancia, mes de Mayo 2018 (saldo a favor: Bs. 1.393.000)"/>
    <s v="Vigilancia"/>
    <m/>
    <s v="00985"/>
    <s v="03 de Mayo de 2018"/>
    <n v="3"/>
    <d v="2018-05-01T00:00:00"/>
    <s v="4,00"/>
    <s v="Cuatro Bolívares con 00/100"/>
  </r>
  <r>
    <n v="986"/>
    <m/>
    <s v="ü"/>
    <d v="2018-05-03T00:00:00"/>
    <n v="4"/>
    <x v="75"/>
    <x v="65"/>
    <s v="Av. &quot;Ñ&quot; Nro. 145-25"/>
    <s v="Cancelación Vigilancia, mes de Mayo 2018 (saldo a favor: Bs. 185.000)"/>
    <s v="Vigilancia"/>
    <m/>
    <s v="00986"/>
    <s v="03 de Mayo de 2018"/>
    <n v="3"/>
    <d v="2018-05-01T00:00:00"/>
    <s v="4,00"/>
    <s v="Cuatro Bolívares con 00/100"/>
  </r>
  <r>
    <n v="987"/>
    <m/>
    <s v="ü"/>
    <d v="2018-05-03T00:00:00"/>
    <n v="4"/>
    <x v="0"/>
    <x v="0"/>
    <s v="Calle Guacara Nro. 88-45"/>
    <s v="Cancelación Vigilancia, mes de Mayo 2018 (saldo a favor: Bs. 120.000)"/>
    <s v="Vigilancia"/>
    <m/>
    <s v="00987"/>
    <s v="03 de Mayo de 2018"/>
    <n v="3"/>
    <d v="2018-05-01T00:00:00"/>
    <s v="4,00"/>
    <s v="Cuatro Bolívares con 00/100"/>
  </r>
  <r>
    <n v="988"/>
    <m/>
    <s v="ü"/>
    <d v="2018-05-03T00:00:00"/>
    <n v="4"/>
    <x v="42"/>
    <x v="39"/>
    <s v="Calle Güigüe Nro. 89-79"/>
    <s v="Cancelación Vigilancia, mes de Mayo 2018 (saldo a favor: Bs. 160.000)"/>
    <s v="Vigilancia"/>
    <m/>
    <s v="00988"/>
    <s v="03 de Mayo de 2018"/>
    <n v="3"/>
    <d v="2018-05-01T00:00:00"/>
    <s v="4,00"/>
    <s v="Cuatro Bolívares con 00/100"/>
  </r>
  <r>
    <n v="989"/>
    <m/>
    <s v="ü"/>
    <d v="2018-05-03T00:00:00"/>
    <n v="1.4"/>
    <x v="82"/>
    <x v="9"/>
    <s v="Calle Guacara Nro. 90-61"/>
    <s v="Cancelación Vigilancia, mes de Abril 2018"/>
    <s v="Vigilancia"/>
    <m/>
    <s v="00989"/>
    <s v="03 de Mayo de 2018"/>
    <n v="3"/>
    <d v="2018-05-01T00:00:00"/>
    <s v="1,40"/>
    <s v="Un Bolívares con 40/100"/>
  </r>
  <r>
    <n v="990"/>
    <m/>
    <s v="ü"/>
    <d v="2018-05-03T00:00:00"/>
    <n v="5.2"/>
    <x v="64"/>
    <x v="57"/>
    <s v="Calle Guacara Nro. 88-35"/>
    <s v="Cancelación Vigilancia, saldo meses de Marzo y Abril y cancelación mes de Mayo 2018"/>
    <s v="Vigilancia"/>
    <m/>
    <s v="00990"/>
    <s v="03 de Mayo de 2018"/>
    <n v="3"/>
    <d v="2018-05-01T00:00:00"/>
    <s v="5,20"/>
    <s v="Cinco Bolívares con 20/100"/>
  </r>
  <r>
    <n v="991"/>
    <m/>
    <s v="ü"/>
    <d v="2018-05-03T00:00:00"/>
    <n v="4"/>
    <x v="81"/>
    <x v="69"/>
    <s v="Calle Güigüe Nro. 89-65"/>
    <s v="Cancelación Vigilancia, mes de Mayo 2018"/>
    <s v="Vigilancia"/>
    <m/>
    <s v="00991"/>
    <s v="03 de Mayo de 2018"/>
    <n v="3"/>
    <d v="2018-05-01T00:00:00"/>
    <s v="4,00"/>
    <s v="Cuatro Bolívares con 00/100"/>
  </r>
  <r>
    <n v="992"/>
    <m/>
    <s v="ü"/>
    <d v="2018-05-04T00:00:00"/>
    <n v="4"/>
    <x v="20"/>
    <x v="18"/>
    <s v="Calle Guacara Nro. 89-30"/>
    <s v="Cancelación Vigilancia, mes de Mayo 2018"/>
    <s v="Vigilancia"/>
    <m/>
    <s v="00992"/>
    <s v="04 de Mayo de 2018"/>
    <n v="4"/>
    <d v="2018-05-01T00:00:00"/>
    <s v="4,00"/>
    <s v="Cuatro Bolívares con 00/100"/>
  </r>
  <r>
    <n v="993"/>
    <m/>
    <s v="ü"/>
    <d v="2018-05-04T00:00:00"/>
    <n v="5.5"/>
    <x v="21"/>
    <x v="19"/>
    <s v="Calle Güigüe Nro. 89-105"/>
    <s v="Cancelación Vigilancia, meses de Abril y Mayo 2018"/>
    <s v="Vigilancia"/>
    <m/>
    <s v="00993"/>
    <s v="04 de Mayo de 2018"/>
    <n v="4"/>
    <d v="2018-05-01T00:00:00"/>
    <s v="5,50"/>
    <s v="Cinco Bolívares con 50/100"/>
  </r>
  <r>
    <n v="994"/>
    <m/>
    <s v="ü"/>
    <d v="2018-05-04T00:00:00"/>
    <n v="4"/>
    <x v="12"/>
    <x v="12"/>
    <s v="Calle Guacara Nro. 89-20"/>
    <s v="Cancelación Vigilancia, mes de Mayo 2018"/>
    <s v="Vigilancia"/>
    <m/>
    <s v="00994"/>
    <s v="04 de Mayo de 2018"/>
    <n v="4"/>
    <d v="2018-05-01T00:00:00"/>
    <s v="4,00"/>
    <s v="Cuatro Bolívares con 00/100"/>
  </r>
  <r>
    <n v="995"/>
    <m/>
    <s v="ü"/>
    <d v="2018-05-04T00:00:00"/>
    <n v="4"/>
    <x v="5"/>
    <x v="5"/>
    <s v="Calle Güigüe Nro. 88-120"/>
    <s v="Cancelación Vigilancia, mes de Mayo 2018"/>
    <s v="Vigilancia"/>
    <m/>
    <s v="00995"/>
    <s v="04 de Mayo de 2018"/>
    <n v="4"/>
    <d v="2018-05-01T00:00:00"/>
    <s v="4,00"/>
    <s v="Cuatro Bolívares con 00/100"/>
  </r>
  <r>
    <n v="996"/>
    <m/>
    <s v="ü"/>
    <d v="2018-05-04T00:00:00"/>
    <n v="4"/>
    <x v="6"/>
    <x v="6"/>
    <s v="Calle Guacara Nro. 89-60"/>
    <s v="Cancelación Vigilancia, saldo mes de Mayo y anticipo Junio 2018"/>
    <s v="Vigilancia"/>
    <m/>
    <s v="00996"/>
    <s v="04 de Mayo de 2018"/>
    <n v="4"/>
    <d v="2018-05-01T00:00:00"/>
    <s v="4,00"/>
    <s v="Cuatro Bolívares con 00/100"/>
  </r>
  <r>
    <n v="997"/>
    <m/>
    <s v="ü"/>
    <d v="2018-05-06T00:00:00"/>
    <n v="2.6"/>
    <x v="84"/>
    <x v="71"/>
    <s v="Calle Güigüe Nro. 89-54"/>
    <s v="Cancelación Vigilancia, saldo mes de Mayo 2018"/>
    <s v="Vigilancia"/>
    <m/>
    <s v="00997"/>
    <s v="06 de Mayo de 2018"/>
    <n v="6"/>
    <d v="2018-05-01T00:00:00"/>
    <s v="2,60"/>
    <s v="Dos Bolívares con 60/100"/>
  </r>
  <r>
    <n v="998"/>
    <m/>
    <s v="ü"/>
    <d v="2018-05-07T00:00:00"/>
    <n v="4"/>
    <x v="16"/>
    <x v="15"/>
    <s v="Calle Guacara Nro. 90-81"/>
    <s v="Cancelación Vigilancia, mes de Mayo 2018"/>
    <s v="Vigilancia"/>
    <m/>
    <s v="00998"/>
    <s v="07 de Mayo de 2018"/>
    <n v="7"/>
    <d v="2018-05-01T00:00:00"/>
    <s v="4,00"/>
    <s v="Cuatro Bolívares con 00/100"/>
  </r>
  <r>
    <n v="999"/>
    <m/>
    <s v="ü"/>
    <d v="2018-05-07T00:00:00"/>
    <n v="1"/>
    <x v="16"/>
    <x v="15"/>
    <s v="Calle Guacara Nro. 90-81"/>
    <s v="Colaboración mantenimiento Caseta de Vigilancia"/>
    <s v="Caseta Vigilancia"/>
    <m/>
    <s v="00999"/>
    <s v="07 de Mayo de 2018"/>
    <n v="7"/>
    <d v="2018-05-01T00:00:00"/>
    <s v="1,00"/>
    <s v="Un Bolívar con 00/100"/>
  </r>
  <r>
    <n v="1000"/>
    <m/>
    <s v="ü"/>
    <d v="2018-05-07T00:00:00"/>
    <n v="4"/>
    <x v="1"/>
    <x v="1"/>
    <s v="Calle Güigüe Nro. 88-44"/>
    <s v="Cancelación Vigilancia, mes de Mayo 2018"/>
    <s v="Vigilancia"/>
    <m/>
    <s v="01000"/>
    <s v="07 de Mayo de 2018"/>
    <n v="7"/>
    <d v="2018-05-01T00:00:00"/>
    <s v="4,00"/>
    <s v="Cuatro Bolívares con 00/100"/>
  </r>
  <r>
    <n v="1001"/>
    <m/>
    <s v="ü"/>
    <d v="2018-04-06T00:00:00"/>
    <n v="1.4"/>
    <x v="14"/>
    <x v="13"/>
    <s v="Calle Güigüe Nro. 89-83"/>
    <s v="Cancelación Vigilancia, mes de Abril 2018"/>
    <s v="Vigilancia"/>
    <m/>
    <s v="01001"/>
    <s v="06 de Abril de 2018"/>
    <n v="6"/>
    <d v="2018-04-01T00:00:00"/>
    <s v="1,40"/>
    <s v="Un Bolívares con 40/100"/>
  </r>
  <r>
    <n v="1002"/>
    <m/>
    <s v="ü"/>
    <d v="2018-04-06T00:00:00"/>
    <n v="0.6"/>
    <x v="14"/>
    <x v="13"/>
    <s v="Calle Güigüe Nro. 89-83"/>
    <s v="Colaboración mantenimiento Caseta de Vigilancia"/>
    <s v="Caseta Vigilancia"/>
    <m/>
    <s v="01002"/>
    <s v="06 de Abril de 2018"/>
    <n v="6"/>
    <d v="2018-04-01T00:00:00"/>
    <s v="0,60"/>
    <s v="Cero Bolívares con 60/100"/>
  </r>
  <r>
    <n v="1003"/>
    <m/>
    <s v="ü"/>
    <d v="2018-05-07T00:00:00"/>
    <n v="4"/>
    <x v="14"/>
    <x v="13"/>
    <s v="Calle Güigüe Nro. 89-83"/>
    <s v="Cancelación Vigilancia, mes de Mayo 2018"/>
    <s v="Vigilancia"/>
    <m/>
    <s v="01003"/>
    <s v="07 de Mayo de 2018"/>
    <n v="7"/>
    <d v="2018-05-01T00:00:00"/>
    <s v="4,00"/>
    <s v="Cuatro Bolívares con 00/100"/>
  </r>
  <r>
    <n v="1004"/>
    <m/>
    <s v="ü"/>
    <d v="2018-05-07T00:00:00"/>
    <n v="5.4"/>
    <x v="17"/>
    <x v="74"/>
    <s v="Av. &quot;M&quot; Nro. 146-20"/>
    <s v="Cancelación Vigilancia, meses de Abril y Mayo 2018"/>
    <s v="Vigilancia"/>
    <m/>
    <s v="01004"/>
    <s v="07 de Mayo de 2018"/>
    <n v="7"/>
    <d v="2018-05-01T00:00:00"/>
    <s v="5,40"/>
    <s v="Cinco Bolívares con 40/100"/>
  </r>
  <r>
    <n v="1005"/>
    <m/>
    <s v="ü"/>
    <d v="2018-05-04T00:00:00"/>
    <n v="1.4"/>
    <x v="56"/>
    <x v="52"/>
    <s v="Calle Güigüe Nro. 88-70"/>
    <s v="Cancelación Vigilancia, mes de Abril 2018"/>
    <s v="Vigilancia"/>
    <m/>
    <s v="01005"/>
    <s v="04 de Mayo de 2018"/>
    <n v="4"/>
    <d v="2018-05-01T00:00:00"/>
    <s v="1,40"/>
    <s v="Un Bolívares con 40/100"/>
  </r>
  <r>
    <n v="1006"/>
    <m/>
    <s v="ü"/>
    <d v="2018-05-07T00:00:00"/>
    <n v="4.4000000000000004"/>
    <x v="39"/>
    <x v="36"/>
    <s v="Calle Güigüe Nro. 88-111"/>
    <s v="Cancelación Vigilancia, meses de Enero, Febrero, Marzo y Abril 2018"/>
    <s v="Vigilancia"/>
    <m/>
    <s v="01006"/>
    <s v="07 de Mayo de 2018"/>
    <n v="7"/>
    <d v="2018-05-01T00:00:00"/>
    <s v="4,40"/>
    <s v="Cuatro Bolívares con 40/100"/>
  </r>
  <r>
    <n v="1007"/>
    <m/>
    <s v="ü"/>
    <d v="2018-05-08T00:00:00"/>
    <n v="1"/>
    <x v="2"/>
    <x v="2"/>
    <s v="Calle Guacara Nro. 88-19"/>
    <s v="Colaboración Vigilancia, mes de Abril 2018"/>
    <s v="Vigilancia"/>
    <m/>
    <s v="01007"/>
    <s v="08 de Mayo de 2018"/>
    <n v="8"/>
    <d v="2018-05-01T00:00:00"/>
    <s v="1,00"/>
    <s v="Un Bolívar con 00/100"/>
  </r>
  <r>
    <n v="1008"/>
    <m/>
    <s v="ü"/>
    <d v="2018-05-08T00:00:00"/>
    <n v="6.8"/>
    <x v="48"/>
    <x v="9"/>
    <s v="Calle Güigüe Nro. 88-90"/>
    <s v="Cancelación Vigilancia, meses de Marzo, Abril y Mayo 2018"/>
    <s v="Vigilancia"/>
    <m/>
    <s v="01008"/>
    <s v="08 de Mayo de 2018"/>
    <n v="8"/>
    <d v="2018-05-01T00:00:00"/>
    <s v="6,80"/>
    <s v="Seis Bolívares con 80/100"/>
  </r>
  <r>
    <n v="1009"/>
    <m/>
    <s v="ü"/>
    <d v="2018-05-08T00:00:00"/>
    <n v="1.4"/>
    <x v="49"/>
    <x v="46"/>
    <s v="Av. &quot;O&quot; Nro. 146-17"/>
    <s v="Colaboración Vigilancia, mes de Abril 2018"/>
    <s v="Vigilancia"/>
    <m/>
    <s v="01009"/>
    <s v="08 de Mayo de 2018"/>
    <n v="8"/>
    <d v="2018-05-01T00:00:00"/>
    <s v="1,40"/>
    <s v="Un Bolívares con 40/100"/>
  </r>
  <r>
    <n v="1010"/>
    <m/>
    <s v="ü"/>
    <d v="2018-05-08T00:00:00"/>
    <n v="4"/>
    <x v="89"/>
    <x v="81"/>
    <s v="Calle Guacara Nro. 88-75"/>
    <s v="Cancelación Vigilancia, mes de Mayo 2018"/>
    <s v="Vigilancia"/>
    <m/>
    <s v="01010"/>
    <s v="08 de Mayo de 2018"/>
    <n v="8"/>
    <d v="2018-05-01T00:00:00"/>
    <s v="4,00"/>
    <s v="Cuatro Bolívares con 00/100"/>
  </r>
  <r>
    <n v="1011"/>
    <m/>
    <s v="ü"/>
    <d v="2018-05-08T00:00:00"/>
    <n v="5.55"/>
    <x v="9"/>
    <x v="9"/>
    <s v="Av. &quot;M&quot; Nro. 146-30"/>
    <s v="Cancelación Vigilancia, meses de Abril y Mayo 2018"/>
    <s v="Vigilancia"/>
    <m/>
    <s v="01011"/>
    <s v="08 de Mayo de 2018"/>
    <n v="8"/>
    <d v="2018-05-01T00:00:00"/>
    <s v="5,55"/>
    <s v="Cinco Bolívares con 55/100"/>
  </r>
  <r>
    <n v="1012"/>
    <m/>
    <s v="ü"/>
    <d v="2018-05-09T00:00:00"/>
    <n v="4"/>
    <x v="88"/>
    <x v="76"/>
    <s v="Calle Güigüe Nro. 88-11"/>
    <s v="Cancelación Vigilancia, mes de Mayo 2018"/>
    <s v="Vigilancia"/>
    <m/>
    <s v="01012"/>
    <s v="09 de Mayo de 2018"/>
    <n v="9"/>
    <d v="2018-05-01T00:00:00"/>
    <s v="4,00"/>
    <s v="Cuatro Bolívares con 00/100"/>
  </r>
  <r>
    <n v="1013"/>
    <m/>
    <s v="ü"/>
    <d v="2018-05-10T00:00:00"/>
    <n v="20"/>
    <x v="31"/>
    <x v="29"/>
    <s v="Calle Güigüe Nro. 89-95"/>
    <s v="Cancelación Vigilancia, saldo mes de Mayo, y anticipo meses de Junio, Julio, Agosto, Septiembre y Octubre 2018"/>
    <s v="Vigilancia"/>
    <m/>
    <s v="01013"/>
    <s v="10 de Mayo de 2018"/>
    <n v="10"/>
    <d v="2018-05-01T00:00:00"/>
    <s v="20,00"/>
    <s v="Veinte Bolívares con 00/100"/>
  </r>
  <r>
    <n v="1014"/>
    <m/>
    <s v="ü"/>
    <d v="2018-05-10T00:00:00"/>
    <n v="4"/>
    <x v="24"/>
    <x v="22"/>
    <s v="Calle Güigüe Nro. 88-54"/>
    <s v="Cancelación Vigilancia, mes de Mayo 2018"/>
    <s v="Vigilancia"/>
    <m/>
    <s v="01014"/>
    <s v="10 de Mayo de 2018"/>
    <n v="10"/>
    <d v="2018-05-01T00:00:00"/>
    <s v="4,00"/>
    <s v="Cuatro Bolívares con 00/100"/>
  </r>
  <r>
    <n v="1015"/>
    <m/>
    <s v="ü"/>
    <d v="2018-05-11T00:00:00"/>
    <n v="4"/>
    <x v="65"/>
    <x v="58"/>
    <s v="Calle Güigüe Nro. 88-10"/>
    <s v="Cancelación Vigilancia, mes de Mayo 2018"/>
    <s v="Vigilancia"/>
    <m/>
    <s v="01015"/>
    <s v="11 de Mayo de 2018"/>
    <n v="11"/>
    <d v="2018-05-01T00:00:00"/>
    <s v="4,00"/>
    <s v="Cuatro Bolívares con 00/100"/>
  </r>
  <r>
    <n v="1016"/>
    <m/>
    <s v="ü"/>
    <d v="2018-05-11T00:00:00"/>
    <n v="2.8"/>
    <x v="62"/>
    <x v="55"/>
    <s v="Av. &quot;M&quot; Nro. 145-10"/>
    <s v="Cancelación Vigilancia, mes de Abril y anticipo Mayo 2018"/>
    <s v="Vigilancia"/>
    <m/>
    <s v="01016"/>
    <s v="11 de Mayo de 2018"/>
    <n v="11"/>
    <d v="2018-05-01T00:00:00"/>
    <s v="2,80"/>
    <s v="Dos Bolívares con 80/100"/>
  </r>
  <r>
    <n v="1017"/>
    <m/>
    <s v="ü"/>
    <d v="2018-05-13T00:00:00"/>
    <n v="1"/>
    <x v="32"/>
    <x v="30"/>
    <s v="Calle Güigüe Nro. 89-120"/>
    <s v="Colaboración Vigilancia, meses de Marzo y Abril 2018"/>
    <s v="Vigilancia"/>
    <m/>
    <s v="01017"/>
    <s v="13 de Mayo de 2018"/>
    <n v="13"/>
    <d v="2018-05-01T00:00:00"/>
    <s v="1,00"/>
    <s v="Un Bolívar con 00/100"/>
  </r>
  <r>
    <n v="1018"/>
    <m/>
    <s v="ü"/>
    <d v="2018-05-13T00:00:00"/>
    <n v="5.8"/>
    <x v="73"/>
    <x v="9"/>
    <s v="Calle Güigüe Nros. 88-71 y 88-81"/>
    <s v="Cancelación Vigilancia, mes de Mayo 2018"/>
    <s v="Vigilancia"/>
    <m/>
    <s v="01018"/>
    <s v="13 de Mayo de 2018"/>
    <n v="13"/>
    <d v="2018-05-01T00:00:00"/>
    <s v="5,80"/>
    <s v="Cinco Bolívares con 80/100"/>
  </r>
  <r>
    <n v="1019"/>
    <m/>
    <s v="ü"/>
    <d v="2018-05-14T00:00:00"/>
    <n v="3"/>
    <x v="3"/>
    <x v="3"/>
    <s v="Calle Güigüe Nro. 88-62"/>
    <s v="Colaboración Vigilancia, meses de Marzo, Abril y Mayo 2018"/>
    <s v="Vigilancia"/>
    <m/>
    <s v="01019"/>
    <s v="14 de Mayo de 2018"/>
    <n v="14"/>
    <d v="2018-05-01T00:00:00"/>
    <s v="3,00"/>
    <s v="Tres Bolívares con 00/100"/>
  </r>
  <r>
    <n v="1020"/>
    <m/>
    <s v="ü"/>
    <d v="2018-05-15T00:00:00"/>
    <n v="4"/>
    <x v="38"/>
    <x v="35"/>
    <s v="Calle Guacara Nro. 89-78"/>
    <s v="Cancelación Vigilancia, mes de Mayo 2018"/>
    <s v="Vigilancia"/>
    <m/>
    <s v="01020"/>
    <s v="15 de Mayo de 2018"/>
    <n v="15"/>
    <d v="2018-05-01T00:00:00"/>
    <s v="4,00"/>
    <s v="Cuatro Bolívares con 00/100"/>
  </r>
  <r>
    <n v="1021"/>
    <m/>
    <s v="ü"/>
    <d v="2018-05-15T00:00:00"/>
    <n v="4"/>
    <x v="34"/>
    <x v="9"/>
    <s v="Av. &quot;O&quot; Nro. 146-11"/>
    <s v="Cancelación Vigilancia, mes de Mayo 2018"/>
    <s v="Vigilancia"/>
    <m/>
    <s v="01021"/>
    <s v="15 de Mayo de 2018"/>
    <n v="15"/>
    <d v="2018-05-01T00:00:00"/>
    <s v="4,00"/>
    <s v="Cuatro Bolívares con 00/100"/>
  </r>
  <r>
    <n v="1022"/>
    <m/>
    <s v="ü"/>
    <d v="2018-05-15T00:00:00"/>
    <n v="4"/>
    <x v="35"/>
    <x v="32"/>
    <s v="Calle Güigüe Nro. 89-80"/>
    <s v="Cancelación Vigilancia, mes de Mayo 2018"/>
    <s v="Vigilancia"/>
    <m/>
    <s v="01022"/>
    <s v="15 de Mayo de 2018"/>
    <n v="15"/>
    <d v="2018-05-01T00:00:00"/>
    <s v="4,00"/>
    <s v="Cuatro Bolívares con 00/100"/>
  </r>
  <r>
    <n v="1023"/>
    <m/>
    <s v="ü"/>
    <d v="2018-05-15T00:00:00"/>
    <n v="2"/>
    <x v="68"/>
    <x v="60"/>
    <s v="Calle Güigüe Nro. 89-29"/>
    <s v="Colaboración Vigilancia, mes de Mayo 2018"/>
    <s v="Vigilancia"/>
    <m/>
    <s v="01023"/>
    <s v="15 de Mayo de 2018"/>
    <n v="15"/>
    <d v="2018-05-01T00:00:00"/>
    <s v="2,00"/>
    <s v="Dos Bolívares con 00/100"/>
  </r>
  <r>
    <n v="1024"/>
    <m/>
    <s v="ü"/>
    <d v="2018-05-15T00:00:00"/>
    <n v="3"/>
    <x v="58"/>
    <x v="53"/>
    <s v="Calle Güigüe Nro. 88-51"/>
    <s v="Cancelación Vigilancia, meses de Noviembre y Diciembre 2017, Enero y Febrero 2018, y anticipo Marzo 2018"/>
    <s v="Vigilancia"/>
    <m/>
    <s v="01024"/>
    <s v="15 de Mayo de 2018"/>
    <n v="15"/>
    <d v="2018-05-01T00:00:00"/>
    <s v="3,00"/>
    <s v="Tres Bolívares con 00/100"/>
  </r>
  <r>
    <n v="1025"/>
    <m/>
    <s v="ü"/>
    <d v="2018-05-17T00:00:00"/>
    <n v="4"/>
    <x v="19"/>
    <x v="17"/>
    <s v="Calle Guacara Nro. 89-130"/>
    <s v="Cancelación Vigilancia, mes de Mayo 2018"/>
    <s v="Vigilancia"/>
    <m/>
    <s v="01025"/>
    <s v="17 de Mayo de 2018"/>
    <n v="17"/>
    <d v="2018-05-01T00:00:00"/>
    <s v="4,00"/>
    <s v="Cuatro Bolívares con 00/100"/>
  </r>
  <r>
    <n v="1026"/>
    <m/>
    <s v="ü"/>
    <d v="2018-05-18T00:00:00"/>
    <n v="16"/>
    <x v="63"/>
    <x v="56"/>
    <s v="Calle Guacara Nro. 88-85"/>
    <s v="Cancelación Vigilancia, meses de Mayo, Junio, Julio y Agosto 2018"/>
    <s v="Vigilancia"/>
    <m/>
    <s v="01026"/>
    <s v="18 de Mayo de 2018"/>
    <n v="18"/>
    <d v="2018-05-01T00:00:00"/>
    <s v="16,00"/>
    <s v="Dieciséis Bolívares con 00/100"/>
  </r>
  <r>
    <n v="1027"/>
    <m/>
    <s v="ü"/>
    <d v="2018-05-18T00:00:00"/>
    <n v="2.5"/>
    <x v="22"/>
    <x v="20"/>
    <s v="Calle Guacara Nro. 88-25"/>
    <s v="Colaboración Vigilancia, mes de Mayo 2018"/>
    <s v="Vigilancia"/>
    <m/>
    <s v="01027"/>
    <s v="18 de Mayo de 2018"/>
    <n v="18"/>
    <d v="2018-05-01T00:00:00"/>
    <s v="2,50"/>
    <s v="Dos Bolívares con 50/100"/>
  </r>
  <r>
    <n v="1028"/>
    <m/>
    <s v="ü"/>
    <d v="2018-05-18T00:00:00"/>
    <n v="1.4"/>
    <x v="10"/>
    <x v="10"/>
    <s v="Av. &quot;M&quot; Nro. 146-15"/>
    <s v="Cancelación Vigilancia, mes de Abril 2018"/>
    <s v="Vigilancia"/>
    <m/>
    <s v="01028"/>
    <s v="18 de Mayo de 2018"/>
    <n v="18"/>
    <d v="2018-05-01T00:00:00"/>
    <s v="1,40"/>
    <s v="Un Bolívares con 40/100"/>
  </r>
  <r>
    <n v="1029"/>
    <m/>
    <s v="ü"/>
    <d v="2018-05-18T00:00:00"/>
    <n v="4"/>
    <x v="40"/>
    <x v="37"/>
    <s v="Calle Güigüe Nro. 88-101"/>
    <s v="Cancelación Vigilancia, mes de Mayo 2018"/>
    <s v="Vigilancia"/>
    <m/>
    <s v="01029"/>
    <s v="18 de Mayo de 2018"/>
    <n v="18"/>
    <d v="2018-05-01T00:00:00"/>
    <s v="4,00"/>
    <s v="Cuatro Bolívares con 00/100"/>
  </r>
  <r>
    <n v="1030"/>
    <m/>
    <s v="ü"/>
    <d v="2018-05-19T00:00:00"/>
    <n v="4"/>
    <x v="26"/>
    <x v="24"/>
    <s v="Calle Güigüe Nro. 89-96"/>
    <s v="Cancelación Vigilancia, mes de Mayo 2018"/>
    <s v="Vigilancia"/>
    <m/>
    <s v="01030"/>
    <s v="19 de Mayo de 2018"/>
    <n v="19"/>
    <d v="2018-05-01T00:00:00"/>
    <s v="4,00"/>
    <s v="Cuatro Bolívares con 00/100"/>
  </r>
  <r>
    <n v="1031"/>
    <m/>
    <s v="ü"/>
    <d v="2018-05-20T00:00:00"/>
    <n v="1.2"/>
    <x v="57"/>
    <x v="9"/>
    <s v="Calle Güigüe Nro. 88-40"/>
    <s v="Colaboración Vigilancia, meses de Febrero, Marzo, Abril y Mayo 2018"/>
    <s v="Vigilancia"/>
    <m/>
    <s v="01031"/>
    <s v="20 de Mayo de 2018"/>
    <n v="20"/>
    <d v="2018-05-01T00:00:00"/>
    <s v="1,20"/>
    <s v="Un Bolívares con 20/100"/>
  </r>
  <r>
    <n v="1032"/>
    <m/>
    <s v="ü"/>
    <d v="2018-05-20T00:00:00"/>
    <n v="5.4"/>
    <x v="83"/>
    <x v="70"/>
    <s v="Calle Güigüe Nro. 89-22"/>
    <s v="Cancelación Vigilancia, meses de Abril y Mayo 2018"/>
    <s v="Vigilancia"/>
    <m/>
    <s v="01032"/>
    <s v="20 de Mayo de 2018"/>
    <n v="20"/>
    <d v="2018-05-01T00:00:00"/>
    <s v="5,40"/>
    <s v="Cinco Bolívares con 40/100"/>
  </r>
  <r>
    <n v="1033"/>
    <m/>
    <s v="ü"/>
    <d v="2018-05-04T00:00:00"/>
    <n v="2"/>
    <x v="7"/>
    <x v="7"/>
    <s v="Calle Guacara Nro. 87-86"/>
    <s v="Colaboración Vigilancia, mes de Mayo 2018"/>
    <s v="Vigilancia"/>
    <m/>
    <s v="01033"/>
    <s v="04 de Mayo de 2018"/>
    <n v="4"/>
    <d v="2018-05-01T00:00:00"/>
    <s v="2,00"/>
    <s v="Dos Bolívares con 00/100"/>
  </r>
  <r>
    <n v="1034"/>
    <m/>
    <s v="ü"/>
    <d v="2018-05-21T00:00:00"/>
    <n v="4"/>
    <x v="76"/>
    <x v="66"/>
    <s v="Calle Güigüe Nro. 89-90"/>
    <s v="Cancelación Vigilancia, mes de Mayo 2018"/>
    <s v="Vigilancia"/>
    <m/>
    <s v="01034"/>
    <s v="21 de Mayo de 2018"/>
    <n v="21"/>
    <d v="2018-05-01T00:00:00"/>
    <s v="4,00"/>
    <s v="Cuatro Bolívares con 00/100"/>
  </r>
  <r>
    <n v="1035"/>
    <m/>
    <s v="ü"/>
    <d v="2018-05-21T00:00:00"/>
    <n v="2"/>
    <x v="15"/>
    <x v="14"/>
    <s v="Calle Guacara Nro. 89-94"/>
    <s v="Colaboración Vigilancia, mes de Mayo 2018"/>
    <s v="Vigilancia"/>
    <m/>
    <s v="01035"/>
    <s v="21 de Mayo de 2018"/>
    <n v="21"/>
    <d v="2018-05-01T00:00:00"/>
    <s v="2,00"/>
    <s v="Dos Bolívares con 00/100"/>
  </r>
  <r>
    <n v="1036"/>
    <m/>
    <s v="ü"/>
    <d v="2018-05-21T00:00:00"/>
    <n v="1.9"/>
    <x v="61"/>
    <x v="14"/>
    <s v="Calle Guacara Nro. 87-07"/>
    <s v="Cancelación Vigilancia, anticipo mes de Mayo 2018"/>
    <s v="Vigilancia"/>
    <m/>
    <s v="01036"/>
    <s v="21 de Mayo de 2018"/>
    <n v="21"/>
    <d v="2018-05-01T00:00:00"/>
    <s v="1,90"/>
    <s v="Un Bolívares con 90/100"/>
  </r>
  <r>
    <n v="1037"/>
    <m/>
    <s v="ü"/>
    <d v="2018-05-21T00:00:00"/>
    <n v="4"/>
    <x v="45"/>
    <x v="42"/>
    <s v="Calle Güigüe Nro. 87-A-11"/>
    <s v="Cancelación Vigilancia, mes de Mayo 2018"/>
    <s v="Vigilancia"/>
    <m/>
    <s v="01037"/>
    <s v="21 de Mayo de 2018"/>
    <n v="21"/>
    <d v="2018-05-01T00:00:00"/>
    <s v="4,00"/>
    <s v="Cuatro Bolívares con 00/100"/>
  </r>
  <r>
    <n v="1038"/>
    <m/>
    <s v="ü"/>
    <d v="2018-05-21T00:00:00"/>
    <n v="1"/>
    <x v="45"/>
    <x v="42"/>
    <s v="Calle Güigüe Nro. 87-A-11"/>
    <s v="Colaboración mantenimiento Caseta de Vigilancia"/>
    <s v="Caseta Vigilancia"/>
    <m/>
    <s v="01038"/>
    <s v="21 de Mayo de 2018"/>
    <n v="21"/>
    <d v="2018-05-01T00:00:00"/>
    <s v="1,00"/>
    <s v="Un Bolívar con 00/100"/>
  </r>
  <r>
    <n v="1039"/>
    <m/>
    <s v="ü"/>
    <d v="2018-05-21T00:00:00"/>
    <n v="4"/>
    <x v="23"/>
    <x v="21"/>
    <s v="Calle Güigüe Nro. 88-116"/>
    <s v="Cancelación Vigilancia, mes de Mayo 2018"/>
    <s v="Vigilancia"/>
    <m/>
    <s v="01039"/>
    <s v="21 de Mayo de 2018"/>
    <n v="21"/>
    <d v="2018-05-01T00:00:00"/>
    <s v="4,00"/>
    <s v="Cuatro Bolívares con 00/100"/>
  </r>
  <r>
    <n v="1040"/>
    <m/>
    <s v="ü"/>
    <d v="2018-05-21T00:00:00"/>
    <n v="4"/>
    <x v="49"/>
    <x v="46"/>
    <s v="Av. &quot;O&quot; Nro. 146-17"/>
    <s v="Cancelación Vigilancia, mes de Mayo 2018"/>
    <s v="Vigilancia"/>
    <m/>
    <s v="01040"/>
    <s v="21 de Mayo de 2018"/>
    <n v="21"/>
    <d v="2018-05-01T00:00:00"/>
    <s v="4,00"/>
    <s v="Cuatro Bolívares con 00/100"/>
  </r>
  <r>
    <n v="1041"/>
    <m/>
    <s v="ü"/>
    <d v="2018-05-21T00:00:00"/>
    <n v="4"/>
    <x v="54"/>
    <x v="50"/>
    <s v="Calle Güigüe Nro. 89-21"/>
    <s v="Cancelación Vigilancia, mes de Mayo 2018"/>
    <s v="Vigilancia"/>
    <m/>
    <s v="01041"/>
    <s v="21 de Mayo de 2018"/>
    <n v="21"/>
    <d v="2018-05-01T00:00:00"/>
    <s v="4,00"/>
    <s v="Cuatro Bolívares con 00/100"/>
  </r>
  <r>
    <n v="1042"/>
    <m/>
    <s v="ü"/>
    <d v="2018-05-21T00:00:00"/>
    <n v="3.5"/>
    <x v="54"/>
    <x v="50"/>
    <s v="Calle Güigüe Nro. 89-21"/>
    <s v="Colaboración mantenimiento Caseta de Vigilancia"/>
    <s v="Caseta Vigilancia"/>
    <m/>
    <s v="01042"/>
    <s v="21 de Mayo de 2018"/>
    <n v="21"/>
    <d v="2018-05-01T00:00:00"/>
    <s v="3,50"/>
    <s v="Tres Bolívares con 50/100"/>
  </r>
  <r>
    <n v="1043"/>
    <m/>
    <s v="ü"/>
    <d v="2018-05-21T00:00:00"/>
    <n v="4"/>
    <x v="60"/>
    <x v="54"/>
    <s v="Calle Guacara Nro. 88-51"/>
    <s v="Cancelación Vigilancia, mes de Mayo 2018"/>
    <s v="Vigilancia"/>
    <m/>
    <s v="01043"/>
    <s v="21 de Mayo de 2018"/>
    <n v="21"/>
    <d v="2018-05-01T00:00:00"/>
    <s v="4,00"/>
    <s v="Cuatro Bolívares con 00/100"/>
  </r>
  <r>
    <n v="1044"/>
    <m/>
    <s v="ü"/>
    <d v="2018-05-21T00:00:00"/>
    <n v="4"/>
    <x v="86"/>
    <x v="73"/>
    <s v="Calle Guacara Nro. 89-50"/>
    <s v="Cancelación Vigilancia, mes de Mayo 2018"/>
    <s v="Vigilancia"/>
    <m/>
    <s v="01044"/>
    <s v="21 de Mayo de 2018"/>
    <n v="21"/>
    <d v="2018-05-01T00:00:00"/>
    <s v="4,00"/>
    <s v="Cuatro Bolívares con 00/100"/>
  </r>
  <r>
    <n v="1045"/>
    <m/>
    <s v="ü"/>
    <d v="2018-05-22T00:00:00"/>
    <n v="3.5"/>
    <x v="1"/>
    <x v="1"/>
    <s v="Calle Güigüe Nro. 88-44"/>
    <s v="Colaboración mantenimiento Caseta de Vigilancia"/>
    <s v="Caseta Vigilancia"/>
    <m/>
    <s v="01045"/>
    <s v="22 de Mayo de 2018"/>
    <n v="22"/>
    <d v="2018-05-01T00:00:00"/>
    <s v="3,50"/>
    <s v="Tres Bolívares con 50/100"/>
  </r>
  <r>
    <n v="1046"/>
    <m/>
    <s v="ü"/>
    <d v="2018-05-22T00:00:00"/>
    <n v="3.5"/>
    <x v="84"/>
    <x v="71"/>
    <s v="Calle Güigüe Nro. 89-54"/>
    <s v="Colaboración mantenimiento Caseta de Vigilancia"/>
    <s v="Caseta Vigilancia"/>
    <m/>
    <s v="01046"/>
    <s v="22 de Mayo de 2018"/>
    <n v="22"/>
    <d v="2018-05-01T00:00:00"/>
    <s v="3,50"/>
    <s v="Tres Bolívares con 50/100"/>
  </r>
  <r>
    <n v="1047"/>
    <m/>
    <s v="ü"/>
    <d v="2018-05-22T00:00:00"/>
    <n v="4"/>
    <x v="69"/>
    <x v="61"/>
    <s v="Calle Güigüe Nro. 89-40"/>
    <s v="Cancelación Vigilancia, mes de Mayo 2018"/>
    <s v="Vigilancia"/>
    <m/>
    <s v="01047"/>
    <s v="22 de Mayo de 2018"/>
    <n v="22"/>
    <d v="2018-05-01T00:00:00"/>
    <s v="4,00"/>
    <s v="Cuatro Bolívares con 00/100"/>
  </r>
  <r>
    <n v="1048"/>
    <m/>
    <s v="ü"/>
    <d v="2018-05-22T00:00:00"/>
    <n v="3.5"/>
    <x v="7"/>
    <x v="7"/>
    <s v="Calle Guacara Nro. 87-86"/>
    <s v="Colaboración mantenimiento Caseta de Vigilancia"/>
    <s v="Caseta Vigilancia"/>
    <m/>
    <s v="01048"/>
    <s v="22 de Mayo de 2018"/>
    <n v="22"/>
    <d v="2018-05-01T00:00:00"/>
    <s v="3,50"/>
    <s v="Tres Bolívares con 50/100"/>
  </r>
  <r>
    <n v="1049"/>
    <m/>
    <s v="ü"/>
    <d v="2018-05-22T00:00:00"/>
    <n v="1.9"/>
    <x v="45"/>
    <x v="42"/>
    <s v="Calle Güigüe Nro. 87-A-11"/>
    <s v="Colaboración mantenimiento Caseta de Vigilancia"/>
    <s v="Caseta Vigilancia"/>
    <m/>
    <s v="01049"/>
    <s v="22 de Mayo de 2018"/>
    <n v="22"/>
    <d v="2018-05-01T00:00:00"/>
    <s v="1,90"/>
    <s v="Un Bolívares con 90/100"/>
  </r>
  <r>
    <n v="1050"/>
    <m/>
    <s v="ü"/>
    <d v="2018-05-22T00:00:00"/>
    <n v="4"/>
    <x v="84"/>
    <x v="71"/>
    <s v="Calle Güigüe Nro. 89-54"/>
    <s v="Cancelación Vigilancia, mes de Junio 2018"/>
    <s v="Vigilancia"/>
    <m/>
    <s v="01050"/>
    <s v="22 de Mayo de 2018"/>
    <n v="22"/>
    <d v="2018-05-01T00:00:00"/>
    <s v="4,00"/>
    <s v="Cuatro Bolívares con 00/100"/>
  </r>
  <r>
    <n v="1051"/>
    <m/>
    <s v="ü"/>
    <d v="2018-05-22T00:00:00"/>
    <n v="3.5"/>
    <x v="4"/>
    <x v="4"/>
    <s v="Calle Güigüe Nro. 89-55"/>
    <s v="Colaboración mantenimiento Caseta de Vigilancia"/>
    <s v="Caseta Vigilancia"/>
    <m/>
    <s v="01051"/>
    <s v="22 de Mayo de 2018"/>
    <n v="22"/>
    <d v="2018-05-01T00:00:00"/>
    <s v="3,50"/>
    <s v="Tres Bolívares con 50/100"/>
  </r>
  <r>
    <n v="1052"/>
    <m/>
    <s v="ü"/>
    <d v="2018-05-22T00:00:00"/>
    <n v="3.5"/>
    <x v="21"/>
    <x v="19"/>
    <s v="Calle Güigüe Nro. 89-105"/>
    <s v="Colaboración mantenimiento Caseta de Vigilancia"/>
    <s v="Caseta Vigilancia"/>
    <m/>
    <s v="01052"/>
    <s v="22 de Mayo de 2018"/>
    <n v="22"/>
    <d v="2018-05-01T00:00:00"/>
    <s v="3,50"/>
    <s v="Tres Bolívares con 50/100"/>
  </r>
  <r>
    <n v="1053"/>
    <m/>
    <s v="ü"/>
    <d v="2018-05-22T00:00:00"/>
    <n v="8"/>
    <x v="27"/>
    <x v="25"/>
    <s v="Calle Güigüe Nro. 89-106"/>
    <s v="Cancelación Vigilancia, meses de Mayo y Junio 2018"/>
    <s v="Vigilancia"/>
    <m/>
    <s v="01053"/>
    <s v="22 de Mayo de 2018"/>
    <n v="22"/>
    <d v="2018-05-01T00:00:00"/>
    <s v="8,00"/>
    <s v="Ocho Bolívares con 00/100"/>
  </r>
  <r>
    <n v="1054"/>
    <m/>
    <s v="ü"/>
    <d v="2018-05-22T00:00:00"/>
    <n v="3.5"/>
    <x v="12"/>
    <x v="12"/>
    <s v="Calle Guacara Nro. 89-20"/>
    <s v="Colaboración mantenimiento Caseta de Vigilancia"/>
    <s v="Caseta Vigilancia"/>
    <m/>
    <s v="01054"/>
    <s v="22 de Mayo de 2018"/>
    <n v="22"/>
    <d v="2018-05-01T00:00:00"/>
    <s v="3,50"/>
    <s v="Tres Bolívares con 50/100"/>
  </r>
  <r>
    <n v="1055"/>
    <m/>
    <s v="ü"/>
    <d v="2018-05-22T00:00:00"/>
    <n v="4"/>
    <x v="8"/>
    <x v="78"/>
    <s v="Calle Guacara Nro. 90-51"/>
    <s v="Cancelación Vigilancia, mes de Mayo 2018"/>
    <s v="Vigilancia"/>
    <m/>
    <s v="01055"/>
    <s v="22 de Mayo de 2018"/>
    <n v="22"/>
    <d v="2018-05-01T00:00:00"/>
    <s v="4,00"/>
    <s v="Cuatro Bolívares con 00/100"/>
  </r>
  <r>
    <n v="1056"/>
    <m/>
    <s v="ü"/>
    <d v="2018-05-22T00:00:00"/>
    <n v="3.5"/>
    <x v="8"/>
    <x v="78"/>
    <s v="Calle Guacara Nro. 90-51"/>
    <s v="Colaboración mantenimiento Caseta de Vigilancia"/>
    <s v="Caseta Vigilancia"/>
    <m/>
    <s v="01056"/>
    <s v="22 de Mayo de 2018"/>
    <n v="22"/>
    <d v="2018-05-01T00:00:00"/>
    <s v="3,50"/>
    <s v="Tres Bolívares con 50/100"/>
  </r>
  <r>
    <n v="1057"/>
    <m/>
    <s v="ü"/>
    <d v="2018-05-22T00:00:00"/>
    <n v="3.5"/>
    <x v="16"/>
    <x v="15"/>
    <s v="Calle Guacara Nro. 90-81"/>
    <s v="Colaboración mantenimiento Caseta de Vigilancia"/>
    <s v="Caseta Vigilancia"/>
    <m/>
    <s v="01057"/>
    <s v="22 de Mayo de 2018"/>
    <n v="22"/>
    <d v="2018-05-01T00:00:00"/>
    <s v="3,50"/>
    <s v="Tres Bolívares con 50/100"/>
  </r>
  <r>
    <n v="1058"/>
    <m/>
    <s v="û"/>
    <d v="2018-05-22T00:00:00"/>
    <n v="1.5"/>
    <x v="20"/>
    <x v="18"/>
    <s v="Calle Guacara Nro. 89-30"/>
    <s v="ANULADO: Complemento colaboración mantenimiento Caseta de Vigilancia"/>
    <s v="ANULADO"/>
    <m/>
    <s v="01058"/>
    <s v="22 de Mayo de 2018"/>
    <n v="22"/>
    <d v="2018-05-01T00:00:00"/>
    <s v="1,50"/>
    <s v="Un Bolívares con 50/100"/>
  </r>
  <r>
    <n v="1059"/>
    <m/>
    <s v="ü"/>
    <d v="2018-05-22T00:00:00"/>
    <n v="3.5"/>
    <x v="6"/>
    <x v="6"/>
    <s v="Calle Guacara Nro. 89-60"/>
    <s v="Colaboración mantenimiento Caseta de Vigilancia"/>
    <s v="Caseta Vigilancia"/>
    <m/>
    <s v="01059"/>
    <s v="22 de Mayo de 2018"/>
    <n v="22"/>
    <d v="2018-05-01T00:00:00"/>
    <s v="3,50"/>
    <s v="Tres Bolívares con 50/100"/>
  </r>
  <r>
    <n v="1060"/>
    <m/>
    <s v="ü"/>
    <d v="2018-05-22T00:00:00"/>
    <n v="3.5"/>
    <x v="11"/>
    <x v="11"/>
    <s v="Calle Guacara Nro. 89-86"/>
    <s v="Colaboración mantenimiento Caseta de Vigilancia"/>
    <s v="Caseta Vigilancia"/>
    <m/>
    <s v="01060"/>
    <s v="22 de Mayo de 2018"/>
    <n v="22"/>
    <d v="2018-05-01T00:00:00"/>
    <s v="3,50"/>
    <s v="Tres Bolívares con 50/100"/>
  </r>
  <r>
    <n v="1061"/>
    <m/>
    <s v="ü"/>
    <d v="2018-05-22T00:00:00"/>
    <n v="4"/>
    <x v="43"/>
    <x v="40"/>
    <s v="Calle Güigüe Nro. 88-50"/>
    <s v="Cancelación Vigilancia, mes de Mayo 2018"/>
    <s v="Vigilancia"/>
    <m/>
    <s v="01061"/>
    <s v="22 de Mayo de 2018"/>
    <n v="22"/>
    <d v="2018-05-01T00:00:00"/>
    <s v="4,00"/>
    <s v="Cuatro Bolívares con 00/100"/>
  </r>
  <r>
    <n v="1062"/>
    <m/>
    <s v="ü"/>
    <d v="2018-05-22T00:00:00"/>
    <n v="3.5"/>
    <x v="43"/>
    <x v="40"/>
    <s v="Calle Güigüe Nro. 88-50"/>
    <s v="Colaboración mantenimiento Caseta de Vigilancia"/>
    <s v="Caseta Vigilancia"/>
    <m/>
    <s v="01062"/>
    <s v="22 de Mayo de 2018"/>
    <n v="22"/>
    <d v="2018-05-01T00:00:00"/>
    <s v="3,50"/>
    <s v="Tres Bolívares con 50/100"/>
  </r>
  <r>
    <n v="1063"/>
    <m/>
    <s v="ü"/>
    <d v="2018-05-22T00:00:00"/>
    <n v="3.5"/>
    <x v="52"/>
    <x v="9"/>
    <s v="Calle Güigüe Nro. 89-45"/>
    <s v="Colaboración mantenimiento Caseta de Vigilancia (saldo a favor: Bs. 1.493.000)"/>
    <s v="Caseta Vigilancia"/>
    <m/>
    <s v="01063"/>
    <s v="22 de Mayo de 2018"/>
    <n v="22"/>
    <d v="2018-05-01T00:00:00"/>
    <s v="3,50"/>
    <s v="Tres Bolívares con 50/100"/>
  </r>
  <r>
    <n v="1064"/>
    <m/>
    <s v="ü"/>
    <d v="2018-05-22T00:00:00"/>
    <n v="3.5"/>
    <x v="9"/>
    <x v="9"/>
    <s v="Av. &quot;M&quot; Nro. 146-30"/>
    <s v="Colaboración mantenimiento Caseta de Vigilancia"/>
    <s v="Caseta Vigilancia"/>
    <m/>
    <s v="01064"/>
    <s v="22 de Mayo de 2018"/>
    <n v="22"/>
    <d v="2018-05-01T00:00:00"/>
    <s v="3,50"/>
    <s v="Tres Bolívares con 50/100"/>
  </r>
  <r>
    <n v="1065"/>
    <m/>
    <s v="ü"/>
    <d v="2018-05-22T00:00:00"/>
    <n v="6.6"/>
    <x v="11"/>
    <x v="11"/>
    <s v="Calle Guacara Nro. 89-86"/>
    <s v="Vigilancia, saldo mes de Mayo y cancelación mes de Junio 2018"/>
    <s v="Vigilancia"/>
    <m/>
    <s v="01065"/>
    <s v="22 de Mayo de 2018"/>
    <n v="22"/>
    <d v="2018-05-01T00:00:00"/>
    <s v="6,60"/>
    <s v="Seis Bolívares con 60/100"/>
  </r>
  <r>
    <n v="1066"/>
    <m/>
    <s v="ü"/>
    <d v="2018-05-23T00:00:00"/>
    <n v="3.5"/>
    <x v="63"/>
    <x v="56"/>
    <s v="Calle Guacara Nro. 88-85"/>
    <s v="Colaboración mantenimiento Caseta de Vigilancia"/>
    <s v="Caseta Vigilancia"/>
    <m/>
    <s v="01066"/>
    <s v="23 de Mayo de 2018"/>
    <n v="23"/>
    <d v="2018-05-01T00:00:00"/>
    <s v="3,50"/>
    <s v="Tres Bolívares con 50/100"/>
  </r>
  <r>
    <n v="1067"/>
    <m/>
    <s v="ü"/>
    <d v="2018-05-23T00:00:00"/>
    <n v="4"/>
    <x v="46"/>
    <x v="43"/>
    <s v="Av. &quot;I&quot; Nro. 146-20"/>
    <s v="Cancelación Vigilancia, mes de Mayo 2018"/>
    <s v="Vigilancia"/>
    <m/>
    <s v="01067"/>
    <s v="23 de Mayo de 2018"/>
    <n v="23"/>
    <d v="2018-05-01T00:00:00"/>
    <s v="4,00"/>
    <s v="Cuatro Bolívares con 00/100"/>
  </r>
  <r>
    <n v="1068"/>
    <m/>
    <s v="ü"/>
    <d v="2018-05-23T00:00:00"/>
    <n v="3.5"/>
    <x v="65"/>
    <x v="58"/>
    <s v="Calle Güigüe Nro. 88-10"/>
    <s v="Colaboración mantenimiento Caseta de Vigilancia"/>
    <s v="Caseta Vigilancia"/>
    <m/>
    <s v="01068"/>
    <s v="23 de Mayo de 2018"/>
    <n v="23"/>
    <d v="2018-05-01T00:00:00"/>
    <s v="3,50"/>
    <s v="Tres Bolívares con 50/100"/>
  </r>
  <r>
    <n v="1069"/>
    <m/>
    <s v="ü"/>
    <d v="2018-05-23T00:00:00"/>
    <n v="3.5"/>
    <x v="15"/>
    <x v="14"/>
    <s v="Calle Guacara Nro. 89-94"/>
    <s v="Colaboración mantenimiento Caseta de Vigilancia"/>
    <s v="Caseta Vigilancia"/>
    <m/>
    <s v="01069"/>
    <s v="23 de Mayo de 2018"/>
    <n v="23"/>
    <d v="2018-05-01T00:00:00"/>
    <s v="3,50"/>
    <s v="Tres Bolívares con 50/100"/>
  </r>
  <r>
    <n v="1070"/>
    <m/>
    <s v="ü"/>
    <d v="2018-05-23T00:00:00"/>
    <n v="3.5"/>
    <x v="89"/>
    <x v="81"/>
    <s v="Calle Guacara Nro. 88-75"/>
    <s v="Colaboración mantenimiento Caseta de Vigilancia"/>
    <s v="Caseta Vigilancia"/>
    <m/>
    <s v="01070"/>
    <s v="23 de Mayo de 2018"/>
    <n v="23"/>
    <d v="2018-05-01T00:00:00"/>
    <s v="3,50"/>
    <s v="Tres Bolívares con 50/100"/>
  </r>
  <r>
    <n v="1071"/>
    <m/>
    <s v="ü"/>
    <d v="2018-05-23T00:00:00"/>
    <n v="3.5"/>
    <x v="20"/>
    <x v="18"/>
    <s v="Calle Guacara Nro. 89-30"/>
    <s v="Complemento colaboración mantenimiento Caseta de Vigilancia"/>
    <s v="Caseta Vigilancia"/>
    <m/>
    <s v="01071"/>
    <s v="23 de Mayo de 2018"/>
    <n v="23"/>
    <d v="2018-05-01T00:00:00"/>
    <s v="3,50"/>
    <s v="Tres Bolívares con 50/100"/>
  </r>
  <r>
    <n v="1072"/>
    <m/>
    <s v="ü"/>
    <d v="2018-05-23T00:00:00"/>
    <n v="1.5"/>
    <x v="18"/>
    <x v="16"/>
    <s v="Calle Guacara Nro. 87-100"/>
    <s v="Cancelación Vigilancia, saldo mes de Mayo 2018"/>
    <s v="Vigilancia"/>
    <m/>
    <s v="01072"/>
    <s v="23 de Mayo de 2018"/>
    <n v="23"/>
    <d v="2018-05-01T00:00:00"/>
    <s v="1,50"/>
    <s v="Un Bolívares con 50/100"/>
  </r>
  <r>
    <n v="1073"/>
    <m/>
    <s v="ü"/>
    <d v="2018-05-23T00:00:00"/>
    <n v="1"/>
    <x v="18"/>
    <x v="16"/>
    <s v="Calle Guacara Nro. 87-100"/>
    <s v="Colaboración mantenimiento Caseta de Vigilancia"/>
    <s v="Caseta Vigilancia"/>
    <m/>
    <s v="01073"/>
    <s v="23 de Mayo de 2018"/>
    <n v="23"/>
    <d v="2018-05-01T00:00:00"/>
    <s v="1,00"/>
    <s v="Un Bolívar con 00/100"/>
  </r>
  <r>
    <n v="1074"/>
    <m/>
    <s v="ü"/>
    <d v="2018-05-23T00:00:00"/>
    <n v="3.5"/>
    <x v="35"/>
    <x v="32"/>
    <s v="Calle Güigüe Nro. 89-80"/>
    <s v="Colaboración mantenimiento Caseta de Vigilancia"/>
    <s v="Caseta Vigilancia"/>
    <m/>
    <s v="01074"/>
    <s v="23 de Mayo de 2018"/>
    <n v="23"/>
    <d v="2018-05-01T00:00:00"/>
    <s v="3,50"/>
    <s v="Tres Bolívares con 50/100"/>
  </r>
  <r>
    <n v="1075"/>
    <m/>
    <s v="ü"/>
    <d v="2018-05-23T00:00:00"/>
    <n v="3.5"/>
    <x v="38"/>
    <x v="35"/>
    <s v="Calle Guacara Nro. 89-78"/>
    <s v="Colaboración mantenimiento Caseta de Vigilancia"/>
    <s v="Caseta Vigilancia"/>
    <m/>
    <s v="01075"/>
    <s v="23 de Mayo de 2018"/>
    <n v="23"/>
    <d v="2018-05-01T00:00:00"/>
    <s v="3,50"/>
    <s v="Tres Bolívares con 50/100"/>
  </r>
  <r>
    <n v="1076"/>
    <m/>
    <s v="ü"/>
    <d v="2018-05-23T00:00:00"/>
    <n v="3.5"/>
    <x v="31"/>
    <x v="29"/>
    <s v="Calle Güigüe Nro. 89-95"/>
    <s v="Colaboración mantenimiento Caseta de Vigilancia"/>
    <s v="Caseta Vigilancia"/>
    <m/>
    <s v="01076"/>
    <s v="23 de Mayo de 2018"/>
    <n v="23"/>
    <d v="2018-05-01T00:00:00"/>
    <s v="3,50"/>
    <s v="Tres Bolívares con 50/100"/>
  </r>
  <r>
    <n v="1077"/>
    <m/>
    <s v="ü"/>
    <d v="2018-05-23T00:00:00"/>
    <n v="8"/>
    <x v="70"/>
    <x v="9"/>
    <s v="Calle Guacara Nro. 89-70"/>
    <s v="Cancelación Vigilancia, meses de Mayo y Junio 2018"/>
    <s v="Vigilancia"/>
    <m/>
    <s v="01077"/>
    <s v="23 de Mayo de 2018"/>
    <n v="23"/>
    <d v="2018-05-01T00:00:00"/>
    <s v="8,00"/>
    <s v="Ocho Bolívares con 00/100"/>
  </r>
  <r>
    <n v="1078"/>
    <m/>
    <s v="ü"/>
    <d v="2018-05-24T00:00:00"/>
    <n v="4"/>
    <x v="90"/>
    <x v="82"/>
    <s v="Calle Güigüe Nro. 89-04"/>
    <s v="Cancelación Vigilancia, mes de Mayo 2018"/>
    <s v="Vigilancia"/>
    <m/>
    <s v="01078"/>
    <s v="24 de Mayo de 2018"/>
    <n v="24"/>
    <d v="2018-05-01T00:00:00"/>
    <s v="4,00"/>
    <s v="Cuatro Bolívares con 00/100"/>
  </r>
  <r>
    <n v="1079"/>
    <m/>
    <s v="ü"/>
    <d v="2018-05-24T00:00:00"/>
    <n v="3.5"/>
    <x v="90"/>
    <x v="82"/>
    <s v="Calle Güigüe Nro. 89-04"/>
    <s v="Colaboración mantenimiento Caseta de Vigilancia"/>
    <s v="Caseta Vigilancia"/>
    <m/>
    <s v="01079"/>
    <s v="24 de Mayo de 2018"/>
    <n v="24"/>
    <d v="2018-05-01T00:00:00"/>
    <s v="3,50"/>
    <s v="Tres Bolívares con 50/100"/>
  </r>
  <r>
    <n v="1080"/>
    <m/>
    <s v="ü"/>
    <d v="2018-05-24T00:00:00"/>
    <n v="3.5"/>
    <x v="14"/>
    <x v="13"/>
    <s v="Calle Güigüe Nro. 89-83"/>
    <s v="Colaboración mantenimiento Caseta de Vigilancia"/>
    <s v="Caseta Vigilancia"/>
    <m/>
    <s v="01080"/>
    <s v="24 de Mayo de 2018"/>
    <n v="24"/>
    <d v="2018-05-01T00:00:00"/>
    <s v="3,50"/>
    <s v="Tres Bolívares con 50/100"/>
  </r>
  <r>
    <n v="1081"/>
    <m/>
    <s v="ü"/>
    <d v="2018-05-25T00:00:00"/>
    <n v="3.5"/>
    <x v="19"/>
    <x v="17"/>
    <s v="Calle Guacara Nro. 89-130"/>
    <s v="Colaboración mantenimiento Caseta de Vigilancia"/>
    <s v="Caseta Vigilancia"/>
    <m/>
    <s v="01081"/>
    <s v="25 de Mayo de 2018"/>
    <n v="25"/>
    <d v="2018-05-01T00:00:00"/>
    <s v="3,50"/>
    <s v="Tres Bolívares con 50/100"/>
  </r>
  <r>
    <n v="1082"/>
    <m/>
    <s v="ü"/>
    <d v="2018-05-25T00:00:00"/>
    <n v="3.5"/>
    <x v="76"/>
    <x v="66"/>
    <s v="Calle Güigüe Nro. 89-90"/>
    <s v="Colaboración mantenimiento Caseta de Vigilancia"/>
    <s v="Caseta Vigilancia"/>
    <m/>
    <s v="01082"/>
    <s v="25 de Mayo de 2018"/>
    <n v="25"/>
    <d v="2018-05-01T00:00:00"/>
    <s v="3,50"/>
    <s v="Tres Bolívares con 50/100"/>
  </r>
  <r>
    <n v="1083"/>
    <m/>
    <s v="ü"/>
    <d v="2018-05-25T00:00:00"/>
    <n v="3.5"/>
    <x v="88"/>
    <x v="76"/>
    <s v="Calle Güigüe Nro. 88-11"/>
    <s v="Colaboración mantenimiento Caseta de Vigilancia"/>
    <s v="Caseta Vigilancia"/>
    <m/>
    <s v="01083"/>
    <s v="25 de Mayo de 2018"/>
    <n v="25"/>
    <d v="2018-05-01T00:00:00"/>
    <s v="3,50"/>
    <s v="Tres Bolívares con 50/100"/>
  </r>
  <r>
    <n v="1084"/>
    <m/>
    <s v="ü"/>
    <d v="2018-05-26T00:00:00"/>
    <n v="1"/>
    <x v="74"/>
    <x v="64"/>
    <s v="Calle Güigüe Nro. 88-20"/>
    <s v="Colaboración mantenimiento Caseta de Vigilancia"/>
    <s v="Caseta Vigilancia"/>
    <m/>
    <s v="01084"/>
    <s v="26 de Mayo de 2018"/>
    <n v="26"/>
    <d v="2018-05-01T00:00:00"/>
    <s v="1,00"/>
    <s v="Un Bolívar con 00/100"/>
  </r>
  <r>
    <n v="1085"/>
    <m/>
    <s v="ü"/>
    <d v="2018-05-27T00:00:00"/>
    <n v="4"/>
    <x v="56"/>
    <x v="52"/>
    <s v="Calle Güigüe Nro. 88-70"/>
    <s v="Cancelación Vigilancia, mes de Mayo 2018"/>
    <s v="Vigilancia"/>
    <m/>
    <s v="01085"/>
    <s v="27 de Mayo de 2018"/>
    <n v="27"/>
    <d v="2018-05-01T00:00:00"/>
    <s v="4,00"/>
    <s v="Cuatro Bolívares con 00/100"/>
  </r>
  <r>
    <n v="1086"/>
    <m/>
    <s v="ü"/>
    <d v="2018-05-27T00:00:00"/>
    <n v="3.5"/>
    <x v="56"/>
    <x v="52"/>
    <s v="Calle Güigüe Nro. 88-70"/>
    <s v="Colaboración mantenimiento Caseta de Vigilancia"/>
    <s v="Caseta Vigilancia"/>
    <m/>
    <s v="01086"/>
    <s v="27 de Mayo de 2018"/>
    <n v="27"/>
    <d v="2018-05-01T00:00:00"/>
    <s v="3,50"/>
    <s v="Tres Bolívares con 50/100"/>
  </r>
  <r>
    <n v="1087"/>
    <m/>
    <s v="ü"/>
    <d v="2018-05-28T00:00:00"/>
    <n v="4"/>
    <x v="28"/>
    <x v="77"/>
    <s v="Calle Güigüe Nro. 88-30"/>
    <s v="Ajuste Colaboración Vigilancia, meses de Febrero, Marzo, Abril y Mayo 2018"/>
    <s v="Vigilancia"/>
    <m/>
    <s v="01087"/>
    <s v="28 de Mayo de 2018"/>
    <n v="28"/>
    <d v="2018-05-01T00:00:00"/>
    <s v="4,00"/>
    <s v="Cuatro Bolívares con 00/100"/>
  </r>
  <r>
    <n v="1088"/>
    <m/>
    <s v="ü"/>
    <d v="2018-05-28T00:00:00"/>
    <n v="3.5"/>
    <x v="28"/>
    <x v="77"/>
    <s v="Calle Güigüe Nro. 88-30"/>
    <s v="Colaboración mantenimiento Caseta de Vigilancia"/>
    <s v="Caseta Vigilancia"/>
    <m/>
    <s v="01088"/>
    <s v="28 de Mayo de 2018"/>
    <n v="28"/>
    <d v="2018-05-01T00:00:00"/>
    <s v="3,50"/>
    <s v="Tres Bolívares con 50/100"/>
  </r>
  <r>
    <n v="1089"/>
    <m/>
    <s v="ü"/>
    <d v="2018-05-28T00:00:00"/>
    <n v="3.5"/>
    <x v="27"/>
    <x v="25"/>
    <s v="Calle Güigüe Nro. 89-106"/>
    <s v="Colaboración mantenimiento Caseta de Vigilancia"/>
    <s v="Caseta Vigilancia"/>
    <m/>
    <s v="01089"/>
    <s v="28 de Mayo de 2018"/>
    <n v="28"/>
    <d v="2018-05-01T00:00:00"/>
    <s v="3,50"/>
    <s v="Tres Bolívares con 50/100"/>
  </r>
  <r>
    <n v="1090"/>
    <m/>
    <s v="ü"/>
    <d v="2018-05-28T00:00:00"/>
    <n v="3.5"/>
    <x v="49"/>
    <x v="46"/>
    <s v="Av. &quot;O&quot; Nro. 146-17"/>
    <s v="Colaboración mantenimiento Caseta de Vigilancia"/>
    <s v="Caseta Vigilancia"/>
    <m/>
    <s v="01090"/>
    <s v="28 de Mayo de 2018"/>
    <n v="28"/>
    <d v="2018-05-01T00:00:00"/>
    <s v="3,50"/>
    <s v="Tres Bolívares con 50/100"/>
  </r>
  <r>
    <n v="1091"/>
    <m/>
    <s v="ü"/>
    <d v="2018-05-28T00:00:00"/>
    <n v="3.5"/>
    <x v="61"/>
    <x v="14"/>
    <s v="Calle Guacara Nro. 87-07"/>
    <s v="Colaboración mantenimiento Caseta de Vigilancia"/>
    <s v="Caseta Vigilancia"/>
    <m/>
    <s v="01091"/>
    <s v="28 de Mayo de 2018"/>
    <n v="28"/>
    <d v="2018-05-01T00:00:00"/>
    <s v="3,50"/>
    <s v="Tres Bolívares con 50/100"/>
  </r>
  <r>
    <n v="1092"/>
    <m/>
    <s v="ü"/>
    <d v="2018-05-29T00:00:00"/>
    <n v="2"/>
    <x v="2"/>
    <x v="83"/>
    <s v="Calle Guacara Nro. 88-19"/>
    <s v="Colaboración Vigilancia, mes de Mayo 2018"/>
    <s v="Vigilancia"/>
    <m/>
    <s v="01092"/>
    <s v="29 de Mayo de 2018"/>
    <n v="29"/>
    <d v="2018-05-01T00:00:00"/>
    <s v="2,00"/>
    <s v="Dos Bolívares con 00/100"/>
  </r>
  <r>
    <n v="1093"/>
    <m/>
    <s v="ü"/>
    <d v="2018-05-29T00:00:00"/>
    <n v="3.5"/>
    <x v="2"/>
    <x v="83"/>
    <s v="Calle Guacara Nro. 88-19"/>
    <s v="Colaboración mantenimiento Caseta de Vigilancia"/>
    <s v="Caseta Vigilancia"/>
    <m/>
    <s v="01093"/>
    <s v="29 de Mayo de 2018"/>
    <n v="29"/>
    <d v="2018-05-01T00:00:00"/>
    <s v="3,50"/>
    <s v="Tres Bolívares con 50/100"/>
  </r>
  <r>
    <n v="1094"/>
    <m/>
    <s v="ü"/>
    <d v="2018-05-29T00:00:00"/>
    <n v="3.5"/>
    <x v="23"/>
    <x v="21"/>
    <s v="Calle Güigüe Nro. 88-116"/>
    <s v="Colaboración mantenimiento Caseta de Vigilancia"/>
    <s v="Caseta Vigilancia"/>
    <m/>
    <s v="01094"/>
    <s v="29 de Mayo de 2018"/>
    <n v="29"/>
    <d v="2018-05-01T00:00:00"/>
    <s v="3,50"/>
    <s v="Tres Bolívares con 50/100"/>
  </r>
  <r>
    <n v="1095"/>
    <m/>
    <s v="ü"/>
    <d v="2018-05-29T00:00:00"/>
    <n v="3.5"/>
    <x v="73"/>
    <x v="9"/>
    <s v="Calle Güigüe Nros. 88-71 y 88-81"/>
    <s v="Colaboración mantenimiento Caseta de Vigilancia"/>
    <s v="Caseta Vigilancia"/>
    <m/>
    <s v="01095"/>
    <s v="29 de Mayo de 2018"/>
    <n v="29"/>
    <d v="2018-05-01T00:00:00"/>
    <s v="3,50"/>
    <s v="Tres Bolívares con 50/100"/>
  </r>
  <r>
    <n v="1096"/>
    <m/>
    <s v="ü"/>
    <d v="2018-05-30T00:00:00"/>
    <n v="2.4"/>
    <x v="58"/>
    <x v="53"/>
    <s v="Calle Güigüe Nro. 88-51"/>
    <s v="Cancelación Vigilancia, saldo mes de Marzo y mes de Abril 2018"/>
    <s v="Vigilancia"/>
    <m/>
    <s v="01096"/>
    <s v="30 de Mayo de 2018"/>
    <n v="30"/>
    <d v="2018-05-01T00:00:00"/>
    <s v="2,40"/>
    <s v="Dos Bolívares con 40/100"/>
  </r>
  <r>
    <n v="1097"/>
    <m/>
    <s v="ü"/>
    <d v="2018-05-23T00:00:00"/>
    <n v="4"/>
    <x v="59"/>
    <x v="9"/>
    <s v="Calle Guacara Nro. 90-35"/>
    <s v="Cancelación Vigilancia, mes de Mayo 2018"/>
    <s v="Vigilancia"/>
    <m/>
    <s v="01097"/>
    <s v="23 de Mayo de 2018"/>
    <n v="23"/>
    <d v="2018-05-01T00:00:00"/>
    <s v="4,00"/>
    <s v="Cuatro Bolívares con 00/100"/>
  </r>
  <r>
    <n v="1098"/>
    <m/>
    <s v="ü"/>
    <d v="2018-05-30T00:00:00"/>
    <n v="9.4"/>
    <x v="91"/>
    <x v="84"/>
    <s v="Calle Güigüe Nro. 89-89"/>
    <s v="Cancelación Vigilancia, meses de Abril, Mayo y Junio 2018"/>
    <s v="Vigilancia"/>
    <m/>
    <s v="01098"/>
    <s v="30 de Mayo de 2018"/>
    <n v="30"/>
    <d v="2018-05-01T00:00:00"/>
    <s v="9,40"/>
    <s v="Nueve Bolívares con 40/100"/>
  </r>
  <r>
    <n v="1099"/>
    <m/>
    <s v="ü"/>
    <d v="2018-05-30T00:00:00"/>
    <n v="3.5"/>
    <x v="91"/>
    <x v="84"/>
    <s v="Calle Güigüe Nro. 89-89"/>
    <s v="Colaboración mantenimiento Caseta de Vigilancia"/>
    <s v="Caseta Vigilancia"/>
    <m/>
    <s v="01099"/>
    <s v="30 de Mayo de 2018"/>
    <n v="30"/>
    <d v="2018-05-01T00:00:00"/>
    <s v="3,50"/>
    <s v="Tres Bolívares con 50/100"/>
  </r>
  <r>
    <n v="1100"/>
    <m/>
    <s v="ü"/>
    <d v="2018-05-30T00:00:00"/>
    <n v="2.5"/>
    <x v="24"/>
    <x v="22"/>
    <s v="Calle Güigüe Nro. 88-54"/>
    <s v="Colaboración mantenimiento Caseta de Vigilancia"/>
    <s v="Caseta Vigilancia"/>
    <m/>
    <s v="01100"/>
    <s v="30 de Mayo de 2018"/>
    <n v="30"/>
    <d v="2018-05-01T00:00:00"/>
    <s v="2,50"/>
    <s v="Dos Bolívares con 50/100"/>
  </r>
  <r>
    <n v="1101"/>
    <m/>
    <s v="ü"/>
    <d v="2018-05-30T00:00:00"/>
    <n v="4"/>
    <x v="36"/>
    <x v="33"/>
    <s v="Calle Güigüe Nro. 89-10"/>
    <s v="Cancelación Vigilancia, mes de Mayo 2018"/>
    <s v="Vigilancia"/>
    <m/>
    <s v="01101"/>
    <s v="30 de Mayo de 2018"/>
    <n v="30"/>
    <d v="2018-05-01T00:00:00"/>
    <s v="4,00"/>
    <s v="Cuatro Bolívares con 00/100"/>
  </r>
  <r>
    <n v="1102"/>
    <m/>
    <s v="ü"/>
    <d v="2018-05-30T00:00:00"/>
    <n v="3.5"/>
    <x v="36"/>
    <x v="33"/>
    <s v="Calle Güigüe Nro. 89-10"/>
    <s v="Colaboración mantenimiento Caseta de Vigilancia"/>
    <s v="Caseta Vigilancia"/>
    <m/>
    <s v="01102"/>
    <s v="30 de Mayo de 2018"/>
    <n v="30"/>
    <d v="2018-05-01T00:00:00"/>
    <s v="3,50"/>
    <s v="Tres Bolívares con 50/100"/>
  </r>
  <r>
    <n v="1103"/>
    <m/>
    <s v="ü"/>
    <d v="2018-05-31T00:00:00"/>
    <n v="5.4"/>
    <x v="44"/>
    <x v="41"/>
    <s v="Calle Guacara Nro. 89-40"/>
    <s v="Cancelación Vigilancia, meses de Abril y Mayo 2018"/>
    <s v="Vigilancia"/>
    <m/>
    <s v="01103"/>
    <s v="31 de Mayo de 2018"/>
    <n v="31"/>
    <d v="2018-05-01T00:00:00"/>
    <s v="5,40"/>
    <s v="Cinco Bolívares con 40/100"/>
  </r>
  <r>
    <n v="1104"/>
    <m/>
    <s v="ü"/>
    <d v="2018-05-31T00:00:00"/>
    <n v="6.6"/>
    <x v="62"/>
    <x v="55"/>
    <s v="Av. &quot;M&quot; Nro. 145-10"/>
    <s v="Cancelación Vigilancia, saldo mes de Mayo y mes de Junio 2018"/>
    <s v="Vigilancia"/>
    <m/>
    <s v="01104"/>
    <s v="31 de Mayo de 2018"/>
    <n v="31"/>
    <d v="2018-05-01T00:00:00"/>
    <s v="6,60"/>
    <s v="Seis Bolívares con 60/100"/>
  </r>
  <r>
    <n v="1105"/>
    <m/>
    <s v="ü"/>
    <d v="2018-06-02T00:00:00"/>
    <n v="8"/>
    <x v="37"/>
    <x v="34"/>
    <s v="Av. &quot;I&quot; Nro. 146-40"/>
    <s v="Cancelación Vigilancia, meses de Mayo y Junio 2018"/>
    <s v="Vigilancia"/>
    <m/>
    <s v="01105"/>
    <s v="02 de Junio de 2018"/>
    <n v="2"/>
    <d v="2018-06-01T00:00:00"/>
    <s v="8,00"/>
    <s v="Ocho Bolívares con 00/100"/>
  </r>
  <r>
    <n v="1106"/>
    <m/>
    <s v="ü"/>
    <d v="2018-06-02T00:00:00"/>
    <n v="3.5"/>
    <x v="37"/>
    <x v="34"/>
    <s v="Av. &quot;I&quot; Nro. 146-40"/>
    <s v="Colaboración mantenimiento Caseta de Vigilancia"/>
    <s v="Caseta Vigilancia"/>
    <m/>
    <s v="01106"/>
    <s v="02 de Junio de 2018"/>
    <n v="2"/>
    <d v="2018-06-01T00:00:00"/>
    <s v="3,50"/>
    <s v="Tres Bolívares con 50/100"/>
  </r>
  <r>
    <n v="1107"/>
    <m/>
    <s v="ü"/>
    <d v="2018-06-02T00:00:00"/>
    <n v="3.5"/>
    <x v="75"/>
    <x v="65"/>
    <s v="Av. &quot;Ñ&quot; Nro. 145-25"/>
    <s v="Colaboración mantenimiento Caseta de Vigilancia"/>
    <s v="Caseta Vigilancia"/>
    <m/>
    <s v="01107"/>
    <s v="02 de Junio de 2018"/>
    <n v="2"/>
    <d v="2018-06-01T00:00:00"/>
    <s v="3,50"/>
    <s v="Tres Bolívares con 50/100"/>
  </r>
  <r>
    <n v="1108"/>
    <m/>
    <s v="ü"/>
    <d v="2018-06-04T00:00:00"/>
    <n v="4"/>
    <x v="89"/>
    <x v="81"/>
    <s v="Calle Guacara Nro. 88-75"/>
    <s v="Cancelación Vigilancia, mes de Junio 2018"/>
    <s v="Vigilancia"/>
    <m/>
    <s v="01108"/>
    <s v="04 de Junio de 2018"/>
    <n v="4"/>
    <d v="2018-06-01T00:00:00"/>
    <s v="4,00"/>
    <s v="Cuatro Bolívares con 00/100"/>
  </r>
  <r>
    <n v="1109"/>
    <m/>
    <s v="ü"/>
    <d v="2018-06-04T00:00:00"/>
    <n v="4"/>
    <x v="7"/>
    <x v="7"/>
    <s v="Calle Guacara Nro. 87-86"/>
    <s v="Cancelación Vigilancia, mes de Junio 2018"/>
    <s v="Vigilancia"/>
    <m/>
    <s v="01109"/>
    <s v="04 de Junio de 2018"/>
    <n v="4"/>
    <d v="2018-06-01T00:00:00"/>
    <s v="4,00"/>
    <s v="Cuatro Bolívares con 00/100"/>
  </r>
  <r>
    <n v="1110"/>
    <m/>
    <s v="ü"/>
    <d v="2018-06-04T00:00:00"/>
    <n v="4"/>
    <x v="10"/>
    <x v="10"/>
    <s v="Av. &quot;M&quot; Nro. 146-15"/>
    <s v="Cancelación Vigilancia, mes de Mayo 2018"/>
    <s v="Vigilancia"/>
    <m/>
    <s v="01110"/>
    <s v="04 de Junio de 2018"/>
    <n v="4"/>
    <d v="2018-06-01T00:00:00"/>
    <s v="4,00"/>
    <s v="Cuatro Bolívares con 00/100"/>
  </r>
  <r>
    <n v="1111"/>
    <m/>
    <s v="ü"/>
    <d v="2018-06-04T00:00:00"/>
    <n v="1"/>
    <x v="32"/>
    <x v="30"/>
    <s v="Calle Güigüe Nro. 89-120"/>
    <s v="Colaboración Vigilancia, mes de Mayo 2018"/>
    <s v="Vigilancia"/>
    <m/>
    <s v="01111"/>
    <s v="04 de Junio de 2018"/>
    <n v="4"/>
    <d v="2018-06-01T00:00:00"/>
    <s v="1,00"/>
    <s v="Un Bolívar con 00/100"/>
  </r>
  <r>
    <n v="1112"/>
    <m/>
    <s v="ü"/>
    <d v="2018-06-04T00:00:00"/>
    <n v="4"/>
    <x v="14"/>
    <x v="13"/>
    <s v="Calle Güigüe Nro. 89-83"/>
    <s v="Cancelación Vigilancia, mes de Junio 2018"/>
    <s v="Vigilancia"/>
    <m/>
    <s v="01112"/>
    <s v="04 de Junio de 2018"/>
    <n v="4"/>
    <d v="2018-06-01T00:00:00"/>
    <s v="4,00"/>
    <s v="Cuatro Bolívares con 00/100"/>
  </r>
  <r>
    <n v="1113"/>
    <m/>
    <s v="ü"/>
    <d v="2018-06-04T00:00:00"/>
    <n v="4.5999999999999996"/>
    <x v="25"/>
    <x v="23"/>
    <s v="Calle Güigüe Nro. 88-58"/>
    <s v="Colaboración Vigilancia, meses de Marzo, Abril y Mayo 2018"/>
    <s v="Vigilancia"/>
    <m/>
    <s v="01113"/>
    <s v="04 de Junio de 2018"/>
    <n v="4"/>
    <d v="2018-06-01T00:00:00"/>
    <s v="4,60"/>
    <s v="Cuatro Bolívares con 60/100"/>
  </r>
  <r>
    <n v="1114"/>
    <m/>
    <s v="ü"/>
    <d v="2018-06-04T00:00:00"/>
    <n v="2"/>
    <x v="71"/>
    <x v="62"/>
    <s v="Calle Güigüe Nro. 89-71"/>
    <s v="Colaboración Vigilancia, mes de Mayo 2018"/>
    <s v="Vigilancia"/>
    <m/>
    <s v="01114"/>
    <s v="04 de Junio de 2018"/>
    <n v="4"/>
    <d v="2018-06-01T00:00:00"/>
    <s v="2,00"/>
    <s v="Dos Bolívares con 00/100"/>
  </r>
  <r>
    <n v="1115"/>
    <m/>
    <s v="ü"/>
    <d v="2018-06-04T00:00:00"/>
    <n v="3"/>
    <x v="71"/>
    <x v="62"/>
    <s v="Calle Güigüe Nro. 89-71"/>
    <s v="Colaboración mantenimiento Caseta de Vigilancia"/>
    <s v="Caseta Vigilancia"/>
    <m/>
    <s v="01115"/>
    <s v="04 de Junio de 2018"/>
    <n v="4"/>
    <d v="2018-06-01T00:00:00"/>
    <s v="3,00"/>
    <s v="Tres Bolívares con 00/100"/>
  </r>
  <r>
    <n v="1116"/>
    <m/>
    <s v="ü"/>
    <d v="2018-06-06T00:00:00"/>
    <n v="8"/>
    <x v="5"/>
    <x v="9"/>
    <s v="Calle Güigüe Nro. 88-120"/>
    <s v="Cancelación Vigilancia, meses de Junio y Julio 2018"/>
    <s v="Vigilancia"/>
    <m/>
    <s v="01116"/>
    <s v="06 de Junio de 2018"/>
    <n v="6"/>
    <d v="2018-06-01T00:00:00"/>
    <s v="8,00"/>
    <s v="Ocho Bolívares con 00/100"/>
  </r>
  <r>
    <n v="1117"/>
    <m/>
    <s v="ü"/>
    <d v="2018-06-06T00:00:00"/>
    <n v="3"/>
    <x v="5"/>
    <x v="9"/>
    <s v="Calle Güigüe Nro. 88-120"/>
    <s v="Colaboración mantenimiento Caseta de Vigilancia"/>
    <s v="Caseta Vigilancia"/>
    <m/>
    <s v="01117"/>
    <s v="06 de Junio de 2018"/>
    <n v="6"/>
    <d v="2018-06-01T00:00:00"/>
    <s v="3,00"/>
    <s v="Tres Bolívares con 00/100"/>
  </r>
  <r>
    <n v="1118"/>
    <m/>
    <s v="ü"/>
    <d v="2018-06-06T00:00:00"/>
    <n v="4"/>
    <x v="90"/>
    <x v="82"/>
    <s v="Calle Güigüe Nro. 89-04"/>
    <s v="Cancelación Vigilancia, mes de Junio 2018"/>
    <s v="Vigilancia"/>
    <m/>
    <s v="01118"/>
    <s v="06 de Junio de 2018"/>
    <n v="6"/>
    <d v="2018-06-01T00:00:00"/>
    <s v="4,00"/>
    <s v="Cuatro Bolívares con 00/100"/>
  </r>
  <r>
    <n v="1119"/>
    <m/>
    <s v="ü"/>
    <d v="2018-06-06T00:00:00"/>
    <n v="4"/>
    <x v="81"/>
    <x v="69"/>
    <s v="Calle Güigüe Nro. 89-65"/>
    <s v="Cancelación Vigilancia, mes de Junio 2018"/>
    <s v="Vigilancia"/>
    <m/>
    <s v="01119"/>
    <s v="06 de Junio de 2018"/>
    <n v="6"/>
    <d v="2018-06-01T00:00:00"/>
    <s v="4,00"/>
    <s v="Cuatro Bolívares con 00/100"/>
  </r>
  <r>
    <n v="1120"/>
    <m/>
    <s v="ü"/>
    <d v="2018-06-06T00:00:00"/>
    <n v="4"/>
    <x v="0"/>
    <x v="0"/>
    <s v="Calle Guacara Nro. 88-45"/>
    <s v="Cancelación Vigilancia, mes de Junio 2018 (saldo a favor: Bs. 4.720.000)"/>
    <s v="Vigilancia"/>
    <m/>
    <s v="01120"/>
    <s v="06 de Junio de 2018"/>
    <n v="6"/>
    <d v="2018-06-01T00:00:00"/>
    <s v="4,00"/>
    <s v="Cuatro Bolívares con 00/100"/>
  </r>
  <r>
    <n v="1121"/>
    <m/>
    <s v="ü"/>
    <d v="2018-06-06T00:00:00"/>
    <n v="4"/>
    <x v="75"/>
    <x v="65"/>
    <s v="Av. &quot;Ñ&quot; Nro. 145-25"/>
    <s v="Cancelación Vigilancia, mes de Junio 2018 (saldo a favor: Bs. 3.435.000)"/>
    <s v="Vigilancia"/>
    <m/>
    <s v="01121"/>
    <s v="06 de Junio de 2018"/>
    <n v="6"/>
    <d v="2018-06-01T00:00:00"/>
    <s v="4,00"/>
    <s v="Cuatro Bolívares con 00/100"/>
  </r>
  <r>
    <n v="1122"/>
    <m/>
    <s v="ü"/>
    <d v="2018-06-06T00:00:00"/>
    <n v="4"/>
    <x v="12"/>
    <x v="12"/>
    <s v="Calle Guacara Nro. 89-20"/>
    <s v="Cancelación Vigilancia, mes de Junio 2018"/>
    <s v="Vigilancia"/>
    <m/>
    <s v="01122"/>
    <s v="06 de Junio de 2018"/>
    <n v="6"/>
    <d v="2018-06-01T00:00:00"/>
    <s v="4,00"/>
    <s v="Cuatro Bolívares con 00/100"/>
  </r>
  <r>
    <n v="1123"/>
    <m/>
    <s v="ü"/>
    <d v="2018-06-06T00:00:00"/>
    <n v="4"/>
    <x v="52"/>
    <x v="9"/>
    <s v="Calle Güigüe Nro. 89-45"/>
    <s v="Cancelación Vigilancia, mes de Junio 2018 (saldo a favor: Bs. 1.593.000)"/>
    <s v="Vigilancia"/>
    <m/>
    <s v="01123"/>
    <s v="06 de Junio de 2018"/>
    <n v="6"/>
    <d v="2018-06-01T00:00:00"/>
    <s v="4,00"/>
    <s v="Cuatro Bolívares con 00/100"/>
  </r>
  <r>
    <n v="1124"/>
    <m/>
    <s v="ü"/>
    <d v="2018-06-06T00:00:00"/>
    <n v="4"/>
    <x v="4"/>
    <x v="4"/>
    <s v="Calle Güigüe Nro. 89-55"/>
    <s v="Cancelación Vigilancia, mes de Junio 2018 (saldo a favor: Bs. 660.000)"/>
    <s v="Vigilancia"/>
    <m/>
    <s v="01124"/>
    <s v="06 de Junio de 2018"/>
    <n v="6"/>
    <d v="2018-06-01T00:00:00"/>
    <s v="4,00"/>
    <s v="Cuatro Bolívares con 00/100"/>
  </r>
  <r>
    <n v="1125"/>
    <m/>
    <s v="ü"/>
    <d v="2018-06-07T00:00:00"/>
    <n v="4"/>
    <x v="18"/>
    <x v="16"/>
    <s v="Calle Guacara Nro. 87-100"/>
    <s v="Cancelación Vigilancia, mes de Junio 2018"/>
    <s v="Vigilancia"/>
    <m/>
    <s v="01125"/>
    <s v="07 de Junio de 2018"/>
    <n v="7"/>
    <d v="2018-06-01T00:00:00"/>
    <s v="4,00"/>
    <s v="Cuatro Bolívares con 00/100"/>
  </r>
  <r>
    <n v="1126"/>
    <m/>
    <s v="ü"/>
    <d v="2018-06-07T00:00:00"/>
    <n v="4"/>
    <x v="1"/>
    <x v="1"/>
    <s v="Calle Güigüe Nro. 88-44"/>
    <s v="Cancelación Vigilancia, mes de Junio 2018"/>
    <s v="Vigilancia"/>
    <m/>
    <s v="01126"/>
    <s v="07 de Junio de 2018"/>
    <n v="7"/>
    <d v="2018-06-01T00:00:00"/>
    <s v="4,00"/>
    <s v="Cuatro Bolívares con 00/100"/>
  </r>
  <r>
    <n v="1127"/>
    <m/>
    <s v="ü"/>
    <d v="2018-06-07T00:00:00"/>
    <n v="4"/>
    <x v="38"/>
    <x v="35"/>
    <s v="Calle Guacara Nro. 89-78"/>
    <s v="Cancelación Vigilancia, mes de Junio 2018"/>
    <s v="Vigilancia"/>
    <m/>
    <s v="01127"/>
    <s v="07 de Junio de 2018"/>
    <n v="7"/>
    <d v="2018-06-01T00:00:00"/>
    <s v="4,00"/>
    <s v="Cuatro Bolívares con 00/100"/>
  </r>
  <r>
    <n v="1128"/>
    <m/>
    <s v="ü"/>
    <d v="2018-06-08T00:00:00"/>
    <n v="1"/>
    <x v="82"/>
    <x v="9"/>
    <s v="Calle Guacara Nro. 90-61"/>
    <s v="Colaboración Vigilancia, mes de Mayo 2018"/>
    <s v="Vigilancia"/>
    <m/>
    <s v="01128"/>
    <s v="08 de Junio de 2018"/>
    <n v="8"/>
    <d v="2018-06-01T00:00:00"/>
    <s v="1,00"/>
    <s v="Un Bolívar con 00/100"/>
  </r>
  <r>
    <n v="1129"/>
    <m/>
    <s v="ü"/>
    <d v="2018-06-08T00:00:00"/>
    <n v="4"/>
    <x v="58"/>
    <x v="53"/>
    <s v="Calle Güigüe Nro. 88-51"/>
    <s v="Cancelación Vigilancia, mes de Mayo 2018"/>
    <s v="Vigilancia"/>
    <m/>
    <s v="01129"/>
    <s v="08 de Junio de 2018"/>
    <n v="8"/>
    <d v="2018-06-01T00:00:00"/>
    <s v="4,00"/>
    <s v="Cuatro Bolívares con 00/100"/>
  </r>
  <r>
    <n v="1130"/>
    <m/>
    <s v="ü"/>
    <d v="2018-06-08T00:00:00"/>
    <n v="3.5"/>
    <x v="10"/>
    <x v="10"/>
    <s v="Av. &quot;M&quot; Nro. 146-15"/>
    <s v="Colaboración mantenimiento Caseta de Vigilancia"/>
    <s v="Caseta Vigilancia"/>
    <m/>
    <s v="01130"/>
    <s v="08 de Junio de 2018"/>
    <n v="8"/>
    <d v="2018-06-01T00:00:00"/>
    <s v="3,50"/>
    <s v="Tres Bolívares con 50/100"/>
  </r>
  <r>
    <n v="1131"/>
    <m/>
    <s v="ü"/>
    <d v="2018-06-09T00:00:00"/>
    <n v="1"/>
    <x v="74"/>
    <x v="64"/>
    <s v="Calle Güigüe Nro. 88-20"/>
    <s v="Colaboración Vigilancia, meses de Mayo y Junio 2018"/>
    <s v="Vigilancia"/>
    <m/>
    <s v="01131"/>
    <s v="09 de Junio de 2018"/>
    <n v="9"/>
    <d v="2018-06-01T00:00:00"/>
    <s v="1,00"/>
    <s v="Un Bolívar con 00/100"/>
  </r>
  <r>
    <n v="1132"/>
    <m/>
    <s v="ü"/>
    <d v="2018-06-09T00:00:00"/>
    <n v="10.8"/>
    <x v="80"/>
    <x v="9"/>
    <s v="Calle Guacara Nro. 88-55"/>
    <s v="Cancelación Vigilancia, meses de Marzo, Abril, Mayo y Junio 2018"/>
    <s v="Vigilancia"/>
    <m/>
    <s v="01132"/>
    <s v="09 de Junio de 2018"/>
    <n v="9"/>
    <d v="2018-06-01T00:00:00"/>
    <s v="10,80"/>
    <s v="Diez Bolívares con 80/100"/>
  </r>
  <r>
    <n v="1133"/>
    <m/>
    <s v="ü"/>
    <d v="2018-06-10T00:00:00"/>
    <n v="4"/>
    <x v="15"/>
    <x v="14"/>
    <s v="Calle Guacara Nro. 89-94"/>
    <s v="Cancelación Vigilancia, mes de Junio 2018"/>
    <s v="Vigilancia"/>
    <m/>
    <s v="01133"/>
    <s v="10 de Junio de 2018"/>
    <n v="10"/>
    <d v="2018-06-01T00:00:00"/>
    <s v="4,00"/>
    <s v="Cuatro Bolívares con 00/100"/>
  </r>
  <r>
    <n v="1134"/>
    <m/>
    <s v="ü"/>
    <d v="2018-06-10T00:00:00"/>
    <n v="4"/>
    <x v="22"/>
    <x v="20"/>
    <s v="Calle Guacara Nro. 88-25"/>
    <s v="Colaboración Vigilancia, mes de Junio 2018"/>
    <s v="Vigilancia"/>
    <m/>
    <s v="01134"/>
    <s v="10 de Junio de 2018"/>
    <n v="10"/>
    <d v="2018-06-01T00:00:00"/>
    <s v="4,00"/>
    <s v="Cuatro Bolívares con 00/100"/>
  </r>
  <r>
    <n v="1135"/>
    <m/>
    <s v="ü"/>
    <d v="2018-06-10T00:00:00"/>
    <n v="3.5"/>
    <x v="22"/>
    <x v="20"/>
    <s v="Calle Guacara Nro. 88-25"/>
    <s v="Colaboración mantenimiento Caseta de Vigilancia"/>
    <s v="Caseta Vigilancia"/>
    <m/>
    <s v="01135"/>
    <s v="10 de Junio de 2018"/>
    <n v="10"/>
    <d v="2018-06-01T00:00:00"/>
    <s v="3,50"/>
    <s v="Tres Bolívares con 50/100"/>
  </r>
  <r>
    <n v="1136"/>
    <m/>
    <s v="ü"/>
    <d v="2018-06-11T00:00:00"/>
    <n v="4"/>
    <x v="10"/>
    <x v="10"/>
    <s v="Av. &quot;M&quot; Nro. 146-15"/>
    <s v="Cancelación Vigilancia, mes de Junio 2018"/>
    <s v="Vigilancia"/>
    <m/>
    <s v="01136"/>
    <s v="11 de Junio de 2018"/>
    <n v="11"/>
    <d v="2018-06-01T00:00:00"/>
    <s v="4,00"/>
    <s v="Cuatro Bolívares con 00/100"/>
  </r>
  <r>
    <n v="1137"/>
    <m/>
    <s v="ü"/>
    <d v="2018-06-11T00:00:00"/>
    <n v="4"/>
    <x v="65"/>
    <x v="58"/>
    <s v="Calle Güigüe Nro. 88-10"/>
    <s v="Cancelación Vigilancia, mes de Junio 2018"/>
    <s v="Vigilancia"/>
    <m/>
    <s v="01137"/>
    <s v="11 de Junio de 2018"/>
    <n v="11"/>
    <d v="2018-06-01T00:00:00"/>
    <s v="4,00"/>
    <s v="Cuatro Bolívares con 00/100"/>
  </r>
  <r>
    <n v="1138"/>
    <m/>
    <s v="ü"/>
    <d v="2018-06-13T00:00:00"/>
    <n v="2"/>
    <x v="68"/>
    <x v="60"/>
    <s v="Calle Güigüe Nro. 89-29"/>
    <s v="Colaboración Vigilancia, mes de Junio 2018"/>
    <s v="Vigilancia"/>
    <m/>
    <s v="01138"/>
    <s v="13 de Junio de 2018"/>
    <n v="13"/>
    <d v="2018-06-01T00:00:00"/>
    <s v="2,00"/>
    <s v="Dos Bolívares con 00/100"/>
  </r>
  <r>
    <n v="1139"/>
    <m/>
    <s v="ü"/>
    <d v="2018-06-12T00:00:00"/>
    <n v="4"/>
    <x v="28"/>
    <x v="77"/>
    <s v="Calle Güigüe Nro. 88-30"/>
    <s v="Cancelación Vigilancia, mes de Junio 2018"/>
    <s v="Vigilancia"/>
    <m/>
    <s v="01139"/>
    <s v="12 de Junio de 2018"/>
    <n v="12"/>
    <d v="2018-06-01T00:00:00"/>
    <s v="4,00"/>
    <s v="Cuatro Bolívares con 00/100"/>
  </r>
  <r>
    <n v="1140"/>
    <m/>
    <s v="ü"/>
    <d v="2018-06-13T00:00:00"/>
    <n v="21"/>
    <x v="47"/>
    <x v="44"/>
    <s v="Calle Güigüe Nro. 88-80"/>
    <s v="Cancelación Vigilancia, meses de Abril, Mayo, Junio, Julio, Agosto y Septiembre 2017"/>
    <s v="Vigilancia"/>
    <m/>
    <s v="01140"/>
    <s v="13 de Junio de 2018"/>
    <n v="13"/>
    <d v="2018-06-01T00:00:00"/>
    <s v="21,00"/>
    <s v="Veintiun Bolívares con 00/100"/>
  </r>
  <r>
    <n v="1141"/>
    <m/>
    <s v="ü"/>
    <d v="2018-06-14T00:00:00"/>
    <n v="8"/>
    <x v="60"/>
    <x v="54"/>
    <s v="Calle Guacara Nro. 88-51"/>
    <s v="Cancelación Vigilancia, meses de Junio y Julio 2018"/>
    <s v="Vigilancia"/>
    <m/>
    <s v="01141"/>
    <s v="14 de Junio de 2018"/>
    <n v="14"/>
    <d v="2018-06-01T00:00:00"/>
    <s v="8,00"/>
    <s v="Ocho Bolívares con 00/100"/>
  </r>
  <r>
    <n v="1142"/>
    <m/>
    <s v="ü"/>
    <d v="2018-06-15T00:00:00"/>
    <n v="4"/>
    <x v="35"/>
    <x v="32"/>
    <s v="Calle Güigüe Nro. 89-80"/>
    <s v="Cancelación Vigilancia, mes de Junio 2018"/>
    <s v="Vigilancia"/>
    <m/>
    <s v="01142"/>
    <s v="15 de Junio de 2018"/>
    <n v="15"/>
    <d v="2018-06-01T00:00:00"/>
    <s v="4,00"/>
    <s v="Cuatro Bolívares con 00/100"/>
  </r>
  <r>
    <n v="1143"/>
    <m/>
    <s v="ü"/>
    <d v="2018-06-15T00:00:00"/>
    <n v="4"/>
    <x v="46"/>
    <x v="43"/>
    <s v="Av. &quot;I&quot; Nro. 146-20"/>
    <s v="Cancelación Vigilancia, mes de Junio 2018"/>
    <s v="Vigilancia"/>
    <m/>
    <s v="01143"/>
    <s v="15 de Junio de 2018"/>
    <n v="15"/>
    <d v="2018-06-01T00:00:00"/>
    <s v="4,00"/>
    <s v="Cuatro Bolívares con 00/100"/>
  </r>
  <r>
    <n v="1144"/>
    <m/>
    <s v="ü"/>
    <d v="2018-06-15T00:00:00"/>
    <n v="4"/>
    <x v="46"/>
    <x v="43"/>
    <s v="Av. &quot;I&quot; Nro. 146-20"/>
    <s v="Colaboración mantenimiento Caseta de Vigilancia"/>
    <s v="Caseta Vigilancia"/>
    <m/>
    <s v="01144"/>
    <s v="15 de Junio de 2018"/>
    <n v="15"/>
    <d v="2018-06-01T00:00:00"/>
    <s v="4,00"/>
    <s v="Cuatro Bolívares con 00/100"/>
  </r>
  <r>
    <n v="1145"/>
    <m/>
    <s v="ü"/>
    <d v="2018-06-18T00:00:00"/>
    <n v="4"/>
    <x v="19"/>
    <x v="17"/>
    <s v="Calle Guacara Nro. 89-130"/>
    <s v="Cancelación Vigilancia, mes de Junio 2018"/>
    <s v="Vigilancia"/>
    <m/>
    <s v="01145"/>
    <s v="18 de Junio de 2018"/>
    <n v="18"/>
    <d v="2018-06-01T00:00:00"/>
    <s v="4,00"/>
    <s v="Cuatro Bolívares con 00/100"/>
  </r>
  <r>
    <n v="1146"/>
    <m/>
    <s v="ü"/>
    <d v="2018-06-18T00:00:00"/>
    <n v="4"/>
    <x v="34"/>
    <x v="9"/>
    <s v="Av. &quot;O&quot; Nro. 146-11"/>
    <s v="Cancelación Vigilancia, mes de Junio 2018"/>
    <s v="Vigilancia"/>
    <m/>
    <s v="01146"/>
    <s v="18 de Junio de 2018"/>
    <n v="18"/>
    <d v="2018-06-01T00:00:00"/>
    <s v="4,00"/>
    <s v="Cuatro Bolívares con 00/100"/>
  </r>
  <r>
    <n v="1147"/>
    <m/>
    <s v="ü"/>
    <d v="2018-06-18T00:00:00"/>
    <n v="6"/>
    <x v="16"/>
    <x v="15"/>
    <s v="Calle Guacara Nro. 90-81"/>
    <s v="Cancelación Vigilancia, mes de Junio y anticipo Julio 2018"/>
    <s v="Vigilancia"/>
    <m/>
    <s v="01147"/>
    <s v="18 de Junio de 2018"/>
    <n v="18"/>
    <d v="2018-06-01T00:00:00"/>
    <s v="6,00"/>
    <s v="Seis Bolívares con 00/100"/>
  </r>
  <r>
    <n v="1148"/>
    <m/>
    <s v="ü"/>
    <d v="2018-06-18T00:00:00"/>
    <n v="4"/>
    <x v="76"/>
    <x v="66"/>
    <s v="Calle Güigüe Nro. 89-90"/>
    <s v="Cancelación Vigilancia, mes de Junio 2018"/>
    <s v="Vigilancia"/>
    <m/>
    <s v="01148"/>
    <s v="18 de Junio de 2018"/>
    <n v="18"/>
    <d v="2018-06-01T00:00:00"/>
    <s v="4,00"/>
    <s v="Cuatro Bolívares con 00/100"/>
  </r>
  <r>
    <n v="1149"/>
    <m/>
    <s v="ü"/>
    <d v="2018-06-19T00:00:00"/>
    <n v="4"/>
    <x v="24"/>
    <x v="22"/>
    <s v="Calle Güigüe Nro. 88-54"/>
    <s v="Cancelación Vigilancia, mes de Junio 2018"/>
    <s v="Vigilancia"/>
    <m/>
    <s v="01149"/>
    <s v="19 de Junio de 2018"/>
    <n v="19"/>
    <d v="2018-06-01T00:00:00"/>
    <s v="4,00"/>
    <s v="Cuatro Bolívares con 00/100"/>
  </r>
  <r>
    <n v="1150"/>
    <m/>
    <s v="ü"/>
    <d v="2018-06-19T00:00:00"/>
    <n v="4"/>
    <x v="25"/>
    <x v="23"/>
    <s v="Calle Güigüe Nro. 88-58"/>
    <s v="Cancelación Vigilancia, mes de Junio 2018"/>
    <s v="Vigilancia"/>
    <m/>
    <s v="01150"/>
    <s v="19 de Junio de 2018"/>
    <n v="19"/>
    <d v="2018-06-01T00:00:00"/>
    <s v="4,00"/>
    <s v="Cuatro Bolívares con 00/100"/>
  </r>
  <r>
    <n v="1151"/>
    <m/>
    <s v="ü"/>
    <d v="2018-06-21T00:00:00"/>
    <n v="4"/>
    <x v="8"/>
    <x v="78"/>
    <s v="Calle Guacara Nro. 90-51"/>
    <s v="Cancelación Vigilancia, mes de Junio 2018"/>
    <s v="Vigilancia"/>
    <m/>
    <s v="01151"/>
    <s v="21 de Junio de 2018"/>
    <n v="21"/>
    <d v="2018-06-01T00:00:00"/>
    <s v="4,00"/>
    <s v="Cuatro Bolívares con 00/100"/>
  </r>
  <r>
    <n v="1152"/>
    <m/>
    <s v="ü"/>
    <d v="2018-06-21T00:00:00"/>
    <n v="1"/>
    <x v="8"/>
    <x v="78"/>
    <s v="Calle Guacara Nro. 90-51"/>
    <s v="Colaboración para comida de vigilantes"/>
    <s v="Comida Vigilantes"/>
    <m/>
    <s v="01152"/>
    <s v="21 de Junio de 2018"/>
    <n v="21"/>
    <d v="2018-06-01T00:00:00"/>
    <s v="1,00"/>
    <s v="Un Bolívar con 00/100"/>
  </r>
  <r>
    <n v="1153"/>
    <m/>
    <s v="ü"/>
    <d v="2018-06-21T00:00:00"/>
    <n v="10"/>
    <x v="87"/>
    <x v="75"/>
    <s v="Calle Güigüe Nro. 88-06"/>
    <s v="Cancelación Vigilancia, meses de Mayo y Junio y anticipo mes de Julio 2018"/>
    <s v="Vigilancia"/>
    <m/>
    <s v="01153"/>
    <s v="21 de Junio de 2018"/>
    <n v="21"/>
    <d v="2018-06-01T00:00:00"/>
    <s v="10,00"/>
    <s v="Diez Bolívares con 00/100"/>
  </r>
  <r>
    <n v="1154"/>
    <m/>
    <s v="ü"/>
    <d v="2018-06-26T00:00:00"/>
    <n v="25.5"/>
    <x v="21"/>
    <x v="19"/>
    <s v="Calle Güigüe Nro. 89-105"/>
    <s v="Cancelación Vigilancia, meses de Junio, Julio y Agosto, y anticipo Septiembre 2018"/>
    <s v="Vigilancia"/>
    <m/>
    <s v="01154"/>
    <s v="26 de Junio de 2018"/>
    <n v="26"/>
    <d v="2018-06-01T00:00:00"/>
    <s v="25,50"/>
    <s v="Veinticinco Bolívares con 50/100"/>
  </r>
  <r>
    <n v="1155"/>
    <m/>
    <s v="ü"/>
    <d v="2018-06-26T00:00:00"/>
    <n v="4"/>
    <x v="88"/>
    <x v="76"/>
    <s v="Calle Güigüe Nro. 88-11"/>
    <s v="Cancelación Vigilancia, mes de Junio 2018"/>
    <s v="Vigilancia"/>
    <m/>
    <s v="01155"/>
    <s v="26 de Junio de 2018"/>
    <n v="26"/>
    <d v="2018-06-01T00:00:00"/>
    <s v="4,00"/>
    <s v="Cuatro Bolívares con 00/100"/>
  </r>
  <r>
    <n v="1156"/>
    <m/>
    <s v="ü"/>
    <d v="2018-06-26T00:00:00"/>
    <n v="0.4"/>
    <x v="57"/>
    <x v="9"/>
    <s v="Calle Güigüe Nro. 88-40"/>
    <s v="Colaboración Vigilancia, mes de Junio 2018"/>
    <s v="Vigilancia"/>
    <m/>
    <s v="01156"/>
    <s v="26 de Junio de 2018"/>
    <n v="26"/>
    <d v="2018-06-01T00:00:00"/>
    <s v="0,40"/>
    <s v="Cero Bolívares con 40/100"/>
  </r>
  <r>
    <n v="1157"/>
    <m/>
    <s v="ü"/>
    <d v="2018-06-26T00:00:00"/>
    <n v="3.4"/>
    <x v="53"/>
    <x v="80"/>
    <s v="Calle Guacara Nro. 88-91"/>
    <s v="Cancelación Vigilancia, saldo mes de Mayo 2018"/>
    <s v="Vigilancia"/>
    <m/>
    <s v="01157"/>
    <s v="26 de Junio de 2018"/>
    <n v="26"/>
    <d v="2018-06-01T00:00:00"/>
    <s v="3,40"/>
    <s v="Tres Bolívares con 40/100"/>
  </r>
  <r>
    <n v="1158"/>
    <m/>
    <s v="ü"/>
    <d v="2018-06-26T00:00:00"/>
    <n v="3.5"/>
    <x v="53"/>
    <x v="80"/>
    <s v="Calle Guacara Nro. 88-91"/>
    <s v="Colaboración mantenimiento Caseta de Vigilancia"/>
    <s v="Caseta Vigilancia"/>
    <m/>
    <s v="01158"/>
    <s v="26 de Junio de 2018"/>
    <n v="26"/>
    <d v="2018-06-01T00:00:00"/>
    <s v="3,50"/>
    <s v="Tres Bolívares con 50/100"/>
  </r>
  <r>
    <n v="1159"/>
    <m/>
    <s v="ü"/>
    <d v="2018-06-28T00:00:00"/>
    <n v="10.75"/>
    <x v="84"/>
    <x v="71"/>
    <s v="Calle Güigüe Nro. 89-54"/>
    <s v="Cancelación Vigilancia, ajuste mes de Junio y cancelación mes de Julio 2018"/>
    <s v="Vigilancia"/>
    <m/>
    <s v="01159"/>
    <s v="28 de Junio de 2018"/>
    <n v="28"/>
    <d v="2018-06-01T00:00:00"/>
    <s v="10,75"/>
    <s v="Diez Bolívares con 75/100"/>
  </r>
  <r>
    <n v="1160"/>
    <m/>
    <s v="ü"/>
    <d v="2018-06-28T00:00:00"/>
    <n v="4"/>
    <x v="69"/>
    <x v="61"/>
    <s v="Calle Güigüe Nro. 89-40"/>
    <s v="Cancelación Vigilancia, anticipo mes de Junio 2018"/>
    <s v="Vigilancia"/>
    <m/>
    <s v="01160"/>
    <s v="28 de Junio de 2018"/>
    <n v="28"/>
    <d v="2018-06-01T00:00:00"/>
    <s v="4,00"/>
    <s v="Cuatro Bolívares con 00/100"/>
  </r>
  <r>
    <n v="1161"/>
    <m/>
    <s v="ü"/>
    <d v="2018-06-28T00:00:00"/>
    <n v="2.25"/>
    <x v="4"/>
    <x v="4"/>
    <s v="Calle Güigüe Nro. 89-55"/>
    <s v="Cancelación Vigilancia, ajuste mes de Junio 2018 (saldo a favor: Bs. 435.000)"/>
    <s v="Vigilancia"/>
    <m/>
    <s v="01161"/>
    <s v="28 de Junio de 2018"/>
    <n v="28"/>
    <d v="2018-06-01T00:00:00"/>
    <s v="2,25"/>
    <s v="Dos Bolívares con 25/100"/>
  </r>
  <r>
    <n v="1162"/>
    <m/>
    <s v="ü"/>
    <d v="2018-06-28T00:00:00"/>
    <n v="2.25"/>
    <x v="0"/>
    <x v="0"/>
    <s v="Calle Guacara Nro. 88-45"/>
    <s v="Cancelación Vigilancia, ajuste mes de Junio 2018 (saldo a favor: Bs. 4.495.000)"/>
    <s v="Vigilancia"/>
    <m/>
    <s v="01162"/>
    <s v="28 de Junio de 2018"/>
    <n v="28"/>
    <d v="2018-06-01T00:00:00"/>
    <s v="2,25"/>
    <s v="Dos Bolívares con 25/100"/>
  </r>
  <r>
    <n v="1163"/>
    <m/>
    <s v="ü"/>
    <d v="2018-06-28T00:00:00"/>
    <n v="2.25"/>
    <x v="75"/>
    <x v="65"/>
    <s v="Av. &quot;Ñ&quot; Nro. 145-25"/>
    <s v="Cancelación Vigilancia, ajuste mes de Junio 2018 (saldo a favor: Bs. 3.210.000)"/>
    <s v="Vigilancia"/>
    <m/>
    <s v="01163"/>
    <s v="28 de Junio de 2018"/>
    <n v="28"/>
    <d v="2018-06-01T00:00:00"/>
    <s v="2,25"/>
    <s v="Dos Bolívares con 25/100"/>
  </r>
  <r>
    <n v="1164"/>
    <m/>
    <s v="ü"/>
    <d v="2018-06-28T00:00:00"/>
    <n v="2.25"/>
    <x v="52"/>
    <x v="9"/>
    <s v="Calle Güigüe Nro. 89-45"/>
    <s v="Cancelación Vigilancia, ajuste mes de Junio 2018 (saldo a favor: Bs. 1.368.000)"/>
    <s v="Vigilancia"/>
    <m/>
    <s v="01164"/>
    <s v="28 de Junio de 2018"/>
    <n v="28"/>
    <d v="2018-06-01T00:00:00"/>
    <s v="2,25"/>
    <s v="Dos Bolívares con 25/100"/>
  </r>
  <r>
    <n v="1165"/>
    <m/>
    <s v="ü"/>
    <d v="2018-06-28T00:00:00"/>
    <n v="2.25"/>
    <x v="12"/>
    <x v="12"/>
    <s v="Calle Guacara Nro. 89-20"/>
    <s v="Cancelación Vigilancia, ajuste mes de Junio 2018"/>
    <s v="Vigilancia"/>
    <m/>
    <s v="01165"/>
    <s v="28 de Junio de 2018"/>
    <n v="28"/>
    <d v="2018-06-01T00:00:00"/>
    <s v="2,25"/>
    <s v="Dos Bolívares con 25/100"/>
  </r>
  <r>
    <n v="1166"/>
    <m/>
    <s v="ü"/>
    <d v="2018-06-28T00:00:00"/>
    <n v="10.75"/>
    <x v="81"/>
    <x v="69"/>
    <s v="Calle Güigüe Nro. 89-65"/>
    <s v="Cancelación Vigilancia, ajuste mes de Junio y cancelación mes de Julio 2018"/>
    <s v="Vigilancia"/>
    <m/>
    <s v="01166"/>
    <s v="28 de Junio de 2018"/>
    <n v="28"/>
    <d v="2018-06-01T00:00:00"/>
    <s v="10,75"/>
    <s v="Diez Bolívares con 75/100"/>
  </r>
  <r>
    <n v="1167"/>
    <m/>
    <s v="ü"/>
    <d v="2018-06-28T00:00:00"/>
    <n v="10.75"/>
    <x v="7"/>
    <x v="7"/>
    <s v="Calle Guacara Nro. 87-86"/>
    <s v="Cancelación Vigilancia, ajuste mes de Junio y cancelación mes de Julio 2018"/>
    <s v="Vigilancia"/>
    <m/>
    <s v="01167"/>
    <s v="28 de Junio de 2018"/>
    <n v="28"/>
    <d v="2018-06-01T00:00:00"/>
    <s v="10,75"/>
    <s v="Diez Bolívares con 75/100"/>
  </r>
  <r>
    <n v="1168"/>
    <m/>
    <s v="ü"/>
    <d v="2018-06-28T00:00:00"/>
    <n v="10.75"/>
    <x v="11"/>
    <x v="11"/>
    <s v="Calle Guacara Nro. 89-86"/>
    <s v="Cancelación Vigilancia, ajuste mes de Junio y cancelación mes de Julio 2018"/>
    <s v="Vigilancia"/>
    <m/>
    <s v="01168"/>
    <s v="28 de Junio de 2018"/>
    <n v="28"/>
    <d v="2018-06-01T00:00:00"/>
    <s v="10,75"/>
    <s v="Diez Bolívares con 75/100"/>
  </r>
  <r>
    <n v="1169"/>
    <m/>
    <s v="ü"/>
    <d v="2018-06-28T00:00:00"/>
    <n v="2.25"/>
    <x v="90"/>
    <x v="82"/>
    <s v="Calle Güigüe Nro. 89-04"/>
    <s v="Cancelación Vigilancia, ajuste mes de Junio 2018"/>
    <s v="Vigilancia"/>
    <m/>
    <s v="01169"/>
    <s v="28 de Junio de 2018"/>
    <n v="28"/>
    <d v="2018-06-01T00:00:00"/>
    <s v="2,25"/>
    <s v="Dos Bolívares con 25/100"/>
  </r>
  <r>
    <n v="1170"/>
    <m/>
    <s v="ü"/>
    <d v="2018-06-28T00:00:00"/>
    <n v="4"/>
    <x v="26"/>
    <x v="24"/>
    <s v="Calle Güigüe Nro. 89-96"/>
    <s v="Cancelación Vigilancia, anticipo mes de Junio 2018"/>
    <s v="Vigilancia"/>
    <m/>
    <s v="01170"/>
    <s v="28 de Junio de 2018"/>
    <n v="28"/>
    <d v="2018-06-01T00:00:00"/>
    <s v="4,00"/>
    <s v="Cuatro Bolívares con 00/100"/>
  </r>
  <r>
    <n v="1171"/>
    <m/>
    <s v="ü"/>
    <d v="2018-06-29T00:00:00"/>
    <n v="6.75"/>
    <x v="31"/>
    <x v="29"/>
    <s v="Calle Güigüe Nro. 89-95"/>
    <s v="Cancelación Vigilancia, ajuste mes de Junio, y saldo mes de Junio 2018"/>
    <s v="Vigilancia"/>
    <m/>
    <s v="01171"/>
    <s v="29 de Junio de 2018"/>
    <n v="29"/>
    <d v="2018-06-01T00:00:00"/>
    <s v="6,75"/>
    <s v="Seis Bolívares con 75/100"/>
  </r>
  <r>
    <n v="1172"/>
    <m/>
    <s v="ü"/>
    <d v="2018-06-29T00:00:00"/>
    <n v="10.75"/>
    <x v="18"/>
    <x v="16"/>
    <s v="Calle Guacara Nro. 87-100"/>
    <s v="Cancelación Vigilancia, ajuste mes de Junio y cancelación mes de Julio 2018"/>
    <s v="Vigilancia"/>
    <m/>
    <s v="01172"/>
    <s v="29 de Junio de 2018"/>
    <n v="29"/>
    <d v="2018-06-01T00:00:00"/>
    <s v="10,75"/>
    <s v="Diez Bolívares con 75/100"/>
  </r>
  <r>
    <n v="1173"/>
    <m/>
    <s v="ü"/>
    <d v="2018-06-29T00:00:00"/>
    <n v="9.25"/>
    <x v="18"/>
    <x v="16"/>
    <s v="Calle Guacara Nro. 87-100"/>
    <s v="Colaboración reparación portón principal"/>
    <s v="Reparación Portón"/>
    <m/>
    <s v="01173"/>
    <s v="29 de Junio de 2018"/>
    <n v="29"/>
    <d v="2018-06-01T00:00:00"/>
    <s v="9,25"/>
    <s v="Nueve Bolívares con 25/100"/>
  </r>
  <r>
    <n v="1174"/>
    <m/>
    <s v="ü"/>
    <d v="2018-06-29T00:00:00"/>
    <n v="2.25"/>
    <x v="60"/>
    <x v="54"/>
    <s v="Calle Guacara Nro. 88-51"/>
    <s v="Cancelación Vigilancia, ajuste mes de Junio 2018"/>
    <s v="Vigilancia"/>
    <m/>
    <s v="01174"/>
    <s v="29 de Junio de 2018"/>
    <n v="29"/>
    <d v="2018-06-01T00:00:00"/>
    <s v="2,25"/>
    <s v="Dos Bolívares con 25/100"/>
  </r>
  <r>
    <n v="1175"/>
    <m/>
    <s v="ü"/>
    <d v="2018-06-29T00:00:00"/>
    <n v="6.25"/>
    <x v="56"/>
    <x v="52"/>
    <s v="Calle Güigüe Nro. 88-70"/>
    <s v="Cancelación Vigilancia, mes de Junio 2018"/>
    <s v="Vigilancia"/>
    <m/>
    <s v="01175"/>
    <s v="29 de Junio de 2018"/>
    <n v="29"/>
    <d v="2018-06-01T00:00:00"/>
    <s v="6,25"/>
    <s v="Seis Bolívares con 25/100"/>
  </r>
  <r>
    <n v="1176"/>
    <m/>
    <s v="ü"/>
    <d v="2018-06-30T00:00:00"/>
    <n v="10.75"/>
    <x v="89"/>
    <x v="81"/>
    <s v="Calle Guacara Nro. 88-75"/>
    <s v="Cancelación Vigilancia, ajuste mes de Junio y cancelación mes de Julio 2018"/>
    <s v="Vigilancia"/>
    <m/>
    <s v="01176"/>
    <s v="30 de Junio de 2018"/>
    <n v="30"/>
    <d v="2018-06-01T00:00:00"/>
    <s v="10,75"/>
    <s v="Diez Bolívares con 75/100"/>
  </r>
  <r>
    <n v="1177"/>
    <m/>
    <s v="ü"/>
    <d v="2018-06-30T00:00:00"/>
    <n v="2.25"/>
    <x v="27"/>
    <x v="25"/>
    <s v="Calle Güigüe Nro. 89-106"/>
    <s v="Cancelación Vigilancia, ajuste mes de Junio 2018"/>
    <s v="Vigilancia"/>
    <m/>
    <s v="01177"/>
    <s v="30 de Junio de 2018"/>
    <n v="30"/>
    <d v="2018-06-01T00:00:00"/>
    <s v="2,25"/>
    <s v="Dos Bolívares con 25/100"/>
  </r>
  <r>
    <n v="1178"/>
    <m/>
    <s v="ü"/>
    <d v="2018-06-30T00:00:00"/>
    <n v="10.75"/>
    <x v="38"/>
    <x v="35"/>
    <s v="Calle Guacara Nro. 89-78"/>
    <s v="Cancelación Vigilancia, ajuste mes de Junio y cancelación mes de Julio 2018"/>
    <s v="Vigilancia"/>
    <m/>
    <s v="01178"/>
    <s v="30 de Junio de 2018"/>
    <n v="30"/>
    <d v="2018-06-01T00:00:00"/>
    <s v="10,75"/>
    <s v="Diez Bolívares con 75/100"/>
  </r>
  <r>
    <n v="1179"/>
    <m/>
    <s v="ü"/>
    <d v="2018-06-30T00:00:00"/>
    <n v="4.5"/>
    <x v="60"/>
    <x v="54"/>
    <s v="Calle Guacara Nro. 88-51"/>
    <s v="Cancelación Vigilancia, saldo mes de Julio 2018"/>
    <s v="Vigilancia"/>
    <m/>
    <s v="01179"/>
    <s v="30 de Junio de 2018"/>
    <n v="30"/>
    <d v="2018-06-01T00:00:00"/>
    <s v="4,50"/>
    <s v="Cuatro Bolívares con 50/100"/>
  </r>
  <r>
    <n v="1180"/>
    <m/>
    <s v="ü"/>
    <d v="2018-06-30T00:00:00"/>
    <n v="10.75"/>
    <x v="1"/>
    <x v="1"/>
    <s v="Calle Güigüe Nro. 88-44"/>
    <s v="Cancelación Vigilancia, ajuste mes de Junio y cancelación mes de Julio 2018"/>
    <s v="Vigilancia"/>
    <m/>
    <s v="01180"/>
    <s v="30 de Junio de 2018"/>
    <n v="30"/>
    <d v="2018-06-01T00:00:00"/>
    <s v="10,75"/>
    <s v="Diez Bolívares con 75/100"/>
  </r>
  <r>
    <n v="1181"/>
    <m/>
    <s v="ü"/>
    <d v="2018-06-30T00:00:00"/>
    <n v="10.25"/>
    <x v="87"/>
    <x v="75"/>
    <s v="Calle Güigüe Nro. 88-06"/>
    <s v="Cancelación Vigilancia, ajuste mes de Junio, saldo mes de Julio 2018"/>
    <s v="Vigilancia"/>
    <m/>
    <s v="01181"/>
    <s v="30 de Junio de 2018"/>
    <n v="30"/>
    <d v="2018-06-01T00:00:00"/>
    <s v="10,25"/>
    <s v="Diez Bolívares con 25/100"/>
  </r>
  <r>
    <n v="1182"/>
    <m/>
    <s v="ü"/>
    <d v="2018-06-30T00:00:00"/>
    <n v="10.75"/>
    <x v="16"/>
    <x v="15"/>
    <s v="Calle Guacara Nro. 90-81"/>
    <s v="Cancelación Vigilancia, ajuste mes de Junio, saldo mes de Julio y anticipo mes de Agosto 2018"/>
    <s v="Vigilancia"/>
    <m/>
    <s v="01182"/>
    <s v="30 de Junio de 2018"/>
    <n v="30"/>
    <d v="2018-06-01T00:00:00"/>
    <s v="10,75"/>
    <s v="Diez Bolívares con 75/100"/>
  </r>
  <r>
    <n v="1183"/>
    <m/>
    <s v="ü"/>
    <d v="2018-07-01T00:00:00"/>
    <n v="10.75"/>
    <x v="65"/>
    <x v="58"/>
    <s v="Calle Güigüe Nro. 88-10"/>
    <s v="Cancelación Vigilancia, ajuste mes de Junio y cancelación mes de Julio 2018"/>
    <s v="Vigilancia"/>
    <m/>
    <s v="01183"/>
    <s v="01 de Julio de 2018"/>
    <n v="1"/>
    <d v="2018-07-01T00:00:00"/>
    <s v="10,75"/>
    <s v="Diez Bolívares con 75/100"/>
  </r>
  <r>
    <n v="1184"/>
    <m/>
    <s v="ü"/>
    <d v="2018-07-01T00:00:00"/>
    <n v="10.75"/>
    <x v="14"/>
    <x v="13"/>
    <s v="Calle Güigüe Nro. 89-83"/>
    <s v="Cancelación Vigilancia, ajuste mes de Junio y cancelación mes de Julio 2018"/>
    <s v="Vigilancia"/>
    <m/>
    <s v="01184"/>
    <s v="01 de Julio de 2018"/>
    <n v="1"/>
    <d v="2018-07-01T00:00:00"/>
    <s v="10,75"/>
    <s v="Diez Bolívares con 75/100"/>
  </r>
  <r>
    <n v="1185"/>
    <m/>
    <s v="ü"/>
    <d v="2018-07-01T00:00:00"/>
    <n v="4"/>
    <x v="71"/>
    <x v="62"/>
    <s v="Calle Güigüe Nro. 89-71"/>
    <s v="Colaboración Vigilancia, mes de Junio 2017"/>
    <s v="Vigilancia"/>
    <m/>
    <s v="01185"/>
    <s v="01 de Julio de 2018"/>
    <n v="1"/>
    <d v="2018-07-01T00:00:00"/>
    <s v="4,00"/>
    <s v="Cuatro Bolívares con 00/100"/>
  </r>
  <r>
    <n v="1186"/>
    <m/>
    <s v="ü"/>
    <d v="2018-07-01T00:00:00"/>
    <n v="2.5"/>
    <x v="24"/>
    <x v="22"/>
    <s v="Calle Güigüe Nro. 88-54"/>
    <s v="Cancelación Vigilancia, ajuste mes de Junio 2018, más adicional de Bs. 25.000"/>
    <s v="Vigilancia"/>
    <m/>
    <s v="01186"/>
    <s v="01 de Julio de 2018"/>
    <n v="1"/>
    <d v="2018-07-01T00:00:00"/>
    <s v="2,50"/>
    <s v="Dos Bolívares con 50/100"/>
  </r>
  <r>
    <n v="1187"/>
    <m/>
    <s v="ü"/>
    <d v="2018-07-01T00:00:00"/>
    <n v="2.25"/>
    <x v="15"/>
    <x v="14"/>
    <s v="Calle Guacara Nro. 89-94"/>
    <s v="Cancelación Vigilancia, ajuste mes de Junio 2018"/>
    <s v="Vigilancia"/>
    <m/>
    <s v="01187"/>
    <s v="01 de Julio de 2018"/>
    <n v="1"/>
    <d v="2018-07-01T00:00:00"/>
    <s v="2,25"/>
    <s v="Dos Bolívares con 25/100"/>
  </r>
  <r>
    <n v="1188"/>
    <m/>
    <s v="ü"/>
    <d v="2018-07-01T00:00:00"/>
    <n v="10.75"/>
    <x v="45"/>
    <x v="42"/>
    <s v="Calle Güigüe Nro. 87-A-11"/>
    <s v="Cancelación Vigilancia, ajuste mes de Junio y cancelación mes de Julio 2018"/>
    <s v="Vigilancia"/>
    <m/>
    <s v="01188"/>
    <s v="01 de Julio de 2018"/>
    <n v="1"/>
    <d v="2018-07-01T00:00:00"/>
    <s v="10,75"/>
    <s v="Diez Bolívares con 75/100"/>
  </r>
  <r>
    <n v="1189"/>
    <m/>
    <s v="ü"/>
    <d v="2018-07-02T00:00:00"/>
    <n v="2.25"/>
    <x v="35"/>
    <x v="32"/>
    <s v="Calle Güigüe Nro. 89-80"/>
    <s v="Cancelación Vigilancia, ajuste mes de Junio 2018"/>
    <s v="Vigilancia"/>
    <m/>
    <s v="01189"/>
    <s v="02 de Julio de 2018"/>
    <n v="2"/>
    <d v="2018-07-01T00:00:00"/>
    <s v="2,25"/>
    <s v="Dos Bolívares con 25/100"/>
  </r>
  <r>
    <n v="1190"/>
    <m/>
    <s v="ü"/>
    <d v="2018-07-02T00:00:00"/>
    <n v="8.5"/>
    <x v="90"/>
    <x v="82"/>
    <s v="Calle Güigüe Nro. 89-04"/>
    <s v="Cancelación Vigilancia, mes de Julio 2018"/>
    <s v="Vigilancia"/>
    <m/>
    <s v="01190"/>
    <s v="02 de Julio de 2018"/>
    <n v="2"/>
    <d v="2018-07-01T00:00:00"/>
    <s v="8,50"/>
    <s v="Ocho Bolívares con 50/100"/>
  </r>
  <r>
    <n v="1191"/>
    <m/>
    <s v="ü"/>
    <d v="2018-07-02T00:00:00"/>
    <n v="23.25"/>
    <x v="64"/>
    <x v="57"/>
    <s v="Calle Guacara Nro. 88-35"/>
    <s v="Cancelación Vigilancia, meses de Junio, Julio y Agosto 2018"/>
    <s v="Vigilancia"/>
    <m/>
    <s v="01191"/>
    <s v="02 de Julio de 2018"/>
    <n v="2"/>
    <d v="2018-07-01T00:00:00"/>
    <s v="23,25"/>
    <s v="Veintitres Bolívares con 25/100"/>
  </r>
  <r>
    <n v="1192"/>
    <m/>
    <s v="ü"/>
    <d v="2018-07-02T00:00:00"/>
    <n v="6.25"/>
    <x v="59"/>
    <x v="9"/>
    <s v="Calle Guacara Nro. 90-35"/>
    <s v="Cancelación Vigilancia, mes de Junio 2018"/>
    <s v="Vigilancia"/>
    <m/>
    <s v="01192"/>
    <s v="02 de Julio de 2018"/>
    <n v="2"/>
    <d v="2018-07-01T00:00:00"/>
    <s v="6,25"/>
    <s v="Seis Bolívares con 25/100"/>
  </r>
  <r>
    <n v="1193"/>
    <m/>
    <s v="ü"/>
    <d v="2018-07-02T00:00:00"/>
    <n v="10"/>
    <x v="20"/>
    <x v="18"/>
    <s v="Calle Guacara Nro. 89-30"/>
    <s v="Cancelación Vigilancia, mes de Julio 2018"/>
    <s v="Vigilancia"/>
    <m/>
    <s v="01193"/>
    <s v="02 de Julio de 2018"/>
    <n v="2"/>
    <d v="2018-07-01T00:00:00"/>
    <s v="10,00"/>
    <s v="Diez Bolívares con 00/100"/>
  </r>
  <r>
    <n v="1194"/>
    <m/>
    <s v="ü"/>
    <d v="2018-07-02T00:00:00"/>
    <n v="8.5"/>
    <x v="86"/>
    <x v="73"/>
    <s v="Calle Guacara Nro. 89-50"/>
    <s v="Cancelación Vigilancia, anticipo mes de Julio 2018"/>
    <s v="Vigilancia"/>
    <m/>
    <s v="01194"/>
    <s v="02 de Julio de 2018"/>
    <n v="2"/>
    <d v="2018-07-01T00:00:00"/>
    <s v="8,50"/>
    <s v="Ocho Bolívares con 50/100"/>
  </r>
  <r>
    <n v="1195"/>
    <m/>
    <s v="ü"/>
    <d v="2018-07-03T00:00:00"/>
    <n v="16.25"/>
    <x v="42"/>
    <x v="39"/>
    <s v="Calle Güigüe Nro. 89-79"/>
    <s v="Cancelación Vigilancia, meses de Junio y Julio 2018 (saldo a favor: Bs. 3.535.000)"/>
    <s v="Vigilancia"/>
    <m/>
    <s v="01195"/>
    <s v="03 de Julio de 2018"/>
    <n v="3"/>
    <d v="2018-07-01T00:00:00"/>
    <s v="16,25"/>
    <s v="Dieciséis Bolívares con 25/100"/>
  </r>
  <r>
    <n v="1196"/>
    <m/>
    <s v="ü"/>
    <d v="2018-07-03T00:00:00"/>
    <n v="6.5"/>
    <x v="20"/>
    <x v="18"/>
    <s v="Calle Guacara Nro. 89-30"/>
    <s v="Cancelación Vigilancia, mes de Junio 2018"/>
    <s v="Vigilancia"/>
    <m/>
    <s v="01196"/>
    <s v="03 de Julio de 2018"/>
    <n v="3"/>
    <d v="2018-07-01T00:00:00"/>
    <s v="6,50"/>
    <s v="Seis Bolívares con 50/100"/>
  </r>
  <r>
    <n v="1197"/>
    <m/>
    <s v="ü"/>
    <d v="2018-07-03T00:00:00"/>
    <n v="12.25"/>
    <x v="46"/>
    <x v="43"/>
    <s v="Av. &quot;I&quot; Nro. 146-20"/>
    <s v="Cancelación Vigilancia, ajuste mes de Junio y cancelación mes de Julio 2018"/>
    <s v="Vigilancia"/>
    <m/>
    <s v="01197"/>
    <s v="03 de Julio de 2018"/>
    <n v="3"/>
    <d v="2018-07-01T00:00:00"/>
    <s v="12,25"/>
    <s v="Doce Bolívares con 25/100"/>
  </r>
  <r>
    <n v="1198"/>
    <m/>
    <s v="ü"/>
    <d v="2018-07-03T00:00:00"/>
    <n v="12.25"/>
    <x v="8"/>
    <x v="78"/>
    <s v="Calle Guacara Nro. 90-51"/>
    <s v="Cancelación Vigilancia, ajuste mes de Junio y cancelación mes de Julio 2018"/>
    <s v="Vigilancia"/>
    <m/>
    <s v="01198"/>
    <s v="03 de Julio de 2018"/>
    <n v="3"/>
    <d v="2018-07-01T00:00:00"/>
    <s v="12,25"/>
    <s v="Doce Bolívares con 25/100"/>
  </r>
  <r>
    <n v="1199"/>
    <m/>
    <s v="ü"/>
    <d v="2018-07-03T00:00:00"/>
    <n v="0.5"/>
    <x v="8"/>
    <x v="78"/>
    <s v="Calle Guacara Nro. 90-51"/>
    <s v="Colaboración para comida de vigilantes"/>
    <s v="Comida Vigilantes"/>
    <m/>
    <s v="01199"/>
    <s v="03 de Julio de 2018"/>
    <n v="3"/>
    <d v="2018-07-01T00:00:00"/>
    <s v="0,50"/>
    <s v="Cero Bolívares con 50/100"/>
  </r>
  <r>
    <n v="1200"/>
    <m/>
    <s v="ü"/>
    <d v="2018-07-03T00:00:00"/>
    <n v="4"/>
    <x v="86"/>
    <x v="73"/>
    <s v="Calle Guacara Nro. 89-50"/>
    <s v="Cancelación Vigilancia, anticipo mes de Junio 2018"/>
    <s v="Vigilancia"/>
    <m/>
    <s v="01200"/>
    <s v="03 de Julio de 2018"/>
    <n v="3"/>
    <d v="2018-07-01T00:00:00"/>
    <s v="4,00"/>
    <s v="Cuatro Bolívares con 00/100"/>
  </r>
  <r>
    <n v="1201"/>
    <m/>
    <s v="ü"/>
    <d v="2018-07-03T00:00:00"/>
    <n v="3.5"/>
    <x v="86"/>
    <x v="73"/>
    <s v="Calle Guacara Nro. 89-50"/>
    <s v="Colaboración mantenimiento Caseta de Vigilancia"/>
    <s v="Caseta Vigilancia"/>
    <m/>
    <s v="01201"/>
    <s v="03 de Julio de 2018"/>
    <n v="3"/>
    <d v="2018-07-01T00:00:00"/>
    <s v="3,50"/>
    <s v="Tres Bolívares con 50/100"/>
  </r>
  <r>
    <n v="1202"/>
    <m/>
    <s v="ü"/>
    <d v="2018-07-03T00:00:00"/>
    <n v="14.75"/>
    <x v="53"/>
    <x v="80"/>
    <s v="Calle Guacara Nro. 88-91"/>
    <s v="Cancelación Vigilancia, mes de Junio y anticipo Julio 2018"/>
    <s v="Vigilancia"/>
    <m/>
    <s v="01202"/>
    <s v="03 de Julio de 2018"/>
    <n v="3"/>
    <d v="2018-07-01T00:00:00"/>
    <s v="14,75"/>
    <s v="Catorce Bolívares con 75/100"/>
  </r>
  <r>
    <n v="1203"/>
    <m/>
    <s v="ü"/>
    <d v="2018-07-03T00:00:00"/>
    <n v="1.5"/>
    <x v="1"/>
    <x v="1"/>
    <s v="Calle Güigüe Nro. 88-44"/>
    <s v="Cancelación Vigilancia, ajuste mes de Julio 2018"/>
    <s v="Vigilancia"/>
    <m/>
    <s v="01203"/>
    <s v="03 de Julio de 2018"/>
    <n v="3"/>
    <d v="2018-07-01T00:00:00"/>
    <s v="1,50"/>
    <s v="Un Bolívares con 50/100"/>
  </r>
  <r>
    <n v="1204"/>
    <m/>
    <s v="ü"/>
    <d v="2018-07-03T00:00:00"/>
    <n v="23.55"/>
    <x v="73"/>
    <x v="9"/>
    <s v="Calle Güigüe Nros. 88-71 y 88-81"/>
    <s v="Cancelación Vigilancia, meses de Junio y Julio 2018"/>
    <s v="Vigilancia"/>
    <m/>
    <s v="01204"/>
    <s v="03 de Julio de 2018"/>
    <n v="3"/>
    <d v="2018-07-01T00:00:00"/>
    <s v="23,55"/>
    <s v="Veintitres Bolívares con 55/100"/>
  </r>
  <r>
    <n v="1205"/>
    <m/>
    <s v="ü"/>
    <d v="2018-07-03T00:00:00"/>
    <n v="1.5"/>
    <x v="84"/>
    <x v="71"/>
    <s v="Calle Güigüe Nro. 89-54"/>
    <s v="Cancelación Vigilancia, ajuste mes de Julio 2018"/>
    <s v="Vigilancia"/>
    <m/>
    <s v="01205"/>
    <s v="03 de Julio de 2018"/>
    <n v="3"/>
    <d v="2018-07-01T00:00:00"/>
    <s v="1,50"/>
    <s v="Un Bolívares con 50/100"/>
  </r>
  <r>
    <n v="1206"/>
    <m/>
    <s v="ü"/>
    <d v="2018-07-03T00:00:00"/>
    <n v="1.5"/>
    <x v="45"/>
    <x v="42"/>
    <s v="Calle Güigüe Nro. 87-A-11"/>
    <s v="Cancelación Vigilancia, ajuste mes de Julio 2018"/>
    <s v="Vigilancia"/>
    <m/>
    <s v="01206"/>
    <s v="03 de Julio de 2018"/>
    <n v="3"/>
    <d v="2018-07-01T00:00:00"/>
    <s v="1,50"/>
    <s v="Un Bolívares con 50/100"/>
  </r>
  <r>
    <n v="1207"/>
    <m/>
    <s v="ü"/>
    <d v="2018-07-04T00:00:00"/>
    <n v="8.25"/>
    <x v="5"/>
    <x v="9"/>
    <s v="Calle Güigüe Nro. 88-120"/>
    <s v="Cancelación Vigilancia, ajuste meses de Junio y Julio 2018"/>
    <s v="Vigilancia"/>
    <m/>
    <s v="01207"/>
    <s v="04 de Julio de 2018"/>
    <n v="4"/>
    <d v="2018-07-01T00:00:00"/>
    <s v="8,25"/>
    <s v="Ocho Bolívares con 25/100"/>
  </r>
  <r>
    <n v="1208"/>
    <m/>
    <s v="ü"/>
    <d v="2018-07-04T00:00:00"/>
    <n v="10"/>
    <x v="75"/>
    <x v="65"/>
    <s v="Av. &quot;Ñ&quot; Nro. 145-25"/>
    <s v="Cancelación Vigilancia, mes de Julio 2018 (saldo a favor: Bs. 2.210.000)"/>
    <s v="Vigilancia"/>
    <m/>
    <s v="01208"/>
    <s v="04 de Julio de 2018"/>
    <n v="4"/>
    <d v="2018-07-01T00:00:00"/>
    <s v="10,00"/>
    <s v="Diez Bolívares con 00/100"/>
  </r>
  <r>
    <n v="1209"/>
    <m/>
    <s v="ü"/>
    <d v="2018-07-04T00:00:00"/>
    <n v="10"/>
    <x v="52"/>
    <x v="9"/>
    <s v="Calle Güigüe Nro. 89-45"/>
    <s v="Cancelación Vigilancia, mes de Julio 2018 (saldo a favor: Bs. 1.518.000)"/>
    <s v="Vigilancia"/>
    <m/>
    <s v="01209"/>
    <s v="04 de Julio de 2018"/>
    <n v="4"/>
    <d v="2018-07-01T00:00:00"/>
    <s v="10,00"/>
    <s v="Diez Bolívares con 00/100"/>
  </r>
  <r>
    <n v="1210"/>
    <m/>
    <s v="ü"/>
    <d v="2018-07-04T00:00:00"/>
    <n v="10"/>
    <x v="0"/>
    <x v="0"/>
    <s v="Calle Guacara Nro. 88-45"/>
    <s v="Cancelación Vigilancia, mes de Julio 2018 (saldo a favor: Bs. 3.495.000)"/>
    <s v="Vigilancia"/>
    <m/>
    <s v="01210"/>
    <s v="04 de Julio de 2018"/>
    <n v="4"/>
    <d v="2018-07-01T00:00:00"/>
    <s v="10,00"/>
    <s v="Diez Bolívares con 00/100"/>
  </r>
  <r>
    <n v="1211"/>
    <m/>
    <s v="ü"/>
    <d v="2018-05-08T00:00:00"/>
    <n v="14.75"/>
    <x v="48"/>
    <x v="9"/>
    <s v="Calle Güigüe Nro. 88-90"/>
    <s v="Cancelación Vigilancia, mes de Junio y anticipo mes de Julio 2018"/>
    <s v="Vigilancia"/>
    <m/>
    <s v="01211"/>
    <s v="08 de Mayo de 2018"/>
    <n v="8"/>
    <d v="2018-05-01T00:00:00"/>
    <s v="14,75"/>
    <s v="Catorce Bolívares con 75/100"/>
  </r>
  <r>
    <n v="1212"/>
    <m/>
    <s v="ü"/>
    <d v="2018-07-04T00:00:00"/>
    <n v="5"/>
    <x v="72"/>
    <x v="63"/>
    <s v="Calle Güigüe Nro. 89-35"/>
    <s v="Colaboración Vigilancia, mes de Julio 2018"/>
    <s v="Vigilancia"/>
    <m/>
    <s v="01212"/>
    <s v="04 de Julio de 2018"/>
    <n v="4"/>
    <d v="2018-07-01T00:00:00"/>
    <s v="5,00"/>
    <s v="Cinco Bolívares con 00/100"/>
  </r>
  <r>
    <n v="1213"/>
    <m/>
    <s v="ü"/>
    <d v="2018-07-04T00:00:00"/>
    <n v="10"/>
    <x v="59"/>
    <x v="9"/>
    <s v="Calle Guacara Nro. 90-35"/>
    <s v="Cancelación Vigilancia, mes de Julio 2018"/>
    <s v="Vigilancia"/>
    <m/>
    <s v="01213"/>
    <s v="04 de Julio de 2018"/>
    <n v="4"/>
    <d v="2018-07-01T00:00:00"/>
    <s v="10,00"/>
    <s v="Diez Bolívares con 00/100"/>
  </r>
  <r>
    <n v="1214"/>
    <m/>
    <s v="ü"/>
    <d v="2018-07-04T00:00:00"/>
    <n v="10"/>
    <x v="17"/>
    <x v="74"/>
    <s v="Av. &quot;M&quot; Nro. 146-20"/>
    <s v="Cancelación Vigilancia, mes de Julio 2018"/>
    <s v="Vigilancia"/>
    <m/>
    <s v="01214"/>
    <s v="04 de Julio de 2018"/>
    <n v="4"/>
    <d v="2018-07-01T00:00:00"/>
    <s v="10,00"/>
    <s v="Diez Bolívares con 00/100"/>
  </r>
  <r>
    <n v="1215"/>
    <m/>
    <s v="ü"/>
    <d v="2018-07-05T00:00:00"/>
    <n v="12.25"/>
    <x v="10"/>
    <x v="10"/>
    <s v="Av. &quot;M&quot; Nro. 146-15"/>
    <s v="Cancelación Vigilancia, ajuste mes de Junio y cancelación mes de Julio 2018"/>
    <s v="Vigilancia"/>
    <m/>
    <s v="01215"/>
    <s v="05 de Julio de 2018"/>
    <n v="5"/>
    <d v="2018-07-01T00:00:00"/>
    <s v="12,25"/>
    <s v="Doce Bolívares con 25/100"/>
  </r>
  <r>
    <n v="1216"/>
    <m/>
    <s v="ü"/>
    <d v="2018-07-05T00:00:00"/>
    <n v="6"/>
    <x v="2"/>
    <x v="83"/>
    <s v="Calle Guacara Nro. 88-19"/>
    <s v="Colaboración Vigilancia, mes de Junio 2018"/>
    <s v="Vigilancia"/>
    <m/>
    <s v="01216"/>
    <s v="05 de Julio de 2018"/>
    <n v="5"/>
    <d v="2018-07-01T00:00:00"/>
    <s v="6,00"/>
    <s v="Seis Bolívares con 00/100"/>
  </r>
  <r>
    <n v="1217"/>
    <m/>
    <s v="ü"/>
    <d v="2018-07-05T00:00:00"/>
    <n v="1"/>
    <x v="32"/>
    <x v="30"/>
    <s v="Calle Güigüe Nro. 89-120"/>
    <s v="Colaboración Vigilancia, mes de Junio 2018"/>
    <s v="Vigilancia"/>
    <m/>
    <s v="01217"/>
    <s v="05 de Julio de 2018"/>
    <n v="5"/>
    <d v="2018-07-01T00:00:00"/>
    <s v="1,00"/>
    <s v="Un Bolívar con 00/100"/>
  </r>
  <r>
    <n v="1218"/>
    <m/>
    <s v="ü"/>
    <d v="2018-07-05T00:00:00"/>
    <n v="1.5"/>
    <x v="14"/>
    <x v="13"/>
    <s v="Calle Güigüe Nro. 89-83"/>
    <s v="Cancelación Vigilancia, ajuste mes de Julio 2018"/>
    <s v="Vigilancia"/>
    <m/>
    <s v="01218"/>
    <s v="05 de Julio de 2018"/>
    <n v="5"/>
    <d v="2018-07-01T00:00:00"/>
    <s v="1,50"/>
    <s v="Un Bolívares con 50/100"/>
  </r>
  <r>
    <n v="1219"/>
    <m/>
    <s v="ü"/>
    <d v="2018-07-06T00:00:00"/>
    <n v="2.25"/>
    <x v="26"/>
    <x v="24"/>
    <s v="Calle Güigüe Nro. 89-96"/>
    <s v="Cancelación Vigilancia, ajuste mes de Junio 2018"/>
    <s v="Vigilancia"/>
    <m/>
    <s v="01219"/>
    <s v="06 de Julio de 2018"/>
    <n v="6"/>
    <d v="2018-07-01T00:00:00"/>
    <s v="2,25"/>
    <s v="Dos Bolívares con 25/100"/>
  </r>
  <r>
    <n v="1220"/>
    <m/>
    <s v="ü"/>
    <d v="2018-07-07T00:00:00"/>
    <n v="10"/>
    <x v="77"/>
    <x v="85"/>
    <s v="Calle Guacara Nro. 88-65"/>
    <s v="Cancelación Vigilancia, mes de Julio 2018"/>
    <s v="Vigilancia"/>
    <m/>
    <s v="01220"/>
    <s v="07 de Julio de 2018"/>
    <n v="7"/>
    <d v="2018-07-01T00:00:00"/>
    <s v="10,00"/>
    <s v="Diez Bolívares con 00/100"/>
  </r>
  <r>
    <n v="1221"/>
    <m/>
    <s v="ü"/>
    <d v="2018-07-07T00:00:00"/>
    <n v="4"/>
    <x v="45"/>
    <x v="42"/>
    <s v="Calle Güigüe Nro. 87-A-11"/>
    <s v="Cancelación Vigilancia, saldo mes de Junio 2018"/>
    <s v="Vigilancia"/>
    <m/>
    <s v="01221"/>
    <s v="07 de Julio de 2018"/>
    <n v="7"/>
    <d v="2018-07-01T00:00:00"/>
    <s v="4,00"/>
    <s v="Cuatro Bolívares con 00/100"/>
  </r>
  <r>
    <n v="1222"/>
    <m/>
    <s v="ü"/>
    <d v="2018-07-07T00:00:00"/>
    <n v="12.4"/>
    <x v="6"/>
    <x v="6"/>
    <s v="Calle Guacara Nro. 89-60"/>
    <s v="Cancelación Vigilancia, ajuste mes de Junio, cancelación mes de Julio y anticipo mes de Agosto 2018"/>
    <s v="Vigilancia"/>
    <m/>
    <s v="01222"/>
    <s v="07 de Julio de 2018"/>
    <n v="7"/>
    <d v="2018-07-01T00:00:00"/>
    <s v="12,40"/>
    <s v="Doce Bolívares con 40/100"/>
  </r>
  <r>
    <n v="1223"/>
    <m/>
    <s v="ü"/>
    <d v="2018-07-01T00:00:00"/>
    <n v="6.25"/>
    <x v="61"/>
    <x v="14"/>
    <s v="Calle Guacara Nro. 87-07"/>
    <s v="Cancelación Vigilancia, mes de Junio 2018"/>
    <s v="Vigilancia"/>
    <m/>
    <s v="01223"/>
    <s v="01 de Julio de 2018"/>
    <n v="1"/>
    <d v="2018-07-01T00:00:00"/>
    <s v="6,25"/>
    <s v="Seis Bolívares con 25/100"/>
  </r>
  <r>
    <n v="1224"/>
    <m/>
    <s v="ü"/>
    <d v="2018-07-08T00:00:00"/>
    <n v="6.5"/>
    <x v="44"/>
    <x v="41"/>
    <s v="Calle Guacara Nro. 89-40"/>
    <s v="Cancelación Vigilancia, mes de Junio 2018"/>
    <s v="Vigilancia"/>
    <m/>
    <s v="01224"/>
    <s v="08 de Julio de 2018"/>
    <n v="8"/>
    <d v="2018-07-01T00:00:00"/>
    <s v="6,50"/>
    <s v="Seis Bolívares con 50/100"/>
  </r>
  <r>
    <n v="1225"/>
    <m/>
    <s v="ü"/>
    <d v="2018-07-08T00:00:00"/>
    <n v="10"/>
    <x v="22"/>
    <x v="20"/>
    <s v="Calle Guacara Nro. 88-25"/>
    <s v="Cancelación Vigilancia, mes de Julio 2018"/>
    <s v="Vigilancia"/>
    <m/>
    <s v="01225"/>
    <s v="08 de Julio de 2018"/>
    <n v="8"/>
    <d v="2018-07-01T00:00:00"/>
    <s v="10,00"/>
    <s v="Diez Bolívares con 00/100"/>
  </r>
  <r>
    <n v="1226"/>
    <m/>
    <s v="ü"/>
    <d v="2018-07-08T00:00:00"/>
    <n v="1.5"/>
    <x v="81"/>
    <x v="69"/>
    <s v="Calle Güigüe Nro. 89-65"/>
    <s v="Cancelación Vigilancia, ajuste mes de Julio 2018"/>
    <s v="Vigilancia"/>
    <m/>
    <s v="01226"/>
    <s v="08 de Julio de 2018"/>
    <n v="8"/>
    <d v="2018-07-01T00:00:00"/>
    <s v="1,50"/>
    <s v="Un Bolívares con 50/100"/>
  </r>
  <r>
    <n v="1227"/>
    <m/>
    <s v="ü"/>
    <d v="2018-07-09T00:00:00"/>
    <n v="12.25"/>
    <x v="62"/>
    <x v="55"/>
    <s v="Av. &quot;M&quot; Nro. 145-10"/>
    <s v="Cancelación Vigilancia, ajuste mes de Junio y mes de Julio 2018"/>
    <s v="Vigilancia"/>
    <m/>
    <s v="01227"/>
    <s v="09 de Julio de 2018"/>
    <n v="9"/>
    <d v="2018-07-01T00:00:00"/>
    <s v="12,25"/>
    <s v="Doce Bolívares con 25/100"/>
  </r>
  <r>
    <n v="1228"/>
    <m/>
    <s v="ü"/>
    <d v="2018-07-09T00:00:00"/>
    <n v="3.5"/>
    <x v="62"/>
    <x v="55"/>
    <s v="Av. &quot;M&quot; Nro. 145-10"/>
    <s v="Colaboración mantenimiento Caseta de Vigilancia"/>
    <s v="Caseta Vigilancia"/>
    <m/>
    <s v="01228"/>
    <s v="09 de Julio de 2018"/>
    <n v="9"/>
    <d v="2018-07-01T00:00:00"/>
    <s v="3,50"/>
    <s v="Tres Bolívares con 50/100"/>
  </r>
  <r>
    <n v="1229"/>
    <m/>
    <s v="ü"/>
    <d v="2018-07-09T00:00:00"/>
    <n v="10"/>
    <x v="15"/>
    <x v="14"/>
    <s v="Calle Guacara Nro. 89-94"/>
    <s v="Cancelación Vigilancia, mes de Julio 2018"/>
    <s v="Vigilancia"/>
    <m/>
    <s v="01229"/>
    <s v="09 de Julio de 2018"/>
    <n v="9"/>
    <d v="2018-07-01T00:00:00"/>
    <s v="10,00"/>
    <s v="Diez Bolívares con 00/100"/>
  </r>
  <r>
    <n v="1230"/>
    <m/>
    <s v="ü"/>
    <d v="2018-07-09T00:00:00"/>
    <n v="12.5"/>
    <x v="88"/>
    <x v="76"/>
    <s v="Calle Güigüe Nro. 88-11"/>
    <s v="Cancelación Vigilancia, ajuste mes de Junio y mes de Julio 2018"/>
    <s v="Vigilancia"/>
    <m/>
    <s v="01230"/>
    <s v="09 de Julio de 2018"/>
    <n v="9"/>
    <d v="2018-07-01T00:00:00"/>
    <s v="12,50"/>
    <s v="Doce Bolívares con 50/100"/>
  </r>
  <r>
    <n v="1231"/>
    <m/>
    <s v="ü"/>
    <d v="2018-07-09T00:00:00"/>
    <n v="2.5"/>
    <x v="19"/>
    <x v="17"/>
    <s v="Calle Guacara Nro. 89-130"/>
    <s v="Cancelación Vigilancia, ajuste mes de Junio 2018"/>
    <s v="Vigilancia"/>
    <m/>
    <s v="01231"/>
    <s v="09 de Julio de 2018"/>
    <n v="9"/>
    <d v="2018-07-01T00:00:00"/>
    <s v="2,50"/>
    <s v="Dos Bolívares con 50/100"/>
  </r>
  <r>
    <n v="1232"/>
    <m/>
    <s v="ü"/>
    <d v="2018-07-09T00:00:00"/>
    <n v="12.2"/>
    <x v="84"/>
    <x v="71"/>
    <s v="Calle Güigüe Nro. 89-54"/>
    <s v="Colaboración reparación portón principal"/>
    <s v="Reparación Portón"/>
    <m/>
    <s v="01232"/>
    <s v="09 de Julio de 2018"/>
    <n v="9"/>
    <d v="2018-07-01T00:00:00"/>
    <s v="12,20"/>
    <s v="Doce Bolívares con 20/100"/>
  </r>
  <r>
    <n v="1233"/>
    <m/>
    <s v="ü"/>
    <d v="2018-07-09T00:00:00"/>
    <n v="17.899999999999999"/>
    <x v="9"/>
    <x v="9"/>
    <s v="Av. &quot;M&quot; Nro. 146-30"/>
    <s v="Cancelación Vigilancia, meses de Junio y Julio 2018"/>
    <s v="Vigilancia"/>
    <m/>
    <s v="01233"/>
    <s v="09 de Julio de 2018"/>
    <n v="9"/>
    <d v="2018-07-01T00:00:00"/>
    <s v="17,90"/>
    <s v="Diecisiete Bolívares con 90/100"/>
  </r>
  <r>
    <n v="1234"/>
    <m/>
    <s v="ü"/>
    <d v="2018-07-09T00:00:00"/>
    <n v="10"/>
    <x v="12"/>
    <x v="12"/>
    <s v="Calle Guacara Nro. 89-20"/>
    <s v="Cancelación Vigilancia, mes de Julio 2018"/>
    <s v="Vigilancia"/>
    <m/>
    <s v="01234"/>
    <s v="09 de Julio de 2018"/>
    <n v="9"/>
    <d v="2018-07-01T00:00:00"/>
    <s v="10,00"/>
    <s v="Diez Bolívares con 00/100"/>
  </r>
  <r>
    <n v="1235"/>
    <m/>
    <s v="ü"/>
    <d v="2018-07-09T00:00:00"/>
    <n v="12.2"/>
    <x v="7"/>
    <x v="7"/>
    <s v="Calle Guacara Nro. 87-86"/>
    <s v="Colaboración reparación portón principal"/>
    <s v="Reparación Portón"/>
    <m/>
    <s v="01235"/>
    <s v="09 de Julio de 2018"/>
    <n v="9"/>
    <d v="2018-07-01T00:00:00"/>
    <s v="12,20"/>
    <s v="Doce Bolívares con 20/100"/>
  </r>
  <r>
    <n v="1236"/>
    <m/>
    <s v="ü"/>
    <d v="2018-07-09T00:00:00"/>
    <n v="1.5"/>
    <x v="7"/>
    <x v="7"/>
    <s v="Calle Guacara Nro. 87-86"/>
    <s v="Cancelación Vigilancia, ajuste mes de Julio 2018"/>
    <s v="Vigilancia"/>
    <m/>
    <s v="01236"/>
    <s v="09 de Julio de 2018"/>
    <n v="9"/>
    <d v="2018-07-01T00:00:00"/>
    <s v="1,50"/>
    <s v="Un Bolívares con 50/100"/>
  </r>
  <r>
    <n v="1237"/>
    <m/>
    <s v="ü"/>
    <d v="2018-07-09T00:00:00"/>
    <n v="10"/>
    <x v="36"/>
    <x v="33"/>
    <s v="Calle Güigüe Nro. 89-10"/>
    <s v="Cancelación Vigilancia, mes de Junio y anticipo mes de Julio 2018"/>
    <s v="Vigilancia"/>
    <m/>
    <s v="01237"/>
    <s v="09 de Julio de 2018"/>
    <n v="9"/>
    <d v="2018-07-01T00:00:00"/>
    <s v="10,00"/>
    <s v="Diez Bolívares con 00/100"/>
  </r>
  <r>
    <n v="1238"/>
    <m/>
    <s v="ü"/>
    <d v="2018-07-09T00:00:00"/>
    <n v="6"/>
    <x v="68"/>
    <x v="60"/>
    <s v="Calle Güigüe Nro. 89-29"/>
    <s v="Colaboración Vigilancia, ajuste mes de Junio y mes de Julio 2018"/>
    <s v="Vigilancia"/>
    <m/>
    <s v="01238"/>
    <s v="09 de Julio de 2018"/>
    <n v="9"/>
    <d v="2018-07-01T00:00:00"/>
    <s v="6,00"/>
    <s v="Seis Bolívares con 00/100"/>
  </r>
  <r>
    <n v="1239"/>
    <m/>
    <s v="ü"/>
    <d v="2018-07-09T00:00:00"/>
    <n v="12.2"/>
    <x v="52"/>
    <x v="9"/>
    <s v="Calle Güigüe Nro. 89-45"/>
    <s v="Colaboración reparación portón principal (saldo a favor Bs. 2.298.000)"/>
    <s v="Reparación Portón"/>
    <m/>
    <s v="01239"/>
    <s v="09 de Julio de 2018"/>
    <n v="9"/>
    <d v="2018-07-01T00:00:00"/>
    <s v="12,20"/>
    <s v="Doce Bolívares con 20/100"/>
  </r>
  <r>
    <n v="1240"/>
    <m/>
    <s v="ü"/>
    <d v="2018-07-09T00:00:00"/>
    <n v="6.3"/>
    <x v="58"/>
    <x v="53"/>
    <s v="Calle Güigüe Nro. 88-51"/>
    <s v="Cancelación Vigilancia, mes de Junio y anticipo mes de Julio 2018"/>
    <s v="Vigilancia"/>
    <m/>
    <s v="01240"/>
    <s v="09 de Julio de 2018"/>
    <n v="9"/>
    <d v="2018-07-01T00:00:00"/>
    <s v="6,30"/>
    <s v="Seis Bolívares con 30/100"/>
  </r>
  <r>
    <n v="1241"/>
    <m/>
    <s v="ü"/>
    <d v="2018-07-10T00:00:00"/>
    <n v="12.2"/>
    <x v="88"/>
    <x v="76"/>
    <s v="Calle Güigüe Nro. 88-11"/>
    <s v="Colaboración reparación portón principal"/>
    <s v="Reparación Portón"/>
    <m/>
    <s v="01241"/>
    <s v="10 de Julio de 2018"/>
    <n v="10"/>
    <d v="2018-07-01T00:00:00"/>
    <s v="12,20"/>
    <s v="Doce Bolívares con 20/100"/>
  </r>
  <r>
    <n v="1242"/>
    <m/>
    <s v="ü"/>
    <d v="2018-07-10T00:00:00"/>
    <n v="12.2"/>
    <x v="42"/>
    <x v="39"/>
    <s v="Calle Güigüe Nro. 89-79"/>
    <s v="Colaboración reparación portón principal (saldo a favor Bs. 2.315.000)"/>
    <s v="Reparación Portón"/>
    <m/>
    <s v="01242"/>
    <s v="10 de Julio de 2018"/>
    <n v="10"/>
    <d v="2018-07-01T00:00:00"/>
    <s v="12,20"/>
    <s v="Doce Bolívares con 20/100"/>
  </r>
  <r>
    <n v="1243"/>
    <m/>
    <s v="ü"/>
    <d v="2018-07-10T00:00:00"/>
    <n v="1.5"/>
    <x v="65"/>
    <x v="58"/>
    <s v="Calle Güigüe Nro. 88-10"/>
    <s v="Cancelación Vigilancia, ajuste mes de Julio 2018"/>
    <s v="Vigilancia"/>
    <m/>
    <s v="01243"/>
    <s v="10 de Julio de 2018"/>
    <n v="10"/>
    <d v="2018-07-01T00:00:00"/>
    <s v="1,50"/>
    <s v="Un Bolívares con 50/100"/>
  </r>
  <r>
    <n v="1244"/>
    <m/>
    <s v="ü"/>
    <d v="2018-07-10T00:00:00"/>
    <n v="12.2"/>
    <x v="65"/>
    <x v="58"/>
    <s v="Calle Güigüe Nro. 88-10"/>
    <s v="Colaboración reparación portón principal"/>
    <s v="Reparación Portón"/>
    <m/>
    <s v="01244"/>
    <s v="10 de Julio de 2018"/>
    <n v="10"/>
    <d v="2018-07-01T00:00:00"/>
    <s v="12,20"/>
    <s v="Doce Bolívares con 20/100"/>
  </r>
  <r>
    <n v="1245"/>
    <m/>
    <s v="ü"/>
    <d v="2018-07-10T00:00:00"/>
    <n v="12.2"/>
    <x v="75"/>
    <x v="65"/>
    <s v="Av. &quot;Ñ&quot; Nro. 145-25"/>
    <s v="Colaboración reparación portón principal (saldo a favor Bs. 990.000)"/>
    <s v="Reparación Portón"/>
    <m/>
    <s v="01245"/>
    <s v="10 de Julio de 2018"/>
    <n v="10"/>
    <d v="2018-07-01T00:00:00"/>
    <s v="12,20"/>
    <s v="Doce Bolívares con 20/100"/>
  </r>
  <r>
    <n v="1246"/>
    <m/>
    <s v="ü"/>
    <d v="2018-07-10T00:00:00"/>
    <n v="12.2"/>
    <x v="31"/>
    <x v="29"/>
    <s v="Calle Güigüe Nro. 89-95"/>
    <s v="Colaboración reparación portón principal"/>
    <s v="Reparación Portón"/>
    <m/>
    <s v="01246"/>
    <s v="10 de Julio de 2018"/>
    <n v="10"/>
    <d v="2018-07-01T00:00:00"/>
    <s v="12,20"/>
    <s v="Doce Bolívares con 20/100"/>
  </r>
  <r>
    <n v="1247"/>
    <m/>
    <s v="ü"/>
    <d v="2018-07-10T00:00:00"/>
    <n v="16.25"/>
    <x v="49"/>
    <x v="46"/>
    <s v="Av. &quot;O&quot; Nro. 146-17"/>
    <s v="Cancelación Vigilancia, meses de Junio y Julio 2018"/>
    <s v="Vigilancia"/>
    <m/>
    <s v="01247"/>
    <s v="10 de Julio de 2018"/>
    <n v="10"/>
    <d v="2018-07-01T00:00:00"/>
    <s v="16,25"/>
    <s v="Dieciséis Bolívares con 25/100"/>
  </r>
  <r>
    <n v="1248"/>
    <m/>
    <s v="ü"/>
    <d v="2018-07-10T00:00:00"/>
    <n v="12.2"/>
    <x v="20"/>
    <x v="18"/>
    <s v="Calle Guacara Nro. 89-30"/>
    <s v="Colaboración reparación portón principal"/>
    <s v="Reparación Portón"/>
    <m/>
    <s v="01248"/>
    <s v="10 de Julio de 2018"/>
    <n v="10"/>
    <d v="2018-07-01T00:00:00"/>
    <s v="12,20"/>
    <s v="Doce Bolívares con 20/100"/>
  </r>
  <r>
    <n v="1249"/>
    <m/>
    <s v="ü"/>
    <d v="2018-07-10T00:00:00"/>
    <n v="10"/>
    <x v="4"/>
    <x v="4"/>
    <s v="Calle Güigüe Nro. 89-55"/>
    <s v="Cancelación Vigilancia, mes de Julio 2018"/>
    <s v="Vigilancia"/>
    <m/>
    <s v="01249"/>
    <s v="10 de Julio de 2018"/>
    <n v="10"/>
    <d v="2018-07-01T00:00:00"/>
    <s v="10,00"/>
    <s v="Diez Bolívares con 00/100"/>
  </r>
  <r>
    <n v="1250"/>
    <m/>
    <s v="ü"/>
    <d v="2018-07-10T00:00:00"/>
    <n v="12.2"/>
    <x v="4"/>
    <x v="4"/>
    <s v="Calle Güigüe Nro. 89-55"/>
    <s v="Colaboración reparación portón principal"/>
    <s v="Reparación Portón"/>
    <m/>
    <s v="01250"/>
    <s v="10 de Julio de 2018"/>
    <n v="10"/>
    <d v="2018-07-01T00:00:00"/>
    <s v="12,20"/>
    <s v="Doce Bolívares con 20/100"/>
  </r>
  <r>
    <n v="1251"/>
    <m/>
    <s v="ü"/>
    <d v="2018-07-10T00:00:00"/>
    <n v="1.5"/>
    <x v="38"/>
    <x v="35"/>
    <s v="Calle Guacara Nro. 89-78"/>
    <s v="Cancelación Vigilancia, ajuste mes de Julio 2018"/>
    <s v="Vigilancia"/>
    <m/>
    <s v="01251"/>
    <s v="10 de Julio de 2018"/>
    <n v="10"/>
    <d v="2018-07-01T00:00:00"/>
    <s v="1,50"/>
    <s v="Un Bolívares con 50/100"/>
  </r>
  <r>
    <n v="1252"/>
    <m/>
    <s v="ü"/>
    <d v="2018-07-10T00:00:00"/>
    <n v="11.5"/>
    <x v="86"/>
    <x v="73"/>
    <s v="Calle Guacara Nro. 89-50"/>
    <s v="Cancelación Vigilancia, ajuste mes de Julio y Agosto 2018"/>
    <s v="Vigilancia"/>
    <m/>
    <s v="01252"/>
    <s v="10 de Julio de 2018"/>
    <n v="10"/>
    <d v="2018-07-01T00:00:00"/>
    <s v="11,50"/>
    <s v="Once Bolívares con 50/100"/>
  </r>
  <r>
    <n v="1253"/>
    <m/>
    <s v="ü"/>
    <d v="2018-07-10T00:00:00"/>
    <n v="12.2"/>
    <x v="1"/>
    <x v="1"/>
    <s v="Calle Güigüe Nro. 88-44"/>
    <s v="Colaboración reparación portón principal"/>
    <s v="Reparación Portón"/>
    <m/>
    <s v="01253"/>
    <s v="10 de Julio de 2018"/>
    <n v="10"/>
    <d v="2018-07-01T00:00:00"/>
    <s v="12,20"/>
    <s v="Doce Bolívares con 20/100"/>
  </r>
  <r>
    <n v="1254"/>
    <m/>
    <s v="ü"/>
    <d v="2018-07-10T00:00:00"/>
    <n v="12.2"/>
    <x v="76"/>
    <x v="66"/>
    <s v="Calle Güigüe Nro. 89-90"/>
    <s v="Colaboración reparación portón principal"/>
    <s v="Reparación Portón"/>
    <m/>
    <s v="01254"/>
    <s v="10 de Julio de 2018"/>
    <n v="10"/>
    <d v="2018-07-01T00:00:00"/>
    <s v="12,20"/>
    <s v="Doce Bolívares con 20/100"/>
  </r>
  <r>
    <n v="1255"/>
    <m/>
    <s v="ü"/>
    <d v="2018-07-10T00:00:00"/>
    <n v="10.3"/>
    <x v="76"/>
    <x v="66"/>
    <s v="Calle Güigüe Nro. 89-90"/>
    <s v="Cancelación Vigilancia, ajuste mes de Junio y anticipo mes de Julio 2018"/>
    <s v="Vigilancia"/>
    <m/>
    <s v="01255"/>
    <s v="10 de Julio de 2018"/>
    <n v="10"/>
    <d v="2018-07-01T00:00:00"/>
    <s v="10,30"/>
    <s v="Diez Bolívares con 30/100"/>
  </r>
  <r>
    <n v="1256"/>
    <m/>
    <s v="ü"/>
    <d v="2018-07-11T00:00:00"/>
    <n v="12.2"/>
    <x v="9"/>
    <x v="9"/>
    <s v="Av. &quot;M&quot; Nro. 146-30"/>
    <s v="Colaboración reparación portón principal"/>
    <s v="Reparación Portón"/>
    <m/>
    <s v="01256"/>
    <s v="11 de Julio de 2018"/>
    <n v="11"/>
    <d v="2018-07-01T00:00:00"/>
    <s v="12,20"/>
    <s v="Doce Bolívares con 20/100"/>
  </r>
  <r>
    <n v="1257"/>
    <m/>
    <s v="ü"/>
    <d v="2018-07-11T00:00:00"/>
    <n v="1.5"/>
    <x v="90"/>
    <x v="82"/>
    <s v="Calle Güigüe Nro. 89-04"/>
    <s v="Cancelación Vigilancia, ajuste mes de Julio 2018"/>
    <s v="Vigilancia"/>
    <m/>
    <s v="01257"/>
    <s v="11 de Julio de 2018"/>
    <n v="11"/>
    <d v="2018-07-01T00:00:00"/>
    <s v="1,50"/>
    <s v="Un Bolívares con 50/100"/>
  </r>
  <r>
    <n v="1258"/>
    <m/>
    <s v="ü"/>
    <d v="2018-07-11T00:00:00"/>
    <n v="16.25"/>
    <x v="23"/>
    <x v="21"/>
    <s v="Calle Güigüe Nro. 88-116"/>
    <s v="Cancelación Vigilancia, meses de Junio y Julio 2018"/>
    <s v="Vigilancia"/>
    <m/>
    <s v="01258"/>
    <s v="11 de Julio de 2018"/>
    <n v="11"/>
    <d v="2018-07-01T00:00:00"/>
    <s v="16,25"/>
    <s v="Dieciséis Bolívares con 25/100"/>
  </r>
  <r>
    <n v="1259"/>
    <m/>
    <s v="ü"/>
    <d v="2018-07-11T00:00:00"/>
    <n v="1.95"/>
    <x v="76"/>
    <x v="66"/>
    <s v="Calle Güigüe Nro. 89-90"/>
    <s v="Cancelación Vigilancia, ajuste mes de Julio 2018"/>
    <s v="Vigilancia"/>
    <m/>
    <s v="01259"/>
    <s v="11 de Julio de 2018"/>
    <n v="11"/>
    <d v="2018-07-01T00:00:00"/>
    <s v="1,95"/>
    <s v="Un Bolívares con 95/100"/>
  </r>
  <r>
    <n v="1260"/>
    <m/>
    <s v="ü"/>
    <d v="2018-07-12T00:00:00"/>
    <n v="10"/>
    <x v="92"/>
    <x v="86"/>
    <s v="Calle Guacara Nro. 88-A-10"/>
    <s v="Cancelación Vigilancia, mes de Julio 2018"/>
    <s v="Vigilancia"/>
    <m/>
    <s v="01260"/>
    <s v="12 de Julio de 2018"/>
    <n v="12"/>
    <d v="2018-07-01T00:00:00"/>
    <s v="10,00"/>
    <s v="Diez Bolívares con 00/100"/>
  </r>
  <r>
    <n v="1261"/>
    <m/>
    <s v="ü"/>
    <d v="2018-07-12T00:00:00"/>
    <n v="12.2"/>
    <x v="92"/>
    <x v="86"/>
    <s v="Calle Guacara Nro. 88-A-10"/>
    <s v="Colaboración reparación portón principal"/>
    <s v="Reparación Portón"/>
    <m/>
    <s v="01261"/>
    <s v="12 de Julio de 2018"/>
    <n v="12"/>
    <d v="2018-07-01T00:00:00"/>
    <s v="12,20"/>
    <s v="Doce Bolívares con 20/100"/>
  </r>
  <r>
    <n v="1262"/>
    <m/>
    <s v="ü"/>
    <d v="2018-07-12T00:00:00"/>
    <n v="10.75"/>
    <x v="40"/>
    <x v="37"/>
    <s v="Calle Güigüe Nro. 88-101"/>
    <s v="Cancelación Vigilancia, mes de junio y anticipo mes de Julio 2018"/>
    <s v="Vigilancia"/>
    <m/>
    <s v="01262"/>
    <s v="12 de Julio de 2018"/>
    <n v="12"/>
    <d v="2018-07-01T00:00:00"/>
    <s v="10,75"/>
    <s v="Diez Bolívares con 75/100"/>
  </r>
  <r>
    <n v="1263"/>
    <m/>
    <s v="ü"/>
    <d v="2018-07-12T00:00:00"/>
    <n v="2.25"/>
    <x v="69"/>
    <x v="61"/>
    <s v="Calle Güigüe Nro. 89-40"/>
    <s v="Cancelación Vigilancia, saldo mes de Junio 2018"/>
    <s v="Vigilancia"/>
    <m/>
    <s v="01263"/>
    <s v="12 de Julio de 2018"/>
    <n v="12"/>
    <d v="2018-07-01T00:00:00"/>
    <s v="2,25"/>
    <s v="Dos Bolívares con 25/100"/>
  </r>
  <r>
    <n v="1264"/>
    <m/>
    <s v="ü"/>
    <d v="2018-07-12T00:00:00"/>
    <n v="6.25"/>
    <x v="17"/>
    <x v="74"/>
    <s v="Av. &quot;M&quot; Nro. 146-20"/>
    <s v="Cancelación Vigilancia, mes de Junio 2018"/>
    <s v="Vigilancia"/>
    <m/>
    <s v="01264"/>
    <s v="12 de Julio de 2018"/>
    <n v="12"/>
    <d v="2018-07-01T00:00:00"/>
    <s v="6,25"/>
    <s v="Seis Bolívares con 25/100"/>
  </r>
  <r>
    <n v="1265"/>
    <m/>
    <s v="ü"/>
    <d v="2018-07-12T00:00:00"/>
    <n v="16.25"/>
    <x v="54"/>
    <x v="50"/>
    <s v="Calle Güigüe Nro. 89-21"/>
    <s v="Cancelación Vigilancia, meses de Junio y Julio 2018"/>
    <s v="Vigilancia"/>
    <m/>
    <s v="01265"/>
    <s v="12 de Julio de 2018"/>
    <n v="12"/>
    <d v="2018-07-01T00:00:00"/>
    <s v="16,25"/>
    <s v="Dieciséis Bolívares con 25/100"/>
  </r>
  <r>
    <n v="1266"/>
    <m/>
    <s v="ü"/>
    <d v="2018-07-12T00:00:00"/>
    <n v="12.2"/>
    <x v="54"/>
    <x v="50"/>
    <s v="Calle Güigüe Nro. 89-21"/>
    <s v="Colaboración reparación portón principal"/>
    <s v="Reparación Portón"/>
    <m/>
    <s v="01266"/>
    <s v="12 de Julio de 2018"/>
    <n v="12"/>
    <d v="2018-07-01T00:00:00"/>
    <s v="12,20"/>
    <s v="Doce Bolívares con 20/100"/>
  </r>
  <r>
    <n v="1267"/>
    <m/>
    <s v="ü"/>
    <d v="2018-07-12T00:00:00"/>
    <n v="20"/>
    <x v="43"/>
    <x v="40"/>
    <s v="Calle Güigüe Nro. 88-50"/>
    <s v="Cancelación Vigilancia, meses de Junio y Julio 2018"/>
    <s v="Vigilancia"/>
    <m/>
    <s v="01267"/>
    <s v="12 de Julio de 2018"/>
    <n v="12"/>
    <d v="2018-07-01T00:00:00"/>
    <s v="20,00"/>
    <s v="Veinte Bolívares con 00/100"/>
  </r>
  <r>
    <n v="1268"/>
    <m/>
    <s v="ü"/>
    <d v="2018-07-12T00:00:00"/>
    <n v="15"/>
    <x v="43"/>
    <x v="40"/>
    <s v="Calle Güigüe Nro. 88-50"/>
    <s v="Colaboración reparación portón principal"/>
    <s v="Reparación Portón"/>
    <m/>
    <s v="01268"/>
    <s v="12 de Julio de 2018"/>
    <n v="12"/>
    <d v="2018-07-01T00:00:00"/>
    <s v="15,00"/>
    <s v="Quince Bolívares con 00/100"/>
  </r>
  <r>
    <n v="1269"/>
    <m/>
    <s v="ü"/>
    <d v="2018-07-12T00:00:00"/>
    <n v="13"/>
    <x v="14"/>
    <x v="13"/>
    <s v="Calle Güigüe Nro. 89-83"/>
    <s v="Colaboración reparación portón principal"/>
    <s v="Reparación Portón"/>
    <m/>
    <s v="01269"/>
    <s v="12 de Julio de 2018"/>
    <n v="12"/>
    <d v="2018-07-01T00:00:00"/>
    <s v="13,00"/>
    <s v="Trece Bolívares con 00/100"/>
  </r>
  <r>
    <n v="1270"/>
    <m/>
    <s v="ü"/>
    <d v="2018-07-12T00:00:00"/>
    <n v="12.2"/>
    <x v="69"/>
    <x v="61"/>
    <s v="Calle Güigüe Nro. 89-40"/>
    <s v="Colaboración reparación portón principal"/>
    <s v="Reparación Portón"/>
    <m/>
    <s v="01270"/>
    <s v="12 de Julio de 2018"/>
    <n v="12"/>
    <d v="2018-07-01T00:00:00"/>
    <s v="12,20"/>
    <s v="Doce Bolívares con 20/100"/>
  </r>
  <r>
    <n v="1271"/>
    <m/>
    <s v="ü"/>
    <d v="2018-07-12T00:00:00"/>
    <n v="12.2"/>
    <x v="86"/>
    <x v="73"/>
    <s v="Calle Guacara Nro. 89-50"/>
    <s v="Colaboración reparación portón principal"/>
    <s v="Reparación Portón"/>
    <m/>
    <s v="01271"/>
    <s v="12 de Julio de 2018"/>
    <n v="12"/>
    <d v="2018-07-01T00:00:00"/>
    <s v="12,20"/>
    <s v="Doce Bolívares con 20/100"/>
  </r>
  <r>
    <n v="1272"/>
    <m/>
    <s v="ü"/>
    <d v="2018-07-12T00:00:00"/>
    <n v="12.2"/>
    <x v="87"/>
    <x v="75"/>
    <s v="Calle Güigüe Nro. 88-06"/>
    <s v="Colaboración reparación portón principal (saldo a favor Bs. 3.255.000)"/>
    <s v="Reparación Portón"/>
    <m/>
    <s v="01272"/>
    <s v="12 de Julio de 2018"/>
    <n v="12"/>
    <d v="2018-07-01T00:00:00"/>
    <s v="12,20"/>
    <s v="Doce Bolívares con 20/100"/>
  </r>
  <r>
    <n v="1273"/>
    <m/>
    <s v="ü"/>
    <d v="2018-06-12T00:00:00"/>
    <n v="12.25"/>
    <x v="28"/>
    <x v="77"/>
    <s v="Calle Güigüe Nro. 88-30"/>
    <s v="Cancelación Vigilancia, ajuste mes de Junio y cancelación mes de Julio 2018"/>
    <s v="Vigilancia"/>
    <m/>
    <s v="01273"/>
    <s v="12 de Junio de 2018"/>
    <n v="12"/>
    <d v="2018-06-01T00:00:00"/>
    <s v="12,25"/>
    <s v="Doce Bolívares con 25/100"/>
  </r>
  <r>
    <n v="1274"/>
    <m/>
    <s v="ü"/>
    <d v="2018-07-13T00:00:00"/>
    <n v="10"/>
    <x v="35"/>
    <x v="32"/>
    <s v="Calle Güigüe Nro. 89-80"/>
    <s v="Cancelación Vigilancia, mes de Julio 2018"/>
    <s v="Vigilancia"/>
    <m/>
    <s v="01274"/>
    <s v="13 de Julio de 2018"/>
    <n v="13"/>
    <d v="2018-07-01T00:00:00"/>
    <s v="10,00"/>
    <s v="Diez Bolívares con 00/100"/>
  </r>
  <r>
    <n v="1275"/>
    <m/>
    <s v="ü"/>
    <d v="2018-07-13T00:00:00"/>
    <n v="12.2"/>
    <x v="35"/>
    <x v="32"/>
    <s v="Calle Güigüe Nro. 89-80"/>
    <s v="Colaboración reparación portón principal"/>
    <s v="Reparación Portón"/>
    <m/>
    <s v="01275"/>
    <s v="13 de Julio de 2018"/>
    <n v="13"/>
    <d v="2018-07-01T00:00:00"/>
    <s v="12,20"/>
    <s v="Doce Bolívares con 20/100"/>
  </r>
  <r>
    <n v="1276"/>
    <m/>
    <s v="ü"/>
    <d v="2018-07-14T00:00:00"/>
    <n v="10"/>
    <x v="69"/>
    <x v="61"/>
    <s v="Calle Güigüe Nro. 89-40"/>
    <s v="Cancelación Vigilancia, mes de Julio 2018"/>
    <s v="Vigilancia"/>
    <m/>
    <s v="01276"/>
    <s v="14 de Julio de 2018"/>
    <n v="14"/>
    <d v="2018-07-01T00:00:00"/>
    <s v="10,00"/>
    <s v="Diez Bolívares con 00/100"/>
  </r>
  <r>
    <n v="1277"/>
    <m/>
    <s v="ü"/>
    <d v="2018-07-14T00:00:00"/>
    <n v="1.5"/>
    <x v="60"/>
    <x v="54"/>
    <s v="Calle Guacara Nro. 88-51"/>
    <s v="Cancelación Vigilancia, saldo mes de Julio 2018"/>
    <s v="Vigilancia"/>
    <m/>
    <s v="01277"/>
    <s v="14 de Julio de 2018"/>
    <n v="14"/>
    <d v="2018-07-01T00:00:00"/>
    <s v="1,50"/>
    <s v="Un Bolívares con 50/100"/>
  </r>
  <r>
    <n v="1278"/>
    <m/>
    <s v="ü"/>
    <d v="2018-07-14T00:00:00"/>
    <n v="8.5"/>
    <x v="60"/>
    <x v="54"/>
    <s v="Calle Guacara Nro. 88-51"/>
    <s v="Colaboración reparación portón principal"/>
    <s v="Reparación Portón"/>
    <m/>
    <s v="01278"/>
    <s v="14 de Julio de 2018"/>
    <n v="14"/>
    <d v="2018-07-01T00:00:00"/>
    <s v="8,50"/>
    <s v="Ocho Bolívares con 50/100"/>
  </r>
  <r>
    <n v="1279"/>
    <m/>
    <s v="ü"/>
    <d v="2018-07-14T00:00:00"/>
    <n v="12.2"/>
    <x v="77"/>
    <x v="85"/>
    <s v="Calle Guacara Nro. 88-65"/>
    <s v="Colaboración reparación portón principal"/>
    <s v="Reparación Portón"/>
    <m/>
    <s v="01279"/>
    <s v="14 de Julio de 2018"/>
    <n v="14"/>
    <d v="2018-07-01T00:00:00"/>
    <s v="12,20"/>
    <s v="Doce Bolívares con 20/100"/>
  </r>
  <r>
    <n v="1280"/>
    <m/>
    <s v="ü"/>
    <d v="2018-07-16T00:00:00"/>
    <n v="8.25"/>
    <x v="63"/>
    <x v="56"/>
    <s v="Calle Guacara Nro. 88-85"/>
    <s v="Cancelación Vigilancia, ajuste mes de Junio y diferencia mes de Julio 2018"/>
    <s v="Vigilancia"/>
    <m/>
    <s v="01280"/>
    <s v="16 de Julio de 2018"/>
    <n v="16"/>
    <d v="2018-07-01T00:00:00"/>
    <s v="8,25"/>
    <s v="Ocho Bolívares con 25/100"/>
  </r>
  <r>
    <n v="1281"/>
    <m/>
    <s v="ü"/>
    <d v="2018-07-16T00:00:00"/>
    <n v="12.2"/>
    <x v="63"/>
    <x v="56"/>
    <s v="Calle Guacara Nro. 88-85"/>
    <s v="Colaboración reparación portón principal"/>
    <s v="Reparación Portón"/>
    <m/>
    <s v="01281"/>
    <s v="16 de Julio de 2018"/>
    <n v="16"/>
    <d v="2018-07-01T00:00:00"/>
    <s v="12,20"/>
    <s v="Doce Bolívares con 20/100"/>
  </r>
  <r>
    <n v="1282"/>
    <m/>
    <s v="ü"/>
    <d v="2018-07-16T00:00:00"/>
    <n v="22.25"/>
    <x v="34"/>
    <x v="9"/>
    <s v="Av. &quot;O&quot; Nro. 146-11"/>
    <s v="Cancelación Vigilancia, ajuste mes de Junio y cancelación meses de Julio y Agosto 2018"/>
    <s v="Vigilancia"/>
    <m/>
    <s v="01282"/>
    <s v="16 de Julio de 2018"/>
    <n v="16"/>
    <d v="2018-07-01T00:00:00"/>
    <s v="22,25"/>
    <s v="Veintidos Bolívares con 25/100"/>
  </r>
  <r>
    <n v="1283"/>
    <m/>
    <s v="ü"/>
    <d v="2018-07-17T00:00:00"/>
    <n v="8"/>
    <x v="83"/>
    <x v="70"/>
    <s v="Calle Güigüe Nro. 89-22"/>
    <s v="Cancelación Vigilancia, mes de Junio y anticipo mes de Julio 2018"/>
    <s v="Vigilancia"/>
    <m/>
    <s v="01283"/>
    <s v="17 de Julio de 2018"/>
    <n v="17"/>
    <d v="2018-07-01T00:00:00"/>
    <s v="8,00"/>
    <s v="Ocho Bolívares con 00/100"/>
  </r>
  <r>
    <n v="1284"/>
    <m/>
    <s v="ü"/>
    <d v="2018-07-17T00:00:00"/>
    <n v="10"/>
    <x v="25"/>
    <x v="23"/>
    <s v="Calle Güigüe Nro. 88-58"/>
    <s v="Cancelación Vigilancia, mes de Julio 2018"/>
    <s v="Vigilancia"/>
    <m/>
    <s v="01284"/>
    <s v="17 de Julio de 2018"/>
    <n v="17"/>
    <d v="2018-07-01T00:00:00"/>
    <s v="10,00"/>
    <s v="Diez Bolívares con 00/100"/>
  </r>
  <r>
    <n v="1285"/>
    <m/>
    <s v="ü"/>
    <d v="2018-07-18T00:00:00"/>
    <n v="10"/>
    <x v="19"/>
    <x v="17"/>
    <s v="Calle Guacara Nro. 89-130"/>
    <s v="Cancelación Vigilancia, mes de Julio 2018"/>
    <s v="Vigilancia"/>
    <m/>
    <s v="01285"/>
    <s v="18 de Julio de 2018"/>
    <n v="18"/>
    <d v="2018-07-01T00:00:00"/>
    <s v="10,00"/>
    <s v="Diez Bolívares con 00/100"/>
  </r>
  <r>
    <n v="1286"/>
    <m/>
    <s v="ü"/>
    <d v="2018-07-18T00:00:00"/>
    <n v="12.2"/>
    <x v="19"/>
    <x v="17"/>
    <s v="Calle Guacara Nro. 89-130"/>
    <s v="Colaboración reparación portón principal"/>
    <s v="Reparación Portón"/>
    <m/>
    <s v="01286"/>
    <s v="18 de Julio de 2018"/>
    <n v="18"/>
    <d v="2018-07-01T00:00:00"/>
    <s v="12,20"/>
    <s v="Doce Bolívares con 20/100"/>
  </r>
  <r>
    <n v="1287"/>
    <m/>
    <s v="ü"/>
    <d v="2018-07-18T00:00:00"/>
    <n v="12"/>
    <x v="3"/>
    <x v="3"/>
    <s v="Calle Güigüe Nro. 88-62"/>
    <s v="Colaboración Vigilancia, meses de Junio y Julio 2018"/>
    <s v="Vigilancia"/>
    <m/>
    <s v="01287"/>
    <s v="18 de Julio de 2018"/>
    <n v="18"/>
    <d v="2018-07-01T00:00:00"/>
    <s v="12,00"/>
    <s v="Doce Bolívares con 00/100"/>
  </r>
  <r>
    <n v="1288"/>
    <m/>
    <s v="ü"/>
    <d v="2018-07-20T00:00:00"/>
    <n v="12.2"/>
    <x v="12"/>
    <x v="12"/>
    <s v="Calle Guacara Nro. 89-20"/>
    <s v="Colaboración reparación portón principal"/>
    <s v="Reparación Portón"/>
    <m/>
    <s v="01288"/>
    <s v="20 de Julio de 2018"/>
    <n v="20"/>
    <d v="2018-07-01T00:00:00"/>
    <s v="12,20"/>
    <s v="Doce Bolívares con 20/100"/>
  </r>
  <r>
    <n v="1289"/>
    <m/>
    <s v="ü"/>
    <d v="2018-07-20T00:00:00"/>
    <n v="5.5"/>
    <x v="40"/>
    <x v="37"/>
    <s v="Calle Güigüe Nro. 88-101"/>
    <s v="Cancelación Vigilancia, saldo mes de Julio 2018"/>
    <s v="Vigilancia"/>
    <m/>
    <s v="01289"/>
    <s v="20 de Julio de 2018"/>
    <n v="20"/>
    <d v="2018-07-01T00:00:00"/>
    <s v="5,50"/>
    <s v="Cinco Bolívares con 50/100"/>
  </r>
  <r>
    <n v="1290"/>
    <m/>
    <s v="ü"/>
    <d v="2018-07-21T00:00:00"/>
    <n v="1"/>
    <x v="82"/>
    <x v="9"/>
    <s v="Calle Guacara Nro. 90-61"/>
    <s v="Colaboración Vigilancia, mes de Junio 2018"/>
    <s v="Vigilancia"/>
    <m/>
    <s v="01290"/>
    <s v="21 de Julio de 2018"/>
    <n v="21"/>
    <d v="2018-07-01T00:00:00"/>
    <s v="1,00"/>
    <s v="Un Bolívar con 00/100"/>
  </r>
  <r>
    <n v="1291"/>
    <m/>
    <s v="ü"/>
    <d v="2018-07-20T00:00:00"/>
    <n v="10"/>
    <x v="56"/>
    <x v="52"/>
    <s v="Calle Güigüe Nro. 88-70"/>
    <s v="Cancelación Vigilancia, mes de Julio 2018"/>
    <s v="Vigilancia"/>
    <m/>
    <s v="01291"/>
    <s v="20 de Julio de 2018"/>
    <n v="20"/>
    <d v="2018-07-01T00:00:00"/>
    <s v="10,00"/>
    <s v="Diez Bolívares con 00/100"/>
  </r>
  <r>
    <n v="1292"/>
    <m/>
    <s v="ü"/>
    <d v="2018-07-20T00:00:00"/>
    <n v="13"/>
    <x v="56"/>
    <x v="52"/>
    <s v="Calle Güigüe Nro. 88-70"/>
    <s v="Colaboración reparación portón principal"/>
    <s v="Reparación Portón"/>
    <m/>
    <s v="01292"/>
    <s v="20 de Julio de 2018"/>
    <n v="20"/>
    <d v="2018-07-01T00:00:00"/>
    <s v="13,00"/>
    <s v="Trece Bolívares con 00/100"/>
  </r>
  <r>
    <n v="1293"/>
    <m/>
    <s v="ü"/>
    <d v="2018-07-20T00:00:00"/>
    <n v="30"/>
    <x v="56"/>
    <x v="52"/>
    <s v="Calle Güigüe Nro. 88-70"/>
    <s v="Donativo para los vigilantes"/>
    <s v="Otros"/>
    <m/>
    <s v="01293"/>
    <s v="20 de Julio de 2018"/>
    <n v="20"/>
    <d v="2018-07-01T00:00:00"/>
    <s v="30,00"/>
    <s v="Treinta Bolívares con 00/100"/>
  </r>
  <r>
    <n v="1294"/>
    <m/>
    <s v="ü"/>
    <d v="2018-07-23T00:00:00"/>
    <n v="12.2"/>
    <x v="38"/>
    <x v="35"/>
    <s v="Calle Guacara Nro. 89-78"/>
    <s v="Colaboración reparación portón principal"/>
    <s v="Reparación Portón"/>
    <m/>
    <s v="01294"/>
    <s v="23 de Julio de 2018"/>
    <n v="23"/>
    <d v="2018-07-01T00:00:00"/>
    <s v="12,20"/>
    <s v="Doce Bolívares con 20/100"/>
  </r>
  <r>
    <n v="1295"/>
    <m/>
    <s v="ü"/>
    <d v="2018-07-20T00:00:00"/>
    <n v="12.2"/>
    <x v="45"/>
    <x v="42"/>
    <s v="Calle Güigüe Nro. 87-A-11"/>
    <s v="Colaboración reparación portón principal"/>
    <s v="Reparación Portón"/>
    <m/>
    <s v="01295"/>
    <s v="20 de Julio de 2018"/>
    <n v="20"/>
    <d v="2018-07-01T00:00:00"/>
    <s v="12,20"/>
    <s v="Doce Bolívares con 20/100"/>
  </r>
  <r>
    <n v="1296"/>
    <m/>
    <s v="ü"/>
    <d v="2018-07-23T00:00:00"/>
    <n v="10"/>
    <x v="24"/>
    <x v="22"/>
    <s v="Calle Güigüe Nro. 88-54"/>
    <s v="Cancelación Vigilancia, ajuste mes de Junio 2018, más adicional de Bs. 25.000"/>
    <s v="Vigilancia"/>
    <m/>
    <s v="01296"/>
    <s v="23 de Julio de 2018"/>
    <n v="23"/>
    <d v="2018-07-01T00:00:00"/>
    <s v="10,00"/>
    <s v="Diez Bolívares con 00/100"/>
  </r>
  <r>
    <n v="1297"/>
    <m/>
    <s v="ü"/>
    <d v="2018-07-23T00:00:00"/>
    <n v="12"/>
    <x v="24"/>
    <x v="22"/>
    <s v="Calle Güigüe Nro. 88-54"/>
    <s v="Colaboración reparación portón principal"/>
    <s v="Reparación Portón"/>
    <m/>
    <s v="01297"/>
    <s v="23 de Julio de 2018"/>
    <n v="23"/>
    <d v="2018-07-01T00:00:00"/>
    <s v="12,00"/>
    <s v="Doce Bolívares con 00/100"/>
  </r>
  <r>
    <n v="1298"/>
    <m/>
    <s v="ü"/>
    <d v="2018-07-23T00:00:00"/>
    <n v="1.5"/>
    <x v="18"/>
    <x v="16"/>
    <s v="Calle Guacara Nro. 87-100"/>
    <s v="Cancelación Vigilancia, ajuste mes de Julio 2018"/>
    <s v="Vigilancia"/>
    <m/>
    <s v="01298"/>
    <s v="23 de Julio de 2018"/>
    <n v="23"/>
    <d v="2018-07-01T00:00:00"/>
    <s v="1,50"/>
    <s v="Un Bolívares con 50/100"/>
  </r>
  <r>
    <n v="1299"/>
    <m/>
    <s v="ü"/>
    <d v="2018-07-23T00:00:00"/>
    <n v="2.95"/>
    <x v="18"/>
    <x v="16"/>
    <s v="Calle Guacara Nro. 87-100"/>
    <s v="Colaboración reparación portón principal"/>
    <s v="Reparación Portón"/>
    <m/>
    <s v="01299"/>
    <s v="23 de Julio de 2018"/>
    <n v="23"/>
    <d v="2018-07-01T00:00:00"/>
    <s v="2,95"/>
    <s v="Dos Bolívares con 95/100"/>
  </r>
  <r>
    <n v="1300"/>
    <m/>
    <s v="ü"/>
    <d v="2018-07-23T00:00:00"/>
    <n v="2.25"/>
    <x v="47"/>
    <x v="44"/>
    <s v="Calle Güigüe Nro. 88-80"/>
    <s v="Cancelación Vigilancia, ajuste mes de Junio 2018 (saldo a favor Bs. 2.775.000)"/>
    <s v="Vigilancia"/>
    <m/>
    <s v="01300"/>
    <s v="23 de Julio de 2018"/>
    <n v="23"/>
    <d v="2018-07-01T00:00:00"/>
    <s v="2,25"/>
    <s v="Dos Bolívares con 25/100"/>
  </r>
  <r>
    <n v="1301"/>
    <m/>
    <s v="ü"/>
    <d v="2018-07-23T00:00:00"/>
    <n v="6"/>
    <x v="47"/>
    <x v="44"/>
    <s v="Calle Güigüe Nro. 88-80"/>
    <s v="Cancelación Vigilancia, saldo mes de Julio 2018 (saldo a favor Bs. 2.175.000)"/>
    <s v="Vigilancia"/>
    <m/>
    <s v="01301"/>
    <s v="23 de Julio de 2018"/>
    <n v="23"/>
    <d v="2018-07-01T00:00:00"/>
    <s v="6,00"/>
    <s v="Seis Bolívares con 00/100"/>
  </r>
  <r>
    <n v="1302"/>
    <m/>
    <s v="ü"/>
    <d v="2018-07-23T00:00:00"/>
    <n v="12.2"/>
    <x v="47"/>
    <x v="44"/>
    <s v="Calle Güigüe Nro. 88-80"/>
    <s v="Colaboración reparación portón principal (saldo a favor Bs. 995.000)"/>
    <s v="Reparación Portón"/>
    <m/>
    <s v="01302"/>
    <s v="23 de Julio de 2018"/>
    <n v="23"/>
    <d v="2018-07-01T00:00:00"/>
    <s v="12,20"/>
    <s v="Doce Bolívares con 20/100"/>
  </r>
  <r>
    <n v="1303"/>
    <m/>
    <s v="ü"/>
    <d v="2018-07-23T00:00:00"/>
    <n v="20"/>
    <x v="27"/>
    <x v="25"/>
    <s v="Calle Güigüe Nro. 89-106"/>
    <s v="Cancelación Vigilancia, meses de Julio y Agosto 2018"/>
    <s v="Vigilancia"/>
    <m/>
    <s v="01303"/>
    <s v="23 de Julio de 2018"/>
    <n v="23"/>
    <d v="2018-07-01T00:00:00"/>
    <s v="20,00"/>
    <s v="Veinte Bolívares con 00/100"/>
  </r>
  <r>
    <n v="1304"/>
    <m/>
    <s v="ü"/>
    <d v="2018-07-26T00:00:00"/>
    <n v="1.5"/>
    <x v="53"/>
    <x v="80"/>
    <s v="Calle Guacara Nro. 88-91"/>
    <s v="Cancelación Vigilancia, mes de Junio y anticipo Julio 2018"/>
    <s v="Vigilancia"/>
    <m/>
    <s v="01304"/>
    <s v="26 de Julio de 2018"/>
    <n v="26"/>
    <d v="2018-07-01T00:00:00"/>
    <s v="1,50"/>
    <s v="Un Bolívares con 50/100"/>
  </r>
  <r>
    <n v="1305"/>
    <m/>
    <s v="ü"/>
    <d v="2018-07-26T00:00:00"/>
    <n v="12"/>
    <x v="53"/>
    <x v="80"/>
    <s v="Calle Guacara Nro. 88-91"/>
    <s v="Colaboración reparación portón principal"/>
    <s v="Reparación Portón"/>
    <m/>
    <s v="01305"/>
    <s v="26 de Julio de 2018"/>
    <n v="26"/>
    <d v="2018-07-01T00:00:00"/>
    <s v="12,00"/>
    <s v="Doce Bolívares con 00/100"/>
  </r>
  <r>
    <n v="1306"/>
    <m/>
    <s v="ü"/>
    <d v="2018-07-26T00:00:00"/>
    <n v="6.25"/>
    <x v="36"/>
    <x v="33"/>
    <s v="Calle Güigüe Nro. 89-10"/>
    <s v="Cancelación Vigilancia, saldo mes de Julio 2018"/>
    <s v="Vigilancia"/>
    <m/>
    <s v="01306"/>
    <s v="26 de Julio de 2018"/>
    <n v="26"/>
    <d v="2018-07-01T00:00:00"/>
    <s v="6,25"/>
    <s v="Seis Bolívares con 25/100"/>
  </r>
  <r>
    <n v="1307"/>
    <m/>
    <s v="ü"/>
    <d v="2018-07-26T00:00:00"/>
    <n v="12.2"/>
    <x v="36"/>
    <x v="33"/>
    <s v="Calle Güigüe Nro. 89-10"/>
    <s v="Colaboración reparación portón principal"/>
    <s v="Reparación Portón"/>
    <m/>
    <s v="01307"/>
    <s v="26 de Julio de 2018"/>
    <n v="26"/>
    <d v="2018-07-01T00:00:00"/>
    <s v="12,20"/>
    <s v="Doce Bolívares con 20/100"/>
  </r>
  <r>
    <n v="1308"/>
    <m/>
    <s v="ü"/>
    <d v="2018-07-26T00:00:00"/>
    <n v="19.850000000000001"/>
    <x v="55"/>
    <x v="51"/>
    <s v="Calle Güigüe Nro. 89-16"/>
    <s v="Cancelación Vigilancia, meses de Febrero, Marzo, Abril, Mayo, Junio y Julio 2018"/>
    <s v="Vigilancia"/>
    <m/>
    <s v="01308"/>
    <s v="26 de Julio de 2018"/>
    <n v="26"/>
    <d v="2018-07-01T00:00:00"/>
    <s v="19,85"/>
    <s v="Diecinueve Bolívares con 85/100"/>
  </r>
  <r>
    <n v="1309"/>
    <m/>
    <s v="ü"/>
    <d v="2018-07-26T00:00:00"/>
    <n v="12.2"/>
    <x v="55"/>
    <x v="51"/>
    <s v="Calle Güigüe Nro. 89-16"/>
    <s v="Colaboración reparación portón principal"/>
    <s v="Reparación Portón"/>
    <m/>
    <s v="01309"/>
    <s v="26 de Julio de 2018"/>
    <n v="26"/>
    <d v="2018-07-01T00:00:00"/>
    <s v="12,20"/>
    <s v="Doce Bolívares con 20/100"/>
  </r>
  <r>
    <n v="1310"/>
    <m/>
    <s v="ü"/>
    <d v="2018-07-27T00:00:00"/>
    <n v="1.5"/>
    <x v="11"/>
    <x v="11"/>
    <s v="Calle Guacara Nro. 89-86"/>
    <s v="Cancelación Vigilancia, ajuste mes de Julio 2018"/>
    <s v="Vigilancia"/>
    <m/>
    <s v="01310"/>
    <s v="27 de Julio de 2018"/>
    <n v="27"/>
    <d v="2018-07-01T00:00:00"/>
    <s v="1,50"/>
    <s v="Un Bolívares con 50/100"/>
  </r>
  <r>
    <n v="1311"/>
    <m/>
    <s v="ü"/>
    <d v="2018-06-28T00:00:00"/>
    <n v="12.2"/>
    <x v="11"/>
    <x v="11"/>
    <s v="Calle Guacara Nro. 89-86"/>
    <s v="Colaboración reparación portón principal"/>
    <s v="Reparación Portón"/>
    <m/>
    <s v="01311"/>
    <s v="28 de Junio de 2018"/>
    <n v="28"/>
    <d v="2018-06-01T00:00:00"/>
    <s v="12,20"/>
    <s v="Doce Bolívares con 20/100"/>
  </r>
  <r>
    <n v="1312"/>
    <m/>
    <s v="ü"/>
    <d v="2018-07-27T00:00:00"/>
    <n v="12.5"/>
    <x v="8"/>
    <x v="78"/>
    <s v="Calle Guacara Nro. 90-51"/>
    <s v="Colaboración reparación portón principal"/>
    <s v="Reparación Portón"/>
    <m/>
    <s v="01312"/>
    <s v="27 de Julio de 2018"/>
    <n v="27"/>
    <d v="2018-07-01T00:00:00"/>
    <s v="12,50"/>
    <s v="Doce Bolívares con 50/100"/>
  </r>
  <r>
    <n v="1313"/>
    <m/>
    <s v="ü"/>
    <d v="2018-07-27T00:00:00"/>
    <n v="10"/>
    <x v="26"/>
    <x v="24"/>
    <s v="Calle Güigüe Nro. 89-96"/>
    <s v="Cancelación Vigilancia, mes de Julio 2018"/>
    <s v="Vigilancia"/>
    <m/>
    <s v="01313"/>
    <s v="27 de Julio de 2018"/>
    <n v="27"/>
    <d v="2018-07-01T00:00:00"/>
    <s v="10,00"/>
    <s v="Diez Bolívares con 00/100"/>
  </r>
  <r>
    <n v="1314"/>
    <m/>
    <s v="ü"/>
    <d v="2018-07-28T00:00:00"/>
    <n v="12.25"/>
    <x v="93"/>
    <x v="87"/>
    <s v="Calle Güigüe Nro. 89-89"/>
    <s v="Cancelación Vigilancia, ajuste mes de Junio y cancelación mes de Julio 2018"/>
    <s v="Vigilancia"/>
    <m/>
    <s v="01314"/>
    <s v="28 de Julio de 2018"/>
    <n v="28"/>
    <d v="2018-07-01T00:00:00"/>
    <s v="12,25"/>
    <s v="Doce Bolívares con 25/100"/>
  </r>
  <r>
    <n v="1315"/>
    <m/>
    <s v="ü"/>
    <d v="2018-07-28T00:00:00"/>
    <n v="12.2"/>
    <x v="93"/>
    <x v="87"/>
    <s v="Calle Güigüe Nro. 89-89"/>
    <s v="Colaboración reparación portón principal"/>
    <s v="Reparación Portón"/>
    <m/>
    <s v="01315"/>
    <s v="28 de Julio de 2018"/>
    <n v="28"/>
    <d v="2018-07-01T00:00:00"/>
    <s v="12,20"/>
    <s v="Doce Bolívares con 20/100"/>
  </r>
  <r>
    <n v="1316"/>
    <m/>
    <s v="ü"/>
    <d v="2018-07-29T00:00:00"/>
    <n v="10"/>
    <x v="5"/>
    <x v="9"/>
    <s v="Calle Güigüe Nro. 88-120"/>
    <s v="Cancelación Vigilancia, mes de Agosto 2018"/>
    <s v="Vigilancia"/>
    <m/>
    <s v="01316"/>
    <s v="29 de Julio de 2018"/>
    <n v="29"/>
    <d v="2018-07-01T00:00:00"/>
    <s v="10,00"/>
    <s v="Diez Bolívares con 00/100"/>
  </r>
  <r>
    <n v="1317"/>
    <m/>
    <s v="ü"/>
    <d v="2018-07-29T00:00:00"/>
    <n v="12.2"/>
    <x v="5"/>
    <x v="9"/>
    <s v="Calle Güigüe Nro. 88-120"/>
    <s v="Colaboración reparación portón principal"/>
    <s v="Reparación Portón"/>
    <m/>
    <s v="01317"/>
    <s v="29 de Julio de 2018"/>
    <n v="29"/>
    <d v="2018-07-01T00:00:00"/>
    <s v="12,20"/>
    <s v="Doce Bolívares con 20/100"/>
  </r>
  <r>
    <n v="1318"/>
    <m/>
    <s v="ü"/>
    <d v="2018-07-29T00:00:00"/>
    <n v="5"/>
    <x v="71"/>
    <x v="62"/>
    <s v="Calle Güigüe Nro. 89-71"/>
    <s v="Colaboración Vigilancia, mes de Junio 2017"/>
    <s v="Vigilancia"/>
    <m/>
    <s v="01318"/>
    <s v="29 de Julio de 2018"/>
    <n v="29"/>
    <d v="2018-07-01T00:00:00"/>
    <s v="5,00"/>
    <s v="Cinco Bolívares con 00/100"/>
  </r>
  <r>
    <n v="1319"/>
    <m/>
    <s v="ü"/>
    <d v="2018-07-29T00:00:00"/>
    <n v="5"/>
    <x v="71"/>
    <x v="62"/>
    <s v="Calle Güigüe Nro. 89-71"/>
    <s v="Colaboración reparación portón principal"/>
    <s v="Reparación Portón"/>
    <m/>
    <s v="01319"/>
    <s v="29 de Julio de 2018"/>
    <n v="29"/>
    <d v="2018-07-01T00:00:00"/>
    <s v="5,00"/>
    <s v="Cinco Bolívares con 00/100"/>
  </r>
  <r>
    <n v="1320"/>
    <m/>
    <s v="ü"/>
    <d v="2018-07-31T00:00:00"/>
    <n v="10"/>
    <x v="58"/>
    <x v="53"/>
    <s v="Calle Güigüe Nro. 88-51"/>
    <s v="Cancelación Vigilancia, mes de Julio 2018"/>
    <s v="Vigilancia"/>
    <m/>
    <s v="01320"/>
    <s v="31 de Julio de 2018"/>
    <n v="31"/>
    <d v="2018-07-01T00:00:00"/>
    <s v="10,00"/>
    <s v="Diez Bolívares con 00/100"/>
  </r>
  <r>
    <n v="1321"/>
    <m/>
    <s v="ü"/>
    <d v="2018-07-31T00:00:00"/>
    <n v="2"/>
    <x v="82"/>
    <x v="9"/>
    <s v="Calle Guacara Nro. 90-61"/>
    <s v="Colaboración Vigilancia, mes de Julio 2018"/>
    <s v="Vigilancia"/>
    <m/>
    <s v="01321"/>
    <s v="31 de Julio de 2018"/>
    <n v="31"/>
    <d v="2018-07-01T00:00:00"/>
    <s v="2,00"/>
    <s v="Dos Bolívares con 00/100"/>
  </r>
  <r>
    <n v="1322"/>
    <m/>
    <s v="ü"/>
    <d v="2018-07-31T00:00:00"/>
    <n v="12"/>
    <x v="45"/>
    <x v="42"/>
    <s v="Calle Güigüe Nro. 87-A-11"/>
    <s v="Cancelación Vigilancia, saldo mes de Agosto 2018"/>
    <s v="Vigilancia"/>
    <m/>
    <s v="01322"/>
    <s v="31 de Julio de 2018"/>
    <n v="31"/>
    <d v="2018-07-01T00:00:00"/>
    <s v="12,00"/>
    <s v="Doce Bolívares con 00/100"/>
  </r>
  <r>
    <n v="1323"/>
    <m/>
    <s v="ü"/>
    <d v="2018-07-31T00:00:00"/>
    <n v="12.2"/>
    <x v="20"/>
    <x v="18"/>
    <s v="Calle Guacara Nro. 89-30"/>
    <s v="Cancelación Vigilancia, mes de Agosto 2018"/>
    <s v="Vigilancia"/>
    <m/>
    <s v="01323"/>
    <s v="31 de Julio de 2018"/>
    <n v="31"/>
    <d v="2018-07-01T00:00:00"/>
    <s v="12,20"/>
    <s v="Doce Bolívares con 20/100"/>
  </r>
  <r>
    <n v="1324"/>
    <m/>
    <s v="ü"/>
    <d v="2018-08-01T00:00:00"/>
    <n v="13.5"/>
    <x v="89"/>
    <x v="81"/>
    <s v="Calle Guacara Nro. 88-75"/>
    <s v="Cancelación Vigilancia, ajuste mes de Julio y cancelación mes de Agosto 2018"/>
    <s v="Vigilancia"/>
    <m/>
    <s v="01324"/>
    <s v="01 de Agosto de 2018"/>
    <n v="1"/>
    <d v="2018-08-01T00:00:00"/>
    <s v="13,50"/>
    <s v="Trece Bolívares con 50/100"/>
  </r>
  <r>
    <n v="1325"/>
    <m/>
    <s v="ü"/>
    <d v="2018-08-01T00:00:00"/>
    <n v="12.2"/>
    <x v="89"/>
    <x v="81"/>
    <s v="Calle Guacara Nro. 88-75"/>
    <s v="Colaboración reparación portón principal"/>
    <s v="Reparación Portón"/>
    <m/>
    <s v="01325"/>
    <s v="01 de Agosto de 2018"/>
    <n v="1"/>
    <d v="2018-08-01T00:00:00"/>
    <s v="12,20"/>
    <s v="Doce Bolívares con 20/100"/>
  </r>
  <r>
    <n v="1326"/>
    <m/>
    <s v="ü"/>
    <d v="2018-08-01T00:00:00"/>
    <n v="12"/>
    <x v="90"/>
    <x v="82"/>
    <s v="Calle Güigüe Nro. 89-04"/>
    <s v="Cancelación Vigilancia, mes de Agosto 2018"/>
    <s v="Vigilancia"/>
    <m/>
    <s v="01326"/>
    <s v="01 de Agosto de 2018"/>
    <n v="1"/>
    <d v="2018-08-01T00:00:00"/>
    <s v="12,00"/>
    <s v="Doce Bolívares con 00/100"/>
  </r>
  <r>
    <n v="1327"/>
    <m/>
    <s v="ü"/>
    <d v="2018-08-01T00:00:00"/>
    <n v="12.2"/>
    <x v="90"/>
    <x v="82"/>
    <s v="Calle Güigüe Nro. 89-04"/>
    <s v="Colaboración reparación portón principal"/>
    <s v="Reparación Portón"/>
    <m/>
    <s v="01327"/>
    <s v="01 de Agosto de 2018"/>
    <n v="1"/>
    <d v="2018-08-01T00:00:00"/>
    <s v="12,20"/>
    <s v="Doce Bolívares con 20/100"/>
  </r>
  <r>
    <n v="1328"/>
    <m/>
    <s v="ü"/>
    <d v="2018-08-01T00:00:00"/>
    <n v="22"/>
    <x v="61"/>
    <x v="14"/>
    <s v="Calle Guacara Nro. 87-07"/>
    <s v="Cancelación Vigilancia, meses de Julio y Agosto 2018"/>
    <s v="Vigilancia"/>
    <m/>
    <s v="01328"/>
    <s v="01 de Agosto de 2018"/>
    <n v="1"/>
    <d v="2018-08-01T00:00:00"/>
    <s v="22,00"/>
    <s v="Veintidos Bolívares con 00/100"/>
  </r>
  <r>
    <n v="1329"/>
    <m/>
    <s v="ü"/>
    <d v="2018-08-01T00:00:00"/>
    <n v="12.2"/>
    <x v="61"/>
    <x v="14"/>
    <s v="Calle Guacara Nro. 87-07"/>
    <s v="Colaboración reparación portón principal"/>
    <s v="Reparación Portón"/>
    <m/>
    <s v="01329"/>
    <s v="01 de Agosto de 2018"/>
    <n v="1"/>
    <d v="2018-08-01T00:00:00"/>
    <s v="12,20"/>
    <s v="Doce Bolívares con 20/100"/>
  </r>
  <r>
    <n v="1330"/>
    <m/>
    <s v="ü"/>
    <d v="2018-08-01T00:00:00"/>
    <n v="12"/>
    <x v="15"/>
    <x v="14"/>
    <s v="Calle Guacara Nro. 89-94"/>
    <s v="Cancelación Vigilancia, mes de Agosto 2018"/>
    <s v="Vigilancia"/>
    <m/>
    <s v="01330"/>
    <s v="01 de Agosto de 2018"/>
    <n v="1"/>
    <d v="2018-08-01T00:00:00"/>
    <s v="12,00"/>
    <s v="Doce Bolívares con 00/100"/>
  </r>
  <r>
    <n v="1331"/>
    <m/>
    <s v="ü"/>
    <d v="2018-08-01T00:00:00"/>
    <n v="12.2"/>
    <x v="15"/>
    <x v="14"/>
    <s v="Calle Guacara Nro. 89-94"/>
    <s v="Colaboración reparación portón principal"/>
    <s v="Reparación Portón"/>
    <m/>
    <s v="01331"/>
    <s v="01 de Agosto de 2018"/>
    <n v="1"/>
    <d v="2018-08-01T00:00:00"/>
    <s v="12,20"/>
    <s v="Doce Bolívares con 20/100"/>
  </r>
  <r>
    <n v="1332"/>
    <m/>
    <s v="ü"/>
    <d v="2018-08-01T00:00:00"/>
    <n v="25"/>
    <x v="81"/>
    <x v="69"/>
    <s v="Calle Güigüe Nro. 89-65"/>
    <s v="Cancelación Vigilancia, mes de Agosto y anticipo Septiembre 2018"/>
    <s v="Vigilancia"/>
    <m/>
    <s v="01332"/>
    <s v="01 de Agosto de 2018"/>
    <n v="1"/>
    <d v="2018-08-01T00:00:00"/>
    <s v="25,00"/>
    <s v="Veinticinco Bolívares con 00/100"/>
  </r>
  <r>
    <n v="1333"/>
    <m/>
    <s v="ü"/>
    <d v="2018-08-01T00:00:00"/>
    <n v="12"/>
    <x v="7"/>
    <x v="7"/>
    <s v="Calle Guacara Nro. 87-86"/>
    <s v="Cancelación Vigilancia, mes de Agosto 2018"/>
    <s v="Vigilancia"/>
    <m/>
    <s v="01333"/>
    <s v="01 de Agosto de 2018"/>
    <n v="1"/>
    <d v="2018-08-01T00:00:00"/>
    <s v="12,00"/>
    <s v="Doce Bolívares con 00/100"/>
  </r>
  <r>
    <n v="1334"/>
    <m/>
    <s v="ü"/>
    <d v="2018-08-01T00:00:00"/>
    <n v="12"/>
    <x v="69"/>
    <x v="61"/>
    <s v="Calle Güigüe Nro. 89-40"/>
    <s v="Cancelación Vigilancia, mes de Agosto 2018"/>
    <s v="Vigilancia"/>
    <m/>
    <s v="01334"/>
    <s v="01 de Agosto de 2018"/>
    <n v="1"/>
    <d v="2018-08-01T00:00:00"/>
    <s v="12,00"/>
    <s v="Doce Bolívares con 00/100"/>
  </r>
  <r>
    <n v="1335"/>
    <m/>
    <s v="ü"/>
    <d v="2018-08-01T00:00:00"/>
    <n v="12"/>
    <x v="52"/>
    <x v="9"/>
    <s v="Calle Güigüe Nro. 89-45"/>
    <s v="Cancelación Vigilancia, mes de Agosto 2018 (saldo a favor: Bs. 3.598.000)"/>
    <s v="Vigilancia"/>
    <m/>
    <s v="01335"/>
    <s v="01 de Agosto de 2018"/>
    <n v="1"/>
    <d v="2018-08-01T00:00:00"/>
    <s v="12,00"/>
    <s v="Doce Bolívares con 00/100"/>
  </r>
  <r>
    <n v="1336"/>
    <m/>
    <s v="ü"/>
    <d v="2018-08-01T00:00:00"/>
    <n v="17.399999999999999"/>
    <x v="73"/>
    <x v="9"/>
    <s v="Calle Güigüe Nros. 88-71 y 88-81"/>
    <s v="Cancelación Vigilancia, mes de Agosto 2018"/>
    <s v="Vigilancia"/>
    <m/>
    <s v="01336"/>
    <s v="01 de Agosto de 2018"/>
    <n v="1"/>
    <d v="2018-08-01T00:00:00"/>
    <s v="17,40"/>
    <s v="Diecisiete Bolívares con 40/100"/>
  </r>
  <r>
    <n v="1337"/>
    <m/>
    <s v="ü"/>
    <d v="2018-08-01T00:00:00"/>
    <n v="12"/>
    <x v="87"/>
    <x v="75"/>
    <s v="Calle Güigüe Nro. 88-06"/>
    <s v="Cancelación Vigilancia, mes de Agosto 2018 (saldo a favor: Bs. 2.055.000)"/>
    <s v="Vigilancia"/>
    <m/>
    <s v="01337"/>
    <s v="01 de Agosto de 2018"/>
    <n v="1"/>
    <d v="2018-08-01T00:00:00"/>
    <s v="12,00"/>
    <s v="Doce Bolívares con 00/100"/>
  </r>
  <r>
    <n v="1338"/>
    <m/>
    <s v="ü"/>
    <d v="2018-08-01T00:00:00"/>
    <n v="12"/>
    <x v="42"/>
    <x v="39"/>
    <s v="Calle Güigüe Nro. 89-79"/>
    <s v="Cancelación Vigilancia, mes de Agosto 2018 (saldo a favor: Bs. 1.155.000)"/>
    <s v="Vigilancia"/>
    <m/>
    <s v="01338"/>
    <s v="01 de Agosto de 2018"/>
    <n v="1"/>
    <d v="2018-08-01T00:00:00"/>
    <s v="12,00"/>
    <s v="Doce Bolívares con 00/100"/>
  </r>
  <r>
    <n v="1339"/>
    <m/>
    <s v="ü"/>
    <d v="2018-08-01T00:00:00"/>
    <n v="12"/>
    <x v="92"/>
    <x v="86"/>
    <s v="Calle Guacara Nro. 88-A-10"/>
    <s v="Cancelación Vigilancia, mes de Agosto 2018 (saldo a favor: Bs. 580.000)"/>
    <s v="Vigilancia"/>
    <m/>
    <s v="01339"/>
    <s v="01 de Agosto de 2018"/>
    <n v="1"/>
    <d v="2018-08-01T00:00:00"/>
    <s v="12,00"/>
    <s v="Doce Bolívares con 00/100"/>
  </r>
  <r>
    <n v="1340"/>
    <m/>
    <s v="ü"/>
    <d v="2018-08-01T00:00:00"/>
    <n v="12"/>
    <x v="0"/>
    <x v="0"/>
    <s v="Calle Guacara Nro. 88-45"/>
    <s v="Cancelación Vigilancia, mes de Agosto 2018 (saldo a favor: Bs. 2.295.000)"/>
    <s v="Vigilancia"/>
    <m/>
    <s v="01340"/>
    <s v="01 de Agosto de 2018"/>
    <n v="1"/>
    <d v="2018-08-01T00:00:00"/>
    <s v="12,00"/>
    <s v="Doce Bolívares con 00/100"/>
  </r>
  <r>
    <n v="1341"/>
    <m/>
    <s v="ü"/>
    <d v="2018-08-01T00:00:00"/>
    <n v="9.9"/>
    <x v="75"/>
    <x v="65"/>
    <s v="Av. &quot;Ñ&quot; Nro. 145-25"/>
    <s v="Anticipo Vigilancia, mes de Agosto 2018 (saldo pendiente: Bs. 210.000)"/>
    <s v="Vigilancia"/>
    <m/>
    <s v="01341"/>
    <s v="01 de Agosto de 2018"/>
    <n v="1"/>
    <d v="2018-08-01T00:00:00"/>
    <s v="9,90"/>
    <s v="Nueve Bolívares con 90/100"/>
  </r>
  <r>
    <n v="1342"/>
    <m/>
    <s v="ü"/>
    <d v="2018-08-02T00:00:00"/>
    <n v="2.1"/>
    <x v="75"/>
    <x v="65"/>
    <s v="Av. &quot;Ñ&quot; Nro. 145-25"/>
    <s v="Cancelación Vigilancia, saldo mes de Agosto 2018 (saldo a favor: Bs. 7.200.000)"/>
    <s v="Vigilancia"/>
    <m/>
    <s v="01342"/>
    <s v="02 de Agosto de 2018"/>
    <n v="2"/>
    <d v="2018-08-01T00:00:00"/>
    <s v="2,10"/>
    <s v="Dos Bolívares con 10/100"/>
  </r>
  <r>
    <n v="1343"/>
    <m/>
    <s v="ü"/>
    <d v="2018-08-02T00:00:00"/>
    <n v="12"/>
    <x v="88"/>
    <x v="76"/>
    <s v="Calle Güigüe Nro. 88-11"/>
    <s v="Cancelación Vigilancia, mes de Agosto 2018"/>
    <s v="Vigilancia"/>
    <m/>
    <s v="01343"/>
    <s v="02 de Agosto de 2018"/>
    <n v="2"/>
    <d v="2018-08-01T00:00:00"/>
    <s v="12,00"/>
    <s v="Doce Bolívares con 00/100"/>
  </r>
  <r>
    <n v="1344"/>
    <m/>
    <s v="ü"/>
    <d v="2018-07-30T00:00:00"/>
    <n v="10"/>
    <x v="44"/>
    <x v="41"/>
    <s v="Calle Guacara Nro. 89-40"/>
    <s v="Cancelación Vigilancia, mes de Julio 2018"/>
    <s v="Vigilancia"/>
    <m/>
    <s v="01344"/>
    <s v="30 de Julio de 2018"/>
    <n v="30"/>
    <d v="2018-07-01T00:00:00"/>
    <s v="10,00"/>
    <s v="Diez Bolívares con 00/100"/>
  </r>
  <r>
    <n v="1345"/>
    <m/>
    <s v="ü"/>
    <d v="2018-08-03T00:00:00"/>
    <n v="6"/>
    <x v="2"/>
    <x v="83"/>
    <s v="Calle Guacara Nro. 88-19"/>
    <s v="Colaboración Vigilancia, mes de Julio 2018"/>
    <s v="Vigilancia"/>
    <m/>
    <s v="01345"/>
    <s v="03 de Agosto de 2018"/>
    <n v="3"/>
    <d v="2018-08-01T00:00:00"/>
    <s v="6,00"/>
    <s v="Seis Bolívares con 00/100"/>
  </r>
  <r>
    <n v="1346"/>
    <m/>
    <s v="ü"/>
    <d v="2018-08-03T00:00:00"/>
    <n v="12"/>
    <x v="2"/>
    <x v="83"/>
    <s v="Calle Guacara Nro. 88-19"/>
    <s v="Colaboración reparación portón principal"/>
    <s v="Reparación Portón"/>
    <m/>
    <s v="01346"/>
    <s v="03 de Agosto de 2018"/>
    <n v="3"/>
    <d v="2018-08-01T00:00:00"/>
    <s v="12,00"/>
    <s v="Doce Bolívares con 00/100"/>
  </r>
  <r>
    <n v="1347"/>
    <m/>
    <s v="ü"/>
    <d v="2018-08-04T00:00:00"/>
    <n v="6"/>
    <x v="26"/>
    <x v="24"/>
    <s v="Calle Güigüe Nro. 89-96"/>
    <s v="Colaboración reparación portón principal"/>
    <s v="Reparación Portón"/>
    <m/>
    <s v="01347"/>
    <s v="04 de Agosto de 2018"/>
    <n v="4"/>
    <d v="2018-08-01T00:00:00"/>
    <s v="6,00"/>
    <s v="Seis Bolívares con 00/100"/>
  </r>
  <r>
    <n v="1348"/>
    <m/>
    <s v="ü"/>
    <d v="2018-08-06T00:00:00"/>
    <n v="8.75"/>
    <x v="83"/>
    <x v="70"/>
    <s v="Calle Güigüe Nro. 89-22"/>
    <s v="Cancelación Vigilancia, saldo mes de Julio y anticipo mes de Agosto 2018"/>
    <s v="Vigilancia"/>
    <m/>
    <s v="01348"/>
    <s v="06 de Agosto de 2018"/>
    <n v="6"/>
    <d v="2018-08-01T00:00:00"/>
    <s v="8,75"/>
    <s v="Ocho Bolívares con 75/100"/>
  </r>
  <r>
    <n v="1349"/>
    <m/>
    <s v="ü"/>
    <d v="2018-08-06T00:00:00"/>
    <n v="12.2"/>
    <x v="62"/>
    <x v="55"/>
    <s v="Av. &quot;M&quot; Nro. 145-10"/>
    <s v="Colaboración reparación portón principal"/>
    <s v="Reparación Portón"/>
    <m/>
    <s v="01349"/>
    <s v="06 de Agosto de 2018"/>
    <n v="6"/>
    <d v="2018-08-01T00:00:00"/>
    <s v="12,20"/>
    <s v="Doce Bolívares con 20/100"/>
  </r>
  <r>
    <n v="1350"/>
    <m/>
    <s v="ü"/>
    <d v="2018-08-06T00:00:00"/>
    <n v="22"/>
    <x v="70"/>
    <x v="9"/>
    <s v="Calle Guacara Nro. 89-70"/>
    <s v="Cancelación Vigilancia, meses de Julio y Agosto 2018"/>
    <s v="Vigilancia"/>
    <m/>
    <s v="01350"/>
    <s v="06 de Agosto de 2018"/>
    <n v="6"/>
    <d v="2018-08-01T00:00:00"/>
    <s v="22,00"/>
    <s v="Veintidos Bolívares con 00/100"/>
  </r>
  <r>
    <n v="1351"/>
    <m/>
    <s v="ü"/>
    <d v="2018-08-06T00:00:00"/>
    <n v="10"/>
    <x v="37"/>
    <x v="34"/>
    <s v="Av. &quot;I&quot; Nro. 146-40"/>
    <s v="Cancelación Vigilancia, mes de Julio 2018"/>
    <s v="Vigilancia"/>
    <m/>
    <s v="01351"/>
    <s v="06 de Agosto de 2018"/>
    <n v="6"/>
    <d v="2018-08-01T00:00:00"/>
    <s v="10,00"/>
    <s v="Diez Bolívares con 00/100"/>
  </r>
  <r>
    <n v="1352"/>
    <m/>
    <s v="ü"/>
    <d v="2018-08-06T00:00:00"/>
    <n v="14.25"/>
    <x v="37"/>
    <x v="34"/>
    <s v="Av. &quot;I&quot; Nro. 146-40"/>
    <s v="Cancelación Vigilancia, ajuste mes de Junio y cancelación mes de Agosto 2018"/>
    <s v="Vigilancia"/>
    <m/>
    <s v="01352"/>
    <s v="06 de Agosto de 2018"/>
    <n v="6"/>
    <d v="2018-08-01T00:00:00"/>
    <s v="14,25"/>
    <s v="Catorce Bolívares con 25/100"/>
  </r>
  <r>
    <n v="1353"/>
    <m/>
    <s v="ü"/>
    <d v="2018-08-06T00:00:00"/>
    <n v="12"/>
    <x v="14"/>
    <x v="13"/>
    <s v="Calle Güigüe Nro. 89-83"/>
    <s v="Cancelación Vigilancia, mes de Agosto 2018"/>
    <s v="Vigilancia"/>
    <m/>
    <s v="01353"/>
    <s v="06 de Agosto de 2018"/>
    <n v="6"/>
    <d v="2018-08-01T00:00:00"/>
    <s v="12,00"/>
    <s v="Doce Bolívares con 00/100"/>
  </r>
  <r>
    <n v="1354"/>
    <m/>
    <s v="ü"/>
    <d v="2018-08-07T00:00:00"/>
    <n v="14"/>
    <x v="5"/>
    <x v="9"/>
    <s v="Calle Güigüe Nro. 88-120"/>
    <s v="Cancelación Vigilancia, saldo mes de Agosto y anticipo mes de Septiembre 2018"/>
    <s v="Vigilancia"/>
    <m/>
    <s v="01354"/>
    <s v="07 de Agosto de 2018"/>
    <n v="7"/>
    <d v="2018-08-01T00:00:00"/>
    <s v="14,00"/>
    <s v="Catorce Bolívares con 00/100"/>
  </r>
  <r>
    <n v="1355"/>
    <m/>
    <s v="ü"/>
    <d v="2018-08-07T00:00:00"/>
    <n v="8"/>
    <x v="47"/>
    <x v="44"/>
    <s v="Calle Güigüe Nro. 88-80"/>
    <s v="Cancelación Vigilancia, saldo mes de Agosto 2018 (saldo a favor Bs. 10.155.000)"/>
    <s v="Vigilancia"/>
    <m/>
    <s v="01355"/>
    <s v="07 de Agosto de 2018"/>
    <n v="7"/>
    <d v="2018-08-01T00:00:00"/>
    <s v="8,00"/>
    <s v="Ocho Bolívares con 00/100"/>
  </r>
  <r>
    <n v="1356"/>
    <m/>
    <s v="ü"/>
    <d v="2018-08-06T00:00:00"/>
    <n v="15"/>
    <x v="6"/>
    <x v="6"/>
    <s v="Calle Guacara Nro. 89-60"/>
    <s v="Cancelación Vigilancia, mes de Agosto y anticipo mes de Septiembre 2018"/>
    <s v="Vigilancia"/>
    <m/>
    <s v="01356"/>
    <s v="06 de Agosto de 2018"/>
    <n v="6"/>
    <d v="2018-08-01T00:00:00"/>
    <s v="15,00"/>
    <s v="Quince Bolívares con 00/100"/>
  </r>
  <r>
    <n v="1357"/>
    <m/>
    <s v="ü"/>
    <d v="2018-08-07T00:00:00"/>
    <n v="12"/>
    <x v="1"/>
    <x v="1"/>
    <s v="Calle Güigüe Nro. 88-44"/>
    <s v="Cancelación Vigilancia, mes de Agosto 2018"/>
    <s v="Vigilancia"/>
    <m/>
    <s v="01357"/>
    <s v="07 de Agosto de 2018"/>
    <n v="7"/>
    <d v="2018-08-01T00:00:00"/>
    <s v="12,00"/>
    <s v="Doce Bolívares con 00/100"/>
  </r>
  <r>
    <n v="1358"/>
    <m/>
    <s v="ü"/>
    <d v="2018-08-08T00:00:00"/>
    <n v="12"/>
    <x v="65"/>
    <x v="58"/>
    <s v="Calle Güigüe Nro. 88-10"/>
    <s v="Cancelación Vigilancia, mes de Agosto 2018"/>
    <s v="Vigilancia"/>
    <m/>
    <s v="01358"/>
    <s v="08 de Agosto de 2018"/>
    <n v="8"/>
    <d v="2018-08-01T00:00:00"/>
    <s v="12,00"/>
    <s v="Doce Bolívares con 00/100"/>
  </r>
  <r>
    <n v="1359"/>
    <m/>
    <s v="ü"/>
    <d v="2018-08-10T00:00:00"/>
    <n v="1"/>
    <x v="74"/>
    <x v="64"/>
    <s v="Calle Güigüe Nro. 88-20"/>
    <s v="Colaboración Vigilancia, mes de Julio 2018"/>
    <s v="Vigilancia"/>
    <m/>
    <s v="01359"/>
    <s v="10 de Agosto de 2018"/>
    <n v="10"/>
    <d v="2018-08-01T00:00:00"/>
    <s v="1,00"/>
    <s v="Un Bolívar con 00/100"/>
  </r>
  <r>
    <n v="1360"/>
    <m/>
    <s v="ü"/>
    <d v="2018-08-12T00:00:00"/>
    <n v="12"/>
    <x v="4"/>
    <x v="4"/>
    <s v="Calle Güigüe Nro. 89-55"/>
    <s v="Cancelación Vigilancia, mes de Agosto 2018"/>
    <s v="Vigilancia"/>
    <m/>
    <s v="01360"/>
    <s v="12 de Agosto de 2018"/>
    <n v="12"/>
    <d v="2018-08-01T00:00:00"/>
    <s v="12,00"/>
    <s v="Doce Bolívares con 00/100"/>
  </r>
  <r>
    <n v="1361"/>
    <m/>
    <s v="ü"/>
    <d v="2018-08-12T00:00:00"/>
    <n v="12"/>
    <x v="36"/>
    <x v="33"/>
    <s v="Calle Güigüe Nro. 89-10"/>
    <s v="Cancelación Vigilancia, mes de Agosto 2018"/>
    <s v="Vigilancia"/>
    <m/>
    <s v="01361"/>
    <s v="12 de Agosto de 2018"/>
    <n v="12"/>
    <d v="2018-08-01T00:00:00"/>
    <s v="12,00"/>
    <s v="Doce Bolívares con 00/100"/>
  </r>
  <r>
    <n v="1362"/>
    <m/>
    <s v="ü"/>
    <d v="2018-08-12T00:00:00"/>
    <n v="12"/>
    <x v="12"/>
    <x v="12"/>
    <s v="Calle Guacara Nro. 89-20"/>
    <s v="Cancelación Vigilancia, mes de Agosto 2018"/>
    <s v="Vigilancia"/>
    <m/>
    <s v="01362"/>
    <s v="12 de Agosto de 2018"/>
    <n v="12"/>
    <d v="2018-08-01T00:00:00"/>
    <s v="12,00"/>
    <s v="Doce Bolívares con 00/100"/>
  </r>
  <r>
    <n v="1363"/>
    <m/>
    <s v="ü"/>
    <d v="2018-08-12T00:00:00"/>
    <n v="12"/>
    <x v="17"/>
    <x v="74"/>
    <s v="Av. &quot;M&quot; Nro. 146-20"/>
    <s v="Cancelación Vigilancia, mes de Agosto 2018"/>
    <s v="Vigilancia"/>
    <m/>
    <s v="01363"/>
    <s v="12 de Agosto de 2018"/>
    <n v="12"/>
    <d v="2018-08-01T00:00:00"/>
    <s v="12,00"/>
    <s v="Doce Bolívares con 00/100"/>
  </r>
  <r>
    <n v="1364"/>
    <m/>
    <s v="ü"/>
    <d v="2018-08-13T00:00:00"/>
    <n v="12"/>
    <x v="62"/>
    <x v="55"/>
    <s v="Av. &quot;M&quot; Nro. 145-10"/>
    <s v="Cancelación Vigilancia, mes de Agosto 2018"/>
    <s v="Vigilancia"/>
    <m/>
    <s v="01364"/>
    <s v="13 de Agosto de 2018"/>
    <n v="13"/>
    <d v="2018-08-01T00:00:00"/>
    <s v="12,00"/>
    <s v="Doce Bolívares con 00/100"/>
  </r>
  <r>
    <n v="1365"/>
    <m/>
    <s v="ü"/>
    <d v="2018-08-13T00:00:00"/>
    <n v="12"/>
    <x v="76"/>
    <x v="66"/>
    <s v="Calle Güigüe Nro. 89-90"/>
    <s v="Cancelación Vigilancia, mes de Agosto 2018"/>
    <s v="Vigilancia"/>
    <m/>
    <s v="01365"/>
    <s v="13 de Agosto de 2018"/>
    <n v="13"/>
    <d v="2018-08-01T00:00:00"/>
    <s v="12,00"/>
    <s v="Doce Bolívares con 00/100"/>
  </r>
  <r>
    <n v="1366"/>
    <m/>
    <s v="ü"/>
    <d v="2018-08-13T00:00:00"/>
    <n v="12"/>
    <x v="46"/>
    <x v="43"/>
    <s v="Av. &quot;I&quot; Nro. 146-20"/>
    <s v="Cancelación Vigilancia, mes de Agosto 2018"/>
    <s v="Vigilancia"/>
    <m/>
    <s v="01366"/>
    <s v="13 de Agosto de 2018"/>
    <n v="13"/>
    <d v="2018-08-01T00:00:00"/>
    <s v="12,00"/>
    <s v="Doce Bolívares con 00/100"/>
  </r>
  <r>
    <n v="1367"/>
    <m/>
    <s v="ü"/>
    <d v="2018-08-14T00:00:00"/>
    <n v="12"/>
    <x v="35"/>
    <x v="32"/>
    <s v="Calle Güigüe Nro. 89-80"/>
    <s v="Cancelación Vigilancia, mes de Agosto 2018"/>
    <s v="Vigilancia"/>
    <m/>
    <s v="01367"/>
    <s v="14 de Agosto de 2018"/>
    <n v="14"/>
    <d v="2018-08-01T00:00:00"/>
    <s v="12,00"/>
    <s v="Doce Bolívares con 00/100"/>
  </r>
  <r>
    <n v="1368"/>
    <m/>
    <s v="ü"/>
    <d v="2018-08-15T00:00:00"/>
    <n v="4"/>
    <x v="39"/>
    <x v="36"/>
    <s v="Calle Güigüe Nro. 88-111"/>
    <s v="Cancelación Vigilancia, mes de Mayo 2018"/>
    <s v="Vigilancia"/>
    <m/>
    <s v="01368"/>
    <s v="15 de Agosto de 2018"/>
    <n v="15"/>
    <d v="2018-08-01T00:00:00"/>
    <s v="4,00"/>
    <s v="Cuatro Bolívares con 00/100"/>
  </r>
  <r>
    <n v="1369"/>
    <m/>
    <s v="ü"/>
    <d v="2018-08-15T00:00:00"/>
    <n v="9.5"/>
    <x v="31"/>
    <x v="29"/>
    <s v="Calle Güigüe Nro. 89-95"/>
    <s v="Cancelación Vigilancia, saldo meses de Julio y Agosto 2018"/>
    <s v="Vigilancia"/>
    <m/>
    <s v="01369"/>
    <s v="15 de Agosto de 2018"/>
    <n v="15"/>
    <d v="2018-08-01T00:00:00"/>
    <s v="9,50"/>
    <s v="Nueve Bolívares con 50/100"/>
  </r>
  <r>
    <n v="1370"/>
    <m/>
    <s v="ü"/>
    <d v="2018-08-15T00:00:00"/>
    <n v="30.5"/>
    <x v="31"/>
    <x v="29"/>
    <s v="Calle Güigüe Nro. 89-95"/>
    <s v="Donación para vigilante Ana María Mogollón"/>
    <s v="Otros"/>
    <m/>
    <s v="01370"/>
    <s v="15 de Agosto de 2018"/>
    <n v="15"/>
    <d v="2018-08-01T00:00:00"/>
    <s v="30,50"/>
    <s v="Treinta Bolívares con 50/100"/>
  </r>
  <r>
    <n v="1371"/>
    <m/>
    <s v="ü"/>
    <d v="2018-08-15T00:00:00"/>
    <n v="8"/>
    <x v="63"/>
    <x v="56"/>
    <s v="Calle Guacara Nro. 88-85"/>
    <s v="Cancelación Vigilancia, saldo mes de Agosto 2018"/>
    <s v="Vigilancia"/>
    <m/>
    <s v="01371"/>
    <s v="15 de Agosto de 2018"/>
    <n v="15"/>
    <d v="2018-08-01T00:00:00"/>
    <s v="8,00"/>
    <s v="Ocho Bolívares con 00/100"/>
  </r>
  <r>
    <n v="1372"/>
    <m/>
    <s v="ü"/>
    <d v="2018-08-15T00:00:00"/>
    <n v="12"/>
    <x v="10"/>
    <x v="10"/>
    <s v="Av. &quot;M&quot; Nro. 146-15"/>
    <s v="Cancelación Vigilancia, mes de Agosto 2018"/>
    <s v="Vigilancia"/>
    <m/>
    <s v="01372"/>
    <s v="15 de Agosto de 2018"/>
    <n v="15"/>
    <d v="2018-08-01T00:00:00"/>
    <s v="12,00"/>
    <s v="Doce Bolívares con 00/100"/>
  </r>
  <r>
    <n v="1373"/>
    <m/>
    <s v="ü"/>
    <d v="2018-08-16T00:00:00"/>
    <n v="12"/>
    <x v="38"/>
    <x v="35"/>
    <s v="Calle Guacara Nro. 89-78"/>
    <s v="Cancelación Vigilancia, mes de Agosto 2018"/>
    <s v="Vigilancia"/>
    <m/>
    <s v="01373"/>
    <s v="16 de Agosto de 2018"/>
    <n v="16"/>
    <d v="2018-08-01T00:00:00"/>
    <s v="12,00"/>
    <s v="Doce Bolívares con 00/100"/>
  </r>
  <r>
    <n v="1374"/>
    <m/>
    <s v="ü"/>
    <d v="2018-08-16T00:00:00"/>
    <n v="12"/>
    <x v="19"/>
    <x v="17"/>
    <s v="Calle Guacara Nro. 89-130"/>
    <s v="Cancelación Vigilancia, mes de Agosto 2018"/>
    <s v="Vigilancia"/>
    <m/>
    <s v="01374"/>
    <s v="16 de Agosto de 2018"/>
    <n v="16"/>
    <d v="2018-08-01T00:00:00"/>
    <s v="12,00"/>
    <s v="Doce Bolívares con 00/100"/>
  </r>
  <r>
    <n v="1375"/>
    <m/>
    <s v="ü"/>
    <d v="2018-08-16T00:00:00"/>
    <n v="12"/>
    <x v="23"/>
    <x v="21"/>
    <s v="Calle Güigüe Nro. 88-116"/>
    <s v="Cancelación Vigilancia, mes de Agosto 2018"/>
    <s v="Vigilancia"/>
    <m/>
    <s v="01375"/>
    <s v="16 de Agosto de 2018"/>
    <n v="16"/>
    <d v="2018-08-01T00:00:00"/>
    <s v="12,00"/>
    <s v="Doce Bolívares con 00/100"/>
  </r>
  <r>
    <n v="1376"/>
    <m/>
    <s v="ü"/>
    <d v="2018-08-16T00:00:00"/>
    <n v="13.5"/>
    <x v="48"/>
    <x v="9"/>
    <s v="Calle Güigüe Nro. 88-90"/>
    <s v="Cancelación Vigilancia, saldo mes de Julio y cancelación mes de Agosto 2018"/>
    <s v="Vigilancia"/>
    <m/>
    <s v="01376"/>
    <s v="16 de Agosto de 2018"/>
    <n v="16"/>
    <d v="2018-08-01T00:00:00"/>
    <s v="13,50"/>
    <s v="Trece Bolívares con 50/100"/>
  </r>
  <r>
    <n v="1377"/>
    <m/>
    <s v="ü"/>
    <d v="2018-08-18T00:00:00"/>
    <n v="11"/>
    <x v="9"/>
    <x v="9"/>
    <s v="Av. &quot;M&quot; Nro. 146-30"/>
    <s v="Cancelación Vigilancia, anticipo mes de Agosto 2018"/>
    <s v="Vigilancia"/>
    <m/>
    <s v="01377"/>
    <s v="18 de Agosto de 2018"/>
    <n v="18"/>
    <d v="2018-08-01T00:00:00"/>
    <s v="11,00"/>
    <s v="Once Bolívares con 00/100"/>
  </r>
  <r>
    <n v="1378"/>
    <m/>
    <s v="ü"/>
    <d v="2018-08-19T00:00:00"/>
    <n v="12"/>
    <x v="26"/>
    <x v="24"/>
    <s v="Calle Güigüe Nro. 89-96"/>
    <s v="Cancelación Vigilancia, mes de Agosto 2018"/>
    <s v="Vigilancia"/>
    <m/>
    <s v="01378"/>
    <s v="19 de Agosto de 2018"/>
    <n v="19"/>
    <d v="2018-08-01T00:00:00"/>
    <s v="12,00"/>
    <s v="Doce Bolívares con 00/100"/>
  </r>
  <r>
    <n v="1379"/>
    <m/>
    <s v="ü"/>
    <d v="2018-08-19T00:00:00"/>
    <n v="6"/>
    <x v="26"/>
    <x v="24"/>
    <s v="Calle Güigüe Nro. 89-96"/>
    <s v="Colaboración reparación portón principal"/>
    <s v="Reparación Portón"/>
    <m/>
    <s v="01379"/>
    <s v="19 de Agosto de 2018"/>
    <n v="19"/>
    <d v="2018-08-01T00:00:00"/>
    <s v="6,00"/>
    <s v="Seis Bolívares con 00/100"/>
  </r>
  <r>
    <n v="1380"/>
    <m/>
    <s v="ü"/>
    <d v="2018-08-22T00:00:00"/>
    <n v="12"/>
    <x v="24"/>
    <x v="22"/>
    <s v="Calle Güigüe Nro. 88-54"/>
    <s v="Cancelación Vigilancia, mes de Agosto 2018"/>
    <s v="Vigilancia"/>
    <m/>
    <s v="01380"/>
    <s v="22 de Agosto de 2018"/>
    <n v="22"/>
    <d v="2018-08-01T00:00:00"/>
    <s v="12,00"/>
    <s v="Doce Bolívares con 00/100"/>
  </r>
  <r>
    <n v="1381"/>
    <m/>
    <s v="ü"/>
    <d v="2018-08-23T00:00:00"/>
    <n v="12"/>
    <x v="54"/>
    <x v="50"/>
    <s v="Calle Güigüe Nro. 89-21"/>
    <s v="Cancelación Vigilancia, mes de Agosto 2018"/>
    <s v="Vigilancia"/>
    <m/>
    <s v="01381"/>
    <s v="23 de Agosto de 2018"/>
    <n v="23"/>
    <d v="2018-08-01T00:00:00"/>
    <s v="12,00"/>
    <s v="Doce Bolívares con 00/100"/>
  </r>
  <r>
    <n v="1382"/>
    <m/>
    <s v="ü"/>
    <d v="2018-08-23T00:00:00"/>
    <n v="11.5"/>
    <x v="83"/>
    <x v="70"/>
    <s v="Calle Güigüe Nro. 89-22"/>
    <s v="Cancelación Vigilancia, saldo mes de Agosto 2018"/>
    <s v="Vigilancia"/>
    <m/>
    <s v="01382"/>
    <s v="23 de Agosto de 2018"/>
    <n v="23"/>
    <d v="2018-08-01T00:00:00"/>
    <s v="11,50"/>
    <s v="Once Bolívares con 50/100"/>
  </r>
  <r>
    <n v="1383"/>
    <m/>
    <s v="ü"/>
    <d v="2018-08-23T00:00:00"/>
    <n v="12"/>
    <x v="8"/>
    <x v="78"/>
    <s v="Calle Guacara Nro. 90-51"/>
    <s v="Cancelación Vigilancia, mes de Agosto 2018"/>
    <s v="Vigilancia"/>
    <m/>
    <s v="01383"/>
    <s v="23 de Agosto de 2018"/>
    <n v="23"/>
    <d v="2018-08-01T00:00:00"/>
    <s v="12,00"/>
    <s v="Doce Bolívares con 00/100"/>
  </r>
  <r>
    <n v="1384"/>
    <m/>
    <s v="ü"/>
    <d v="2018-08-23T00:00:00"/>
    <n v="2"/>
    <x v="8"/>
    <x v="78"/>
    <s v="Calle Guacara Nro. 90-51"/>
    <s v="Colaboración para comida de vigilantes"/>
    <s v="Comida Vigilantes"/>
    <m/>
    <s v="01384"/>
    <s v="23 de Agosto de 2018"/>
    <n v="23"/>
    <d v="2018-08-01T00:00:00"/>
    <s v="2,00"/>
    <s v="Dos Bolívares con 00/100"/>
  </r>
  <r>
    <n v="1385"/>
    <m/>
    <s v="ü"/>
    <d v="2018-08-23T00:00:00"/>
    <n v="24"/>
    <x v="60"/>
    <x v="54"/>
    <s v="Calle Guacara Nro. 88-51"/>
    <s v="Cancelación Vigilancia, mes de Agosto y anticipo mes de Septiembre 2018"/>
    <s v="Vigilancia"/>
    <m/>
    <s v="01385"/>
    <s v="23 de Agosto de 2018"/>
    <n v="23"/>
    <d v="2018-08-01T00:00:00"/>
    <s v="24,00"/>
    <s v="Veinticuatro Bolívares con 00/100"/>
  </r>
  <r>
    <n v="1386"/>
    <m/>
    <s v="ü"/>
    <d v="2018-08-23T00:00:00"/>
    <n v="12"/>
    <x v="11"/>
    <x v="11"/>
    <s v="Calle Guacara Nro. 89-86"/>
    <s v="Cancelación Vigilancia, mes de Agosto 2018"/>
    <s v="Vigilancia"/>
    <m/>
    <s v="01386"/>
    <s v="23 de Agosto de 2018"/>
    <n v="23"/>
    <d v="2018-08-01T00:00:00"/>
    <s v="12,00"/>
    <s v="Doce Bolívares con 00/100"/>
  </r>
  <r>
    <n v="1387"/>
    <m/>
    <s v="ü"/>
    <d v="2018-08-23T00:00:00"/>
    <n v="12"/>
    <x v="68"/>
    <x v="60"/>
    <s v="Calle Güigüe Nro. 89-29"/>
    <s v="Cancelación Vigilancia, mes de Agosto 2018"/>
    <s v="Vigilancia"/>
    <m/>
    <s v="01387"/>
    <s v="23 de Agosto de 2018"/>
    <n v="23"/>
    <d v="2018-08-01T00:00:00"/>
    <s v="12,00"/>
    <s v="Doce Bolívares con 00/100"/>
  </r>
  <r>
    <n v="1388"/>
    <m/>
    <s v="ü"/>
    <d v="2018-08-23T00:00:00"/>
    <n v="12"/>
    <x v="44"/>
    <x v="41"/>
    <s v="Calle Guacara Nro. 89-40"/>
    <s v="Cancelación Vigilancia, mes de Agosto 2018"/>
    <s v="Vigilancia"/>
    <m/>
    <s v="01388"/>
    <s v="23 de Agosto de 2018"/>
    <n v="23"/>
    <d v="2018-08-01T00:00:00"/>
    <s v="12,00"/>
    <s v="Doce Bolívares con 00/100"/>
  </r>
  <r>
    <n v="1389"/>
    <m/>
    <s v="ü"/>
    <d v="2018-08-23T00:00:00"/>
    <n v="12"/>
    <x v="18"/>
    <x v="16"/>
    <s v="Calle Guacara Nro. 87-100"/>
    <s v="Cancelación Vigilancia, mes de Agosto 2018"/>
    <s v="Vigilancia"/>
    <m/>
    <s v="01389"/>
    <s v="23 de Agosto de 2018"/>
    <n v="23"/>
    <d v="2018-08-01T00:00:00"/>
    <s v="12,00"/>
    <s v="Doce Bolívares con 00/100"/>
  </r>
  <r>
    <n v="1390"/>
    <m/>
    <s v="ü"/>
    <d v="2018-08-24T00:00:00"/>
    <n v="12"/>
    <x v="25"/>
    <x v="23"/>
    <s v="Calle Güigüe Nro. 88-58"/>
    <s v="Cancelación Vigilancia, mes de Agosto 2018"/>
    <s v="Vigilancia"/>
    <m/>
    <s v="01390"/>
    <s v="24 de Agosto de 2018"/>
    <n v="24"/>
    <d v="2018-08-01T00:00:00"/>
    <s v="12,00"/>
    <s v="Doce Bolívares con 00/100"/>
  </r>
  <r>
    <n v="1391"/>
    <m/>
    <s v="ü"/>
    <d v="2018-08-25T00:00:00"/>
    <n v="12"/>
    <x v="58"/>
    <x v="53"/>
    <s v="Calle Güigüe Nro. 88-51"/>
    <s v="Cancelación Vigilancia, mes de Agosto 2018"/>
    <s v="Vigilancia"/>
    <m/>
    <s v="01391"/>
    <s v="25 de Agosto de 2018"/>
    <n v="25"/>
    <d v="2018-08-01T00:00:00"/>
    <s v="12,00"/>
    <s v="Doce Bolívares con 00/100"/>
  </r>
  <r>
    <n v="1392"/>
    <m/>
    <s v="ü"/>
    <d v="2018-08-27T00:00:00"/>
    <n v="2.2000000000000002"/>
    <x v="9"/>
    <x v="9"/>
    <s v="Av. &quot;M&quot; Nro. 146-30"/>
    <s v="Cancelación Vigilancia, saldo mes de Agosto 2018"/>
    <s v="Vigilancia"/>
    <m/>
    <s v="01392"/>
    <s v="27 de Agosto de 2018"/>
    <n v="27"/>
    <d v="2018-08-01T00:00:00"/>
    <s v="2,20"/>
    <s v="Dos Bolívares con 20/100"/>
  </r>
  <r>
    <n v="1393"/>
    <m/>
    <s v="ü"/>
    <d v="2018-08-27T00:00:00"/>
    <n v="12"/>
    <x v="40"/>
    <x v="37"/>
    <s v="Calle Güigüe Nro. 88-101"/>
    <s v="Cancelación Vigilancia, mes de Agosto 2018"/>
    <s v="Vigilancia"/>
    <m/>
    <s v="01393"/>
    <s v="27 de Agosto de 2018"/>
    <n v="27"/>
    <d v="2018-08-01T00:00:00"/>
    <s v="12,00"/>
    <s v="Doce Bolívares con 00/100"/>
  </r>
  <r>
    <n v="1394"/>
    <m/>
    <s v="ü"/>
    <d v="2018-08-27T00:00:00"/>
    <n v="12"/>
    <x v="82"/>
    <x v="9"/>
    <s v="Calle Guacara Nro. 90-61"/>
    <s v="Cancelación Vigilancia, mes de Agosto 2018"/>
    <s v="Vigilancia"/>
    <m/>
    <s v="01394"/>
    <s v="27 de Agosto de 2018"/>
    <n v="27"/>
    <d v="2018-08-01T00:00:00"/>
    <s v="12,00"/>
    <s v="Doce Bolívares con 00/100"/>
  </r>
  <r>
    <n v="1395"/>
    <m/>
    <s v="ü"/>
    <d v="2018-08-27T00:00:00"/>
    <n v="15"/>
    <x v="84"/>
    <x v="71"/>
    <s v="Calle Güigüe Nro. 89-54"/>
    <s v="Cancelación Vigilancia, mes de Agosto 2018"/>
    <s v="Vigilancia"/>
    <m/>
    <s v="01395"/>
    <s v="27 de Agosto de 2018"/>
    <n v="27"/>
    <d v="2018-08-01T00:00:00"/>
    <s v="15,00"/>
    <s v="Quince Bolívares con 00/100"/>
  </r>
  <r>
    <n v="1396"/>
    <m/>
    <s v="ü"/>
    <d v="2018-08-27T00:00:00"/>
    <n v="12"/>
    <x v="59"/>
    <x v="9"/>
    <s v="Calle Guacara Nro. 90-35"/>
    <s v="Cancelación Vigilancia, mes de Agosto 2018"/>
    <s v="Vigilancia"/>
    <m/>
    <s v="01396"/>
    <s v="27 de Agosto de 2018"/>
    <n v="27"/>
    <d v="2018-08-01T00:00:00"/>
    <s v="12,00"/>
    <s v="Doce Bolívares con 00/100"/>
  </r>
  <r>
    <n v="1397"/>
    <m/>
    <s v="ü"/>
    <d v="2018-08-27T00:00:00"/>
    <n v="12"/>
    <x v="43"/>
    <x v="40"/>
    <s v="Calle Güigüe Nro. 88-50"/>
    <s v="Cancelación Vigilancia, mes de Agosto 2018"/>
    <s v="Vigilancia"/>
    <m/>
    <s v="01397"/>
    <s v="27 de Agosto de 2018"/>
    <n v="27"/>
    <d v="2018-08-01T00:00:00"/>
    <s v="12,00"/>
    <s v="Doce Bolívares con 00/100"/>
  </r>
  <r>
    <n v="1398"/>
    <m/>
    <s v="ü"/>
    <d v="2018-08-29T00:00:00"/>
    <n v="12"/>
    <x v="53"/>
    <x v="80"/>
    <s v="Calle Guacara Nro. 88-91"/>
    <s v="Cancelación Vigilancia, mes de Agosto 2018"/>
    <s v="Vigilancia"/>
    <m/>
    <s v="01398"/>
    <s v="29 de Agosto de 2018"/>
    <n v="29"/>
    <d v="2018-08-01T00:00:00"/>
    <s v="12,00"/>
    <s v="Doce Bolívares con 00/100"/>
  </r>
  <r>
    <n v="1399"/>
    <m/>
    <s v="ü"/>
    <d v="2018-08-29T00:00:00"/>
    <n v="12"/>
    <x v="93"/>
    <x v="87"/>
    <s v="Calle Güigüe Nro. 89-89"/>
    <s v="Cancelación Vigilancia, mes de Agosto 2018"/>
    <s v="Vigilancia"/>
    <m/>
    <s v="01399"/>
    <s v="29 de Agosto de 2018"/>
    <n v="29"/>
    <d v="2018-08-01T00:00:00"/>
    <s v="12,00"/>
    <s v="Doce Bolívares con 00/100"/>
  </r>
  <r>
    <n v="1400"/>
    <m/>
    <s v="ü"/>
    <d v="2018-08-12T00:00:00"/>
    <n v="12"/>
    <x v="77"/>
    <x v="85"/>
    <s v="Calle Guacara Nro. 88-65"/>
    <s v="Cancelación Vigilancia, mes de Agosto 2018"/>
    <s v="Vigilancia"/>
    <m/>
    <s v="01400"/>
    <s v="12 de Agosto de 2018"/>
    <n v="12"/>
    <d v="2018-08-01T00:00:00"/>
    <s v="12,00"/>
    <s v="Doce Bolívares con 00/100"/>
  </r>
  <r>
    <n v="1401"/>
    <m/>
    <s v="ü"/>
    <d v="2018-08-31T00:00:00"/>
    <n v="8"/>
    <x v="2"/>
    <x v="83"/>
    <s v="Calle Guacara Nro. 88-19"/>
    <s v="Colaboración Vigilancia, mes de Agosto 2018"/>
    <s v="Vigilancia"/>
    <m/>
    <s v="01401"/>
    <s v="31 de Agosto de 2018"/>
    <n v="31"/>
    <d v="2018-08-01T00:00:00"/>
    <s v="8,00"/>
    <s v="Ocho Bolívares con 00/100"/>
  </r>
  <r>
    <n v="1402"/>
    <m/>
    <s v="ü"/>
    <d v="2018-09-01T00:00:00"/>
    <n v="370"/>
    <x v="90"/>
    <x v="82"/>
    <s v="Calle Güigüe Nro. 89-04"/>
    <s v="Cancelación Vigilancia, mes de Septiembre y anticipo mes de Octubre 2018"/>
    <s v="Vigilancia"/>
    <m/>
    <s v="01402"/>
    <s v="01 de Septiembre de 2018"/>
    <n v="1"/>
    <d v="2018-09-01T00:00:00"/>
    <s v="370,00"/>
    <s v="Trescientos Setenta Bolívares con 00/100"/>
  </r>
  <r>
    <n v="1403"/>
    <m/>
    <s v="ü"/>
    <d v="2018-09-01T00:00:00"/>
    <n v="12"/>
    <x v="28"/>
    <x v="77"/>
    <s v="Calle Güigüe Nro. 88-30"/>
    <s v="Cancelación Vigilancia, mes de Agosto 2018"/>
    <s v="Vigilancia"/>
    <m/>
    <s v="01403"/>
    <s v="01 de Septiembre de 2018"/>
    <n v="1"/>
    <d v="2018-09-01T00:00:00"/>
    <s v="12,00"/>
    <s v="Doce Bolívares con 00/100"/>
  </r>
  <r>
    <n v="1404"/>
    <m/>
    <s v="ü"/>
    <d v="2018-09-02T00:00:00"/>
    <n v="27"/>
    <x v="5"/>
    <x v="9"/>
    <s v="Calle Güigüe Nro. 88-120"/>
    <s v="Cancelación Vigilancia, anticipo mes de Septiembre 2018"/>
    <s v="Vigilancia"/>
    <m/>
    <s v="01404"/>
    <s v="02 de Septiembre de 2018"/>
    <n v="2"/>
    <d v="2018-09-01T00:00:00"/>
    <s v="27,00"/>
    <s v="Veintisiete Bolívares con 00/100"/>
  </r>
  <r>
    <n v="1405"/>
    <m/>
    <s v="ü"/>
    <d v="2018-09-02T00:00:00"/>
    <n v="12"/>
    <x v="22"/>
    <x v="20"/>
    <s v="Calle Guacara Nro. 88-25"/>
    <s v="Cancelación Vigilancia, mes de Agosto 2018"/>
    <s v="Vigilancia"/>
    <m/>
    <s v="01405"/>
    <s v="02 de Septiembre de 2018"/>
    <n v="2"/>
    <d v="2018-09-01T00:00:00"/>
    <s v="12,00"/>
    <s v="Doce Bolívares con 00/100"/>
  </r>
  <r>
    <n v="1406"/>
    <m/>
    <s v="ü"/>
    <d v="2018-09-03T00:00:00"/>
    <n v="10"/>
    <x v="71"/>
    <x v="62"/>
    <s v="Calle Güigüe Nro. 89-71"/>
    <s v="Colaboración Vigilancia, mes de Agosto 2018"/>
    <s v="Vigilancia"/>
    <m/>
    <s v="01406"/>
    <s v="03 de Septiembre de 2018"/>
    <n v="3"/>
    <d v="2018-09-01T00:00:00"/>
    <s v="10,00"/>
    <s v="Diez Bolívares con 00/100"/>
  </r>
  <r>
    <n v="1407"/>
    <m/>
    <s v="ü"/>
    <d v="2018-09-03T00:00:00"/>
    <n v="12"/>
    <x v="56"/>
    <x v="52"/>
    <s v="Calle Güigüe Nro. 88-70"/>
    <s v="Cancelación Vigilancia, mes de Agosto 2018"/>
    <s v="Vigilancia"/>
    <m/>
    <s v="01407"/>
    <s v="03 de Septiembre de 2018"/>
    <n v="3"/>
    <d v="2018-09-01T00:00:00"/>
    <s v="12,00"/>
    <s v="Doce Bolívares con 00/100"/>
  </r>
  <r>
    <n v="1408"/>
    <m/>
    <s v="ü"/>
    <d v="2018-09-05T00:00:00"/>
    <n v="320"/>
    <x v="14"/>
    <x v="13"/>
    <s v="Calle Güigüe Nro. 89-83"/>
    <s v="Cancelación Vigilancia, mes de Septiembre 2018"/>
    <s v="Vigilancia"/>
    <m/>
    <s v="01408"/>
    <s v="05 de Septiembre de 2018"/>
    <n v="5"/>
    <d v="2018-09-01T00:00:00"/>
    <s v="320,00"/>
    <s v="Trescientos Veinte Bolívares con 00/100"/>
  </r>
  <r>
    <n v="1409"/>
    <m/>
    <s v="ü"/>
    <d v="2018-09-05T00:00:00"/>
    <n v="320"/>
    <x v="12"/>
    <x v="12"/>
    <s v="Calle Guacara Nro. 89-20"/>
    <s v="Cancelación Vigilancia, mes de Septiembre 2018"/>
    <s v="Vigilancia"/>
    <m/>
    <s v="01409"/>
    <s v="05 de Septiembre de 2018"/>
    <n v="5"/>
    <d v="2018-09-01T00:00:00"/>
    <s v="320,00"/>
    <s v="Trescientos Veinte Bolívares con 00/100"/>
  </r>
  <r>
    <n v="1410"/>
    <m/>
    <s v="ü"/>
    <d v="2018-09-05T00:00:00"/>
    <n v="320"/>
    <x v="63"/>
    <x v="56"/>
    <s v="Calle Guacara Nro. 88-85"/>
    <s v="Cancelación Vigilancia, mes de Septiembre 2018"/>
    <s v="Vigilancia"/>
    <m/>
    <s v="01410"/>
    <s v="05 de Septiembre de 2018"/>
    <n v="5"/>
    <d v="2018-09-01T00:00:00"/>
    <s v="320,00"/>
    <s v="Trescientos Veinte Bolívares con 00/100"/>
  </r>
  <r>
    <n v="1411"/>
    <m/>
    <s v="ü"/>
    <d v="2018-09-05T00:00:00"/>
    <n v="320"/>
    <x v="7"/>
    <x v="7"/>
    <s v="Calle Guacara Nro. 87-86"/>
    <s v="Cancelación Vigilancia, mes de Septiembre 2018"/>
    <s v="Vigilancia"/>
    <m/>
    <s v="01411"/>
    <s v="05 de Septiembre de 2018"/>
    <n v="5"/>
    <d v="2018-09-01T00:00:00"/>
    <s v="320,00"/>
    <s v="Trescientos Veinte Bolívares con 00/100"/>
  </r>
  <r>
    <n v="1412"/>
    <m/>
    <s v="ü"/>
    <d v="2018-09-05T00:00:00"/>
    <n v="320"/>
    <x v="11"/>
    <x v="11"/>
    <s v="Calle Guacara Nro. 89-86"/>
    <s v="Cancelación Vigilancia, mes de Septiembre 2018"/>
    <s v="Vigilancia"/>
    <m/>
    <s v="01412"/>
    <s v="05 de Septiembre de 2018"/>
    <n v="5"/>
    <d v="2018-09-01T00:00:00"/>
    <s v="320,00"/>
    <s v="Trescientos Veinte Bolívares con 00/100"/>
  </r>
  <r>
    <n v="1413"/>
    <m/>
    <s v="ü"/>
    <d v="2018-09-05T00:00:00"/>
    <n v="320"/>
    <x v="1"/>
    <x v="1"/>
    <s v="Calle Güigüe Nro. 88-44"/>
    <s v="Cancelación Vigilancia, mes de Septiembre 2018"/>
    <s v="Vigilancia"/>
    <m/>
    <s v="01413"/>
    <s v="05 de Septiembre de 2018"/>
    <n v="5"/>
    <d v="2018-09-01T00:00:00"/>
    <s v="320,00"/>
    <s v="Trescientos Veinte Bolívares con 00/100"/>
  </r>
  <r>
    <n v="1414"/>
    <m/>
    <s v="ü"/>
    <d v="2018-09-05T00:00:00"/>
    <n v="400"/>
    <x v="6"/>
    <x v="6"/>
    <s v="Calle Guacara Nro. 89-60"/>
    <s v="Cancelación Vigilancia, mes de Septiembre 2018 más aporte"/>
    <s v="Vigilancia"/>
    <m/>
    <s v="01414"/>
    <s v="05 de Septiembre de 2018"/>
    <n v="5"/>
    <d v="2018-09-01T00:00:00"/>
    <s v="400,00"/>
    <s v="Cuatrocientos Bolívares con 00/100"/>
  </r>
  <r>
    <n v="1415"/>
    <m/>
    <s v="ü"/>
    <d v="2018-09-05T00:00:00"/>
    <n v="320"/>
    <x v="4"/>
    <x v="4"/>
    <s v="Calle Güigüe Nro. 89-55"/>
    <s v="Cancelación Vigilancia, mes de Septiembre 2018"/>
    <s v="Vigilancia"/>
    <m/>
    <s v="01415"/>
    <s v="05 de Septiembre de 2018"/>
    <n v="5"/>
    <d v="2018-09-01T00:00:00"/>
    <s v="320,00"/>
    <s v="Trescientos Veinte Bolívares con 00/100"/>
  </r>
  <r>
    <n v="1416"/>
    <m/>
    <s v="ü"/>
    <d v="2018-09-06T00:00:00"/>
    <n v="320"/>
    <x v="38"/>
    <x v="35"/>
    <s v="Calle Guacara Nro. 89-78"/>
    <s v="Cancelación Vigilancia, mes de Septiembre 2018"/>
    <s v="Vigilancia"/>
    <m/>
    <s v="01416"/>
    <s v="06 de Septiembre de 2018"/>
    <n v="6"/>
    <d v="2018-09-01T00:00:00"/>
    <s v="320,00"/>
    <s v="Trescientos Veinte Bolívares con 00/100"/>
  </r>
  <r>
    <n v="1417"/>
    <m/>
    <s v="ü"/>
    <d v="2018-09-06T00:00:00"/>
    <n v="320"/>
    <x v="81"/>
    <x v="69"/>
    <s v="Calle Güigüe Nro. 89-65"/>
    <s v="Cancelación Vigilancia, mes de Septiembre 2018"/>
    <s v="Vigilancia"/>
    <m/>
    <s v="01417"/>
    <s v="06 de Septiembre de 2018"/>
    <n v="6"/>
    <d v="2018-09-01T00:00:00"/>
    <s v="320,00"/>
    <s v="Trescientos Veinte Bolívares con 00/100"/>
  </r>
  <r>
    <n v="1418"/>
    <m/>
    <s v="ü"/>
    <d v="2018-09-06T00:00:00"/>
    <n v="350"/>
    <x v="20"/>
    <x v="18"/>
    <s v="Calle Guacara Nro. 89-30"/>
    <s v="Cancelación Vigilancia, mes de Septiembre 2018 más aporte"/>
    <s v="Vigilancia"/>
    <m/>
    <s v="01418"/>
    <s v="06 de Septiembre de 2018"/>
    <n v="6"/>
    <d v="2018-09-01T00:00:00"/>
    <s v="350,00"/>
    <s v="Trescientos Cincuenta Bolívares con 00/100"/>
  </r>
  <r>
    <n v="1419"/>
    <m/>
    <s v="ü"/>
    <d v="2018-09-06T00:00:00"/>
    <n v="320"/>
    <x v="62"/>
    <x v="55"/>
    <s v="Av. &quot;M&quot; Nro. 145-10"/>
    <s v="Cancelación Vigilancia, mes de Septiembre 2018"/>
    <s v="Vigilancia"/>
    <m/>
    <s v="01419"/>
    <s v="06 de Septiembre de 2018"/>
    <n v="6"/>
    <d v="2018-09-01T00:00:00"/>
    <s v="320,00"/>
    <s v="Trescientos Veinte Bolívares con 00/100"/>
  </r>
  <r>
    <n v="1420"/>
    <m/>
    <s v="ü"/>
    <d v="2018-09-06T00:00:00"/>
    <n v="320"/>
    <x v="69"/>
    <x v="61"/>
    <s v="Calle Güigüe Nro. 89-40"/>
    <s v="Cancelación Vigilancia, mes de Septiembre 2018"/>
    <s v="Vigilancia"/>
    <m/>
    <s v="01420"/>
    <s v="06 de Septiembre de 2018"/>
    <n v="6"/>
    <d v="2018-09-01T00:00:00"/>
    <s v="320,00"/>
    <s v="Trescientos Veinte Bolívares con 00/100"/>
  </r>
  <r>
    <n v="1421"/>
    <m/>
    <s v="ü"/>
    <d v="2018-09-07T00:00:00"/>
    <n v="320"/>
    <x v="24"/>
    <x v="22"/>
    <s v="Calle Güigüe Nro. 88-54"/>
    <s v="Cancelación Vigilancia, mes de Septiembre 2018"/>
    <s v="Vigilancia"/>
    <m/>
    <s v="01421"/>
    <s v="07 de Septiembre de 2018"/>
    <n v="7"/>
    <d v="2018-09-01T00:00:00"/>
    <s v="320,00"/>
    <s v="Trescientos Veinte Bolívares con 00/100"/>
  </r>
  <r>
    <n v="1422"/>
    <m/>
    <s v="ü"/>
    <d v="2018-09-07T00:00:00"/>
    <n v="320"/>
    <x v="92"/>
    <x v="86"/>
    <s v="Calle Guacara Nro. 88-A-10"/>
    <s v="Cancelación Vigilancia, mes de Septiembre 2018 (saldo a favor: Bs. 5,80)"/>
    <s v="Vigilancia"/>
    <m/>
    <s v="01422"/>
    <s v="07 de Septiembre de 2018"/>
    <n v="7"/>
    <d v="2018-09-01T00:00:00"/>
    <s v="320,00"/>
    <s v="Trescientos Veinte Bolívares con 00/100"/>
  </r>
  <r>
    <n v="1423"/>
    <m/>
    <s v="ü"/>
    <d v="2018-09-07T00:00:00"/>
    <n v="320"/>
    <x v="77"/>
    <x v="85"/>
    <s v="Calle Guacara Nro. 88-65"/>
    <s v="Cancelación Vigilancia, mes de Septiembre 2018"/>
    <s v="Vigilancia"/>
    <m/>
    <s v="01423"/>
    <s v="07 de Septiembre de 2018"/>
    <n v="7"/>
    <d v="2018-09-01T00:00:00"/>
    <s v="320,00"/>
    <s v="Trescientos Veinte Bolívares con 00/100"/>
  </r>
  <r>
    <n v="1424"/>
    <m/>
    <s v="ü"/>
    <d v="2018-09-09T00:00:00"/>
    <n v="320"/>
    <x v="65"/>
    <x v="58"/>
    <s v="Calle Güigüe Nro. 88-10"/>
    <s v="Cancelación Vigilancia, mes de Septiembre 2018"/>
    <s v="Vigilancia"/>
    <m/>
    <s v="01424"/>
    <s v="09 de Septiembre de 2018"/>
    <n v="9"/>
    <d v="2018-09-01T00:00:00"/>
    <s v="320,00"/>
    <s v="Trescientos Veinte Bolívares con 00/100"/>
  </r>
  <r>
    <n v="1425"/>
    <m/>
    <s v="ü"/>
    <d v="2018-09-11T00:00:00"/>
    <n v="320"/>
    <x v="59"/>
    <x v="9"/>
    <s v="Calle Guacara Nro. 90-35"/>
    <s v="Cancelación Vigilancia, mes de Septiembre 2018"/>
    <s v="Vigilancia"/>
    <m/>
    <s v="01425"/>
    <s v="11 de Septiembre de 2018"/>
    <n v="11"/>
    <d v="2018-09-01T00:00:00"/>
    <s v="320,00"/>
    <s v="Trescientos Veinte Bolívares con 00/100"/>
  </r>
  <r>
    <n v="1426"/>
    <m/>
    <s v="ü"/>
    <d v="2018-09-11T00:00:00"/>
    <n v="320"/>
    <x v="9"/>
    <x v="9"/>
    <s v="Av. &quot;M&quot; Nro. 146-30"/>
    <s v="Cancelación Vigilancia, mes de Septiembre 2018"/>
    <s v="Vigilancia"/>
    <m/>
    <s v="01426"/>
    <s v="11 de Septiembre de 2018"/>
    <n v="11"/>
    <d v="2018-09-01T00:00:00"/>
    <s v="320,00"/>
    <s v="Trescientos Veinte Bolívares con 00/100"/>
  </r>
  <r>
    <n v="1427"/>
    <m/>
    <s v="ü"/>
    <d v="2018-09-12T00:00:00"/>
    <n v="320"/>
    <x v="87"/>
    <x v="75"/>
    <s v="Calle Güigüe Nro. 88-06"/>
    <s v="Cancelación Vigilancia, mes de Septiembre 2018 (saldo a favor: Bs.S. 0,00)"/>
    <s v="Vigilancia"/>
    <m/>
    <s v="01427"/>
    <s v="12 de Septiembre de 2018"/>
    <n v="12"/>
    <d v="2018-09-01T00:00:00"/>
    <s v="320,00"/>
    <s v="Trescientos Veinte Bolívares con 00/100"/>
  </r>
  <r>
    <n v="1428"/>
    <m/>
    <s v="ü"/>
    <d v="2018-09-12T00:00:00"/>
    <n v="320"/>
    <x v="18"/>
    <x v="16"/>
    <s v="Calle Guacara Nro. 87-100"/>
    <s v="Cancelación Vigilancia, mes de Septiembre 2018"/>
    <s v="Vigilancia"/>
    <m/>
    <s v="01428"/>
    <s v="12 de Septiembre de 2018"/>
    <n v="12"/>
    <d v="2018-09-01T00:00:00"/>
    <s v="320,00"/>
    <s v="Trescientos Veinte Bolívares con 00/100"/>
  </r>
  <r>
    <n v="1429"/>
    <m/>
    <s v="ü"/>
    <d v="2018-09-12T00:00:00"/>
    <n v="320"/>
    <x v="17"/>
    <x v="74"/>
    <s v="Av. &quot;M&quot; Nro. 146-20"/>
    <s v="Cancelación Vigilancia, mes de Septiembre 2018"/>
    <s v="Vigilancia"/>
    <m/>
    <s v="01429"/>
    <s v="12 de Septiembre de 2018"/>
    <n v="12"/>
    <d v="2018-09-01T00:00:00"/>
    <s v="320,00"/>
    <s v="Trescientos Veinte Bolívares con 00/100"/>
  </r>
  <r>
    <n v="1430"/>
    <m/>
    <s v="ü"/>
    <d v="2018-09-12T00:00:00"/>
    <n v="12"/>
    <x v="74"/>
    <x v="64"/>
    <s v="Calle Güigüe Nro. 88-20"/>
    <s v="Colaboración Vigilancia, mes de Agosto 2018"/>
    <s v="Vigilancia"/>
    <m/>
    <s v="01430"/>
    <s v="12 de Septiembre de 2018"/>
    <n v="12"/>
    <d v="2018-09-01T00:00:00"/>
    <s v="12,00"/>
    <s v="Doce Bolívares con 00/100"/>
  </r>
  <r>
    <n v="1431"/>
    <m/>
    <s v="ü"/>
    <d v="2018-09-12T00:00:00"/>
    <n v="320"/>
    <x v="0"/>
    <x v="0"/>
    <s v="Calle Guacara Nro. 88-45"/>
    <s v="Cancelación Vigilancia, mes de Septiembre 2018 (saldo a favor: Bs. 1.302,95)"/>
    <s v="Vigilancia"/>
    <m/>
    <s v="01431"/>
    <s v="12 de Septiembre de 2018"/>
    <n v="12"/>
    <d v="2018-09-01T00:00:00"/>
    <s v="320,00"/>
    <s v="Trescientos Veinte Bolívares con 00/100"/>
  </r>
  <r>
    <n v="1432"/>
    <m/>
    <s v="ü"/>
    <d v="2018-09-13T00:00:00"/>
    <n v="320"/>
    <x v="23"/>
    <x v="21"/>
    <s v="Calle Güigüe Nro. 88-116"/>
    <s v="Cancelación Vigilancia, mes de Septiembre 2018"/>
    <s v="Vigilancia"/>
    <m/>
    <s v="01432"/>
    <s v="13 de Septiembre de 2018"/>
    <n v="13"/>
    <d v="2018-09-01T00:00:00"/>
    <s v="320,00"/>
    <s v="Trescientos Veinte Bolívares con 00/100"/>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s v="Quinientos Bolívares con 00/100"/>
  </r>
  <r>
    <n v="1434"/>
    <m/>
    <s v="ü"/>
    <d v="2018-09-14T00:00:00"/>
    <n v="320"/>
    <x v="53"/>
    <x v="80"/>
    <s v="Calle Guacara Nro. 88-91"/>
    <s v="Cancelación Vigilancia, mes de Septiembre 2018"/>
    <s v="Vigilancia"/>
    <m/>
    <s v="01434"/>
    <s v="14 de Septiembre de 2018"/>
    <n v="14"/>
    <d v="2018-09-01T00:00:00"/>
    <s v="320,00"/>
    <s v="Trescientos Veinte Bolívares con 00/100"/>
  </r>
  <r>
    <n v="1435"/>
    <m/>
    <s v="ü"/>
    <d v="2018-09-15T00:00:00"/>
    <n v="320"/>
    <x v="44"/>
    <x v="41"/>
    <s v="Calle Guacara Nro. 89-40"/>
    <s v="Cancelación Vigilancia, mes de Septiembre 2018"/>
    <s v="Vigilancia"/>
    <m/>
    <s v="01435"/>
    <s v="15 de Septiembre de 2018"/>
    <n v="15"/>
    <d v="2018-09-01T00:00:00"/>
    <s v="320,00"/>
    <s v="Trescientos Veinte Bolívares con 00/100"/>
  </r>
  <r>
    <n v="1436"/>
    <m/>
    <s v="ü"/>
    <d v="2018-09-16T00:00:00"/>
    <n v="350"/>
    <x v="46"/>
    <x v="43"/>
    <s v="Av. &quot;I&quot; Nro. 146-20"/>
    <s v="Cancelación Vigilancia, mes de Septiembre y anticipo de Octubre 2018"/>
    <s v="Vigilancia"/>
    <m/>
    <s v="01436"/>
    <s v="16 de Septiembre de 2018"/>
    <n v="16"/>
    <d v="2018-09-01T00:00:00"/>
    <s v="350,00"/>
    <s v="Trescientos Cincuenta Bolívares con 00/100"/>
  </r>
  <r>
    <n v="1437"/>
    <m/>
    <s v="ü"/>
    <d v="2018-09-17T00:00:00"/>
    <n v="320"/>
    <x v="93"/>
    <x v="87"/>
    <s v="Calle Güigüe Nro. 89-89"/>
    <s v="Cancelación Vigilancia, mes de Septiembre 2018"/>
    <s v="Vigilancia"/>
    <m/>
    <s v="01437"/>
    <s v="17 de Septiembre de 2018"/>
    <n v="17"/>
    <d v="2018-09-01T00:00:00"/>
    <s v="320,00"/>
    <s v="Trescientos Veinte Bolívares con 00/100"/>
  </r>
  <r>
    <n v="1438"/>
    <m/>
    <s v="ü"/>
    <d v="2018-09-18T00:00:00"/>
    <n v="342"/>
    <x v="80"/>
    <x v="9"/>
    <s v="Calle Guacara Nro. 88-55"/>
    <s v="Cancelación Vigilancia, meses de Julio, Agosto y Septiembre 2018"/>
    <s v="Vigilancia"/>
    <m/>
    <s v="01438"/>
    <s v="18 de Septiembre de 2018"/>
    <n v="18"/>
    <d v="2018-09-01T00:00:00"/>
    <s v="342,00"/>
    <s v="Trescientos Cuarenta y Dos Bolívares con 00/100"/>
  </r>
  <r>
    <n v="1439"/>
    <m/>
    <s v="ü"/>
    <d v="2018-09-18T00:00:00"/>
    <n v="320"/>
    <x v="76"/>
    <x v="66"/>
    <s v="Calle Güigüe Nro. 89-90"/>
    <s v="Cancelación Vigilancia, mes de Septiembre 2018"/>
    <s v="Vigilancia"/>
    <m/>
    <s v="01439"/>
    <s v="18 de Septiembre de 2018"/>
    <n v="18"/>
    <d v="2018-09-01T00:00:00"/>
    <s v="320,00"/>
    <s v="Trescientos Veinte Bolívares con 00/100"/>
  </r>
  <r>
    <n v="1440"/>
    <m/>
    <s v="ü"/>
    <d v="2018-09-17T00:00:00"/>
    <n v="320"/>
    <x v="36"/>
    <x v="33"/>
    <s v="Calle Güigüe Nro. 89-10"/>
    <s v="Cancelación Vigilancia, mes de Septiembre 2018"/>
    <s v="Vigilancia"/>
    <m/>
    <s v="01440"/>
    <s v="17 de Septiembre de 2018"/>
    <n v="17"/>
    <d v="2018-09-01T00:00:00"/>
    <s v="320,00"/>
    <s v="Trescientos Veinte Bolívares con 00/100"/>
  </r>
  <r>
    <n v="1441"/>
    <m/>
    <s v="ü"/>
    <d v="2018-09-18T00:00:00"/>
    <n v="320"/>
    <x v="26"/>
    <x v="24"/>
    <s v="Calle Güigüe Nro. 89-96"/>
    <s v="Cancelación Vigilancia, mes de Septiembre 2018"/>
    <s v="Vigilancia"/>
    <m/>
    <s v="01441"/>
    <s v="18 de Septiembre de 2018"/>
    <n v="18"/>
    <d v="2018-09-01T00:00:00"/>
    <s v="320,00"/>
    <s v="Trescientos Veinte Bolívares con 00/100"/>
  </r>
  <r>
    <n v="1442"/>
    <m/>
    <s v="ü"/>
    <d v="2018-09-18T00:00:00"/>
    <n v="345.25"/>
    <x v="39"/>
    <x v="36"/>
    <s v="Calle Güigüe Nro. 88-111"/>
    <s v="Cancelación Vigilancia, meses de Junio, Julio, Agosto y Septiembre 2018"/>
    <s v="Vigilancia"/>
    <m/>
    <s v="01442"/>
    <s v="18 de Septiembre de 2018"/>
    <n v="18"/>
    <d v="2018-09-01T00:00:00"/>
    <s v="345,25"/>
    <s v="Trescientos Cuarenta y Cinco Bolívares con 25/100"/>
  </r>
  <r>
    <n v="1443"/>
    <m/>
    <s v="ü"/>
    <d v="2018-09-18T00:00:00"/>
    <n v="601"/>
    <x v="5"/>
    <x v="9"/>
    <s v="Calle Güigüe Nro. 88-120"/>
    <s v="Cancelación Vigilancia, saldo mes de Septiembre y cancelación mes de Octubre 2018"/>
    <s v="Vigilancia"/>
    <m/>
    <s v="01443"/>
    <s v="18 de Septiembre de 2018"/>
    <n v="18"/>
    <d v="2018-09-01T00:00:00"/>
    <s v="601,00"/>
    <s v="Seiscientos Un Bolívares con 00/100"/>
  </r>
  <r>
    <n v="1444"/>
    <m/>
    <s v="ü"/>
    <d v="2018-09-19T00:00:00"/>
    <n v="465"/>
    <x v="73"/>
    <x v="9"/>
    <s v="Calle Güigüe Nros. 88-71 y 88-81"/>
    <s v="Cancelación Vigilancia, mes de Septiembre 2018"/>
    <s v="Vigilancia"/>
    <m/>
    <s v="01444"/>
    <s v="19 de Septiembre de 2018"/>
    <n v="19"/>
    <d v="2018-09-01T00:00:00"/>
    <s v="465,00"/>
    <s v="Cuatrocientos Sesenta y Cinco Bolívares con 00/100"/>
  </r>
  <r>
    <n v="1445"/>
    <m/>
    <s v="ü"/>
    <d v="2018-09-19T00:00:00"/>
    <n v="320"/>
    <x v="88"/>
    <x v="76"/>
    <s v="Calle Güigüe Nro. 88-11"/>
    <s v="Cancelación Vigilancia, mes de Septiembre 2018"/>
    <s v="Vigilancia"/>
    <m/>
    <s v="01445"/>
    <s v="19 de Septiembre de 2018"/>
    <n v="19"/>
    <d v="2018-09-01T00:00:00"/>
    <s v="320,00"/>
    <s v="Trescientos Veinte Bolívares con 00/100"/>
  </r>
  <r>
    <n v="1446"/>
    <m/>
    <s v="ü"/>
    <d v="2018-09-21T00:00:00"/>
    <n v="320"/>
    <x v="15"/>
    <x v="14"/>
    <s v="Calle Guacara Nro. 89-94"/>
    <s v="Cancelación Vigilancia, mes de Septiembre 2018"/>
    <s v="Vigilancia"/>
    <m/>
    <s v="01446"/>
    <s v="21 de Septiembre de 2018"/>
    <n v="21"/>
    <d v="2018-09-01T00:00:00"/>
    <s v="320,00"/>
    <s v="Trescientos Veinte Bolívares con 00/100"/>
  </r>
  <r>
    <n v="1447"/>
    <m/>
    <s v="ü"/>
    <d v="2018-09-21T00:00:00"/>
    <n v="160"/>
    <x v="61"/>
    <x v="14"/>
    <s v="Calle Guacara Nro. 87-07"/>
    <s v="Anticipo Vigilancia, mes de Septiembre 2018"/>
    <s v="Vigilancia"/>
    <m/>
    <s v="01447"/>
    <s v="21 de Septiembre de 2018"/>
    <n v="21"/>
    <d v="2018-09-01T00:00:00"/>
    <s v="160,00"/>
    <s v="Ciento Sesenta Bolívares con 00/100"/>
  </r>
  <r>
    <n v="1448"/>
    <m/>
    <s v="ü"/>
    <d v="2018-09-22T00:00:00"/>
    <n v="320"/>
    <x v="19"/>
    <x v="17"/>
    <s v="Calle Guacara Nro. 89-130"/>
    <s v="Cancelación Vigilancia, mes de Septiembre 2018"/>
    <s v="Vigilancia"/>
    <m/>
    <s v="01448"/>
    <s v="22 de Septiembre de 2018"/>
    <n v="22"/>
    <d v="2018-09-01T00:00:00"/>
    <s v="320,00"/>
    <s v="Trescientos Veinte Bolívares con 00/100"/>
  </r>
  <r>
    <n v="1449"/>
    <m/>
    <s v="ü"/>
    <d v="2018-09-24T00:00:00"/>
    <n v="320"/>
    <x v="83"/>
    <x v="70"/>
    <s v="Calle Güigüe Nro. 89-22"/>
    <s v="Cancelación Vigilancia, mes de Septiembre 2018"/>
    <s v="Vigilancia"/>
    <m/>
    <s v="01449"/>
    <s v="24 de Septiembre de 2018"/>
    <n v="24"/>
    <d v="2018-09-01T00:00:00"/>
    <s v="320,00"/>
    <s v="Trescientos Veinte Bolívares con 00/100"/>
  </r>
  <r>
    <n v="1450"/>
    <m/>
    <s v="ü"/>
    <d v="2018-08-29T00:00:00"/>
    <n v="12"/>
    <x v="49"/>
    <x v="46"/>
    <s v="Av. &quot;O&quot; Nro. 146-17"/>
    <s v="Cancelación Vigilancia, mes de Agosto 2018"/>
    <s v="Vigilancia"/>
    <m/>
    <s v="01450"/>
    <s v="29 de Agosto de 2018"/>
    <n v="29"/>
    <d v="2018-08-01T00:00:00"/>
    <s v="12,00"/>
    <s v="Doce Bolívares con 00/100"/>
  </r>
  <r>
    <n v="1451"/>
    <m/>
    <s v="ü"/>
    <d v="2018-09-25T00:00:00"/>
    <n v="320"/>
    <x v="49"/>
    <x v="46"/>
    <s v="Av. &quot;O&quot; Nro. 146-17"/>
    <s v="Cancelación Vigilancia, mes de Septiembre 2018"/>
    <s v="Vigilancia"/>
    <m/>
    <s v="01451"/>
    <s v="25 de Septiembre de 2018"/>
    <n v="25"/>
    <d v="2018-09-01T00:00:00"/>
    <s v="320,00"/>
    <s v="Trescientos Veinte Bolívares con 00/100"/>
  </r>
  <r>
    <n v="1452"/>
    <m/>
    <s v="ü"/>
    <d v="2018-09-25T00:00:00"/>
    <n v="320"/>
    <x v="28"/>
    <x v="77"/>
    <s v="Calle Güigüe Nro. 88-30"/>
    <s v="Cancelación Vigilancia, mes de Septiembre 2018"/>
    <s v="Vigilancia"/>
    <m/>
    <s v="01452"/>
    <s v="25 de Septiembre de 2018"/>
    <n v="25"/>
    <d v="2018-09-01T00:00:00"/>
    <s v="320,00"/>
    <s v="Trescientos Veinte Bolívares con 00/100"/>
  </r>
  <r>
    <n v="1453"/>
    <m/>
    <s v="ü"/>
    <d v="2018-09-25T00:00:00"/>
    <n v="320"/>
    <x v="42"/>
    <x v="39"/>
    <s v="Calle Güigüe Nro. 89-79"/>
    <s v="Cancelación Vigilancia, mes de Septiembre 2018 (saldo a favor: Bs. 11,15)"/>
    <s v="Vigilancia"/>
    <m/>
    <s v="01453"/>
    <s v="25 de Septiembre de 2018"/>
    <n v="25"/>
    <d v="2018-09-01T00:00:00"/>
    <s v="320,00"/>
    <s v="Trescientos Veinte Bolívares con 00/100"/>
  </r>
  <r>
    <n v="1454"/>
    <m/>
    <s v="ü"/>
    <d v="2018-09-25T00:00:00"/>
    <n v="320"/>
    <x v="45"/>
    <x v="42"/>
    <s v="Calle Güigüe Nro. 87-A-11"/>
    <s v="Cancelación Vigilancia, mes de Septiembre 2018"/>
    <s v="Vigilancia"/>
    <m/>
    <s v="01454"/>
    <s v="25 de Septiembre de 2018"/>
    <n v="25"/>
    <d v="2018-09-01T00:00:00"/>
    <s v="320,00"/>
    <s v="Trescientos Veinte Bolívares con 00/100"/>
  </r>
  <r>
    <n v="1455"/>
    <m/>
    <s v="ü"/>
    <d v="2018-09-25T00:00:00"/>
    <n v="320"/>
    <x v="58"/>
    <x v="53"/>
    <s v="Calle Güigüe Nro. 88-51"/>
    <s v="Cancelación Vigilancia, mes de Septiembre 2018"/>
    <s v="Vigilancia"/>
    <m/>
    <s v="01455"/>
    <s v="25 de Septiembre de 2018"/>
    <n v="25"/>
    <d v="2018-09-01T00:00:00"/>
    <s v="320,00"/>
    <s v="Trescientos Veinte Bolívares con 00/100"/>
  </r>
  <r>
    <n v="1456"/>
    <m/>
    <s v="ü"/>
    <d v="2018-06-25T00:00:00"/>
    <n v="320"/>
    <x v="48"/>
    <x v="9"/>
    <s v="Calle Güigüe Nro. 88-90"/>
    <s v="Cancelación Vigilancia, mes de Septiembre 2018"/>
    <s v="Vigilancia"/>
    <m/>
    <s v="01456"/>
    <s v="25 de Junio de 2018"/>
    <n v="25"/>
    <d v="2018-06-01T00:00:00"/>
    <s v="320,00"/>
    <s v="Trescientos Veinte Bolívares con 00/100"/>
  </r>
  <r>
    <n v="1457"/>
    <m/>
    <s v="ü"/>
    <d v="2018-09-27T00:00:00"/>
    <n v="320"/>
    <x v="35"/>
    <x v="32"/>
    <s v="Calle Güigüe Nro. 89-80"/>
    <s v="Cancelación Vigilancia, mes de Septiembre 2018"/>
    <s v="Vigilancia"/>
    <m/>
    <s v="01457"/>
    <s v="27 de Septiembre de 2018"/>
    <n v="27"/>
    <d v="2018-09-01T00:00:00"/>
    <s v="320,00"/>
    <s v="Trescientos Veinte Bolívares con 00/100"/>
  </r>
  <r>
    <n v="1458"/>
    <m/>
    <s v="ü"/>
    <d v="2018-09-27T00:00:00"/>
    <n v="320"/>
    <x v="84"/>
    <x v="71"/>
    <s v="Calle Güigüe Nro. 89-54"/>
    <s v="Cancelación Vigilancia, mes de Septiembre 2018"/>
    <s v="Vigilancia"/>
    <m/>
    <s v="01458"/>
    <s v="27 de Septiembre de 2018"/>
    <n v="27"/>
    <d v="2018-09-01T00:00:00"/>
    <s v="320,00"/>
    <s v="Trescientos Veinte Bolívares con 00/100"/>
  </r>
  <r>
    <n v="1459"/>
    <m/>
    <s v="ü"/>
    <d v="2018-09-27T00:00:00"/>
    <n v="320"/>
    <x v="40"/>
    <x v="37"/>
    <s v="Calle Güigüe Nro. 88-101"/>
    <s v="Cancelación Vigilancia, mes de Septiembre 2018"/>
    <s v="Vigilancia"/>
    <m/>
    <s v="01459"/>
    <s v="27 de Septiembre de 2018"/>
    <n v="27"/>
    <d v="2018-09-01T00:00:00"/>
    <s v="320,00"/>
    <s v="Trescientos Veinte Bolívares con 00/100"/>
  </r>
  <r>
    <n v="1460"/>
    <m/>
    <s v="ü"/>
    <d v="2018-09-27T00:00:00"/>
    <n v="320"/>
    <x v="37"/>
    <x v="34"/>
    <s v="Av. &quot;I&quot; Nro. 146-40"/>
    <s v="Cancelación Vigilancia, mes de Septiembre 2018"/>
    <s v="Vigilancia"/>
    <m/>
    <s v="01460"/>
    <s v="27 de Septiembre de 2018"/>
    <n v="27"/>
    <d v="2018-09-01T00:00:00"/>
    <s v="320,00"/>
    <s v="Trescientos Veinte Bolívares con 00/100"/>
  </r>
  <r>
    <n v="1461"/>
    <m/>
    <s v="ü"/>
    <d v="2018-09-29T00:00:00"/>
    <n v="320"/>
    <x v="68"/>
    <x v="60"/>
    <s v="Calle Güigüe Nro. 89-29"/>
    <s v="Cancelación Vigilancia, mes de Septiembre 2018"/>
    <s v="Vigilancia"/>
    <m/>
    <s v="01461"/>
    <s v="29 de Septiembre de 2018"/>
    <n v="29"/>
    <d v="2018-09-01T00:00:00"/>
    <s v="320,00"/>
    <s v="Trescientos Veinte Bolívares con 00/100"/>
  </r>
  <r>
    <n v="1462"/>
    <m/>
    <s v="ü"/>
    <d v="2018-09-30T00:00:00"/>
    <n v="100"/>
    <x v="74"/>
    <x v="64"/>
    <s v="Calle Güigüe Nro. 88-20"/>
    <s v="Colaboración Vigilancia, mes de Septiembre 2018"/>
    <s v="Vigilancia"/>
    <m/>
    <s v="01462"/>
    <s v="30 de Septiembre de 2018"/>
    <n v="30"/>
    <d v="2018-09-01T00:00:00"/>
    <s v="100,00"/>
    <s v="Cien Bolívares con 00/100"/>
  </r>
  <r>
    <n v="1463"/>
    <m/>
    <s v="ü"/>
    <d v="2018-10-02T00:00:00"/>
    <n v="270"/>
    <x v="2"/>
    <x v="83"/>
    <s v="Calle Guacara Nro. 88-19"/>
    <s v="Colaboración Vigilancia, mes de Septiembre 2018"/>
    <s v="Vigilancia"/>
    <m/>
    <s v="01463"/>
    <s v="02 de Octubre de 2018"/>
    <n v="2"/>
    <d v="2018-10-01T00:00:00"/>
    <s v="270,00"/>
    <s v="Doscientos Setenta Bolívares con 00/100"/>
  </r>
  <r>
    <n v="1464"/>
    <m/>
    <s v="ü"/>
    <d v="2018-10-03T00:00:00"/>
    <n v="320"/>
    <x v="7"/>
    <x v="7"/>
    <s v="Calle Guacara Nro. 87-86"/>
    <s v="Cancelación Vigilancia, mes de Octubre 2018"/>
    <s v="Vigilancia"/>
    <m/>
    <s v="01464"/>
    <s v="03 de Octubre de 2018"/>
    <n v="3"/>
    <d v="2018-10-01T00:00:00"/>
    <s v="320,00"/>
    <s v="Trescientos Veinte Bolívares con 00/100"/>
  </r>
  <r>
    <n v="1465"/>
    <m/>
    <s v="ü"/>
    <d v="2018-10-03T00:00:00"/>
    <n v="320"/>
    <x v="27"/>
    <x v="25"/>
    <s v="Calle Güigüe Nro. 89-106"/>
    <s v="Cancelación Vigilancia, mes de Septiembre 2018"/>
    <s v="Vigilancia"/>
    <m/>
    <s v="01465"/>
    <s v="03 de Octubre de 2018"/>
    <n v="3"/>
    <d v="2018-10-01T00:00:00"/>
    <s v="320,00"/>
    <s v="Trescientos Veinte Bolívares con 00/100"/>
  </r>
  <r>
    <n v="1466"/>
    <m/>
    <s v="ü"/>
    <d v="2018-10-03T00:00:00"/>
    <n v="350"/>
    <x v="3"/>
    <x v="3"/>
    <s v="Calle Güigüe Nro. 88-62"/>
    <s v="Cancelación Vigilancia, meses de Agosto y Septiembre, y anticipo mes de Octubre 2018"/>
    <s v="Vigilancia"/>
    <m/>
    <s v="01466"/>
    <s v="03 de Octubre de 2018"/>
    <n v="3"/>
    <d v="2018-10-01T00:00:00"/>
    <s v="350,00"/>
    <s v="Trescientos Cincuenta Bolívares con 00/100"/>
  </r>
  <r>
    <n v="1467"/>
    <m/>
    <s v="ü"/>
    <d v="2018-10-03T00:00:00"/>
    <n v="320"/>
    <x v="69"/>
    <x v="61"/>
    <s v="Calle Güigüe Nro. 89-40"/>
    <s v="Cancelación Vigilancia, mes de Octubre 2018"/>
    <s v="Vigilancia"/>
    <m/>
    <s v="01467"/>
    <s v="03 de Octubre de 2018"/>
    <n v="3"/>
    <d v="2018-10-01T00:00:00"/>
    <s v="320,00"/>
    <s v="Trescientos Veinte Bolívares con 00/100"/>
  </r>
  <r>
    <n v="1468"/>
    <m/>
    <s v="ü"/>
    <d v="2018-10-03T00:00:00"/>
    <n v="320"/>
    <x v="8"/>
    <x v="78"/>
    <s v="Calle Guacara Nro. 90-51"/>
    <s v="Cancelación Vigilancia, mes de Septiembre 2018"/>
    <s v="Vigilancia"/>
    <m/>
    <s v="01468"/>
    <s v="03 de Octubre de 2018"/>
    <n v="3"/>
    <d v="2018-10-01T00:00:00"/>
    <s v="320,00"/>
    <s v="Trescientos Veinte Bolívares con 00/100"/>
  </r>
  <r>
    <n v="1469"/>
    <m/>
    <s v="ü"/>
    <d v="2018-10-02T00:00:00"/>
    <n v="500"/>
    <x v="6"/>
    <x v="6"/>
    <s v="Calle Guacara Nro. 89-60"/>
    <s v="Cancelación Vigilancia, mes de Octubre 2018 más aporte"/>
    <s v="Vigilancia"/>
    <m/>
    <s v="01469"/>
    <s v="02 de Octubre de 2018"/>
    <n v="2"/>
    <d v="2018-10-01T00:00:00"/>
    <s v="500,00"/>
    <s v="Quinientos Bolívares con 00/100"/>
  </r>
  <r>
    <n v="1470"/>
    <m/>
    <s v="ü"/>
    <d v="2018-10-04T00:00:00"/>
    <n v="320"/>
    <x v="81"/>
    <x v="69"/>
    <s v="Calle Güigüe Nro. 89-65"/>
    <s v="Cancelación Vigilancia, mes de Octubre 2018"/>
    <s v="Vigilancia"/>
    <m/>
    <s v="01470"/>
    <s v="04 de Octubre de 2018"/>
    <n v="4"/>
    <d v="2018-10-01T00:00:00"/>
    <s v="320,00"/>
    <s v="Trescientos Veinte Bolívares con 00/100"/>
  </r>
  <r>
    <n v="1471"/>
    <m/>
    <s v="ü"/>
    <d v="2018-10-04T00:00:00"/>
    <n v="10"/>
    <x v="12"/>
    <x v="12"/>
    <s v="Calle Guacara Nro. 89-20"/>
    <s v="Colaboración reparación del portón principal"/>
    <s v="Reparación Portón 2"/>
    <m/>
    <s v="01471"/>
    <s v="04 de Octubre de 2018"/>
    <n v="4"/>
    <d v="2018-10-01T00:00:00"/>
    <s v="10,00"/>
    <s v="Diez Bolívares con 00/100"/>
  </r>
  <r>
    <n v="1472"/>
    <m/>
    <s v="ü"/>
    <d v="2018-10-04T00:00:00"/>
    <n v="320"/>
    <x v="12"/>
    <x v="12"/>
    <s v="Calle Guacara Nro. 89-20"/>
    <s v="Cancelación Vigilancia, mes de Octubre 2018"/>
    <s v="Vigilancia"/>
    <m/>
    <s v="01472"/>
    <s v="04 de Octubre de 2018"/>
    <n v="4"/>
    <d v="2018-10-01T00:00:00"/>
    <s v="320,00"/>
    <s v="Trescientos Veinte Bolívares con 00/100"/>
  </r>
  <r>
    <n v="1473"/>
    <m/>
    <s v="ü"/>
    <d v="2018-10-04T00:00:00"/>
    <n v="50"/>
    <x v="84"/>
    <x v="71"/>
    <s v="Calle Güigüe Nro. 89-54"/>
    <s v="Colaboración reparación del portón principal"/>
    <s v="Reparación Portón 2"/>
    <m/>
    <s v="01473"/>
    <s v="04 de Octubre de 2018"/>
    <n v="4"/>
    <d v="2018-10-01T00:00:00"/>
    <s v="50,00"/>
    <s v="Cincuenta Bolívares con 00/100"/>
  </r>
  <r>
    <n v="1474"/>
    <m/>
    <s v="ü"/>
    <d v="2018-10-04T00:00:00"/>
    <n v="10"/>
    <x v="83"/>
    <x v="70"/>
    <s v="Calle Güigüe Nro. 89-22"/>
    <s v="Colaboración reparación del portón principal"/>
    <s v="Reparación Portón 2"/>
    <m/>
    <s v="01474"/>
    <s v="04 de Octubre de 2018"/>
    <n v="4"/>
    <d v="2018-10-01T00:00:00"/>
    <s v="10,00"/>
    <s v="Diez Bolívares con 00/100"/>
  </r>
  <r>
    <n v="1475"/>
    <m/>
    <s v="ü"/>
    <d v="2018-10-04T00:00:00"/>
    <n v="320"/>
    <x v="1"/>
    <x v="1"/>
    <s v="Calle Güigüe Nro. 88-44"/>
    <s v="Cancelación Vigilancia, mes de Octubre 2018"/>
    <s v="Vigilancia"/>
    <m/>
    <s v="01475"/>
    <s v="04 de Octubre de 2018"/>
    <n v="4"/>
    <d v="2018-10-01T00:00:00"/>
    <s v="320,00"/>
    <s v="Trescientos Veinte Bolívares con 00/100"/>
  </r>
  <r>
    <n v="1476"/>
    <m/>
    <s v="ü"/>
    <d v="2018-10-04T00:00:00"/>
    <n v="10"/>
    <x v="1"/>
    <x v="1"/>
    <s v="Calle Güigüe Nro. 88-44"/>
    <s v="Colaboración reparación del portón principal"/>
    <s v="Reparación Portón 2"/>
    <m/>
    <s v="01476"/>
    <s v="04 de Octubre de 2018"/>
    <n v="4"/>
    <d v="2018-10-01T00:00:00"/>
    <s v="10,00"/>
    <s v="Diez Bolívares con 00/100"/>
  </r>
  <r>
    <n v="1477"/>
    <m/>
    <s v="ü"/>
    <d v="2018-10-04T00:00:00"/>
    <n v="50"/>
    <x v="6"/>
    <x v="6"/>
    <s v="Calle Guacara Nro. 89-60"/>
    <s v="Colaboración reparación del portón principal"/>
    <s v="Reparación Portón 2"/>
    <m/>
    <s v="01477"/>
    <s v="04 de Octubre de 2018"/>
    <n v="4"/>
    <d v="2018-10-01T00:00:00"/>
    <s v="50,00"/>
    <s v="Cincuenta Bolívares con 00/100"/>
  </r>
  <r>
    <n v="1478"/>
    <m/>
    <s v="ü"/>
    <d v="2018-10-05T00:00:00"/>
    <n v="628"/>
    <x v="60"/>
    <x v="54"/>
    <s v="Calle Guacara Nro. 88-51"/>
    <s v="Cancelación Vigilancia, saldo mes de Septiembre y cancelación mes de Octubre 2018"/>
    <s v="Vigilancia"/>
    <m/>
    <s v="01478"/>
    <s v="05 de Octubre de 2018"/>
    <n v="5"/>
    <d v="2018-10-01T00:00:00"/>
    <s v="628,00"/>
    <s v="Seiscientos Veintiocho Bolívares con 00/100"/>
  </r>
  <r>
    <n v="1479"/>
    <m/>
    <s v="ü"/>
    <d v="2018-10-05T00:00:00"/>
    <n v="72"/>
    <x v="60"/>
    <x v="54"/>
    <s v="Calle Guacara Nro. 88-51"/>
    <s v="Colaboración reparación del portón principal"/>
    <s v="Reparación Portón 2"/>
    <m/>
    <s v="01479"/>
    <s v="05 de Octubre de 2018"/>
    <n v="5"/>
    <d v="2018-10-01T00:00:00"/>
    <s v="72,00"/>
    <s v="Setenta y Dos Bolívares con 00/100"/>
  </r>
  <r>
    <n v="1480"/>
    <m/>
    <s v="ü"/>
    <d v="2018-10-05T00:00:00"/>
    <n v="320"/>
    <x v="4"/>
    <x v="4"/>
    <s v="Calle Güigüe Nro. 89-55"/>
    <s v="Cancelación Vigilancia, mes de Octubre 2018"/>
    <s v="Vigilancia"/>
    <m/>
    <s v="01480"/>
    <s v="05 de Octubre de 2018"/>
    <n v="5"/>
    <d v="2018-10-01T00:00:00"/>
    <s v="320,00"/>
    <s v="Trescientos Veinte Bolívares con 00/100"/>
  </r>
  <r>
    <n v="1481"/>
    <m/>
    <s v="ü"/>
    <d v="2018-10-05T00:00:00"/>
    <n v="10"/>
    <x v="4"/>
    <x v="4"/>
    <s v="Calle Güigüe Nro. 89-55"/>
    <s v="Colaboración reparación del portón principal"/>
    <s v="Reparación Portón 2"/>
    <m/>
    <s v="01481"/>
    <s v="05 de Octubre de 2018"/>
    <n v="5"/>
    <d v="2018-10-01T00:00:00"/>
    <s v="10,00"/>
    <s v="Diez Bolívares con 00/100"/>
  </r>
  <r>
    <n v="1482"/>
    <m/>
    <s v="ü"/>
    <d v="2018-10-05T00:00:00"/>
    <n v="10"/>
    <x v="63"/>
    <x v="56"/>
    <s v="Calle Guacara Nro. 88-85"/>
    <s v="Colaboración reparación del portón principal"/>
    <s v="Reparación Portón 2"/>
    <m/>
    <s v="01482"/>
    <s v="05 de Octubre de 2018"/>
    <n v="5"/>
    <d v="2018-10-01T00:00:00"/>
    <s v="10,00"/>
    <s v="Diez Bolívares con 00/100"/>
  </r>
  <r>
    <n v="1483"/>
    <m/>
    <s v="ü"/>
    <d v="2018-10-05T00:00:00"/>
    <n v="270"/>
    <x v="90"/>
    <x v="82"/>
    <s v="Calle Güigüe Nro. 89-04"/>
    <s v="Cancelación Vigilancia, saldo mes de Octubre 2018"/>
    <s v="Vigilancia"/>
    <m/>
    <s v="01483"/>
    <s v="05 de Octubre de 2018"/>
    <n v="5"/>
    <d v="2018-10-01T00:00:00"/>
    <s v="270,00"/>
    <s v="Doscientos Setenta Bolívares con 00/100"/>
  </r>
  <r>
    <n v="1484"/>
    <m/>
    <s v="ü"/>
    <d v="2018-10-05T00:00:00"/>
    <n v="10"/>
    <x v="90"/>
    <x v="82"/>
    <s v="Calle Güigüe Nro. 89-04"/>
    <s v="Colaboración reparación del portón principal"/>
    <s v="Reparación Portón 2"/>
    <m/>
    <s v="01484"/>
    <s v="05 de Octubre de 2018"/>
    <n v="5"/>
    <d v="2018-10-01T00:00:00"/>
    <s v="10,00"/>
    <s v="Diez Bolívares con 00/100"/>
  </r>
  <r>
    <n v="1485"/>
    <m/>
    <s v="ü"/>
    <d v="2018-10-05T00:00:00"/>
    <n v="10"/>
    <x v="19"/>
    <x v="17"/>
    <s v="Calle Guacara Nro. 89-130"/>
    <s v="Colaboración reparación del portón principal"/>
    <s v="Reparación Portón 2"/>
    <m/>
    <s v="01485"/>
    <s v="05 de Octubre de 2018"/>
    <n v="5"/>
    <d v="2018-10-01T00:00:00"/>
    <s v="10,00"/>
    <s v="Diez Bolívares con 00/100"/>
  </r>
  <r>
    <n v="1486"/>
    <m/>
    <s v="ü"/>
    <d v="2018-09-29T00:00:00"/>
    <n v="322"/>
    <x v="34"/>
    <x v="9"/>
    <s v="Av. &quot;O&quot; Nro. 146-11"/>
    <s v="Cancelación Vigilancia, saldo mes de Agosto y cancelación mes de Septiembre 2018"/>
    <s v="Vigilancia"/>
    <m/>
    <s v="01486"/>
    <s v="29 de Septiembre de 2018"/>
    <n v="29"/>
    <d v="2018-09-01T00:00:00"/>
    <s v="322,00"/>
    <s v="Trescientos Veintidos Bolívares con 00/100"/>
  </r>
  <r>
    <n v="1487"/>
    <m/>
    <s v="ü"/>
    <d v="2018-10-05T00:00:00"/>
    <n v="10"/>
    <x v="26"/>
    <x v="24"/>
    <s v="Calle Güigüe Nro. 89-96"/>
    <s v="Colaboración reparación del portón principal"/>
    <s v="Reparación Portón 2"/>
    <m/>
    <s v="01487"/>
    <s v="05 de Octubre de 2018"/>
    <n v="5"/>
    <d v="2018-10-01T00:00:00"/>
    <s v="10,00"/>
    <s v="Diez Bolívares con 00/100"/>
  </r>
  <r>
    <n v="1488"/>
    <m/>
    <s v="ü"/>
    <d v="2018-10-05T00:00:00"/>
    <n v="10"/>
    <x v="38"/>
    <x v="35"/>
    <s v="Calle Guacara Nro. 89-78"/>
    <s v="Colaboración reparación del portón principal"/>
    <s v="Reparación Portón 2"/>
    <m/>
    <s v="01488"/>
    <s v="05 de Octubre de 2018"/>
    <n v="5"/>
    <d v="2018-10-01T00:00:00"/>
    <s v="10,00"/>
    <s v="Diez Bolívares con 00/100"/>
  </r>
  <r>
    <n v="1489"/>
    <m/>
    <s v="ü"/>
    <d v="2018-10-05T00:00:00"/>
    <n v="10"/>
    <x v="94"/>
    <x v="88"/>
    <s v="Av. &quot;M&quot; Nro. 146-25"/>
    <s v="Colaboración reparación del portón principal"/>
    <s v="Reparación Portón 2"/>
    <m/>
    <s v="01489"/>
    <s v="05 de Octubre de 2018"/>
    <n v="5"/>
    <d v="2018-10-01T00:00:00"/>
    <s v="10,00"/>
    <s v="Diez Bolívares con 00/100"/>
  </r>
  <r>
    <n v="1490"/>
    <m/>
    <s v="ü"/>
    <d v="2018-10-05T00:00:00"/>
    <n v="10"/>
    <x v="45"/>
    <x v="42"/>
    <s v="Calle Güigüe Nro. 87-A-11"/>
    <s v="Colaboración reparación del portón principal"/>
    <s v="Reparación Portón 2"/>
    <m/>
    <s v="01490"/>
    <s v="05 de Octubre de 2018"/>
    <n v="5"/>
    <d v="2018-10-01T00:00:00"/>
    <s v="10,00"/>
    <s v="Diez Bolívares con 00/100"/>
  </r>
  <r>
    <n v="1491"/>
    <m/>
    <s v="ü"/>
    <d v="2018-10-05T00:00:00"/>
    <n v="15"/>
    <x v="16"/>
    <x v="15"/>
    <s v="Calle Guacara Nro. 90-81"/>
    <s v="Colaboración reparación del portón principal"/>
    <s v="Reparación Portón 2"/>
    <m/>
    <s v="01491"/>
    <s v="05 de Octubre de 2018"/>
    <n v="5"/>
    <d v="2018-10-01T00:00:00"/>
    <s v="15,00"/>
    <s v="Quince Bolívares con 00/100"/>
  </r>
  <r>
    <n v="1492"/>
    <m/>
    <s v="ü"/>
    <d v="2018-10-05T00:00:00"/>
    <n v="10"/>
    <x v="7"/>
    <x v="7"/>
    <s v="Calle Guacara Nro. 87-86"/>
    <s v="Colaboración reparación del portón principal"/>
    <s v="Reparación Portón 2"/>
    <m/>
    <s v="01492"/>
    <s v="05 de Octubre de 2018"/>
    <n v="5"/>
    <d v="2018-10-01T00:00:00"/>
    <s v="10,00"/>
    <s v="Diez Bolívares con 00/100"/>
  </r>
  <r>
    <n v="1493"/>
    <m/>
    <s v="ü"/>
    <d v="2018-10-05T00:00:00"/>
    <n v="10"/>
    <x v="40"/>
    <x v="37"/>
    <s v="Calle Güigüe Nro. 88-101"/>
    <s v="Colaboración reparación del portón principal"/>
    <s v="Reparación Portón 2"/>
    <m/>
    <s v="01493"/>
    <s v="05 de Octubre de 2018"/>
    <n v="5"/>
    <d v="2018-10-01T00:00:00"/>
    <s v="10,00"/>
    <s v="Diez Bolívares con 00/100"/>
  </r>
  <r>
    <n v="1494"/>
    <m/>
    <s v="ü"/>
    <d v="2018-10-06T00:00:00"/>
    <n v="100"/>
    <x v="57"/>
    <x v="9"/>
    <s v="Calle Güigüe Nro. 88-40"/>
    <s v="Colaboración Vigilancia, meses de Julio, Agosto y Septiembre 2018"/>
    <s v="Vigilancia"/>
    <m/>
    <s v="01494"/>
    <s v="06 de Octubre de 2018"/>
    <n v="6"/>
    <d v="2018-10-01T00:00:00"/>
    <s v="100,00"/>
    <s v="Cien Bolívares con 00/100"/>
  </r>
  <r>
    <n v="1495"/>
    <m/>
    <s v="ü"/>
    <d v="2018-10-06T00:00:00"/>
    <n v="10"/>
    <x v="61"/>
    <x v="14"/>
    <s v="Calle Guacara Nro. 87-07"/>
    <s v="Colaboración reparación del portón principal"/>
    <s v="Reparación Portón 2"/>
    <m/>
    <s v="01495"/>
    <s v="06 de Octubre de 2018"/>
    <n v="6"/>
    <d v="2018-10-01T00:00:00"/>
    <s v="10,00"/>
    <s v="Diez Bolívares con 00/100"/>
  </r>
  <r>
    <n v="1496"/>
    <m/>
    <s v="ü"/>
    <d v="2018-10-06T00:00:00"/>
    <n v="320"/>
    <x v="15"/>
    <x v="14"/>
    <s v="Calle Guacara Nro. 89-94"/>
    <s v="Cancelación Vigilancia, mes de Octubre 2018"/>
    <s v="Vigilancia"/>
    <m/>
    <s v="01496"/>
    <s v="06 de Octubre de 2018"/>
    <n v="6"/>
    <d v="2018-10-01T00:00:00"/>
    <s v="320,00"/>
    <s v="Trescientos Veinte Bolívares con 00/100"/>
  </r>
  <r>
    <n v="1497"/>
    <m/>
    <s v="ü"/>
    <d v="2018-10-06T00:00:00"/>
    <n v="10"/>
    <x v="15"/>
    <x v="14"/>
    <s v="Calle Guacara Nro. 89-94"/>
    <s v="Colaboración reparación del portón principal"/>
    <s v="Reparación Portón 2"/>
    <m/>
    <s v="01497"/>
    <s v="06 de Octubre de 2018"/>
    <n v="6"/>
    <d v="2018-10-01T00:00:00"/>
    <s v="10,00"/>
    <s v="Diez Bolívares con 00/100"/>
  </r>
  <r>
    <n v="1498"/>
    <m/>
    <s v="ü"/>
    <d v="2018-10-07T00:00:00"/>
    <n v="320"/>
    <x v="20"/>
    <x v="18"/>
    <s v="Calle Guacara Nro. 89-30"/>
    <s v="Cancelación Vigilancia, mes de Octubre 2018"/>
    <s v="Vigilancia"/>
    <m/>
    <s v="01498"/>
    <s v="07 de Octubre de 2018"/>
    <n v="7"/>
    <d v="2018-10-01T00:00:00"/>
    <s v="320,00"/>
    <s v="Trescientos Veinte Bolívares con 00/100"/>
  </r>
  <r>
    <n v="1499"/>
    <m/>
    <s v="ü"/>
    <d v="2018-10-07T00:00:00"/>
    <n v="10"/>
    <x v="20"/>
    <x v="18"/>
    <s v="Calle Guacara Nro. 89-30"/>
    <s v="Colaboración reparación del portón principal"/>
    <s v="Reparación Portón 2"/>
    <m/>
    <s v="01499"/>
    <s v="07 de Octubre de 2018"/>
    <n v="7"/>
    <d v="2018-10-01T00:00:00"/>
    <s v="10,00"/>
    <s v="Diez Bolívares con 00/100"/>
  </r>
  <r>
    <n v="1500"/>
    <m/>
    <s v="ü"/>
    <d v="2018-10-07T00:00:00"/>
    <n v="320"/>
    <x v="17"/>
    <x v="74"/>
    <s v="Av. &quot;M&quot; Nro. 146-20"/>
    <s v="Cancelación Vigilancia, mes de Octubre 2018"/>
    <s v="Vigilancia"/>
    <m/>
    <s v="01500"/>
    <s v="07 de Octubre de 2018"/>
    <n v="7"/>
    <d v="2018-10-01T00:00:00"/>
    <s v="320,00"/>
    <s v="Trescientos Veinte Bolívares con 00/100"/>
  </r>
  <r>
    <n v="1501"/>
    <m/>
    <s v="ü"/>
    <d v="2018-10-07T00:00:00"/>
    <n v="10"/>
    <x v="17"/>
    <x v="74"/>
    <s v="Av. &quot;M&quot; Nro. 146-20"/>
    <s v="Colaboración reparación del portón principal"/>
    <s v="Reparación Portón 2"/>
    <m/>
    <s v="01501"/>
    <s v="07 de Octubre de 2018"/>
    <n v="7"/>
    <d v="2018-10-01T00:00:00"/>
    <s v="10,00"/>
    <s v="Diez Bolívares con 00/100"/>
  </r>
  <r>
    <n v="1502"/>
    <m/>
    <s v="ü"/>
    <d v="2018-10-07T00:00:00"/>
    <n v="322"/>
    <x v="21"/>
    <x v="19"/>
    <s v="Calle Güigüe Nro. 89-105"/>
    <s v="Cancelación Vigilancia, saldo mes de Agosto y cancelación mes de Septiembre 2018"/>
    <s v="Vigilancia"/>
    <m/>
    <s v="01502"/>
    <s v="07 de Octubre de 2018"/>
    <n v="7"/>
    <d v="2018-10-01T00:00:00"/>
    <s v="322,00"/>
    <s v="Trescientos Veintidos Bolívares con 00/100"/>
  </r>
  <r>
    <n v="1503"/>
    <m/>
    <s v="ü"/>
    <d v="2018-10-07T00:00:00"/>
    <n v="10"/>
    <x v="21"/>
    <x v="19"/>
    <s v="Calle Güigüe Nro. 89-105"/>
    <s v="Colaboración reparación del portón principal"/>
    <s v="Reparación Portón 2"/>
    <m/>
    <s v="01503"/>
    <s v="07 de Octubre de 2018"/>
    <n v="7"/>
    <d v="2018-10-01T00:00:00"/>
    <s v="10,00"/>
    <s v="Diez Bolívares con 00/100"/>
  </r>
  <r>
    <n v="1504"/>
    <m/>
    <s v="ü"/>
    <d v="2018-10-07T00:00:00"/>
    <n v="320"/>
    <x v="21"/>
    <x v="19"/>
    <s v="Calle Guacara Nro. 89-130"/>
    <s v="Cancelación Vigilancia, mes de Octubre 2018"/>
    <s v="Vigilancia"/>
    <m/>
    <s v="01504"/>
    <s v="07 de Octubre de 2018"/>
    <n v="7"/>
    <d v="2018-10-01T00:00:00"/>
    <s v="320,00"/>
    <s v="Trescientos Veinte Bolívares con 00/100"/>
  </r>
  <r>
    <n v="1505"/>
    <m/>
    <s v="ü"/>
    <d v="2018-10-07T00:00:00"/>
    <n v="320"/>
    <x v="76"/>
    <x v="66"/>
    <s v="Calle Güigüe Nro. 89-90"/>
    <s v="Cancelación Vigilancia, mes de Octubre 2018"/>
    <s v="Vigilancia"/>
    <m/>
    <s v="01505"/>
    <s v="07 de Octubre de 2018"/>
    <n v="7"/>
    <d v="2018-10-01T00:00:00"/>
    <s v="320,00"/>
    <s v="Trescientos Veinte Bolívares con 00/100"/>
  </r>
  <r>
    <n v="1506"/>
    <m/>
    <s v="ü"/>
    <d v="2018-10-07T00:00:00"/>
    <n v="30"/>
    <x v="76"/>
    <x v="66"/>
    <s v="Calle Güigüe Nro. 89-90"/>
    <s v="Colaboración reparación del portón principal"/>
    <s v="Reparación Portón 2"/>
    <m/>
    <s v="01506"/>
    <s v="07 de Octubre de 2018"/>
    <n v="7"/>
    <d v="2018-10-01T00:00:00"/>
    <s v="30,00"/>
    <s v="Treinta Bolívares con 00/100"/>
  </r>
  <r>
    <n v="1507"/>
    <m/>
    <s v="ü"/>
    <d v="2018-10-08T00:00:00"/>
    <n v="320"/>
    <x v="24"/>
    <x v="22"/>
    <s v="Calle Güigüe Nro. 88-54"/>
    <s v="Cancelación Vigilancia, mes de Octubre 2018"/>
    <s v="Vigilancia"/>
    <m/>
    <s v="01507"/>
    <s v="08 de Octubre de 2018"/>
    <n v="8"/>
    <d v="2018-10-01T00:00:00"/>
    <s v="320,00"/>
    <s v="Trescientos Veinte Bolívares con 00/100"/>
  </r>
  <r>
    <n v="1508"/>
    <m/>
    <s v="ü"/>
    <d v="2018-10-08T00:00:00"/>
    <n v="10"/>
    <x v="24"/>
    <x v="22"/>
    <s v="Calle Güigüe Nro. 88-54"/>
    <s v="Colaboración reparación del portón principal"/>
    <s v="Reparación Portón 2"/>
    <m/>
    <s v="01508"/>
    <s v="08 de Octubre de 2018"/>
    <n v="8"/>
    <d v="2018-10-01T00:00:00"/>
    <s v="10,00"/>
    <s v="Diez Bolívares con 00/100"/>
  </r>
  <r>
    <n v="1509"/>
    <m/>
    <s v="ü"/>
    <d v="2018-10-08T00:00:00"/>
    <n v="320"/>
    <x v="62"/>
    <x v="55"/>
    <s v="Av. &quot;M&quot; Nro. 145-10"/>
    <s v="Cancelación Vigilancia, mes de Octubre 2018"/>
    <s v="Vigilancia"/>
    <m/>
    <s v="01509"/>
    <s v="08 de Octubre de 2018"/>
    <n v="8"/>
    <d v="2018-10-01T00:00:00"/>
    <s v="320,00"/>
    <s v="Trescientos Veinte Bolívares con 00/100"/>
  </r>
  <r>
    <n v="1510"/>
    <m/>
    <s v="ü"/>
    <d v="2018-10-08T00:00:00"/>
    <n v="10"/>
    <x v="62"/>
    <x v="55"/>
    <s v="Av. &quot;M&quot; Nro. 145-10"/>
    <s v="Colaboración reparación del portón principal"/>
    <s v="Reparación Portón 2"/>
    <m/>
    <s v="01510"/>
    <s v="08 de Octubre de 2018"/>
    <n v="8"/>
    <d v="2018-10-01T00:00:00"/>
    <s v="10,00"/>
    <s v="Diez Bolívares con 00/100"/>
  </r>
  <r>
    <n v="1511"/>
    <m/>
    <s v="ü"/>
    <d v="2018-10-08T00:00:00"/>
    <n v="320"/>
    <x v="46"/>
    <x v="43"/>
    <s v="Av. &quot;I&quot; Nro. 146-20"/>
    <s v="Cancelación Vigilancia, saldo mes de Octubre y anticipo mes de Noviembre 2018"/>
    <s v="Vigilancia"/>
    <m/>
    <s v="01511"/>
    <s v="08 de Octubre de 2018"/>
    <n v="8"/>
    <d v="2018-10-01T00:00:00"/>
    <s v="320,00"/>
    <s v="Trescientos Veinte Bolívares con 00/100"/>
  </r>
  <r>
    <n v="1512"/>
    <m/>
    <s v="ü"/>
    <d v="2018-10-08T00:00:00"/>
    <n v="10"/>
    <x v="46"/>
    <x v="43"/>
    <s v="Av. &quot;I&quot; Nro. 146-20"/>
    <s v="Colaboración reparación del portón principal"/>
    <s v="Reparación Portón 2"/>
    <m/>
    <s v="01512"/>
    <s v="08 de Octubre de 2018"/>
    <n v="8"/>
    <d v="2018-10-01T00:00:00"/>
    <s v="10,00"/>
    <s v="Diez Bolívares con 00/100"/>
  </r>
  <r>
    <n v="1513"/>
    <m/>
    <s v="ü"/>
    <d v="2018-10-08T00:00:00"/>
    <n v="320"/>
    <x v="14"/>
    <x v="13"/>
    <s v="Calle Güigüe Nro. 89-83"/>
    <s v="Cancelación Vigilancia, mes de Octubre 2018"/>
    <s v="Vigilancia"/>
    <m/>
    <s v="01513"/>
    <s v="08 de Octubre de 2018"/>
    <n v="8"/>
    <d v="2018-10-01T00:00:00"/>
    <s v="320,00"/>
    <s v="Trescientos Veinte Bolívares con 00/100"/>
  </r>
  <r>
    <n v="1514"/>
    <m/>
    <s v="ü"/>
    <d v="2018-10-08T00:00:00"/>
    <n v="10"/>
    <x v="14"/>
    <x v="13"/>
    <s v="Calle Güigüe Nro. 89-83"/>
    <s v="Colaboración reparación del portón principal"/>
    <s v="Reparación Portón 2"/>
    <m/>
    <s v="01514"/>
    <s v="08 de Octubre de 2018"/>
    <n v="8"/>
    <d v="2018-10-01T00:00:00"/>
    <s v="10,00"/>
    <s v="Diez Bolívares con 00/100"/>
  </r>
  <r>
    <n v="1515"/>
    <m/>
    <s v="ü"/>
    <d v="2018-10-08T00:00:00"/>
    <n v="320"/>
    <x v="22"/>
    <x v="20"/>
    <s v="Calle Guacara Nro. 88-25"/>
    <s v="Cancelación Vigilancia, mes de Septiembre 2018"/>
    <s v="Vigilancia"/>
    <m/>
    <s v="01515"/>
    <s v="08 de Octubre de 2018"/>
    <n v="8"/>
    <d v="2018-10-01T00:00:00"/>
    <s v="320,00"/>
    <s v="Trescientos Veinte Bolívares con 00/100"/>
  </r>
  <r>
    <n v="1516"/>
    <m/>
    <s v="ü"/>
    <d v="2018-10-08T00:00:00"/>
    <n v="10"/>
    <x v="22"/>
    <x v="20"/>
    <s v="Calle Guacara Nro. 88-25"/>
    <s v="Colaboración reparación del portón principal"/>
    <s v="Reparación Portón 2"/>
    <m/>
    <s v="01516"/>
    <s v="08 de Octubre de 2018"/>
    <n v="8"/>
    <d v="2018-10-01T00:00:00"/>
    <s v="10,00"/>
    <s v="Diez Bolívares con 00/100"/>
  </r>
  <r>
    <n v="1517"/>
    <m/>
    <s v="ü"/>
    <d v="2018-10-09T00:00:00"/>
    <n v="10"/>
    <x v="34"/>
    <x v="9"/>
    <s v="Av. &quot;O&quot; Nro. 146-11"/>
    <s v="Colaboración reparación del portón principal"/>
    <s v="Reparación Portón 2"/>
    <m/>
    <s v="01517"/>
    <s v="09 de Octubre de 2018"/>
    <n v="9"/>
    <d v="2018-10-01T00:00:00"/>
    <s v="10,00"/>
    <s v="Diez Bolívares con 00/100"/>
  </r>
  <r>
    <n v="1518"/>
    <m/>
    <s v="ü"/>
    <d v="2018-10-10T00:00:00"/>
    <n v="320"/>
    <x v="88"/>
    <x v="76"/>
    <s v="Calle Güigüe Nro. 88-11"/>
    <s v="Cancelación Vigilancia, mes de Octubre 2018"/>
    <s v="Vigilancia"/>
    <m/>
    <s v="01518"/>
    <s v="10 de Octubre de 2018"/>
    <n v="10"/>
    <d v="2018-10-01T00:00:00"/>
    <s v="320,00"/>
    <s v="Trescientos Veinte Bolívares con 00/100"/>
  </r>
  <r>
    <n v="1519"/>
    <m/>
    <s v="ü"/>
    <d v="2018-10-11T00:00:00"/>
    <n v="320"/>
    <x v="18"/>
    <x v="16"/>
    <s v="Calle Guacara Nro. 87-100"/>
    <s v="Cancelación Vigilancia, mes de Octubre 2018"/>
    <s v="Vigilancia"/>
    <m/>
    <s v="01519"/>
    <s v="11 de Octubre de 2018"/>
    <n v="11"/>
    <d v="2018-10-01T00:00:00"/>
    <s v="320,00"/>
    <s v="Trescientos Veinte Bolívares con 00/100"/>
  </r>
  <r>
    <n v="1520"/>
    <m/>
    <s v="ü"/>
    <d v="2018-10-11T00:00:00"/>
    <n v="10"/>
    <x v="18"/>
    <x v="16"/>
    <s v="Calle Guacara Nro. 87-100"/>
    <s v="Colaboración reparación del portón principal"/>
    <s v="Reparación Portón 2"/>
    <m/>
    <s v="01520"/>
    <s v="11 de Octubre de 2018"/>
    <n v="11"/>
    <d v="2018-10-01T00:00:00"/>
    <s v="10,00"/>
    <s v="Diez Bolívares con 00/100"/>
  </r>
  <r>
    <n v="1521"/>
    <m/>
    <s v="ü"/>
    <d v="2018-10-09T00:00:00"/>
    <n v="640"/>
    <x v="43"/>
    <x v="40"/>
    <s v="Calle Güigüe Nro. 88-50"/>
    <s v="Cancelación Vigilancia, meses de Septiembre y Octubre 2018"/>
    <s v="Vigilancia"/>
    <m/>
    <s v="01521"/>
    <s v="09 de Octubre de 2018"/>
    <n v="9"/>
    <d v="2018-10-01T00:00:00"/>
    <s v="640,00"/>
    <s v="Seiscientos Cuarenta Bolívares con 00/100"/>
  </r>
  <r>
    <n v="1522"/>
    <m/>
    <s v="ü"/>
    <d v="2018-10-09T00:00:00"/>
    <n v="10"/>
    <x v="43"/>
    <x v="40"/>
    <s v="Calle Güigüe Nro. 88-50"/>
    <s v="Colaboración reparación del portón principal"/>
    <s v="Reparación Portón 2"/>
    <m/>
    <s v="01522"/>
    <s v="09 de Octubre de 2018"/>
    <n v="9"/>
    <d v="2018-10-01T00:00:00"/>
    <s v="10,00"/>
    <s v="Diez Bolívares con 00/100"/>
  </r>
  <r>
    <n v="1523"/>
    <m/>
    <s v="ü"/>
    <d v="2018-10-04T00:00:00"/>
    <n v="10"/>
    <x v="88"/>
    <x v="76"/>
    <s v="Calle Güigüe Nro. 88-11"/>
    <s v="Colaboración reparación del portón principal"/>
    <s v="Reparación Portón 2"/>
    <m/>
    <s v="01523"/>
    <s v="04 de Octubre de 2018"/>
    <n v="4"/>
    <d v="2018-10-01T00:00:00"/>
    <s v="10,00"/>
    <s v="Diez Bolívares con 00/100"/>
  </r>
  <r>
    <n v="1524"/>
    <m/>
    <s v="ü"/>
    <d v="2018-10-11T00:00:00"/>
    <n v="320"/>
    <x v="0"/>
    <x v="0"/>
    <s v="Calle Guacara Nro. 88-45"/>
    <s v="Cancelación Vigilancia, mes de Octubre 2018 (saldo a favor: Bs. 982,95)"/>
    <s v="Vigilancia"/>
    <m/>
    <s v="01524"/>
    <s v="11 de Octubre de 2018"/>
    <n v="11"/>
    <d v="2018-10-01T00:00:00"/>
    <s v="320,00"/>
    <s v="Trescientos Veinte Bolívares con 00/100"/>
  </r>
  <r>
    <n v="1525"/>
    <m/>
    <s v="ü"/>
    <d v="2018-10-08T00:00:00"/>
    <n v="320"/>
    <x v="56"/>
    <x v="52"/>
    <s v="Calle Güigüe Nro. 88-70"/>
    <s v="Cancelación Vigilancia, mes de Septiembre 2018"/>
    <s v="Vigilancia"/>
    <m/>
    <s v="01525"/>
    <s v="08 de Octubre de 2018"/>
    <n v="8"/>
    <d v="2018-10-01T00:00:00"/>
    <s v="320,00"/>
    <s v="Trescientos Veinte Bolívares con 00/100"/>
  </r>
  <r>
    <n v="1526"/>
    <m/>
    <s v="ü"/>
    <d v="2018-10-08T00:00:00"/>
    <n v="10"/>
    <x v="56"/>
    <x v="52"/>
    <s v="Calle Güigüe Nro. 88-70"/>
    <s v="Colaboración reparación del portón principal"/>
    <s v="Reparación Portón 2"/>
    <m/>
    <s v="01526"/>
    <s v="08 de Octubre de 2018"/>
    <n v="8"/>
    <d v="2018-10-01T00:00:00"/>
    <s v="10,00"/>
    <s v="Diez Bolívares con 00/100"/>
  </r>
  <r>
    <n v="1527"/>
    <m/>
    <s v="ü"/>
    <d v="2018-10-12T00:00:00"/>
    <n v="320"/>
    <x v="10"/>
    <x v="10"/>
    <s v="Av. &quot;M&quot; Nro. 146-15"/>
    <s v="Cancelación Vigilancia, mes de Septiembre 2018"/>
    <s v="Vigilancia"/>
    <m/>
    <s v="01527"/>
    <s v="12 de Octubre de 2018"/>
    <n v="12"/>
    <d v="2018-10-01T00:00:00"/>
    <s v="320,00"/>
    <s v="Trescientos Veinte Bolívares con 00/100"/>
  </r>
  <r>
    <n v="1528"/>
    <m/>
    <s v="ü"/>
    <d v="2018-10-12T00:00:00"/>
    <n v="10"/>
    <x v="10"/>
    <x v="10"/>
    <s v="Av. &quot;M&quot; Nro. 146-15"/>
    <s v="Colaboración reparación del portón principal"/>
    <s v="Reparación Portón 2"/>
    <m/>
    <s v="01528"/>
    <s v="12 de Octubre de 2018"/>
    <n v="12"/>
    <d v="2018-10-01T00:00:00"/>
    <s v="10,00"/>
    <s v="Diez Bolívares con 00/100"/>
  </r>
  <r>
    <n v="1529"/>
    <m/>
    <s v="ü"/>
    <d v="2018-10-12T00:00:00"/>
    <n v="320"/>
    <x v="53"/>
    <x v="80"/>
    <s v="Calle Guacara Nro. 88-91"/>
    <s v="Cancelación Vigilancia, mes de Octubre 2018"/>
    <s v="Vigilancia"/>
    <m/>
    <s v="01529"/>
    <s v="12 de Octubre de 2018"/>
    <n v="12"/>
    <d v="2018-10-01T00:00:00"/>
    <s v="320,00"/>
    <s v="Trescientos Veinte Bolívares con 00/100"/>
  </r>
  <r>
    <n v="1530"/>
    <m/>
    <s v="ü"/>
    <d v="2018-10-12T00:00:00"/>
    <n v="10"/>
    <x v="53"/>
    <x v="80"/>
    <s v="Calle Guacara Nro. 88-91"/>
    <s v="Colaboración reparación del portón principal"/>
    <s v="Reparación Portón 2"/>
    <m/>
    <s v="01530"/>
    <s v="12 de Octubre de 2018"/>
    <n v="12"/>
    <d v="2018-10-01T00:00:00"/>
    <s v="10,00"/>
    <s v="Diez Bolívares con 00/100"/>
  </r>
  <r>
    <n v="1531"/>
    <m/>
    <s v="ü"/>
    <d v="2018-10-12T00:00:00"/>
    <n v="320"/>
    <x v="92"/>
    <x v="86"/>
    <s v="Calle Guacara Nro. 88-A-10"/>
    <s v="Cancelación Vigilancia, mes de Octubre 2018"/>
    <s v="Vigilancia"/>
    <m/>
    <s v="01531"/>
    <s v="12 de Octubre de 2018"/>
    <n v="12"/>
    <d v="2018-10-01T00:00:00"/>
    <s v="320,00"/>
    <s v="Trescientos Veinte Bolívares con 00/100"/>
  </r>
  <r>
    <n v="1532"/>
    <m/>
    <s v="ü"/>
    <d v="2018-10-12T00:00:00"/>
    <n v="10"/>
    <x v="92"/>
    <x v="86"/>
    <s v="Calle Guacara Nro. 88-A-10"/>
    <s v="Colaboración reparación del portón principal"/>
    <s v="Reparación Portón 2"/>
    <m/>
    <s v="01532"/>
    <s v="12 de Octubre de 2018"/>
    <n v="12"/>
    <d v="2018-10-01T00:00:00"/>
    <s v="10,00"/>
    <s v="Diez Bolívares con 00/100"/>
  </r>
  <r>
    <n v="1533"/>
    <m/>
    <s v="ü"/>
    <d v="2018-10-12T00:00:00"/>
    <n v="320"/>
    <x v="65"/>
    <x v="58"/>
    <s v="Calle Güigüe Nro. 88-10"/>
    <s v="Cancelación Vigilancia, mes de Octubre 2018"/>
    <s v="Vigilancia"/>
    <m/>
    <s v="01533"/>
    <s v="12 de Octubre de 2018"/>
    <n v="12"/>
    <d v="2018-10-01T00:00:00"/>
    <s v="320,00"/>
    <s v="Trescientos Veinte Bolívares con 00/100"/>
  </r>
  <r>
    <n v="1534"/>
    <m/>
    <s v="ü"/>
    <d v="2018-10-12T00:00:00"/>
    <n v="10"/>
    <x v="65"/>
    <x v="58"/>
    <s v="Calle Güigüe Nro. 88-10"/>
    <s v="Colaboración reparación del portón principal"/>
    <s v="Reparación Portón 2"/>
    <m/>
    <s v="01534"/>
    <s v="12 de Octubre de 2018"/>
    <n v="12"/>
    <d v="2018-10-01T00:00:00"/>
    <s v="10,00"/>
    <s v="Diez Bolívares con 00/100"/>
  </r>
  <r>
    <n v="1535"/>
    <m/>
    <s v="ü"/>
    <d v="2018-10-13T00:00:00"/>
    <n v="320"/>
    <x v="77"/>
    <x v="85"/>
    <s v="Calle Guacara Nro. 88-65"/>
    <s v="Cancelación Vigilancia, mes de Octubre 2018"/>
    <s v="Vigilancia"/>
    <m/>
    <s v="01535"/>
    <s v="13 de Octubre de 2018"/>
    <n v="13"/>
    <d v="2018-10-01T00:00:00"/>
    <s v="320,00"/>
    <s v="Trescientos Veinte Bolívares con 00/100"/>
  </r>
  <r>
    <n v="1536"/>
    <m/>
    <s v="ü"/>
    <d v="2018-10-13T00:00:00"/>
    <n v="10"/>
    <x v="77"/>
    <x v="85"/>
    <s v="Calle Guacara Nro. 88-65"/>
    <s v="Colaboración reparación del portón principal"/>
    <s v="Reparación Portón 2"/>
    <m/>
    <s v="01536"/>
    <s v="13 de Octubre de 2018"/>
    <n v="13"/>
    <d v="2018-10-01T00:00:00"/>
    <s v="10,00"/>
    <s v="Diez Bolívares con 00/100"/>
  </r>
  <r>
    <n v="1537"/>
    <m/>
    <s v="ü"/>
    <d v="2018-10-14T00:00:00"/>
    <n v="960"/>
    <x v="11"/>
    <x v="11"/>
    <s v="Calle Guacara Nro. 89-86"/>
    <s v="Cancelación Vigilancia, mes de Octubre y anticipo meses de Noviembre y Diciembre 2018"/>
    <s v="Vigilancia"/>
    <m/>
    <s v="01537"/>
    <s v="14 de Octubre de 2018"/>
    <n v="14"/>
    <d v="2018-10-01T00:00:00"/>
    <s v="960,00"/>
    <s v="Novecientos Sesenta Bolívares con 00/100"/>
  </r>
  <r>
    <n v="1538"/>
    <m/>
    <s v="ü"/>
    <d v="2018-10-14T00:00:00"/>
    <n v="10"/>
    <x v="11"/>
    <x v="11"/>
    <s v="Calle Guacara Nro. 89-86"/>
    <s v="Colaboración reparación del portón principal"/>
    <s v="Reparación Portón 2"/>
    <m/>
    <s v="01538"/>
    <s v="14 de Octubre de 2018"/>
    <n v="14"/>
    <d v="2018-10-01T00:00:00"/>
    <s v="10,00"/>
    <s v="Diez Bolívares con 00/100"/>
  </r>
  <r>
    <n v="1539"/>
    <m/>
    <s v="ü"/>
    <d v="2018-10-17T00:00:00"/>
    <n v="320"/>
    <x v="23"/>
    <x v="21"/>
    <s v="Calle Güigüe Nro. 88-116"/>
    <s v="Cancelación Vigilancia, mes de Octubre 2018"/>
    <s v="Vigilancia"/>
    <m/>
    <s v="01539"/>
    <s v="17 de Octubre de 2018"/>
    <n v="17"/>
    <d v="2018-10-01T00:00:00"/>
    <s v="320,00"/>
    <s v="Trescientos Veinte Bolívares con 00/100"/>
  </r>
  <r>
    <n v="1540"/>
    <m/>
    <s v="ü"/>
    <d v="2018-10-21T00:00:00"/>
    <n v="360"/>
    <x v="38"/>
    <x v="35"/>
    <s v="Calle Guacara Nro. 89-78"/>
    <s v="Cancelación Vigilancia, mes de Octubre y anticipo mes de Noviembre 2018"/>
    <s v="Vigilancia"/>
    <m/>
    <s v="01540"/>
    <s v="21 de Octubre de 2018"/>
    <n v="21"/>
    <d v="2018-10-01T00:00:00"/>
    <s v="360,00"/>
    <s v="Trescientos Sesenta Bolívares con 00/100"/>
  </r>
  <r>
    <n v="1541"/>
    <m/>
    <s v="ü"/>
    <d v="2018-10-21T00:00:00"/>
    <n v="320"/>
    <x v="58"/>
    <x v="53"/>
    <s v="Calle Güigüe Nro. 88-51"/>
    <s v="Cancelación Vigilancia, mes de Octubre 2018"/>
    <s v="Vigilancia"/>
    <m/>
    <s v="01541"/>
    <s v="21 de Octubre de 2018"/>
    <n v="21"/>
    <d v="2018-10-01T00:00:00"/>
    <s v="320,00"/>
    <s v="Trescientos Veinte Bolívares con 00/100"/>
  </r>
  <r>
    <n v="1542"/>
    <m/>
    <s v="ü"/>
    <d v="2018-10-24T00:00:00"/>
    <n v="320"/>
    <x v="35"/>
    <x v="32"/>
    <s v="Calle Güigüe Nro. 89-80"/>
    <s v="Cancelación Vigilancia, mes de Octubre 2018"/>
    <s v="Vigilancia"/>
    <m/>
    <s v="01542"/>
    <s v="24 de Octubre de 2018"/>
    <n v="24"/>
    <d v="2018-10-01T00:00:00"/>
    <s v="320,00"/>
    <s v="Trescientos Veinte Bolívares con 00/100"/>
  </r>
  <r>
    <n v="1543"/>
    <m/>
    <s v="ü"/>
    <d v="2018-10-24T00:00:00"/>
    <n v="10"/>
    <x v="35"/>
    <x v="32"/>
    <s v="Calle Güigüe Nro. 89-80"/>
    <s v="Colaboración reparación del portón principal"/>
    <s v="Reparación Portón 2"/>
    <m/>
    <s v="01543"/>
    <s v="24 de Octubre de 2018"/>
    <n v="24"/>
    <d v="2018-10-01T00:00:00"/>
    <s v="10,00"/>
    <s v="Diez Bolívares con 00/100"/>
  </r>
  <r>
    <n v="1544"/>
    <m/>
    <s v="ü"/>
    <d v="2018-10-24T00:00:00"/>
    <n v="465"/>
    <x v="73"/>
    <x v="9"/>
    <s v="Calle Güigüe Nros. 88-71 y 88-81"/>
    <s v="Cancelación Vigilancia, mes de Octubre 2018"/>
    <s v="Vigilancia"/>
    <m/>
    <s v="01544"/>
    <s v="24 de Octubre de 2018"/>
    <n v="24"/>
    <d v="2018-10-01T00:00:00"/>
    <s v="465,00"/>
    <s v="Cuatrocientos Sesenta y Cinco Bolívares con 00/100"/>
  </r>
  <r>
    <n v="1545"/>
    <m/>
    <s v="ü"/>
    <d v="2018-10-25T00:00:00"/>
    <n v="320"/>
    <x v="26"/>
    <x v="24"/>
    <s v="Calle Güigüe Nro. 89-96"/>
    <s v="Cancelación Vigilancia, mes de Octubre 2018"/>
    <s v="Vigilancia"/>
    <m/>
    <s v="01545"/>
    <s v="25 de Octubre de 2018"/>
    <n v="25"/>
    <d v="2018-10-01T00:00:00"/>
    <s v="320,00"/>
    <s v="Trescientos Veinte Bolívares con 00/100"/>
  </r>
  <r>
    <n v="1546"/>
    <m/>
    <s v="ü"/>
    <d v="2018-10-25T00:00:00"/>
    <n v="320"/>
    <x v="84"/>
    <x v="71"/>
    <s v="Calle Güigüe Nro. 89-54"/>
    <s v="Cancelación Vigilancia, mes de Octubre 2018"/>
    <s v="Vigilancia"/>
    <m/>
    <s v="01546"/>
    <s v="25 de Octubre de 2018"/>
    <n v="25"/>
    <d v="2018-10-01T00:00:00"/>
    <s v="320,00"/>
    <s v="Trescientos Veinte Bolívares con 00/100"/>
  </r>
  <r>
    <n v="1547"/>
    <m/>
    <s v="ü"/>
    <d v="2018-10-25T00:00:00"/>
    <n v="320"/>
    <x v="19"/>
    <x v="17"/>
    <s v="Calle Guacara Nro. 89-130"/>
    <s v="Cancelación Vigilancia, mes de Octubre 2018"/>
    <s v="Vigilancia"/>
    <m/>
    <s v="01547"/>
    <s v="25 de Octubre de 2018"/>
    <n v="25"/>
    <d v="2018-10-01T00:00:00"/>
    <s v="320,00"/>
    <s v="Trescientos Veinte Bolívares con 00/100"/>
  </r>
  <r>
    <n v="1548"/>
    <m/>
    <s v="ü"/>
    <d v="2018-10-25T00:00:00"/>
    <n v="320"/>
    <x v="45"/>
    <x v="42"/>
    <s v="Calle Güigüe Nro. 87-A-11"/>
    <s v="Cancelación Vigilancia, mes de Octubre 2018"/>
    <s v="Vigilancia"/>
    <m/>
    <s v="01548"/>
    <s v="25 de Octubre de 2018"/>
    <n v="25"/>
    <d v="2018-10-01T00:00:00"/>
    <s v="320,00"/>
    <s v="Trescientos Veinte Bolívares con 00/100"/>
  </r>
  <r>
    <n v="1549"/>
    <m/>
    <s v="ü"/>
    <d v="2018-10-25T00:00:00"/>
    <n v="355"/>
    <x v="9"/>
    <x v="9"/>
    <s v="Av. &quot;M&quot; Nro. 146-30"/>
    <s v="Cancelación Vigilancia, mes de Octubre 2018"/>
    <s v="Vigilancia"/>
    <m/>
    <s v="01549"/>
    <s v="25 de Octubre de 2018"/>
    <n v="25"/>
    <d v="2018-10-01T00:00:00"/>
    <s v="355,00"/>
    <s v="Trescientos Cincuenta y Cinco Bolívares con 00/100"/>
  </r>
  <r>
    <n v="1550"/>
    <m/>
    <s v="ü"/>
    <d v="2018-10-25T00:00:00"/>
    <n v="300"/>
    <x v="71"/>
    <x v="62"/>
    <s v="Calle Güigüe Nro. 89-71"/>
    <s v="Colaboración Vigilancia, mes de Septiembre 2017"/>
    <s v="Vigilancia"/>
    <m/>
    <s v="01550"/>
    <s v="25 de Octubre de 2018"/>
    <n v="25"/>
    <d v="2018-10-01T00:00:00"/>
    <s v="300,00"/>
    <s v="Trescientos Bolívares con 00/100"/>
  </r>
  <r>
    <n v="1551"/>
    <m/>
    <s v="ü"/>
    <d v="2018-10-26T00:00:00"/>
    <n v="320"/>
    <x v="59"/>
    <x v="9"/>
    <s v="Calle Guacara Nro. 90-35"/>
    <s v="Cancelación Vigilancia, mes de Octubre 2018"/>
    <s v="Vigilancia"/>
    <m/>
    <s v="01551"/>
    <s v="26 de Octubre de 2018"/>
    <n v="26"/>
    <d v="2018-10-01T00:00:00"/>
    <s v="320,00"/>
    <s v="Trescientos Veinte Bolívares con 00/100"/>
  </r>
  <r>
    <n v="1552"/>
    <m/>
    <s v="ü"/>
    <d v="2018-10-25T00:00:00"/>
    <n v="250"/>
    <x v="68"/>
    <x v="60"/>
    <s v="Calle Güigüe Nro. 89-29"/>
    <s v="Colaboración Vigilancia, mes de Octubre 2018"/>
    <s v="Vigilancia"/>
    <m/>
    <s v="01552"/>
    <s v="25 de Octubre de 2018"/>
    <n v="25"/>
    <d v="2018-10-01T00:00:00"/>
    <s v="250,00"/>
    <s v="Doscientos Cincuenta Bolívares con 00/100"/>
  </r>
  <r>
    <n v="1553"/>
    <m/>
    <s v="ü"/>
    <d v="2018-10-29T00:00:00"/>
    <n v="320"/>
    <x v="56"/>
    <x v="52"/>
    <s v="Calle Güigüe Nro. 88-70"/>
    <s v="Cancelación Vigilancia, mes de Octubre 2018"/>
    <s v="Vigilancia"/>
    <m/>
    <s v="01553"/>
    <s v="29 de Octubre de 2018"/>
    <n v="29"/>
    <d v="2018-10-01T00:00:00"/>
    <s v="320,00"/>
    <s v="Trescientos Veinte Bolívares con 00/100"/>
  </r>
  <r>
    <n v="1554"/>
    <m/>
    <s v="ü"/>
    <d v="2018-10-30T00:00:00"/>
    <n v="10"/>
    <x v="75"/>
    <x v="65"/>
    <s v="Av. &quot;Ñ&quot; Nro. 145-25"/>
    <s v="Colaboración reparación del portón principal (saldo a favor: Bs. 3.272)"/>
    <s v="Reparación Portón 2"/>
    <m/>
    <s v="01554"/>
    <s v="30 de Octubre de 2018"/>
    <n v="30"/>
    <d v="2018-10-01T00:00:00"/>
    <s v="10,00"/>
    <s v="Diez Bolívares con 00/100"/>
  </r>
  <r>
    <n v="1555"/>
    <m/>
    <s v="ü"/>
    <d v="2018-10-30T00:00:00"/>
    <n v="320"/>
    <x v="25"/>
    <x v="23"/>
    <s v="Calle Güigüe Nro. 88-58"/>
    <s v="Cancelación Vigilancia, mes de Octubre 2018"/>
    <s v="Vigilancia"/>
    <m/>
    <s v="01555"/>
    <s v="30 de Octubre de 2018"/>
    <n v="30"/>
    <d v="2018-10-01T00:00:00"/>
    <s v="320,00"/>
    <s v="Trescientos Veinte Bolívares con 00/100"/>
  </r>
  <r>
    <n v="1556"/>
    <m/>
    <s v="ü"/>
    <d v="2018-10-30T00:00:00"/>
    <n v="640"/>
    <x v="75"/>
    <x v="65"/>
    <s v="Av. &quot;Ñ&quot; Nro. 145-25"/>
    <s v="Cancelación Vigilancia meses de Septiembre y Octubre 2018 (saldo a favor: Bs. 3.272)"/>
    <s v="Vigilancia"/>
    <m/>
    <s v="01556"/>
    <s v="30 de Octubre de 2018"/>
    <n v="30"/>
    <d v="2018-10-01T00:00:00"/>
    <s v="640,00"/>
    <s v="Seiscientos Cuarenta Bolívares con 00/100"/>
  </r>
  <r>
    <n v="1557"/>
    <m/>
    <s v="ü"/>
    <d v="2018-10-30T00:00:00"/>
    <n v="645"/>
    <x v="64"/>
    <x v="57"/>
    <s v="Calle Guacara Nro. 88-35"/>
    <s v="Cancelación Vigilancia, saldo meses de Julio y Agosto, y cancelación meses de Septiembre y Octubre 2018"/>
    <s v="Vigilancia"/>
    <m/>
    <s v="01557"/>
    <s v="30 de Octubre de 2018"/>
    <n v="30"/>
    <d v="2018-10-01T00:00:00"/>
    <s v="645,00"/>
    <s v="Seiscientos Cuarenta y Cinco Bolívares con 00/100"/>
  </r>
  <r>
    <n v="1558"/>
    <m/>
    <s v="ü"/>
    <d v="2018-10-30T00:00:00"/>
    <n v="320"/>
    <x v="95"/>
    <x v="89"/>
    <s v="Calle Güigüe Nro. 89-120"/>
    <s v="Cancelación Vigilancia, mes de Octubre 2018"/>
    <s v="Vigilancia"/>
    <m/>
    <s v="01558"/>
    <s v="30 de Octubre de 2018"/>
    <n v="30"/>
    <d v="2018-10-01T00:00:00"/>
    <s v="320,00"/>
    <s v="Trescientos Veinte Bolívares con 00/100"/>
  </r>
  <r>
    <n v="1559"/>
    <m/>
    <s v="ü"/>
    <d v="2018-10-30T00:00:00"/>
    <n v="10"/>
    <x v="95"/>
    <x v="89"/>
    <s v="Calle Güigüe Nro. 89-120"/>
    <s v="Colaboración reparación del portón principal (saldo a favor: Bs. 3.272)"/>
    <s v="Reparación Portón 2"/>
    <m/>
    <s v="01559"/>
    <s v="30 de Octubre de 2018"/>
    <n v="30"/>
    <d v="2018-10-01T00:00:00"/>
    <s v="10,00"/>
    <s v="Diez Bolívares con 00/100"/>
  </r>
  <r>
    <n v="1560"/>
    <m/>
    <s v="ü"/>
    <d v="2018-10-23T00:00:00"/>
    <n v="320"/>
    <x v="86"/>
    <x v="73"/>
    <s v="Calle Guacara Nro. 89-50"/>
    <s v="Colaboración Vigilancia, meses de Septiembre y Octubre 2018"/>
    <s v="Vigilancia"/>
    <m/>
    <s v="01560"/>
    <s v="23 de Octubre de 2018"/>
    <n v="23"/>
    <d v="2018-10-01T00:00:00"/>
    <s v="320,00"/>
    <s v="Trescientos Veinte Bolívares con 00/100"/>
  </r>
  <r>
    <n v="1561"/>
    <m/>
    <s v="ü"/>
    <d v="2018-10-30T00:00:00"/>
    <n v="320"/>
    <x v="48"/>
    <x v="9"/>
    <s v="Calle Güigüe Nro. 88-90"/>
    <s v="Cancelación Vigilancia, mes de Octubre 2018"/>
    <s v="Vigilancia"/>
    <m/>
    <s v="01561"/>
    <s v="30 de Octubre de 2018"/>
    <n v="30"/>
    <d v="2018-10-01T00:00:00"/>
    <s v="320,00"/>
    <s v="Trescientos Veinte Bolívares con 00/100"/>
  </r>
  <r>
    <n v="1562"/>
    <m/>
    <s v="ü"/>
    <d v="2018-10-31T00:00:00"/>
    <n v="320"/>
    <x v="40"/>
    <x v="37"/>
    <s v="Calle Güigüe Nro. 88-101"/>
    <s v="Cancelación Vigilancia, mes de Octubre 2018"/>
    <s v="Vigilancia"/>
    <m/>
    <s v="01562"/>
    <s v="31 de Octubre de 2018"/>
    <n v="31"/>
    <d v="2018-10-01T00:00:00"/>
    <s v="320,00"/>
    <s v="Trescientos Veinte Bolívares con 00/100"/>
  </r>
  <r>
    <n v="1563"/>
    <m/>
    <s v="ü"/>
    <d v="2018-11-01T00:00:00"/>
    <n v="320"/>
    <x v="83"/>
    <x v="70"/>
    <s v="Calle Güigüe Nro. 89-22"/>
    <s v="Cancelación Vigilancia, mes de Octubre 2018"/>
    <s v="Vigilancia"/>
    <m/>
    <s v="01563"/>
    <s v="01 de Noviembre de 2018"/>
    <n v="1"/>
    <d v="2018-11-01T00:00:00"/>
    <s v="320,00"/>
    <s v="Trescientos Veinte Bolívares con 00/100"/>
  </r>
  <r>
    <n v="1564"/>
    <m/>
    <s v="ü"/>
    <d v="2018-11-01T00:00:00"/>
    <n v="640"/>
    <x v="93"/>
    <x v="87"/>
    <s v="Calle Güigüe Nro. 89-89"/>
    <s v="Cancelación Vigilancia, meses de Octubre y Noviembre 2018"/>
    <s v="Vigilancia"/>
    <m/>
    <s v="01564"/>
    <s v="01 de Noviembre de 2018"/>
    <n v="1"/>
    <d v="2018-11-01T00:00:00"/>
    <s v="640,00"/>
    <s v="Seiscientos Cuarenta Bolívares con 00/100"/>
  </r>
  <r>
    <n v="1565"/>
    <m/>
    <s v="ü"/>
    <d v="2018-10-31T00:00:00"/>
    <n v="320"/>
    <x v="54"/>
    <x v="50"/>
    <s v="Calle Güigüe Nro. 89-21"/>
    <s v="Cancelación Vigilancia, mes de Septiembre 2018"/>
    <s v="Vigilancia"/>
    <m/>
    <s v="01565"/>
    <s v="31 de Octubre de 2018"/>
    <n v="31"/>
    <d v="2018-10-01T00:00:00"/>
    <s v="320,00"/>
    <s v="Trescientos Veinte Bolívares con 00/100"/>
  </r>
  <r>
    <n v="1566"/>
    <m/>
    <s v="ü"/>
    <d v="2018-10-31T00:00:00"/>
    <n v="10"/>
    <x v="54"/>
    <x v="50"/>
    <s v="Calle Güigüe Nro. 89-21"/>
    <s v="Colaboración reparación del portón principal"/>
    <s v="Reparación Portón 2"/>
    <m/>
    <s v="01566"/>
    <s v="31 de Octubre de 2018"/>
    <n v="31"/>
    <d v="2018-10-01T00:00:00"/>
    <s v="10,00"/>
    <s v="Diez Bolívares con 00/100"/>
  </r>
  <r>
    <n v="1567"/>
    <m/>
    <s v="ü"/>
    <d v="2018-11-01T00:00:00"/>
    <n v="960"/>
    <x v="27"/>
    <x v="25"/>
    <s v="Calle Güigüe Nro. 89-106"/>
    <s v="Cancelación Vigilancia, meses de Octubre, Noviembre y Diciembre 2018"/>
    <s v="Vigilancia"/>
    <m/>
    <s v="01567"/>
    <s v="01 de Noviembre de 2018"/>
    <n v="1"/>
    <d v="2018-11-01T00:00:00"/>
    <s v="960,00"/>
    <s v="Novecientos Sesenta Bolívares con 00/100"/>
  </r>
  <r>
    <n v="1568"/>
    <m/>
    <s v="ü"/>
    <d v="2018-11-01T00:00:00"/>
    <n v="100"/>
    <x v="74"/>
    <x v="64"/>
    <s v="Calle Güigüe Nro. 88-20"/>
    <s v="Colaboración Vigilancia, mes de Octubre 2018"/>
    <s v="Vigilancia"/>
    <m/>
    <s v="01568"/>
    <s v="01 de Noviembre de 2018"/>
    <n v="1"/>
    <d v="2018-11-01T00:00:00"/>
    <s v="100,00"/>
    <s v="Cien Bolívares con 00/100"/>
  </r>
  <r>
    <n v="1569"/>
    <m/>
    <s v="ü"/>
    <d v="2018-11-01T00:00:00"/>
    <n v="320"/>
    <x v="14"/>
    <x v="13"/>
    <s v="Calle Güigüe Nro. 89-83"/>
    <s v="Cancelación Vigilancia, mes de Noviembre 2018"/>
    <s v="Vigilancia"/>
    <m/>
    <s v="01569"/>
    <s v="01 de Noviembre de 2018"/>
    <n v="1"/>
    <d v="2018-11-01T00:00:00"/>
    <s v="320,00"/>
    <s v="Trescientos Veinte Bolívares con 00/100"/>
  </r>
  <r>
    <n v="1570"/>
    <m/>
    <s v="ü"/>
    <d v="2018-11-02T00:00:00"/>
    <n v="320"/>
    <x v="81"/>
    <x v="69"/>
    <s v="Calle Güigüe Nro. 89-65"/>
    <s v="Cancelación Vigilancia, mes de Noviembre 2018"/>
    <s v="Vigilancia"/>
    <m/>
    <s v="01570"/>
    <s v="02 de Noviembre de 2018"/>
    <n v="2"/>
    <d v="2018-11-01T00:00:00"/>
    <s v="320,00"/>
    <s v="Trescientos Veinte Bolívares con 00/100"/>
  </r>
  <r>
    <n v="1571"/>
    <m/>
    <s v="ü"/>
    <d v="2018-11-02T00:00:00"/>
    <n v="320"/>
    <x v="84"/>
    <x v="71"/>
    <s v="Calle Güigüe Nro. 89-54"/>
    <s v="Cancelación Vigilancia, mes de Noviembre 2018"/>
    <s v="Vigilancia"/>
    <m/>
    <s v="01571"/>
    <s v="02 de Noviembre de 2018"/>
    <n v="2"/>
    <d v="2018-11-01T00:00:00"/>
    <s v="320,00"/>
    <s v="Trescientos Veinte Bolívares con 00/100"/>
  </r>
  <r>
    <n v="1572"/>
    <m/>
    <s v="ü"/>
    <d v="2018-11-02T00:00:00"/>
    <n v="320"/>
    <x v="24"/>
    <x v="22"/>
    <s v="Calle Güigüe Nro. 88-54"/>
    <s v="Cancelación Vigilancia, mes de Noviembre 2018"/>
    <s v="Vigilancia"/>
    <m/>
    <s v="01572"/>
    <s v="02 de Noviembre de 2018"/>
    <n v="2"/>
    <d v="2018-11-01T00:00:00"/>
    <s v="320,00"/>
    <s v="Trescientos Veinte Bolívares con 00/100"/>
  </r>
  <r>
    <n v="1573"/>
    <m/>
    <s v="ü"/>
    <d v="2018-11-02T00:00:00"/>
    <n v="640"/>
    <x v="61"/>
    <x v="14"/>
    <s v="Calle Guacara Nro. 87-07"/>
    <s v="Cancelación Vigilancia, meses de Octubre y Noviembre 2018"/>
    <s v="Vigilancia"/>
    <m/>
    <s v="01573"/>
    <s v="02 de Noviembre de 2018"/>
    <n v="2"/>
    <d v="2018-11-01T00:00:00"/>
    <s v="640,00"/>
    <s v="Seiscientos Cuarenta Bolívares con 00/100"/>
  </r>
  <r>
    <n v="1574"/>
    <m/>
    <s v="ü"/>
    <d v="2018-11-02T00:00:00"/>
    <n v="320"/>
    <x v="42"/>
    <x v="39"/>
    <s v="Calle Güigüe Nro. 89-79"/>
    <s v="Cancelación Vigilancia, mes de Octubre 2018 (saldo a favor: Bs. 11,15)"/>
    <s v="Vigilancia"/>
    <m/>
    <s v="01574"/>
    <s v="02 de Noviembre de 2018"/>
    <n v="2"/>
    <d v="2018-11-01T00:00:00"/>
    <s v="320,00"/>
    <s v="Trescientos Veinte Bolívares con 00/100"/>
  </r>
  <r>
    <n v="1575"/>
    <m/>
    <s v="ü"/>
    <d v="2018-11-03T00:00:00"/>
    <n v="320"/>
    <x v="5"/>
    <x v="9"/>
    <s v="Calle Güigüe Nro. 88-120"/>
    <s v="Cancelación Vigilancia, mes de Noviembre 2018"/>
    <s v="Vigilancia"/>
    <m/>
    <s v="01575"/>
    <s v="03 de Noviembre de 2018"/>
    <n v="3"/>
    <d v="2018-11-01T00:00:00"/>
    <s v="320,00"/>
    <s v="Trescientos Veinte Bolívares con 00/100"/>
  </r>
  <r>
    <n v="1576"/>
    <m/>
    <s v="ü"/>
    <d v="2018-11-03T00:00:00"/>
    <n v="320"/>
    <x v="7"/>
    <x v="7"/>
    <s v="Calle Guacara Nro. 87-86"/>
    <s v="Cancelación Vigilancia, mes de Noviembre 2018"/>
    <s v="Vigilancia"/>
    <m/>
    <s v="01576"/>
    <s v="03 de Noviembre de 2018"/>
    <n v="3"/>
    <d v="2018-11-01T00:00:00"/>
    <s v="320,00"/>
    <s v="Trescientos Veinte Bolívares con 00/100"/>
  </r>
  <r>
    <n v="1577"/>
    <m/>
    <s v="ü"/>
    <d v="2018-11-04T00:00:00"/>
    <n v="320"/>
    <x v="69"/>
    <x v="61"/>
    <s v="Calle Güigüe Nro. 89-40"/>
    <s v="Cancelación Vigilancia, mes de Noviembre 2018"/>
    <s v="Vigilancia"/>
    <m/>
    <s v="01577"/>
    <s v="04 de Noviembre de 2018"/>
    <n v="4"/>
    <d v="2018-11-01T00:00:00"/>
    <s v="320,00"/>
    <s v="Trescientos Veinte Bolívares con 00/100"/>
  </r>
  <r>
    <n v="1578"/>
    <m/>
    <s v="ü"/>
    <d v="2018-11-04T00:00:00"/>
    <n v="520"/>
    <x v="2"/>
    <x v="83"/>
    <s v="Calle Guacara Nro. 88-19"/>
    <s v="Colaboración Vigilancia, meses de Octubre y Noviembre 2018"/>
    <s v="Vigilancia"/>
    <m/>
    <s v="01578"/>
    <s v="04 de Noviembre de 2018"/>
    <n v="4"/>
    <d v="2018-11-01T00:00:00"/>
    <s v="520,00"/>
    <s v="Quinientos Veinte Bolívares con 00/100"/>
  </r>
  <r>
    <n v="1579"/>
    <m/>
    <s v="ü"/>
    <d v="2018-11-04T00:00:00"/>
    <n v="320"/>
    <x v="22"/>
    <x v="20"/>
    <s v="Calle Guacara Nro. 88-25"/>
    <s v="Cancelación Vigilancia, mes de Octubre 2018"/>
    <s v="Vigilancia"/>
    <m/>
    <s v="01579"/>
    <s v="04 de Noviembre de 2018"/>
    <n v="4"/>
    <d v="2018-11-01T00:00:00"/>
    <s v="320,00"/>
    <s v="Trescientos Veinte Bolívares con 00/100"/>
  </r>
  <r>
    <n v="1580"/>
    <m/>
    <s v="ü"/>
    <d v="2018-11-04T00:00:00"/>
    <n v="320"/>
    <x v="62"/>
    <x v="55"/>
    <s v="Av. &quot;M&quot; Nro. 145-10"/>
    <s v="Cancelación Vigilancia, mes de Noviembre 2018"/>
    <s v="Vigilancia"/>
    <m/>
    <s v="01580"/>
    <s v="04 de Noviembre de 2018"/>
    <n v="4"/>
    <d v="2018-11-01T00:00:00"/>
    <s v="320,00"/>
    <s v="Trescientos Veinte Bolívares con 00/100"/>
  </r>
  <r>
    <n v="1581"/>
    <m/>
    <s v="ü"/>
    <d v="2018-11-05T00:00:00"/>
    <n v="640"/>
    <x v="1"/>
    <x v="1"/>
    <s v="Calle Güigüe Nro. 88-44"/>
    <s v="Cancelación Vigilancia, meses de Noviembre y Diciembre 2018"/>
    <s v="Vigilancia"/>
    <m/>
    <s v="01581"/>
    <s v="05 de Noviembre de 2018"/>
    <n v="5"/>
    <d v="2018-11-01T00:00:00"/>
    <s v="640,00"/>
    <s v="Seiscientos Cuarenta Bolívares con 00/100"/>
  </r>
  <r>
    <n v="1582"/>
    <m/>
    <s v="ü"/>
    <d v="2018-11-05T00:00:00"/>
    <n v="320"/>
    <x v="8"/>
    <x v="78"/>
    <s v="Calle Guacara Nro. 90-51"/>
    <s v="Cancelación Vigilancia, mes de Octubre 2018"/>
    <s v="Vigilancia"/>
    <m/>
    <s v="01582"/>
    <s v="05 de Noviembre de 2018"/>
    <n v="5"/>
    <d v="2018-11-01T00:00:00"/>
    <s v="320,00"/>
    <s v="Trescientos Veinte Bolívares con 00/100"/>
  </r>
  <r>
    <n v="1583"/>
    <m/>
    <s v="ü"/>
    <d v="2018-11-05T00:00:00"/>
    <n v="320"/>
    <x v="90"/>
    <x v="82"/>
    <s v="Calle Güigüe Nro. 89-04"/>
    <s v="Cancelación Vigilancia, mes de Noviembre 2018"/>
    <s v="Vigilancia"/>
    <m/>
    <s v="01583"/>
    <s v="05 de Noviembre de 2018"/>
    <n v="5"/>
    <d v="2018-11-01T00:00:00"/>
    <s v="320,00"/>
    <s v="Trescientos Veinte Bolívares con 00/100"/>
  </r>
  <r>
    <n v="1584"/>
    <m/>
    <s v="ü"/>
    <d v="2018-11-06T00:00:00"/>
    <n v="350"/>
    <x v="63"/>
    <x v="56"/>
    <s v="Calle Guacara Nro. 88-85"/>
    <s v="Cancelación Vigilancia, mes de Octubre 2018"/>
    <s v="Vigilancia"/>
    <m/>
    <s v="01584"/>
    <s v="06 de Noviembre de 2018"/>
    <n v="6"/>
    <d v="2018-11-01T00:00:00"/>
    <s v="350,00"/>
    <s v="Trescientos Cincuenta Bolívares con 00/100"/>
  </r>
  <r>
    <n v="1585"/>
    <m/>
    <s v="ü"/>
    <d v="2018-11-06T00:00:00"/>
    <n v="350"/>
    <x v="20"/>
    <x v="18"/>
    <s v="Calle Guacara Nro. 89-30"/>
    <s v="Cancelación Vigilancia, mes de Noviembre 2018"/>
    <s v="Vigilancia"/>
    <m/>
    <s v="01585"/>
    <s v="06 de Noviembre de 2018"/>
    <n v="6"/>
    <d v="2018-11-01T00:00:00"/>
    <s v="350,00"/>
    <s v="Trescientos Cincuenta Bolívares con 00/100"/>
  </r>
  <r>
    <n v="1586"/>
    <m/>
    <s v="ü"/>
    <d v="2018-11-06T00:00:00"/>
    <n v="320"/>
    <x v="12"/>
    <x v="12"/>
    <s v="Calle Guacara Nro. 89-20"/>
    <s v="Cancelación Vigilancia, mes de Noviembre 2018"/>
    <s v="Vigilancia"/>
    <m/>
    <s v="01586"/>
    <s v="06 de Noviembre de 2018"/>
    <n v="6"/>
    <d v="2018-11-01T00:00:00"/>
    <s v="320,00"/>
    <s v="Trescientos Veinte Bolívares con 00/100"/>
  </r>
  <r>
    <n v="1587"/>
    <m/>
    <s v="ü"/>
    <d v="2018-11-06T00:00:00"/>
    <n v="320"/>
    <x v="26"/>
    <x v="24"/>
    <s v="Calle Güigüe Nro. 89-96"/>
    <s v="Cancelación Vigilancia, mes de Noviembre 2018"/>
    <s v="Vigilancia"/>
    <m/>
    <s v="01587"/>
    <s v="06 de Noviembre de 2018"/>
    <n v="6"/>
    <d v="2018-11-01T00:00:00"/>
    <s v="320,00"/>
    <s v="Trescientos Veinte Bolívares con 00/100"/>
  </r>
  <r>
    <n v="1588"/>
    <m/>
    <s v="ü"/>
    <d v="2018-11-07T00:00:00"/>
    <n v="320"/>
    <x v="95"/>
    <x v="89"/>
    <s v="Calle Güigüe Nro. 89-120"/>
    <s v="Cancelación Vigilancia, mes de Noviembre 2018"/>
    <s v="Vigilancia"/>
    <m/>
    <s v="01588"/>
    <s v="07 de Noviembre de 2018"/>
    <n v="7"/>
    <d v="2018-11-01T00:00:00"/>
    <s v="320,00"/>
    <s v="Trescientos Veinte Bolívares con 00/100"/>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s v="Mil Bolívares con 00/100"/>
  </r>
  <r>
    <n v="1590"/>
    <m/>
    <s v="ü"/>
    <d v="2018-11-08T00:00:00"/>
    <n v="320"/>
    <x v="0"/>
    <x v="0"/>
    <s v="Calle Guacara Nro. 88-45"/>
    <s v="Cancelación Vigilancia, mes de Noviembre 2018 (saldo a favor: Bs. 662,95)"/>
    <s v="Vigilancia"/>
    <m/>
    <s v="01590"/>
    <s v="08 de Noviembre de 2018"/>
    <n v="8"/>
    <d v="2018-11-01T00:00:00"/>
    <s v="320,00"/>
    <s v="Trescientos Veinte Bolívares con 00/100"/>
  </r>
  <r>
    <n v="1591"/>
    <m/>
    <s v="ü"/>
    <d v="2018-11-08T00:00:00"/>
    <n v="320"/>
    <x v="75"/>
    <x v="65"/>
    <s v="Av. &quot;Ñ&quot; Nro. 145-25"/>
    <s v="Cancelación Vigilancia, mes de Noviembre 2018 (saldo a favor: Bs. 2.952,00)"/>
    <s v="Vigilancia"/>
    <m/>
    <s v="01591"/>
    <s v="08 de Noviembre de 2018"/>
    <n v="8"/>
    <d v="2018-11-01T00:00:00"/>
    <s v="320,00"/>
    <s v="Trescientos Veinte Bolívares con 00/100"/>
  </r>
  <r>
    <n v="1592"/>
    <m/>
    <s v="ü"/>
    <d v="2018-11-08T00:00:00"/>
    <n v="500"/>
    <x v="6"/>
    <x v="6"/>
    <s v="Calle Guacara Nro. 89-60"/>
    <s v="Cancelación Vigilancia, mes de Noviembre 2018 más aporte"/>
    <s v="Vigilancia"/>
    <m/>
    <s v="01592"/>
    <s v="08 de Noviembre de 2018"/>
    <n v="8"/>
    <d v="2018-11-01T00:00:00"/>
    <s v="500,00"/>
    <s v="Quinientos Bolívares con 00/100"/>
  </r>
  <r>
    <n v="1593"/>
    <m/>
    <s v="ü"/>
    <d v="2018-11-08T00:00:00"/>
    <n v="640"/>
    <x v="44"/>
    <x v="41"/>
    <s v="Calle Guacara Nro. 89-40"/>
    <s v="Cancelación Vigilancia, meses de Octubre y Noviembre 2018"/>
    <s v="Vigilancia"/>
    <m/>
    <s v="01593"/>
    <s v="08 de Noviembre de 2018"/>
    <n v="8"/>
    <d v="2018-11-01T00:00:00"/>
    <s v="640,00"/>
    <s v="Seiscientos Cuarenta Bolívares con 00/100"/>
  </r>
  <r>
    <n v="1594"/>
    <m/>
    <s v="ü"/>
    <d v="2018-11-09T00:00:00"/>
    <n v="320"/>
    <x v="36"/>
    <x v="33"/>
    <s v="Calle Güigüe Nro. 89-10"/>
    <s v="Cancelación Vigilancia, mes de Octubre 2018"/>
    <s v="Vigilancia"/>
    <m/>
    <s v="01594"/>
    <s v="09 de Noviembre de 2018"/>
    <n v="9"/>
    <d v="2018-11-01T00:00:00"/>
    <s v="320,00"/>
    <s v="Trescientos Veinte Bolívares con 00/100"/>
  </r>
  <r>
    <n v="1595"/>
    <m/>
    <s v="ü"/>
    <d v="2018-11-10T00:00:00"/>
    <n v="320"/>
    <x v="10"/>
    <x v="10"/>
    <s v="Av. &quot;M&quot; Nro. 146-15"/>
    <s v="Cancelación Vigilancia, mes de Octubre 2018"/>
    <s v="Vigilancia"/>
    <m/>
    <s v="01595"/>
    <s v="10 de Noviembre de 2018"/>
    <n v="10"/>
    <d v="2018-11-01T00:00:00"/>
    <s v="320,00"/>
    <s v="Trescientos Veinte Bolívares con 00/100"/>
  </r>
  <r>
    <n v="1596"/>
    <m/>
    <s v="ü"/>
    <d v="2018-11-11T00:00:00"/>
    <n v="1350"/>
    <x v="85"/>
    <x v="72"/>
    <s v="Calle Güigüe Nro. 89-116"/>
    <s v="Colaboración Vigilancia, meses de Diciembre 2017, Enero a Diciembre 2018 y Enero a Junio 2019"/>
    <s v="Vigilancia"/>
    <m/>
    <s v="01596"/>
    <s v="11 de Noviembre de 2018"/>
    <n v="11"/>
    <d v="2018-11-01T00:00:00"/>
    <s v="1.350,00"/>
    <s v="Mil Trescientos Cincuenta Bolívares con 00/100"/>
  </r>
  <r>
    <n v="1597"/>
    <m/>
    <s v="ü"/>
    <d v="2018-11-12T00:00:00"/>
    <n v="320"/>
    <x v="39"/>
    <x v="36"/>
    <s v="Calle Güigüe Nro. 88-111"/>
    <s v="Cancelación Vigilancia, mes de Octubre 2018"/>
    <s v="Vigilancia"/>
    <m/>
    <s v="01597"/>
    <s v="12 de Noviembre de 2018"/>
    <n v="12"/>
    <d v="2018-11-01T00:00:00"/>
    <s v="320,00"/>
    <s v="Trescientos Veinte Bolívares con 00/100"/>
  </r>
  <r>
    <n v="1598"/>
    <m/>
    <s v="ü"/>
    <d v="2018-11-13T00:00:00"/>
    <n v="320"/>
    <x v="17"/>
    <x v="74"/>
    <s v="Av. &quot;M&quot; Nro. 146-20"/>
    <s v="Cancelación Vigilancia, mes de Noviembre 2018"/>
    <s v="Vigilancia"/>
    <m/>
    <s v="01598"/>
    <s v="13 de Noviembre de 2018"/>
    <n v="13"/>
    <d v="2018-11-01T00:00:00"/>
    <s v="320,00"/>
    <s v="Trescientos Veinte Bolívares con 00/100"/>
  </r>
  <r>
    <n v="1599"/>
    <m/>
    <s v="ü"/>
    <d v="2018-11-14T00:00:00"/>
    <n v="320"/>
    <x v="38"/>
    <x v="35"/>
    <s v="Calle Guacara Nro. 89-78"/>
    <s v="Cancelación Vigilancia, saldo mes de Noviembre y anticipo mes de Diciembre 2018"/>
    <s v="Vigilancia"/>
    <m/>
    <s v="01599"/>
    <s v="14 de Noviembre de 2018"/>
    <n v="14"/>
    <d v="2018-11-01T00:00:00"/>
    <s v="320,00"/>
    <s v="Trescientos Veinte Bolívares con 00/100"/>
  </r>
  <r>
    <n v="1600"/>
    <m/>
    <s v="ü"/>
    <d v="2018-10-14T00:00:00"/>
    <n v="320"/>
    <x v="92"/>
    <x v="86"/>
    <s v="Calle Guacara Nro. 88-A-10"/>
    <s v="Cancelación Vigilancia, mes de Noviembre 2018"/>
    <s v="Vigilancia"/>
    <m/>
    <s v="01600"/>
    <s v="14 de Octubre de 2018"/>
    <n v="14"/>
    <d v="2018-10-01T00:00:00"/>
    <s v="320,00"/>
    <s v="Trescientos Veinte Bolívares con 00/100"/>
  </r>
  <r>
    <n v="1601"/>
    <m/>
    <s v="ü"/>
    <d v="2018-10-14T00:00:00"/>
    <n v="320"/>
    <x v="8"/>
    <x v="78"/>
    <s v="Calle Guacara Nro. 90-51"/>
    <s v="Cancelación Vigilancia, mes de Noviembre 2018"/>
    <s v="Vigilancia"/>
    <m/>
    <s v="01601"/>
    <s v="14 de Octubre de 2018"/>
    <n v="14"/>
    <d v="2018-10-01T00:00:00"/>
    <s v="320,00"/>
    <s v="Trescientos Veinte Bolívares con 00/100"/>
  </r>
  <r>
    <n v="1602"/>
    <m/>
    <s v="ü"/>
    <d v="2018-11-15T00:00:00"/>
    <n v="320"/>
    <x v="23"/>
    <x v="21"/>
    <s v="Calle Güigüe Nro. 88-116"/>
    <s v="Cancelación Vigilancia, mes de Noviembre 2018"/>
    <s v="Vigilancia"/>
    <m/>
    <s v="01602"/>
    <s v="15 de Noviembre de 2018"/>
    <n v="15"/>
    <d v="2018-11-01T00:00:00"/>
    <s v="320,00"/>
    <s v="Trescientos Veinte Bolívares con 00/100"/>
  </r>
  <r>
    <n v="1603"/>
    <m/>
    <s v="ü"/>
    <d v="2018-11-17T00:00:00"/>
    <n v="320"/>
    <x v="10"/>
    <x v="10"/>
    <s v="Av. &quot;M&quot; Nro. 146-15"/>
    <s v="Cancelación Vigilancia, mes de Noviembre 2018"/>
    <s v="Vigilancia"/>
    <m/>
    <s v="01603"/>
    <s v="17 de Noviembre de 2018"/>
    <n v="17"/>
    <d v="2018-11-01T00:00:00"/>
    <s v="320,00"/>
    <s v="Trescientos Veinte Bolívares con 00/100"/>
  </r>
  <r>
    <n v="1604"/>
    <m/>
    <s v="ü"/>
    <d v="2018-11-20T00:00:00"/>
    <n v="250"/>
    <x v="3"/>
    <x v="3"/>
    <s v="Calle Güigüe Nro. 88-62"/>
    <s v="Colaboración Vigilancia, mes de Octubre 2018"/>
    <s v="Vigilancia"/>
    <m/>
    <s v="01604"/>
    <s v="20 de Noviembre de 2018"/>
    <n v="20"/>
    <d v="2018-11-01T00:00:00"/>
    <s v="250,00"/>
    <s v="Doscientos Cincuenta Bolívares con 00/100"/>
  </r>
  <r>
    <n v="1605"/>
    <m/>
    <s v="ü"/>
    <d v="2018-11-20T00:00:00"/>
    <n v="320"/>
    <x v="58"/>
    <x v="53"/>
    <s v="Calle Güigüe Nro. 88-51"/>
    <s v="Cancelación Vigilancia, mes de Noviembre 2018"/>
    <s v="Vigilancia"/>
    <m/>
    <s v="01605"/>
    <s v="20 de Noviembre de 2018"/>
    <n v="20"/>
    <d v="2018-11-01T00:00:00"/>
    <s v="320,00"/>
    <s v="Trescientos Veinte Bolívares con 00/100"/>
  </r>
  <r>
    <n v="1606"/>
    <m/>
    <s v="ü"/>
    <d v="2018-11-20T00:00:00"/>
    <n v="320"/>
    <x v="88"/>
    <x v="76"/>
    <s v="Calle Güigüe Nro. 88-11"/>
    <s v="Cancelación Vigilancia, mes de Noviembre 2018"/>
    <s v="Vigilancia"/>
    <m/>
    <s v="01606"/>
    <s v="20 de Noviembre de 2018"/>
    <n v="20"/>
    <d v="2018-11-01T00:00:00"/>
    <s v="320,00"/>
    <s v="Trescientos Veinte Bolívares con 00/100"/>
  </r>
  <r>
    <n v="1607"/>
    <m/>
    <s v="ü"/>
    <d v="2018-11-21T00:00:00"/>
    <n v="200"/>
    <x v="82"/>
    <x v="9"/>
    <s v="Calle Guacara Nro. 90-61"/>
    <s v="Colaboración Vigilancia, meses de Septiembre y Octubre 2018"/>
    <s v="Vigilancia"/>
    <m/>
    <s v="01607"/>
    <s v="21 de Noviembre de 2018"/>
    <n v="21"/>
    <d v="2018-11-01T00:00:00"/>
    <s v="200,00"/>
    <s v="Doscientos Bolívares con 00/100"/>
  </r>
  <r>
    <n v="1608"/>
    <m/>
    <s v="ü"/>
    <d v="2018-11-21T00:00:00"/>
    <n v="320"/>
    <x v="54"/>
    <x v="50"/>
    <s v="Calle Güigüe Nro. 89-21"/>
    <s v="Cancelación Vigilancia, mes de Octubre 2018"/>
    <s v="Vigilancia"/>
    <m/>
    <s v="01608"/>
    <s v="21 de Noviembre de 2018"/>
    <n v="21"/>
    <d v="2018-11-01T00:00:00"/>
    <s v="320,00"/>
    <s v="Trescientos Veinte Bolívares con 00/100"/>
  </r>
  <r>
    <n v="1609"/>
    <m/>
    <s v="ü"/>
    <d v="2018-11-21T00:00:00"/>
    <n v="640"/>
    <x v="60"/>
    <x v="54"/>
    <s v="Calle Guacara Nro. 88-51"/>
    <s v="Cancelación Vigilancia, meses de Noviembre y Diciembre 2018"/>
    <s v="Vigilancia"/>
    <m/>
    <s v="01609"/>
    <s v="21 de Noviembre de 2018"/>
    <n v="21"/>
    <d v="2018-11-01T00:00:00"/>
    <s v="640,00"/>
    <s v="Seiscientos Cuarenta Bolívares con 00/100"/>
  </r>
  <r>
    <n v="1610"/>
    <m/>
    <s v="ü"/>
    <d v="2018-11-22T00:00:00"/>
    <n v="320"/>
    <x v="4"/>
    <x v="4"/>
    <s v="Calle Güigüe Nro. 89-55"/>
    <s v="Cancelación Vigilancia, mes de Noviembre 2018"/>
    <s v="Vigilancia"/>
    <m/>
    <s v="01610"/>
    <s v="22 de Noviembre de 2018"/>
    <n v="22"/>
    <d v="2018-11-01T00:00:00"/>
    <s v="320,00"/>
    <s v="Trescientos Veinte Bolívares con 00/100"/>
  </r>
  <r>
    <n v="1611"/>
    <m/>
    <s v="ü"/>
    <d v="2018-11-10T00:00:00"/>
    <n v="640"/>
    <x v="37"/>
    <x v="34"/>
    <s v="Av. &quot;I&quot; Nro. 146-40"/>
    <s v="Cancelación Vigilancia, meses de Octubre y Noviembre 2018"/>
    <s v="Vigilancia"/>
    <m/>
    <s v="01611"/>
    <s v="10 de Noviembre de 2018"/>
    <n v="10"/>
    <d v="2018-11-01T00:00:00"/>
    <s v="640,00"/>
    <s v="Seiscientos Cuarenta Bolívares con 00/100"/>
  </r>
  <r>
    <n v="1612"/>
    <m/>
    <s v="ü"/>
    <d v="2018-11-22T00:00:00"/>
    <n v="320"/>
    <x v="49"/>
    <x v="46"/>
    <s v="Av. &quot;O&quot; Nro. 146-17"/>
    <s v="Cancelación Vigilancia, mes de Octubre 2018"/>
    <s v="Vigilancia"/>
    <m/>
    <s v="01612"/>
    <s v="22 de Noviembre de 2018"/>
    <n v="22"/>
    <d v="2018-11-01T00:00:00"/>
    <s v="320,00"/>
    <s v="Trescientos Veinte Bolívares con 00/100"/>
  </r>
  <r>
    <n v="1613"/>
    <m/>
    <s v="ü"/>
    <d v="2018-11-23T00:00:00"/>
    <n v="250"/>
    <x v="68"/>
    <x v="60"/>
    <s v="Calle Güigüe Nro. 89-29"/>
    <s v="Colaboración Vigilancia, mes de Noviembre 2018"/>
    <s v="Vigilancia"/>
    <m/>
    <s v="01613"/>
    <s v="23 de Noviembre de 2018"/>
    <n v="23"/>
    <d v="2018-11-01T00:00:00"/>
    <s v="250,00"/>
    <s v="Doscientos Cincuenta Bolívares con 00/100"/>
  </r>
  <r>
    <n v="1614"/>
    <m/>
    <s v="ü"/>
    <d v="2018-11-23T00:00:00"/>
    <n v="620"/>
    <x v="18"/>
    <x v="16"/>
    <s v="Calle Guacara Nro. 87-100"/>
    <s v="Cancelación Vigilancia, mes de Noviembre y anticipo mes de Diciembre 2018"/>
    <s v="Vigilancia"/>
    <m/>
    <s v="01614"/>
    <s v="23 de Noviembre de 2018"/>
    <n v="23"/>
    <d v="2018-11-01T00:00:00"/>
    <s v="620,00"/>
    <s v="Seiscientos Veinte Bolívares con 00/100"/>
  </r>
  <r>
    <n v="1615"/>
    <m/>
    <s v="ü"/>
    <d v="2018-11-20T00:00:00"/>
    <n v="640"/>
    <x v="14"/>
    <x v="13"/>
    <s v="Calle Güigüe Nro. 89-83"/>
    <s v="Cancelación Vigilancia, mes de Diciembre 2018 y Enero 2019"/>
    <s v="Vigilancia"/>
    <m/>
    <s v="01615"/>
    <s v="20 de Noviembre de 2018"/>
    <n v="20"/>
    <d v="2018-11-01T00:00:00"/>
    <s v="640,00"/>
    <s v="Seiscientos Cuarenta Bolívares con 00/100"/>
  </r>
  <r>
    <n v="1616"/>
    <m/>
    <s v="ü"/>
    <d v="2018-11-24T00:00:00"/>
    <n v="320"/>
    <x v="69"/>
    <x v="61"/>
    <s v="Calle Güigüe Nro. 89-40"/>
    <s v="Cancelación Vigilancia, mes de Diciembre 2018"/>
    <s v="Vigilancia"/>
    <m/>
    <s v="01616"/>
    <s v="24 de Noviembre de 2018"/>
    <n v="24"/>
    <d v="2018-11-01T00:00:00"/>
    <s v="320,00"/>
    <s v="Trescientos Veinte Bolívares con 00/100"/>
  </r>
  <r>
    <n v="1617"/>
    <m/>
    <s v="ü"/>
    <d v="2018-11-26T00:00:00"/>
    <n v="320"/>
    <x v="35"/>
    <x v="32"/>
    <s v="Calle Güigüe Nro. 89-80"/>
    <s v="Cancelación Vigilancia, mes de Noviembre 2018"/>
    <s v="Vigilancia"/>
    <m/>
    <s v="01617"/>
    <s v="26 de Noviembre de 2018"/>
    <n v="26"/>
    <d v="2018-11-01T00:00:00"/>
    <s v="320,00"/>
    <s v="Trescientos Veinte Bolívares con 00/100"/>
  </r>
  <r>
    <n v="1618"/>
    <m/>
    <s v="ü"/>
    <d v="2018-11-26T00:00:00"/>
    <n v="320"/>
    <x v="40"/>
    <x v="37"/>
    <s v="Calle Güigüe Nro. 88-101"/>
    <s v="Cancelación Vigilancia, mes de Noviembre 2018"/>
    <s v="Vigilancia"/>
    <m/>
    <s v="01618"/>
    <s v="26 de Noviembre de 2018"/>
    <n v="26"/>
    <d v="2018-11-01T00:00:00"/>
    <s v="320,00"/>
    <s v="Trescientos Veinte Bolívares con 00/100"/>
  </r>
  <r>
    <n v="1619"/>
    <m/>
    <s v="ü"/>
    <d v="2018-11-26T00:00:00"/>
    <n v="350"/>
    <x v="46"/>
    <x v="43"/>
    <s v="Av. &quot;I&quot; Nro. 146-20"/>
    <s v="Cancelación Vigilancia, saldo mes de Noviembre y anticipo mes de Diciembre 2018"/>
    <s v="Vigilancia"/>
    <m/>
    <s v="01619"/>
    <s v="26 de Noviembre de 2018"/>
    <n v="26"/>
    <d v="2018-11-01T00:00:00"/>
    <s v="350,00"/>
    <s v="Trescientos Cincuenta Bolívares con 00/100"/>
  </r>
  <r>
    <n v="1620"/>
    <m/>
    <s v="ü"/>
    <d v="2018-11-26T00:00:00"/>
    <n v="320"/>
    <x v="59"/>
    <x v="9"/>
    <s v="Calle Guacara Nro. 90-35"/>
    <s v="Cancelación Vigilancia, mes de Noviembre 2018"/>
    <s v="Vigilancia"/>
    <m/>
    <s v="01620"/>
    <s v="26 de Noviembre de 2018"/>
    <n v="26"/>
    <d v="2018-11-01T00:00:00"/>
    <s v="320,00"/>
    <s v="Trescientos Veinte Bolívares con 00/100"/>
  </r>
  <r>
    <n v="1621"/>
    <m/>
    <s v="ü"/>
    <d v="2018-11-29T00:00:00"/>
    <n v="330"/>
    <x v="77"/>
    <x v="85"/>
    <s v="Calle Guacara Nro. 88-65"/>
    <s v="Cancelación Vigilancia, mes de Noviembre 2018"/>
    <s v="Vigilancia"/>
    <m/>
    <s v="01621"/>
    <s v="29 de Noviembre de 2018"/>
    <n v="29"/>
    <d v="2018-11-01T00:00:00"/>
    <s v="330,00"/>
    <s v="Trescientos Treinta Bolívares con 00/100"/>
  </r>
  <r>
    <n v="1622"/>
    <m/>
    <s v="ü"/>
    <d v="2018-12-02T00:00:00"/>
    <n v="500"/>
    <x v="84"/>
    <x v="71"/>
    <s v="Calle Güigüe Nro. 89-54"/>
    <s v="Anticipo Vigilancia, mes de Diciembre 2018"/>
    <s v="Vigilancia"/>
    <m/>
    <s v="01622"/>
    <s v="02 de Diciembre de 2018"/>
    <n v="2"/>
    <d v="2018-12-01T00:00:00"/>
    <s v="500,00"/>
    <s v="Quinientos Bolívares con 00/100"/>
  </r>
  <r>
    <n v="1623"/>
    <m/>
    <s v="ü"/>
    <d v="2018-12-02T00:00:00"/>
    <n v="320"/>
    <x v="81"/>
    <x v="69"/>
    <s v="Calle Güigüe Nro. 89-65"/>
    <s v="Anticipo Vigilancia, mes de Diciembre 2018"/>
    <s v="Vigilancia"/>
    <m/>
    <s v="01623"/>
    <s v="02 de Diciembre de 2018"/>
    <n v="2"/>
    <d v="2018-12-01T00:00:00"/>
    <s v="320,00"/>
    <s v="Trescientos Veinte Bolívares con 00/100"/>
  </r>
  <r>
    <n v="1624"/>
    <m/>
    <s v="ü"/>
    <d v="2018-12-03T00:00:00"/>
    <n v="240"/>
    <x v="4"/>
    <x v="4"/>
    <s v="Calle Güigüe Nro. 89-55"/>
    <s v="Anticipo Vigilancia, mes de Diciembre 2018"/>
    <s v="Vigilancia"/>
    <m/>
    <s v="01624"/>
    <s v="03 de Diciembre de 2018"/>
    <n v="3"/>
    <d v="2018-12-01T00:00:00"/>
    <s v="240,00"/>
    <s v="Doscientos Cuarenta Bolívares con 00/100"/>
  </r>
  <r>
    <n v="1625"/>
    <m/>
    <s v="ü"/>
    <d v="2018-12-03T00:00:00"/>
    <n v="320"/>
    <x v="5"/>
    <x v="9"/>
    <s v="Calle Güigüe Nro. 88-120"/>
    <s v="Anticipo Vigilancia, mes de Diciembre 2018"/>
    <s v="Vigilancia"/>
    <m/>
    <s v="01625"/>
    <s v="03 de Diciembre de 2018"/>
    <n v="3"/>
    <d v="2018-12-01T00:00:00"/>
    <s v="320,00"/>
    <s v="Trescientos Veinte Bolívares con 00/100"/>
  </r>
  <r>
    <n v="1626"/>
    <m/>
    <s v="ü"/>
    <d v="2018-12-03T00:00:00"/>
    <n v="800"/>
    <x v="12"/>
    <x v="12"/>
    <s v="Calle Guacara Nro. 89-20"/>
    <s v="Cancelación Vigilancia, mes de Diciembre 2018"/>
    <s v="Vigilancia"/>
    <m/>
    <s v="01626"/>
    <s v="03 de Diciembre de 2018"/>
    <n v="3"/>
    <d v="2018-12-01T00:00:00"/>
    <s v="800,00"/>
    <s v="Ochocientos Bolívares con 00/100"/>
  </r>
  <r>
    <n v="1627"/>
    <m/>
    <s v="ü"/>
    <d v="2018-12-03T00:00:00"/>
    <n v="800"/>
    <x v="76"/>
    <x v="66"/>
    <s v="Calle Güigüe Nro. 89-90"/>
    <s v="Cancelación Vigilancia, mes de Diciembre 2018"/>
    <s v="Vigilancia"/>
    <m/>
    <s v="01627"/>
    <s v="03 de Diciembre de 2018"/>
    <n v="3"/>
    <d v="2018-12-01T00:00:00"/>
    <s v="800,00"/>
    <s v="Ochocientos Bolívares con 00/100"/>
  </r>
  <r>
    <n v="1628"/>
    <m/>
    <s v="ü"/>
    <d v="2018-12-03T00:00:00"/>
    <n v="800"/>
    <x v="16"/>
    <x v="15"/>
    <s v="Calle Guacara Nro. 90-81"/>
    <s v="Cancelación Vigilancia, mes de Diciembre 2018"/>
    <s v="Vigilancia"/>
    <m/>
    <s v="01628"/>
    <s v="03 de Diciembre de 2018"/>
    <n v="3"/>
    <d v="2018-12-01T00:00:00"/>
    <s v="800,00"/>
    <s v="Ochocientos Bolívares con 00/100"/>
  </r>
  <r>
    <n v="1629"/>
    <m/>
    <s v="ü"/>
    <d v="2018-12-04T00:00:00"/>
    <n v="800"/>
    <x v="20"/>
    <x v="18"/>
    <s v="Calle Guacara Nro. 89-30"/>
    <s v="Cancelación Vigilancia, mes de Diciembre 2018"/>
    <s v="Vigilancia"/>
    <m/>
    <s v="01629"/>
    <s v="04 de Diciembre de 2018"/>
    <n v="4"/>
    <d v="2018-12-01T00:00:00"/>
    <s v="800,00"/>
    <s v="Ochocientos Bolívares con 00/100"/>
  </r>
  <r>
    <n v="1630"/>
    <m/>
    <s v="ü"/>
    <d v="2018-12-04T00:00:00"/>
    <n v="320"/>
    <x v="76"/>
    <x v="66"/>
    <s v="Calle Güigüe Nro. 89-90"/>
    <s v="Cancelación Vigilancia, mes de Noviembre 2018"/>
    <s v="Vigilancia"/>
    <m/>
    <s v="01630"/>
    <s v="04 de Diciembre de 2018"/>
    <n v="4"/>
    <d v="2018-12-01T00:00:00"/>
    <s v="320,00"/>
    <s v="Trescientos Veinte Bolívares con 00/100"/>
  </r>
  <r>
    <n v="1631"/>
    <m/>
    <s v="ü"/>
    <d v="2018-12-04T00:00:00"/>
    <n v="1625"/>
    <x v="73"/>
    <x v="9"/>
    <s v="Calle Güigüe Nros. 88-71 y 88-81"/>
    <s v="Cancelación Vigilancia, meses de Noviembre y Diciembre 2018"/>
    <s v="Vigilancia"/>
    <m/>
    <s v="01631"/>
    <s v="04 de Diciembre de 2018"/>
    <n v="4"/>
    <d v="2018-12-01T00:00:00"/>
    <s v="1.625,00"/>
    <s v="Mil Seiscientos Veinticinco Bolívares con 00/100"/>
  </r>
  <r>
    <n v="1632"/>
    <m/>
    <s v="ü"/>
    <d v="2018-12-04T00:00:00"/>
    <n v="320"/>
    <x v="22"/>
    <x v="20"/>
    <s v="Calle Guacara Nro. 88-25"/>
    <s v="Cancelación Vigilancia, mes de Noviembre 2018"/>
    <s v="Vigilancia"/>
    <m/>
    <s v="01632"/>
    <s v="04 de Diciembre de 2018"/>
    <n v="4"/>
    <d v="2018-12-01T00:00:00"/>
    <s v="320,00"/>
    <s v="Trescientos Veinte Bolívares con 00/100"/>
  </r>
  <r>
    <n v="1633"/>
    <m/>
    <s v="ü"/>
    <d v="2018-12-04T00:00:00"/>
    <n v="800"/>
    <x v="7"/>
    <x v="7"/>
    <s v="Calle Guacara Nro. 87-86"/>
    <s v="Cancelación Vigilancia, mes de Diciembre 2018"/>
    <s v="Vigilancia"/>
    <m/>
    <s v="01633"/>
    <s v="04 de Diciembre de 2018"/>
    <n v="4"/>
    <d v="2018-12-01T00:00:00"/>
    <s v="800,00"/>
    <s v="Ochocientos Bolívares con 00/100"/>
  </r>
  <r>
    <n v="1634"/>
    <m/>
    <s v="ü"/>
    <d v="2018-12-05T00:00:00"/>
    <n v="480"/>
    <x v="81"/>
    <x v="69"/>
    <s v="Calle Güigüe Nro. 89-65"/>
    <s v="Cancelación Vigilancia, saldo mes de Diciembre 2018"/>
    <s v="Vigilancia"/>
    <m/>
    <s v="01634"/>
    <s v="05 de Diciembre de 2018"/>
    <n v="5"/>
    <d v="2018-12-01T00:00:00"/>
    <s v="480,00"/>
    <s v="Cuatrocientos Ochenta Bolívares con 00/100"/>
  </r>
  <r>
    <n v="1635"/>
    <m/>
    <s v="ü"/>
    <d v="2018-12-05T00:00:00"/>
    <n v="960"/>
    <x v="14"/>
    <x v="13"/>
    <s v="Calle Güigüe Nro. 89-83"/>
    <s v="Vigilancia: cancelación saldo mes de Diciembre 2018 y mes de Enero 2019"/>
    <s v="Vigilancia"/>
    <m/>
    <s v="01635"/>
    <s v="05 de Diciembre de 2018"/>
    <n v="5"/>
    <d v="2018-12-01T00:00:00"/>
    <s v="960,00"/>
    <s v="Novecientos Sesenta Bolívares con 00/100"/>
  </r>
  <r>
    <n v="1636"/>
    <m/>
    <s v="ü"/>
    <d v="2018-12-05T00:00:00"/>
    <n v="1000"/>
    <x v="6"/>
    <x v="6"/>
    <s v="Calle Guacara Nro. 89-60"/>
    <s v="Cancelación Vigilancia, mes de Diciembre 2018 más aporte"/>
    <s v="Vigilancia"/>
    <m/>
    <s v="01636"/>
    <s v="05 de Diciembre de 2018"/>
    <n v="5"/>
    <d v="2018-12-01T00:00:00"/>
    <s v="1.000,00"/>
    <s v="Mil Bolívares con 00/100"/>
  </r>
  <r>
    <n v="1637"/>
    <m/>
    <s v="ü"/>
    <d v="2018-12-05T00:00:00"/>
    <n v="662.95"/>
    <x v="0"/>
    <x v="0"/>
    <s v="Calle Guacara Nro. 88-45"/>
    <s v="Cancelación Vigilancia, mes de Diciembre 2018 (saldo a favor: Bs. 0,00)"/>
    <s v="Vigilancia"/>
    <m/>
    <s v="01637"/>
    <s v="05 de Diciembre de 2018"/>
    <n v="5"/>
    <d v="2018-12-01T00:00:00"/>
    <s v="662,95"/>
    <s v="Seiscientos Sesenta y Dos Bolívares con 95/100"/>
  </r>
  <r>
    <n v="1638"/>
    <m/>
    <s v="ü"/>
    <d v="2018-12-05T00:00:00"/>
    <n v="800"/>
    <x v="75"/>
    <x v="65"/>
    <s v="Av. &quot;Ñ&quot; Nro. 145-25"/>
    <s v="Cancelación Vigilancia, mes de Diciembre 2018 (saldo a favor: Bs. 2.152,00)"/>
    <s v="Vigilancia"/>
    <m/>
    <s v="01638"/>
    <s v="05 de Diciembre de 2018"/>
    <n v="5"/>
    <d v="2018-12-01T00:00:00"/>
    <s v="800,00"/>
    <s v="Ochocientos Bolívares con 00/100"/>
  </r>
  <r>
    <n v="1639"/>
    <m/>
    <s v="ü"/>
    <d v="2018-11-01T00:00:00"/>
    <n v="320"/>
    <x v="34"/>
    <x v="9"/>
    <s v="Av. &quot;O&quot; Nro. 146-11"/>
    <s v="Cancelación Vigilancia, mes de Octubre 2018"/>
    <s v="Vigilancia"/>
    <m/>
    <s v="01639"/>
    <s v="01 de Noviembre de 2018"/>
    <n v="1"/>
    <d v="2018-11-01T00:00:00"/>
    <s v="320,00"/>
    <s v="Trescientos Veinte Bolívares con 00/100"/>
  </r>
  <r>
    <n v="1640"/>
    <m/>
    <s v="ü"/>
    <d v="2018-11-30T00:00:00"/>
    <n v="320"/>
    <x v="34"/>
    <x v="9"/>
    <s v="Av. &quot;O&quot; Nro. 146-11"/>
    <s v="Cancelación Vigilancia, mes de Noviembre 2018"/>
    <s v="Vigilancia"/>
    <m/>
    <s v="01640"/>
    <s v="30 de Noviembre de 2018"/>
    <n v="30"/>
    <d v="2018-11-01T00:00:00"/>
    <s v="320,00"/>
    <s v="Trescientos Veinte Bolívares con 00/100"/>
  </r>
  <r>
    <n v="1641"/>
    <m/>
    <s v="ü"/>
    <d v="2018-12-05T00:00:00"/>
    <n v="480"/>
    <x v="1"/>
    <x v="1"/>
    <s v="Calle Güigüe Nro. 88-44"/>
    <s v="Cancelación Vigilancia, saldo mes de Diciembre 2018"/>
    <s v="Vigilancia"/>
    <m/>
    <s v="01641"/>
    <s v="05 de Diciembre de 2018"/>
    <n v="5"/>
    <d v="2018-12-01T00:00:00"/>
    <s v="480,00"/>
    <s v="Cuatrocientos Ochenta Bolívares con 00/100"/>
  </r>
  <r>
    <n v="1642"/>
    <m/>
    <s v="ü"/>
    <d v="2018-11-05T00:00:00"/>
    <n v="560"/>
    <x v="4"/>
    <x v="4"/>
    <s v="Calle Güigüe Nro. 89-55"/>
    <s v="Cancelación Vigilancia, saldo mes de Diciembre 2018"/>
    <s v="Vigilancia"/>
    <m/>
    <s v="01642"/>
    <s v="05 de Noviembre de 2018"/>
    <n v="5"/>
    <d v="2018-11-01T00:00:00"/>
    <s v="560,00"/>
    <s v="Quinientos Sesenta Bolívares con 00/100"/>
  </r>
  <r>
    <n v="1643"/>
    <m/>
    <s v="ü"/>
    <d v="2018-12-06T00:00:00"/>
    <n v="800"/>
    <x v="83"/>
    <x v="70"/>
    <s v="Calle Güigüe Nro. 89-22"/>
    <s v="Cancelación Vigilancia, mes de Diciembre 2018"/>
    <s v="Vigilancia"/>
    <m/>
    <s v="01643"/>
    <s v="06 de Diciembre de 2018"/>
    <n v="6"/>
    <d v="2018-12-01T00:00:00"/>
    <s v="800,00"/>
    <s v="Ochocientos Bolívares con 00/100"/>
  </r>
  <r>
    <n v="1644"/>
    <m/>
    <s v="ü"/>
    <d v="2018-12-06T00:00:00"/>
    <n v="800"/>
    <x v="88"/>
    <x v="76"/>
    <s v="Calle Güigüe Nro. 88-11"/>
    <s v="Cancelación Vigilancia, mes de Diciembre 2018"/>
    <s v="Vigilancia"/>
    <m/>
    <s v="01644"/>
    <s v="06 de Diciembre de 2018"/>
    <n v="6"/>
    <d v="2018-12-01T00:00:00"/>
    <s v="800,00"/>
    <s v="Ochocientos Bolívares con 00/100"/>
  </r>
  <r>
    <n v="1645"/>
    <m/>
    <s v="ü"/>
    <d v="2018-12-06T00:00:00"/>
    <n v="800"/>
    <x v="58"/>
    <x v="53"/>
    <s v="Calle Güigüe Nro. 88-51"/>
    <s v="Cancelación Vigilancia, mes de Diciembre 2018"/>
    <s v="Vigilancia"/>
    <m/>
    <s v="01645"/>
    <s v="06 de Diciembre de 2018"/>
    <n v="6"/>
    <d v="2018-12-01T00:00:00"/>
    <s v="800,00"/>
    <s v="Ochocientos Bolívares con 00/100"/>
  </r>
  <r>
    <n v="1646"/>
    <m/>
    <s v="ü"/>
    <d v="2018-12-06T00:00:00"/>
    <n v="800"/>
    <x v="24"/>
    <x v="22"/>
    <s v="Calle Güigüe Nro. 88-54"/>
    <s v="Cancelación Vigilancia, mes de Diciembre 2018"/>
    <s v="Vigilancia"/>
    <m/>
    <s v="01646"/>
    <s v="06 de Diciembre de 2018"/>
    <n v="6"/>
    <d v="2018-12-01T00:00:00"/>
    <s v="800,00"/>
    <s v="Ochocientos Bolívares con 00/100"/>
  </r>
  <r>
    <n v="1647"/>
    <m/>
    <s v="ü"/>
    <d v="2018-12-06T00:00:00"/>
    <n v="320"/>
    <x v="63"/>
    <x v="56"/>
    <s v="Calle Guacara Nro. 88-85"/>
    <s v="Cancelación Vigilancia, mes de Noviembre 2018"/>
    <s v="Vigilancia"/>
    <m/>
    <s v="01647"/>
    <s v="06 de Diciembre de 2018"/>
    <n v="6"/>
    <d v="2018-12-01T00:00:00"/>
    <s v="320,00"/>
    <s v="Trescientos Veinte Bolívares con 00/100"/>
  </r>
  <r>
    <n v="1648"/>
    <m/>
    <s v="ü"/>
    <d v="2018-12-07T00:00:00"/>
    <n v="800"/>
    <x v="8"/>
    <x v="78"/>
    <s v="Calle Guacara Nro. 90-51"/>
    <s v="Cancelación Vigilancia, mes de Diciembre 2018"/>
    <s v="Vigilancia"/>
    <m/>
    <s v="01648"/>
    <s v="07 de Diciembre de 2018"/>
    <n v="7"/>
    <d v="2018-12-01T00:00:00"/>
    <s v="800,00"/>
    <s v="Ochocientos Bolívares con 00/100"/>
  </r>
  <r>
    <n v="1649"/>
    <m/>
    <s v="ü"/>
    <d v="2018-12-08T00:00:00"/>
    <n v="1000"/>
    <x v="16"/>
    <x v="15"/>
    <s v="Calle Guacara Nro. 90-81"/>
    <s v="Vigilancia: saldo mes de Octubre 2018, cancelación Noviembre 2018 y anticipo Enero 2019"/>
    <s v="Vigilancia"/>
    <m/>
    <s v="01649"/>
    <s v="08 de Diciembre de 2018"/>
    <n v="8"/>
    <d v="2018-12-01T00:00:00"/>
    <s v="1.000,00"/>
    <s v="Mil Bolívares con 00/100"/>
  </r>
  <r>
    <n v="1650"/>
    <m/>
    <s v="ü"/>
    <d v="2018-12-08T00:00:00"/>
    <n v="400"/>
    <x v="71"/>
    <x v="62"/>
    <s v="Calle Güigüe Nro. 89-71"/>
    <s v="Colaboración Vigilancia, meses de Octubre y Noviembre 2018"/>
    <s v="Vigilancia"/>
    <m/>
    <s v="01650"/>
    <s v="08 de Diciembre de 2018"/>
    <n v="8"/>
    <d v="2018-12-01T00:00:00"/>
    <s v="400,00"/>
    <s v="Cuatrocientos Bolívares con 00/100"/>
  </r>
  <r>
    <n v="1651"/>
    <m/>
    <s v="ü"/>
    <d v="2018-12-08T00:00:00"/>
    <n v="800"/>
    <x v="77"/>
    <x v="85"/>
    <s v="Calle Guacara Nro. 88-65"/>
    <s v="Cancelación Vigilancia, mes de Diciembre 2018"/>
    <s v="Vigilancia"/>
    <m/>
    <s v="01651"/>
    <s v="08 de Diciembre de 2018"/>
    <n v="8"/>
    <d v="2018-12-01T00:00:00"/>
    <s v="800,00"/>
    <s v="Ochocientos Bolívares con 00/100"/>
  </r>
  <r>
    <n v="1652"/>
    <m/>
    <s v="ü"/>
    <d v="2018-12-08T00:00:00"/>
    <n v="800"/>
    <x v="90"/>
    <x v="82"/>
    <s v="Calle Güigüe Nro. 89-04"/>
    <s v="Cancelación Vigilancia, mes de Diciembre 2018"/>
    <s v="Vigilancia"/>
    <m/>
    <s v="01652"/>
    <s v="08 de Diciembre de 2018"/>
    <n v="8"/>
    <d v="2018-12-01T00:00:00"/>
    <s v="800,00"/>
    <s v="Ochocientos Bolívares con 00/100"/>
  </r>
  <r>
    <n v="1653"/>
    <m/>
    <s v="ü"/>
    <d v="2018-12-09T00:00:00"/>
    <n v="320"/>
    <x v="15"/>
    <x v="14"/>
    <s v="Calle Guacara Nro. 89-94"/>
    <s v="Cancelación Vigilancia, mes de Noviembre 2018"/>
    <s v="Vigilancia"/>
    <m/>
    <s v="01653"/>
    <s v="09 de Diciembre de 2018"/>
    <n v="9"/>
    <d v="2018-12-01T00:00:00"/>
    <s v="320,00"/>
    <s v="Trescientos Veinte Bolívares con 00/100"/>
  </r>
  <r>
    <n v="1654"/>
    <m/>
    <s v="ü"/>
    <d v="2018-12-09T00:00:00"/>
    <n v="800"/>
    <x v="61"/>
    <x v="14"/>
    <s v="Calle Guacara Nro. 87-07"/>
    <s v="Cancelación Vigilancia, mes de Diciembre 2018"/>
    <s v="Vigilancia"/>
    <m/>
    <s v="01654"/>
    <s v="09 de Diciembre de 2018"/>
    <n v="9"/>
    <d v="2018-12-01T00:00:00"/>
    <s v="800,00"/>
    <s v="Ochocientos Bolívares con 00/100"/>
  </r>
  <r>
    <n v="1655"/>
    <m/>
    <s v="ü"/>
    <d v="2018-12-09T00:00:00"/>
    <n v="800"/>
    <x v="63"/>
    <x v="56"/>
    <s v="Calle Guacara Nro. 88-85"/>
    <s v="Cancelación Vigilancia, mes de Diciembre 2018"/>
    <s v="Vigilancia"/>
    <m/>
    <s v="01655"/>
    <s v="09 de Diciembre de 2018"/>
    <n v="9"/>
    <d v="2018-12-01T00:00:00"/>
    <s v="800,00"/>
    <s v="Ochocientos Bolívares con 00/100"/>
  </r>
  <r>
    <n v="1656"/>
    <m/>
    <s v="ü"/>
    <d v="2018-12-09T00:00:00"/>
    <n v="800"/>
    <x v="15"/>
    <x v="14"/>
    <s v="Calle Guacara Nro. 89-94"/>
    <s v="Cancelación Vigilancia, mes de Diciembre 2018"/>
    <s v="Vigilancia"/>
    <m/>
    <s v="01656"/>
    <s v="09 de Diciembre de 2018"/>
    <n v="9"/>
    <d v="2018-12-01T00:00:00"/>
    <s v="800,00"/>
    <s v="Ochocientos Bolívares con 00/100"/>
  </r>
  <r>
    <n v="1657"/>
    <m/>
    <s v="ü"/>
    <d v="2018-10-31T00:00:00"/>
    <n v="320"/>
    <x v="28"/>
    <x v="77"/>
    <s v="Calle Güigüe Nro. 88-30"/>
    <s v="Cancelación Vigilancia, mes de Octubre 2018"/>
    <s v="Vigilancia"/>
    <m/>
    <s v="01657"/>
    <s v="31 de Octubre de 2018"/>
    <n v="31"/>
    <d v="2018-10-01T00:00:00"/>
    <s v="320,00"/>
    <s v="Trescientos Veinte Bolívares con 00/100"/>
  </r>
  <r>
    <n v="1658"/>
    <m/>
    <s v="ü"/>
    <d v="2018-12-07T00:00:00"/>
    <n v="800"/>
    <x v="35"/>
    <x v="32"/>
    <s v="Calle Güigüe Nro. 89-80"/>
    <s v="Cancelación Vigilancia, mes de Diciembre 2018"/>
    <s v="Vigilancia"/>
    <m/>
    <s v="01658"/>
    <s v="07 de Diciembre de 2018"/>
    <n v="7"/>
    <d v="2018-12-01T00:00:00"/>
    <s v="800,00"/>
    <s v="Ochocientos Bolívares con 00/100"/>
  </r>
  <r>
    <n v="1659"/>
    <m/>
    <s v="ü"/>
    <d v="2018-12-10T00:00:00"/>
    <n v="800"/>
    <x v="62"/>
    <x v="55"/>
    <s v="Av. &quot;M&quot; Nro. 145-10"/>
    <s v="Cancelación Vigilancia, mes de Diciembre 2018"/>
    <s v="Vigilancia"/>
    <m/>
    <s v="01659"/>
    <s v="10 de Diciembre de 2018"/>
    <n v="10"/>
    <d v="2018-12-01T00:00:00"/>
    <s v="800,00"/>
    <s v="Ochocientos Bolívares con 00/100"/>
  </r>
  <r>
    <n v="1660"/>
    <m/>
    <s v="ü"/>
    <d v="2018-12-11T00:00:00"/>
    <n v="800"/>
    <x v="44"/>
    <x v="41"/>
    <s v="Calle Guacara Nro. 89-40"/>
    <s v="Cancelación Vigilancia, mes de Diciembre 2018"/>
    <s v="Vigilancia"/>
    <m/>
    <s v="01660"/>
    <s v="11 de Diciembre de 2018"/>
    <n v="11"/>
    <d v="2018-12-01T00:00:00"/>
    <s v="800,00"/>
    <s v="Ochocientos Bolívares con 00/100"/>
  </r>
  <r>
    <n v="1661"/>
    <m/>
    <s v="ü"/>
    <d v="2018-12-11T00:00:00"/>
    <n v="800"/>
    <x v="56"/>
    <x v="52"/>
    <s v="Calle Güigüe Nro. 88-70"/>
    <s v="Cancelación Vigilancia, mes de Diciembre 2018"/>
    <s v="Vigilancia"/>
    <m/>
    <s v="01661"/>
    <s v="11 de Diciembre de 2018"/>
    <n v="11"/>
    <d v="2018-12-01T00:00:00"/>
    <s v="800,00"/>
    <s v="Ochocientos Bolívares con 00/100"/>
  </r>
  <r>
    <n v="1662"/>
    <m/>
    <s v="ü"/>
    <d v="2018-11-19T00:00:00"/>
    <n v="320"/>
    <x v="65"/>
    <x v="58"/>
    <s v="Calle Güigüe Nro. 88-10"/>
    <s v="Cancelación Vigilancia, mes de Noviembre 2018"/>
    <s v="Vigilancia"/>
    <m/>
    <s v="01662"/>
    <s v="19 de Noviembre de 2018"/>
    <n v="19"/>
    <d v="2018-11-01T00:00:00"/>
    <s v="320,00"/>
    <s v="Trescientos Veinte Bolívares con 00/100"/>
  </r>
  <r>
    <n v="1663"/>
    <m/>
    <s v="ü"/>
    <d v="2018-12-13T00:00:00"/>
    <n v="800"/>
    <x v="65"/>
    <x v="58"/>
    <s v="Calle Güigüe Nro. 88-10"/>
    <s v="Cancelación Vigilancia, mes de Diciembre 2018"/>
    <s v="Vigilancia"/>
    <m/>
    <s v="01663"/>
    <s v="13 de Diciembre de 2018"/>
    <n v="13"/>
    <d v="2018-12-01T00:00:00"/>
    <s v="800,00"/>
    <s v="Ochocientos Bolívares con 00/100"/>
  </r>
  <r>
    <n v="1664"/>
    <m/>
    <s v="ü"/>
    <d v="2018-12-13T00:00:00"/>
    <n v="800"/>
    <x v="31"/>
    <x v="29"/>
    <s v="Calle Güigüe Nro. 89-95"/>
    <s v="Cancelación Vigilancia, saldo mes de Diciembre 2018 y anticipo mes de Enero 2019"/>
    <s v="Vigilancia"/>
    <m/>
    <s v="01664"/>
    <s v="13 de Diciembre de 2018"/>
    <n v="13"/>
    <d v="2018-12-01T00:00:00"/>
    <s v="800,00"/>
    <s v="Ochocientos Bolívares con 00/100"/>
  </r>
  <r>
    <n v="1665"/>
    <m/>
    <s v="ü"/>
    <d v="2018-11-11T00:00:00"/>
    <n v="320"/>
    <x v="19"/>
    <x v="17"/>
    <s v="Calle Guacara Nro. 89-130"/>
    <s v="Cancelación Vigilancia, mes de Noviembre 2018"/>
    <s v="Vigilancia"/>
    <m/>
    <s v="01665"/>
    <s v="11 de Noviembre de 2018"/>
    <n v="11"/>
    <d v="2018-11-01T00:00:00"/>
    <s v="320,00"/>
    <s v="Trescientos Veinte Bolívares con 00/100"/>
  </r>
  <r>
    <n v="1666"/>
    <m/>
    <s v="ü"/>
    <d v="2018-12-13T00:00:00"/>
    <n v="1131.1500000000001"/>
    <x v="42"/>
    <x v="39"/>
    <s v="Calle Güigüe Nro. 89-79"/>
    <s v="Cancelación Vigilancia, meses de Noviembre y Diciembre 2018 (saldo a favor: Bs. 11,15)"/>
    <s v="Vigilancia"/>
    <m/>
    <s v="01666"/>
    <s v="13 de Diciembre de 2018"/>
    <n v="13"/>
    <d v="2018-12-01T00:00:00"/>
    <s v="1.131,15"/>
    <s v="Mil Ciento Treinta y Un Bolívares con 15/100"/>
  </r>
  <r>
    <n v="1667"/>
    <m/>
    <s v="ü"/>
    <d v="2018-12-13T00:00:00"/>
    <n v="320"/>
    <x v="54"/>
    <x v="50"/>
    <s v="Calle Güigüe Nro. 89-21"/>
    <s v="Cancelación Vigilancia, mes de Noviembre 2018"/>
    <s v="Vigilancia"/>
    <m/>
    <s v="01667"/>
    <s v="13 de Diciembre de 2018"/>
    <n v="13"/>
    <d v="2018-12-01T00:00:00"/>
    <s v="320,00"/>
    <s v="Trescientos Veinte Bolívares con 00/100"/>
  </r>
  <r>
    <n v="1668"/>
    <m/>
    <s v="ü"/>
    <d v="2018-12-14T00:00:00"/>
    <n v="320"/>
    <x v="83"/>
    <x v="70"/>
    <s v="Calle Güigüe Nro. 89-22"/>
    <s v="Cancelación Vigilancia, mes de Noviembre 2018"/>
    <s v="Vigilancia"/>
    <m/>
    <s v="01668"/>
    <s v="14 de Diciembre de 2018"/>
    <n v="14"/>
    <d v="2018-12-01T00:00:00"/>
    <s v="320,00"/>
    <s v="Trescientos Veinte Bolívares con 00/100"/>
  </r>
  <r>
    <n v="1669"/>
    <m/>
    <s v="ü"/>
    <d v="2018-12-14T00:00:00"/>
    <n v="320"/>
    <x v="48"/>
    <x v="9"/>
    <s v="Calle Güigüe Nro. 88-90"/>
    <s v="Cancelación Vigilancia, mes de Noviembre 2018"/>
    <s v="Vigilancia"/>
    <m/>
    <s v="01669"/>
    <s v="14 de Diciembre de 2018"/>
    <n v="14"/>
    <d v="2018-12-01T00:00:00"/>
    <s v="320,00"/>
    <s v="Trescientos Veinte Bolívares con 00/100"/>
  </r>
  <r>
    <n v="1670"/>
    <m/>
    <s v="ü"/>
    <d v="2018-12-14T00:00:00"/>
    <n v="3000"/>
    <x v="87"/>
    <x v="75"/>
    <s v="Calle Güigüe Nro. 88-06"/>
    <s v="Vigilancia: Cancelación meses de Octubre, Noviembre y Diciembre 2018 y anticipo mes de Enero 2019"/>
    <s v="Vigilancia"/>
    <m/>
    <s v="01670"/>
    <s v="14 de Diciembre de 2018"/>
    <n v="14"/>
    <d v="2018-12-01T00:00:00"/>
    <s v="3.000,00"/>
    <s v="Tres Mil Bolívares con 00/100"/>
  </r>
  <r>
    <n v="1671"/>
    <m/>
    <s v="ü"/>
    <d v="2018-12-14T00:00:00"/>
    <n v="1760"/>
    <x v="70"/>
    <x v="9"/>
    <s v="Calle Guacara Nro. 89-70"/>
    <s v="Cancelación Vigilancia, meses de Septiembre, Octubre, Noviembre y Diciembre 2018"/>
    <s v="Vigilancia"/>
    <m/>
    <s v="01671"/>
    <s v="14 de Diciembre de 2018"/>
    <n v="14"/>
    <d v="2018-12-01T00:00:00"/>
    <s v="1.760,00"/>
    <s v="Mil Setecientos Sesenta Bolívares con 00/100"/>
  </r>
  <r>
    <n v="1672"/>
    <m/>
    <s v="ü"/>
    <d v="2018-12-15T00:00:00"/>
    <n v="800"/>
    <x v="19"/>
    <x v="17"/>
    <s v="Calle Guacara Nro. 89-130"/>
    <s v="Cancelación Vigilancia, mes de Diciembre 2018"/>
    <s v="Vigilancia"/>
    <m/>
    <s v="01672"/>
    <s v="15 de Diciembre de 2018"/>
    <n v="15"/>
    <d v="2018-12-01T00:00:00"/>
    <s v="800,00"/>
    <s v="Ochocientos Bolívares con 00/100"/>
  </r>
  <r>
    <n v="1673"/>
    <m/>
    <s v="ü"/>
    <d v="2018-12-16T00:00:00"/>
    <n v="355"/>
    <x v="9"/>
    <x v="9"/>
    <s v="Av. &quot;M&quot; Nro. 146-30"/>
    <s v="Cancelación Vigilancia, mes de Noviembre 2018"/>
    <s v="Vigilancia"/>
    <m/>
    <s v="01673"/>
    <s v="16 de Diciembre de 2018"/>
    <n v="16"/>
    <d v="2018-12-01T00:00:00"/>
    <s v="355,00"/>
    <s v="Trescientos Cincuenta y Cinco Bolívares con 00/100"/>
  </r>
  <r>
    <n v="1674"/>
    <m/>
    <s v="ü"/>
    <d v="2018-12-16T00:00:00"/>
    <n v="200"/>
    <x v="74"/>
    <x v="64"/>
    <s v="Calle Güigüe Nro. 88-20"/>
    <s v="Colaboración Vigilancia, meses de Noviembre y Diciembre 2018"/>
    <s v="Vigilancia"/>
    <m/>
    <s v="01674"/>
    <s v="16 de Diciembre de 2018"/>
    <n v="16"/>
    <d v="2018-12-01T00:00:00"/>
    <s v="200,00"/>
    <s v="Doscientos Bolívares con 00/100"/>
  </r>
  <r>
    <n v="1675"/>
    <m/>
    <s v="ü"/>
    <d v="2018-12-17T00:00:00"/>
    <n v="1600"/>
    <x v="72"/>
    <x v="63"/>
    <s v="Calle Güigüe Nro. 89-35"/>
    <s v="Cancelación Vigilancia, meses de Octubre, Noviembre y Diciembre 2018, y adelanto mes de Enero 2019"/>
    <s v="Vigilancia"/>
    <m/>
    <s v="01675"/>
    <s v="17 de Diciembre de 2018"/>
    <n v="17"/>
    <d v="2018-12-01T00:00:00"/>
    <s v="1.600,00"/>
    <s v="Mil Seiscientos Bolívares con 00/100"/>
  </r>
  <r>
    <n v="1676"/>
    <m/>
    <s v="ü"/>
    <d v="2018-12-17T00:00:00"/>
    <n v="1120"/>
    <x v="25"/>
    <x v="23"/>
    <s v="Calle Güigüe Nro. 88-58"/>
    <s v="Cancelación Vigilancia, meses de Noviembre y Diciembre 2018"/>
    <s v="Vigilancia"/>
    <m/>
    <s v="01676"/>
    <s v="17 de Diciembre de 2018"/>
    <n v="17"/>
    <d v="2018-12-01T00:00:00"/>
    <s v="1.120,00"/>
    <s v="Mil Ciento Veinte Bolívares con 00/100"/>
  </r>
  <r>
    <n v="1677"/>
    <m/>
    <s v="ü"/>
    <d v="2018-12-17T00:00:00"/>
    <n v="320"/>
    <x v="39"/>
    <x v="36"/>
    <s v="Calle Güigüe Nro. 88-111"/>
    <s v="Cancelación Vigilancia, mes de Noviembre 2018"/>
    <s v="Vigilancia"/>
    <m/>
    <s v="01677"/>
    <s v="17 de Diciembre de 2018"/>
    <n v="17"/>
    <d v="2018-12-01T00:00:00"/>
    <s v="320,00"/>
    <s v="Trescientos Veinte Bolívares con 00/100"/>
  </r>
  <r>
    <n v="1678"/>
    <m/>
    <s v="ü"/>
    <d v="2018-12-18T00:00:00"/>
    <n v="1000"/>
    <x v="92"/>
    <x v="86"/>
    <s v="Calle Guacara Nro. 88-A-10"/>
    <s v="Cancelación Vigilancia, mes de Diciembre 2018"/>
    <s v="Vigilancia"/>
    <m/>
    <s v="01678"/>
    <s v="18 de Diciembre de 2018"/>
    <n v="18"/>
    <d v="2018-12-01T00:00:00"/>
    <s v="1.000,00"/>
    <s v="Mil Bolívares con 00/100"/>
  </r>
  <r>
    <n v="1679"/>
    <m/>
    <s v="ü"/>
    <d v="2018-12-18T00:00:00"/>
    <n v="1950"/>
    <x v="21"/>
    <x v="19"/>
    <s v="Calle Guacara Nro. 89-130"/>
    <s v="Cancelación Vigilancia, meses de Noviembre y Diciembre 2018, y Enero 2019"/>
    <s v="Vigilancia"/>
    <m/>
    <s v="01679"/>
    <s v="18 de Diciembre de 2018"/>
    <n v="18"/>
    <d v="2018-12-01T00:00:00"/>
    <s v="1.950,00"/>
    <s v="Mil Novecientos Cincuenta Bolívares con 00/100"/>
  </r>
  <r>
    <n v="1680"/>
    <m/>
    <s v="ü"/>
    <d v="2018-12-19T00:00:00"/>
    <n v="980"/>
    <x v="5"/>
    <x v="9"/>
    <s v="Calle Güigüe Nro. 88-120"/>
    <s v="Contribución Vigilancia, mes de Diciembre 2018 y cancelación mes de Enero 2019"/>
    <s v="Vigilancia"/>
    <m/>
    <s v="01680"/>
    <s v="19 de Diciembre de 2018"/>
    <n v="19"/>
    <d v="2018-12-01T00:00:00"/>
    <s v="980,00"/>
    <s v="Novecientos Ochenta Bolívares con 00/100"/>
  </r>
  <r>
    <n v="1681"/>
    <m/>
    <s v="ü"/>
    <d v="2018-12-22T00:00:00"/>
    <n v="800"/>
    <x v="36"/>
    <x v="33"/>
    <s v="Calle Güigüe Nro. 89-10"/>
    <s v="Cancelación Vigilancia, mes de Diciembre 2018"/>
    <s v="Vigilancia"/>
    <m/>
    <s v="01681"/>
    <s v="22 de Diciembre de 2018"/>
    <n v="22"/>
    <d v="2018-12-01T00:00:00"/>
    <s v="800,00"/>
    <s v="Ochocientos Bolívares con 00/100"/>
  </r>
  <r>
    <n v="1682"/>
    <m/>
    <s v="ü"/>
    <d v="2018-12-23T00:00:00"/>
    <n v="480"/>
    <x v="27"/>
    <x v="25"/>
    <s v="Calle Güigüe Nro. 89-106"/>
    <s v="Cancelación Vigilancia, saldo mes de Diciembre 2018"/>
    <s v="Vigilancia"/>
    <m/>
    <s v="01682"/>
    <s v="23 de Diciembre de 2018"/>
    <n v="23"/>
    <d v="2018-12-01T00:00:00"/>
    <s v="480,00"/>
    <s v="Cuatrocientos Ochenta Bolívares con 00/100"/>
  </r>
  <r>
    <n v="1683"/>
    <m/>
    <s v="ü"/>
    <d v="2018-12-25T00:00:00"/>
    <n v="1450"/>
    <x v="80"/>
    <x v="9"/>
    <s v="Calle Guacara Nro. 88-55"/>
    <s v="Cancelación Vigilancia, meses de Octubre, Noviembre y Diciembre 2018, y anticipo mes de Enero 2019"/>
    <s v="Vigilancia"/>
    <m/>
    <s v="01683"/>
    <s v="25 de Diciembre de 2018"/>
    <n v="25"/>
    <d v="2018-12-01T00:00:00"/>
    <s v="1.450,00"/>
    <s v="Mil Cuatrocientos Cincuenta Bolívares con 00/100"/>
  </r>
  <r>
    <n v="1684"/>
    <m/>
    <s v="ü"/>
    <d v="2018-12-25T00:00:00"/>
    <n v="500"/>
    <x v="71"/>
    <x v="62"/>
    <s v="Calle Güigüe Nro. 89-71"/>
    <s v="Colaboración Vigilancia, mes de Diciembre 2018"/>
    <s v="Vigilancia"/>
    <m/>
    <s v="01684"/>
    <s v="25 de Diciembre de 2018"/>
    <n v="25"/>
    <d v="2018-12-01T00:00:00"/>
    <s v="500,00"/>
    <s v="Quinientos Bolívares con 00/100"/>
  </r>
  <r>
    <n v="1685"/>
    <m/>
    <s v="ü"/>
    <d v="2018-12-26T00:00:00"/>
    <n v="800"/>
    <x v="9"/>
    <x v="9"/>
    <s v="Av. &quot;M&quot; Nro. 146-30"/>
    <s v="Cancelación Vigilancia, mes de Diciembre 2018"/>
    <s v="Vigilancia"/>
    <m/>
    <s v="01685"/>
    <s v="26 de Diciembre de 2018"/>
    <n v="26"/>
    <d v="2018-12-01T00:00:00"/>
    <s v="800,00"/>
    <s v="Ochocientos Bolívares con 00/100"/>
  </r>
  <r>
    <n v="1686"/>
    <m/>
    <s v="ü"/>
    <d v="2018-12-26T00:00:00"/>
    <n v="1000"/>
    <x v="3"/>
    <x v="3"/>
    <s v="Calle Güigüe Nro. 88-62"/>
    <s v="Colaboración Vigilancia, meses de Noviembre y Diciembre 2018"/>
    <s v="Vigilancia"/>
    <m/>
    <s v="01686"/>
    <s v="26 de Diciembre de 2018"/>
    <n v="26"/>
    <d v="2018-12-01T00:00:00"/>
    <s v="1.000,00"/>
    <s v="Mil Bolívares con 00/100"/>
  </r>
  <r>
    <n v="1687"/>
    <m/>
    <s v="ü"/>
    <d v="2018-12-28T00:00:00"/>
    <n v="800"/>
    <x v="23"/>
    <x v="21"/>
    <s v="Calle Güigüe Nro. 88-116"/>
    <s v="Cancelación Vigilancia, mes de Diciembre 2018"/>
    <s v="Vigilancia"/>
    <m/>
    <s v="01687"/>
    <s v="28 de Diciembre de 2018"/>
    <n v="28"/>
    <d v="2018-12-01T00:00:00"/>
    <s v="800,00"/>
    <s v="Ochocientos Bolívares con 00/100"/>
  </r>
  <r>
    <n v="1688"/>
    <m/>
    <s v="ü"/>
    <d v="2018-12-29T00:00:00"/>
    <n v="1600"/>
    <x v="54"/>
    <x v="50"/>
    <s v="Calle Güigüe Nro. 89-21"/>
    <s v="Cancelación Vigilancia, meses de Diciembre 2018 y Enero 2019"/>
    <s v="Vigilancia"/>
    <m/>
    <s v="01688"/>
    <s v="29 de Diciembre de 2018"/>
    <n v="29"/>
    <d v="2018-12-01T00:00:00"/>
    <s v="1.600,00"/>
    <s v="Mil Seiscientos Bolívares con 00/100"/>
  </r>
  <r>
    <n v="1689"/>
    <m/>
    <s v="ü"/>
    <d v="2019-01-02T00:00:00"/>
    <n v="1200"/>
    <x v="28"/>
    <x v="77"/>
    <s v="Calle Güigüe Nro. 88-30"/>
    <s v="Cancelación Vigilancia, meses de Noviembre y Diciembre 2018"/>
    <s v="Vigilancia"/>
    <m/>
    <s v="01689"/>
    <s v="02 de Enero de 2019"/>
    <n v="2"/>
    <d v="2019-01-01T00:00:00"/>
    <s v="1.200,00"/>
    <s v="Mil Doscientos Bolívares con 00/100"/>
  </r>
  <r>
    <n v="1690"/>
    <m/>
    <s v="ü"/>
    <d v="2019-01-03T00:00:00"/>
    <n v="400"/>
    <x v="68"/>
    <x v="60"/>
    <s v="Calle Güigüe Nro. 89-29"/>
    <s v="Colaboración Vigilancia, mes de Diciembre 2018"/>
    <s v="Vigilancia"/>
    <m/>
    <s v="01690"/>
    <s v="03 de Enero de 2019"/>
    <n v="3"/>
    <d v="2019-01-01T00:00:00"/>
    <s v="400,00"/>
    <s v="Cuatrocientos Bolívares con 00/100"/>
  </r>
  <r>
    <n v="1691"/>
    <m/>
    <s v="ü"/>
    <d v="2019-01-03T00:00:00"/>
    <n v="800"/>
    <x v="31"/>
    <x v="29"/>
    <s v="Calle Güigüe Nro. 89-95"/>
    <s v="Vigilancia: Anticipo meses de Enero y Febrero 2019"/>
    <s v="Vigilancia"/>
    <m/>
    <s v="01691"/>
    <s v="03 de Enero de 2019"/>
    <n v="3"/>
    <d v="2019-01-01T00:00:00"/>
    <s v="800,00"/>
    <s v="Ochocientos Bolívares con 00/100"/>
  </r>
  <r>
    <n v="1692"/>
    <m/>
    <s v="ü"/>
    <d v="2019-01-03T00:00:00"/>
    <n v="1600"/>
    <x v="59"/>
    <x v="9"/>
    <s v="Calle Guacara Nro. 90-35"/>
    <s v="Cancelación Vigilancia, meses de Diciembre 2018 y Enero 2019"/>
    <s v="Vigilancia"/>
    <m/>
    <s v="01692"/>
    <s v="03 de Enero de 2019"/>
    <n v="3"/>
    <d v="2019-01-01T00:00:00"/>
    <s v="1.600,00"/>
    <s v="Mil Seiscientos Bolívares con 00/100"/>
  </r>
  <r>
    <n v="1693"/>
    <m/>
    <s v="ü"/>
    <d v="2019-01-05T00:00:00"/>
    <n v="1800"/>
    <x v="4"/>
    <x v="4"/>
    <s v="Calle Güigüe Nro. 89-55"/>
    <s v="Vigilancia: Anticipo mes de Enero 2019"/>
    <s v="Vigilancia"/>
    <m/>
    <s v="01693"/>
    <s v="05 de Enero de 2019"/>
    <n v="5"/>
    <d v="2019-01-01T00:00:00"/>
    <s v="1.800,00"/>
    <s v="Mil Ochocientos Bolívares con 00/100"/>
  </r>
  <r>
    <n v="1694"/>
    <m/>
    <s v="ü"/>
    <d v="2019-01-06T00:00:00"/>
    <n v="770"/>
    <x v="46"/>
    <x v="43"/>
    <s v="Av. &quot;I&quot; Nro. 146-20"/>
    <s v="Cancelación Vigilancia, saldo mes de Diciembre 2018 y anticipo mes de Enero 2019"/>
    <s v="Vigilancia"/>
    <m/>
    <s v="01694"/>
    <s v="06 de Enero de 2019"/>
    <n v="6"/>
    <d v="2019-01-01T00:00:00"/>
    <s v="770,00"/>
    <s v="Setecientos Setenta Bolívares con 00/100"/>
  </r>
  <r>
    <n v="1695"/>
    <m/>
    <s v="ü"/>
    <d v="2019-01-06T00:00:00"/>
    <n v="800"/>
    <x v="46"/>
    <x v="43"/>
    <s v="Av. &quot;I&quot; Nro. 146-20"/>
    <s v="Vigilancia: Anticipo mes de Enero 2019"/>
    <s v="Vigilancia"/>
    <m/>
    <s v="01695"/>
    <s v="06 de Enero de 2019"/>
    <n v="6"/>
    <d v="2019-01-01T00:00:00"/>
    <s v="800,00"/>
    <s v="Ochocientos Bolívares con 00/100"/>
  </r>
  <r>
    <n v="1696"/>
    <m/>
    <s v="ü"/>
    <d v="2019-01-07T00:00:00"/>
    <n v="800"/>
    <x v="90"/>
    <x v="82"/>
    <s v="Calle Güigüe Nro. 89-04"/>
    <s v="Vigilancia: Anticipo mes de Enero 2019"/>
    <s v="Vigilancia"/>
    <m/>
    <s v="01696"/>
    <s v="07 de Enero de 2019"/>
    <n v="7"/>
    <d v="2019-01-01T00:00:00"/>
    <s v="800,00"/>
    <s v="Ochocientos Bolívares con 00/100"/>
  </r>
  <r>
    <n v="1697"/>
    <m/>
    <s v="ü"/>
    <d v="2019-01-07T00:00:00"/>
    <n v="320"/>
    <x v="49"/>
    <x v="46"/>
    <s v="Av. &quot;O&quot; Nro. 146-17"/>
    <s v="Cancelación Vigilancia, mes de Noviembre 2018"/>
    <s v="Vigilancia"/>
    <m/>
    <s v="01697"/>
    <s v="07 de Enero de 2019"/>
    <n v="7"/>
    <d v="2019-01-01T00:00:00"/>
    <s v="320,00"/>
    <s v="Trescientos Veinte Bolívares con 00/100"/>
  </r>
  <r>
    <n v="1698"/>
    <m/>
    <s v="ü"/>
    <d v="2019-01-07T00:00:00"/>
    <n v="800"/>
    <x v="49"/>
    <x v="46"/>
    <s v="Av. &quot;O&quot; Nro. 146-17"/>
    <s v="Cancelación Vigilancia, mes de Diciembre 2018"/>
    <s v="Vigilancia"/>
    <m/>
    <s v="01698"/>
    <s v="07 de Enero de 2019"/>
    <n v="7"/>
    <d v="2019-01-01T00:00:00"/>
    <s v="800,00"/>
    <s v="Ochocientos Bolívares con 00/100"/>
  </r>
  <r>
    <n v="1699"/>
    <m/>
    <s v="ü"/>
    <d v="2019-01-07T00:00:00"/>
    <n v="800"/>
    <x v="22"/>
    <x v="20"/>
    <s v="Calle Guacara Nro. 88-25"/>
    <s v="Cancelación Vigilancia, mes de Diciembre 2018"/>
    <s v="Vigilancia"/>
    <m/>
    <s v="01699"/>
    <s v="07 de Enero de 2019"/>
    <n v="7"/>
    <d v="2019-01-01T00:00:00"/>
    <s v="800,00"/>
    <s v="Ochocientos Bolívares con 00/100"/>
  </r>
  <r>
    <n v="1700"/>
    <m/>
    <s v="ü"/>
    <d v="2019-01-08T00:00:00"/>
    <n v="937.05"/>
    <x v="0"/>
    <x v="0"/>
    <s v="Calle Guacara Nro. 88-45"/>
    <s v="Vigilancia: Cancelación saldo mes de Diciembre 2018 y anticipo mes de Enero 2019 (saldo a favor: Bs. 9.062,95)"/>
    <s v="Vigilancia"/>
    <m/>
    <s v="01700"/>
    <s v="08 de Enero de 2019"/>
    <n v="8"/>
    <d v="2019-01-01T00:00:00"/>
    <s v="937,05"/>
    <s v="Novecientos Treinta y Siete Bolívares con 05/100"/>
  </r>
  <r>
    <n v="1701"/>
    <m/>
    <s v="ü"/>
    <d v="2019-01-08T00:00:00"/>
    <n v="800"/>
    <x v="20"/>
    <x v="18"/>
    <s v="Calle Guacara Nro. 89-30"/>
    <s v="Vigilancia: Anticipo mes de Enero 2019"/>
    <s v="Vigilancia"/>
    <m/>
    <s v="01701"/>
    <s v="08 de Enero de 2019"/>
    <n v="8"/>
    <d v="2019-01-01T00:00:00"/>
    <s v="800,00"/>
    <s v="Ochocientos Bolívares con 00/100"/>
  </r>
  <r>
    <n v="1702"/>
    <m/>
    <s v="ü"/>
    <d v="2019-01-08T00:00:00"/>
    <n v="800"/>
    <x v="7"/>
    <x v="7"/>
    <s v="Calle Guacara Nro. 87-86"/>
    <s v="Vigilancia: Anticipo mes de Enero 2019"/>
    <s v="Vigilancia"/>
    <m/>
    <s v="01702"/>
    <s v="08 de Enero de 2019"/>
    <n v="8"/>
    <d v="2019-01-01T00:00:00"/>
    <s v="800,00"/>
    <s v="Ochocientos Bolívares con 00/100"/>
  </r>
  <r>
    <n v="1703"/>
    <m/>
    <s v="ü"/>
    <d v="2019-01-08T00:00:00"/>
    <n v="1280"/>
    <x v="69"/>
    <x v="61"/>
    <s v="Calle Güigüe Nro. 89-40"/>
    <s v="Vigilancia: cancelación saldo mes de Diciembre 2018 y mes de Enero 2019"/>
    <s v="Vigilancia"/>
    <m/>
    <s v="01703"/>
    <s v="08 de Enero de 2019"/>
    <n v="8"/>
    <d v="2019-01-01T00:00:00"/>
    <s v="1.280,00"/>
    <s v="Mil Doscientos Ochenta Bolívares con 00/100"/>
  </r>
  <r>
    <n v="1704"/>
    <m/>
    <s v="ü"/>
    <d v="2019-01-08T00:00:00"/>
    <n v="800"/>
    <x v="15"/>
    <x v="14"/>
    <s v="Calle Guacara Nro. 89-94"/>
    <s v="Vigilancia: Anticipo mes de Enero 2019"/>
    <s v="Vigilancia"/>
    <m/>
    <s v="01704"/>
    <s v="08 de Enero de 2019"/>
    <n v="8"/>
    <d v="2019-01-01T00:00:00"/>
    <s v="800,00"/>
    <s v="Ochocientos Bolívares con 00/100"/>
  </r>
  <r>
    <n v="1705"/>
    <m/>
    <s v="ü"/>
    <d v="2019-01-08T00:00:00"/>
    <n v="800"/>
    <x v="61"/>
    <x v="14"/>
    <s v="Calle Guacara Nro. 87-07"/>
    <s v="Vigilancia: Anticipo mes de Enero 2019"/>
    <s v="Vigilancia"/>
    <m/>
    <s v="01705"/>
    <s v="08 de Enero de 2019"/>
    <n v="8"/>
    <d v="2019-01-01T00:00:00"/>
    <s v="800,00"/>
    <s v="Ochocientos Bolívares con 00/100"/>
  </r>
  <r>
    <n v="1706"/>
    <m/>
    <s v="ü"/>
    <d v="2019-01-09T00:00:00"/>
    <n v="800"/>
    <x v="12"/>
    <x v="12"/>
    <s v="Calle Guacara Nro. 89-20"/>
    <s v="Vigilancia: Anticipo mes de Enero 2019"/>
    <s v="Vigilancia"/>
    <m/>
    <s v="01706"/>
    <s v="09 de Enero de 2019"/>
    <n v="9"/>
    <d v="2019-01-01T00:00:00"/>
    <s v="800,00"/>
    <s v="Ochocientos Bolívares con 00/100"/>
  </r>
  <r>
    <n v="1707"/>
    <m/>
    <s v="ü"/>
    <d v="2019-01-10T00:00:00"/>
    <n v="800"/>
    <x v="81"/>
    <x v="69"/>
    <s v="Calle Güigüe Nro. 89-65"/>
    <s v="Vigilancia: Anticipo mes de Enero 2019"/>
    <s v="Vigilancia"/>
    <m/>
    <s v="01707"/>
    <s v="10 de Enero de 2019"/>
    <n v="10"/>
    <d v="2019-01-01T00:00:00"/>
    <s v="800,00"/>
    <s v="Ochocientos Bolívares con 00/100"/>
  </r>
  <r>
    <n v="1708"/>
    <m/>
    <s v="ü"/>
    <d v="2019-01-10T00:00:00"/>
    <n v="1600"/>
    <x v="93"/>
    <x v="87"/>
    <s v="Calle Güigüe Nro. 89-89"/>
    <s v="Vigilancia: Cancelación mes de Diciembre 2018 y anticipo mes de Enero 2019"/>
    <s v="Vigilancia"/>
    <m/>
    <s v="01708"/>
    <s v="10 de Enero de 2019"/>
    <n v="10"/>
    <d v="2019-01-01T00:00:00"/>
    <s v="1.600,00"/>
    <s v="Mil Seiscientos Bolívares con 00/100"/>
  </r>
  <r>
    <n v="1709"/>
    <m/>
    <s v="ü"/>
    <d v="2019-01-10T00:00:00"/>
    <n v="1000"/>
    <x v="8"/>
    <x v="78"/>
    <s v="Calle Guacara Nro. 90-51"/>
    <s v="Vigilancia: Anticipo mes de Enero 2019"/>
    <s v="Vigilancia"/>
    <m/>
    <s v="01709"/>
    <s v="10 de Enero de 2019"/>
    <n v="10"/>
    <d v="2019-01-01T00:00:00"/>
    <s v="1.000,00"/>
    <s v="Mil Bolívares con 00/100"/>
  </r>
  <r>
    <n v="1710"/>
    <m/>
    <s v="ü"/>
    <d v="2019-01-10T00:00:00"/>
    <n v="800"/>
    <x v="65"/>
    <x v="58"/>
    <s v="Calle Güigüe Nro. 88-10"/>
    <s v="Vigilancia: Anticipo mes de Enero 2019"/>
    <s v="Vigilancia"/>
    <m/>
    <s v="01710"/>
    <s v="10 de Enero de 2019"/>
    <n v="10"/>
    <d v="2019-01-01T00:00:00"/>
    <s v="800,00"/>
    <s v="Ochocientos Bolívares con 00/100"/>
  </r>
  <r>
    <n v="1711"/>
    <m/>
    <s v="ü"/>
    <d v="2019-01-10T00:00:00"/>
    <n v="1500"/>
    <x v="16"/>
    <x v="15"/>
    <s v="Calle Guacara Nro. 90-81"/>
    <s v="Vigilancia: Anticipo mes de Enero 2019"/>
    <s v="Vigilancia"/>
    <m/>
    <s v="01711"/>
    <s v="10 de Enero de 2019"/>
    <n v="10"/>
    <d v="2019-01-01T00:00:00"/>
    <s v="1.500,00"/>
    <s v="Mil Quinientos Bolívares con 00/100"/>
  </r>
  <r>
    <n v="1712"/>
    <m/>
    <s v="ü"/>
    <d v="2019-01-11T00:00:00"/>
    <n v="800"/>
    <x v="75"/>
    <x v="65"/>
    <s v="Av. &quot;Ñ&quot; Nro. 145-25"/>
    <s v="Vigilancia: Anticipo mes de Enero 2019 (saldo a favor: Bs. 1.352,00)"/>
    <s v="Vigilancia"/>
    <m/>
    <s v="01712"/>
    <s v="11 de Enero de 2019"/>
    <n v="11"/>
    <d v="2019-01-01T00:00:00"/>
    <s v="800,00"/>
    <s v="Ochocientos Bolívares con 00/100"/>
  </r>
  <r>
    <n v="1713"/>
    <m/>
    <s v="ü"/>
    <d v="2019-01-11T00:00:00"/>
    <n v="1000"/>
    <x v="6"/>
    <x v="6"/>
    <s v="Calle Guacara Nro. 89-60"/>
    <s v="Vigilancia: Anticipo mes de Enero 2019"/>
    <s v="Vigilancia"/>
    <m/>
    <s v="01713"/>
    <s v="11 de Enero de 2019"/>
    <n v="11"/>
    <d v="2019-01-01T00:00:00"/>
    <s v="1.000,00"/>
    <s v="Mil Bolívares con 00/100"/>
  </r>
  <r>
    <n v="1714"/>
    <m/>
    <s v="ü"/>
    <d v="2019-01-11T00:00:00"/>
    <n v="800"/>
    <x v="24"/>
    <x v="22"/>
    <s v="Calle Güigüe Nro. 88-54"/>
    <s v="Vigilancia: Anticipo mes de Enero 2019"/>
    <s v="Vigilancia"/>
    <m/>
    <s v="01714"/>
    <s v="11 de Enero de 2019"/>
    <n v="11"/>
    <d v="2019-01-01T00:00:00"/>
    <s v="800,00"/>
    <s v="Ochocientos Bolívares con 00/100"/>
  </r>
  <r>
    <n v="1715"/>
    <m/>
    <s v="ü"/>
    <d v="2019-01-11T00:00:00"/>
    <n v="800"/>
    <x v="77"/>
    <x v="85"/>
    <s v="Calle Guacara Nro. 88-65"/>
    <s v="Vigilancia: Anticipo mes de Enero 2019"/>
    <s v="Vigilancia"/>
    <m/>
    <s v="01715"/>
    <s v="11 de Enero de 2019"/>
    <n v="11"/>
    <d v="2019-01-01T00:00:00"/>
    <s v="800,00"/>
    <s v="Ochocientos Bolívares con 00/100"/>
  </r>
  <r>
    <n v="1716"/>
    <m/>
    <s v="ü"/>
    <d v="2019-01-11T00:00:00"/>
    <n v="800"/>
    <x v="1"/>
    <x v="1"/>
    <s v="Calle Güigüe Nro. 88-44"/>
    <s v="Vigilancia: Anticipo mes de Enero 2019"/>
    <s v="Vigilancia"/>
    <m/>
    <s v="01716"/>
    <s v="11 de Enero de 2019"/>
    <n v="11"/>
    <d v="2019-01-01T00:00:00"/>
    <s v="800,00"/>
    <s v="Ochocientos Bolívares con 00/100"/>
  </r>
  <r>
    <n v="1717"/>
    <m/>
    <s v="ü"/>
    <d v="2019-01-13T00:00:00"/>
    <n v="850"/>
    <x v="84"/>
    <x v="71"/>
    <s v="Calle Güigüe Nro. 89-54"/>
    <s v="Vigilancia: Anticipo mes de Enero 2019"/>
    <s v="Vigilancia"/>
    <m/>
    <s v="01717"/>
    <s v="13 de Enero de 2019"/>
    <n v="13"/>
    <d v="2019-01-01T00:00:00"/>
    <s v="850,00"/>
    <s v="Ochocientos Cincuenta Bolívares con 00/100"/>
  </r>
  <r>
    <n v="1718"/>
    <m/>
    <s v="ü"/>
    <d v="2019-01-13T00:00:00"/>
    <n v="1120"/>
    <x v="53"/>
    <x v="80"/>
    <s v="Calle Guacara Nro. 88-91"/>
    <s v="Cancelación Vigilancia, meses de Noviembre y Diciembre 2018"/>
    <s v="Vigilancia"/>
    <m/>
    <s v="01718"/>
    <s v="13 de Enero de 2019"/>
    <n v="13"/>
    <d v="2019-01-01T00:00:00"/>
    <s v="1.120,00"/>
    <s v="Mil Ciento Veinte Bolívares con 00/100"/>
  </r>
  <r>
    <n v="1719"/>
    <m/>
    <s v="ü"/>
    <d v="2019-01-13T00:00:00"/>
    <n v="1600"/>
    <x v="61"/>
    <x v="14"/>
    <s v="Calle Guacara Nro. 87-07"/>
    <s v="Vigilancia: Anticipo mes de Enero 2019"/>
    <s v="Vigilancia"/>
    <m/>
    <s v="01719"/>
    <s v="13 de Enero de 2019"/>
    <n v="13"/>
    <d v="2019-01-01T00:00:00"/>
    <s v="1.600,00"/>
    <s v="Mil Seiscientos Bolívares con 00/100"/>
  </r>
  <r>
    <n v="1720"/>
    <m/>
    <s v="ü"/>
    <d v="2019-01-14T00:00:00"/>
    <n v="800"/>
    <x v="19"/>
    <x v="17"/>
    <s v="Calle Guacara Nro. 89-130"/>
    <s v="Vigilancia: Anticipo mes de Enero 2019"/>
    <s v="Vigilancia"/>
    <m/>
    <s v="01720"/>
    <s v="14 de Enero de 2019"/>
    <n v="14"/>
    <d v="2019-01-01T00:00:00"/>
    <s v="800,00"/>
    <s v="Ochocientos Bolívares con 00/100"/>
  </r>
  <r>
    <n v="1721"/>
    <m/>
    <s v="ü"/>
    <d v="2019-01-13T00:00:00"/>
    <n v="1160"/>
    <x v="73"/>
    <x v="9"/>
    <s v="Calle Güigüe Nros. 88-71 y 88-81"/>
    <s v="Vigilancia: Anticipo mes de Enero 2019"/>
    <s v="Vigilancia"/>
    <m/>
    <s v="01721"/>
    <s v="13 de Enero de 2019"/>
    <n v="13"/>
    <d v="2019-01-01T00:00:00"/>
    <s v="1.160,00"/>
    <s v="Mil Ciento Sesenta Bolívares con 00/100"/>
  </r>
  <r>
    <n v="1722"/>
    <m/>
    <s v="ü"/>
    <d v="2019-01-14T00:00:00"/>
    <n v="800"/>
    <x v="72"/>
    <x v="63"/>
    <s v="Calle Güigüe Nro. 89-35"/>
    <s v="Vigilancia: Anticipo mes de Enero 2019"/>
    <s v="Vigilancia"/>
    <m/>
    <s v="01722"/>
    <s v="14 de Enero de 2019"/>
    <n v="14"/>
    <d v="2019-01-01T00:00:00"/>
    <s v="800,00"/>
    <s v="Ochocientos Bolívares con 00/100"/>
  </r>
  <r>
    <n v="1723"/>
    <m/>
    <s v="ü"/>
    <d v="2019-01-15T00:00:00"/>
    <n v="800"/>
    <x v="25"/>
    <x v="23"/>
    <s v="Calle Güigüe Nro. 88-58"/>
    <s v="Vigilancia: Anticipo mes de Enero 2019"/>
    <s v="Vigilancia"/>
    <m/>
    <s v="01723"/>
    <s v="15 de Enero de 2019"/>
    <n v="15"/>
    <d v="2019-01-01T00:00:00"/>
    <s v="800,00"/>
    <s v="Ochocientos Bolívares con 00/100"/>
  </r>
  <r>
    <n v="1724"/>
    <m/>
    <s v="ü"/>
    <d v="2019-01-14T00:00:00"/>
    <n v="2000"/>
    <x v="60"/>
    <x v="54"/>
    <s v="Calle Guacara Nro. 88-51"/>
    <s v="Vigilancia: Anticipo mes de Enero 2019"/>
    <s v="Vigilancia"/>
    <m/>
    <s v="01724"/>
    <s v="14 de Enero de 2019"/>
    <n v="14"/>
    <d v="2019-01-01T00:00:00"/>
    <s v="2.000,00"/>
    <s v="Dos Mil Bolívares con 00/100"/>
  </r>
  <r>
    <n v="1725"/>
    <m/>
    <s v="ü"/>
    <d v="2019-01-15T00:00:00"/>
    <n v="800"/>
    <x v="63"/>
    <x v="56"/>
    <s v="Calle Guacara Nro. 88-85"/>
    <s v="Vigilancia: Anticipo mes de Enero 2019"/>
    <s v="Vigilancia"/>
    <m/>
    <s v="01725"/>
    <s v="15 de Enero de 2019"/>
    <n v="15"/>
    <d v="2019-01-01T00:00:00"/>
    <s v="800,00"/>
    <s v="Ochocientos Bolívares con 00/100"/>
  </r>
  <r>
    <n v="1726"/>
    <m/>
    <s v="ü"/>
    <d v="2019-01-15T00:00:00"/>
    <n v="1250"/>
    <x v="11"/>
    <x v="11"/>
    <s v="Calle Guacara Nro. 89-86"/>
    <s v="Vigilancia: Cancelación saldo mes de Diciembre 2018 y anticipo mes de Enero 2019"/>
    <s v="Vigilancia"/>
    <m/>
    <s v="01726"/>
    <s v="15 de Enero de 2019"/>
    <n v="15"/>
    <d v="2019-01-01T00:00:00"/>
    <s v="1.250,00"/>
    <s v="Mil Doscientos Cincuenta Bolívares con 00/100"/>
  </r>
  <r>
    <n v="1727"/>
    <m/>
    <s v="ü"/>
    <d v="2019-01-15T00:00:00"/>
    <n v="800"/>
    <x v="44"/>
    <x v="41"/>
    <s v="Calle Guacara Nro. 89-40"/>
    <s v="Vigilancia: Anticipo mes de Enero 2019"/>
    <s v="Vigilancia"/>
    <m/>
    <s v="01727"/>
    <s v="15 de Enero de 2019"/>
    <n v="15"/>
    <d v="2019-01-01T00:00:00"/>
    <s v="800,00"/>
    <s v="Ochocientos Bolívares con 00/100"/>
  </r>
  <r>
    <n v="1728"/>
    <m/>
    <s v="ü"/>
    <d v="2019-01-16T00:00:00"/>
    <n v="800"/>
    <x v="10"/>
    <x v="10"/>
    <s v="Av. &quot;M&quot; Nro. 146-15"/>
    <s v="Cancelación Vigilancia, mes de Diciembre 2018"/>
    <s v="Vigilancia"/>
    <m/>
    <s v="01728"/>
    <s v="16 de Enero de 2019"/>
    <n v="16"/>
    <d v="2019-01-01T00:00:00"/>
    <s v="800,00"/>
    <s v="Ochocientos Bolívares con 00/100"/>
  </r>
  <r>
    <n v="1729"/>
    <m/>
    <s v="ü"/>
    <d v="2019-01-16T00:00:00"/>
    <n v="2200"/>
    <x v="90"/>
    <x v="82"/>
    <s v="Calle Güigüe Nro. 89-04"/>
    <s v="Vigilancia: Cancelación saldo mes de Enero 2019"/>
    <s v="Vigilancia"/>
    <m/>
    <s v="01729"/>
    <s v="16 de Enero de 2019"/>
    <n v="16"/>
    <d v="2019-01-01T00:00:00"/>
    <s v="2.200,00"/>
    <s v="Dos Mil Doscientos Bolívares con 00/100"/>
  </r>
  <r>
    <n v="1730"/>
    <m/>
    <s v="ü"/>
    <d v="2019-01-16T00:00:00"/>
    <n v="3000"/>
    <x v="45"/>
    <x v="42"/>
    <s v="Calle Güigüe Nro. 87-A-11"/>
    <s v="Cancelación Vigilancia, mes de Enero 2019"/>
    <s v="Vigilancia"/>
    <m/>
    <s v="01730"/>
    <s v="16 de Enero de 2019"/>
    <n v="16"/>
    <d v="2019-01-01T00:00:00"/>
    <s v="3.000,00"/>
    <s v="Tres Mil Bolívares con 00/100"/>
  </r>
  <r>
    <n v="1731"/>
    <m/>
    <s v="ü"/>
    <d v="2019-01-16T00:00:00"/>
    <n v="1120"/>
    <x v="45"/>
    <x v="42"/>
    <s v="Calle Güigüe Nro. 87-A-11"/>
    <s v="Cancelación Vigilancia, meses de Noviembre y Diciembre 2018"/>
    <s v="Vigilancia"/>
    <m/>
    <s v="01731"/>
    <s v="16 de Enero de 2019"/>
    <n v="16"/>
    <d v="2019-01-01T00:00:00"/>
    <s v="1.120,00"/>
    <s v="Mil Ciento Veinte Bolívares con 00/100"/>
  </r>
  <r>
    <n v="1732"/>
    <m/>
    <s v="ü"/>
    <d v="2019-01-16T00:00:00"/>
    <n v="2200"/>
    <x v="0"/>
    <x v="0"/>
    <s v="Calle Guacara Nro. 88-45"/>
    <s v="Vigilancia: Cancelación saldo mes de Enero 2019 (saldo a favor: Bs. 6.862,95)"/>
    <s v="Vigilancia"/>
    <m/>
    <s v="01732"/>
    <s v="16 de Enero de 2019"/>
    <n v="16"/>
    <d v="2019-01-01T00:00:00"/>
    <s v="2.200,00"/>
    <s v="Dos Mil Doscientos Bolívares con 00/100"/>
  </r>
  <r>
    <n v="1733"/>
    <m/>
    <s v="ü"/>
    <d v="2019-01-16T00:00:00"/>
    <n v="2200"/>
    <x v="44"/>
    <x v="41"/>
    <s v="Calle Guacara Nro. 89-40"/>
    <s v="Vigilancia: Cancelación saldo mes de Enero 2019"/>
    <s v="Vigilancia"/>
    <m/>
    <s v="01733"/>
    <s v="16 de Enero de 2019"/>
    <n v="16"/>
    <d v="2019-01-01T00:00:00"/>
    <s v="2.200,00"/>
    <s v="Dos Mil Doscientos Bolívares con 00/100"/>
  </r>
  <r>
    <n v="1734"/>
    <m/>
    <s v="ü"/>
    <d v="2019-01-16T00:00:00"/>
    <n v="972"/>
    <x v="16"/>
    <x v="15"/>
    <s v="Calle Guacara Nro. 90-81"/>
    <s v="Vigilancia: Cancelación saldo mes de Enero 2019"/>
    <s v="Vigilancia"/>
    <m/>
    <s v="01734"/>
    <s v="16 de Enero de 2019"/>
    <n v="16"/>
    <d v="2019-01-01T00:00:00"/>
    <s v="972,00"/>
    <s v="Novecientos Setenta y Dos Bolívares con 00/100"/>
  </r>
  <r>
    <n v="1735"/>
    <m/>
    <s v="ü"/>
    <d v="2019-01-16T00:00:00"/>
    <n v="800"/>
    <x v="40"/>
    <x v="37"/>
    <s v="Calle Güigüe Nro. 88-101"/>
    <s v="Cancelación Vigilancia, mes de Diciembre 2018"/>
    <s v="Vigilancia"/>
    <m/>
    <s v="01735"/>
    <s v="16 de Enero de 2019"/>
    <n v="16"/>
    <d v="2019-01-01T00:00:00"/>
    <s v="800,00"/>
    <s v="Ochocientos Bolívares con 00/100"/>
  </r>
  <r>
    <n v="1736"/>
    <m/>
    <s v="ü"/>
    <d v="2019-01-16T00:00:00"/>
    <n v="2200"/>
    <x v="1"/>
    <x v="1"/>
    <s v="Calle Güigüe Nro. 88-44"/>
    <s v="Vigilancia: Cancelación saldo mes de Enero 2019"/>
    <s v="Vigilancia"/>
    <m/>
    <s v="01736"/>
    <s v="16 de Enero de 2019"/>
    <n v="16"/>
    <d v="2019-01-01T00:00:00"/>
    <s v="2.200,00"/>
    <s v="Dos Mil Doscientos Bolívares con 00/100"/>
  </r>
  <r>
    <n v="1737"/>
    <m/>
    <s v="ü"/>
    <d v="2019-01-17T00:00:00"/>
    <n v="2200"/>
    <x v="15"/>
    <x v="14"/>
    <s v="Calle Guacara Nro. 89-94"/>
    <s v="Vigilancia: Cancelación saldo mes de Enero 2019"/>
    <s v="Vigilancia"/>
    <m/>
    <s v="01737"/>
    <s v="17 de Enero de 2019"/>
    <n v="17"/>
    <d v="2019-01-01T00:00:00"/>
    <s v="2.200,00"/>
    <s v="Dos Mil Doscientos Bolívares con 00/100"/>
  </r>
  <r>
    <n v="1738"/>
    <m/>
    <s v="ü"/>
    <d v="2019-01-17T00:00:00"/>
    <n v="3800"/>
    <x v="37"/>
    <x v="34"/>
    <s v="Av. &quot;I&quot; Nro. 146-40"/>
    <s v="Cancelación Vigilancia, meses de Diciembre 2018 y Enero 2019"/>
    <s v="Vigilancia"/>
    <m/>
    <s v="01738"/>
    <s v="17 de Enero de 2019"/>
    <n v="17"/>
    <d v="2019-01-01T00:00:00"/>
    <s v="3.800,00"/>
    <s v="Tres Mil Ochocientos Bolívares con 00/100"/>
  </r>
  <r>
    <n v="1739"/>
    <m/>
    <s v="ü"/>
    <d v="2019-01-17T00:00:00"/>
    <n v="600"/>
    <x v="61"/>
    <x v="14"/>
    <s v="Calle Guacara Nro. 87-07"/>
    <s v="Vigilancia: Cancelación saldo mes de Enero 2019"/>
    <s v="Vigilancia"/>
    <m/>
    <s v="01739"/>
    <s v="17 de Enero de 2019"/>
    <n v="17"/>
    <d v="2019-01-01T00:00:00"/>
    <s v="600,00"/>
    <s v="Seiscientos Bolívares con 00/100"/>
  </r>
  <r>
    <n v="1740"/>
    <m/>
    <s v="ü"/>
    <d v="2019-01-17T00:00:00"/>
    <n v="800"/>
    <x v="48"/>
    <x v="9"/>
    <s v="Calle Güigüe Nro. 88-90"/>
    <s v="Cancelación Vigilancia, mes de Diciembre 2018"/>
    <s v="Vigilancia"/>
    <m/>
    <s v="01740"/>
    <s v="17 de Enero de 2019"/>
    <n v="17"/>
    <d v="2019-01-01T00:00:00"/>
    <s v="800,00"/>
    <s v="Ochocientos Bolívares con 00/100"/>
  </r>
  <r>
    <n v="1741"/>
    <m/>
    <s v="ü"/>
    <d v="2019-01-17T00:00:00"/>
    <n v="2200"/>
    <x v="31"/>
    <x v="29"/>
    <s v="Calle Güigüe Nro. 89-95"/>
    <s v="Vigilancia: Cancelación saldo mes de Enero 2019"/>
    <s v="Vigilancia"/>
    <m/>
    <s v="01741"/>
    <s v="17 de Enero de 2019"/>
    <n v="17"/>
    <d v="2019-01-01T00:00:00"/>
    <s v="2.200,00"/>
    <s v="Dos Mil Doscientos Bolívares con 00/100"/>
  </r>
  <r>
    <n v="1742"/>
    <m/>
    <s v="ü"/>
    <d v="2019-01-17T00:00:00"/>
    <n v="2200"/>
    <x v="24"/>
    <x v="22"/>
    <s v="Calle Güigüe Nro. 88-54"/>
    <s v="Vigilancia: Cancelación saldo mes de Enero 2019"/>
    <s v="Vigilancia"/>
    <m/>
    <s v="01742"/>
    <s v="17 de Enero de 2019"/>
    <n v="17"/>
    <d v="2019-01-01T00:00:00"/>
    <s v="2.200,00"/>
    <s v="Dos Mil Doscientos Bolívares con 00/100"/>
  </r>
  <r>
    <n v="1743"/>
    <m/>
    <s v="ü"/>
    <d v="2019-01-17T00:00:00"/>
    <n v="2200"/>
    <x v="77"/>
    <x v="85"/>
    <s v="Calle Guacara Nro. 88-65"/>
    <s v="Vigilancia: Cancelación saldo mes de Enero 2019"/>
    <s v="Vigilancia"/>
    <m/>
    <s v="01743"/>
    <s v="17 de Enero de 2019"/>
    <n v="17"/>
    <d v="2019-01-01T00:00:00"/>
    <s v="2.200,00"/>
    <s v="Dos Mil Doscientos Bolívares con 00/100"/>
  </r>
  <r>
    <n v="1744"/>
    <m/>
    <s v="ü"/>
    <d v="2019-01-17T00:00:00"/>
    <n v="2200"/>
    <x v="20"/>
    <x v="18"/>
    <s v="Calle Guacara Nro. 89-30"/>
    <s v="Vigilancia: Cancelación saldo mes de Enero 2019"/>
    <s v="Vigilancia"/>
    <m/>
    <s v="01744"/>
    <s v="17 de Enero de 2019"/>
    <n v="17"/>
    <d v="2019-01-01T00:00:00"/>
    <s v="2.200,00"/>
    <s v="Dos Mil Doscientos Bolívares con 00/100"/>
  </r>
  <r>
    <n v="1745"/>
    <m/>
    <s v="ü"/>
    <d v="2019-01-17T00:00:00"/>
    <n v="3000"/>
    <x v="6"/>
    <x v="6"/>
    <s v="Calle Guacara Nro. 89-60"/>
    <s v="Vigilancia: Cancelación saldo mes de Enero 2019"/>
    <s v="Vigilancia"/>
    <m/>
    <s v="01745"/>
    <s v="17 de Enero de 2019"/>
    <n v="17"/>
    <d v="2019-01-01T00:00:00"/>
    <s v="3.000,00"/>
    <s v="Tres Mil Bolívares con 00/100"/>
  </r>
  <r>
    <n v="1746"/>
    <m/>
    <s v="ü"/>
    <d v="2019-01-17T00:00:00"/>
    <n v="800"/>
    <x v="26"/>
    <x v="24"/>
    <s v="Calle Güigüe Nro. 89-96"/>
    <s v="Vigilancia: Anticipo mes de Enero 2019"/>
    <s v="Vigilancia"/>
    <m/>
    <s v="01746"/>
    <s v="17 de Enero de 2019"/>
    <n v="17"/>
    <d v="2019-01-01T00:00:00"/>
    <s v="800,00"/>
    <s v="Ochocientos Bolívares con 00/100"/>
  </r>
  <r>
    <n v="1747"/>
    <m/>
    <s v="ü"/>
    <d v="2019-01-18T00:00:00"/>
    <n v="1200"/>
    <x v="4"/>
    <x v="4"/>
    <s v="Calle Güigüe Nro. 89-55"/>
    <s v="Vigilancia: Cancelación saldo mes de Enero 2019"/>
    <s v="Vigilancia"/>
    <m/>
    <s v="01747"/>
    <s v="18 de Enero de 2019"/>
    <n v="18"/>
    <d v="2019-01-01T00:00:00"/>
    <s v="1.200,00"/>
    <s v="Mil Doscientos Bolívares con 00/100"/>
  </r>
  <r>
    <n v="1748"/>
    <m/>
    <s v="ü"/>
    <d v="2018-12-07T00:00:00"/>
    <n v="800"/>
    <x v="26"/>
    <x v="24"/>
    <s v="Calle Güigüe Nro. 89-96"/>
    <s v="Cancelación Vigilancia, mes de Diciembre 2018"/>
    <s v="Vigilancia"/>
    <m/>
    <s v="01748"/>
    <s v="07 de Diciembre de 2018"/>
    <n v="7"/>
    <d v="2018-12-01T00:00:00"/>
    <s v="800,00"/>
    <s v="Ochocientos Bolívares con 00/100"/>
  </r>
  <r>
    <n v="1749"/>
    <m/>
    <s v="ü"/>
    <d v="2019-01-18T00:00:00"/>
    <n v="4120"/>
    <x v="43"/>
    <x v="40"/>
    <s v="Calle Güigüe Nro. 88-50"/>
    <s v="Cancelación Vigilancia, meses de Noviembre y Diciembre 2018 y Enero 2019"/>
    <s v="Vigilancia"/>
    <m/>
    <s v="01749"/>
    <s v="18 de Enero de 2019"/>
    <n v="18"/>
    <d v="2019-01-01T00:00:00"/>
    <s v="4.120,00"/>
    <s v="Cuatro Mil Ciento Veinte Bolívares con 00/100"/>
  </r>
  <r>
    <n v="1750"/>
    <m/>
    <s v="ü"/>
    <d v="2019-01-19T00:00:00"/>
    <n v="2200"/>
    <x v="63"/>
    <x v="56"/>
    <s v="Calle Guacara Nro. 88-85"/>
    <s v="Vigilancia: Cancelación saldo mes de Enero 2019"/>
    <s v="Vigilancia"/>
    <m/>
    <s v="01750"/>
    <s v="19 de Enero de 2019"/>
    <n v="19"/>
    <d v="2019-01-01T00:00:00"/>
    <s v="2.200,00"/>
    <s v="Dos Mil Doscientos Bolívares con 00/100"/>
  </r>
  <r>
    <n v="1751"/>
    <m/>
    <s v="ü"/>
    <d v="2019-01-19T00:00:00"/>
    <n v="2200"/>
    <x v="17"/>
    <x v="74"/>
    <s v="Av. &quot;M&quot; Nro. 146-20"/>
    <s v="Vigilancia: Anticipo mes de Enero 2019"/>
    <s v="Vigilancia"/>
    <m/>
    <s v="01751"/>
    <s v="19 de Enero de 2019"/>
    <n v="19"/>
    <d v="2019-01-01T00:00:00"/>
    <s v="2.200,00"/>
    <s v="Dos Mil Doscientos Bolívares con 00/100"/>
  </r>
  <r>
    <n v="1752"/>
    <m/>
    <s v="ü"/>
    <d v="2019-01-20T00:00:00"/>
    <n v="3800"/>
    <x v="38"/>
    <x v="35"/>
    <s v="Calle Guacara Nro. 89-78"/>
    <s v="Vigilancia: Cancelación saldo mes de Diciembre 2018, mes de Enero y anticipo mes de Febrero 2019"/>
    <s v="Vigilancia"/>
    <m/>
    <s v="01752"/>
    <s v="20 de Enero de 2019"/>
    <n v="20"/>
    <d v="2019-01-01T00:00:00"/>
    <s v="3.800,00"/>
    <s v="Tres Mil Ochocientos Bolívares con 00/100"/>
  </r>
  <r>
    <n v="1753"/>
    <m/>
    <s v="ü"/>
    <d v="2019-01-20T00:00:00"/>
    <n v="3000"/>
    <x v="58"/>
    <x v="53"/>
    <s v="Calle Güigüe Nro. 88-51"/>
    <s v="Cancelación Vigilancia, mes de Enero 2019"/>
    <s v="Vigilancia"/>
    <m/>
    <s v="01753"/>
    <s v="20 de Enero de 2019"/>
    <n v="20"/>
    <d v="2019-01-01T00:00:00"/>
    <s v="3.000,00"/>
    <s v="Tres Mil Bolívares con 00/100"/>
  </r>
  <r>
    <n v="1754"/>
    <m/>
    <s v="ü"/>
    <d v="2019-01-22T00:00:00"/>
    <n v="2200"/>
    <x v="12"/>
    <x v="12"/>
    <s v="Calle Guacara Nro. 89-20"/>
    <s v="Vigilancia: Cancelación saldo mes de Enero 2019"/>
    <s v="Vigilancia"/>
    <m/>
    <s v="01754"/>
    <s v="22 de Enero de 2019"/>
    <n v="22"/>
    <d v="2019-01-01T00:00:00"/>
    <s v="2.200,00"/>
    <s v="Dos Mil Doscientos Bolívares con 00/100"/>
  </r>
  <r>
    <n v="1755"/>
    <m/>
    <s v="ü"/>
    <d v="2019-01-23T00:00:00"/>
    <n v="2200"/>
    <x v="81"/>
    <x v="69"/>
    <s v="Calle Güigüe Nro. 89-65"/>
    <s v="Vigilancia: Cancelación saldo mes de Enero 2019"/>
    <s v="Vigilancia"/>
    <m/>
    <s v="01755"/>
    <s v="23 de Enero de 2019"/>
    <n v="23"/>
    <d v="2019-01-01T00:00:00"/>
    <s v="2.200,00"/>
    <s v="Dos Mil Doscientos Bolívares con 00/100"/>
  </r>
  <r>
    <n v="1756"/>
    <m/>
    <s v="ü"/>
    <d v="2019-01-23T00:00:00"/>
    <n v="3000"/>
    <x v="35"/>
    <x v="32"/>
    <s v="Calle Güigüe Nro. 89-80"/>
    <s v="Cancelación Vigilancia, mes de Enero 2019"/>
    <s v="Vigilancia"/>
    <m/>
    <s v="01756"/>
    <s v="23 de Enero de 2019"/>
    <n v="23"/>
    <d v="2019-01-01T00:00:00"/>
    <s v="3.000,00"/>
    <s v="Tres Mil Bolívares con 00/100"/>
  </r>
  <r>
    <n v="1757"/>
    <m/>
    <s v="ü"/>
    <d v="2019-01-23T00:00:00"/>
    <n v="3000"/>
    <x v="40"/>
    <x v="37"/>
    <s v="Calle Güigüe Nro. 88-101"/>
    <s v="Cancelación Vigilancia, mes de Enero 2019"/>
    <s v="Vigilancia"/>
    <m/>
    <s v="01757"/>
    <s v="23 de Enero de 2019"/>
    <n v="23"/>
    <d v="2019-01-01T00:00:00"/>
    <s v="3.000,00"/>
    <s v="Tres Mil Bolívares con 00/100"/>
  </r>
  <r>
    <n v="1758"/>
    <m/>
    <s v="ü"/>
    <d v="2019-01-23T00:00:00"/>
    <n v="2200"/>
    <x v="69"/>
    <x v="61"/>
    <s v="Calle Güigüe Nro. 89-40"/>
    <s v="Vigilancia: Cancelación saldo mes de Enero 2019"/>
    <s v="Vigilancia"/>
    <m/>
    <s v="01758"/>
    <s v="23 de Enero de 2019"/>
    <n v="23"/>
    <d v="2019-01-01T00:00:00"/>
    <s v="2.200,00"/>
    <s v="Dos Mil Doscientos Bolívares con 00/100"/>
  </r>
  <r>
    <n v="1759"/>
    <m/>
    <s v="ü"/>
    <d v="2019-01-24T00:00:00"/>
    <n v="3000"/>
    <x v="76"/>
    <x v="66"/>
    <s v="Calle Güigüe Nro. 89-90"/>
    <s v="Cancelación Vigilancia, mes de Enero 2019"/>
    <s v="Vigilancia"/>
    <m/>
    <s v="01759"/>
    <s v="24 de Enero de 2019"/>
    <n v="24"/>
    <d v="2019-01-01T00:00:00"/>
    <s v="3.000,00"/>
    <s v="Tres Mil Bolívares con 00/100"/>
  </r>
  <r>
    <n v="1760"/>
    <m/>
    <s v="ü"/>
    <d v="2019-01-25T00:00:00"/>
    <n v="3000"/>
    <x v="88"/>
    <x v="76"/>
    <s v="Calle Güigüe Nro. 88-11"/>
    <s v="Cancelación Vigilancia, mes de Enero 2019"/>
    <s v="Vigilancia"/>
    <m/>
    <s v="01760"/>
    <s v="25 de Enero de 2019"/>
    <n v="25"/>
    <d v="2019-01-01T00:00:00"/>
    <s v="3.000,00"/>
    <s v="Tres Mil Bolívares con 00/100"/>
  </r>
  <r>
    <n v="1761"/>
    <m/>
    <s v="ü"/>
    <d v="2019-01-25T00:00:00"/>
    <n v="3000"/>
    <x v="92"/>
    <x v="86"/>
    <s v="Calle Guacara Nro. 88-A-10"/>
    <s v="Cancelación Vigilancia, mes de Enero 2019 (saldo a favor: Bs. 17.005,80)"/>
    <s v="Vigilancia"/>
    <m/>
    <s v="01761"/>
    <s v="25 de Enero de 2019"/>
    <n v="25"/>
    <d v="2019-01-01T00:00:00"/>
    <s v="3.000,00"/>
    <s v="Tres Mil Bolívares con 00/100"/>
  </r>
  <r>
    <n v="1762"/>
    <m/>
    <s v="ü"/>
    <d v="2019-01-29T00:00:00"/>
    <n v="3000"/>
    <x v="56"/>
    <x v="52"/>
    <s v="Calle Güigüe Nro. 88-70"/>
    <s v="Cancelación Vigilancia, mes de Enero 2019"/>
    <s v="Vigilancia"/>
    <m/>
    <s v="01762"/>
    <s v="29 de Enero de 2019"/>
    <n v="29"/>
    <d v="2019-01-01T00:00:00"/>
    <s v="3.000,00"/>
    <s v="Tres Mil Bolívares con 00/100"/>
  </r>
  <r>
    <n v="1763"/>
    <m/>
    <s v="ü"/>
    <d v="2019-01-29T00:00:00"/>
    <n v="6500"/>
    <x v="18"/>
    <x v="16"/>
    <s v="Calle Guacara Nro. 87-100"/>
    <s v="Vigilancia: Cancelación saldo mes de Diciembre 2018, mes de Enero y anticipo mes de Febrero 2019"/>
    <s v="Vigilancia"/>
    <m/>
    <s v="01763"/>
    <s v="29 de Enero de 2019"/>
    <n v="29"/>
    <d v="2019-01-01T00:00:00"/>
    <s v="6.500,00"/>
    <s v="Seis Mil Quinientos Bolívares con 00/100"/>
  </r>
  <r>
    <n v="1764"/>
    <m/>
    <s v="ü"/>
    <d v="2019-01-30T00:00:00"/>
    <n v="2200"/>
    <x v="46"/>
    <x v="43"/>
    <s v="Av. &quot;I&quot; Nro. 146-20"/>
    <s v="Vigilancia: Cancelación saldo mes de Enero 2019"/>
    <s v="Vigilancia"/>
    <m/>
    <s v="01764"/>
    <s v="30 de Enero de 2019"/>
    <n v="30"/>
    <d v="2019-01-01T00:00:00"/>
    <s v="2.200,00"/>
    <s v="Dos Mil Doscientos Bolívares con 00/100"/>
  </r>
  <r>
    <n v="1765"/>
    <m/>
    <s v="ü"/>
    <d v="2019-01-30T00:00:00"/>
    <n v="2200"/>
    <x v="21"/>
    <x v="19"/>
    <s v="Calle Guacara Nro. 89-130"/>
    <s v="Vigilancia: Cancelación saldo mes de Enero 2019"/>
    <s v="Vigilancia"/>
    <m/>
    <s v="01765"/>
    <s v="30 de Enero de 2019"/>
    <n v="30"/>
    <d v="2019-01-01T00:00:00"/>
    <s v="2.200,00"/>
    <s v="Dos Mil Doscientos Bolívares con 00/100"/>
  </r>
  <r>
    <n v="1766"/>
    <m/>
    <s v="ü"/>
    <d v="2019-01-30T00:00:00"/>
    <n v="500"/>
    <x v="60"/>
    <x v="54"/>
    <s v="Calle Guacara Nro. 88-51"/>
    <s v="Vigilancia: Anticipo mes de Enero 2019"/>
    <s v="Vigilancia"/>
    <m/>
    <s v="01766"/>
    <s v="30 de Enero de 2019"/>
    <n v="30"/>
    <d v="2019-01-01T00:00:00"/>
    <s v="500,00"/>
    <s v="Quinientos Bolívares con 00/100"/>
  </r>
  <r>
    <n v="1767"/>
    <m/>
    <s v="ü"/>
    <d v="2019-01-30T00:00:00"/>
    <n v="2200"/>
    <x v="26"/>
    <x v="24"/>
    <s v="Calle Güigüe Nro. 89-96"/>
    <s v="Vigilancia: Cancelación saldo mes de Enero 2019"/>
    <s v="Vigilancia"/>
    <m/>
    <s v="01767"/>
    <s v="30 de Enero de 2019"/>
    <n v="30"/>
    <d v="2019-01-01T00:00:00"/>
    <s v="2.200,00"/>
    <s v="Dos Mil Doscientos Bolívares con 00/100"/>
  </r>
  <r>
    <n v="1768"/>
    <m/>
    <s v="ü"/>
    <d v="2019-01-30T00:00:00"/>
    <n v="2200"/>
    <x v="7"/>
    <x v="7"/>
    <s v="Calle Guacara Nro. 87-86"/>
    <s v="Vigilancia: Cancelación saldo mes de Enero 2019"/>
    <s v="Vigilancia"/>
    <m/>
    <s v="01768"/>
    <s v="30 de Enero de 2019"/>
    <n v="30"/>
    <d v="2019-01-01T00:00:00"/>
    <s v="2.200,00"/>
    <s v="Dos Mil Doscientos Bolívares con 00/100"/>
  </r>
  <r>
    <n v="1769"/>
    <m/>
    <s v="ü"/>
    <d v="2019-01-30T00:00:00"/>
    <n v="3000"/>
    <x v="83"/>
    <x v="70"/>
    <s v="Calle Güigüe Nro. 89-22"/>
    <s v="Cancelación Vigilancia, mes de Enero 2019"/>
    <s v="Vigilancia"/>
    <m/>
    <s v="01769"/>
    <s v="30 de Enero de 2019"/>
    <n v="30"/>
    <d v="2019-01-01T00:00:00"/>
    <s v="3.000,00"/>
    <s v="Tres Mil Bolívares con 00/100"/>
  </r>
  <r>
    <n v="1770"/>
    <m/>
    <s v="ü"/>
    <d v="2019-01-30T00:00:00"/>
    <n v="2200"/>
    <x v="14"/>
    <x v="13"/>
    <s v="Calle Güigüe Nro. 89-83"/>
    <s v="Vigilancia: Cancelación saldo mes de Enero 2019"/>
    <s v="Vigilancia"/>
    <m/>
    <s v="01770"/>
    <s v="30 de Enero de 2019"/>
    <n v="30"/>
    <d v="2019-01-01T00:00:00"/>
    <s v="2.200,00"/>
    <s v="Dos Mil Doscientos Bolívares con 00/100"/>
  </r>
  <r>
    <n v="1771"/>
    <m/>
    <s v="ü"/>
    <d v="2019-01-30T00:00:00"/>
    <n v="2000"/>
    <x v="8"/>
    <x v="78"/>
    <s v="Calle Guacara Nro. 90-51"/>
    <s v="Vigilancia: Cancelación saldo mes de Enero 2019"/>
    <s v="Vigilancia"/>
    <m/>
    <s v="01771"/>
    <s v="30 de Enero de 2019"/>
    <n v="30"/>
    <d v="2019-01-01T00:00:00"/>
    <s v="2.000,00"/>
    <s v="Dos Mil Bolívares con 00/100"/>
  </r>
  <r>
    <n v="1772"/>
    <m/>
    <s v="ü"/>
    <d v="2019-01-30T00:00:00"/>
    <n v="3800"/>
    <x v="95"/>
    <x v="89"/>
    <s v="Calle Güigüe Nro. 89-120"/>
    <s v="Cancelación Vigilancia, meses de Diciembre 2018 y Enero 2019"/>
    <s v="Vigilancia"/>
    <m/>
    <s v="01772"/>
    <s v="30 de Enero de 2019"/>
    <n v="30"/>
    <d v="2019-01-01T00:00:00"/>
    <s v="3.800,00"/>
    <s v="Tres Mil Ochocientos Bolívares con 00/100"/>
  </r>
  <r>
    <n v="1773"/>
    <m/>
    <s v="ü"/>
    <d v="2019-01-30T00:00:00"/>
    <n v="3000"/>
    <x v="62"/>
    <x v="55"/>
    <s v="Av. &quot;M&quot; Nro. 145-10"/>
    <s v="Cancelación Vigilancia, mes de Enero 2019"/>
    <s v="Vigilancia"/>
    <m/>
    <s v="01773"/>
    <s v="30 de Enero de 2019"/>
    <n v="30"/>
    <d v="2019-01-01T00:00:00"/>
    <s v="3.000,00"/>
    <s v="Tres Mil Bolívares con 00/100"/>
  </r>
  <r>
    <n v="1774"/>
    <m/>
    <s v="ü"/>
    <d v="2019-01-30T00:00:00"/>
    <n v="3000"/>
    <x v="23"/>
    <x v="21"/>
    <s v="Calle Güigüe Nro. 88-116"/>
    <s v="Cancelación Vigilancia, mes de Enero 2019"/>
    <s v="Vigilancia"/>
    <m/>
    <s v="01774"/>
    <s v="30 de Enero de 2019"/>
    <n v="30"/>
    <d v="2019-01-01T00:00:00"/>
    <s v="3.000,00"/>
    <s v="Tres Mil Bolívares con 00/100"/>
  </r>
  <r>
    <n v="1775"/>
    <m/>
    <s v="ü"/>
    <d v="2019-01-31T00:00:00"/>
    <n v="3000"/>
    <x v="96"/>
    <x v="90"/>
    <s v="Av. &quot;M&quot; Nro. 146-30"/>
    <s v="Cancelación Vigilancia, mes de Enero 2019"/>
    <s v="Vigilancia"/>
    <m/>
    <s v="01775"/>
    <s v="31 de Enero de 2019"/>
    <n v="31"/>
    <d v="2019-01-01T00:00:00"/>
    <s v="3.000,00"/>
    <s v="Tres Mil Bolívares con 00/100"/>
  </r>
  <r>
    <n v="1776"/>
    <m/>
    <s v="ü"/>
    <d v="2019-01-31T00:00:00"/>
    <n v="3190"/>
    <x v="73"/>
    <x v="9"/>
    <s v="Calle Güigüe Nros. 88-71 y 88-81"/>
    <s v="Vigilancia: Cancelación saldo mes de Enero 2019"/>
    <s v="Vigilancia"/>
    <m/>
    <s v="01776"/>
    <s v="31 de Enero de 2019"/>
    <n v="31"/>
    <d v="2019-01-01T00:00:00"/>
    <s v="3.190,00"/>
    <s v="Tres Mil Ciento Noventa Bolívares con 00/100"/>
  </r>
  <r>
    <n v="1777"/>
    <m/>
    <s v="ü"/>
    <d v="2019-01-31T00:00:00"/>
    <n v="1500"/>
    <x v="60"/>
    <x v="54"/>
    <s v="Calle Guacara Nro. 88-51"/>
    <s v="Vigilancia: Cancelación saldo mes de Enero y anticipo mes de Febrero 2019"/>
    <s v="Vigilancia"/>
    <m/>
    <s v="01777"/>
    <s v="31 de Enero de 2019"/>
    <n v="31"/>
    <d v="2019-01-01T00:00:00"/>
    <s v="1.500,00"/>
    <s v="Mil Quinientos Bolívares con 00/100"/>
  </r>
  <r>
    <n v="1778"/>
    <m/>
    <s v="ü"/>
    <d v="2019-01-31T00:00:00"/>
    <n v="2200"/>
    <x v="19"/>
    <x v="17"/>
    <s v="Calle Guacara Nro. 89-130"/>
    <s v="Vigilancia: Cancelación saldo mes de Enero 2019"/>
    <s v="Vigilancia"/>
    <m/>
    <s v="01778"/>
    <s v="31 de Enero de 2019"/>
    <n v="31"/>
    <d v="2019-01-01T00:00:00"/>
    <s v="2.200,00"/>
    <s v="Dos Mil Doscientos Bolívares con 00/100"/>
  </r>
  <r>
    <n v="1779"/>
    <m/>
    <s v="ü"/>
    <d v="2019-01-31T00:00:00"/>
    <n v="2200"/>
    <x v="25"/>
    <x v="23"/>
    <s v="Calle Güigüe Nro. 88-58"/>
    <s v="Vigilancia: Cancelación saldo mes de Enero 2019"/>
    <s v="Vigilancia"/>
    <m/>
    <s v="01779"/>
    <s v="31 de Enero de 2019"/>
    <n v="31"/>
    <d v="2019-01-01T00:00:00"/>
    <s v="2.200,00"/>
    <s v="Dos Mil Doscientos Bolívares con 00/100"/>
  </r>
  <r>
    <n v="1780"/>
    <m/>
    <s v="ü"/>
    <d v="2019-01-31T00:00:00"/>
    <n v="3000"/>
    <x v="10"/>
    <x v="10"/>
    <s v="Av. &quot;M&quot; Nro. 146-15"/>
    <s v="Cancelación Vigilancia, mes de Enero 2019"/>
    <s v="Vigilancia"/>
    <m/>
    <s v="01780"/>
    <s v="31 de Enero de 2019"/>
    <n v="31"/>
    <d v="2019-01-01T00:00:00"/>
    <s v="3.000,00"/>
    <s v="Tres Mil Bolívares con 00/100"/>
  </r>
  <r>
    <n v="1781"/>
    <m/>
    <s v="ü"/>
    <d v="2019-02-01T00:00:00"/>
    <n v="2200"/>
    <x v="59"/>
    <x v="9"/>
    <s v="Calle Guacara Nro. 90-35"/>
    <s v="Vigilancia: Cancelación saldo mes de Enero 2019"/>
    <s v="Vigilancia"/>
    <m/>
    <s v="01781"/>
    <s v="01 de Febrero de 2019"/>
    <n v="1"/>
    <d v="2019-02-01T00:00:00"/>
    <s v="2.200,00"/>
    <s v="Dos Mil Doscientos Bolívares con 00/100"/>
  </r>
  <r>
    <n v="1782"/>
    <m/>
    <s v="ü"/>
    <d v="2019-01-21T00:00:00"/>
    <n v="5200"/>
    <x v="11"/>
    <x v="11"/>
    <s v="Calle Guacara Nro. 89-86"/>
    <s v="Vigilancia: Cancelación saldo mes de Enero y mes de Febrero 2019"/>
    <s v="Vigilancia"/>
    <m/>
    <s v="01782"/>
    <s v="21 de Enero de 2019"/>
    <n v="21"/>
    <d v="2019-01-01T00:00:00"/>
    <s v="5.200,00"/>
    <s v="Cinco Mil Doscientos Bolívares con 00/100"/>
  </r>
  <r>
    <n v="1783"/>
    <m/>
    <s v="ü"/>
    <d v="2019-01-30T00:00:00"/>
    <n v="1425"/>
    <x v="4"/>
    <x v="4"/>
    <s v="Calle Güigüe Nro. 89-55"/>
    <s v="Vigilancia: Anticipo mes de Febrero 2019 (contra factura)"/>
    <s v="Vigilancia"/>
    <m/>
    <s v="01783"/>
    <s v="30 de Enero de 2019"/>
    <n v="30"/>
    <d v="2019-01-01T00:00:00"/>
    <s v="1.425,00"/>
    <s v="Mil Cuatrocientos Veinticinco Bolívares con 00/100"/>
  </r>
  <r>
    <n v="1784"/>
    <m/>
    <s v="ü"/>
    <d v="2019-02-02T00:00:00"/>
    <n v="4000"/>
    <x v="6"/>
    <x v="6"/>
    <s v="Calle Guacara Nro. 89-60"/>
    <s v="Cancelación Vigilancia, mes de Febrero 2019"/>
    <s v="Vigilancia"/>
    <m/>
    <s v="01784"/>
    <s v="02 de Febrero de 2019"/>
    <n v="2"/>
    <d v="2019-02-01T00:00:00"/>
    <s v="4.000,00"/>
    <s v="Cuatro Mil Bolívares con 00/100"/>
  </r>
  <r>
    <n v="1785"/>
    <m/>
    <s v="ü"/>
    <d v="2019-02-04T00:00:00"/>
    <n v="800"/>
    <x v="17"/>
    <x v="74"/>
    <s v="Av. &quot;M&quot; Nro. 146-20"/>
    <s v="Cancelación Vigilancia, mes de Diciembre 2018"/>
    <s v="Vigilancia"/>
    <m/>
    <s v="01785"/>
    <s v="04 de Febrero de 2019"/>
    <n v="4"/>
    <d v="2019-02-01T00:00:00"/>
    <s v="800,00"/>
    <s v="Ochocientos Bolívares con 00/100"/>
  </r>
  <r>
    <n v="1786"/>
    <m/>
    <s v="ü"/>
    <d v="2019-02-04T00:00:00"/>
    <n v="5200"/>
    <x v="54"/>
    <x v="50"/>
    <s v="Calle Güigüe Nro. 89-21"/>
    <s v="Vigilancia: Cancelación saldo mes de Enero y mes de Febrero 2019"/>
    <s v="Vigilancia"/>
    <m/>
    <s v="01786"/>
    <s v="04 de Febrero de 2019"/>
    <n v="4"/>
    <d v="2019-02-01T00:00:00"/>
    <s v="5.200,00"/>
    <s v="Cinco Mil Doscientos Bolívares con 00/100"/>
  </r>
  <r>
    <n v="1787"/>
    <m/>
    <s v="ü"/>
    <d v="2019-02-04T00:00:00"/>
    <n v="3000"/>
    <x v="53"/>
    <x v="80"/>
    <s v="Calle Guacara Nro. 88-91"/>
    <s v="Cancelación Vigilancia, mes de Enero 2019"/>
    <s v="Vigilancia"/>
    <m/>
    <s v="01787"/>
    <s v="04 de Febrero de 2019"/>
    <n v="4"/>
    <d v="2019-02-01T00:00:00"/>
    <s v="3.000,00"/>
    <s v="Tres Mil Bolívares con 00/100"/>
  </r>
  <r>
    <n v="1788"/>
    <m/>
    <s v="ü"/>
    <d v="2019-02-04T00:00:00"/>
    <n v="300"/>
    <x v="5"/>
    <x v="9"/>
    <s v="Calle Güigüe Nro. 88-120"/>
    <s v="Vigilancia: Anticipo mes de Febrero 2019"/>
    <s v="Vigilancia"/>
    <m/>
    <s v="01788"/>
    <s v="04 de Febrero de 2019"/>
    <n v="4"/>
    <d v="2019-02-01T00:00:00"/>
    <s v="300,00"/>
    <s v="Trescientos Bolívares con 00/100"/>
  </r>
  <r>
    <n v="1789"/>
    <m/>
    <s v="ü"/>
    <d v="2019-02-04T00:00:00"/>
    <n v="5700"/>
    <x v="5"/>
    <x v="9"/>
    <s v="Calle Güigüe Nro. 88-120"/>
    <s v="Vigilancia: Cancelación saldo meses de Enero y Febrero y anticipo mes de Marzo 2019"/>
    <s v="Vigilancia"/>
    <m/>
    <s v="01789"/>
    <s v="04 de Febrero de 2019"/>
    <n v="4"/>
    <d v="2019-02-01T00:00:00"/>
    <s v="5.700,00"/>
    <s v="Cinco Mil Setecientos Bolívares con 00/100"/>
  </r>
  <r>
    <n v="1790"/>
    <m/>
    <s v="ü"/>
    <d v="2019-02-07T00:00:00"/>
    <n v="600"/>
    <x v="2"/>
    <x v="83"/>
    <s v="Calle Guacara Nro. 88-19"/>
    <s v="Colaboración Vigilancia, mes de Enero 2019"/>
    <s v="Vigilancia"/>
    <m/>
    <s v="01790"/>
    <s v="07 de Febrero de 2019"/>
    <n v="7"/>
    <d v="2019-02-01T00:00:00"/>
    <s v="600,00"/>
    <s v="Seiscientos Bolívares con 00/100"/>
  </r>
  <r>
    <n v="1791"/>
    <m/>
    <s v="ü"/>
    <d v="2019-02-04T00:00:00"/>
    <n v="3000"/>
    <x v="1"/>
    <x v="1"/>
    <s v="Calle Güigüe Nro. 88-44"/>
    <s v="Cancelación Vigilancia, mes de Febrero 2019"/>
    <s v="Vigilancia"/>
    <m/>
    <s v="01791"/>
    <s v="04 de Febrero de 2019"/>
    <n v="4"/>
    <d v="2019-02-01T00:00:00"/>
    <s v="3.000,00"/>
    <s v="Tres Mil Bolívares con 00/100"/>
  </r>
  <r>
    <n v="1792"/>
    <m/>
    <s v="ü"/>
    <d v="2019-02-06T00:00:00"/>
    <n v="3000"/>
    <x v="48"/>
    <x v="9"/>
    <s v="Calle Güigüe Nro. 88-90"/>
    <s v="Cancelación Vigilancia, mes de Enero 2019"/>
    <s v="Vigilancia"/>
    <m/>
    <s v="01792"/>
    <s v="06 de Febrero de 2019"/>
    <n v="6"/>
    <d v="2019-02-01T00:00:00"/>
    <s v="3.000,00"/>
    <s v="Tres Mil Bolívares con 00/100"/>
  </r>
  <r>
    <n v="1793"/>
    <m/>
    <s v="ü"/>
    <d v="2019-02-06T00:00:00"/>
    <n v="3000"/>
    <x v="90"/>
    <x v="82"/>
    <s v="Calle Güigüe Nro. 89-04"/>
    <s v="Cancelación Vigilancia, mes de Febrero 2019"/>
    <s v="Vigilancia"/>
    <m/>
    <s v="01793"/>
    <s v="06 de Febrero de 2019"/>
    <n v="6"/>
    <d v="2019-02-01T00:00:00"/>
    <s v="3.000,00"/>
    <s v="Tres Mil Bolívares con 00/100"/>
  </r>
  <r>
    <n v="1794"/>
    <m/>
    <s v="ü"/>
    <d v="2019-02-06T00:00:00"/>
    <n v="300"/>
    <x v="74"/>
    <x v="64"/>
    <s v="Calle Güigüe Nro. 88-20"/>
    <s v="Colaboración Vigilancia, mes de Enero 2019"/>
    <s v="Vigilancia"/>
    <m/>
    <s v="01794"/>
    <s v="06 de Febrero de 2019"/>
    <n v="6"/>
    <d v="2019-02-01T00:00:00"/>
    <s v="300,00"/>
    <s v="Trescientos Bolívares con 00/100"/>
  </r>
  <r>
    <n v="1795"/>
    <m/>
    <s v="ü"/>
    <d v="2019-02-06T00:00:00"/>
    <n v="2300"/>
    <x v="2"/>
    <x v="83"/>
    <s v="Calle Guacara Nro. 88-19"/>
    <s v="Colaboración Vigilancia, mes de Febrero 2019"/>
    <s v="Vigilancia"/>
    <m/>
    <s v="01795"/>
    <s v="06 de Febrero de 2019"/>
    <n v="6"/>
    <d v="2019-02-01T00:00:00"/>
    <s v="2.300,00"/>
    <s v="Dos Mil Trescientos Bolívares con 00/100"/>
  </r>
  <r>
    <n v="1796"/>
    <m/>
    <s v="ü"/>
    <d v="2019-02-06T00:00:00"/>
    <n v="320"/>
    <x v="56"/>
    <x v="52"/>
    <s v="Calle Güigüe Nro. 88-70"/>
    <s v="Cancelación Vigilancia, mes de Noviembre 2018"/>
    <s v="Vigilancia"/>
    <m/>
    <s v="01796"/>
    <s v="06 de Febrero de 2019"/>
    <n v="6"/>
    <d v="2019-02-01T00:00:00"/>
    <s v="320,00"/>
    <s v="Trescientos Veinte Bolívares con 00/100"/>
  </r>
  <r>
    <n v="1797"/>
    <m/>
    <s v="ü"/>
    <d v="2019-02-07T00:00:00"/>
    <n v="5200"/>
    <x v="75"/>
    <x v="65"/>
    <s v="Av. &quot;Ñ&quot; Nro. 145-25"/>
    <s v="Vigilancia: Cancelación saldo mes de Enero y mes de Febrero 2019 (saldo a favor: Bs. 31.352,00)"/>
    <s v="Vigilancia"/>
    <m/>
    <s v="01797"/>
    <s v="07 de Febrero de 2019"/>
    <n v="7"/>
    <d v="2019-02-01T00:00:00"/>
    <s v="5.200,00"/>
    <s v="Cinco Mil Doscientos Bolívares con 00/100"/>
  </r>
  <r>
    <n v="1798"/>
    <m/>
    <s v="ü"/>
    <d v="2019-02-08T00:00:00"/>
    <n v="3000"/>
    <x v="81"/>
    <x v="69"/>
    <s v="Calle Güigüe Nro. 89-65"/>
    <s v="Cancelación Vigilancia, mes de Febrero 2019"/>
    <s v="Vigilancia"/>
    <m/>
    <s v="01798"/>
    <s v="08 de Febrero de 2019"/>
    <n v="8"/>
    <d v="2019-02-01T00:00:00"/>
    <s v="3.000,00"/>
    <s v="Tres Mil Bolívares con 00/100"/>
  </r>
  <r>
    <n v="1799"/>
    <m/>
    <s v="ü"/>
    <d v="2019-02-09T00:00:00"/>
    <n v="3000"/>
    <x v="69"/>
    <x v="61"/>
    <s v="Calle Güigüe Nro. 89-40"/>
    <s v="Cancelación Vigilancia, mes de Febrero 2019"/>
    <s v="Vigilancia"/>
    <m/>
    <s v="01799"/>
    <s v="09 de Febrero de 2019"/>
    <n v="9"/>
    <d v="2019-02-01T00:00:00"/>
    <s v="3.000,00"/>
    <s v="Tres Mil Bolívares con 00/100"/>
  </r>
  <r>
    <n v="1800"/>
    <m/>
    <s v="ü"/>
    <d v="2019-02-09T00:00:00"/>
    <n v="1500"/>
    <x v="71"/>
    <x v="62"/>
    <s v="Calle Güigüe Nro. 89-71"/>
    <s v="Colaboración Vigilancia, mes de Enero 2019"/>
    <s v="Vigilancia"/>
    <m/>
    <s v="01800"/>
    <s v="09 de Febrero de 2019"/>
    <n v="9"/>
    <d v="2019-02-01T00:00:00"/>
    <s v="1.500,00"/>
    <s v="Mil Quinientos Bolívares con 00/100"/>
  </r>
  <r>
    <n v="1801"/>
    <m/>
    <s v="ü"/>
    <d v="2019-02-09T00:00:00"/>
    <n v="3000"/>
    <x v="7"/>
    <x v="7"/>
    <s v="Calle Guacara Nro. 87-86"/>
    <s v="Cancelación Vigilancia, mes de Febrero 2019"/>
    <s v="Vigilancia"/>
    <m/>
    <s v="01801"/>
    <s v="09 de Febrero de 2019"/>
    <n v="9"/>
    <d v="2019-02-01T00:00:00"/>
    <s v="3.000,00"/>
    <s v="Tres Mil Bolívares con 00/100"/>
  </r>
  <r>
    <n v="1802"/>
    <m/>
    <s v="ü"/>
    <d v="2019-02-09T00:00:00"/>
    <n v="3000"/>
    <x v="20"/>
    <x v="18"/>
    <s v="Calle Guacara Nro. 89-30"/>
    <s v="Cancelación Vigilancia, mes de Febrero 2019"/>
    <s v="Vigilancia"/>
    <m/>
    <s v="01802"/>
    <s v="09 de Febrero de 2019"/>
    <n v="9"/>
    <d v="2019-02-01T00:00:00"/>
    <s v="3.000,00"/>
    <s v="Tres Mil Bolívares con 00/100"/>
  </r>
  <r>
    <n v="1803"/>
    <m/>
    <s v="ü"/>
    <d v="2019-02-09T00:00:00"/>
    <n v="3000"/>
    <x v="63"/>
    <x v="56"/>
    <s v="Calle Guacara Nro. 88-85"/>
    <s v="Cancelación Vigilancia, mes de Febrero 2019"/>
    <s v="Vigilancia"/>
    <m/>
    <s v="01803"/>
    <s v="09 de Febrero de 2019"/>
    <n v="9"/>
    <d v="2019-02-01T00:00:00"/>
    <s v="3.000,00"/>
    <s v="Tres Mil Bolívares con 00/100"/>
  </r>
  <r>
    <n v="1804"/>
    <m/>
    <s v="ü"/>
    <d v="2019-02-09T00:00:00"/>
    <n v="3000"/>
    <x v="12"/>
    <x v="12"/>
    <s v="Calle Guacara Nro. 89-20"/>
    <s v="Cancelación Vigilancia, mes de Febrero 2019"/>
    <s v="Vigilancia"/>
    <m/>
    <s v="01804"/>
    <s v="09 de Febrero de 2019"/>
    <n v="9"/>
    <d v="2019-02-01T00:00:00"/>
    <s v="3.000,00"/>
    <s v="Tres Mil Bolívares con 00/100"/>
  </r>
  <r>
    <n v="1805"/>
    <m/>
    <s v="ü"/>
    <d v="2019-02-11T00:00:00"/>
    <n v="3000"/>
    <x v="62"/>
    <x v="55"/>
    <s v="Av. &quot;M&quot; Nro. 145-10"/>
    <s v="Cancelación Vigilancia, mes de Febrero 2019"/>
    <s v="Vigilancia"/>
    <m/>
    <s v="01805"/>
    <s v="11 de Febrero de 2019"/>
    <n v="11"/>
    <d v="2019-02-01T00:00:00"/>
    <s v="3.000,00"/>
    <s v="Tres Mil Bolívares con 00/100"/>
  </r>
  <r>
    <n v="1806"/>
    <m/>
    <s v="ü"/>
    <d v="2019-02-12T00:00:00"/>
    <n v="6000"/>
    <x v="27"/>
    <x v="25"/>
    <s v="Calle Güigüe Nro. 89-106"/>
    <s v="Cancelación Vigilancia, meses de Enero y Febrero 2019"/>
    <s v="Vigilancia"/>
    <m/>
    <s v="01806"/>
    <s v="12 de Febrero de 2019"/>
    <n v="12"/>
    <d v="2019-02-01T00:00:00"/>
    <s v="6.000,00"/>
    <s v="Seis Mil Bolívares con 00/100"/>
  </r>
  <r>
    <n v="1807"/>
    <m/>
    <s v="ü"/>
    <d v="2019-02-13T00:00:00"/>
    <n v="5200"/>
    <x v="65"/>
    <x v="58"/>
    <s v="Calle Güigüe Nro. 88-10"/>
    <s v="Vigilancia: Cancelación saldo mes de Enero y mes de Febrero 2019"/>
    <s v="Vigilancia"/>
    <m/>
    <s v="01807"/>
    <s v="13 de Febrero de 2019"/>
    <n v="13"/>
    <d v="2019-02-01T00:00:00"/>
    <s v="5.200,00"/>
    <s v="Cinco Mil Doscientos Bolívares con 00/100"/>
  </r>
  <r>
    <n v="1808"/>
    <m/>
    <s v="ü"/>
    <d v="2019-02-13T00:00:00"/>
    <n v="3000"/>
    <x v="0"/>
    <x v="0"/>
    <s v="Calle Guacara Nro. 88-45"/>
    <s v="Vigilancia: Cancelación saldo mes de Febrero 2019 (saldo a favor: Bs. 3.862,95)"/>
    <s v="Vigilancia"/>
    <m/>
    <s v="01808"/>
    <s v="13 de Febrero de 2019"/>
    <n v="13"/>
    <d v="2019-02-01T00:00:00"/>
    <s v="3.000,00"/>
    <s v="Tres Mil Bolívares con 00/100"/>
  </r>
  <r>
    <n v="1809"/>
    <m/>
    <s v="ü"/>
    <d v="2019-02-14T00:00:00"/>
    <n v="2200"/>
    <x v="5"/>
    <x v="9"/>
    <s v="Calle Güigüe Nro. 88-120"/>
    <s v="Vigilancia: Cancelación saldo mes de Marzo 2019"/>
    <s v="Vigilancia"/>
    <m/>
    <s v="01809"/>
    <s v="14 de Febrero de 2019"/>
    <n v="14"/>
    <d v="2019-02-01T00:00:00"/>
    <s v="2.200,00"/>
    <s v="Dos Mil Doscientos Bolívares con 00/100"/>
  </r>
  <r>
    <n v="1810"/>
    <m/>
    <s v="ü"/>
    <d v="2019-02-14T00:00:00"/>
    <n v="3000"/>
    <x v="22"/>
    <x v="20"/>
    <s v="Calle Guacara Nro. 88-25"/>
    <s v="Cancelación Vigilancia, mes de Enero 2019"/>
    <s v="Vigilancia"/>
    <m/>
    <s v="01810"/>
    <s v="14 de Febrero de 2019"/>
    <n v="14"/>
    <d v="2019-02-01T00:00:00"/>
    <s v="3.000,00"/>
    <s v="Tres Mil Bolívares con 00/100"/>
  </r>
  <r>
    <n v="1811"/>
    <m/>
    <s v="ü"/>
    <d v="2019-02-14T00:00:00"/>
    <n v="3000"/>
    <x v="92"/>
    <x v="86"/>
    <s v="Calle Guacara Nro. 88-A-10"/>
    <s v="Cancelación Vigilancia, mes de Febrero 2019 (saldo a favor: Bs. 14.005,80)"/>
    <s v="Vigilancia"/>
    <m/>
    <s v="01811"/>
    <s v="14 de Febrero de 2019"/>
    <n v="14"/>
    <d v="2019-02-01T00:00:00"/>
    <s v="3.000,00"/>
    <s v="Tres Mil Bolívares con 00/100"/>
  </r>
  <r>
    <n v="1812"/>
    <m/>
    <s v="ü"/>
    <d v="2019-02-13T00:00:00"/>
    <n v="1500"/>
    <x v="72"/>
    <x v="63"/>
    <s v="Calle Güigüe Nro. 89-35"/>
    <s v="Colaboración Vigilancia, mes de Febrero 2019"/>
    <s v="Vigilancia"/>
    <m/>
    <s v="01812"/>
    <s v="13 de Febrero de 2019"/>
    <n v="13"/>
    <d v="2019-02-01T00:00:00"/>
    <s v="1.500,00"/>
    <s v="Mil Quinientos Bolívares con 00/100"/>
  </r>
  <r>
    <n v="1813"/>
    <m/>
    <s v="ü"/>
    <d v="2019-02-15T00:00:00"/>
    <n v="3000"/>
    <x v="25"/>
    <x v="23"/>
    <s v="Calle Güigüe Nro. 88-58"/>
    <s v="Cancelación Vigilancia, mes de Febrero 2019"/>
    <s v="Vigilancia"/>
    <m/>
    <s v="01813"/>
    <s v="15 de Febrero de 2019"/>
    <n v="15"/>
    <d v="2019-02-01T00:00:00"/>
    <s v="3.000,00"/>
    <s v="Tres Mil Bolívares con 00/100"/>
  </r>
  <r>
    <n v="1814"/>
    <m/>
    <s v="ü"/>
    <d v="2019-02-17T00:00:00"/>
    <n v="3000"/>
    <x v="58"/>
    <x v="53"/>
    <s v="Calle Güigüe Nro. 88-51"/>
    <s v="Cancelación Vigilancia, mes de Febrero 2019"/>
    <s v="Vigilancia"/>
    <m/>
    <s v="01814"/>
    <s v="17 de Febrero de 2019"/>
    <n v="17"/>
    <d v="2019-02-01T00:00:00"/>
    <s v="3.000,00"/>
    <s v="Tres Mil Bolívares con 00/100"/>
  </r>
  <r>
    <n v="1815"/>
    <m/>
    <s v="û"/>
    <d v="2019-02-17T00:00:00"/>
    <n v="3000"/>
    <x v="37"/>
    <x v="34"/>
    <s v="Av. &quot;I&quot; Nro. 146-40"/>
    <s v="ANULADO; Cancelación Vigilancia, mes de Febrero 2019"/>
    <s v="ANULADO"/>
    <m/>
    <s v="01815"/>
    <s v="17 de Febrero de 2019"/>
    <n v="17"/>
    <d v="2019-02-01T00:00:00"/>
    <s v="3.000,00"/>
    <s v="Tres Mil Bolívares con 00/100"/>
  </r>
  <r>
    <n v="1816"/>
    <m/>
    <s v="ü"/>
    <d v="2019-02-18T00:00:00"/>
    <n v="3000"/>
    <x v="8"/>
    <x v="78"/>
    <s v="Calle Guacara Nro. 90-51"/>
    <s v="Cancelación Vigilancia, mes de Febrero 2019"/>
    <s v="Vigilancia"/>
    <m/>
    <s v="01816"/>
    <s v="18 de Febrero de 2019"/>
    <n v="18"/>
    <d v="2019-02-01T00:00:00"/>
    <s v="3.000,00"/>
    <s v="Tres Mil Bolívares con 00/100"/>
  </r>
  <r>
    <n v="1817"/>
    <m/>
    <s v="ü"/>
    <d v="2019-02-19T00:00:00"/>
    <n v="1575"/>
    <x v="4"/>
    <x v="4"/>
    <s v="Calle Güigüe Nro. 89-55"/>
    <s v="Vigilancia: Cancelación saldo mes de Febrero 2019"/>
    <s v="Vigilancia"/>
    <m/>
    <s v="01817"/>
    <s v="19 de Febrero de 2019"/>
    <n v="19"/>
    <d v="2019-02-01T00:00:00"/>
    <s v="1.575,00"/>
    <s v="Mil Quinientos Setenta y Cinco Bolívares con 00/100"/>
  </r>
  <r>
    <n v="1818"/>
    <m/>
    <s v="ü"/>
    <d v="2019-02-20T00:00:00"/>
    <n v="3000"/>
    <x v="88"/>
    <x v="76"/>
    <s v="Calle Güigüe Nro. 88-11"/>
    <s v="Cancelación Vigilancia, mes de Febrero 2019"/>
    <s v="Vigilancia"/>
    <m/>
    <s v="01818"/>
    <s v="20 de Febrero de 2019"/>
    <n v="20"/>
    <d v="2019-02-01T00:00:00"/>
    <s v="3.000,00"/>
    <s v="Tres Mil Bolívares con 00/100"/>
  </r>
  <r>
    <n v="1819"/>
    <m/>
    <s v="ü"/>
    <d v="2019-02-22T00:00:00"/>
    <n v="600"/>
    <x v="68"/>
    <x v="60"/>
    <s v="Calle Güigüe Nro. 89-29"/>
    <s v="Colaboración Vigilancia, mes de Enero 2019"/>
    <s v="Vigilancia"/>
    <m/>
    <s v="01819"/>
    <s v="22 de Febrero de 2019"/>
    <n v="22"/>
    <d v="2019-02-01T00:00:00"/>
    <s v="600,00"/>
    <s v="Seiscientos Bolívares con 00/100"/>
  </r>
  <r>
    <n v="1820"/>
    <m/>
    <s v="ü"/>
    <d v="2019-02-22T00:00:00"/>
    <n v="3000"/>
    <x v="15"/>
    <x v="14"/>
    <s v="Calle Guacara Nro. 89-94"/>
    <s v="Cancelación Vigilancia, mes de Febrero 2019"/>
    <s v="Vigilancia"/>
    <m/>
    <s v="01820"/>
    <s v="22 de Febrero de 2019"/>
    <n v="22"/>
    <d v="2019-02-01T00:00:00"/>
    <s v="3.000,00"/>
    <s v="Tres Mil Bolívares con 00/100"/>
  </r>
  <r>
    <n v="1821"/>
    <m/>
    <s v="ü"/>
    <d v="2019-02-24T00:00:00"/>
    <n v="3000"/>
    <x v="18"/>
    <x v="16"/>
    <s v="Calle Guacara Nro. 87-100"/>
    <s v="Cancelación Vigilancia, mes de Marzo 2019"/>
    <s v="Vigilancia"/>
    <m/>
    <s v="01821"/>
    <s v="24 de Febrero de 2019"/>
    <n v="24"/>
    <d v="2019-02-01T00:00:00"/>
    <s v="3.000,00"/>
    <s v="Tres Mil Bolívares con 00/100"/>
  </r>
  <r>
    <n v="1822"/>
    <m/>
    <s v="ü"/>
    <d v="2019-02-25T00:00:00"/>
    <n v="6000"/>
    <x v="87"/>
    <x v="75"/>
    <s v="Calle Güigüe Nro. 88-06"/>
    <s v="Vigilancia: Cancelación saldo mes de Enero, mes de Febrero y anticipo mes de Marzo 2019"/>
    <s v="Vigilancia"/>
    <m/>
    <s v="01822"/>
    <s v="25 de Febrero de 2019"/>
    <n v="25"/>
    <d v="2019-02-01T00:00:00"/>
    <s v="6.000,00"/>
    <s v="Seis Mil Bolívares con 00/100"/>
  </r>
  <r>
    <n v="1823"/>
    <m/>
    <s v="ü"/>
    <d v="2019-02-25T00:00:00"/>
    <n v="3000"/>
    <x v="35"/>
    <x v="32"/>
    <s v="Calle Güigüe Nro. 89-80"/>
    <s v="Cancelación Vigilancia, mes de Febrero 2019"/>
    <s v="Vigilancia"/>
    <m/>
    <s v="01823"/>
    <s v="25 de Febrero de 2019"/>
    <n v="25"/>
    <d v="2019-02-01T00:00:00"/>
    <s v="3.000,00"/>
    <s v="Tres Mil Bolívares con 00/100"/>
  </r>
  <r>
    <n v="1824"/>
    <m/>
    <s v="ü"/>
    <d v="2019-02-25T00:00:00"/>
    <n v="3000"/>
    <x v="59"/>
    <x v="9"/>
    <s v="Calle Guacara Nro. 90-35"/>
    <s v="Cancelación Vigilancia, mes de Febrero 2019"/>
    <s v="Vigilancia"/>
    <m/>
    <s v="01824"/>
    <s v="25 de Febrero de 2019"/>
    <n v="25"/>
    <d v="2019-02-01T00:00:00"/>
    <s v="3.000,00"/>
    <s v="Tres Mil Bolívares con 00/100"/>
  </r>
  <r>
    <n v="1825"/>
    <m/>
    <s v="ü"/>
    <d v="2019-02-25T00:00:00"/>
    <n v="3000"/>
    <x v="23"/>
    <x v="21"/>
    <s v="Calle Güigüe Nro. 88-116"/>
    <s v="Cancelación Vigilancia, mes de Febrero 2019"/>
    <s v="Vigilancia"/>
    <m/>
    <s v="01825"/>
    <s v="25 de Febrero de 2019"/>
    <n v="25"/>
    <d v="2019-02-01T00:00:00"/>
    <s v="3.000,00"/>
    <s v="Tres Mil Bolívares con 00/100"/>
  </r>
  <r>
    <n v="1826"/>
    <m/>
    <s v="ü"/>
    <d v="2019-02-25T00:00:00"/>
    <n v="3000"/>
    <x v="77"/>
    <x v="85"/>
    <s v="Calle Guacara Nro. 88-65"/>
    <s v="Cancelación Vigilancia, mes de Febrero 2019"/>
    <s v="Vigilancia"/>
    <m/>
    <s v="01826"/>
    <s v="25 de Febrero de 2019"/>
    <n v="25"/>
    <d v="2019-02-01T00:00:00"/>
    <s v="3.000,00"/>
    <s v="Tres Mil Bolívares con 00/100"/>
  </r>
  <r>
    <n v="1827"/>
    <m/>
    <s v="ü"/>
    <d v="2019-02-25T00:00:00"/>
    <n v="3000"/>
    <x v="76"/>
    <x v="66"/>
    <s v="Calle Güigüe Nro. 89-90"/>
    <s v="Cancelación Vigilancia, mes de Febrero 2019"/>
    <s v="Vigilancia"/>
    <m/>
    <s v="01827"/>
    <s v="25 de Febrero de 2019"/>
    <n v="25"/>
    <d v="2019-02-01T00:00:00"/>
    <s v="3.000,00"/>
    <s v="Tres Mil Bolívares con 00/100"/>
  </r>
  <r>
    <n v="1828"/>
    <m/>
    <s v="ü"/>
    <d v="2019-02-25T00:00:00"/>
    <n v="1500"/>
    <x v="68"/>
    <x v="60"/>
    <s v="Calle Güigüe Nro. 89-29"/>
    <s v="Colaboración Vigilancia, mes de Febrero 2019"/>
    <s v="Vigilancia"/>
    <m/>
    <s v="01828"/>
    <s v="25 de Febrero de 2019"/>
    <n v="25"/>
    <d v="2019-02-01T00:00:00"/>
    <s v="1.500,00"/>
    <s v="Mil Quinientos Bolívares con 00/100"/>
  </r>
  <r>
    <n v="1829"/>
    <m/>
    <s v="ü"/>
    <d v="2019-02-26T00:00:00"/>
    <n v="3000"/>
    <x v="56"/>
    <x v="52"/>
    <s v="Calle Güigüe Nro. 88-70"/>
    <s v="Cancelación Vigilancia, mes de Febrero 2019"/>
    <s v="Vigilancia"/>
    <m/>
    <s v="01829"/>
    <s v="26 de Febrero de 2019"/>
    <n v="26"/>
    <d v="2019-02-01T00:00:00"/>
    <s v="3.000,00"/>
    <s v="Tres Mil Bolívares con 00/100"/>
  </r>
  <r>
    <n v="1830"/>
    <m/>
    <s v="ü"/>
    <d v="2019-02-17T00:00:00"/>
    <n v="3000"/>
    <x v="61"/>
    <x v="14"/>
    <s v="Calle Guacara Nro. 87-07"/>
    <s v="Cancelación Vigilancia, mes de Febrero 2019"/>
    <s v="Vigilancia"/>
    <m/>
    <s v="01830"/>
    <s v="17 de Febrero de 2019"/>
    <n v="17"/>
    <d v="2019-02-01T00:00:00"/>
    <s v="3.000,00"/>
    <s v="Tres Mil Bolívares con 00/100"/>
  </r>
  <r>
    <n v="1831"/>
    <m/>
    <s v="ü"/>
    <d v="2019-02-26T00:00:00"/>
    <n v="3000"/>
    <x v="83"/>
    <x v="70"/>
    <s v="Calle Güigüe Nro. 89-22"/>
    <s v="Cancelación Vigilancia, mes de Febrero 2019"/>
    <s v="Vigilancia"/>
    <m/>
    <s v="01831"/>
    <s v="26 de Febrero de 2019"/>
    <n v="26"/>
    <d v="2019-02-01T00:00:00"/>
    <s v="3.000,00"/>
    <s v="Tres Mil Bolívares con 00/100"/>
  </r>
  <r>
    <n v="1832"/>
    <m/>
    <s v="ü"/>
    <d v="2019-02-27T00:00:00"/>
    <n v="3000"/>
    <x v="44"/>
    <x v="41"/>
    <s v="Calle Guacara Nro. 89-40"/>
    <s v="Cancelación Vigilancia, mes de Febrero 2019"/>
    <s v="Vigilancia"/>
    <m/>
    <s v="01832"/>
    <s v="27 de Febrero de 2019"/>
    <n v="27"/>
    <d v="2019-02-01T00:00:00"/>
    <s v="3.000,00"/>
    <s v="Tres Mil Bolívares con 00/100"/>
  </r>
  <r>
    <n v="1833"/>
    <m/>
    <s v="ü"/>
    <d v="2019-02-26T00:00:00"/>
    <n v="3000"/>
    <x v="53"/>
    <x v="80"/>
    <s v="Calle Guacara Nro. 88-91"/>
    <s v="Cancelación Vigilancia, mes de Febrero 2019"/>
    <s v="Vigilancia"/>
    <m/>
    <s v="01833"/>
    <s v="26 de Febrero de 2019"/>
    <n v="26"/>
    <d v="2019-02-01T00:00:00"/>
    <s v="3.000,00"/>
    <s v="Tres Mil Bolívares con 00/100"/>
  </r>
  <r>
    <n v="1834"/>
    <m/>
    <s v="ü"/>
    <d v="2019-02-27T00:00:00"/>
    <n v="3000"/>
    <x v="69"/>
    <x v="61"/>
    <s v="Calle Güigüe Nro. 89-40"/>
    <s v="Cancelación Vigilancia, mes de Marzo 2019"/>
    <s v="Vigilancia"/>
    <m/>
    <s v="01834"/>
    <s v="27 de Febrero de 2019"/>
    <n v="27"/>
    <d v="2019-02-01T00:00:00"/>
    <s v="3.000,00"/>
    <s v="Tres Mil Bolívares con 00/100"/>
  </r>
  <r>
    <n v="1835"/>
    <m/>
    <s v="ü"/>
    <d v="2019-02-27T00:00:00"/>
    <n v="6000"/>
    <x v="6"/>
    <x v="6"/>
    <s v="Calle Guacara Nro. 89-60"/>
    <s v="Cancelación Vigilancia, mes de Marzo 2019 y aporte especial"/>
    <s v="Vigilancia"/>
    <m/>
    <s v="01835"/>
    <s v="27 de Febrero de 2019"/>
    <n v="27"/>
    <d v="2019-02-01T00:00:00"/>
    <s v="6.000,00"/>
    <s v="Seis Mil Bolívares con 00/100"/>
  </r>
  <r>
    <n v="1836"/>
    <m/>
    <s v="ü"/>
    <d v="2019-02-27T00:00:00"/>
    <n v="6000"/>
    <x v="45"/>
    <x v="42"/>
    <s v="Calle Güigüe Nro. 87-A-11"/>
    <s v="Cancelación Vigilancia, meses de Febrero y Marzo 2019"/>
    <s v="Vigilancia"/>
    <m/>
    <s v="01836"/>
    <s v="27 de Febrero de 2019"/>
    <n v="27"/>
    <d v="2019-02-01T00:00:00"/>
    <s v="6.000,00"/>
    <s v="Seis Mil Bolívares con 00/100"/>
  </r>
  <r>
    <n v="1837"/>
    <m/>
    <s v="ü"/>
    <d v="2019-02-27T00:00:00"/>
    <n v="3000"/>
    <x v="48"/>
    <x v="9"/>
    <s v="Calle Güigüe Nro. 88-90"/>
    <s v="Cancelación Vigilancia, mes de Febrero 2019"/>
    <s v="Vigilancia"/>
    <m/>
    <s v="01837"/>
    <s v="27 de Febrero de 2019"/>
    <n v="27"/>
    <d v="2019-02-01T00:00:00"/>
    <s v="3.000,00"/>
    <s v="Tres Mil Bolívares con 00/100"/>
  </r>
  <r>
    <n v="1838"/>
    <m/>
    <s v="ü"/>
    <d v="2019-02-27T00:00:00"/>
    <n v="5000"/>
    <x v="16"/>
    <x v="15"/>
    <s v="Calle Guacara Nro. 90-81"/>
    <s v="Cancelación Vigilancia, mes de Febrero 2019 y aporte especial"/>
    <s v="Vigilancia"/>
    <m/>
    <s v="01838"/>
    <s v="27 de Febrero de 2019"/>
    <n v="27"/>
    <d v="2019-02-01T00:00:00"/>
    <s v="5.000,00"/>
    <s v="Cinco Mil Bolívares con 00/100"/>
  </r>
  <r>
    <n v="1839"/>
    <m/>
    <s v="ü"/>
    <d v="2019-02-27T00:00:00"/>
    <n v="9000"/>
    <x v="60"/>
    <x v="54"/>
    <s v="Calle Guacara Nro. 88-51"/>
    <s v="Cancelación Vigilancia, meses de Febrero, Marzo y Abril 2019"/>
    <s v="Vigilancia"/>
    <m/>
    <s v="01839"/>
    <s v="27 de Febrero de 2019"/>
    <n v="27"/>
    <d v="2019-02-01T00:00:00"/>
    <s v="9.000,00"/>
    <s v="Nueve Mil Bolívares con 00/100"/>
  </r>
  <r>
    <n v="1840"/>
    <m/>
    <s v="ü"/>
    <d v="2019-02-27T00:00:00"/>
    <n v="4000"/>
    <x v="3"/>
    <x v="3"/>
    <s v="Calle Güigüe Nro. 88-62"/>
    <s v="Colaboración Vigilancia, meses de Enero y Febrero 2019"/>
    <s v="Vigilancia"/>
    <m/>
    <s v="01840"/>
    <s v="27 de Febrero de 2019"/>
    <n v="27"/>
    <d v="2019-02-01T00:00:00"/>
    <s v="4.000,00"/>
    <s v="Cuatro Mil Bolívares con 00/100"/>
  </r>
  <r>
    <n v="1841"/>
    <m/>
    <s v="ü"/>
    <d v="2019-02-27T00:00:00"/>
    <n v="3000"/>
    <x v="40"/>
    <x v="37"/>
    <s v="Calle Güigüe Nro. 88-101"/>
    <s v="Cancelación Vigilancia, mes de Febrero 2019"/>
    <s v="Vigilancia"/>
    <m/>
    <s v="01841"/>
    <s v="27 de Febrero de 2019"/>
    <n v="27"/>
    <d v="2019-02-01T00:00:00"/>
    <s v="3.000,00"/>
    <s v="Tres Mil Bolívares con 00/100"/>
  </r>
  <r>
    <n v="1842"/>
    <m/>
    <s v="ü"/>
    <d v="2019-02-27T00:00:00"/>
    <n v="3000"/>
    <x v="19"/>
    <x v="17"/>
    <s v="Calle Guacara Nro. 89-130"/>
    <s v="Cancelación Vigilancia, mes de Febrero 2019"/>
    <s v="Vigilancia"/>
    <m/>
    <s v="01842"/>
    <s v="27 de Febrero de 2019"/>
    <n v="27"/>
    <d v="2019-02-01T00:00:00"/>
    <s v="3.000,00"/>
    <s v="Tres Mil Bolívares con 00/100"/>
  </r>
  <r>
    <n v="1843"/>
    <m/>
    <s v="ü"/>
    <d v="2019-02-27T00:00:00"/>
    <n v="3000"/>
    <x v="46"/>
    <x v="43"/>
    <s v="Av. &quot;I&quot; Nro. 146-20"/>
    <s v="Cancelación Vigilancia, mes de Febrero 2019"/>
    <s v="Vigilancia"/>
    <m/>
    <s v="01843"/>
    <s v="27 de Febrero de 2019"/>
    <n v="27"/>
    <d v="2019-02-01T00:00:00"/>
    <s v="3.000,00"/>
    <s v="Tres Mil Bolívares con 00/100"/>
  </r>
  <r>
    <n v="1844"/>
    <m/>
    <s v="ü"/>
    <d v="2019-02-27T00:00:00"/>
    <n v="6000"/>
    <x v="31"/>
    <x v="29"/>
    <s v="Calle Güigüe Nro. 89-95"/>
    <s v="Cancelación Vigilancia, meses de Febrero y Marzo 2019"/>
    <s v="Vigilancia"/>
    <m/>
    <s v="01844"/>
    <s v="27 de Febrero de 2019"/>
    <n v="27"/>
    <d v="2019-02-01T00:00:00"/>
    <s v="6.000,00"/>
    <s v="Seis Mil Bolívares con 00/100"/>
  </r>
  <r>
    <n v="1845"/>
    <m/>
    <s v="ü"/>
    <d v="2019-02-27T00:00:00"/>
    <n v="6000"/>
    <x v="14"/>
    <x v="13"/>
    <s v="Calle Güigüe Nro. 89-83"/>
    <s v="Cancelación Vigilancia, mes de Marzo 2019"/>
    <s v="Vigilancia"/>
    <m/>
    <s v="01845"/>
    <s v="27 de Febrero de 2019"/>
    <n v="27"/>
    <d v="2019-02-01T00:00:00"/>
    <s v="6.000,00"/>
    <s v="Seis Mil Bolívares con 00/100"/>
  </r>
  <r>
    <n v="1846"/>
    <m/>
    <s v="ü"/>
    <d v="2019-02-27T00:00:00"/>
    <n v="3000"/>
    <x v="26"/>
    <x v="24"/>
    <s v="Calle Güigüe Nro. 89-96"/>
    <s v="Cancelación Vigilancia, mes de Febrero 2019"/>
    <s v="Vigilancia"/>
    <m/>
    <s v="01846"/>
    <s v="27 de Febrero de 2019"/>
    <n v="27"/>
    <d v="2019-02-01T00:00:00"/>
    <s v="3.000,00"/>
    <s v="Tres Mil Bolívares con 00/100"/>
  </r>
  <r>
    <n v="1847"/>
    <m/>
    <s v="ü"/>
    <d v="2019-02-27T00:00:00"/>
    <n v="3000"/>
    <x v="38"/>
    <x v="35"/>
    <s v="Calle Guacara Nro. 89-78"/>
    <s v="Cancelación Vigilancia, mes de Febrero 2019"/>
    <s v="Vigilancia"/>
    <m/>
    <s v="01847"/>
    <s v="27 de Febrero de 2019"/>
    <n v="27"/>
    <d v="2019-02-01T00:00:00"/>
    <s v="3.000,00"/>
    <s v="Tres Mil Bolívares con 00/100"/>
  </r>
  <r>
    <n v="1848"/>
    <m/>
    <s v="ü"/>
    <d v="2019-02-04T00:00:00"/>
    <n v="3000"/>
    <x v="14"/>
    <x v="13"/>
    <s v="Calle Güigüe Nro. 89-83"/>
    <s v="Cancelación Vigilancia, mes de Febrero 2019"/>
    <s v="Vigilancia"/>
    <m/>
    <s v="01848"/>
    <s v="04 de Febrero de 2019"/>
    <n v="4"/>
    <d v="2019-02-01T00:00:00"/>
    <s v="3.000,00"/>
    <s v="Tres Mil Bolívares con 00/100"/>
  </r>
  <r>
    <n v="1849"/>
    <m/>
    <s v="ü"/>
    <d v="2019-02-28T00:00:00"/>
    <n v="6000"/>
    <x v="21"/>
    <x v="19"/>
    <s v="Calle Guacara Nro. 89-130"/>
    <s v="Cancelación Vigilancia, meses de Febrero y Marzo 2019"/>
    <s v="Vigilancia"/>
    <m/>
    <s v="01849"/>
    <s v="28 de Febrero de 2019"/>
    <n v="28"/>
    <d v="2019-02-01T00:00:00"/>
    <s v="6.000,00"/>
    <s v="Seis Mil Bolívares con 00/100"/>
  </r>
  <r>
    <n v="1850"/>
    <m/>
    <s v="ü"/>
    <d v="2019-02-28T00:00:00"/>
    <n v="8000"/>
    <x v="93"/>
    <x v="87"/>
    <s v="Calle Güigüe Nro. 89-89"/>
    <s v="Vigilancia: Aporte saldo mes de Enero y cancelación meses de Febrero y Marzo 2019"/>
    <s v="Vigilancia"/>
    <m/>
    <s v="01850"/>
    <s v="28 de Febrero de 2019"/>
    <n v="28"/>
    <d v="2019-02-01T00:00:00"/>
    <s v="8.000,00"/>
    <s v="Ocho Mil Bolívares con 00/100"/>
  </r>
  <r>
    <n v="1851"/>
    <m/>
    <s v="ü"/>
    <d v="2019-02-28T00:00:00"/>
    <n v="3000"/>
    <x v="61"/>
    <x v="14"/>
    <s v="Calle Guacara Nro. 87-07"/>
    <s v="Cancelación Vigilancia, mes de Marzo 2019"/>
    <s v="Vigilancia"/>
    <m/>
    <s v="01851"/>
    <s v="28 de Febrero de 2019"/>
    <n v="28"/>
    <d v="2019-02-01T00:00:00"/>
    <s v="3.000,00"/>
    <s v="Tres Mil Bolívares con 00/100"/>
  </r>
  <r>
    <n v="1852"/>
    <m/>
    <s v="ü"/>
    <d v="2019-02-28T00:00:00"/>
    <n v="3000"/>
    <x v="15"/>
    <x v="14"/>
    <s v="Calle Guacara Nro. 89-94"/>
    <s v="Cancelación Vigilancia, mes de Marzo 2019"/>
    <s v="Vigilancia"/>
    <m/>
    <s v="01852"/>
    <s v="28 de Febrero de 2019"/>
    <n v="28"/>
    <d v="2019-02-01T00:00:00"/>
    <s v="3.000,00"/>
    <s v="Tres Mil Bolívares con 00/100"/>
  </r>
  <r>
    <n v="1853"/>
    <m/>
    <s v="ü"/>
    <d v="2019-03-01T00:00:00"/>
    <n v="3000"/>
    <x v="10"/>
    <x v="10"/>
    <s v="Av. &quot;M&quot; Nro. 146-15"/>
    <s v="Cancelación Vigilancia, mes de Febrero 2019"/>
    <s v="Vigilancia"/>
    <m/>
    <s v="01853"/>
    <s v="01 de Marzo de 2019"/>
    <n v="1"/>
    <d v="2019-03-01T00:00:00"/>
    <s v="3.000,00"/>
    <s v="Tres Mil Bolívares con 00/100"/>
  </r>
  <r>
    <n v="1854"/>
    <m/>
    <s v="ü"/>
    <d v="2019-03-06T00:00:00"/>
    <n v="3000"/>
    <x v="12"/>
    <x v="12"/>
    <s v="Calle Guacara Nro. 89-20"/>
    <s v="Cancelación Vigilancia, mes de Marzo 2019"/>
    <s v="Vigilancia"/>
    <m/>
    <s v="01854"/>
    <s v="06 de Marzo de 2019"/>
    <n v="6"/>
    <d v="2019-03-01T00:00:00"/>
    <s v="3.000,00"/>
    <s v="Tres Mil Bolívares con 00/100"/>
  </r>
  <r>
    <n v="1855"/>
    <m/>
    <s v="ü"/>
    <d v="2019-03-06T00:00:00"/>
    <n v="4500"/>
    <x v="20"/>
    <x v="18"/>
    <s v="Calle Guacara Nro. 89-30"/>
    <s v="Cancelación Vigilancia, mes de Marzo 2019"/>
    <s v="Vigilancia"/>
    <m/>
    <s v="01855"/>
    <s v="06 de Marzo de 2019"/>
    <n v="6"/>
    <d v="2019-03-01T00:00:00"/>
    <s v="4.500,00"/>
    <s v="Cuatro Mil Quinientos Bolívares con 00/100"/>
  </r>
  <r>
    <n v="1856"/>
    <m/>
    <s v="ü"/>
    <d v="2019-03-06T00:00:00"/>
    <n v="3000"/>
    <x v="18"/>
    <x v="16"/>
    <s v="Calle Guacara Nro. 87-100"/>
    <s v="Cancelación Vigilancia, mes de Abril 2019"/>
    <s v="Vigilancia"/>
    <m/>
    <s v="01856"/>
    <s v="06 de Marzo de 2019"/>
    <n v="6"/>
    <d v="2019-03-01T00:00:00"/>
    <s v="3.000,00"/>
    <s v="Tres Mil Bolívares con 00/100"/>
  </r>
  <r>
    <n v="1857"/>
    <m/>
    <s v="ü"/>
    <d v="2019-03-06T00:00:00"/>
    <n v="3000"/>
    <x v="81"/>
    <x v="69"/>
    <s v="Calle Güigüe Nro. 89-65"/>
    <s v="Cancelación Vigilancia, mes de Marzo 2019"/>
    <s v="Vigilancia"/>
    <m/>
    <s v="01857"/>
    <s v="06 de Marzo de 2019"/>
    <n v="6"/>
    <d v="2019-03-01T00:00:00"/>
    <s v="3.000,00"/>
    <s v="Tres Mil Bolívares con 00/100"/>
  </r>
  <r>
    <n v="1858"/>
    <m/>
    <s v="ü"/>
    <d v="2019-03-06T00:00:00"/>
    <n v="3000"/>
    <x v="43"/>
    <x v="40"/>
    <s v="Calle Güigüe Nro. 88-50"/>
    <s v="Cancelación Vigilancia, mes de Febrero 2019"/>
    <s v="Vigilancia"/>
    <m/>
    <s v="01858"/>
    <s v="06 de Marzo de 2019"/>
    <n v="6"/>
    <d v="2019-03-01T00:00:00"/>
    <s v="3.000,00"/>
    <s v="Tres Mil Bolívares con 00/100"/>
  </r>
  <r>
    <n v="1859"/>
    <m/>
    <s v="ü"/>
    <d v="2019-03-06T00:00:00"/>
    <n v="3000"/>
    <x v="22"/>
    <x v="20"/>
    <s v="Calle Guacara Nro. 88-25"/>
    <s v="Cancelación Vigilancia, mes de Febrero 2019"/>
    <s v="Vigilancia"/>
    <m/>
    <s v="01859"/>
    <s v="06 de Marzo de 2019"/>
    <n v="6"/>
    <d v="2019-03-01T00:00:00"/>
    <s v="3.000,00"/>
    <s v="Tres Mil Bolívares con 00/100"/>
  </r>
  <r>
    <n v="1860"/>
    <m/>
    <s v="ü"/>
    <d v="2019-03-07T00:00:00"/>
    <n v="3000"/>
    <x v="63"/>
    <x v="56"/>
    <s v="Calle Guacara Nro. 88-85"/>
    <s v="Cancelación Vigilancia, mes de Marzo 2019"/>
    <s v="Vigilancia"/>
    <m/>
    <s v="01860"/>
    <s v="07 de Marzo de 2019"/>
    <n v="7"/>
    <d v="2019-03-01T00:00:00"/>
    <s v="3.000,00"/>
    <s v="Tres Mil Bolívares con 00/100"/>
  </r>
  <r>
    <n v="1861"/>
    <m/>
    <s v="ü"/>
    <d v="2019-02-27T00:00:00"/>
    <n v="3000"/>
    <x v="95"/>
    <x v="89"/>
    <s v="Calle Güigüe Nro. 89-120"/>
    <s v="Cancelación Vigilancia, mes de Febrero 2019"/>
    <s v="Vigilancia"/>
    <m/>
    <s v="01861"/>
    <s v="27 de Febrero de 2019"/>
    <n v="27"/>
    <d v="2019-02-01T00:00:00"/>
    <s v="3.000,00"/>
    <s v="Tres Mil Bolívares con 00/100"/>
  </r>
  <r>
    <n v="1862"/>
    <m/>
    <s v="ü"/>
    <d v="2019-03-07T00:00:00"/>
    <n v="3000"/>
    <x v="90"/>
    <x v="82"/>
    <s v="Calle Güigüe Nro. 89-04"/>
    <s v="Cancelación Vigilancia, mes de Marzo 2019"/>
    <s v="Vigilancia"/>
    <m/>
    <s v="01862"/>
    <s v="07 de Marzo de 2019"/>
    <n v="7"/>
    <d v="2019-03-01T00:00:00"/>
    <s v="3.000,00"/>
    <s v="Tres Mil Bolívares con 00/100"/>
  </r>
  <r>
    <n v="1863"/>
    <m/>
    <s v="ü"/>
    <d v="2019-03-07T00:00:00"/>
    <n v="3000"/>
    <x v="8"/>
    <x v="78"/>
    <s v="Calle Guacara Nro. 90-51"/>
    <s v="Cancelación Vigilancia, mes de Marzo 2019"/>
    <s v="Vigilancia"/>
    <m/>
    <s v="01863"/>
    <s v="07 de Marzo de 2019"/>
    <n v="7"/>
    <d v="2019-03-01T00:00:00"/>
    <s v="3.000,00"/>
    <s v="Tres Mil Bolívares con 00/100"/>
  </r>
  <r>
    <n v="1864"/>
    <m/>
    <s v="ü"/>
    <d v="2019-03-08T00:00:00"/>
    <n v="1500"/>
    <x v="71"/>
    <x v="62"/>
    <s v="Calle Güigüe Nro. 89-71"/>
    <s v="Colaboración Vigilancia, mes de Febrero 2019"/>
    <s v="Vigilancia"/>
    <m/>
    <s v="01864"/>
    <s v="08 de Marzo de 2019"/>
    <n v="8"/>
    <d v="2019-03-01T00:00:00"/>
    <s v="1.500,00"/>
    <s v="Mil Quinientos Bolívares con 00/100"/>
  </r>
  <r>
    <n v="1865"/>
    <m/>
    <s v="ü"/>
    <d v="2019-03-11T00:00:00"/>
    <n v="3000"/>
    <x v="7"/>
    <x v="7"/>
    <s v="Calle Guacara Nro. 87-86"/>
    <s v="Cancelación Vigilancia, mes de Marzo 2019"/>
    <s v="Vigilancia"/>
    <m/>
    <s v="01865"/>
    <s v="11 de Marzo de 2019"/>
    <n v="11"/>
    <d v="2019-03-01T00:00:00"/>
    <s v="3.000,00"/>
    <s v="Tres Mil Bolívares con 00/100"/>
  </r>
  <r>
    <n v="1866"/>
    <m/>
    <s v="ü"/>
    <d v="2019-03-09T00:00:00"/>
    <n v="3000"/>
    <x v="76"/>
    <x v="66"/>
    <s v="Calle Güigüe Nro. 89-90"/>
    <s v="Cancelación Vigilancia, mes de Marzo 2019"/>
    <s v="Vigilancia"/>
    <m/>
    <s v="01866"/>
    <s v="09 de Marzo de 2019"/>
    <n v="9"/>
    <d v="2019-03-01T00:00:00"/>
    <s v="3.000,00"/>
    <s v="Tres Mil Bolívares con 00/100"/>
  </r>
  <r>
    <n v="1867"/>
    <m/>
    <s v="ü"/>
    <d v="2019-03-11T00:00:00"/>
    <n v="6000"/>
    <x v="11"/>
    <x v="11"/>
    <s v="Calle Guacara Nro. 89-86"/>
    <s v="Cancelación Vigilancia, meses de Marzo y Abril 2019"/>
    <s v="Vigilancia"/>
    <m/>
    <s v="01867"/>
    <s v="11 de Marzo de 2019"/>
    <n v="11"/>
    <d v="2019-03-01T00:00:00"/>
    <s v="6.000,00"/>
    <s v="Seis Mil Bolívares con 00/100"/>
  </r>
  <r>
    <n v="1868"/>
    <m/>
    <s v="ü"/>
    <d v="2019-03-11T00:00:00"/>
    <n v="3000"/>
    <x v="1"/>
    <x v="1"/>
    <s v="Calle Güigüe Nro. 88-44"/>
    <s v="Cancelación Vigilancia, mes de Marzo 2019"/>
    <s v="Vigilancia"/>
    <m/>
    <s v="01868"/>
    <s v="11 de Marzo de 2019"/>
    <n v="11"/>
    <d v="2019-03-01T00:00:00"/>
    <s v="3.000,00"/>
    <s v="Tres Mil Bolívares con 00/100"/>
  </r>
  <r>
    <n v="1869"/>
    <m/>
    <s v="ü"/>
    <d v="2019-03-12T00:00:00"/>
    <n v="9000"/>
    <x v="42"/>
    <x v="39"/>
    <s v="Calle Güigüe Nro. 89-79"/>
    <s v="Cancelación Vigilancia, meses de Enero, Febrero y Marzo 2018 (saldo a favor: Bs. 11.000,00)"/>
    <s v="Vigilancia"/>
    <m/>
    <s v="01869"/>
    <s v="12 de Marzo de 2019"/>
    <n v="12"/>
    <d v="2019-03-01T00:00:00"/>
    <s v="9.000,00"/>
    <s v="Nueve Mil Bolívares con 00/100"/>
  </r>
  <r>
    <n v="1870"/>
    <m/>
    <s v="ü"/>
    <d v="2019-03-12T00:00:00"/>
    <n v="3000"/>
    <x v="0"/>
    <x v="0"/>
    <s v="Calle Guacara Nro. 88-45"/>
    <s v="Cancelación Vigilancia, mes de Marzo 2019 (saldo a favor: Bs. 862,95)"/>
    <s v="Vigilancia"/>
    <m/>
    <s v="01870"/>
    <s v="12 de Marzo de 2019"/>
    <n v="12"/>
    <d v="2019-03-01T00:00:00"/>
    <s v="3.000,00"/>
    <s v="Tres Mil Bolívares con 00/100"/>
  </r>
  <r>
    <n v="1871"/>
    <m/>
    <s v="ü"/>
    <d v="2019-03-12T00:00:00"/>
    <n v="3000"/>
    <x v="92"/>
    <x v="86"/>
    <s v="Calle Guacara Nro. 88-A-10"/>
    <s v="Cancelación Vigilancia, mes de Marzo 2019 (saldo a favor: Bs. 11.005,80)"/>
    <s v="Vigilancia"/>
    <m/>
    <s v="01871"/>
    <s v="12 de Marzo de 2019"/>
    <n v="12"/>
    <d v="2019-03-01T00:00:00"/>
    <s v="3.000,00"/>
    <s v="Tres Mil Bolívares con 00/100"/>
  </r>
  <r>
    <n v="1872"/>
    <m/>
    <s v="ü"/>
    <d v="2019-03-12T00:00:00"/>
    <n v="3000"/>
    <x v="75"/>
    <x v="65"/>
    <s v="Av. &quot;Ñ&quot; Nro. 145-25"/>
    <s v="Cancelación Vigilancia, mes de Marzo 2019 (saldo a favor: Bs. 28.352,00)"/>
    <s v="Vigilancia"/>
    <m/>
    <s v="01872"/>
    <s v="12 de Marzo de 2019"/>
    <n v="12"/>
    <d v="2019-03-01T00:00:00"/>
    <s v="3.000,00"/>
    <s v="Tres Mil Bolívares con 00/100"/>
  </r>
  <r>
    <n v="1873"/>
    <m/>
    <s v="ü"/>
    <d v="2019-03-12T00:00:00"/>
    <n v="3500"/>
    <x v="24"/>
    <x v="22"/>
    <s v="Calle Güigüe Nro. 88-54"/>
    <s v="Vigilancia: Cancelación mes de Marzo y anticipo Abril 2019"/>
    <s v="Vigilancia"/>
    <m/>
    <s v="01873"/>
    <s v="12 de Marzo de 2019"/>
    <n v="12"/>
    <d v="2019-03-01T00:00:00"/>
    <s v="3.500,00"/>
    <s v="Tres Mil Quinientos Bolívares con 00/100"/>
  </r>
  <r>
    <n v="1874"/>
    <m/>
    <s v="ü"/>
    <d v="2019-03-13T00:00:00"/>
    <n v="3000"/>
    <x v="35"/>
    <x v="32"/>
    <s v="Calle Güigüe Nro. 89-80"/>
    <s v="Cancelación Vigilancia, mes de Marzo 2019"/>
    <s v="Vigilancia"/>
    <m/>
    <s v="01874"/>
    <s v="13 de Marzo de 2019"/>
    <n v="13"/>
    <d v="2019-03-01T00:00:00"/>
    <s v="3.000,00"/>
    <s v="Tres Mil Bolívares con 00/100"/>
  </r>
  <r>
    <n v="1875"/>
    <m/>
    <s v="ü"/>
    <d v="2019-03-13T00:00:00"/>
    <n v="3000"/>
    <x v="4"/>
    <x v="4"/>
    <s v="Calle Güigüe Nro. 89-55"/>
    <s v="Cancelación Vigilancia, mes de Marzo 2019"/>
    <s v="Vigilancia"/>
    <m/>
    <s v="01875"/>
    <s v="13 de Marzo de 2019"/>
    <n v="13"/>
    <d v="2019-03-01T00:00:00"/>
    <s v="3.000,00"/>
    <s v="Tres Mil Bolívares con 00/100"/>
  </r>
  <r>
    <n v="1876"/>
    <m/>
    <s v="ü"/>
    <d v="2019-03-13T00:00:00"/>
    <n v="3000"/>
    <x v="40"/>
    <x v="37"/>
    <s v="Calle Güigüe Nro. 88-101"/>
    <s v="Cancelación Vigilancia, mes de Marzo 2019"/>
    <s v="Vigilancia"/>
    <m/>
    <s v="01876"/>
    <s v="13 de Marzo de 2019"/>
    <n v="13"/>
    <d v="2019-03-01T00:00:00"/>
    <s v="3.000,00"/>
    <s v="Tres Mil Bolívares con 00/100"/>
  </r>
  <r>
    <n v="1877"/>
    <m/>
    <s v="ü"/>
    <d v="2019-03-14T00:00:00"/>
    <n v="6000"/>
    <x v="27"/>
    <x v="25"/>
    <s v="Calle Güigüe Nro. 89-106"/>
    <s v="Cancelación Vigilancia, meses de Marzo y Abril 2019"/>
    <s v="Vigilancia"/>
    <m/>
    <s v="01877"/>
    <s v="14 de Marzo de 2019"/>
    <n v="14"/>
    <d v="2019-03-01T00:00:00"/>
    <s v="6.000,00"/>
    <s v="Seis Mil Bolívares con 00/100"/>
  </r>
  <r>
    <n v="1878"/>
    <m/>
    <s v="ü"/>
    <d v="2019-03-14T00:00:00"/>
    <n v="3000"/>
    <x v="77"/>
    <x v="85"/>
    <s v="Calle Guacara Nro. 88-65"/>
    <s v="Cancelación Vigilancia, mes de Marzo 2019"/>
    <s v="Vigilancia"/>
    <m/>
    <s v="01878"/>
    <s v="14 de Marzo de 2019"/>
    <n v="14"/>
    <d v="2019-03-01T00:00:00"/>
    <s v="3.000,00"/>
    <s v="Tres Mil Bolívares con 00/100"/>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s v="Cuatro Mil Setecientos Cincuenta y Seis Bolívares con 00/100"/>
  </r>
  <r>
    <n v="1880"/>
    <m/>
    <s v="ü"/>
    <d v="2019-03-15T00:00:00"/>
    <n v="3000"/>
    <x v="25"/>
    <x v="23"/>
    <s v="Calle Güigüe Nro. 88-58"/>
    <s v="Cancelación Vigilancia, mes de Marzo 2019"/>
    <s v="Vigilancia"/>
    <m/>
    <s v="01880"/>
    <s v="15 de Marzo de 2019"/>
    <n v="15"/>
    <d v="2019-03-01T00:00:00"/>
    <s v="3.000,00"/>
    <s v="Tres Mil Bolívares con 00/100"/>
  </r>
  <r>
    <n v="1881"/>
    <m/>
    <s v="ü"/>
    <d v="2019-03-15T00:00:00"/>
    <n v="6000"/>
    <x v="5"/>
    <x v="9"/>
    <s v="Calle Güigüe Nro. 88-120"/>
    <s v="Cancelación Vigilancia, meses de Abril y Mayo 2019"/>
    <s v="Vigilancia"/>
    <m/>
    <s v="01881"/>
    <s v="15 de Marzo de 2019"/>
    <n v="15"/>
    <d v="2019-03-01T00:00:00"/>
    <s v="6.000,00"/>
    <s v="Seis Mil Bolívares con 00/100"/>
  </r>
  <r>
    <n v="1882"/>
    <m/>
    <s v="ü"/>
    <d v="2019-03-18T00:00:00"/>
    <n v="3000"/>
    <x v="38"/>
    <x v="35"/>
    <s v="Calle Guacara Nro. 89-78"/>
    <s v="Cancelación Vigilancia, mes de Marzo 2019"/>
    <s v="Vigilancia"/>
    <m/>
    <s v="01882"/>
    <s v="18 de Marzo de 2019"/>
    <n v="18"/>
    <d v="2019-03-01T00:00:00"/>
    <s v="3.000,00"/>
    <s v="Tres Mil Bolívares con 00/100"/>
  </r>
  <r>
    <n v="1883"/>
    <m/>
    <s v="ü"/>
    <d v="2019-03-19T00:00:00"/>
    <n v="8700"/>
    <x v="73"/>
    <x v="9"/>
    <s v="Calle Güigüe Nros. 88-71 y 88-81"/>
    <s v="Cancelación Vigilancia, meses de Febrero y Marzo 2019"/>
    <s v="Vigilancia"/>
    <m/>
    <s v="01883"/>
    <s v="19 de Marzo de 2019"/>
    <n v="19"/>
    <d v="2019-03-01T00:00:00"/>
    <s v="8.700,00"/>
    <s v="Ocho Mil Setecientos Bolívares con 00/100"/>
  </r>
  <r>
    <n v="1884"/>
    <m/>
    <s v="ü"/>
    <d v="2019-02-16T00:00:00"/>
    <n v="3000"/>
    <x v="24"/>
    <x v="22"/>
    <s v="Calle Güigüe Nro. 88-54"/>
    <s v="Cancelación Vigilancia, mes de Febrero 2019"/>
    <s v="Vigilancia"/>
    <m/>
    <s v="01884"/>
    <s v="16 de Febrero de 2019"/>
    <n v="16"/>
    <d v="2019-02-01T00:00:00"/>
    <s v="3.000,00"/>
    <s v="Tres Mil Bolívares con 00/100"/>
  </r>
  <r>
    <n v="1885"/>
    <m/>
    <s v="ü"/>
    <d v="2018-12-21T00:00:00"/>
    <n v="800"/>
    <x v="86"/>
    <x v="73"/>
    <s v="Calle Guacara Nro. 89-50"/>
    <s v="Cancelación Vigilancia, mes de Diciembre 2018"/>
    <s v="Vigilancia"/>
    <m/>
    <s v="01885"/>
    <s v="21 de Diciembre de 2018"/>
    <n v="21"/>
    <d v="2018-12-01T00:00:00"/>
    <s v="800,00"/>
    <s v="Ochocientos Bolívares con 00/100"/>
  </r>
  <r>
    <n v="1886"/>
    <m/>
    <s v="ü"/>
    <d v="2019-03-20T00:00:00"/>
    <n v="3000"/>
    <x v="26"/>
    <x v="24"/>
    <s v="Calle Güigüe Nro. 89-96"/>
    <s v="Cancelación Vigilancia, mes de Marzo 2019"/>
    <s v="Vigilancia"/>
    <m/>
    <s v="01886"/>
    <s v="20 de Marzo de 2019"/>
    <n v="20"/>
    <d v="2019-03-01T00:00:00"/>
    <s v="3.000,00"/>
    <s v="Tres Mil Bolívares con 00/100"/>
  </r>
  <r>
    <n v="1887"/>
    <m/>
    <s v="ü"/>
    <d v="2019-03-14T00:00:00"/>
    <n v="5000"/>
    <x v="84"/>
    <x v="71"/>
    <s v="Calle Güigüe Nro. 89-54"/>
    <s v="Vigilancia: Cancelación saldo mes de Enero y anticipo mes de Febrero 2019"/>
    <s v="Vigilancia"/>
    <m/>
    <s v="01887"/>
    <s v="14 de Marzo de 2019"/>
    <n v="14"/>
    <d v="2019-03-01T00:00:00"/>
    <s v="5.000,00"/>
    <s v="Cinco Mil Bolívares con 00/100"/>
  </r>
  <r>
    <n v="1888"/>
    <m/>
    <s v="ü"/>
    <d v="2019-03-21T00:00:00"/>
    <n v="3150"/>
    <x v="84"/>
    <x v="71"/>
    <s v="Calle Güigüe Nro. 89-54"/>
    <s v="Vigilancia: Cancelación saldo mes de Febrero y cancelación mes de Marzo 2019"/>
    <s v="Vigilancia"/>
    <m/>
    <s v="01888"/>
    <s v="21 de Marzo de 2019"/>
    <n v="21"/>
    <d v="2019-03-01T00:00:00"/>
    <s v="3.150,00"/>
    <s v="Tres Mil Ciento Cincuenta Bolívares con 00/100"/>
  </r>
  <r>
    <n v="1889"/>
    <m/>
    <s v="ü"/>
    <d v="2019-03-21T00:00:00"/>
    <n v="3000"/>
    <x v="88"/>
    <x v="76"/>
    <s v="Calle Güigüe Nro. 88-11"/>
    <s v="Cancelación Vigilancia, mes de Marzo 2019"/>
    <s v="Vigilancia"/>
    <m/>
    <s v="01889"/>
    <s v="21 de Marzo de 2019"/>
    <n v="21"/>
    <d v="2019-03-01T00:00:00"/>
    <s v="3.000,00"/>
    <s v="Tres Mil Bolívares con 00/100"/>
  </r>
  <r>
    <n v="1890"/>
    <m/>
    <s v="ü"/>
    <d v="2019-03-22T00:00:00"/>
    <n v="3000"/>
    <x v="19"/>
    <x v="17"/>
    <s v="Calle Guacara Nro. 89-130"/>
    <s v="Cancelación Vigilancia, mes de Marzo 2019"/>
    <s v="Vigilancia"/>
    <m/>
    <s v="01890"/>
    <s v="22 de Marzo de 2019"/>
    <n v="22"/>
    <d v="2019-03-01T00:00:00"/>
    <s v="3.000,00"/>
    <s v="Tres Mil Bolívares con 00/100"/>
  </r>
  <r>
    <n v="1891"/>
    <m/>
    <s v="ü"/>
    <d v="2019-03-23T00:00:00"/>
    <n v="3000"/>
    <x v="65"/>
    <x v="58"/>
    <s v="Calle Güigüe Nro. 88-10"/>
    <s v="Cancelación Vigilancia, mes de Marzo 2019"/>
    <s v="Vigilancia"/>
    <m/>
    <s v="01891"/>
    <s v="23 de Marzo de 2019"/>
    <n v="23"/>
    <d v="2019-03-01T00:00:00"/>
    <s v="3.000,00"/>
    <s v="Tres Mil Bolívares con 00/100"/>
  </r>
  <r>
    <n v="1892"/>
    <m/>
    <s v="ü"/>
    <d v="2019-03-28T00:00:00"/>
    <n v="3000"/>
    <x v="58"/>
    <x v="53"/>
    <s v="Calle Güigüe Nro. 88-51"/>
    <s v="Cancelación Vigilancia, mes de Marzo 2019"/>
    <s v="Vigilancia"/>
    <m/>
    <s v="01892"/>
    <s v="28 de Marzo de 2019"/>
    <n v="28"/>
    <d v="2019-03-01T00:00:00"/>
    <s v="3.000,00"/>
    <s v="Tres Mil Bolívares con 00/100"/>
  </r>
  <r>
    <n v="1893"/>
    <m/>
    <s v="ü"/>
    <d v="2019-03-28T00:00:00"/>
    <n v="3000"/>
    <x v="22"/>
    <x v="20"/>
    <s v="Calle Guacara Nro. 88-25"/>
    <s v="Cancelación Vigilancia, mes de Marzo 2019"/>
    <s v="Vigilancia"/>
    <m/>
    <s v="01893"/>
    <s v="28 de Marzo de 2019"/>
    <n v="28"/>
    <d v="2019-03-01T00:00:00"/>
    <s v="3.000,00"/>
    <s v="Tres Mil Bolívares con 00/100"/>
  </r>
  <r>
    <n v="1894"/>
    <m/>
    <s v="ü"/>
    <d v="2019-03-30T00:00:00"/>
    <n v="3000"/>
    <x v="62"/>
    <x v="55"/>
    <s v="Av. &quot;M&quot; Nro. 145-10"/>
    <s v="Cancelación Vigilancia, mes de Marzo 2019"/>
    <s v="Vigilancia"/>
    <m/>
    <s v="01894"/>
    <s v="30 de Marzo de 2019"/>
    <n v="30"/>
    <d v="2019-03-01T00:00:00"/>
    <s v="3.000,00"/>
    <s v="Tres Mil Bolívares con 00/100"/>
  </r>
  <r>
    <n v="1895"/>
    <m/>
    <s v="ü"/>
    <d v="2019-03-30T00:00:00"/>
    <n v="3000"/>
    <x v="69"/>
    <x v="61"/>
    <s v="Calle Güigüe Nro. 89-40"/>
    <s v="Cancelación Vigilancia, mes de Abril 2019"/>
    <s v="Vigilancia"/>
    <m/>
    <s v="01895"/>
    <s v="30 de Marzo de 2019"/>
    <n v="30"/>
    <d v="2019-03-01T00:00:00"/>
    <s v="3.000,00"/>
    <s v="Tres Mil Bolívares con 00/100"/>
  </r>
  <r>
    <n v="1896"/>
    <m/>
    <s v="ü"/>
    <d v="2019-03-30T00:00:00"/>
    <n v="3000"/>
    <x v="59"/>
    <x v="9"/>
    <s v="Calle Guacara Nro. 90-35"/>
    <s v="Cancelación Vigilancia, mes de Marzo 2019"/>
    <s v="Vigilancia"/>
    <m/>
    <s v="01896"/>
    <s v="30 de Marzo de 2019"/>
    <n v="30"/>
    <d v="2019-03-01T00:00:00"/>
    <s v="3.000,00"/>
    <s v="Tres Mil Bolívares con 00/100"/>
  </r>
  <r>
    <n v="1897"/>
    <m/>
    <s v="ü"/>
    <d v="2019-02-27T00:00:00"/>
    <n v="6000"/>
    <x v="36"/>
    <x v="33"/>
    <s v="Calle Güigüe Nro. 89-10"/>
    <s v="Cancelación Vigilancia, meses de Enero y Febrero 2019"/>
    <s v="Vigilancia"/>
    <m/>
    <s v="01897"/>
    <s v="27 de Febrero de 2019"/>
    <n v="27"/>
    <d v="2019-02-01T00:00:00"/>
    <s v="6.000,00"/>
    <s v="Seis Mil Bolívares con 00/100"/>
  </r>
  <r>
    <n v="1898"/>
    <m/>
    <s v="ü"/>
    <d v="2019-04-02T00:00:00"/>
    <n v="9000"/>
    <x v="70"/>
    <x v="9"/>
    <s v="Calle Guacara Nro. 89-70"/>
    <s v="Cancelación Vigilancia, meses de Enero, Febrero y Marzo 2019"/>
    <s v="Vigilancia"/>
    <m/>
    <s v="01898"/>
    <s v="02 de Abril de 2019"/>
    <n v="2"/>
    <d v="2019-04-01T00:00:00"/>
    <s v="9.000,00"/>
    <s v="Nueve Mil Bolívares con 00/100"/>
  </r>
  <r>
    <n v="1899"/>
    <m/>
    <s v="ü"/>
    <d v="2019-04-02T00:00:00"/>
    <n v="6000"/>
    <x v="96"/>
    <x v="90"/>
    <s v="Av. &quot;M&quot; Nro. 146-30"/>
    <s v="Cancelación Vigilancia, meses de Febrero y Marzo 2019"/>
    <s v="Vigilancia"/>
    <m/>
    <s v="01899"/>
    <s v="02 de Abril de 2019"/>
    <n v="2"/>
    <d v="2019-04-01T00:00:00"/>
    <s v="6.000,00"/>
    <s v="Seis Mil Bolívares con 00/100"/>
  </r>
  <r>
    <n v="1900"/>
    <m/>
    <s v="ü"/>
    <d v="2019-04-03T00:00:00"/>
    <n v="3000"/>
    <x v="53"/>
    <x v="80"/>
    <s v="Calle Guacara Nro. 88-91"/>
    <s v="Cancelación Vigilancia, mes de Marzo 2019"/>
    <s v="Vigilancia"/>
    <m/>
    <s v="01900"/>
    <s v="03 de Abril de 2019"/>
    <n v="3"/>
    <d v="2019-04-01T00:00:00"/>
    <s v="3.000,00"/>
    <s v="Tres Mil Bolívares con 00/100"/>
  </r>
  <r>
    <n v="1901"/>
    <m/>
    <s v="ü"/>
    <d v="2019-03-16T00:00:00"/>
    <n v="3000"/>
    <x v="95"/>
    <x v="89"/>
    <s v="Calle Güigüe Nro. 89-120"/>
    <s v="Cancelación Vigilancia, mes de Marzo 2019"/>
    <s v="Vigilancia"/>
    <m/>
    <s v="01901"/>
    <s v="16 de Marzo de 2019"/>
    <n v="16"/>
    <d v="2019-03-01T00:00:00"/>
    <s v="3.000,00"/>
    <s v="Tres Mil Bolívares con 00/100"/>
  </r>
  <r>
    <n v="1902"/>
    <m/>
    <s v="ü"/>
    <d v="2019-04-03T00:00:00"/>
    <n v="3000"/>
    <x v="26"/>
    <x v="24"/>
    <s v="Calle Güigüe Nro. 89-96"/>
    <s v="Cancelación Vigilancia, mes de Abril 2019"/>
    <s v="Vigilancia"/>
    <m/>
    <s v="01902"/>
    <s v="03 de Abril de 2019"/>
    <n v="3"/>
    <d v="2019-04-01T00:00:00"/>
    <s v="3.000,00"/>
    <s v="Tres Mil Bolívares con 00/100"/>
  </r>
  <r>
    <n v="1903"/>
    <m/>
    <s v="ü"/>
    <d v="2019-04-04T00:00:00"/>
    <n v="6000"/>
    <x v="46"/>
    <x v="43"/>
    <s v="Av. &quot;I&quot; Nro. 146-20"/>
    <s v="Cancelación Vigilancia, meses de Marzo y Abril 2019"/>
    <s v="Vigilancia"/>
    <m/>
    <s v="01903"/>
    <s v="04 de Abril de 2019"/>
    <n v="4"/>
    <d v="2019-04-01T00:00:00"/>
    <s v="6.000,00"/>
    <s v="Seis Mil Bolívares con 00/100"/>
  </r>
  <r>
    <n v="1904"/>
    <m/>
    <s v="ü"/>
    <d v="2019-04-05T00:00:00"/>
    <n v="3000"/>
    <x v="15"/>
    <x v="14"/>
    <s v="Calle Guacara Nro. 89-94"/>
    <s v="Cancelación Vigilancia, mes de Abril 2019"/>
    <s v="Vigilancia"/>
    <m/>
    <s v="01904"/>
    <s v="05 de Abril de 2019"/>
    <n v="5"/>
    <d v="2019-04-01T00:00:00"/>
    <s v="3.000,00"/>
    <s v="Tres Mil Bolívares con 00/100"/>
  </r>
  <r>
    <n v="1905"/>
    <m/>
    <s v="ü"/>
    <d v="2019-04-05T00:00:00"/>
    <n v="3000"/>
    <x v="61"/>
    <x v="14"/>
    <s v="Calle Guacara Nro. 87-07"/>
    <s v="Cancelación Vigilancia, mes de Abril 2019"/>
    <s v="Vigilancia"/>
    <m/>
    <s v="01905"/>
    <s v="05 de Abril de 2019"/>
    <n v="5"/>
    <d v="2019-04-01T00:00:00"/>
    <s v="3.000,00"/>
    <s v="Tres Mil Bolívares con 00/100"/>
  </r>
  <r>
    <n v="1906"/>
    <m/>
    <s v="ü"/>
    <d v="2019-03-22T00:00:00"/>
    <n v="3000"/>
    <x v="56"/>
    <x v="52"/>
    <s v="Calle Güigüe Nro. 88-70"/>
    <s v="Cancelación Vigilancia, mes de Marzo 2019"/>
    <s v="Vigilancia"/>
    <m/>
    <s v="01906"/>
    <s v="22 de Marzo de 2019"/>
    <n v="22"/>
    <d v="2019-03-01T00:00:00"/>
    <s v="3.000,00"/>
    <s v="Tres Mil Bolívares con 00/100"/>
  </r>
  <r>
    <n v="1907"/>
    <m/>
    <s v="ü"/>
    <d v="2019-03-27T00:00:00"/>
    <n v="2200"/>
    <x v="2"/>
    <x v="83"/>
    <s v="Calle Guacara Nro. 88-19"/>
    <s v="Colaboración Vigilancia, mes de Marzo 2019"/>
    <s v="Vigilancia"/>
    <m/>
    <s v="01907"/>
    <s v="27 de Marzo de 2019"/>
    <n v="27"/>
    <d v="2019-03-01T00:00:00"/>
    <s v="2.200,00"/>
    <s v="Dos Mil Doscientos Bolívares con 00/100"/>
  </r>
  <r>
    <n v="1908"/>
    <m/>
    <s v="ü"/>
    <d v="2019-04-05T00:00:00"/>
    <n v="3000"/>
    <x v="4"/>
    <x v="4"/>
    <s v="Calle Güigüe Nro. 89-55"/>
    <s v="Cancelación Vigilancia, mes de Abril 2019"/>
    <s v="Vigilancia"/>
    <m/>
    <s v="01908"/>
    <s v="05 de Abril de 2019"/>
    <n v="5"/>
    <d v="2019-04-01T00:00:00"/>
    <s v="3.000,00"/>
    <s v="Tres Mil Bolívares con 00/100"/>
  </r>
  <r>
    <n v="1909"/>
    <m/>
    <s v="ü"/>
    <d v="2019-04-06T00:00:00"/>
    <n v="10000"/>
    <x v="16"/>
    <x v="15"/>
    <s v="Calle Guacara Nro. 90-81"/>
    <s v="Cancelación Vigilancia, meses de Marzo y Abril 2019 y aporte especial"/>
    <s v="Vigilancia"/>
    <m/>
    <s v="01909"/>
    <s v="06 de Abril de 2019"/>
    <n v="6"/>
    <d v="2019-04-01T00:00:00"/>
    <s v="10.000,00"/>
    <s v="Diez Mil Bolívares con 00/100"/>
  </r>
  <r>
    <n v="1910"/>
    <m/>
    <s v="ü"/>
    <d v="2019-04-06T00:00:00"/>
    <n v="5000"/>
    <x v="81"/>
    <x v="69"/>
    <s v="Calle Güigüe Nro. 89-65"/>
    <s v="Cancelación Vigilancia, mes de Abril 2019 y aporte especial"/>
    <s v="Vigilancia"/>
    <m/>
    <s v="01910"/>
    <s v="06 de Abril de 2019"/>
    <n v="6"/>
    <d v="2019-04-01T00:00:00"/>
    <s v="5.000,00"/>
    <s v="Cinco Mil Bolívares con 00/100"/>
  </r>
  <r>
    <n v="1911"/>
    <m/>
    <s v="ü"/>
    <d v="2019-04-07T00:00:00"/>
    <n v="3000"/>
    <x v="10"/>
    <x v="10"/>
    <s v="Av. &quot;M&quot; Nro. 146-15"/>
    <s v="Cancelación Vigilancia, mes de Marzo 2019"/>
    <s v="Vigilancia"/>
    <m/>
    <s v="01911"/>
    <s v="07 de Abril de 2019"/>
    <n v="7"/>
    <d v="2019-04-01T00:00:00"/>
    <s v="3.000,00"/>
    <s v="Tres Mil Bolívares con 00/100"/>
  </r>
  <r>
    <n v="1912"/>
    <m/>
    <s v="û"/>
    <d v="2019-04-07T00:00:00"/>
    <n v="4000"/>
    <x v="20"/>
    <x v="18"/>
    <s v="Calle Guacara Nro. 89-30"/>
    <s v="REVERTIDO: Cancelación Vigilancia, mes de Abril 2019"/>
    <s v="REVERTIDO"/>
    <m/>
    <s v="01912"/>
    <s v="07 de Abril de 2019"/>
    <n v="7"/>
    <d v="2019-04-01T00:00:00"/>
    <s v="4.000,00"/>
    <s v="Cuatro Mil Bolívares con 00/100"/>
  </r>
  <r>
    <n v="1913"/>
    <m/>
    <s v="ü"/>
    <d v="2019-04-07T00:00:00"/>
    <n v="6000"/>
    <x v="71"/>
    <x v="62"/>
    <s v="Calle Güigüe Nro. 89-71"/>
    <s v="Colaboración Vigilancia, meses de Marzo y Abril 2019"/>
    <s v="Vigilancia"/>
    <m/>
    <s v="01913"/>
    <s v="07 de Abril de 2019"/>
    <n v="7"/>
    <d v="2019-04-01T00:00:00"/>
    <s v="6.000,00"/>
    <s v="Seis Mil Bolívares con 00/100"/>
  </r>
  <r>
    <n v="1914"/>
    <m/>
    <s v="ü"/>
    <d v="2019-04-08T00:00:00"/>
    <n v="6000"/>
    <x v="14"/>
    <x v="13"/>
    <s v="Calle Güigüe Nro. 89-83"/>
    <s v="Cancelación Vigilancia, mes de Abril 2019"/>
    <s v="Vigilancia"/>
    <m/>
    <s v="01914"/>
    <s v="08 de Abril de 2019"/>
    <n v="8"/>
    <d v="2019-04-01T00:00:00"/>
    <s v="6.000,00"/>
    <s v="Seis Mil Bolívares con 00/100"/>
  </r>
  <r>
    <n v="1915"/>
    <m/>
    <s v="ü"/>
    <d v="2019-04-08T00:00:00"/>
    <n v="4350"/>
    <x v="73"/>
    <x v="9"/>
    <s v="Calle Güigüe Nros. 88-71 y 88-81"/>
    <s v="Cancelación Vigilancia, anticipo mes de Abril 2019"/>
    <s v="Vigilancia"/>
    <m/>
    <s v="01915"/>
    <s v="08 de Abril de 2019"/>
    <n v="8"/>
    <d v="2019-04-01T00:00:00"/>
    <s v="4.350,00"/>
    <s v="Cuatro Mil Trescientos Cincuenta Bolívares con 00/100"/>
  </r>
  <r>
    <n v="1916"/>
    <m/>
    <s v="ü"/>
    <d v="2019-04-08T00:00:00"/>
    <n v="3000"/>
    <x v="90"/>
    <x v="82"/>
    <s v="Calle Güigüe Nro. 89-04"/>
    <s v="Cancelación Vigilancia, mes de Abril 2019"/>
    <s v="Vigilancia"/>
    <m/>
    <s v="01916"/>
    <s v="08 de Abril de 2019"/>
    <n v="8"/>
    <d v="2019-04-01T00:00:00"/>
    <s v="3.000,00"/>
    <s v="Tres Mil Bolívares con 00/100"/>
  </r>
  <r>
    <n v="1917"/>
    <m/>
    <s v="ü"/>
    <d v="2019-04-08T00:00:00"/>
    <n v="3000"/>
    <x v="48"/>
    <x v="9"/>
    <s v="Calle Güigüe Nro. 88-90"/>
    <s v="Cancelación Vigilancia, mes de Marzo 2019"/>
    <s v="Vigilancia"/>
    <m/>
    <s v="01917"/>
    <s v="08 de Abril de 2019"/>
    <n v="8"/>
    <d v="2019-04-01T00:00:00"/>
    <s v="3.000,00"/>
    <s v="Tres Mil Bolívares con 00/100"/>
  </r>
  <r>
    <n v="1918"/>
    <m/>
    <s v="ü"/>
    <d v="2019-04-08T00:00:00"/>
    <n v="3000"/>
    <x v="1"/>
    <x v="1"/>
    <s v="Calle Güigüe Nro. 88-44"/>
    <s v="Cancelación Vigilancia, mes de Abril 2019"/>
    <s v="Vigilancia"/>
    <m/>
    <s v="01918"/>
    <s v="08 de Abril de 2019"/>
    <n v="8"/>
    <d v="2019-04-01T00:00:00"/>
    <s v="3.000,00"/>
    <s v="Tres Mil Bolívares con 00/100"/>
  </r>
  <r>
    <n v="1919"/>
    <m/>
    <s v="ü"/>
    <d v="2019-04-08T00:00:00"/>
    <n v="3000"/>
    <x v="7"/>
    <x v="7"/>
    <s v="Calle Guacara Nro. 87-86"/>
    <s v="Cancelación Vigilancia, mes de Abril 2019"/>
    <s v="Vigilancia"/>
    <m/>
    <s v="01919"/>
    <s v="08 de Abril de 2019"/>
    <n v="8"/>
    <d v="2019-04-01T00:00:00"/>
    <s v="3.000,00"/>
    <s v="Tres Mil Bolívares con 00/100"/>
  </r>
  <r>
    <n v="1920"/>
    <m/>
    <s v="ü"/>
    <d v="2019-04-08T00:00:00"/>
    <n v="3000"/>
    <x v="12"/>
    <x v="12"/>
    <s v="Calle Guacara Nro. 89-20"/>
    <s v="Cancelación Vigilancia, mes de Abril 2019"/>
    <s v="Vigilancia"/>
    <m/>
    <s v="01920"/>
    <s v="08 de Abril de 2019"/>
    <n v="8"/>
    <d v="2019-04-01T00:00:00"/>
    <s v="3.000,00"/>
    <s v="Tres Mil Bolívares con 00/100"/>
  </r>
  <r>
    <n v="1921"/>
    <m/>
    <s v="ü"/>
    <d v="2019-04-08T00:00:00"/>
    <n v="6000"/>
    <x v="97"/>
    <x v="91"/>
    <s v="Calle Guacara Nro. 88-75"/>
    <s v="Cancelación Vigilancia, meses de Marzo y Abril 2019"/>
    <s v="Vigilancia"/>
    <m/>
    <s v="01921"/>
    <s v="08 de Abril de 2019"/>
    <n v="8"/>
    <d v="2019-04-01T00:00:00"/>
    <s v="6.000,00"/>
    <s v="Seis Mil Bolívares con 00/100"/>
  </r>
  <r>
    <n v="1922"/>
    <m/>
    <s v="ü"/>
    <d v="2019-04-08T00:00:00"/>
    <n v="3000"/>
    <x v="83"/>
    <x v="70"/>
    <s v="Calle Güigüe Nro. 89-22"/>
    <s v="Cancelación Vigilancia, mes de Marzo 2019"/>
    <s v="Vigilancia"/>
    <m/>
    <s v="01922"/>
    <s v="08 de Abril de 2019"/>
    <n v="8"/>
    <d v="2019-04-01T00:00:00"/>
    <s v="3.000,00"/>
    <s v="Tres Mil Bolívares con 00/100"/>
  </r>
  <r>
    <n v="1923"/>
    <m/>
    <s v="ü"/>
    <d v="2019-04-08T00:00:00"/>
    <n v="3000"/>
    <x v="54"/>
    <x v="50"/>
    <s v="Calle Güigüe Nro. 89-21"/>
    <s v="Cancelación Vigilancia, mes de Marzo 2019"/>
    <s v="Vigilancia"/>
    <m/>
    <s v="01923"/>
    <s v="08 de Abril de 2019"/>
    <n v="8"/>
    <d v="2019-04-01T00:00:00"/>
    <s v="3.000,00"/>
    <s v="Tres Mil Bolívares con 00/100"/>
  </r>
  <r>
    <n v="1924"/>
    <m/>
    <s v="ü"/>
    <d v="2019-04-08T00:00:00"/>
    <n v="2200"/>
    <x v="2"/>
    <x v="83"/>
    <s v="Calle Guacara Nro. 88-19"/>
    <s v="Colaboración Vigilancia, mes de Abril 2019"/>
    <s v="Vigilancia"/>
    <m/>
    <s v="01924"/>
    <s v="08 de Abril de 2019"/>
    <n v="8"/>
    <d v="2019-04-01T00:00:00"/>
    <s v="2.200,00"/>
    <s v="Dos Mil Doscientos Bolívares con 00/100"/>
  </r>
  <r>
    <n v="1925"/>
    <m/>
    <s v="ü"/>
    <d v="2019-04-08T00:00:00"/>
    <n v="3000"/>
    <x v="77"/>
    <x v="85"/>
    <s v="Calle Guacara Nro. 88-65"/>
    <s v="Colaboración Vigilancia, mes de Abril 2019"/>
    <s v="Vigilancia"/>
    <m/>
    <s v="01925"/>
    <s v="08 de Abril de 2019"/>
    <n v="8"/>
    <d v="2019-04-01T00:00:00"/>
    <s v="3.000,00"/>
    <s v="Tres Mil Bolívares con 00/100"/>
  </r>
  <r>
    <n v="1926"/>
    <m/>
    <s v="ü"/>
    <d v="2019-04-08T00:00:00"/>
    <n v="3000"/>
    <x v="36"/>
    <x v="33"/>
    <s v="Calle Güigüe Nro. 89-10"/>
    <s v="Cancelación Vigilancia, mes de Marzo 2019"/>
    <s v="Vigilancia"/>
    <m/>
    <s v="01926"/>
    <s v="08 de Abril de 2019"/>
    <n v="8"/>
    <d v="2019-04-01T00:00:00"/>
    <s v="3.000,00"/>
    <s v="Tres Mil Bolívares con 00/100"/>
  </r>
  <r>
    <n v="1927"/>
    <m/>
    <s v="ü"/>
    <d v="2019-04-09T00:00:00"/>
    <n v="3000"/>
    <x v="76"/>
    <x v="66"/>
    <s v="Calle Güigüe Nro. 89-90"/>
    <s v="Cancelación Vigilancia, anticipo mes de Abril 2019"/>
    <s v="Vigilancia"/>
    <m/>
    <s v="01927"/>
    <s v="09 de Abril de 2019"/>
    <n v="9"/>
    <d v="2019-04-01T00:00:00"/>
    <s v="3.000,00"/>
    <s v="Tres Mil Bolívares con 00/100"/>
  </r>
  <r>
    <n v="1928"/>
    <m/>
    <s v="ü"/>
    <d v="2019-04-09T00:00:00"/>
    <n v="3000"/>
    <x v="63"/>
    <x v="56"/>
    <s v="Calle Guacara Nro. 88-85"/>
    <s v="Colaboración Vigilancia, mes de Abril 2019"/>
    <s v="Vigilancia"/>
    <m/>
    <s v="01928"/>
    <s v="09 de Abril de 2019"/>
    <n v="9"/>
    <d v="2019-04-01T00:00:00"/>
    <s v="3.000,00"/>
    <s v="Tres Mil Bolívares con 00/100"/>
  </r>
  <r>
    <n v="1929"/>
    <m/>
    <s v="ü"/>
    <d v="2019-03-22T00:00:00"/>
    <n v="3000"/>
    <x v="23"/>
    <x v="21"/>
    <s v="Calle Güigüe Nro. 88-116"/>
    <s v="Cancelación Vigilancia, mes de Marzo 2019"/>
    <s v="Vigilancia"/>
    <m/>
    <s v="01929"/>
    <s v="22 de Marzo de 2019"/>
    <n v="22"/>
    <d v="2019-03-01T00:00:00"/>
    <s v="3.000,00"/>
    <s v="Tres Mil Bolívares con 00/100"/>
  </r>
  <r>
    <n v="1930"/>
    <m/>
    <s v="ü"/>
    <d v="2019-04-10T00:00:00"/>
    <n v="12000"/>
    <x v="86"/>
    <x v="73"/>
    <s v="Calle Guacara Nro. 89-50"/>
    <s v="Cancelación Vigilancia, meses de Enero, Febrero, Marzo y Abril 2019"/>
    <s v="Vigilancia"/>
    <m/>
    <s v="01930"/>
    <s v="10 de Abril de 2019"/>
    <n v="10"/>
    <d v="2019-04-01T00:00:00"/>
    <s v="12.000,00"/>
    <s v="Doce Mil Bolívares con 00/100"/>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s v="Quince Mil Bolívares con 00/100"/>
  </r>
  <r>
    <n v="1932"/>
    <m/>
    <s v="ü"/>
    <d v="2019-04-11T00:00:00"/>
    <n v="12000"/>
    <x v="37"/>
    <x v="34"/>
    <s v="Av. &quot;I&quot; Nro. 146-40"/>
    <s v="Cancelación Vigilancia, meses de Febrero, Marzo y  Abril, y anticipo del  mes de Mayo 2019"/>
    <s v="Vigilancia"/>
    <m/>
    <s v="01932"/>
    <s v="11 de Abril de 2019"/>
    <n v="11"/>
    <d v="2019-04-01T00:00:00"/>
    <s v="12.000,00"/>
    <s v="Doce Mil Bolívares con 00/100"/>
  </r>
  <r>
    <n v="1933"/>
    <m/>
    <s v="ü"/>
    <d v="2018-12-20T00:00:00"/>
    <n v="800"/>
    <x v="34"/>
    <x v="92"/>
    <s v="Av. &quot;O&quot; Nro. 146-11"/>
    <s v="Cancelación Vigilancia, mes de Diciembre 2018. Transferencia Banesco nro. 10643789740"/>
    <s v="Vigilancia"/>
    <m/>
    <s v="01933"/>
    <s v="20 de Diciembre de 2018"/>
    <n v="20"/>
    <d v="2018-12-01T00:00:00"/>
    <s v="800,00"/>
    <s v="Ochocientos Bolívares con 00/100"/>
  </r>
  <r>
    <n v="1934"/>
    <m/>
    <s v="ü"/>
    <d v="2019-02-04T00:00:00"/>
    <n v="3000"/>
    <x v="34"/>
    <x v="92"/>
    <s v="Av. &quot;O&quot; Nro. 146-11"/>
    <s v="Cancelación Vigilancia, mes de Enero 2019. Transferencia Banesco nro. 10824360060"/>
    <s v="Vigilancia"/>
    <m/>
    <s v="01934"/>
    <s v="04 de Febrero de 2019"/>
    <n v="4"/>
    <d v="2019-02-01T00:00:00"/>
    <s v="3.000,00"/>
    <s v="Tres Mil Bolívares con 00/100"/>
  </r>
  <r>
    <n v="1935"/>
    <m/>
    <s v="ü"/>
    <d v="2019-03-03T00:00:00"/>
    <n v="3000"/>
    <x v="34"/>
    <x v="92"/>
    <s v="Av. &quot;O&quot; Nro. 146-11"/>
    <s v="Cancelación Vigilancia, mes de Febrero 2019. Transferencia Banesco nro. 10936247652"/>
    <s v="Vigilancia"/>
    <m/>
    <s v="01935"/>
    <s v="03 de Marzo de 2019"/>
    <n v="3"/>
    <d v="2019-03-01T00:00:00"/>
    <s v="3.000,00"/>
    <s v="Tres Mil Bolívares con 00/100"/>
  </r>
  <r>
    <n v="1936"/>
    <m/>
    <s v="ü"/>
    <d v="2019-04-01T00:00:00"/>
    <n v="3000"/>
    <x v="34"/>
    <x v="92"/>
    <s v="Av. &quot;O&quot; Nro. 146-11"/>
    <s v="Cancelación Vigilancia, mes de Marzo 2019. Transferencia Banesco nro. 11022452320"/>
    <s v="Vigilancia"/>
    <m/>
    <s v="01936"/>
    <s v="01 de Abril de 2019"/>
    <n v="1"/>
    <d v="2019-04-01T00:00:00"/>
    <s v="3.000,00"/>
    <s v="Tres Mil Bolívares con 00/100"/>
  </r>
  <r>
    <n v="1937"/>
    <m/>
    <s v="ü"/>
    <d v="2019-04-10T00:00:00"/>
    <n v="3000"/>
    <x v="34"/>
    <x v="92"/>
    <s v="Av. &quot;O&quot; Nro. 146-11"/>
    <s v="Cancelación Vigilancia, mes de Abril 2019. Transferencia Banesco nro. 11051108616"/>
    <s v="Vigilancia"/>
    <m/>
    <s v="01937"/>
    <s v="10 de Abril de 2019"/>
    <n v="10"/>
    <d v="2019-04-01T00:00:00"/>
    <s v="3.000,00"/>
    <s v="Tres Mil Bolívares con 00/100"/>
  </r>
  <r>
    <n v="1938"/>
    <m/>
    <s v="ü"/>
    <d v="2019-04-11T00:00:00"/>
    <n v="6000"/>
    <x v="72"/>
    <x v="63"/>
    <s v="Calle Güigüe Nro. 89-35"/>
    <s v="Cancelación Vigilancia, meses de Marzo y Abril 2019"/>
    <s v="Vigilancia"/>
    <m/>
    <s v="01938"/>
    <s v="11 de Abril de 2019"/>
    <n v="11"/>
    <d v="2019-04-01T00:00:00"/>
    <s v="6.000,00"/>
    <s v="Seis Mil Bolívares con 00/100"/>
  </r>
  <r>
    <n v="1939"/>
    <m/>
    <s v="ü"/>
    <d v="2019-04-12T00:00:00"/>
    <n v="10000"/>
    <x v="98"/>
    <x v="93"/>
    <s v="Calle Guacara Nro. 89-102"/>
    <s v="Cancelación Vigilancia, meses de Enero, Febrero y Marzo 2019"/>
    <s v="Vigilancia"/>
    <m/>
    <s v="01939"/>
    <s v="12 de Abril de 2019"/>
    <n v="12"/>
    <d v="2019-04-01T00:00:00"/>
    <s v="10.000,00"/>
    <s v="Diez Mil Bolívares con 00/100"/>
  </r>
  <r>
    <n v="1940"/>
    <m/>
    <s v="ü"/>
    <d v="2019-04-12T00:00:00"/>
    <n v="2000"/>
    <x v="12"/>
    <x v="12"/>
    <s v="Calle Guacara Nro. 89-20"/>
    <s v="Cancelación Vigilancia, saldo mes de Abril 2019"/>
    <s v="Vigilancia"/>
    <m/>
    <s v="01940"/>
    <s v="12 de Abril de 2019"/>
    <n v="12"/>
    <d v="2019-04-01T00:00:00"/>
    <s v="2.000,00"/>
    <s v="Dos Mil Bolívares con 00/100"/>
  </r>
  <r>
    <n v="1941"/>
    <m/>
    <s v="ü"/>
    <d v="2019-04-12T00:00:00"/>
    <n v="12000"/>
    <x v="49"/>
    <x v="46"/>
    <s v="Av. &quot;O&quot; Nro. 146-17"/>
    <s v="Cancelación Vigilancia, meses de Enero, Febrero, Marzo y Abril 2019"/>
    <s v="Vigilancia"/>
    <m/>
    <s v="01941"/>
    <s v="12 de Abril de 2019"/>
    <n v="12"/>
    <d v="2019-04-01T00:00:00"/>
    <s v="12.000,00"/>
    <s v="Doce Mil Bolívares con 00/100"/>
  </r>
  <r>
    <n v="1942"/>
    <m/>
    <s v="ü"/>
    <d v="2019-04-12T00:00:00"/>
    <n v="2000"/>
    <x v="26"/>
    <x v="24"/>
    <s v="Calle Güigüe Nro. 89-96"/>
    <s v="Cancelación Vigilancia, saldo mes de Abril 2019"/>
    <s v="Vigilancia"/>
    <m/>
    <s v="01942"/>
    <s v="12 de Abril de 2019"/>
    <n v="12"/>
    <d v="2019-04-01T00:00:00"/>
    <s v="2.000,00"/>
    <s v="Dos Mil Bolívares con 00/100"/>
  </r>
  <r>
    <n v="1943"/>
    <m/>
    <s v="ü"/>
    <d v="2019-04-12T00:00:00"/>
    <n v="2000"/>
    <x v="69"/>
    <x v="61"/>
    <s v="Calle Güigüe Nro. 89-40"/>
    <s v="Cancelación Vigilancia, saldo mes de Abril 2019"/>
    <s v="Vigilancia"/>
    <m/>
    <s v="01943"/>
    <s v="12 de Abril de 2019"/>
    <n v="12"/>
    <d v="2019-04-01T00:00:00"/>
    <s v="2.000,00"/>
    <s v="Dos Mil Bolívares con 00/100"/>
  </r>
  <r>
    <n v="1944"/>
    <m/>
    <s v="ü"/>
    <d v="2019-04-12T00:00:00"/>
    <n v="2000"/>
    <x v="72"/>
    <x v="63"/>
    <s v="Calle Güigüe Nro. 89-35"/>
    <s v="Cancelación Vigilancia, saldo mes de Abril 2019"/>
    <s v="Vigilancia"/>
    <m/>
    <s v="01944"/>
    <s v="12 de Abril de 2019"/>
    <n v="12"/>
    <d v="2019-04-01T00:00:00"/>
    <s v="2.000,00"/>
    <s v="Dos Mil Bolívares con 00/100"/>
  </r>
  <r>
    <n v="1945"/>
    <m/>
    <s v="ü"/>
    <d v="2019-04-13T00:00:00"/>
    <n v="5000"/>
    <x v="4"/>
    <x v="4"/>
    <s v="Calle Güigüe Nro. 89-55"/>
    <s v="Cancelación Vigilancia, saldo mes de Abril 2019 y aporte especial"/>
    <s v="Vigilancia"/>
    <m/>
    <s v="01945"/>
    <s v="13 de Abril de 2019"/>
    <n v="13"/>
    <d v="2019-04-01T00:00:00"/>
    <s v="5.000,00"/>
    <s v="Cinco Mil Bolívares con 00/100"/>
  </r>
  <r>
    <n v="1946"/>
    <m/>
    <s v="ü"/>
    <d v="2019-04-13T00:00:00"/>
    <n v="13000"/>
    <x v="43"/>
    <x v="40"/>
    <s v="Calle Güigüe Nro. 88-50"/>
    <s v="Vigilancia: Cancelación meses de Marzo y Abril 2019, y anticipo mes de Mayo 2019"/>
    <s v="Vigilancia"/>
    <m/>
    <s v="01946"/>
    <s v="13 de Abril de 2019"/>
    <n v="13"/>
    <d v="2019-04-01T00:00:00"/>
    <s v="13.000,00"/>
    <s v="Trece Mil Bolívares con 00/100"/>
  </r>
  <r>
    <n v="1947"/>
    <m/>
    <s v="ü"/>
    <d v="2019-04-14T00:00:00"/>
    <n v="900"/>
    <x v="74"/>
    <x v="64"/>
    <s v="Calle Güigüe Nro. 88-20"/>
    <s v="Colaboración Vigilancia, meses de Febrero, Marzo y Abril 2019"/>
    <s v="Vigilancia"/>
    <m/>
    <s v="01947"/>
    <s v="14 de Abril de 2019"/>
    <n v="14"/>
    <d v="2019-04-01T00:00:00"/>
    <s v="900,00"/>
    <s v="Novecientos Bolívares con 00/100"/>
  </r>
  <r>
    <n v="1948"/>
    <m/>
    <s v="ü"/>
    <d v="2019-04-14T00:00:00"/>
    <n v="2000"/>
    <x v="1"/>
    <x v="1"/>
    <s v="Calle Güigüe Nro. 88-44"/>
    <s v="Cancelación Vigilancia, saldo mes de Abril 2019"/>
    <s v="Vigilancia"/>
    <m/>
    <s v="01948"/>
    <s v="14 de Abril de 2019"/>
    <n v="14"/>
    <d v="2019-04-01T00:00:00"/>
    <s v="2.000,00"/>
    <s v="Dos Mil Bolívares con 00/100"/>
  </r>
  <r>
    <n v="1949"/>
    <m/>
    <s v="ü"/>
    <d v="2019-04-16T00:00:00"/>
    <n v="5000"/>
    <x v="75"/>
    <x v="65"/>
    <s v="Av. &quot;Ñ&quot; Nro. 145-25"/>
    <s v="Cancelación Vigilancia, mes de Abril 2019 (saldo a favor: Bs. 23.352,00)"/>
    <s v="Vigilancia"/>
    <m/>
    <s v="01949"/>
    <s v="16 de Abril de 2019"/>
    <n v="16"/>
    <d v="2019-04-01T00:00:00"/>
    <s v="5.000,00"/>
    <s v="Cinco Mil Bolívares con 00/100"/>
  </r>
  <r>
    <n v="1950"/>
    <m/>
    <s v="ü"/>
    <d v="2019-04-16T00:00:00"/>
    <n v="5000"/>
    <x v="92"/>
    <x v="86"/>
    <s v="Calle Guacara Nro. 88-A-10"/>
    <s v="Cancelación Vigilancia, mes de Abril 2019 (saldo a favor: Bs. 6.005,80)"/>
    <s v="Vigilancia"/>
    <m/>
    <s v="01950"/>
    <s v="16 de Abril de 2019"/>
    <n v="16"/>
    <d v="2019-04-01T00:00:00"/>
    <s v="5.000,00"/>
    <s v="Cinco Mil Bolívares con 00/100"/>
  </r>
  <r>
    <n v="1951"/>
    <m/>
    <s v="ü"/>
    <d v="2019-04-16T00:00:00"/>
    <n v="5000"/>
    <x v="42"/>
    <x v="39"/>
    <s v="Calle Güigüe Nro. 89-79"/>
    <s v="Cancelación Vigilancia, mes de Abril 2019 (saldo a favor: Bs. 6.000,00)"/>
    <s v="Vigilancia"/>
    <m/>
    <s v="01951"/>
    <s v="16 de Abril de 2019"/>
    <n v="16"/>
    <d v="2019-04-01T00:00:00"/>
    <s v="5.000,00"/>
    <s v="Cinco Mil Bolívares con 00/100"/>
  </r>
  <r>
    <n v="1952"/>
    <m/>
    <s v="ü"/>
    <d v="2019-04-16T00:00:00"/>
    <n v="5000"/>
    <x v="88"/>
    <x v="76"/>
    <s v="Calle Güigüe Nro. 88-11"/>
    <s v="Cancelación Vigilancia, mes de Abril 2019"/>
    <s v="Vigilancia"/>
    <m/>
    <s v="01952"/>
    <s v="16 de Abril de 2019"/>
    <n v="16"/>
    <d v="2019-04-01T00:00:00"/>
    <s v="5.000,00"/>
    <s v="Cinco Mil Bolívares con 00/100"/>
  </r>
  <r>
    <n v="1953"/>
    <m/>
    <s v="ü"/>
    <d v="2019-04-16T00:00:00"/>
    <n v="5000"/>
    <x v="0"/>
    <x v="0"/>
    <s v="Calle Guacara Nro. 88-45"/>
    <s v="Cancelación Vigilancia, mes de Abril 2019 (saldo a favor: Bs. 95.862,95)"/>
    <s v="Vigilancia"/>
    <m/>
    <s v="01953"/>
    <s v="16 de Abril de 2019"/>
    <n v="16"/>
    <d v="2019-04-01T00:00:00"/>
    <s v="5.000,00"/>
    <s v="Cinco Mil Bolívares con 00/100"/>
  </r>
  <r>
    <n v="1954"/>
    <m/>
    <s v="ü"/>
    <d v="2019-04-16T00:00:00"/>
    <n v="9000"/>
    <x v="28"/>
    <x v="77"/>
    <s v="Calle Güigüe Nro. 88-30"/>
    <s v="Cancelación Vigilancia, meses de Enero, Febrero y Marzo 2019"/>
    <s v="Vigilancia"/>
    <m/>
    <s v="01954"/>
    <s v="16 de Abril de 2019"/>
    <n v="16"/>
    <d v="2019-04-01T00:00:00"/>
    <s v="9.000,00"/>
    <s v="Nueve Mil Bolívares con 00/100"/>
  </r>
  <r>
    <n v="1955"/>
    <m/>
    <s v="ü"/>
    <d v="2019-04-17T00:00:00"/>
    <n v="2000"/>
    <x v="90"/>
    <x v="82"/>
    <s v="Calle Güigüe Nro. 89-04"/>
    <s v="Cancelación Vigilancia, saldo mes de Abril 2019"/>
    <s v="Vigilancia"/>
    <m/>
    <s v="01955"/>
    <s v="17 de Abril de 2019"/>
    <n v="17"/>
    <d v="2019-04-01T00:00:00"/>
    <s v="2.000,00"/>
    <s v="Dos Mil Bolívares con 00/100"/>
  </r>
  <r>
    <n v="1956"/>
    <m/>
    <s v="ü"/>
    <d v="2019-04-18T00:00:00"/>
    <n v="3000"/>
    <x v="47"/>
    <x v="94"/>
    <s v="Calle Güigüe Nro. 88-80"/>
    <s v="Cancelación Vigilancia, mes de Febrero 2019 (saldo a favor Bs. 345,55)"/>
    <s v="Vigilancia"/>
    <m/>
    <s v="01956"/>
    <s v="18 de Abril de 2019"/>
    <n v="18"/>
    <d v="2019-04-01T00:00:00"/>
    <s v="3.000,00"/>
    <s v="Tres Mil Bolívares con 00/100"/>
  </r>
  <r>
    <n v="1957"/>
    <m/>
    <s v="ü"/>
    <d v="2019-04-18T00:00:00"/>
    <n v="5000"/>
    <x v="84"/>
    <x v="71"/>
    <s v="Calle Güigüe Nro. 89-54"/>
    <s v="Cancelación Vigilancia, mes de Abril 2019"/>
    <s v="Vigilancia"/>
    <m/>
    <s v="01957"/>
    <s v="18 de Abril de 2019"/>
    <n v="18"/>
    <d v="2019-04-01T00:00:00"/>
    <s v="5.000,00"/>
    <s v="Cinco Mil Bolívares con 00/100"/>
  </r>
  <r>
    <n v="1958"/>
    <m/>
    <s v="ü"/>
    <d v="2019-04-18T00:00:00"/>
    <n v="2000"/>
    <x v="7"/>
    <x v="7"/>
    <s v="Calle Guacara Nro. 87-86"/>
    <s v="Cancelación Vigilancia, saldo mes de Abril 2019"/>
    <s v="Vigilancia"/>
    <m/>
    <s v="01958"/>
    <s v="18 de Abril de 2019"/>
    <n v="18"/>
    <d v="2019-04-01T00:00:00"/>
    <s v="2.000,00"/>
    <s v="Dos Mil Bolívares con 00/100"/>
  </r>
  <r>
    <n v="1959"/>
    <m/>
    <s v="ü"/>
    <d v="2019-04-18T00:00:00"/>
    <n v="5000"/>
    <x v="35"/>
    <x v="32"/>
    <s v="Calle Güigüe Nro. 89-80"/>
    <s v="Cancelación Vigilancia, mes de Abril 2019"/>
    <s v="Vigilancia"/>
    <m/>
    <s v="01959"/>
    <s v="18 de Abril de 2019"/>
    <n v="18"/>
    <d v="2019-04-01T00:00:00"/>
    <s v="5.000,00"/>
    <s v="Cinco Mil Bolívares con 00/100"/>
  </r>
  <r>
    <n v="1960"/>
    <m/>
    <s v="ü"/>
    <d v="2019-04-19T00:00:00"/>
    <n v="5000"/>
    <x v="98"/>
    <x v="93"/>
    <s v="Calle Guacara Nro. 89-102"/>
    <s v="Cancelación Vigilancia, mes de Abril 2019"/>
    <s v="Vigilancia"/>
    <m/>
    <s v="01960"/>
    <s v="19 de Abril de 2019"/>
    <n v="19"/>
    <d v="2019-04-01T00:00:00"/>
    <s v="5.000,00"/>
    <s v="Cinco Mil Bolívares con 00/100"/>
  </r>
  <r>
    <n v="1961"/>
    <m/>
    <s v="ü"/>
    <d v="2019-04-19T00:00:00"/>
    <n v="2000"/>
    <x v="15"/>
    <x v="14"/>
    <s v="Calle Guacara Nro. 89-94"/>
    <s v="Cancelación Vigilancia, saldo mes de Abril 2019"/>
    <s v="Vigilancia"/>
    <m/>
    <s v="01961"/>
    <s v="19 de Abril de 2019"/>
    <n v="19"/>
    <d v="2019-04-01T00:00:00"/>
    <s v="2.000,00"/>
    <s v="Dos Mil Bolívares con 00/100"/>
  </r>
  <r>
    <n v="1962"/>
    <m/>
    <s v="ü"/>
    <d v="2019-04-19T00:00:00"/>
    <n v="2000"/>
    <x v="61"/>
    <x v="14"/>
    <s v="Calle Guacara Nro. 87-07"/>
    <s v="Cancelación Vigilancia, saldo mes de Abril 2019"/>
    <s v="Vigilancia"/>
    <m/>
    <s v="01962"/>
    <s v="19 de Abril de 2019"/>
    <n v="19"/>
    <d v="2019-04-01T00:00:00"/>
    <s v="2.000,00"/>
    <s v="Dos Mil Bolívares con 00/100"/>
  </r>
  <r>
    <n v="1963"/>
    <m/>
    <s v="ü"/>
    <d v="2019-04-19T00:00:00"/>
    <n v="7000"/>
    <x v="11"/>
    <x v="11"/>
    <s v="Calle Guacara Nro. 89-86"/>
    <s v="Vigilancia: Cancelación saldo mes de Abril y anticipo mes de Mayo 2019"/>
    <s v="Vigilancia"/>
    <m/>
    <s v="01963"/>
    <s v="19 de Abril de 2019"/>
    <n v="19"/>
    <d v="2019-04-01T00:00:00"/>
    <s v="7.000,00"/>
    <s v="Siete Mil Bolívares con 00/100"/>
  </r>
  <r>
    <n v="1964"/>
    <m/>
    <s v="ü"/>
    <d v="2019-04-21T00:00:00"/>
    <n v="5000"/>
    <x v="95"/>
    <x v="89"/>
    <s v="Calle Güigüe Nro. 89-120"/>
    <s v="Cancelación Vigilancia, mes de Abril 2019"/>
    <s v="Vigilancia"/>
    <m/>
    <s v="01964"/>
    <s v="21 de Abril de 2019"/>
    <n v="21"/>
    <d v="2019-04-01T00:00:00"/>
    <s v="5.000,00"/>
    <s v="Cinco Mil Bolívares con 00/100"/>
  </r>
  <r>
    <n v="1965"/>
    <m/>
    <s v="ü"/>
    <d v="2019-04-22T00:00:00"/>
    <n v="5000"/>
    <x v="25"/>
    <x v="23"/>
    <s v="Calle Güigüe Nro. 88-58"/>
    <s v="Cancelación Vigilancia, mes de Abril 2019"/>
    <s v="Vigilancia"/>
    <m/>
    <s v="01965"/>
    <s v="22 de Abril de 2019"/>
    <n v="22"/>
    <d v="2019-04-01T00:00:00"/>
    <s v="5.000,00"/>
    <s v="Cinco Mil Bolívares con 00/100"/>
  </r>
  <r>
    <n v="1966"/>
    <m/>
    <s v="ü"/>
    <d v="2019-04-22T00:00:00"/>
    <n v="5000"/>
    <x v="53"/>
    <x v="80"/>
    <s v="Calle Guacara Nro. 88-91"/>
    <s v="Cancelación Vigilancia, mes de Abril 2019"/>
    <s v="Vigilancia"/>
    <m/>
    <s v="01966"/>
    <s v="22 de Abril de 2019"/>
    <n v="22"/>
    <d v="2019-04-01T00:00:00"/>
    <s v="5.000,00"/>
    <s v="Cinco Mil Bolívares con 00/100"/>
  </r>
  <r>
    <n v="1967"/>
    <m/>
    <s v="ü"/>
    <d v="2019-04-22T00:00:00"/>
    <n v="2365.5500000000002"/>
    <x v="47"/>
    <x v="94"/>
    <s v="Calle Güigüe Nro. 88-80"/>
    <s v="Colaboración Vigilancia, mes de Marzo 2019"/>
    <s v="Vigilancia"/>
    <m/>
    <s v="01967"/>
    <s v="22 de Abril de 2019"/>
    <n v="22"/>
    <d v="2019-04-01T00:00:00"/>
    <s v="2.365,55"/>
    <s v="Dos Mil Trescientos Sesenta y Cinco Bolívares con 55/100"/>
  </r>
  <r>
    <n v="1968"/>
    <m/>
    <s v="ü"/>
    <d v="2019-04-22T00:00:00"/>
    <n v="5000"/>
    <x v="8"/>
    <x v="78"/>
    <s v="Calle Guacara Nro. 90-51"/>
    <s v="Cancelación Vigilancia, mes de Abril 2019"/>
    <s v="Vigilancia"/>
    <m/>
    <s v="01968"/>
    <s v="22 de Abril de 2019"/>
    <n v="22"/>
    <d v="2019-04-01T00:00:00"/>
    <s v="5.000,00"/>
    <s v="Cinco Mil Bolívares con 00/100"/>
  </r>
  <r>
    <n v="1969"/>
    <m/>
    <s v="ü"/>
    <d v="2019-04-22T00:00:00"/>
    <n v="1440"/>
    <x v="87"/>
    <x v="75"/>
    <s v="Calle Güigüe Nro. 88-06"/>
    <s v="Cancelación Vigilancia: saldo mes de Marzo 2019"/>
    <s v="Vigilancia"/>
    <m/>
    <s v="01969"/>
    <s v="22 de Abril de 2019"/>
    <n v="22"/>
    <d v="2019-04-01T00:00:00"/>
    <s v="1.440,00"/>
    <s v="Mil Cuatrocientos Cuarenta Bolívares con 00/100"/>
  </r>
  <r>
    <n v="1970"/>
    <m/>
    <s v="ü"/>
    <d v="2019-04-22T00:00:00"/>
    <n v="5000"/>
    <x v="87"/>
    <x v="75"/>
    <s v="Calle Güigüe Nro. 88-06"/>
    <s v="Cancelación Vigilancia, mes de Abril 2019"/>
    <s v="Vigilancia"/>
    <m/>
    <s v="01970"/>
    <s v="22 de Abril de 2019"/>
    <n v="22"/>
    <d v="2019-04-01T00:00:00"/>
    <s v="5.000,00"/>
    <s v="Cinco Mil Bolívares con 00/100"/>
  </r>
  <r>
    <n v="1971"/>
    <m/>
    <s v="ü"/>
    <d v="2019-04-22T00:00:00"/>
    <n v="2000"/>
    <x v="63"/>
    <x v="56"/>
    <s v="Calle Guacara Nro. 88-85"/>
    <s v="Cancelación Vigilancia, saldo mes de Abril 2019"/>
    <s v="Vigilancia"/>
    <m/>
    <s v="01971"/>
    <s v="22 de Abril de 2019"/>
    <n v="22"/>
    <d v="2019-04-01T00:00:00"/>
    <s v="2.000,00"/>
    <s v="Dos Mil Bolívares con 00/100"/>
  </r>
  <r>
    <n v="1972"/>
    <m/>
    <s v="ü"/>
    <d v="2019-04-23T00:00:00"/>
    <n v="5000"/>
    <x v="65"/>
    <x v="58"/>
    <s v="Calle Güigüe Nro. 88-10"/>
    <s v="Cancelación Vigilancia, mes de Abril 2019"/>
    <s v="Vigilancia"/>
    <m/>
    <s v="01972"/>
    <s v="23 de Abril de 2019"/>
    <n v="23"/>
    <d v="2019-04-01T00:00:00"/>
    <s v="5.000,00"/>
    <s v="Cinco Mil Bolívares con 00/100"/>
  </r>
  <r>
    <n v="1973"/>
    <m/>
    <s v="ü"/>
    <d v="2019-04-23T00:00:00"/>
    <n v="5000"/>
    <x v="56"/>
    <x v="52"/>
    <s v="Calle Güigüe Nro. 88-70"/>
    <s v="Cancelación Vigilancia, mes de Abril 2019"/>
    <s v="Vigilancia"/>
    <m/>
    <s v="01973"/>
    <s v="23 de Abril de 2019"/>
    <n v="23"/>
    <d v="2019-04-01T00:00:00"/>
    <s v="5.000,00"/>
    <s v="Cinco Mil Bolívares con 00/100"/>
  </r>
  <r>
    <n v="1974"/>
    <m/>
    <s v="ü"/>
    <d v="2019-04-24T00:00:00"/>
    <n v="5000"/>
    <x v="24"/>
    <x v="22"/>
    <s v="Calle Güigüe Nro. 88-54"/>
    <s v="Cancelación Vigilancia, mes de Abril 2019"/>
    <s v="Vigilancia"/>
    <m/>
    <s v="01974"/>
    <s v="24 de Abril de 2019"/>
    <n v="24"/>
    <d v="2019-04-01T00:00:00"/>
    <s v="5.000,00"/>
    <s v="Cinco Mil Bolívares con 00/100"/>
  </r>
  <r>
    <n v="1975"/>
    <m/>
    <s v="ü"/>
    <d v="2019-04-25T00:00:00"/>
    <n v="9000"/>
    <x v="5"/>
    <x v="9"/>
    <s v="Calle Güigüe Nro. 88-120"/>
    <s v="Vigilancia: Saldo meses de Abril y Mayo y cancelación mes de Junio 2019"/>
    <s v="Vigilancia"/>
    <m/>
    <s v="01975"/>
    <s v="25 de Abril de 2019"/>
    <n v="25"/>
    <d v="2019-04-01T00:00:00"/>
    <s v="9.000,00"/>
    <s v="Nueve Mil Bolívares con 00/100"/>
  </r>
  <r>
    <n v="1976"/>
    <m/>
    <s v="ü"/>
    <d v="2019-04-27T00:00:00"/>
    <n v="6000"/>
    <x v="96"/>
    <x v="90"/>
    <s v="Av. &quot;M&quot; Nro. 146-30"/>
    <s v="Vigilancia: Cancelación mes de Abril y anticipo mes de Mayo 2019"/>
    <s v="Vigilancia"/>
    <m/>
    <s v="01976"/>
    <s v="27 de Abril de 2019"/>
    <n v="27"/>
    <d v="2019-04-01T00:00:00"/>
    <s v="6.000,00"/>
    <s v="Seis Mil Bolívares con 00/100"/>
  </r>
  <r>
    <n v="1977"/>
    <m/>
    <s v="ü"/>
    <d v="2019-04-28T00:00:00"/>
    <n v="5000"/>
    <x v="20"/>
    <x v="18"/>
    <s v="Calle Guacara Nro. 89-30"/>
    <s v="Cancelación Vigilancia, mes de Abril 2019"/>
    <s v="Vigilancia"/>
    <m/>
    <s v="01977"/>
    <s v="28 de Abril de 2019"/>
    <n v="28"/>
    <d v="2019-04-01T00:00:00"/>
    <s v="5.000,00"/>
    <s v="Cinco Mil Bolívares con 00/100"/>
  </r>
  <r>
    <n v="1978"/>
    <m/>
    <s v="ü"/>
    <d v="2019-04-28T00:00:00"/>
    <n v="10000"/>
    <x v="6"/>
    <x v="6"/>
    <s v="Calle Guacara Nro. 89-60"/>
    <s v="Vigilancia: Cancelación mes de Abril y anticipo del mes de Mayo 2019"/>
    <s v="Vigilancia"/>
    <m/>
    <s v="01978"/>
    <s v="28 de Abril de 2019"/>
    <n v="28"/>
    <d v="2019-04-01T00:00:00"/>
    <s v="10.000,00"/>
    <s v="Diez Mil Bolívares con 00/100"/>
  </r>
  <r>
    <n v="1979"/>
    <m/>
    <s v="ü"/>
    <d v="2019-04-28T00:00:00"/>
    <n v="5000"/>
    <x v="45"/>
    <x v="42"/>
    <s v="Calle Güigüe Nro. 87-A-11"/>
    <s v="Cancelación Vigilancia, mes de Abril 2019"/>
    <s v="Vigilancia"/>
    <m/>
    <s v="01979"/>
    <s v="28 de Abril de 2019"/>
    <n v="28"/>
    <d v="2019-04-01T00:00:00"/>
    <s v="5.000,00"/>
    <s v="Cinco Mil Bolívares con 00/100"/>
  </r>
  <r>
    <n v="1980"/>
    <m/>
    <s v="ü"/>
    <d v="2019-04-28T00:00:00"/>
    <n v="5000"/>
    <x v="38"/>
    <x v="35"/>
    <s v="Calle Guacara Nro. 89-78"/>
    <s v="Cancelación Vigilancia, mes de Abril 2019"/>
    <s v="Vigilancia"/>
    <m/>
    <s v="01980"/>
    <s v="28 de Abril de 2019"/>
    <n v="28"/>
    <d v="2019-04-01T00:00:00"/>
    <s v="5.000,00"/>
    <s v="Cinco Mil Bolívares con 00/100"/>
  </r>
  <r>
    <n v="1981"/>
    <m/>
    <s v="ü"/>
    <d v="2019-04-28T00:00:00"/>
    <n v="5000"/>
    <x v="31"/>
    <x v="29"/>
    <s v="Calle Güigüe Nro. 89-95"/>
    <s v="Cancelación Vigilancia, mes de Abril 2019"/>
    <s v="Vigilancia"/>
    <m/>
    <s v="01981"/>
    <s v="28 de Abril de 2019"/>
    <n v="28"/>
    <d v="2019-04-01T00:00:00"/>
    <s v="5.000,00"/>
    <s v="Cinco Mil Bolívares con 00/100"/>
  </r>
  <r>
    <n v="1982"/>
    <m/>
    <s v="ü"/>
    <d v="2019-04-28T00:00:00"/>
    <n v="5000"/>
    <x v="47"/>
    <x v="94"/>
    <s v="Calle Güigüe Nro. 88-80"/>
    <s v="Cancelación Vigilancia, mes de Abril 2019"/>
    <s v="Vigilancia"/>
    <m/>
    <s v="01982"/>
    <s v="28 de Abril de 2019"/>
    <n v="28"/>
    <d v="2019-04-01T00:00:00"/>
    <s v="5.000,00"/>
    <s v="Cinco Mil Bolívares con 00/100"/>
  </r>
  <r>
    <n v="1983"/>
    <m/>
    <s v="ü"/>
    <d v="2019-04-29T00:00:00"/>
    <n v="7000"/>
    <x v="18"/>
    <x v="16"/>
    <s v="Calle Guacara Nro. 87-100"/>
    <s v="Vigilancia: Cancelación saldo mes de Abril y anticipo mes de Mayo 2019"/>
    <s v="Vigilancia"/>
    <m/>
    <s v="01983"/>
    <s v="29 de Abril de 2019"/>
    <n v="29"/>
    <d v="2019-04-01T00:00:00"/>
    <s v="7.000,00"/>
    <s v="Siete Mil Bolívares con 00/100"/>
  </r>
  <r>
    <n v="1984"/>
    <m/>
    <s v="ü"/>
    <d v="2019-03-29T00:00:00"/>
    <n v="5000"/>
    <x v="23"/>
    <x v="21"/>
    <s v="Calle Güigüe Nro. 88-116"/>
    <s v="Cancelación Vigilancia, mes de Abril 2019"/>
    <s v="Vigilancia"/>
    <m/>
    <s v="01984"/>
    <s v="29 de Marzo de 2019"/>
    <n v="29"/>
    <d v="2019-03-01T00:00:00"/>
    <s v="5.000,00"/>
    <s v="Cinco Mil Bolívares con 00/100"/>
  </r>
  <r>
    <n v="1985"/>
    <m/>
    <s v="ü"/>
    <d v="2019-03-29T00:00:00"/>
    <n v="8000"/>
    <x v="44"/>
    <x v="41"/>
    <s v="Calle Guacara Nro. 89-40"/>
    <s v="Cancelación Vigilancia, meses de Marzo y Abril 2019"/>
    <s v="Vigilancia"/>
    <m/>
    <s v="01985"/>
    <s v="29 de Marzo de 2019"/>
    <n v="29"/>
    <d v="2019-03-01T00:00:00"/>
    <s v="8.000,00"/>
    <s v="Ocho Mil Bolívares con 00/100"/>
  </r>
  <r>
    <n v="1986"/>
    <m/>
    <s v="ü"/>
    <d v="2019-04-30T00:00:00"/>
    <n v="7000"/>
    <x v="77"/>
    <x v="85"/>
    <s v="Calle Guacara Nro. 88-65"/>
    <s v="Vigilancia: Cancelación saldo mes de Abril y anticipo mes de Mayo 2019"/>
    <s v="Vigilancia"/>
    <m/>
    <s v="01986"/>
    <s v="30 de Abril de 2019"/>
    <n v="30"/>
    <d v="2019-04-01T00:00:00"/>
    <s v="7.000,00"/>
    <s v="Siete Mil Bolívares con 00/100"/>
  </r>
  <r>
    <n v="1987"/>
    <m/>
    <s v="ü"/>
    <d v="2019-04-30T00:00:00"/>
    <n v="4000"/>
    <x v="37"/>
    <x v="34"/>
    <s v="Av. &quot;I&quot; Nro. 146-40"/>
    <s v="Vigilancia: Anticipo mes de Mayo 2019"/>
    <s v="Vigilancia"/>
    <m/>
    <s v="01987"/>
    <s v="30 de Abril de 2019"/>
    <n v="30"/>
    <d v="2019-04-01T00:00:00"/>
    <s v="4.000,00"/>
    <s v="Cuatro Mil Bolívares con 00/100"/>
  </r>
  <r>
    <n v="1988"/>
    <m/>
    <s v="ü"/>
    <d v="2019-04-28T00:00:00"/>
    <n v="2000"/>
    <x v="97"/>
    <x v="91"/>
    <s v="Calle Guacara Nro. 88-75"/>
    <s v="Cancelación Vigilancia, saldo mes de Abril 2019"/>
    <s v="Vigilancia"/>
    <m/>
    <s v="01988"/>
    <s v="28 de Abril de 2019"/>
    <n v="28"/>
    <d v="2019-04-01T00:00:00"/>
    <s v="2.000,00"/>
    <s v="Dos Mil Bolívares con 00/100"/>
  </r>
  <r>
    <n v="1989"/>
    <m/>
    <s v="ü"/>
    <d v="2019-05-01T00:00:00"/>
    <n v="5000"/>
    <x v="58"/>
    <x v="53"/>
    <s v="Calle Güigüe Nro. 88-51"/>
    <s v="Cancelación Vigilancia, mes de Abril 2019"/>
    <s v="Vigilancia"/>
    <m/>
    <s v="01989"/>
    <s v="01 de Mayo de 2019"/>
    <n v="1"/>
    <d v="2019-05-01T00:00:00"/>
    <s v="5.000,00"/>
    <s v="Cinco Mil Bolívares con 00/100"/>
  </r>
  <r>
    <n v="1990"/>
    <m/>
    <s v="ü"/>
    <d v="2019-05-02T00:00:00"/>
    <n v="10000"/>
    <x v="19"/>
    <x v="17"/>
    <s v="Calle Guacara Nro. 89-130"/>
    <s v="Vigilancia: Cancelación saldo mes de Abril y anticipo mes de Mayo 2019"/>
    <s v="Vigilancia"/>
    <m/>
    <s v="01990"/>
    <s v="02 de Mayo de 2019"/>
    <n v="2"/>
    <d v="2019-05-01T00:00:00"/>
    <s v="10.000,00"/>
    <s v="Diez Mil Bolívares con 00/100"/>
  </r>
  <r>
    <n v="1991"/>
    <m/>
    <s v="ü"/>
    <d v="2019-05-02T00:00:00"/>
    <n v="5000"/>
    <x v="40"/>
    <x v="37"/>
    <s v="Calle Güigüe Nro. 88-101"/>
    <s v="Cancelación Vigilancia, mes de Abril 2019"/>
    <s v="Vigilancia"/>
    <m/>
    <s v="01991"/>
    <s v="02 de Mayo de 2019"/>
    <n v="2"/>
    <d v="2019-05-01T00:00:00"/>
    <s v="5.000,00"/>
    <s v="Cinco Mil Bolívares con 00/100"/>
  </r>
  <r>
    <n v="1992"/>
    <m/>
    <s v="ü"/>
    <d v="2019-05-02T00:00:00"/>
    <n v="5000"/>
    <x v="15"/>
    <x v="14"/>
    <s v="Calle Guacara Nro. 89-94"/>
    <s v="Vigilancia: Anticipo mes de Mayo 2019"/>
    <s v="Vigilancia"/>
    <m/>
    <s v="01992"/>
    <s v="02 de Mayo de 2019"/>
    <n v="2"/>
    <d v="2019-05-01T00:00:00"/>
    <s v="5.000,00"/>
    <s v="Cinco Mil Bolívares con 00/100"/>
  </r>
  <r>
    <n v="1993"/>
    <m/>
    <s v="ü"/>
    <d v="2019-05-02T00:00:00"/>
    <n v="5000"/>
    <x v="61"/>
    <x v="14"/>
    <s v="Calle Guacara Nro. 87-07"/>
    <s v="Vigilancia: Anticipo mes de Mayo 2019"/>
    <s v="Vigilancia"/>
    <m/>
    <s v="01993"/>
    <s v="02 de Mayo de 2019"/>
    <n v="2"/>
    <d v="2019-05-01T00:00:00"/>
    <s v="5.000,00"/>
    <s v="Cinco Mil Bolívares con 00/100"/>
  </r>
  <r>
    <n v="1994"/>
    <m/>
    <s v="ü"/>
    <d v="2019-05-02T00:00:00"/>
    <n v="5000"/>
    <x v="22"/>
    <x v="20"/>
    <s v="Calle Guacara Nro. 88-25"/>
    <s v="Cancelación Vigilancia, mes de Abril 2019"/>
    <s v="Vigilancia"/>
    <m/>
    <s v="01994"/>
    <s v="02 de Mayo de 2019"/>
    <n v="2"/>
    <d v="2019-05-01T00:00:00"/>
    <s v="5.000,00"/>
    <s v="Cinco Mil Bolívares con 00/1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71">
  <r>
    <n v="1"/>
    <m/>
    <x v="0"/>
    <d v="2016-12-09T00:00:00"/>
    <n v="0.105"/>
    <s v="Familia Del Negro Palermo"/>
    <s v="vdelnegro@gmail.com"/>
    <s v="Calle Guacara Nro. 88-45"/>
    <s v="Anticipo Vigilancia, mes de Enero 2017"/>
    <x v="0"/>
    <s v="https://drive.google.com/open?id=0ByOb8wNqoBtVQ2JYRkVQTFVWQU0"/>
    <s v="00001"/>
    <s v="09 de diciembre de 2016"/>
    <n v="9"/>
    <x v="0"/>
    <s v="0,11"/>
    <e v="#NAME?"/>
  </r>
  <r>
    <n v="2"/>
    <m/>
    <x v="0"/>
    <d v="2016-12-13T00:00:00"/>
    <n v="0.105"/>
    <s v="Familia Colosso Delgado"/>
    <s v="mcolosso@gmail.com"/>
    <s v="Calle Güigüe Nro. 88-44"/>
    <s v="Anticipo Vigilancia, mes de Enero 2017"/>
    <x v="0"/>
    <s v="https://drive.google.com/open?id=0ByOb8wNqoBtVWTdmYzQ4N0NUQ3c"/>
    <s v="00002"/>
    <s v="13 de diciembre de 2016"/>
    <n v="13"/>
    <x v="0"/>
    <s v="0,11"/>
    <e v="#NAME?"/>
  </r>
  <r>
    <n v="3"/>
    <m/>
    <x v="0"/>
    <d v="2016-12-20T00:00:00"/>
    <n v="4.4999999999999998E-2"/>
    <s v="Familia Méndez Parra"/>
    <s v="briceidamp@hotmail.com"/>
    <s v="Calle Guacara Nro. 88-19"/>
    <s v="Anticipo Vigilancia, mes de Enero 2017"/>
    <x v="0"/>
    <s v="https://drive.google.com/open?id=0ByOb8wNqoBtVZU5vcE5wOUtYRVU"/>
    <s v="00003"/>
    <s v="20 de diciembre de 2016"/>
    <n v="20"/>
    <x v="0"/>
    <s v="0,05"/>
    <e v="#NAME?"/>
  </r>
  <r>
    <n v="4"/>
    <m/>
    <x v="0"/>
    <d v="2017-01-02T00:00:00"/>
    <n v="0.105"/>
    <s v="Familia Martínez Boada"/>
    <s v="florcitakmz@gmail.com"/>
    <s v="Calle Güigüe Nro. 88-62"/>
    <s v="Anticipo Vigilancia, mes de Enero 2017"/>
    <x v="0"/>
    <s v="https://drive.google.com/open?id=0ByOb8wNqoBtVbnMxZWNSWHF3WlU"/>
    <s v="00004"/>
    <s v="02 de enero de 2017"/>
    <n v="2"/>
    <x v="1"/>
    <s v="0,11"/>
    <e v="#NAME?"/>
  </r>
  <r>
    <n v="5"/>
    <m/>
    <x v="0"/>
    <d v="2017-01-06T00:00:00"/>
    <n v="0.105"/>
    <s v="Familia Fermín Rivas"/>
    <s v="angelferminb@gmail.com"/>
    <s v="Calle Güigüe Nro. 89-55"/>
    <s v="Anticipo Vigilancia, mes de Enero 2017"/>
    <x v="0"/>
    <s v="https://drive.google.com/open?id=0ByOb8wNqoBtVcm9mb2w4S1F3N1k"/>
    <s v="00005"/>
    <s v="06 de enero de 2017"/>
    <n v="6"/>
    <x v="1"/>
    <s v="0,11"/>
    <e v="#NAME?"/>
  </r>
  <r>
    <n v="6"/>
    <m/>
    <x v="0"/>
    <d v="2017-01-07T00:00:00"/>
    <n v="0.105"/>
    <s v="Familia Loponte Arteaga"/>
    <s v="nancyloponte@hotmail.com"/>
    <s v="Calle Güigüe Nro. 88-120"/>
    <s v="Anticipo Vigilancia, mes de Enero 2017"/>
    <x v="0"/>
    <s v="https://drive.google.com/open?id=0ByOb8wNqoBtVM1MzMzhjNmMzeEE"/>
    <s v="00006"/>
    <s v="07 de enero de 2017"/>
    <n v="7"/>
    <x v="1"/>
    <s v="0,11"/>
    <e v="#NAME?"/>
  </r>
  <r>
    <n v="7"/>
    <m/>
    <x v="0"/>
    <d v="2017-01-10T00:00:00"/>
    <n v="0.1"/>
    <s v="Familia Durvelle Serrano"/>
    <s v="sdurvelle@hotmail.com"/>
    <s v="Calle Guacara Nro. 89-60"/>
    <s v="Anticipo Vigilancia, mes de Enero 2017"/>
    <x v="0"/>
    <s v="https://drive.google.com/open?id=0ByOb8wNqoBtVUmlGT0tPUnR5WU0"/>
    <s v="00007"/>
    <s v="10 de enero de 2017"/>
    <n v="10"/>
    <x v="1"/>
    <s v="0,10"/>
    <e v="#NAME?"/>
  </r>
  <r>
    <n v="8"/>
    <m/>
    <x v="0"/>
    <d v="2017-01-11T00:00:00"/>
    <n v="0.05"/>
    <s v="Chin Chun Ya (Goya)"/>
    <s v="uc2721@gmail.com"/>
    <s v="Calle Guacara Nro. 87-86"/>
    <s v="Colaboración Vigilancia, mes de Enero 2017"/>
    <x v="0"/>
    <s v="https://drive.google.com/open?id=0ByOb8wNqoBtVb0Z2TFRxN0pyLTA"/>
    <s v="00008"/>
    <s v="11 de enero de 2017"/>
    <n v="11"/>
    <x v="1"/>
    <s v="0,05"/>
    <e v="#NAME?"/>
  </r>
  <r>
    <n v="9"/>
    <m/>
    <x v="0"/>
    <d v="2017-01-11T00:00:00"/>
    <n v="0.105"/>
    <s v="Familia Castro Jiménez"/>
    <s v="0426-543.4303"/>
    <s v="Calle Guacara Nro. 90-51"/>
    <s v="Anticipo Vigilancia, mes de Enero 2017"/>
    <x v="0"/>
    <s v="https://drive.google.com/open?id=0ByOb8wNqoBtVRXNhMmNDZkI0eVE"/>
    <s v="00009"/>
    <s v="11 de enero de 2017"/>
    <n v="11"/>
    <x v="1"/>
    <s v="0,11"/>
    <e v="#NAME?"/>
  </r>
  <r>
    <n v="10"/>
    <m/>
    <x v="0"/>
    <d v="2017-01-15T00:00:00"/>
    <n v="0.12"/>
    <s v="La Casita Encantada"/>
    <s v="En Físico"/>
    <s v="Av. &quot;M&quot; Nro. 146-30"/>
    <s v="Cancelación Vigilancia, mes de Enero 2017"/>
    <x v="0"/>
    <s v="https://drive.google.com/open?id=0ByOb8wNqoBtVRDZWQUxwZm43cUU"/>
    <s v="00010"/>
    <s v="15 de enero de 2017"/>
    <n v="15"/>
    <x v="1"/>
    <s v="0,12"/>
    <e v="#NAME?"/>
  </r>
  <r>
    <n v="11"/>
    <m/>
    <x v="0"/>
    <d v="2017-01-13T00:00:00"/>
    <n v="0.105"/>
    <s v="Familia Barreto Pérez"/>
    <s v="bbetsa19@hotmail.com"/>
    <s v="Av. &quot;M&quot; Nro. 146-15"/>
    <s v="Anticipo Vigilancia, mes de Enero 2017"/>
    <x v="0"/>
    <s v="https://drive.google.com/open?id=0ByOb8wNqoBtVc1BVRG1xMDFyck0"/>
    <s v="00011"/>
    <s v="13 de enero de 2017"/>
    <n v="13"/>
    <x v="1"/>
    <s v="0,11"/>
    <e v="#NAME?"/>
  </r>
  <r>
    <n v="12"/>
    <m/>
    <x v="0"/>
    <d v="2017-01-15T00:00:00"/>
    <n v="0.105"/>
    <s v="Familia González Arévalo"/>
    <s v="feryenis@hotmail.com"/>
    <s v="Calle Guacara Nro. 89-86"/>
    <s v="Anticipo Vigilancia, mes de Enero 2017"/>
    <x v="0"/>
    <s v="https://drive.google.com/open?id=0ByOb8wNqoBtVLTlZOGVxSlVYV0U"/>
    <s v="00012"/>
    <s v="15 de enero de 2017"/>
    <n v="15"/>
    <x v="1"/>
    <s v="0,11"/>
    <e v="#NAME?"/>
  </r>
  <r>
    <n v="13"/>
    <m/>
    <x v="0"/>
    <d v="2017-01-19T00:00:00"/>
    <n v="0.105"/>
    <s v="Familia Arcia Polanco"/>
    <s v="misipo29@gmail.com"/>
    <s v="Calle Guacara Nro. 89-20"/>
    <s v="Anticipo Vigilancia, mes de Enero 2017"/>
    <x v="0"/>
    <s v="https://drive.google.com/open?id=0ByOb8wNqoBtVQzNkS1BObWJDMWs"/>
    <s v="00013"/>
    <s v="19 de enero de 2017"/>
    <n v="19"/>
    <x v="1"/>
    <s v="0,11"/>
    <e v="#NAME?"/>
  </r>
  <r>
    <n v="14"/>
    <m/>
    <x v="0"/>
    <d v="2017-01-19T00:00:00"/>
    <n v="4.4999999999999998E-2"/>
    <s v="Familia Herrera Guada"/>
    <s v="En Físico"/>
    <s v="Calle Güigüe Nro. 89-90"/>
    <s v="Colaboración Vigilancia, mes de Enero 2017"/>
    <x v="0"/>
    <s v="https://drive.google.com/open?id=0ByOb8wNqoBtVUnAtM1N6cFhtTlU"/>
    <s v="00014"/>
    <s v="19 de enero de 2017"/>
    <n v="19"/>
    <x v="1"/>
    <s v="0,05"/>
    <e v="#NAME?"/>
  </r>
  <r>
    <n v="15"/>
    <m/>
    <x v="0"/>
    <d v="2017-01-20T00:00:00"/>
    <n v="6.5000000000000002E-2"/>
    <s v="Familia Arcia Polanco"/>
    <s v="misipo29@gmail.com"/>
    <s v="Calle Guacara Nro. 89-20"/>
    <s v="Cancelación saldo Vigilancia, mes de Enero 2017"/>
    <x v="0"/>
    <s v="https://drive.google.com/open?id=0ByOb8wNqoBtVQU84dFVIUlhueVk"/>
    <s v="00015"/>
    <s v="20 de enero de 2017"/>
    <n v="20"/>
    <x v="1"/>
    <s v="0,07"/>
    <e v="#NAME?"/>
  </r>
  <r>
    <n v="16"/>
    <m/>
    <x v="0"/>
    <d v="2017-01-20T00:00:00"/>
    <n v="6.5000000000000002E-2"/>
    <s v="Familia Del Negro Palermo"/>
    <s v="vdelnegro@gmail.com"/>
    <s v="Calle Guacara Nro. 88-45"/>
    <s v="Cancelación saldo Vigilancia, mes de Enero 2017"/>
    <x v="0"/>
    <s v="https://drive.google.com/open?id=0ByOb8wNqoBtVTXZQd1FMTHZsSHc"/>
    <s v="00016"/>
    <s v="20 de enero de 2017"/>
    <n v="20"/>
    <x v="1"/>
    <s v="0,07"/>
    <e v="#NAME?"/>
  </r>
  <r>
    <n v="17"/>
    <m/>
    <x v="0"/>
    <d v="2017-01-20T00:00:00"/>
    <n v="0.17"/>
    <s v="Familia Ferrer Bahri"/>
    <s v="bahrimariela@hotmail.com"/>
    <s v="Calle Güigüe Nro. 89-83"/>
    <s v="Cancelación Vigilancia, mes de Enero 2017"/>
    <x v="0"/>
    <s v="https://drive.google.com/open?id=0ByOb8wNqoBtVbmVRMlBsVFN0b0U"/>
    <s v="00017"/>
    <s v="20 de enero de 2017"/>
    <n v="20"/>
    <x v="1"/>
    <s v="0,17"/>
    <e v="#NAME?"/>
  </r>
  <r>
    <n v="18"/>
    <m/>
    <x v="0"/>
    <d v="2017-01-20T00:00:00"/>
    <n v="0.06"/>
    <s v="Héctor Hernández"/>
    <s v="eof64@hotmail.com"/>
    <s v="Calle Guacara Nro. 89-94"/>
    <s v="Colaboración Vigilancia, mes de Enero 2017"/>
    <x v="0"/>
    <s v="https://drive.google.com/open?id=0ByOb8wNqoBtVQW1LSko5bFZRUUE"/>
    <s v="00018"/>
    <s v="20 de enero de 2017"/>
    <n v="20"/>
    <x v="1"/>
    <s v="0,06"/>
    <e v="#NAME?"/>
  </r>
  <r>
    <n v="19"/>
    <m/>
    <x v="0"/>
    <d v="2017-01-24T00:00:00"/>
    <n v="6.5000000000000002E-2"/>
    <s v="Familia Colosso Delgado"/>
    <s v="mcolosso@gmail.com"/>
    <s v="Calle Güigüe Nro. 88-44"/>
    <s v="Cancelación saldo Vigilancia, mes de Enero 2017"/>
    <x v="0"/>
    <s v="https://drive.google.com/open?id=0ByOb8wNqoBtVcEo1SFFiUkRWVTg"/>
    <s v="00019"/>
    <s v="24 de enero de 2017"/>
    <n v="24"/>
    <x v="1"/>
    <s v="0,07"/>
    <e v="#NAME?"/>
  </r>
  <r>
    <n v="20"/>
    <m/>
    <x v="0"/>
    <d v="2017-01-24T00:00:00"/>
    <n v="0.1"/>
    <s v="Familia Méndez Parra"/>
    <s v="briceidamp@hotmail.com"/>
    <s v="Calle Guacara Nro. 88-19"/>
    <s v="Anticipo Vigilancia, mes de Enero 2017"/>
    <x v="0"/>
    <s v="https://drive.google.com/open?id=0ByOb8wNqoBtVTU4tNjBsajdQRDQ"/>
    <s v="00020"/>
    <s v="24 de enero de 2017"/>
    <n v="24"/>
    <x v="1"/>
    <s v="0,10"/>
    <e v="#NAME?"/>
  </r>
  <r>
    <n v="21"/>
    <m/>
    <x v="0"/>
    <d v="2017-01-24T00:00:00"/>
    <n v="0.17"/>
    <s v="Wu Hung Fung"/>
    <s v="carolinahung24@gmail.com"/>
    <s v="Calle Guacara Nro. 90-81"/>
    <s v="Cancelación Vigilancia, mes de Enero 2017"/>
    <x v="0"/>
    <s v="https://drive.google.com/open?id=0ByOb8wNqoBtVS3l5VmhmSjFmSVU"/>
    <s v="00021"/>
    <s v="24 de enero de 2017"/>
    <n v="24"/>
    <x v="1"/>
    <s v="0,17"/>
    <e v="#NAME?"/>
  </r>
  <r>
    <n v="22"/>
    <m/>
    <x v="0"/>
    <d v="2017-01-25T00:00:00"/>
    <n v="0.02"/>
    <s v="Familia Flores Montagne"/>
    <s v="namaricakes@gmail.com"/>
    <s v="Av. &quot;M&quot; Nro. 146-20"/>
    <s v="Colaboración Vigilancia, mes de Enero 2017"/>
    <x v="0"/>
    <s v="https://drive.google.com/open?id=0ByOb8wNqoBtVWUo3dWpkTk55NmM"/>
    <s v="00022"/>
    <s v="25 de enero de 2017"/>
    <n v="25"/>
    <x v="1"/>
    <s v="0,02"/>
    <e v="#NAME?"/>
  </r>
  <r>
    <n v="23"/>
    <m/>
    <x v="0"/>
    <d v="2017-01-25T00:00:00"/>
    <n v="6.5000000000000002E-2"/>
    <s v="Familia Martínez Boada"/>
    <s v="florcitakmz@gmail.com"/>
    <s v="Calle Güigüe Nro. 88-62"/>
    <s v="Cancelación saldo Vigilancia, mes de Enero 2017"/>
    <x v="0"/>
    <s v="https://drive.google.com/open?id=0ByOb8wNqoBtVQmtEU3cxY0lSZkk"/>
    <s v="00023"/>
    <s v="25 de enero de 2017"/>
    <n v="25"/>
    <x v="1"/>
    <s v="0,07"/>
    <e v="#NAME?"/>
  </r>
  <r>
    <n v="24"/>
    <m/>
    <x v="0"/>
    <d v="2017-01-25T00:00:00"/>
    <n v="0.17"/>
    <s v="Familia Puerta Burguillos"/>
    <s v="namaricakes@gmail.com"/>
    <s v="Calle Guacara Nro. 87-100"/>
    <s v="Cancelación Vigilancia, mes de Enero 2017"/>
    <x v="0"/>
    <s v="https://drive.google.com/open?id=0ByOb8wNqoBtVYlZIVVZKODlkY2s"/>
    <s v="00024"/>
    <s v="25 de enero de 2017"/>
    <n v="25"/>
    <x v="1"/>
    <s v="0,17"/>
    <e v="#NAME?"/>
  </r>
  <r>
    <n v="25"/>
    <m/>
    <x v="0"/>
    <d v="2017-01-26T00:00:00"/>
    <n v="0.17"/>
    <s v="Beatriz Lara"/>
    <s v="valentina.gutierrez@hotmail.com"/>
    <s v="Calle Guacara Nro. 89-130"/>
    <s v="Cancelación Vigilancia, mes de Enero 2017"/>
    <x v="0"/>
    <s v="https://drive.google.com/open?id=0ByOb8wNqoBtVOGxVVDBFdjFoOEE"/>
    <s v="00025"/>
    <s v="26 de enero de 2017"/>
    <n v="26"/>
    <x v="1"/>
    <s v="0,17"/>
    <e v="#NAME?"/>
  </r>
  <r>
    <n v="26"/>
    <m/>
    <x v="0"/>
    <d v="2017-01-27T00:00:00"/>
    <n v="0.17"/>
    <s v="Familia Lomeña Agudo"/>
    <s v="claudialomena@hotmail.com"/>
    <s v="Calle Guacara Nro. 89-30"/>
    <s v="Cancelación Vigilancia, mes de Enero 2017"/>
    <x v="0"/>
    <s v="https://drive.google.com/open?id=0ByOb8wNqoBtVWWhHMFRzN19FMkE"/>
    <s v="00026"/>
    <s v="27 de enero de 2017"/>
    <n v="27"/>
    <x v="1"/>
    <s v="0,17"/>
    <e v="#NAME?"/>
  </r>
  <r>
    <n v="27"/>
    <m/>
    <x v="0"/>
    <d v="2017-01-30T00:00:00"/>
    <n v="6.5000000000000002E-2"/>
    <s v="Familia Fermín Rivas"/>
    <s v="angelferminb@gmail.com"/>
    <s v="Calle Güigüe Nro. 89-55"/>
    <s v="Cancelación saldo Vigilancia, mes de Enero 2017"/>
    <x v="0"/>
    <s v="https://drive.google.com/open?id=0ByOb8wNqoBtVaE9MMGtlUFp2OHM"/>
    <s v="00027"/>
    <s v="30 de enero de 2017"/>
    <n v="30"/>
    <x v="1"/>
    <s v="0,07"/>
    <e v="#NAME?"/>
  </r>
  <r>
    <n v="28"/>
    <m/>
    <x v="0"/>
    <d v="2017-01-30T00:00:00"/>
    <n v="7.4880000000000002E-2"/>
    <s v="Familia Fermín Rivas"/>
    <s v="angelferminb@gmail.com"/>
    <s v="Calle Güigüe Nro. 89-55"/>
    <s v="Anticipo Vigilancia, mes de Febrero 2017"/>
    <x v="0"/>
    <s v="https://drive.google.com/open?id=0ByOb8wNqoBtVMWUwa3dUWW1rNjg"/>
    <s v="00028"/>
    <s v="30 de enero de 2017"/>
    <n v="30"/>
    <x v="1"/>
    <s v="0,07"/>
    <e v="#NAME?"/>
  </r>
  <r>
    <n v="29"/>
    <m/>
    <x v="0"/>
    <d v="2017-01-31T00:00:00"/>
    <n v="0.17"/>
    <s v="Familia Ochoa Mendoza"/>
    <s v="marisoljudithm@hotmail.com"/>
    <s v="Calle Güigüe Nro. 89-105"/>
    <s v="Cancelación Vigilancia, mes de Enero 2017"/>
    <x v="0"/>
    <s v="https://drive.google.com/open?id=0ByOb8wNqoBtVTFo0NGg5NmJjTWM"/>
    <s v="00029"/>
    <s v="31 de enero de 2017"/>
    <n v="31"/>
    <x v="1"/>
    <s v="0,17"/>
    <e v="#NAME?"/>
  </r>
  <r>
    <n v="30"/>
    <m/>
    <x v="0"/>
    <d v="2017-01-31T00:00:00"/>
    <n v="7.9600000000000004E-2"/>
    <s v="Victoria Francischiello"/>
    <s v="victoriafrancischiello@hotmail.com"/>
    <s v="Calle Guacara Nro. 88-25"/>
    <s v="Colaboración Vigilancia, mes de Enero 2017"/>
    <x v="0"/>
    <s v="https://drive.google.com/open?id=0ByOb8wNqoBtVcjJtZUVZdEZrak0"/>
    <s v="00030"/>
    <s v="31 de enero de 2017"/>
    <n v="31"/>
    <x v="1"/>
    <s v="0,08"/>
    <e v="#NAME?"/>
  </r>
  <r>
    <n v="31"/>
    <m/>
    <x v="0"/>
    <d v="2017-02-01T00:00:00"/>
    <n v="0.17"/>
    <s v="Familia Díaz González"/>
    <s v="luisrdt57@gmail.com"/>
    <s v="Calle Güigüe Nro. 88-116"/>
    <s v="Cancelación Vigilancia, mes de Enero 2017"/>
    <x v="0"/>
    <s v="https://drive.google.com/open?id=0ByOb8wNqoBtVZWtLcEtyMWxfV28"/>
    <s v="00031"/>
    <s v="01 de febrero de 2017"/>
    <n v="1"/>
    <x v="2"/>
    <s v="0,17"/>
    <e v="#NAME?"/>
  </r>
  <r>
    <n v="32"/>
    <m/>
    <x v="0"/>
    <d v="2017-02-01T00:00:00"/>
    <n v="0.17"/>
    <s v="Familia Navarro Assing"/>
    <s v="liliaassing@gmail.com"/>
    <s v="Calle Güigüe Nro. 88-54"/>
    <s v="Cancelación Vigilancia, mes de Enero 2017"/>
    <x v="0"/>
    <s v="https://drive.google.com/open?id=0ByOb8wNqoBtVYzd4OGlhTTFJTlU"/>
    <s v="00032"/>
    <s v="01 de febrero de 2017"/>
    <n v="1"/>
    <x v="2"/>
    <s v="0,17"/>
    <e v="#NAME?"/>
  </r>
  <r>
    <n v="33"/>
    <m/>
    <x v="0"/>
    <d v="2017-02-01T00:00:00"/>
    <n v="0.105"/>
    <s v="Familia Rodríguez Aular"/>
    <s v="mvaular@hotmail.com"/>
    <s v="Calle Güigüe Nro. 88-58"/>
    <s v="Colaboración Vigilancia, mes de Enero 2017"/>
    <x v="0"/>
    <s v="https://drive.google.com/open?id=0ByOb8wNqoBtVclJQNllLdEJPQXc"/>
    <s v="00033"/>
    <s v="01 de febrero de 2017"/>
    <n v="1"/>
    <x v="2"/>
    <s v="0,11"/>
    <e v="#NAME?"/>
  </r>
  <r>
    <n v="34"/>
    <m/>
    <x v="0"/>
    <d v="2017-02-02T00:00:00"/>
    <n v="0.17"/>
    <s v="Amarilis Guerra"/>
    <s v="amarilisguerra1@yahoo.com"/>
    <s v="Calle Güigüe Nro. 89-96"/>
    <s v="Cancelación Vigilancia, mes de Enero 2017"/>
    <x v="0"/>
    <s v="https://drive.google.com/open?id=0ByOb8wNqoBtVbTczRzFtWnRLVDg"/>
    <s v="00034"/>
    <s v="02 de febrero de 2017"/>
    <n v="2"/>
    <x v="2"/>
    <s v="0,17"/>
    <e v="#NAME?"/>
  </r>
  <r>
    <n v="35"/>
    <m/>
    <x v="0"/>
    <d v="2017-02-02T00:00:00"/>
    <n v="0.17"/>
    <s v="Anahiz Seijas"/>
    <s v="anahiz_2@hotmail.es"/>
    <s v="Calle Güigüe Nro. 89-106"/>
    <s v="Cancelación Vigilancia, mes de Enero 2017"/>
    <x v="0"/>
    <s v="https://drive.google.com/open?id=0ByOb8wNqoBtVempWaXRRMXprTkE"/>
    <s v="00035"/>
    <s v="02 de febrero de 2017"/>
    <n v="2"/>
    <x v="2"/>
    <s v="0,17"/>
    <e v="#NAME?"/>
  </r>
  <r>
    <n v="36"/>
    <m/>
    <x v="0"/>
    <d v="2017-02-02T00:00:00"/>
    <n v="0.17"/>
    <s v="Familia Durvelle Serrano"/>
    <s v="sdurvelle@hotmail.com"/>
    <s v="Calle Guacara Nro. 89-60"/>
    <s v="Cancelación Vigilancia, mes de Febrero 2017"/>
    <x v="0"/>
    <s v="https://drive.google.com/open?id=0ByOb8wNqoBtVQm9MS3FaU19uRDQ"/>
    <s v="00036"/>
    <s v="02 de febrero de 2017"/>
    <n v="2"/>
    <x v="2"/>
    <s v="0,17"/>
    <e v="#NAME?"/>
  </r>
  <r>
    <n v="37"/>
    <m/>
    <x v="0"/>
    <d v="2017-02-02T00:00:00"/>
    <n v="0.03"/>
    <s v="Ma. de Jesus Alonso"/>
    <s v="marjoriealonsoh@hotmail.com"/>
    <s v="Calle Güigüe Nro. 88-30"/>
    <s v="Colaboración Vigilancia, mes de Enero 2017"/>
    <x v="0"/>
    <s v="https://drive.google.com/open?id=0ByOb8wNqoBtVamduZWo4ZThvSUE"/>
    <s v="00037"/>
    <s v="02 de febrero de 2017"/>
    <n v="2"/>
    <x v="2"/>
    <s v="0,03"/>
    <e v="#NAME?"/>
  </r>
  <r>
    <n v="38"/>
    <m/>
    <x v="0"/>
    <d v="2017-02-03T00:00:00"/>
    <n v="0.17"/>
    <s v="Familia Fernández Parés"/>
    <s v="vultecca@gmail.com"/>
    <s v="Calle Guacara Nro. 88-75"/>
    <s v="Cancelación Vigilancia, mes de Enero 2017"/>
    <x v="0"/>
    <s v="https://drive.google.com/open?id=0ByOb8wNqoBtVZVhicDRZalZyTVk"/>
    <s v="00038"/>
    <s v="03 de febrero de 2017"/>
    <n v="3"/>
    <x v="2"/>
    <s v="0,17"/>
    <e v="#NAME?"/>
  </r>
  <r>
    <n v="39"/>
    <m/>
    <x v="0"/>
    <d v="2017-02-03T00:00:00"/>
    <n v="0.17"/>
    <s v="Familia Sayago Peñaranda"/>
    <s v="alexissayago@gmail.com"/>
    <s v="Calle Güigüe Nro. 89-04"/>
    <s v="Cancelación Vigilancia, mes de Enero 2017"/>
    <x v="0"/>
    <s v="https://drive.google.com/open?id=0ByOb8wNqoBtVS2lTMnE2M0UzVW8"/>
    <s v="00039"/>
    <s v="03 de febrero de 2017"/>
    <n v="3"/>
    <x v="2"/>
    <s v="0,17"/>
    <e v="#NAME?"/>
  </r>
  <r>
    <n v="40"/>
    <m/>
    <x v="0"/>
    <d v="2017-02-04T00:00:00"/>
    <n v="9.512000000000001E-2"/>
    <s v="Familia Fermín Rivas"/>
    <s v="angelferminb@gmail.com"/>
    <s v="Calle Güigüe Nro. 89-55"/>
    <s v="Cancelación saldo Vigilancia, mes de Febrero 2017"/>
    <x v="0"/>
    <s v="https://drive.google.com/open?id=0ByOb8wNqoBtVT1Qzd0hkN1g1OWs"/>
    <s v="00040"/>
    <s v="04 de febrero de 2017"/>
    <n v="4"/>
    <x v="2"/>
    <s v="0,10"/>
    <e v="#NAME?"/>
  </r>
  <r>
    <n v="41"/>
    <m/>
    <x v="0"/>
    <d v="2017-02-05T00:00:00"/>
    <n v="0.05"/>
    <s v="Chin Chun Ya (Goya)"/>
    <s v="uc2721@gmail.com"/>
    <s v="Calle Guacara Nro. 87-86"/>
    <s v="Colaboración Vigilancia, mes de Febrero 2017"/>
    <x v="0"/>
    <s v="https://drive.google.com/open?id=0ByOb8wNqoBtVVktmTlFfRDdlUGM"/>
    <s v="00041"/>
    <s v="05 de febrero de 2017"/>
    <n v="5"/>
    <x v="2"/>
    <s v="0,05"/>
    <e v="#NAME?"/>
  </r>
  <r>
    <n v="42"/>
    <m/>
    <x v="0"/>
    <d v="2017-02-05T00:00:00"/>
    <n v="0.04"/>
    <s v="Héctor Hernández"/>
    <s v="eof64@hotmail.com"/>
    <s v="Calle Guacara Nro. 89-94"/>
    <s v="Colaboración Vigilancia, mes de Enero 2017"/>
    <x v="0"/>
    <s v="https://drive.google.com/open?id=0ByOb8wNqoBtVNXZxU2VEOEt0RlU"/>
    <s v="00042"/>
    <s v="05 de febrero de 2017"/>
    <n v="5"/>
    <x v="2"/>
    <s v="0,04"/>
    <e v="#NAME?"/>
  </r>
  <r>
    <n v="43"/>
    <m/>
    <x v="0"/>
    <d v="2017-02-07T00:00:00"/>
    <n v="0.17"/>
    <s v="Familia Colosso Delgado"/>
    <s v="mcolosso@gmail.com"/>
    <s v="Calle Güigüe Nro. 88-44"/>
    <s v="Cancelación Vigilancia, mes de Febrero 2017"/>
    <x v="0"/>
    <s v="https://drive.google.com/open?id=0ByOb8wNqoBtVUUtRcEp5REVFOUk"/>
    <s v="00043"/>
    <s v="07 de febrero de 2017"/>
    <n v="7"/>
    <x v="2"/>
    <s v="0,17"/>
    <e v="#NAME?"/>
  </r>
  <r>
    <n v="44"/>
    <m/>
    <x v="0"/>
    <d v="2017-02-08T00:00:00"/>
    <n v="0.17"/>
    <s v="Familia Kattar González"/>
    <s v="jagiak123@yahoo.es"/>
    <s v="Calle Güigüe Nro. 89-95"/>
    <s v="Cancelación Vigilancia, mes de Enero 2017"/>
    <x v="0"/>
    <s v="https://drive.google.com/open?id=0ByOb8wNqoBtVaDZDQ2JQMkRIWjQ"/>
    <s v="00044"/>
    <s v="08 de febrero de 2017"/>
    <n v="8"/>
    <x v="2"/>
    <s v="0,17"/>
    <e v="#NAME?"/>
  </r>
  <r>
    <n v="45"/>
    <m/>
    <x v="0"/>
    <d v="2017-02-08T00:00:00"/>
    <n v="0.12"/>
    <s v="Familia Kattar González"/>
    <s v="jagiak123@yahoo.es"/>
    <s v="Calle Güigüe Nro. 89-95"/>
    <s v="Anticipo Vigilancia, mes de Febrero 2017"/>
    <x v="0"/>
    <s v="https://drive.google.com/open?id=0ByOb8wNqoBtVRDFXdWdqZF81b28"/>
    <s v="00045"/>
    <s v="08 de febrero de 2017"/>
    <n v="8"/>
    <x v="2"/>
    <s v="0,12"/>
    <e v="#NAME?"/>
  </r>
  <r>
    <n v="46"/>
    <m/>
    <x v="0"/>
    <d v="2017-02-08T00:00:00"/>
    <n v="0.17"/>
    <s v="Familia Morales Sesar"/>
    <s v="moralesesar@gmail.com"/>
    <s v="Calle Güigüe Nro. 89-120"/>
    <s v="Cancelación Vigilancia, mes de Enero 2017"/>
    <x v="0"/>
    <s v="https://drive.google.com/open?id=0ByOb8wNqoBtVT0ZSd3ZWTVMybFE"/>
    <s v="00046"/>
    <s v="08 de febrero de 2017"/>
    <n v="8"/>
    <x v="2"/>
    <s v="0,17"/>
    <e v="#NAME?"/>
  </r>
  <r>
    <n v="47"/>
    <m/>
    <x v="0"/>
    <d v="2017-02-08T00:00:00"/>
    <n v="0.02"/>
    <s v="Familia Pérez Malpica"/>
    <s v="En Físico"/>
    <s v="Calle Güigüe Nro. 88-110"/>
    <s v="Colaboración Vigilancia, mes de Enero 2017"/>
    <x v="0"/>
    <s v="https://drive.google.com/open?id=0ByOb8wNqoBtVTGt0X2pvUXozaEU"/>
    <s v="00047"/>
    <s v="08 de febrero de 2017"/>
    <n v="8"/>
    <x v="2"/>
    <s v="0,02"/>
    <e v="#NAME?"/>
  </r>
  <r>
    <n v="48"/>
    <m/>
    <x v="0"/>
    <d v="2017-02-08T00:00:00"/>
    <n v="0.03"/>
    <s v="Ma. de Jesus Alonso"/>
    <s v="marjoriealonsoh@hotmail.com"/>
    <s v="Calle Güigüe Nro. 88-30"/>
    <s v="Colaboración Vigilancia, mes de Febrero 2017"/>
    <x v="0"/>
    <s v="https://drive.google.com/open?id=0ByOb8wNqoBtVb0pxcE91dkRwNUk"/>
    <s v="00048"/>
    <s v="08 de febrero de 2017"/>
    <n v="8"/>
    <x v="2"/>
    <s v="0,03"/>
    <e v="#NAME?"/>
  </r>
  <r>
    <n v="49"/>
    <m/>
    <x v="0"/>
    <d v="2017-02-08T00:00:00"/>
    <n v="0.17"/>
    <s v="Wu Hung Fung"/>
    <s v="carolinahung24@gmail.com"/>
    <s v="Calle Guacara Nro. 90-81"/>
    <s v="Cancelación Vigilancia, mes de Febrero 2017"/>
    <x v="0"/>
    <s v="https://drive.google.com/open?id=0ByOb8wNqoBtVb1VuTmFjUDNaME0"/>
    <s v="00049"/>
    <s v="08 de febrero de 2017"/>
    <n v="8"/>
    <x v="2"/>
    <s v="0,17"/>
    <e v="#NAME?"/>
  </r>
  <r>
    <n v="50"/>
    <m/>
    <x v="0"/>
    <d v="2017-02-09T00:00:00"/>
    <n v="4.4999999999999998E-2"/>
    <s v="Familia Herrera Guada"/>
    <s v="En Físico"/>
    <s v="Calle Güigüe Nro. 89-90"/>
    <s v="Colaboración Vigilancia, mes de Febrero 2017"/>
    <x v="0"/>
    <s v="https://drive.google.com/open?id=0ByOb8wNqoBtVaXZKdk1qOVM3Tjg"/>
    <s v="00050"/>
    <s v="09 de febrero de 2017"/>
    <n v="9"/>
    <x v="2"/>
    <s v="0,05"/>
    <e v="#NAME?"/>
  </r>
  <r>
    <n v="51"/>
    <m/>
    <x v="0"/>
    <d v="2017-02-09T00:00:00"/>
    <n v="0.105"/>
    <s v="Familia Hurtado"/>
    <s v="francisco_hurtado@hotmail.com"/>
    <s v="Av. &quot;O&quot; Nro. 146-11"/>
    <s v="Colaboración Vigilancia, mes de Enero 2017"/>
    <x v="0"/>
    <s v="https://drive.google.com/open?id=0ByOb8wNqoBtVN3BPaFhSVWZpTms"/>
    <s v="00051"/>
    <s v="09 de febrero de 2017"/>
    <n v="9"/>
    <x v="2"/>
    <s v="0,11"/>
    <e v="#NAME?"/>
  </r>
  <r>
    <n v="52"/>
    <m/>
    <x v="0"/>
    <d v="2017-02-09T00:00:00"/>
    <n v="0.1"/>
    <s v="Familia Kablan Sarmiento"/>
    <s v="norisjsb56@hotmail.com"/>
    <s v="Calle Güigüe Nro. 89-80"/>
    <s v="Colaboración Vigilancia, mes de Enero 2017"/>
    <x v="0"/>
    <s v="https://drive.google.com/open?id=0ByOb8wNqoBtVdzdwOHk0RlotOEE"/>
    <s v="00052"/>
    <s v="09 de febrero de 2017"/>
    <n v="9"/>
    <x v="2"/>
    <s v="0,10"/>
    <e v="#NAME?"/>
  </r>
  <r>
    <n v="53"/>
    <m/>
    <x v="0"/>
    <d v="2017-02-11T00:00:00"/>
    <n v="0.17"/>
    <s v="Familia Acosta Carpio"/>
    <s v="pablo962@hotmail.com"/>
    <s v="Calle Güigüe Nro. 89-10"/>
    <s v="Cancelación Vigilancia, mes de Enero 2017"/>
    <x v="0"/>
    <s v="https://drive.google.com/open?id=0ByOb8wNqoBtVYlNEMFVTUC1EUjg"/>
    <s v="00053"/>
    <s v="11 de febrero de 2017"/>
    <n v="11"/>
    <x v="2"/>
    <s v="0,17"/>
    <e v="#NAME?"/>
  </r>
  <r>
    <n v="54"/>
    <m/>
    <x v="0"/>
    <d v="2017-02-12T00:00:00"/>
    <n v="0.17"/>
    <s v="Familia Ferrer Bahri"/>
    <s v="bahrimariela@hotmail.com"/>
    <s v="Calle Güigüe Nro. 89-83"/>
    <s v="Cancelación Vigilancia, mes de Febrero 2017"/>
    <x v="0"/>
    <s v="https://drive.google.com/open?id=0ByOb8wNqoBtVWnlXMTFuSzA5dm8"/>
    <s v="00054"/>
    <s v="12 de febrero de 2017"/>
    <n v="12"/>
    <x v="2"/>
    <s v="0,17"/>
    <e v="#NAME?"/>
  </r>
  <r>
    <n v="55"/>
    <m/>
    <x v="0"/>
    <d v="2017-02-12T00:00:00"/>
    <n v="0.17"/>
    <s v="Familia González Arévalo"/>
    <s v="feryenis@hotmail.com"/>
    <s v="Calle Guacara Nro. 89-86"/>
    <s v="Cancelación Vigilancia, mes de Febrero 2017"/>
    <x v="0"/>
    <s v="https://drive.google.com/open?id=0ByOb8wNqoBtVR3NHX2RBVHdMRUE"/>
    <s v="00055"/>
    <s v="12 de febrero de 2017"/>
    <n v="12"/>
    <x v="2"/>
    <s v="0,17"/>
    <e v="#NAME?"/>
  </r>
  <r>
    <n v="56"/>
    <m/>
    <x v="0"/>
    <d v="2017-02-12T00:00:00"/>
    <n v="2.0400000000000001E-2"/>
    <s v="Victoria Francischiello"/>
    <s v="victoriafrancischiello@hotmail.com"/>
    <s v="Calle Guacara Nro. 88-25"/>
    <s v="Colaboración Vigilancia, mes de Enero 2017"/>
    <x v="0"/>
    <s v="https://drive.google.com/open?id=0ByOb8wNqoBtVOFV5X3hsb2tkLXc"/>
    <s v="00056"/>
    <s v="12 de febrero de 2017"/>
    <n v="12"/>
    <x v="2"/>
    <s v="0,02"/>
    <e v="#NAME?"/>
  </r>
  <r>
    <n v="57"/>
    <m/>
    <x v="0"/>
    <d v="2017-02-13T00:00:00"/>
    <n v="0.1"/>
    <s v="Héctor Hernández"/>
    <s v="eof64@hotmail.com"/>
    <s v="Calle Guacara Nro. 89-94"/>
    <s v="Colaboración Vigilancia, mes de Febrero 2017"/>
    <x v="0"/>
    <s v="https://drive.google.com/open?id=0ByOb8wNqoBtVUjQ4Q0swVTVHZEU"/>
    <s v="00057"/>
    <s v="13 de febrero de 2017"/>
    <n v="13"/>
    <x v="2"/>
    <s v="0,10"/>
    <e v="#NAME?"/>
  </r>
  <r>
    <n v="58"/>
    <m/>
    <x v="0"/>
    <d v="2017-02-14T00:00:00"/>
    <n v="0.17"/>
    <s v="Anahiz Seijas"/>
    <s v="anahiz_2@hotmail.es"/>
    <s v="Calle Güigüe Nro. 89-106"/>
    <s v="Cancelación Vigilancia, mes de Febrero 2017"/>
    <x v="0"/>
    <s v="https://drive.google.com/open?id=0ByOb8wNqoBtVdWRXdWdtZ1YwdXM"/>
    <s v="00058"/>
    <s v="14 de febrero de 2017"/>
    <n v="14"/>
    <x v="2"/>
    <s v="0,17"/>
    <e v="#NAME?"/>
  </r>
  <r>
    <n v="59"/>
    <m/>
    <x v="0"/>
    <d v="2017-02-14T00:00:00"/>
    <n v="0.17"/>
    <s v="Beatriz Lara"/>
    <s v="valentina.gutierrez@hotmail.com"/>
    <s v="Calle Guacara Nro. 89-130"/>
    <s v="Cancelación Vigilancia, mes de Febrero 2017"/>
    <x v="0"/>
    <s v="https://drive.google.com/open?id=0ByOb8wNqoBtVWHhMdUtYekJUV1U"/>
    <s v="00059"/>
    <s v="14 de febrero de 2017"/>
    <n v="14"/>
    <x v="2"/>
    <s v="0,17"/>
    <e v="#NAME?"/>
  </r>
  <r>
    <n v="60"/>
    <m/>
    <x v="0"/>
    <d v="2017-02-14T00:00:00"/>
    <n v="0.34"/>
    <s v="Familia Del Negro Palermo"/>
    <s v="vdelnegro@gmail.com"/>
    <s v="Calle Guacara Nro. 88-45"/>
    <s v="Cancelación Vigilancia, meses de Feb-Mar 2017"/>
    <x v="0"/>
    <s v="https://drive.google.com/open?id=0ByOb8wNqoBtVM2ZQQjdkOVV6UVE"/>
    <s v="00060"/>
    <s v="14 de febrero de 2017"/>
    <n v="14"/>
    <x v="2"/>
    <s v="0,34"/>
    <e v="#NAME?"/>
  </r>
  <r>
    <n v="61"/>
    <m/>
    <x v="0"/>
    <d v="2017-02-14T00:00:00"/>
    <n v="0.17"/>
    <s v="Familia Il Grande Franceschi"/>
    <s v="arcifran75@hotmail.com"/>
    <s v="Av. &quot;I&quot; Nro. 146-40"/>
    <s v="Cancelación Vigilancia, mes de Enero 2017"/>
    <x v="0"/>
    <s v="https://drive.google.com/open?id=0ByOb8wNqoBtVQWlFM0g0XzIxcU0"/>
    <s v="00061"/>
    <s v="14 de febrero de 2017"/>
    <n v="14"/>
    <x v="2"/>
    <s v="0,17"/>
    <e v="#NAME?"/>
  </r>
  <r>
    <n v="62"/>
    <m/>
    <x v="0"/>
    <d v="2017-02-14T00:00:00"/>
    <n v="0.17"/>
    <s v="Familia Nava Gordon"/>
    <s v="maru_19_66@hotmail.com"/>
    <s v="Calle Guacara Nro. 89-78"/>
    <s v="Cancelación Vigilancia, mes de Enero 2017"/>
    <x v="0"/>
    <s v="https://drive.google.com/open?id=0ByOb8wNqoBtVTGhxT2p0M2pybG8"/>
    <s v="00062"/>
    <s v="14 de febrero de 2017"/>
    <n v="14"/>
    <x v="2"/>
    <s v="0,17"/>
    <e v="#NAME?"/>
  </r>
  <r>
    <n v="63"/>
    <m/>
    <x v="0"/>
    <d v="2017-02-14T00:00:00"/>
    <n v="0.17"/>
    <s v="Familia Ochoa Mendoza"/>
    <s v="marisoljudithm@hotmail.com"/>
    <s v="Calle Güigüe Nro. 89-105"/>
    <s v="Cancelación Vigilancia, mes de Febrero 2017"/>
    <x v="0"/>
    <s v="https://drive.google.com/open?id=0ByOb8wNqoBtVWF9BSkxwOHgzMDA"/>
    <s v="00063"/>
    <s v="14 de febrero de 2017"/>
    <n v="14"/>
    <x v="2"/>
    <s v="0,17"/>
    <e v="#NAME?"/>
  </r>
  <r>
    <n v="64"/>
    <m/>
    <x v="0"/>
    <d v="2017-02-15T00:00:00"/>
    <n v="0.17"/>
    <s v="Familia Astor Zamora"/>
    <s v="imzastor@gmail.com"/>
    <s v="Calle Güigüe Nro. 88-111"/>
    <s v="Cancelación Vigilancia, mes de Enero 2017"/>
    <x v="0"/>
    <s v="https://drive.google.com/open?id=0ByOb8wNqoBtVUnJDbUZaZ3k2NDQ"/>
    <s v="00064"/>
    <s v="15 de febrero de 2017"/>
    <n v="15"/>
    <x v="2"/>
    <s v="0,17"/>
    <e v="#NAME?"/>
  </r>
  <r>
    <n v="65"/>
    <m/>
    <x v="0"/>
    <d v="2017-02-15T00:00:00"/>
    <n v="0.17"/>
    <s v="Familia Barreto Pérez"/>
    <s v="bbetsa19@hotmail.com"/>
    <s v="Av. &quot;M&quot; Nro. 146-15"/>
    <s v="Cancelación Vigilancia, mes de Febrero 2017"/>
    <x v="0"/>
    <s v="https://drive.google.com/open?id=0ByOb8wNqoBtVVDhUS2R2Z2xoWTg"/>
    <s v="00065"/>
    <s v="15 de febrero de 2017"/>
    <n v="15"/>
    <x v="2"/>
    <s v="0,17"/>
    <e v="#NAME?"/>
  </r>
  <r>
    <n v="66"/>
    <m/>
    <x v="0"/>
    <d v="2017-02-15T00:00:00"/>
    <n v="0.17"/>
    <s v="Familia Castillo Mena"/>
    <s v="emmecas@hotmail.com"/>
    <s v="Calle Güigüe Nro. 88-101"/>
    <s v="Cancelación Vigilancia, mes de Enero 2017"/>
    <x v="0"/>
    <s v="https://drive.google.com/open?id=0ByOb8wNqoBtVTlB1OEItUXRHYk0"/>
    <s v="00066"/>
    <s v="15 de febrero de 2017"/>
    <n v="15"/>
    <x v="2"/>
    <s v="0,17"/>
    <e v="#NAME?"/>
  </r>
  <r>
    <n v="67"/>
    <m/>
    <x v="0"/>
    <d v="2017-02-15T00:00:00"/>
    <n v="0.17"/>
    <s v="Familia Castillo Rodríguez"/>
    <s v="vesperanzacastillor@gmail.com"/>
    <s v="Calle Güigüe Nro. 88-91"/>
    <s v="Cancelación Vigilancia, mes de Enero 2017"/>
    <x v="0"/>
    <s v="https://drive.google.com/open?id=0ByOb8wNqoBtVakxqRFctYlFad0U"/>
    <s v="00067"/>
    <s v="15 de febrero de 2017"/>
    <n v="15"/>
    <x v="2"/>
    <s v="0,17"/>
    <e v="#NAME?"/>
  </r>
  <r>
    <n v="68"/>
    <m/>
    <x v="0"/>
    <d v="2017-02-15T00:00:00"/>
    <n v="0.34"/>
    <s v="Familia López Hermoso"/>
    <s v="lopez.humberto14@yahoo.com.ve"/>
    <s v="Calle Güigüe Nro. 89-79"/>
    <s v="Cancelación Vigilancia, meses de Ene-Feb 2017"/>
    <x v="0"/>
    <s v="https://drive.google.com/open?id=0ByOb8wNqoBtVNFRlVVkyeENWb3c"/>
    <s v="00068"/>
    <s v="15 de febrero de 2017"/>
    <n v="15"/>
    <x v="2"/>
    <s v="0,34"/>
    <e v="#NAME?"/>
  </r>
  <r>
    <n v="69"/>
    <m/>
    <x v="0"/>
    <d v="2017-02-15T00:00:00"/>
    <n v="0.1"/>
    <s v="Victoria Francischiello"/>
    <s v="victoriafrancischiello@hotmail.com"/>
    <s v="Calle Guacara Nro. 88-25"/>
    <s v="Colaboración Vigilancia, mes de Febrero 2017"/>
    <x v="0"/>
    <s v="https://drive.google.com/open?id=0ByOb8wNqoBtVSG1iQnZKWnJRTGM"/>
    <s v="00069"/>
    <s v="15 de febrero de 2017"/>
    <n v="15"/>
    <x v="2"/>
    <s v="0,10"/>
    <e v="#NAME?"/>
  </r>
  <r>
    <n v="70"/>
    <m/>
    <x v="1"/>
    <d v="2017-02-16T00:00:00"/>
    <n v="1.7"/>
    <s v="Familia Del Negro Palermo"/>
    <s v="vdelnegro@gmail.com"/>
    <s v="Calle Guacara Nro. 88-45"/>
    <s v="Anticipo Vigilancia y compra de control"/>
    <x v="1"/>
    <s v="https://drive.google.com/open?id=0ByOb8wNqoBtVbWtSbzJfSnl2NkE"/>
    <s v="00070"/>
    <s v="16 de febrero de 2017"/>
    <n v="16"/>
    <x v="2"/>
    <s v="1,70"/>
    <e v="#NAME?"/>
  </r>
  <r>
    <n v="71"/>
    <m/>
    <x v="0"/>
    <d v="2017-02-16T00:00:00"/>
    <n v="0.17"/>
    <s v="Familia Fernández Parés"/>
    <s v="vultecca@gmail.com"/>
    <s v="Calle Guacara Nro. 88-75"/>
    <s v="Cancelación Vigilancia, mes de Febrero 2017"/>
    <x v="0"/>
    <s v="https://drive.google.com/open?id=0ByOb8wNqoBtVdXUwLVFWVWlEUDA"/>
    <s v="00071"/>
    <s v="16 de febrero de 2017"/>
    <n v="16"/>
    <x v="2"/>
    <s v="0,17"/>
    <e v="#NAME?"/>
  </r>
  <r>
    <n v="72"/>
    <m/>
    <x v="0"/>
    <d v="2017-02-16T00:00:00"/>
    <n v="0.17"/>
    <s v="Familia Jiménez Navarro"/>
    <s v="joyasonline2012@gmail.com"/>
    <s v="Calle Güigüe Nro. 88-50"/>
    <s v="Cancelación Vigilancia, mes de Enero 2017"/>
    <x v="0"/>
    <s v="https://drive.google.com/open?id=0ByOb8wNqoBtVUllDQVNEdWdNVjg"/>
    <s v="00072"/>
    <s v="16 de febrero de 2017"/>
    <n v="16"/>
    <x v="2"/>
    <s v="0,17"/>
    <e v="#NAME?"/>
  </r>
  <r>
    <n v="73"/>
    <m/>
    <x v="0"/>
    <d v="2017-02-16T00:00:00"/>
    <n v="0.17"/>
    <s v="Familia Lomeña Agudo"/>
    <s v="claudialomena@hotmail.com"/>
    <s v="Calle Guacara Nro. 89-30"/>
    <s v="Cancelación Vigilancia, mes de Febrero 2017"/>
    <x v="0"/>
    <s v="https://drive.google.com/open?id=0ByOb8wNqoBtVcDFJWTY3dkhSZWc"/>
    <s v="00073"/>
    <s v="16 de febrero de 2017"/>
    <n v="16"/>
    <x v="2"/>
    <s v="0,17"/>
    <e v="#NAME?"/>
  </r>
  <r>
    <n v="74"/>
    <m/>
    <x v="0"/>
    <d v="2017-02-17T00:00:00"/>
    <n v="0.17"/>
    <s v="Familia Navarro Assing"/>
    <s v="liliaassing@gmail.com"/>
    <s v="Calle Güigüe Nro. 88-54"/>
    <s v="Cancelación Vigilancia, mes de Febrero 2017"/>
    <x v="0"/>
    <s v="https://drive.google.com/open?id=0ByOb8wNqoBtVcWc4NWNJMzBqakE"/>
    <s v="00074"/>
    <s v="17 de febrero de 2017"/>
    <n v="17"/>
    <x v="2"/>
    <s v="0,17"/>
    <e v="#NAME?"/>
  </r>
  <r>
    <n v="75"/>
    <m/>
    <x v="0"/>
    <d v="2017-02-17T00:00:00"/>
    <n v="0.17"/>
    <s v="Familia Nava Gordon"/>
    <s v="maru_19_66@hotmail.com"/>
    <s v="Calle Guacara Nro. 89-78"/>
    <s v="Cancelación Vigilancia, mes de Febrero 2017"/>
    <x v="0"/>
    <s v="https://drive.google.com/open?id=0ByOb8wNqoBtVRG13cEJ2M3poNFk"/>
    <s v="00075"/>
    <s v="17 de febrero de 2017"/>
    <n v="17"/>
    <x v="2"/>
    <s v="0,17"/>
    <e v="#NAME?"/>
  </r>
  <r>
    <n v="76"/>
    <m/>
    <x v="0"/>
    <d v="2017-02-18T00:00:00"/>
    <n v="0.17"/>
    <s v="Familia Arcia Polanco"/>
    <s v="misipo29@gmail.com"/>
    <s v="Calle Guacara Nro. 89-20"/>
    <s v="Cancelación Vigilancia, mes de Febrero 2017"/>
    <x v="0"/>
    <s v="https://drive.google.com/open?id=0ByOb8wNqoBtVR0hrSGxIT3dpNkk"/>
    <s v="00076"/>
    <s v="18 de febrero de 2017"/>
    <n v="18"/>
    <x v="2"/>
    <s v="0,17"/>
    <e v="#NAME?"/>
  </r>
  <r>
    <n v="77"/>
    <m/>
    <x v="0"/>
    <d v="2017-02-18T00:00:00"/>
    <n v="0.17"/>
    <s v="Familia Castro Jiménez"/>
    <s v="0426-543.4303"/>
    <s v="Calle Guacara Nro. 90-51"/>
    <s v="Cancelación Vigilancia, mes de Febrero 2017"/>
    <x v="0"/>
    <s v="https://drive.google.com/open?id=0ByOb8wNqoBtVSTZKZWhwQ1hZODA"/>
    <s v="00077"/>
    <s v="18 de febrero de 2017"/>
    <n v="18"/>
    <x v="2"/>
    <s v="0,17"/>
    <e v="#NAME?"/>
  </r>
  <r>
    <n v="78"/>
    <m/>
    <x v="0"/>
    <d v="2017-02-18T00:00:00"/>
    <n v="0.14000000000000001"/>
    <s v="Familia Manrique Riera"/>
    <s v="patriciamanrique@gmail.com"/>
    <s v="Calle Guacara Nro. 89-40"/>
    <s v="Anticipo Vigilancia, mes de Enero 2017"/>
    <x v="0"/>
    <s v="https://drive.google.com/open?id=0ByOb8wNqoBtVM2RKU0ZLUldzR1U"/>
    <s v="00078"/>
    <s v="18 de febrero de 2017"/>
    <n v="18"/>
    <x v="2"/>
    <s v="0,14"/>
    <e v="#NAME?"/>
  </r>
  <r>
    <n v="79"/>
    <m/>
    <x v="0"/>
    <d v="2017-02-18T00:00:00"/>
    <n v="0.1"/>
    <s v="Familia Narváez Caldera"/>
    <s v="jeannette_nc@yahoo.com"/>
    <s v="Calle Güigüe Nro. 87-A-11"/>
    <s v="Anticipo Vigilancia, mes de Enero 2017"/>
    <x v="0"/>
    <s v="https://drive.google.com/open?id=0ByOb8wNqoBtVeTdod09mT0JMdnc"/>
    <s v="00079"/>
    <s v="18 de febrero de 2017"/>
    <n v="18"/>
    <x v="2"/>
    <s v="0,10"/>
    <e v="#NAME?"/>
  </r>
  <r>
    <n v="80"/>
    <m/>
    <x v="0"/>
    <d v="2017-02-18T00:00:00"/>
    <n v="0.17"/>
    <s v="Familia Sayago Peñaranda"/>
    <s v="alexissayago@gmail.com"/>
    <s v="Calle Güigüe Nro. 89-04"/>
    <s v="Cancelación Vigilancia, mes de Febrero 2017"/>
    <x v="0"/>
    <s v="https://drive.google.com/open?id=0ByOb8wNqoBtVOFNfaUFxSXA2MFk"/>
    <s v="00080"/>
    <s v="18 de febrero de 2017"/>
    <n v="18"/>
    <x v="2"/>
    <s v="0,17"/>
    <e v="#NAME?"/>
  </r>
  <r>
    <n v="81"/>
    <m/>
    <x v="0"/>
    <d v="2017-02-18T00:00:00"/>
    <n v="0.34"/>
    <s v="Familia Scabuzzo Gómez"/>
    <s v="sfscabuzzo@msn.com"/>
    <s v="Av. &quot;I&quot; Nro. 146-20"/>
    <s v="Cancelación Vigilancia, meses de Ene-Feb 2017"/>
    <x v="0"/>
    <s v="https://drive.google.com/open?id=0ByOb8wNqoBtVbGFhMEVMdDkwS2M"/>
    <s v="00081"/>
    <s v="18 de febrero de 2017"/>
    <n v="18"/>
    <x v="2"/>
    <s v="0,34"/>
    <e v="#NAME?"/>
  </r>
  <r>
    <n v="82"/>
    <m/>
    <x v="0"/>
    <d v="2017-02-19T00:00:00"/>
    <n v="0.06"/>
    <s v="Zoraida Khair"/>
    <s v="zorakhair@hotmail.com"/>
    <s v="Calle Güigüe Nro. 88-80"/>
    <s v="Colaboración Vigilancia, mes de Febrero 2017"/>
    <x v="0"/>
    <s v="https://drive.google.com/open?id=0ByOb8wNqoBtVTm16QVpmaGpjcDg"/>
    <s v="00082"/>
    <s v="19 de febrero de 2017"/>
    <n v="19"/>
    <x v="2"/>
    <s v="0,06"/>
    <e v="#NAME?"/>
  </r>
  <r>
    <n v="83"/>
    <m/>
    <x v="0"/>
    <d v="2017-02-20T00:00:00"/>
    <n v="0.02"/>
    <s v="Familia Flores Montagne"/>
    <s v="namaricakes@gmail.com"/>
    <s v="Av. &quot;M&quot; Nro. 146-20"/>
    <s v="Colaboración Vigilancia, mes de Febrero 2017"/>
    <x v="0"/>
    <s v="https://drive.google.com/open?id=0ByOb8wNqoBtVbzFKV21LSDBaMTQ"/>
    <s v="00083"/>
    <s v="20 de febrero de 2017"/>
    <n v="20"/>
    <x v="2"/>
    <s v="0,02"/>
    <e v="#NAME?"/>
  </r>
  <r>
    <n v="84"/>
    <m/>
    <x v="0"/>
    <d v="2017-02-20T00:00:00"/>
    <n v="0.17"/>
    <s v="Familia Jiménez Navarro"/>
    <s v="joyasonline2012@gmail.com"/>
    <s v="Calle Güigüe Nro. 88-50"/>
    <s v="Cancelación Vigilancia, mes de Febrero 2017"/>
    <x v="0"/>
    <s v="https://drive.google.com/open?id=0ByOb8wNqoBtVblhXQTV6U0ZQN2s"/>
    <s v="00084"/>
    <s v="20 de febrero de 2017"/>
    <n v="20"/>
    <x v="2"/>
    <s v="0,17"/>
    <e v="#NAME?"/>
  </r>
  <r>
    <n v="85"/>
    <m/>
    <x v="0"/>
    <d v="2017-02-20T00:00:00"/>
    <n v="0.1"/>
    <s v="Familia Kablan Sarmiento"/>
    <s v="norisjsb56@hotmail.com"/>
    <s v="Calle Güigüe Nro. 89-80"/>
    <s v="Colaboración Vigilancia, mes de Febrero 2017"/>
    <x v="0"/>
    <s v="https://drive.google.com/open?id=0ByOb8wNqoBtVYjBuQ3lYdlJqM2M"/>
    <s v="00085"/>
    <s v="20 de febrero de 2017"/>
    <n v="20"/>
    <x v="2"/>
    <s v="0,10"/>
    <e v="#NAME?"/>
  </r>
  <r>
    <n v="86"/>
    <m/>
    <x v="0"/>
    <d v="2017-02-20T00:00:00"/>
    <n v="0.17"/>
    <s v="Familia Matta Palomino"/>
    <s v="normaapm@hotmail.com"/>
    <s v="Calle Güigüe Nro. 88-90"/>
    <s v="Cancelación Vigilancia, mes de Febrero 2017"/>
    <x v="0"/>
    <s v="https://drive.google.com/open?id=0ByOb8wNqoBtVdTZiMWp5M1djRlE"/>
    <s v="00086"/>
    <s v="20 de febrero de 2017"/>
    <n v="20"/>
    <x v="2"/>
    <s v="0,17"/>
    <e v="#NAME?"/>
  </r>
  <r>
    <n v="87"/>
    <m/>
    <x v="0"/>
    <d v="2017-02-20T00:00:00"/>
    <n v="0.17"/>
    <s v="Familia Puerta Burguillos"/>
    <s v="namaricakes@gmail.com"/>
    <s v="Calle Guacara Nro. 87-100"/>
    <s v="Cancelación Vigilancia, mes de Febrero 2017"/>
    <x v="0"/>
    <s v="https://drive.google.com/open?id=0ByOb8wNqoBtVeHJtMFp0d3Zxd0k"/>
    <s v="00087"/>
    <s v="20 de febrero de 2017"/>
    <n v="20"/>
    <x v="2"/>
    <s v="0,17"/>
    <e v="#NAME?"/>
  </r>
  <r>
    <n v="88"/>
    <m/>
    <x v="0"/>
    <d v="2017-02-22T00:00:00"/>
    <n v="0.34"/>
    <s v="Ana de González"/>
    <s v="mikelnowak25@gmail.com"/>
    <s v="Av. &quot;O&quot; Nro. 146-17"/>
    <s v="Cancelación Vigilancia, meses de Ene-Feb 2017"/>
    <x v="0"/>
    <s v="https://drive.google.com/open?id=0ByOb8wNqoBtVTmhhUDVjeEk4VTg"/>
    <s v="00088"/>
    <s v="22 de febrero de 2017"/>
    <n v="22"/>
    <x v="2"/>
    <s v="0,34"/>
    <e v="#NAME?"/>
  </r>
  <r>
    <n v="89"/>
    <m/>
    <x v="0"/>
    <d v="2017-02-22T00:00:00"/>
    <n v="0.34"/>
    <s v="Familia Loponte Arteaga"/>
    <s v="nancyloponte@hotmail.com"/>
    <s v="Calle Güigüe Nro. 88-120"/>
    <s v="Cancelación Vigilancia, meses de Feb-Mar 2017"/>
    <x v="0"/>
    <s v="https://drive.google.com/open?id=0ByOb8wNqoBtVMVAxRHh5N0RINDA"/>
    <s v="00089"/>
    <s v="22 de febrero de 2017"/>
    <n v="22"/>
    <x v="2"/>
    <s v="0,34"/>
    <e v="#NAME?"/>
  </r>
  <r>
    <n v="90"/>
    <m/>
    <x v="0"/>
    <d v="2017-02-23T00:00:00"/>
    <n v="0.17"/>
    <s v="Amarilis Guerra"/>
    <s v="amarilisguerra1@yahoo.com"/>
    <s v="Calle Güigüe Nro. 89-96"/>
    <s v="Cancelación Vigilancia, mes de Febrero 2017"/>
    <x v="0"/>
    <s v="https://drive.google.com/open?id=0ByOb8wNqoBtVbmRuMUwxWTU0dE0"/>
    <s v="00090"/>
    <s v="23 de febrero de 2017"/>
    <n v="23"/>
    <x v="2"/>
    <s v="0,17"/>
    <e v="#NAME?"/>
  </r>
  <r>
    <n v="91"/>
    <m/>
    <x v="0"/>
    <d v="2017-02-23T00:00:00"/>
    <n v="0.105"/>
    <s v="Familia Hoyte Rafmari"/>
    <s v="0412-741.3242"/>
    <s v="Av. &quot;I&quot; Nro. 146-30"/>
    <s v="Colaboración Vigilancia, mes de Enero 2017"/>
    <x v="0"/>
    <s v="https://drive.google.com/open?id=0ByOb8wNqoBtVMC1WZ3ZxQlNDdnM"/>
    <s v="00091"/>
    <s v="23 de febrero de 2017"/>
    <n v="23"/>
    <x v="2"/>
    <s v="0,11"/>
    <e v="#NAME?"/>
  </r>
  <r>
    <n v="92"/>
    <m/>
    <x v="0"/>
    <d v="2017-02-23T00:00:00"/>
    <n v="0.17"/>
    <s v="Familia Morales Sesar"/>
    <s v="moralesesar@gmail.com"/>
    <s v="Calle Güigüe Nro. 89-120"/>
    <s v="Cancelación Vigilancia, mes de Febrero 2017"/>
    <x v="0"/>
    <s v="https://drive.google.com/open?id=0ByOb8wNqoBtVY3BmbmVXU1BhRGc"/>
    <s v="00092"/>
    <s v="23 de febrero de 2017"/>
    <n v="23"/>
    <x v="2"/>
    <s v="0,17"/>
    <e v="#NAME?"/>
  </r>
  <r>
    <n v="93"/>
    <m/>
    <x v="0"/>
    <d v="2017-02-24T00:00:00"/>
    <n v="0.2"/>
    <s v="Familia García Hurtado"/>
    <s v="0414-241.8055"/>
    <s v="Calle Guacara Nro. 90-110"/>
    <s v="Colaboración Vigilancia, meses de Enero y Febrero 2017"/>
    <x v="0"/>
    <s v="https://drive.google.com/open?id=0ByOb8wNqoBtVODlZNnBTM1Z6NlU"/>
    <s v="00093"/>
    <s v="24 de febrero de 2017"/>
    <n v="24"/>
    <x v="2"/>
    <s v="0,20"/>
    <e v="#NAME?"/>
  </r>
  <r>
    <n v="94"/>
    <m/>
    <x v="0"/>
    <d v="2017-02-24T00:00:00"/>
    <n v="0.16"/>
    <s v="Familia Jiménez Salvatierra"/>
    <s v="0414-582.8909"/>
    <s v="Calle Güigüe Nro. 89-45"/>
    <s v="Anticipo Vigilancia, mes de Enero 2017"/>
    <x v="0"/>
    <s v="https://drive.google.com/open?id=0ByOb8wNqoBtVWHVhTFJKcGZHWUk"/>
    <s v="00094"/>
    <s v="24 de febrero de 2017"/>
    <n v="24"/>
    <x v="2"/>
    <s v="0,16"/>
    <e v="#NAME?"/>
  </r>
  <r>
    <n v="95"/>
    <m/>
    <x v="0"/>
    <d v="2017-02-23T00:00:00"/>
    <n v="0.2"/>
    <s v="Familia Zavarce Barón"/>
    <s v="0414-241.8055"/>
    <s v="Calle Guacara Nro. 88-91"/>
    <s v="Colaboración Vigilancia, meses de Enero y Febrero 2017"/>
    <x v="0"/>
    <s v="https://drive.google.com/open?id=0ByOb8wNqoBtVRHRIOGp5T3BLbmc"/>
    <s v="00095"/>
    <s v="23 de febrero de 2017"/>
    <n v="23"/>
    <x v="2"/>
    <s v="0,20"/>
    <e v="#NAME?"/>
  </r>
  <r>
    <n v="96"/>
    <m/>
    <x v="0"/>
    <d v="2017-02-24T00:00:00"/>
    <n v="0.34"/>
    <s v="Familia Piñero Padilla"/>
    <s v="achepaul2005@hotmail.com"/>
    <s v="Calle Güigüe Nro. 89-21"/>
    <s v="Cancelación Vigilancia, meses de Ene-Feb 2017"/>
    <x v="0"/>
    <s v="https://drive.google.com/open?id=0ByOb8wNqoBtVOE52UWMwV2J5ajg"/>
    <s v="00096"/>
    <s v="24 de febrero de 2017"/>
    <n v="24"/>
    <x v="2"/>
    <s v="0,34"/>
    <e v="#NAME?"/>
  </r>
  <r>
    <n v="97"/>
    <m/>
    <x v="0"/>
    <d v="2017-02-24T00:00:00"/>
    <n v="0.03"/>
    <s v="Silvia Power"/>
    <s v="spowermeneses@gmail.com"/>
    <s v="Calle Güigüe Nro. 89-16"/>
    <s v="Colaboración Vigilancia, meses de Ene-Feb 2017"/>
    <x v="0"/>
    <s v="https://drive.google.com/open?id=0ByOb8wNqoBtVd01iVE5RNTlwbXM"/>
    <s v="00097"/>
    <s v="24 de febrero de 2017"/>
    <n v="24"/>
    <x v="2"/>
    <s v="0,03"/>
    <e v="#NAME?"/>
  </r>
  <r>
    <n v="98"/>
    <m/>
    <x v="0"/>
    <d v="2017-02-25T00:00:00"/>
    <n v="0.2"/>
    <s v="Familia Gascón Domínguez"/>
    <s v="vrgascon@gmail.com"/>
    <s v="Calle Güigüe Nro. 88-70"/>
    <s v="Colaboración Vigilancia, meses de Ene-Feb 2017"/>
    <x v="0"/>
    <s v="https://drive.google.com/open?id=0ByOb8wNqoBtVSnQtSDhQbFktRmc"/>
    <s v="00098"/>
    <s v="25 de febrero de 2017"/>
    <n v="25"/>
    <x v="2"/>
    <s v="0,20"/>
    <e v="#NAME?"/>
  </r>
  <r>
    <n v="99"/>
    <m/>
    <x v="0"/>
    <d v="2017-02-25T00:00:00"/>
    <n v="0.105"/>
    <s v="Familia Méndez Parra"/>
    <s v="briceidamp@hotmail.com"/>
    <s v="Calle Guacara Nro. 88-19"/>
    <s v="Colaboración Vigilancia, mes de Febrero 2017"/>
    <x v="0"/>
    <s v="https://drive.google.com/open?id=0ByOb8wNqoBtVTllwTk1GcEZFZVE"/>
    <s v="00099"/>
    <s v="25 de febrero de 2017"/>
    <n v="25"/>
    <x v="2"/>
    <s v="0,11"/>
    <e v="#NAME?"/>
  </r>
  <r>
    <n v="100"/>
    <m/>
    <x v="0"/>
    <d v="2017-03-01T00:00:00"/>
    <n v="0.14199999999999999"/>
    <s v="Familia Puerta Burguillos"/>
    <s v="namaricakes@gmail.com"/>
    <s v="Calle Guacara Nro. 87-100"/>
    <s v="Anticipo Vigilancia, mes de Marzo 2017"/>
    <x v="0"/>
    <s v="https://drive.google.com/open?id=0ByOb8wNqoBtVSTY3V2lRMUxyTzQ"/>
    <s v="00100"/>
    <s v="01 de marzo de 2017"/>
    <n v="1"/>
    <x v="3"/>
    <s v="0,14"/>
    <e v="#NAME?"/>
  </r>
  <r>
    <n v="101"/>
    <m/>
    <x v="0"/>
    <d v="2017-03-02T00:00:00"/>
    <n v="0.06"/>
    <s v="Familia Rivero"/>
    <s v="En Físico"/>
    <s v="Calle Güigüe Nro. 88-40"/>
    <s v="Colaboración Vigilancia, meses de Ene-Feb 2017"/>
    <x v="0"/>
    <s v="https://drive.google.com/open?id=0ByOb8wNqoBtVU1lmUmtjYmFJOEU"/>
    <s v="00101"/>
    <s v="02 de marzo de 2017"/>
    <n v="2"/>
    <x v="3"/>
    <s v="0,06"/>
    <e v="#NAME?"/>
  </r>
  <r>
    <n v="102"/>
    <m/>
    <x v="0"/>
    <d v="2017-03-02T00:00:00"/>
    <n v="0.17"/>
    <s v="Wu Hung Fung"/>
    <s v="carolinahung24@gmail.com"/>
    <s v="Calle Guacara Nro. 90-81"/>
    <s v="Cancelación Vigilancia, mes de Marzo 2017"/>
    <x v="0"/>
    <s v="https://drive.google.com/open?id=0ByOb8wNqoBtVXzBQUk5oOTdOdnc"/>
    <s v="00102"/>
    <s v="02 de marzo de 2017"/>
    <n v="2"/>
    <x v="3"/>
    <s v="0,17"/>
    <e v="#NAME?"/>
  </r>
  <r>
    <n v="103"/>
    <m/>
    <x v="0"/>
    <d v="2017-03-02T00:00:00"/>
    <n v="0.02"/>
    <s v="Wu Hung Fung"/>
    <s v="carolinahung24@gmail.com"/>
    <s v="Calle Guacara Nro. 90-81"/>
    <s v="Donación Vigilancia, mes de Marzo 2017"/>
    <x v="0"/>
    <s v="https://drive.google.com/open?id=0ByOb8wNqoBtVeUlCb3hya095NGc"/>
    <s v="00103"/>
    <s v="02 de marzo de 2017"/>
    <n v="2"/>
    <x v="3"/>
    <s v="0,02"/>
    <e v="#NAME?"/>
  </r>
  <r>
    <n v="104"/>
    <m/>
    <x v="0"/>
    <d v="2017-03-03T00:00:00"/>
    <n v="0.24000000000000002"/>
    <s v="Familia Narváez Caldera"/>
    <s v="jeannette_nc@yahoo.com"/>
    <s v="Calle Güigüe Nro. 87-A-11"/>
    <s v="Cancelación Saldo Vigilancia, mes de Enero 2017 y cancelación Vigilancia, mes de Febrero 2017"/>
    <x v="0"/>
    <s v="https://drive.google.com/open?id=0ByOb8wNqoBtVdUo1SDNIdi1tRm8"/>
    <s v="00104"/>
    <s v="03 de marzo de 2017"/>
    <n v="3"/>
    <x v="3"/>
    <s v="0,24"/>
    <e v="#NAME?"/>
  </r>
  <r>
    <n v="105"/>
    <m/>
    <x v="0"/>
    <d v="2017-03-03T00:00:00"/>
    <n v="0.17"/>
    <s v="Dra. Lilia Magallanes"/>
    <s v="liliamagallanes2010@gmail.com"/>
    <s v="Calle Güigüe Nro. 88-51"/>
    <s v="Colaboración Vigilancia, meses de Ene-Mar 2017"/>
    <x v="0"/>
    <s v="https://drive.google.com/open?id=0ByOb8wNqoBtVRFlqUkZfeGp5M28"/>
    <s v="00105"/>
    <s v="03 de marzo de 2017"/>
    <n v="3"/>
    <x v="3"/>
    <s v="0,17"/>
    <e v="#NAME?"/>
  </r>
  <r>
    <n v="106"/>
    <m/>
    <x v="0"/>
    <d v="2017-03-05T00:00:00"/>
    <n v="7.0000000000000007E-2"/>
    <s v="Chin Chun Ya (Goya)"/>
    <s v="uc2721@gmail.com"/>
    <s v="Calle Guacara Nro. 87-86"/>
    <s v="Colaboración Vigilancia, mes de Marzo 2017"/>
    <x v="0"/>
    <s v="https://drive.google.com/open?id=0ByOb8wNqoBtVdlNhb0wyRkNIOTQ"/>
    <s v="00106"/>
    <s v="05 de marzo de 2017"/>
    <n v="5"/>
    <x v="3"/>
    <s v="0,07"/>
    <e v="#NAME?"/>
  </r>
  <r>
    <n v="107"/>
    <m/>
    <x v="0"/>
    <d v="2017-03-05T00:00:00"/>
    <n v="0.34"/>
    <s v="Familia Zavarce Pérez"/>
    <s v="En Físico"/>
    <s v="Calle Guacara Nro. 90-35"/>
    <s v="Cancelación Vigilancia, meses de Ene-Feb 2017"/>
    <x v="0"/>
    <s v="https://drive.google.com/open?id=0ByOb8wNqoBtVakQ5Z2l1RTAtNGs"/>
    <s v="00107"/>
    <s v="05 de marzo de 2017"/>
    <n v="5"/>
    <x v="3"/>
    <s v="0,34"/>
    <e v="#NAME?"/>
  </r>
  <r>
    <n v="108"/>
    <m/>
    <x v="0"/>
    <d v="2017-03-05T00:00:00"/>
    <n v="0.03"/>
    <s v="Familia Zavarce Pérez"/>
    <s v="En Físico"/>
    <s v="Calle Guacara Nro. 90-35"/>
    <s v="Anticipo Vigilancia, mes de Marzo 2017"/>
    <x v="0"/>
    <s v="https://drive.google.com/open?id=0ByOb8wNqoBtVcVZvTjdxQUE4cUk"/>
    <s v="00108"/>
    <s v="05 de marzo de 2017"/>
    <n v="5"/>
    <x v="3"/>
    <s v="0,03"/>
    <e v="#NAME?"/>
  </r>
  <r>
    <n v="109"/>
    <m/>
    <x v="0"/>
    <d v="2017-03-06T00:00:00"/>
    <n v="0.26500000000000001"/>
    <s v="Familia Hatem Medina"/>
    <s v="hhatem1@hotmail.com"/>
    <s v="Calle Guacara Nro. 88-51"/>
    <s v="Colaboración Vigilancia, meses de Ene-Feb 2017"/>
    <x v="0"/>
    <s v="https://drive.google.com/open?id=0ByOb8wNqoBtVOVluZ3Z6aGNXSjg"/>
    <s v="00109"/>
    <s v="06 de marzo de 2017"/>
    <n v="6"/>
    <x v="3"/>
    <s v="0,27"/>
    <e v="#NAME?"/>
  </r>
  <r>
    <n v="110"/>
    <m/>
    <x v="0"/>
    <d v="2017-03-08T00:00:00"/>
    <n v="0.17"/>
    <s v="Familia Colosso Delgado"/>
    <s v="mcolosso@gmail.com"/>
    <s v="Calle Güigüe Nro. 88-44"/>
    <s v="Cancelación Vigilancia, mes de Marzo 2017"/>
    <x v="0"/>
    <s v="https://drive.google.com/open?id=0ByOb8wNqoBtVUlpEa2NybWVrNWc"/>
    <s v="00110"/>
    <s v="08 de marzo de 2017"/>
    <n v="8"/>
    <x v="3"/>
    <s v="0,17"/>
    <e v="#NAME?"/>
  </r>
  <r>
    <n v="111"/>
    <m/>
    <x v="0"/>
    <d v="2017-03-08T00:00:00"/>
    <n v="0.17"/>
    <s v="Familia Fermín Rivas"/>
    <s v="angelferminb@gmail.com"/>
    <s v="Calle Güigüe Nro. 89-55"/>
    <s v="Cancelación Vigilancia, mes de Marzo 2017"/>
    <x v="0"/>
    <s v="https://drive.google.com/open?id=0ByOb8wNqoBtVd1Bha1RaTXJVTW8"/>
    <s v="00111"/>
    <s v="08 de marzo de 2017"/>
    <n v="8"/>
    <x v="3"/>
    <s v="0,17"/>
    <e v="#NAME?"/>
  </r>
  <r>
    <n v="112"/>
    <m/>
    <x v="0"/>
    <d v="2017-03-08T00:00:00"/>
    <n v="0.17"/>
    <s v="Familia Il Grande Franceschi"/>
    <s v="arcifran75@hotmail.com"/>
    <s v="Av. &quot;I&quot; Nro. 146-40"/>
    <s v="Cancelación Vigilancia, mes de Febrero 2017"/>
    <x v="0"/>
    <s v="https://drive.google.com/open?id=0ByOb8wNqoBtVTjVGLW5McTNyTEU"/>
    <s v="00112"/>
    <s v="08 de marzo de 2017"/>
    <n v="8"/>
    <x v="3"/>
    <s v="0,17"/>
    <e v="#NAME?"/>
  </r>
  <r>
    <n v="113"/>
    <m/>
    <x v="0"/>
    <d v="2017-03-08T00:00:00"/>
    <n v="0.35000000000000003"/>
    <s v="Familia Jiménez Salvatierra"/>
    <s v="0414-582.8909"/>
    <s v="Calle Güigüe Nro. 89-45"/>
    <s v="Cancelación Saldo Vigilancia, mes de Enero 2017 y cancelación Vigilancia, meses de Feb-Mar 2017"/>
    <x v="0"/>
    <s v="https://drive.google.com/open?id=0ByOb8wNqoBtVVTZMQ3JGNkpOQ2s"/>
    <s v="00113"/>
    <s v="08 de marzo de 2017"/>
    <n v="8"/>
    <x v="3"/>
    <s v="0,35"/>
    <e v="#NAME?"/>
  </r>
  <r>
    <n v="114"/>
    <m/>
    <x v="0"/>
    <d v="2017-03-08T00:00:00"/>
    <n v="0.17"/>
    <s v="Familia Lomeña Agudo"/>
    <s v="claudialomena@hotmail.com"/>
    <s v="Calle Guacara Nro. 89-30"/>
    <s v="Cancelación Vigilancia, mes de Marzo 2017"/>
    <x v="0"/>
    <s v="https://drive.google.com/open?id=0ByOb8wNqoBtVc182N2Job1dvOVk"/>
    <s v="00114"/>
    <s v="08 de marzo de 2017"/>
    <n v="8"/>
    <x v="3"/>
    <s v="0,17"/>
    <e v="#NAME?"/>
  </r>
  <r>
    <n v="115"/>
    <m/>
    <x v="0"/>
    <d v="2017-03-08T00:00:00"/>
    <n v="0.34"/>
    <s v="Familia Franco Gómez"/>
    <s v="eof64@hotmail.com"/>
    <s v="Calle Guacara Nro. 87-07"/>
    <s v="Cancelación Vigilancia, meses de Ene-Feb 2017"/>
    <x v="0"/>
    <s v="https://drive.google.com/open?id=0ByOb8wNqoBtVY2hIMjBnenBHUlU"/>
    <s v="00115"/>
    <s v="08 de marzo de 2017"/>
    <n v="8"/>
    <x v="3"/>
    <s v="0,34"/>
    <e v="#NAME?"/>
  </r>
  <r>
    <n v="116"/>
    <m/>
    <x v="0"/>
    <d v="2017-03-08T00:00:00"/>
    <n v="0.34"/>
    <s v="Sra. Reina Meléndez"/>
    <s v="olgajipe@gmail.com"/>
    <s v="Av. &quot;M&quot; Nro. 145-10"/>
    <s v="Cancelación Vigilancia, meses de Ene-Feb 2017"/>
    <x v="0"/>
    <s v="https://drive.google.com/open?id=0ByOb8wNqoBtVdC1VZzF5Rk9vTEE"/>
    <s v="00116"/>
    <s v="08 de marzo de 2017"/>
    <n v="8"/>
    <x v="3"/>
    <s v="0,34"/>
    <e v="#NAME?"/>
  </r>
  <r>
    <n v="117"/>
    <m/>
    <x v="0"/>
    <d v="2017-03-10T00:00:00"/>
    <n v="0.17"/>
    <s v="Familia Arcia Polanco"/>
    <s v="misipo29@gmail.com"/>
    <s v="Calle Guacara Nro. 89-20"/>
    <s v="Cancelación Vigilancia, mes de Marzo 2017"/>
    <x v="0"/>
    <s v="https://drive.google.com/open?id=0ByOb8wNqoBtVT0ZVSFpaVlNyN0U"/>
    <s v="00117"/>
    <s v="10 de marzo de 2017"/>
    <n v="10"/>
    <x v="3"/>
    <s v="0,17"/>
    <e v="#NAME?"/>
  </r>
  <r>
    <n v="118"/>
    <m/>
    <x v="0"/>
    <d v="2017-03-10T00:00:00"/>
    <n v="0.45"/>
    <s v="Familia Machado Stoppa"/>
    <s v="machadoru@hotmail.com"/>
    <s v="Calle Guacara Nro. 88-85"/>
    <s v="Colaboración Vigilancia, meses de Ene-Mar 2017"/>
    <x v="0"/>
    <s v="https://drive.google.com/open?id=0ByOb8wNqoBtVeC1SNVJRNjFuTVE"/>
    <s v="00118"/>
    <s v="10 de marzo de 2017"/>
    <n v="10"/>
    <x v="3"/>
    <s v="0,45"/>
    <e v="#NAME?"/>
  </r>
  <r>
    <n v="119"/>
    <m/>
    <x v="0"/>
    <d v="2017-03-10T00:00:00"/>
    <n v="0.13613"/>
    <s v="Familia Martínez Boada"/>
    <s v="florcitakmz@gmail.com"/>
    <s v="Calle Güigüe Nro. 88-62"/>
    <s v="Anticipo Vigilancia, mes de Febrero 2017"/>
    <x v="0"/>
    <s v="https://drive.google.com/open?id=0ByOb8wNqoBtVQlRuWnlZdnQ2MEE"/>
    <s v="00119"/>
    <s v="10 de marzo de 2017"/>
    <n v="10"/>
    <x v="3"/>
    <s v="0,14"/>
    <e v="#NAME?"/>
  </r>
  <r>
    <n v="120"/>
    <m/>
    <x v="0"/>
    <d v="2017-03-06T00:00:00"/>
    <n v="0.17"/>
    <s v="Familia Matta Palomino"/>
    <s v="normaapm@hotmail.com"/>
    <s v="Calle Güigüe Nro. 88-90"/>
    <s v="Cancelación Vigilancia, mes de Enero 2017"/>
    <x v="0"/>
    <s v="https://drive.google.com/open?id=0ByOb8wNqoBtVc1NYcl9LRWhfVUU"/>
    <s v="00120"/>
    <s v="06 de marzo de 2017"/>
    <n v="6"/>
    <x v="3"/>
    <s v="0,17"/>
    <e v="#NAME?"/>
  </r>
  <r>
    <n v="121"/>
    <m/>
    <x v="0"/>
    <d v="2017-03-10T00:00:00"/>
    <n v="0.17"/>
    <s v="Familia Narváez Caldera"/>
    <s v="jeannette_nc@yahoo.com"/>
    <s v="Calle Güigüe Nro. 87-A-11"/>
    <s v="Cancelación Vigilancia, mes de Marzo 2017"/>
    <x v="0"/>
    <s v="https://drive.google.com/open?id=0ByOb8wNqoBtVbkNhZV92RVBBeDQ"/>
    <s v="00121"/>
    <s v="10 de marzo de 2017"/>
    <n v="10"/>
    <x v="3"/>
    <s v="0,17"/>
    <e v="#NAME?"/>
  </r>
  <r>
    <n v="122"/>
    <m/>
    <x v="0"/>
    <d v="2017-03-10T00:00:00"/>
    <n v="2.8000000000000001E-2"/>
    <s v="Familia Puerta Burguillos"/>
    <s v="namaricakes@gmail.com"/>
    <s v="Calle Guacara Nro. 87-100"/>
    <s v="Cancelación Saldo Vigilancia, mes de Marzo 2017"/>
    <x v="0"/>
    <s v="https://drive.google.com/open?id=0ByOb8wNqoBtVajFsUEY4SXhtSG8"/>
    <s v="00122"/>
    <s v="10 de marzo de 2017"/>
    <n v="10"/>
    <x v="3"/>
    <s v="0,03"/>
    <e v="#NAME?"/>
  </r>
  <r>
    <n v="123"/>
    <m/>
    <x v="0"/>
    <d v="2017-03-10T00:00:00"/>
    <n v="0.1"/>
    <s v="Héctor Hernández"/>
    <s v="eof64@hotmail.com"/>
    <s v="Calle Guacara Nro. 89-94"/>
    <s v="Colaboración Vigilancia, mes de Marzo 2017"/>
    <x v="0"/>
    <s v="https://drive.google.com/open?id=0ByOb8wNqoBtVMDl1eDRUSl9QVkU"/>
    <s v="00123"/>
    <s v="10 de marzo de 2017"/>
    <n v="10"/>
    <x v="3"/>
    <s v="0,10"/>
    <e v="#NAME?"/>
  </r>
  <r>
    <n v="124"/>
    <m/>
    <x v="0"/>
    <d v="2017-03-11T00:00:00"/>
    <n v="0.1"/>
    <s v="Familia Kablan Sarmiento"/>
    <s v="norisjsb56@hotmail.com"/>
    <s v="Calle Güigüe Nro. 89-80"/>
    <s v="Colaboración Vigilancia, mes de Marzo 2017"/>
    <x v="0"/>
    <s v="https://drive.google.com/open?id=0ByOb8wNqoBtVUFhOUEVycGNfNEU"/>
    <s v="00124"/>
    <s v="11 de marzo de 2017"/>
    <n v="11"/>
    <x v="3"/>
    <s v="0,10"/>
    <e v="#NAME?"/>
  </r>
  <r>
    <n v="125"/>
    <m/>
    <x v="0"/>
    <d v="2017-03-11T00:00:00"/>
    <n v="0.17"/>
    <s v="Familia Cegarra Villamizar"/>
    <s v="jesus.villamizar.ra@gmail.com"/>
    <s v="Calle Guacara Nro. 88-35"/>
    <s v="Cancelación Vigilancia, mes de Enero 2017"/>
    <x v="0"/>
    <s v="https://drive.google.com/open?id=0ByOb8wNqoBtVVm9PdXd6U0VPdXM"/>
    <s v="00125"/>
    <s v="11 de marzo de 2017"/>
    <n v="11"/>
    <x v="3"/>
    <s v="0,17"/>
    <e v="#NAME?"/>
  </r>
  <r>
    <n v="126"/>
    <m/>
    <x v="0"/>
    <d v="2017-03-14T00:00:00"/>
    <n v="0.17"/>
    <s v="Familia Scabuzzo Gómez"/>
    <s v="sfscabuzzo@msn.com"/>
    <s v="Av. &quot;I&quot; Nro. 146-20"/>
    <s v="Cancelación Vigilancia, mes de Marzo 2017"/>
    <x v="0"/>
    <s v="https://drive.google.com/open?id=0ByOb8wNqoBtVUU9TdUdRckFETmc"/>
    <s v="00126"/>
    <s v="14 de marzo de 2017"/>
    <n v="14"/>
    <x v="3"/>
    <s v="0,17"/>
    <e v="#NAME?"/>
  </r>
  <r>
    <n v="127"/>
    <m/>
    <x v="0"/>
    <d v="2017-03-10T00:00:00"/>
    <n v="0.03"/>
    <s v="Familia Flores Montagne"/>
    <s v="namaricakes@gmail.com"/>
    <s v="Av. &quot;M&quot; Nro. 146-20"/>
    <s v="Colaboración Vigilancia, mes de Marzo 2017"/>
    <x v="0"/>
    <s v="https://drive.google.com/open?id=0ByOb8wNqoBtVSElUZ2ctWVVhbmc"/>
    <s v="00127"/>
    <s v="10 de marzo de 2017"/>
    <n v="10"/>
    <x v="3"/>
    <s v="0,03"/>
    <e v="#NAME?"/>
  </r>
  <r>
    <n v="128"/>
    <m/>
    <x v="0"/>
    <d v="2017-01-13T00:00:00"/>
    <n v="6.5000000000000002E-2"/>
    <s v="Familia Barreto Pérez"/>
    <s v="bbetsa19@hotmail.com"/>
    <s v="Av. &quot;M&quot; Nro. 146-15"/>
    <s v="Cancelación saldo Vigilancia, mes de Enero 2017"/>
    <x v="0"/>
    <s v="https://drive.google.com/open?id=0ByOb8wNqoBtVbGZjSklOSWZMMUU"/>
    <s v="00128"/>
    <s v="13 de enero de 2017"/>
    <n v="13"/>
    <x v="1"/>
    <s v="0,07"/>
    <e v="#NAME?"/>
  </r>
  <r>
    <n v="129"/>
    <m/>
    <x v="0"/>
    <d v="2017-03-01T00:00:00"/>
    <n v="0.17"/>
    <s v="Familia Castillo Mena"/>
    <s v="emmecas@hotmail.com"/>
    <s v="Calle Güigüe Nro. 88-101"/>
    <s v="Cancelación Vigilancia, mes de Febrero 2017"/>
    <x v="0"/>
    <s v="https://drive.google.com/open?id=0ByOb8wNqoBtVT2tYRlNoMkMwdUE"/>
    <s v="00129"/>
    <s v="01 de marzo de 2017"/>
    <n v="1"/>
    <x v="3"/>
    <s v="0,17"/>
    <e v="#NAME?"/>
  </r>
  <r>
    <n v="130"/>
    <m/>
    <x v="0"/>
    <d v="2017-03-06T00:00:00"/>
    <n v="0.17"/>
    <s v="Familia Castillo Rodríguez"/>
    <s v="vesperanzacastillor@gmail.com"/>
    <s v="Calle Güigüe Nro. 88-91"/>
    <s v="Cancelación Vigilancia, mes de Febrero 2017"/>
    <x v="0"/>
    <s v="https://drive.google.com/open?id=0ByOb8wNqoBtVTktPck5mMlpEY3c"/>
    <s v="00130"/>
    <s v="06 de marzo de 2017"/>
    <n v="6"/>
    <x v="3"/>
    <s v="0,17"/>
    <e v="#NAME?"/>
  </r>
  <r>
    <n v="131"/>
    <m/>
    <x v="0"/>
    <d v="2017-02-27T00:00:00"/>
    <n v="0.17"/>
    <s v="Familia Delgado Hidalgo"/>
    <s v="ardh@hotmail.com"/>
    <s v="Calle Güigüe Nro. 88-10"/>
    <s v="Cancelación Vigilancia, mes de Enero 2017"/>
    <x v="0"/>
    <s v="https://drive.google.com/open?id=0ByOb8wNqoBtVUGJmeHI2UTZKVlE"/>
    <s v="00131"/>
    <s v="27 de febrero de 2017"/>
    <n v="27"/>
    <x v="2"/>
    <s v="0,17"/>
    <e v="#NAME?"/>
  </r>
  <r>
    <n v="132"/>
    <m/>
    <x v="0"/>
    <d v="2017-02-14T00:00:00"/>
    <n v="0.17"/>
    <s v="Familia Díaz González"/>
    <s v="luisrdt57@gmail.com"/>
    <s v="Calle Güigüe Nro. 88-116"/>
    <s v="Cancelación Vigilancia, mes de Febrero 2017"/>
    <x v="0"/>
    <s v="https://drive.google.com/open?id=0ByOb8wNqoBtVYlpzUXFSREtCTUE"/>
    <s v="00132"/>
    <s v="14 de febrero de 2017"/>
    <n v="14"/>
    <x v="2"/>
    <s v="0,17"/>
    <e v="#NAME?"/>
  </r>
  <r>
    <n v="133"/>
    <m/>
    <x v="0"/>
    <d v="2017-02-14T00:00:00"/>
    <n v="6.2E-2"/>
    <s v="Familia Durvelle Serrano"/>
    <s v="sdurvelle@hotmail.com"/>
    <s v="Calle Guacara Nro. 89-60"/>
    <s v="14 02 2017 Bs. 6.200 - Cancelación control del portón"/>
    <x v="2"/>
    <s v="https://drive.google.com/open?id=0ByOb8wNqoBtVLWdrMGVUemh6cGs"/>
    <s v="00133"/>
    <s v="14 de febrero de 2017"/>
    <n v="14"/>
    <x v="2"/>
    <s v="0,06"/>
    <e v="#NAME?"/>
  </r>
  <r>
    <n v="134"/>
    <m/>
    <x v="0"/>
    <d v="2017-01-11T00:00:00"/>
    <n v="6.5000000000000002E-2"/>
    <s v="Familia Castro Jiménez"/>
    <s v="0426-543.4303"/>
    <s v="Calle Guacara Nro. 90-51"/>
    <s v="Cancelación saldo Vigilancia, mes de Enero 2017"/>
    <x v="0"/>
    <s v="https://drive.google.com/open?id=0ByOb8wNqoBtVUFJvVmpSWnB4T2M"/>
    <s v="00134"/>
    <s v="11 de enero de 2017"/>
    <n v="11"/>
    <x v="1"/>
    <s v="0,07"/>
    <e v="#NAME?"/>
  </r>
  <r>
    <n v="135"/>
    <m/>
    <x v="0"/>
    <d v="2017-02-20T00:00:00"/>
    <n v="0.34"/>
    <s v="Familia Medina Colina"/>
    <s v="0414-409.4702"/>
    <s v="Calle Güigüe Nro. 89-70"/>
    <s v="Cancelación Vigilancia, meses de Ene-Feb 2017"/>
    <x v="0"/>
    <s v="https://drive.google.com/open?id=0ByOb8wNqoBtVVHhGTUdTOWd3TVk"/>
    <s v="00135"/>
    <s v="20 de febrero de 2017"/>
    <n v="20"/>
    <x v="2"/>
    <s v="0,34"/>
    <e v="#NAME?"/>
  </r>
  <r>
    <n v="136"/>
    <m/>
    <x v="0"/>
    <d v="2017-03-14T00:00:00"/>
    <n v="0.17"/>
    <s v="Familia Díaz González"/>
    <s v="luisrdt57@gmail.com"/>
    <s v="Calle Güigüe Nro. 88-116"/>
    <s v="Cancelación Vigilancia, mes de Marzo 2017"/>
    <x v="0"/>
    <s v="https://drive.google.com/open?id=0ByOb8wNqoBtVNm52V1J6V0N3aUE"/>
    <s v="00136"/>
    <s v="14 de marzo de 2017"/>
    <n v="14"/>
    <x v="3"/>
    <s v="0,17"/>
    <e v="#NAME?"/>
  </r>
  <r>
    <n v="137"/>
    <m/>
    <x v="0"/>
    <d v="2017-03-14T00:00:00"/>
    <n v="0.05"/>
    <s v="Familia Herrera Guada"/>
    <s v="En Físico"/>
    <s v="Calle Güigüe Nro. 89-90"/>
    <s v="Colaboración Vigilancia, mes de Marzo 2017"/>
    <x v="0"/>
    <s v="https://drive.google.com/open?id=0ByOb8wNqoBtVLVJ1Tk96RUN1M3M"/>
    <s v="00137"/>
    <s v="14 de marzo de 2017"/>
    <n v="14"/>
    <x v="3"/>
    <s v="0,05"/>
    <e v="#NAME?"/>
  </r>
  <r>
    <n v="138"/>
    <m/>
    <x v="0"/>
    <d v="2017-03-10T00:00:00"/>
    <n v="0.22"/>
    <s v="Familia González Arévalo"/>
    <s v="feryenis@hotmail.com"/>
    <s v="Calle Guacara Nro. 89-86"/>
    <s v="Cancelación Vigilancia, mes de Marzo 2017"/>
    <x v="0"/>
    <s v="https://drive.google.com/open?id=0ByOb8wNqoBtVcTJ2N1lNUHpoR1k"/>
    <s v="00138"/>
    <s v="10 de marzo de 2017"/>
    <n v="10"/>
    <x v="3"/>
    <s v="0,22"/>
    <e v="#NAME?"/>
  </r>
  <r>
    <n v="139"/>
    <m/>
    <x v="0"/>
    <d v="2017-03-16T00:00:00"/>
    <n v="0.17"/>
    <s v="Familia Durvelle Serrano"/>
    <s v="sdurvelle@hotmail.com"/>
    <s v="Calle Guacara Nro. 89-60"/>
    <s v="Cancelación Vigilancia, mes de Marzo 2017"/>
    <x v="0"/>
    <s v="https://drive.google.com/open?id=0ByOb8wNqoBtVejltaUpYVXh5VlE"/>
    <s v="00139"/>
    <s v="16 de marzo de 2017"/>
    <n v="16"/>
    <x v="3"/>
    <s v="0,17"/>
    <e v="#NAME?"/>
  </r>
  <r>
    <n v="140"/>
    <m/>
    <x v="0"/>
    <d v="2017-03-19T00:00:00"/>
    <n v="0.17"/>
    <s v="Familia Franco Gómez"/>
    <s v="eof64@hotmail.com"/>
    <s v="Calle Guacara Nro. 87-07"/>
    <s v="Cancelación Vigilancia, mes de Marzo 2017"/>
    <x v="0"/>
    <s v="https://drive.google.com/open?id=0ByOb8wNqoBtVdWZOUWFPdnR1N1E"/>
    <s v="00140"/>
    <s v="19 de marzo de 2017"/>
    <n v="19"/>
    <x v="3"/>
    <s v="0,17"/>
    <e v="#NAME?"/>
  </r>
  <r>
    <n v="141"/>
    <m/>
    <x v="0"/>
    <d v="2017-03-18T00:00:00"/>
    <n v="0.1"/>
    <s v="Victoria Francischiello"/>
    <s v="victoriafrancischiello@hotmail.com"/>
    <s v="Calle Guacara Nro. 88-25"/>
    <s v="Colaboración Vigilancia, mes de Marzo 2017"/>
    <x v="0"/>
    <s v="https://drive.google.com/open?id=0ByOb8wNqoBtVX2NYLWV3YkpZb28"/>
    <s v="00141"/>
    <s v="18 de marzo de 2017"/>
    <n v="18"/>
    <x v="3"/>
    <s v="0,10"/>
    <e v="#NAME?"/>
  </r>
  <r>
    <n v="142"/>
    <m/>
    <x v="0"/>
    <d v="2017-03-16T00:00:00"/>
    <n v="0.18"/>
    <s v="Familia Hatem Medina"/>
    <s v="hhatem1@hotmail.com"/>
    <s v="Calle Guacara Nro. 88-51"/>
    <s v="Colaboración Vigilancia, mes de Marzo 2017 y anticipo Abril 2017"/>
    <x v="0"/>
    <s v="https://drive.google.com/open?id=0ByOb8wNqoBtVeHBDSHplc2c4Z2M"/>
    <s v="00142"/>
    <s v="16 de marzo de 2017"/>
    <n v="16"/>
    <x v="3"/>
    <s v="0,18"/>
    <e v="#NAME?"/>
  </r>
  <r>
    <n v="143"/>
    <m/>
    <x v="0"/>
    <d v="2017-03-15T00:00:00"/>
    <n v="0.17"/>
    <s v="Familia Fernández Parés"/>
    <s v="vultecca@gmail.com"/>
    <s v="Calle Guacara Nro. 88-75"/>
    <s v="Cancelación Vigilancia, mes de Marzo 2017"/>
    <x v="0"/>
    <s v="https://drive.google.com/open?id=0ByOb8wNqoBtVWV95R2U0RFZyYW8"/>
    <s v="00143"/>
    <s v="15 de marzo de 2017"/>
    <n v="15"/>
    <x v="3"/>
    <s v="0,17"/>
    <e v="#NAME?"/>
  </r>
  <r>
    <n v="144"/>
    <m/>
    <x v="0"/>
    <d v="2017-03-16T00:00:00"/>
    <n v="0.17"/>
    <s v="Beatriz Lara"/>
    <s v="valentina.gutierrez@hotmail.com"/>
    <s v="Calle Guacara Nro. 89-130"/>
    <s v="Cancelación Vigilancia, mes de Marzo 2017"/>
    <x v="0"/>
    <s v="https://drive.google.com/open?id=0ByOb8wNqoBtVcjJvNUUza2ZRa0k"/>
    <s v="00144"/>
    <s v="16 de marzo de 2017"/>
    <n v="16"/>
    <x v="3"/>
    <s v="0,17"/>
    <e v="#NAME?"/>
  </r>
  <r>
    <n v="145"/>
    <m/>
    <x v="0"/>
    <d v="2017-03-15T00:00:00"/>
    <n v="0.17"/>
    <s v="Familia Ferrer Bahri"/>
    <s v="bahrimariela@hotmail.com"/>
    <s v="Calle Güigüe Nro. 89-83"/>
    <s v="Cancelación Vigilancia, mes de Marzo 2017"/>
    <x v="0"/>
    <s v="https://drive.google.com/open?id=0ByOb8wNqoBtVel83UkE2ZGl3cjA"/>
    <s v="00145"/>
    <s v="15 de marzo de 2017"/>
    <n v="15"/>
    <x v="3"/>
    <s v="0,17"/>
    <e v="#NAME?"/>
  </r>
  <r>
    <n v="146"/>
    <m/>
    <x v="0"/>
    <d v="2017-03-15T00:00:00"/>
    <n v="0.105"/>
    <s v="Familia Hurtado"/>
    <s v="francisco_hurtado@hotmail.com"/>
    <s v="Av. &quot;O&quot; Nro. 146-11"/>
    <s v="Anticipo Vigilancia, mes de Febrero 2017"/>
    <x v="0"/>
    <s v="https://drive.google.com/open?id=0ByOb8wNqoBtVU0Nna2k1YjJ4aHc"/>
    <s v="00146"/>
    <s v="15 de marzo de 2017"/>
    <n v="15"/>
    <x v="3"/>
    <s v="0,11"/>
    <e v="#NAME?"/>
  </r>
  <r>
    <n v="147"/>
    <m/>
    <x v="0"/>
    <d v="2017-03-25T00:00:00"/>
    <n v="0.16999999999999998"/>
    <s v="Familia Hurtado"/>
    <s v="francisco_hurtado@hotmail.com"/>
    <s v="Av. &quot;O&quot; Nro. 146-11"/>
    <s v="Cancelación saldo Vigilancia, mes de Febrero 2017 y anticipo Bs. 10.500 mes de Marzo 2017"/>
    <x v="0"/>
    <s v="https://drive.google.com/open?id=0ByOb8wNqoBtVbWI4bUszb2tYckk"/>
    <s v="00147"/>
    <s v="25 de marzo de 2017"/>
    <n v="25"/>
    <x v="3"/>
    <s v="0,17"/>
    <e v="#NAME?"/>
  </r>
  <r>
    <n v="148"/>
    <m/>
    <x v="0"/>
    <d v="2017-03-21T00:00:00"/>
    <n v="0.17"/>
    <s v="Familia Acosta Carpio"/>
    <s v="pablo962@hotmail.com"/>
    <s v="Calle Güigüe Nro. 89-10"/>
    <s v="Cancelación Vigilancia, mes de Febrero 2017"/>
    <x v="0"/>
    <s v="https://drive.google.com/open?id=0ByOb8wNqoBtVcGNWQVhDdkhfVXc"/>
    <s v="00148"/>
    <s v="21 de marzo de 2017"/>
    <n v="21"/>
    <x v="3"/>
    <s v="0,17"/>
    <e v="#NAME?"/>
  </r>
  <r>
    <n v="149"/>
    <m/>
    <x v="0"/>
    <d v="2017-03-24T00:00:00"/>
    <n v="0.17"/>
    <s v="Familia Morales Sesar"/>
    <s v="moralesesar@gmail.com"/>
    <s v="Calle Güigüe Nro. 89-120"/>
    <s v="Cancelación Vigilancia, mes de Marzo 2017"/>
    <x v="0"/>
    <s v="https://drive.google.com/open?id=0ByOb8wNqoBtVcFRNQVpiR0dNS2M"/>
    <s v="00149"/>
    <s v="24 de marzo de 2017"/>
    <n v="24"/>
    <x v="3"/>
    <s v="0,17"/>
    <e v="#NAME?"/>
  </r>
  <r>
    <n v="150"/>
    <m/>
    <x v="0"/>
    <d v="2017-03-26T00:00:00"/>
    <n v="0.03"/>
    <s v="Familia Rivero"/>
    <s v="En Físico"/>
    <s v="Calle Güigüe Nro. 88-40"/>
    <s v="Colaboración Vigilancia, mes de Marzo 2017"/>
    <x v="0"/>
    <s v="https://drive.google.com/open?id=0ByOb8wNqoBtVZTJBYXhQdlBrX0k"/>
    <s v="00150"/>
    <s v="26 de marzo de 2017"/>
    <n v="26"/>
    <x v="3"/>
    <s v="0,03"/>
    <e v="#NAME?"/>
  </r>
  <r>
    <n v="151"/>
    <m/>
    <x v="0"/>
    <d v="2017-03-27T00:00:00"/>
    <n v="0.17"/>
    <s v="Familia Navarro Assing"/>
    <s v="liliaassing@gmail.com"/>
    <s v="Calle Güigüe Nro. 88-54"/>
    <s v="Cancelación Vigilancia, mes de Marzo 2017"/>
    <x v="0"/>
    <s v="https://drive.google.com/open?id=0ByOb8wNqoBtVQm55c1Jmdm54bTg"/>
    <s v="00151"/>
    <s v="27 de marzo de 2017"/>
    <n v="27"/>
    <x v="3"/>
    <s v="0,17"/>
    <e v="#NAME?"/>
  </r>
  <r>
    <n v="152"/>
    <m/>
    <x v="0"/>
    <d v="2017-03-30T00:00:00"/>
    <n v="0.04"/>
    <s v="Ma. de Jesus Alonso"/>
    <s v="marjoriealonsoh@hotmail.com"/>
    <s v="Calle Güigüe Nro. 88-30"/>
    <s v="Colaboración Vigilancia, mes de Marzo 2017"/>
    <x v="0"/>
    <s v="https://drive.google.com/open?id=0ByOb8wNqoBtVLTlOUkRqZEtQYms"/>
    <s v="00152"/>
    <s v="30 de marzo de 2017"/>
    <n v="30"/>
    <x v="3"/>
    <s v="0,04"/>
    <e v="#NAME?"/>
  </r>
  <r>
    <n v="153"/>
    <m/>
    <x v="0"/>
    <d v="2017-03-30T00:00:00"/>
    <n v="0.1"/>
    <s v="Familia Gascón Domínguez"/>
    <s v="vrgascon@gmail.com"/>
    <s v="Calle Güigüe Nro. 88-70"/>
    <s v="Colaboración Vigilancia, mes de Marzo 2017"/>
    <x v="0"/>
    <s v="https://drive.google.com/open?id=0ByOb8wNqoBtVb0J3bGZITmRla0k"/>
    <s v="00153"/>
    <s v="30 de marzo de 2017"/>
    <n v="30"/>
    <x v="3"/>
    <s v="0,10"/>
    <e v="#NAME?"/>
  </r>
  <r>
    <n v="154"/>
    <m/>
    <x v="0"/>
    <d v="2017-04-04T00:00:00"/>
    <n v="0.17"/>
    <s v="Familia Lomeña Agudo"/>
    <s v="claudialomena@hotmail.com"/>
    <s v="Calle Guacara Nro. 89-30"/>
    <s v="Cancelación Vigilancia, mes de Abril 2017"/>
    <x v="0"/>
    <m/>
    <s v="00154"/>
    <s v="04 de abril de 2017"/>
    <n v="4"/>
    <x v="4"/>
    <s v="0,17"/>
    <e v="#NAME?"/>
  </r>
  <r>
    <n v="155"/>
    <m/>
    <x v="0"/>
    <d v="2017-04-04T00:00:00"/>
    <n v="0.21"/>
    <s v="Familia Méndez Parra"/>
    <s v="briceidamp@hotmail.com"/>
    <s v="Calle Guacara Nro. 88-19"/>
    <s v="Colaboración Vigilancia, meses de Mar-Abr 2017"/>
    <x v="0"/>
    <m/>
    <s v="00155"/>
    <s v="04 de abril de 2017"/>
    <n v="4"/>
    <x v="4"/>
    <s v="0,21"/>
    <e v="#NAME?"/>
  </r>
  <r>
    <n v="156"/>
    <m/>
    <x v="0"/>
    <d v="2017-03-27T00:00:00"/>
    <n v="0.34"/>
    <s v="Familia Cegarra Villamizar"/>
    <s v="jesus.villamizar.ra@gmail.com"/>
    <s v="Calle Guacara Nro. 88-35"/>
    <s v="Cancelación Vigilancia, meses de Feb-Mar 2017"/>
    <x v="0"/>
    <m/>
    <s v="00156"/>
    <s v="27 de marzo de 2017"/>
    <n v="27"/>
    <x v="3"/>
    <s v="0,34"/>
    <e v="#NAME?"/>
  </r>
  <r>
    <n v="157"/>
    <m/>
    <x v="0"/>
    <d v="2017-03-24T00:00:00"/>
    <n v="7.0000000000000007E-2"/>
    <s v="Familia Santos Carrillo"/>
    <s v="En Físico"/>
    <s v="Calle Guacara Nro. 90-93"/>
    <s v="Colaboración Vigilancia, meses de Noviembre 2016 a Enero 2017"/>
    <x v="0"/>
    <m/>
    <s v="00157"/>
    <s v="24 de marzo de 2017"/>
    <n v="24"/>
    <x v="3"/>
    <s v="0,07"/>
    <e v="#NAME?"/>
  </r>
  <r>
    <n v="158"/>
    <m/>
    <x v="0"/>
    <d v="2017-03-26T00:00:00"/>
    <n v="0.17"/>
    <s v="Anahiz Seijas"/>
    <s v="anahiz_2@hotmail.es"/>
    <s v="Calle Güigüe Nro. 89-106"/>
    <s v="Cancelación Vigilancia, mes de Marzo 2017"/>
    <x v="0"/>
    <m/>
    <s v="00158"/>
    <s v="26 de marzo de 2017"/>
    <n v="26"/>
    <x v="3"/>
    <s v="0,17"/>
    <e v="#NAME?"/>
  </r>
  <r>
    <n v="159"/>
    <m/>
    <x v="0"/>
    <d v="2017-03-31T00:00:00"/>
    <n v="0.17"/>
    <s v="Familia Nava Gordon"/>
    <s v="maru_19_66@hotmail.com"/>
    <s v="Calle Guacara Nro. 89-78"/>
    <s v="Cancelación Vigilancia, mes de Marzo 2017"/>
    <x v="0"/>
    <m/>
    <s v="00159"/>
    <s v="31 de marzo de 2017"/>
    <n v="31"/>
    <x v="3"/>
    <s v="0,17"/>
    <e v="#NAME?"/>
  </r>
  <r>
    <n v="160"/>
    <m/>
    <x v="0"/>
    <d v="2017-03-31T00:00:00"/>
    <n v="0.17"/>
    <s v="Familia Barreto Pérez"/>
    <s v="bbetsa19@hotmail.com"/>
    <s v="Av. &quot;M&quot; Nro. 146-15"/>
    <s v="Cancelación Vigilancia, mes de Marzo 2017"/>
    <x v="0"/>
    <m/>
    <s v="00160"/>
    <s v="31 de marzo de 2017"/>
    <n v="31"/>
    <x v="3"/>
    <s v="0,17"/>
    <e v="#NAME?"/>
  </r>
  <r>
    <n v="161"/>
    <m/>
    <x v="0"/>
    <d v="2017-03-27T00:00:00"/>
    <n v="0.34"/>
    <s v="Familia López Hermoso"/>
    <s v="lopez.humberto14@yahoo.com.ve"/>
    <s v="Calle Güigüe Nro. 89-79"/>
    <s v="Cancelación Vigilancia, meses de Mar-Abr 2017"/>
    <x v="0"/>
    <m/>
    <s v="00161"/>
    <s v="27 de marzo de 2017"/>
    <n v="27"/>
    <x v="3"/>
    <s v="0,34"/>
    <e v="#NAME?"/>
  </r>
  <r>
    <n v="162"/>
    <m/>
    <x v="0"/>
    <d v="2017-04-03T00:00:00"/>
    <n v="0.1"/>
    <s v="Familia Rodríguez Landaeta"/>
    <s v="mrl58@hotmail.com"/>
    <s v="Calle Güigüe Nro. 89-29"/>
    <s v="Colaboración Vigilancia, mes de Abril 2017"/>
    <x v="0"/>
    <m/>
    <s v="00162"/>
    <s v="03 de abril de 2017"/>
    <n v="3"/>
    <x v="4"/>
    <s v="0,10"/>
    <e v="#NAME?"/>
  </r>
  <r>
    <n v="163"/>
    <m/>
    <x v="0"/>
    <d v="2017-04-05T00:00:00"/>
    <n v="0.17"/>
    <s v="Familia Durvelle Serrano"/>
    <s v="sdurvelle@hotmail.com"/>
    <s v="Calle Guacara Nro. 89-60"/>
    <s v="Cancelación Vigilancia, mes de Abril 2017"/>
    <x v="0"/>
    <m/>
    <s v="00163"/>
    <s v="05 de abril de 2017"/>
    <n v="5"/>
    <x v="4"/>
    <s v="0,17"/>
    <e v="#NAME?"/>
  </r>
  <r>
    <n v="164"/>
    <m/>
    <x v="0"/>
    <d v="2017-04-06T00:00:00"/>
    <n v="0.17"/>
    <s v="Familia Colosso Delgado"/>
    <s v="mcolosso@gmail.com"/>
    <s v="Calle Güigüe Nro. 88-44"/>
    <s v="Cancelación Vigilancia, mes de Abril 2017"/>
    <x v="0"/>
    <m/>
    <s v="00164"/>
    <s v="06 de abril de 2017"/>
    <n v="6"/>
    <x v="4"/>
    <s v="0,17"/>
    <e v="#NAME?"/>
  </r>
  <r>
    <n v="165"/>
    <m/>
    <x v="0"/>
    <d v="2017-04-06T00:00:00"/>
    <n v="0.17"/>
    <s v="Familia Del Negro Palermo"/>
    <s v="vdelnegro@gmail.com"/>
    <s v="Calle Guacara Nro. 88-45"/>
    <s v="Cancelación Vigilancia, mes de Abril 2017"/>
    <x v="0"/>
    <m/>
    <s v="00165"/>
    <s v="06 de abril de 2017"/>
    <n v="6"/>
    <x v="4"/>
    <s v="0,17"/>
    <e v="#NAME?"/>
  </r>
  <r>
    <n v="166"/>
    <m/>
    <x v="0"/>
    <d v="2017-04-06T00:00:00"/>
    <n v="0.14000000000000001"/>
    <s v="Familia Zavarce Pérez"/>
    <s v="En Físico"/>
    <s v="Calle Guacara Nro. 90-35"/>
    <s v="Cancelación Saldo Vigilancia, mes de Mar 2017"/>
    <x v="0"/>
    <m/>
    <s v="00166"/>
    <s v="06 de abril de 2017"/>
    <n v="6"/>
    <x v="4"/>
    <s v="0,14"/>
    <e v="#NAME?"/>
  </r>
  <r>
    <n v="167"/>
    <m/>
    <x v="0"/>
    <d v="2017-03-15T00:00:00"/>
    <n v="0.17"/>
    <s v="Familia Castillo Mena"/>
    <s v="emmecas@hotmail.com"/>
    <s v="Calle Güigüe Nro. 88-101"/>
    <s v="Cancelación Vigilancia, mes de Marzo 2017"/>
    <x v="0"/>
    <m/>
    <s v="00167"/>
    <s v="15 de marzo de 2017"/>
    <n v="15"/>
    <x v="3"/>
    <s v="0,17"/>
    <e v="#NAME?"/>
  </r>
  <r>
    <n v="168"/>
    <m/>
    <x v="0"/>
    <d v="2017-04-05T00:00:00"/>
    <n v="0.17"/>
    <s v="Familia Jiménez Navarro"/>
    <s v="joyasonline2012@gmail.com"/>
    <s v="Calle Güigüe Nro. 88-50"/>
    <s v="Cancelación Vigilancia, mes de Marzo 2017"/>
    <x v="0"/>
    <m/>
    <s v="00168"/>
    <s v="05 de abril de 2017"/>
    <n v="5"/>
    <x v="4"/>
    <s v="0,17"/>
    <e v="#NAME?"/>
  </r>
  <r>
    <n v="169"/>
    <m/>
    <x v="0"/>
    <d v="2017-04-06T00:00:00"/>
    <n v="0.17"/>
    <s v="Familia Ferrer Bahri"/>
    <s v="bahrimariela@hotmail.com"/>
    <s v="Calle Güigüe Nro. 89-83"/>
    <s v="Cancelación Vigilancia, mes de Abril 2017"/>
    <x v="0"/>
    <m/>
    <s v="00169"/>
    <s v="06 de abril de 2017"/>
    <n v="6"/>
    <x v="4"/>
    <s v="0,17"/>
    <e v="#NAME?"/>
  </r>
  <r>
    <n v="170"/>
    <m/>
    <x v="0"/>
    <d v="2017-04-09T00:00:00"/>
    <n v="0.17"/>
    <s v="Familia Fermín Rivas"/>
    <s v="angelferminb@gmail.com"/>
    <s v="Calle Güigüe Nro. 89-55"/>
    <s v="Cancelación Vigilancia, mes de Abril 2017"/>
    <x v="0"/>
    <m/>
    <s v="00170"/>
    <s v="09 de abril de 2017"/>
    <n v="9"/>
    <x v="4"/>
    <s v="0,17"/>
    <e v="#NAME?"/>
  </r>
  <r>
    <n v="171"/>
    <m/>
    <x v="0"/>
    <d v="2017-03-13T00:00:00"/>
    <n v="0.17"/>
    <s v="Amarilis Guerra"/>
    <s v="amarilisguerra1@yahoo.com"/>
    <s v="Calle Güigüe Nro. 89-96"/>
    <s v="Cancelación Vigilancia, mes de Marzo 2017"/>
    <x v="0"/>
    <m/>
    <s v="00171"/>
    <s v="13 de marzo de 2017"/>
    <n v="13"/>
    <x v="3"/>
    <s v="0,17"/>
    <e v="#NAME?"/>
  </r>
  <r>
    <n v="172"/>
    <m/>
    <x v="0"/>
    <d v="2017-04-08T00:00:00"/>
    <n v="0.17"/>
    <s v="Amarilis Guerra"/>
    <s v="amarilisguerra1@yahoo.com"/>
    <s v="Calle Güigüe Nro. 89-96"/>
    <s v="Cancelación Vigilancia, mes de Abril 2017"/>
    <x v="0"/>
    <m/>
    <s v="00172"/>
    <s v="08 de abril de 2017"/>
    <n v="8"/>
    <x v="4"/>
    <s v="0,17"/>
    <e v="#NAME?"/>
  </r>
  <r>
    <n v="173"/>
    <m/>
    <x v="0"/>
    <d v="2017-04-11T00:00:00"/>
    <n v="0.1"/>
    <s v="Familia Kablan Sarmiento"/>
    <s v="norisjsb56@hotmail.com"/>
    <s v="Calle Güigüe Nro. 89-80"/>
    <s v="Colaboración Vigilancia, mes de Abril 2017"/>
    <x v="0"/>
    <m/>
    <s v="00173"/>
    <s v="11 de abril de 2017"/>
    <n v="11"/>
    <x v="4"/>
    <s v="0,10"/>
    <e v="#NAME?"/>
  </r>
  <r>
    <n v="174"/>
    <m/>
    <x v="0"/>
    <d v="2017-04-12T00:00:00"/>
    <n v="0.34"/>
    <s v="Familia Il Grande Franceschi"/>
    <s v="arcifran75@hotmail.com"/>
    <s v="Av. &quot;I&quot; Nro. 146-40"/>
    <s v="Cancelación Vigilancia, meses de Mar-Abr 2017"/>
    <x v="0"/>
    <m/>
    <s v="00174"/>
    <s v="12 de abril de 2017"/>
    <n v="12"/>
    <x v="4"/>
    <s v="0,34"/>
    <e v="#NAME?"/>
  </r>
  <r>
    <n v="175"/>
    <m/>
    <x v="0"/>
    <d v="2017-04-06T00:00:00"/>
    <n v="0.05"/>
    <s v="Familia Herrera Guada"/>
    <s v="En Físico"/>
    <s v="Calle Güigüe Nro. 89-90"/>
    <s v="Colaboración Vigilancia, mes de Abril 2017"/>
    <x v="0"/>
    <m/>
    <s v="00175"/>
    <s v="06 de abril de 2017"/>
    <n v="6"/>
    <x v="4"/>
    <s v="0,05"/>
    <e v="#NAME?"/>
  </r>
  <r>
    <n v="176"/>
    <m/>
    <x v="0"/>
    <d v="2017-04-06T00:00:00"/>
    <n v="0.12"/>
    <s v="Familia Rodríguez Aular"/>
    <s v="mvaular@hotmail.com"/>
    <s v="Calle Güigüe Nro. 88-58"/>
    <s v="Colaboración Vigilancia, mes de Febrero 2017"/>
    <x v="0"/>
    <m/>
    <s v="00176"/>
    <s v="06 de abril de 2017"/>
    <n v="6"/>
    <x v="4"/>
    <s v="0,12"/>
    <e v="#NAME?"/>
  </r>
  <r>
    <n v="177"/>
    <m/>
    <x v="0"/>
    <d v="2017-04-16T00:00:00"/>
    <n v="0.17"/>
    <s v="Familia Arcia Polanco"/>
    <s v="misipo29@gmail.com"/>
    <s v="Calle Guacara Nro. 89-20"/>
    <s v="Cancelación Vigilancia, mes de Abril 2017"/>
    <x v="0"/>
    <m/>
    <s v="00177"/>
    <s v="16 de abril de 2017"/>
    <n v="16"/>
    <x v="4"/>
    <s v="0,17"/>
    <e v="#NAME?"/>
  </r>
  <r>
    <n v="178"/>
    <m/>
    <x v="0"/>
    <d v="2017-04-17T00:00:00"/>
    <n v="0.44"/>
    <s v="Familia González Arévalo"/>
    <s v="feryenis@hotmail.com"/>
    <s v="Calle Guacara Nro. 89-86"/>
    <s v="Cancelación Vigilancia, meses de Abril y Mayo 2017 *DEFINITIVO*"/>
    <x v="0"/>
    <m/>
    <s v="00178"/>
    <s v="17 de abril de 2017"/>
    <n v="17"/>
    <x v="4"/>
    <s v="0,44"/>
    <e v="#NAME?"/>
  </r>
  <r>
    <n v="179"/>
    <m/>
    <x v="0"/>
    <d v="2017-04-17T00:00:00"/>
    <n v="0.1"/>
    <s v="Victoria Francischiello"/>
    <s v="victoriafrancischiello@hotmail.com"/>
    <s v="Calle Guacara Nro. 88-25"/>
    <s v="Colaboración Vigilancia, mes de Abril 2017"/>
    <x v="0"/>
    <m/>
    <s v="00179"/>
    <s v="17 de abril de 2017"/>
    <n v="17"/>
    <x v="4"/>
    <s v="0,10"/>
    <e v="#NAME?"/>
  </r>
  <r>
    <n v="180"/>
    <m/>
    <x v="0"/>
    <d v="2017-04-17T00:00:00"/>
    <n v="0.17"/>
    <s v="Familia Fernández Parés"/>
    <s v="vultecca@gmail.com"/>
    <s v="Calle Guacara Nro. 88-75"/>
    <s v="Cancelación Vigilancia, mes de Abril 2017"/>
    <x v="0"/>
    <m/>
    <s v="00180"/>
    <s v="17 de abril de 2017"/>
    <n v="17"/>
    <x v="4"/>
    <s v="0,17"/>
    <e v="#NAME?"/>
  </r>
  <r>
    <n v="181"/>
    <m/>
    <x v="0"/>
    <d v="2017-04-16T00:00:00"/>
    <n v="0.17"/>
    <s v="Beatriz Lara"/>
    <s v="valentina.gutierrez@hotmail.com"/>
    <s v="Calle Guacara Nro. 89-130"/>
    <s v="Cancelación Vigilancia, mes de Abril 2017"/>
    <x v="0"/>
    <m/>
    <s v="00181"/>
    <s v="16 de abril de 2017"/>
    <n v="16"/>
    <x v="4"/>
    <s v="0,17"/>
    <e v="#NAME?"/>
  </r>
  <r>
    <n v="182"/>
    <m/>
    <x v="0"/>
    <d v="2017-04-17T00:00:00"/>
    <n v="0.32"/>
    <s v="Familia Matta Palomino"/>
    <s v="normaapm@hotmail.com"/>
    <s v="Calle Güigüe Nro. 88-90"/>
    <s v="Colaboración Vigilancia, meses de Mar-Abr 2017"/>
    <x v="0"/>
    <m/>
    <s v="00182"/>
    <s v="17 de abril de 2017"/>
    <n v="17"/>
    <x v="4"/>
    <s v="0,32"/>
    <e v="#NAME?"/>
  </r>
  <r>
    <n v="183"/>
    <m/>
    <x v="0"/>
    <d v="2017-04-18T00:00:00"/>
    <n v="0.17"/>
    <s v="Familia Morales Sesar"/>
    <s v="moralesesar@gmail.com"/>
    <s v="Calle Güigüe Nro. 89-120"/>
    <s v="Cancelación Vigilancia, mes de Abril 2017"/>
    <x v="0"/>
    <m/>
    <s v="00183"/>
    <s v="18 de abril de 2017"/>
    <n v="18"/>
    <x v="4"/>
    <s v="0,17"/>
    <e v="#NAME?"/>
  </r>
  <r>
    <n v="184"/>
    <m/>
    <x v="0"/>
    <d v="2017-04-17T00:00:00"/>
    <n v="0.34"/>
    <s v="Familia Piñero Padilla"/>
    <s v="achepaul2005@hotmail.com"/>
    <s v="Calle Güigüe Nro. 89-21"/>
    <s v="Cancelación Vigilancia, meses de Mar-Abr 2017"/>
    <x v="0"/>
    <m/>
    <s v="00184"/>
    <s v="17 de abril de 2017"/>
    <n v="17"/>
    <x v="4"/>
    <s v="0,34"/>
    <e v="#NAME?"/>
  </r>
  <r>
    <n v="185"/>
    <m/>
    <x v="0"/>
    <d v="2017-04-17T00:00:00"/>
    <n v="0.17"/>
    <s v="Familia Franco Gómez"/>
    <s v="eof64@hotmail.com"/>
    <s v="Calle Guacara Nro. 87-07"/>
    <s v="Cancelación Vigilancia, mes de Abril 2017"/>
    <x v="0"/>
    <m/>
    <s v="00185"/>
    <s v="17 de abril de 2017"/>
    <n v="17"/>
    <x v="4"/>
    <s v="0,17"/>
    <e v="#NAME?"/>
  </r>
  <r>
    <n v="186"/>
    <m/>
    <x v="0"/>
    <d v="2017-04-20T00:00:00"/>
    <n v="0.1"/>
    <s v="Héctor Hernández"/>
    <s v="eof64@hotmail.com"/>
    <s v="Calle Guacara Nro. 89-94"/>
    <s v="Colaboración Vigilancia, mes de Abril 2017"/>
    <x v="0"/>
    <m/>
    <s v="00186"/>
    <s v="20 de abril de 2017"/>
    <n v="20"/>
    <x v="4"/>
    <s v="0,10"/>
    <e v="#NAME?"/>
  </r>
  <r>
    <n v="187"/>
    <m/>
    <x v="0"/>
    <d v="2017-04-06T00:00:00"/>
    <n v="7.0000000000000007E-2"/>
    <s v="Chin Chun Ya (Goya)"/>
    <s v="uc2721@gmail.com"/>
    <s v="Calle Guacara Nro. 87-86"/>
    <s v="Colaboración Vigilancia, mes de Abril 2017"/>
    <x v="0"/>
    <m/>
    <s v="00187"/>
    <s v="06 de abril de 2017"/>
    <n v="6"/>
    <x v="4"/>
    <s v="0,07"/>
    <e v="#NAME?"/>
  </r>
  <r>
    <n v="188"/>
    <m/>
    <x v="0"/>
    <d v="2017-04-20T00:00:00"/>
    <n v="0.03"/>
    <s v="Familia Rivero"/>
    <s v="En Físico"/>
    <s v="Calle Güigüe Nro. 88-40"/>
    <s v="Colaboración Vigilancia, mes de Abril 2017"/>
    <x v="0"/>
    <m/>
    <s v="00188"/>
    <s v="20 de abril de 2017"/>
    <n v="20"/>
    <x v="4"/>
    <s v="0,03"/>
    <e v="#NAME?"/>
  </r>
  <r>
    <n v="189"/>
    <m/>
    <x v="0"/>
    <d v="2017-01-15T00:00:00"/>
    <n v="0.12"/>
    <s v="Familia Guerra Miret"/>
    <s v="antoniojguerrag@hotmail.com"/>
    <s v="Calle Güigüe Nro. 89-40"/>
    <s v="Colaboración Vigilancia, mes de Enero 2017"/>
    <x v="0"/>
    <m/>
    <s v="00189"/>
    <s v="15 de enero de 2017"/>
    <n v="15"/>
    <x v="1"/>
    <s v="0,12"/>
    <e v="#NAME?"/>
  </r>
  <r>
    <n v="190"/>
    <m/>
    <x v="0"/>
    <d v="2017-02-16T00:00:00"/>
    <n v="0.12"/>
    <s v="Familia Guerra Miret"/>
    <s v="antoniojguerrag@hotmail.com"/>
    <s v="Calle Güigüe Nro. 89-40"/>
    <s v="Colaboración Vigilancia, mes de Febrero 2017"/>
    <x v="0"/>
    <m/>
    <s v="00190"/>
    <s v="16 de febrero de 2017"/>
    <n v="16"/>
    <x v="2"/>
    <s v="0,12"/>
    <e v="#NAME?"/>
  </r>
  <r>
    <n v="191"/>
    <m/>
    <x v="0"/>
    <d v="2017-03-15T00:00:00"/>
    <n v="0.12"/>
    <s v="Familia Guerra Miret"/>
    <s v="antoniojguerrag@hotmail.com"/>
    <s v="Calle Güigüe Nro. 89-40"/>
    <s v="Colaboración Vigilancia, mes de Marzo 2017"/>
    <x v="0"/>
    <m/>
    <s v="00191"/>
    <s v="15 de marzo de 2017"/>
    <n v="15"/>
    <x v="3"/>
    <s v="0,12"/>
    <e v="#NAME?"/>
  </r>
  <r>
    <n v="192"/>
    <m/>
    <x v="0"/>
    <d v="2017-04-21T00:00:00"/>
    <n v="0.34"/>
    <s v="Sra. Reina Meléndez"/>
    <s v="olgajipe@gmail.com"/>
    <s v="Av. &quot;M&quot; Nro. 145-10"/>
    <s v="Cancelación Vigilancia, meses de Mar-Abr 2017"/>
    <x v="0"/>
    <m/>
    <s v="00192"/>
    <s v="21 de abril de 2017"/>
    <n v="21"/>
    <x v="4"/>
    <s v="0,34"/>
    <e v="#NAME?"/>
  </r>
  <r>
    <n v="193"/>
    <m/>
    <x v="0"/>
    <d v="2017-04-21T00:00:00"/>
    <n v="0.17"/>
    <s v="Familia Díaz González"/>
    <s v="luisrdt57@gmail.com"/>
    <s v="Calle Güigüe Nro. 88-116"/>
    <s v="Cancelación Vigilancia, mes de Abril 2017"/>
    <x v="0"/>
    <m/>
    <s v="00193"/>
    <s v="21 de abril de 2017"/>
    <n v="21"/>
    <x v="4"/>
    <s v="0,17"/>
    <e v="#NAME?"/>
  </r>
  <r>
    <n v="194"/>
    <m/>
    <x v="0"/>
    <d v="2017-04-20T00:00:00"/>
    <n v="0.17"/>
    <s v="Familia Acosta Carpio"/>
    <s v="pablo962@hotmail.com"/>
    <s v="Calle Güigüe Nro. 89-10"/>
    <s v="Cancelación Vigilancia, mes de Marzo 2017"/>
    <x v="0"/>
    <m/>
    <s v="00194"/>
    <s v="20 de abril de 2017"/>
    <n v="20"/>
    <x v="4"/>
    <s v="0,17"/>
    <e v="#NAME?"/>
  </r>
  <r>
    <n v="195"/>
    <m/>
    <x v="0"/>
    <d v="2017-04-22T00:00:00"/>
    <n v="0.17"/>
    <s v="Familia Loponte Arteaga"/>
    <s v="nancyloponte@hotmail.com"/>
    <s v="Calle Güigüe Nro. 88-120"/>
    <s v="Cancelación Vigilancia, mes de Abril 2017"/>
    <x v="0"/>
    <m/>
    <s v="00195"/>
    <s v="22 de abril de 2017"/>
    <n v="22"/>
    <x v="4"/>
    <s v="0,17"/>
    <e v="#NAME?"/>
  </r>
  <r>
    <n v="196"/>
    <m/>
    <x v="0"/>
    <d v="2017-04-22T00:00:00"/>
    <n v="0.34"/>
    <s v="Yuraima Rodríguez"/>
    <s v="En Físico"/>
    <s v="Calle Guacara Nro. 89-70"/>
    <s v="Cancelación Vigilancia, meses de Ene-Feb 2017"/>
    <x v="0"/>
    <m/>
    <s v="00196"/>
    <s v="22 de abril de 2017"/>
    <n v="22"/>
    <x v="4"/>
    <s v="0,34"/>
    <e v="#NAME?"/>
  </r>
  <r>
    <n v="197"/>
    <m/>
    <x v="0"/>
    <d v="2017-04-23T00:00:00"/>
    <n v="0.34"/>
    <s v="Familia Astor Zamora"/>
    <s v="imzastor@gmail.com"/>
    <s v="Calle Güigüe Nro. 88-111"/>
    <s v="Cancelación Vigilancia, meses de Feb-Mar 2017"/>
    <x v="0"/>
    <m/>
    <s v="00197"/>
    <s v="23 de abril de 2017"/>
    <n v="23"/>
    <x v="4"/>
    <s v="0,34"/>
    <e v="#NAME?"/>
  </r>
  <r>
    <n v="198"/>
    <m/>
    <x v="0"/>
    <d v="2017-04-23T00:00:00"/>
    <n v="0.3"/>
    <s v="Gloria Molina"/>
    <s v="glomola2@yahoo.es"/>
    <s v="Calle Güigüe Nro. 89-71"/>
    <s v="Colaboración Vigilancia, meses de Ene-Mar 2017"/>
    <x v="0"/>
    <m/>
    <s v="00198"/>
    <s v="23 de abril de 2017"/>
    <n v="23"/>
    <x v="4"/>
    <s v="0,30"/>
    <e v="#NAME?"/>
  </r>
  <r>
    <n v="199"/>
    <m/>
    <x v="0"/>
    <d v="2017-04-24T00:00:00"/>
    <n v="0.17"/>
    <s v="Familia Castillo Mena"/>
    <s v="emmecas@hotmail.com"/>
    <s v="Calle Güigüe Nro. 88-101"/>
    <s v="Cancelación Vigilancia, mes de Abril 2017"/>
    <x v="0"/>
    <m/>
    <s v="00199"/>
    <s v="24 de abril de 2017"/>
    <n v="24"/>
    <x v="4"/>
    <s v="0,17"/>
    <e v="#NAME?"/>
  </r>
  <r>
    <n v="200"/>
    <m/>
    <x v="0"/>
    <d v="2017-04-24T00:00:00"/>
    <n v="0.54"/>
    <s v="Familia Manrique Riera"/>
    <s v="patriciamanrique@gmail.com"/>
    <s v="Calle Guacara Nro. 89-40"/>
    <s v="Cancelación Saldo Vigilancia, mes de Enero 2017 y Cancelación Vigilancia, meses de Feb-Abr 2017"/>
    <x v="0"/>
    <m/>
    <s v="00200"/>
    <s v="24 de abril de 2017"/>
    <n v="24"/>
    <x v="4"/>
    <s v="0,54"/>
    <e v="#NAME?"/>
  </r>
  <r>
    <n v="201"/>
    <m/>
    <x v="0"/>
    <d v="2017-03-10T00:00:00"/>
    <n v="0.17"/>
    <s v="Familia Sayago Peñaranda"/>
    <s v="alexissayago@gmail.com"/>
    <s v="Calle Güigüe Nro. 89-04"/>
    <s v="Cancelación Vigilancia, mes de Marzo 2017"/>
    <x v="0"/>
    <m/>
    <s v="00201"/>
    <s v="10 de marzo de 2017"/>
    <n v="10"/>
    <x v="3"/>
    <s v="0,17"/>
    <e v="#NAME?"/>
  </r>
  <r>
    <n v="202"/>
    <m/>
    <x v="0"/>
    <d v="2017-04-21T00:00:00"/>
    <n v="0.17"/>
    <s v="Familia Sayago Peñaranda"/>
    <s v="alexissayago@gmail.com"/>
    <s v="Calle Güigüe Nro. 89-04"/>
    <s v="Cancelación Vigilancia, mes de Abril 2017"/>
    <x v="0"/>
    <m/>
    <s v="00202"/>
    <s v="21 de abril de 2017"/>
    <n v="21"/>
    <x v="4"/>
    <s v="0,17"/>
    <e v="#NAME?"/>
  </r>
  <r>
    <n v="203"/>
    <m/>
    <x v="0"/>
    <d v="2017-04-26T00:00:00"/>
    <n v="0.34"/>
    <s v="Ana de González"/>
    <s v="mikelnowak25@gmail.com"/>
    <s v="Av. &quot;O&quot; Nro. 146-17"/>
    <s v="Cancelación Vigilancia, meses de Mar-Abr 2017"/>
    <x v="0"/>
    <m/>
    <s v="00203"/>
    <s v="26 de abril de 2017"/>
    <n v="26"/>
    <x v="4"/>
    <s v="0,34"/>
    <e v="#NAME?"/>
  </r>
  <r>
    <n v="204"/>
    <m/>
    <x v="0"/>
    <d v="2017-04-27T00:00:00"/>
    <n v="0.17"/>
    <s v="Familia Puerta Burguillos"/>
    <s v="namaricakes@gmail.com"/>
    <s v="Calle Guacara Nro. 87-100"/>
    <s v="Cancelación Vigilancia, mes de Abril 2017"/>
    <x v="0"/>
    <m/>
    <s v="00204"/>
    <s v="27 de abril de 2017"/>
    <n v="27"/>
    <x v="4"/>
    <s v="0,17"/>
    <e v="#NAME?"/>
  </r>
  <r>
    <n v="205"/>
    <m/>
    <x v="0"/>
    <d v="2017-04-27T00:00:00"/>
    <n v="0.03"/>
    <s v="Familia Flores Montagne"/>
    <s v="namaricakes@gmail.com"/>
    <s v="Av. &quot;M&quot; Nro. 146-20"/>
    <s v="Colaboración Vigilancia, mes de Abril 2017"/>
    <x v="0"/>
    <m/>
    <s v="00205"/>
    <s v="27 de abril de 2017"/>
    <n v="27"/>
    <x v="4"/>
    <s v="0,03"/>
    <e v="#NAME?"/>
  </r>
  <r>
    <n v="206"/>
    <m/>
    <x v="0"/>
    <d v="2017-04-27T00:00:00"/>
    <n v="0.17"/>
    <s v="Familia Guerra Miret"/>
    <s v="antoniojguerrag@hotmail.com"/>
    <s v="Calle Güigüe Nro. 89-40"/>
    <s v="Colaboración Vigilancia, mes de Abril 2017"/>
    <x v="0"/>
    <m/>
    <s v="00206"/>
    <s v="27 de abril de 2017"/>
    <n v="27"/>
    <x v="4"/>
    <s v="0,17"/>
    <e v="#NAME?"/>
  </r>
  <r>
    <n v="207"/>
    <m/>
    <x v="0"/>
    <d v="2017-03-27T00:00:00"/>
    <n v="0.105"/>
    <s v="Familia Hoyte Rafmari"/>
    <s v="0412-741.3242"/>
    <s v="Av. &quot;I&quot; Nro. 146-30"/>
    <s v="Colaboración Vigilancia, mes de Febrero 2017"/>
    <x v="0"/>
    <m/>
    <s v="00207"/>
    <s v="27 de marzo de 2017"/>
    <n v="27"/>
    <x v="3"/>
    <s v="0,11"/>
    <e v="#NAME?"/>
  </r>
  <r>
    <n v="208"/>
    <m/>
    <x v="0"/>
    <d v="2017-05-02T00:00:00"/>
    <n v="0.1"/>
    <s v="Dra. Lilia Magallanes"/>
    <s v="liliamagallanes2010@gmail.com"/>
    <s v="Calle Güigüe Nro. 88-51"/>
    <s v="Colaboración Vigilancia, mes de Abril 2017"/>
    <x v="0"/>
    <m/>
    <s v="00208"/>
    <s v="02 de mayo de 2017"/>
    <n v="2"/>
    <x v="5"/>
    <s v="0,10"/>
    <e v="#NAME?"/>
  </r>
  <r>
    <n v="209"/>
    <m/>
    <x v="0"/>
    <d v="2017-05-05T00:00:00"/>
    <n v="0.17"/>
    <s v="Familia Gascón Domínguez"/>
    <s v="vrgascon@gmail.com"/>
    <s v="Calle Güigüe Nro. 88-70"/>
    <s v="Cancelación Vigilancia, mes de Abril 2017"/>
    <x v="0"/>
    <m/>
    <s v="00209"/>
    <s v="05 de mayo de 2017"/>
    <n v="5"/>
    <x v="5"/>
    <s v="0,17"/>
    <e v="#NAME?"/>
  </r>
  <r>
    <n v="210"/>
    <m/>
    <x v="0"/>
    <d v="2017-05-05T00:00:00"/>
    <n v="0.17"/>
    <s v="Familia Morales Sesar"/>
    <s v="moralesesar@gmail.com"/>
    <s v="Calle Güigüe Nro. 89-120"/>
    <s v="Anticipo Vigilancia, mes de Mayo 2017"/>
    <x v="0"/>
    <m/>
    <s v="00210"/>
    <s v="05 de mayo de 2017"/>
    <n v="5"/>
    <x v="5"/>
    <s v="0,17"/>
    <e v="#NAME?"/>
  </r>
  <r>
    <n v="211"/>
    <m/>
    <x v="0"/>
    <d v="2017-05-05T00:00:00"/>
    <n v="0.17"/>
    <s v="Familia Barreto Pérez"/>
    <s v="bbetsa19@hotmail.com"/>
    <s v="Av. &quot;M&quot; Nro. 146-15"/>
    <s v="Cancelación Vigilancia, mes de Abril 2017"/>
    <x v="0"/>
    <m/>
    <s v="00211"/>
    <s v="05 de mayo de 2017"/>
    <n v="5"/>
    <x v="5"/>
    <s v="0,17"/>
    <e v="#NAME?"/>
  </r>
  <r>
    <n v="212"/>
    <m/>
    <x v="0"/>
    <d v="2017-05-05T00:00:00"/>
    <n v="0.17"/>
    <s v="Anahiz Seijas"/>
    <s v="anahiz_2@hotmail.es"/>
    <s v="Calle Güigüe Nro. 89-106"/>
    <s v="Cancelación Vigilancia, mes de Abril 2017"/>
    <x v="0"/>
    <m/>
    <s v="00212"/>
    <s v="05 de mayo de 2017"/>
    <n v="5"/>
    <x v="5"/>
    <s v="0,17"/>
    <e v="#NAME?"/>
  </r>
  <r>
    <n v="213"/>
    <m/>
    <x v="0"/>
    <d v="2017-04-28T00:00:00"/>
    <n v="0.05"/>
    <s v="Familia Sirit Palencia"/>
    <s v="irasirit@gmail.com"/>
    <s v="Calle Güigüe Nro. 89-35"/>
    <s v="Colaboración Vigilancia, mes de Abril 2017"/>
    <x v="0"/>
    <m/>
    <s v="00213"/>
    <s v="28 de abril de 2017"/>
    <n v="28"/>
    <x v="4"/>
    <s v="0,05"/>
    <e v="#NAME?"/>
  </r>
  <r>
    <n v="214"/>
    <m/>
    <x v="0"/>
    <d v="2017-05-06T00:00:00"/>
    <n v="0.26"/>
    <s v="Familia Durvelle Serrano"/>
    <s v="sdurvelle@hotmail.com"/>
    <s v="Calle Guacara Nro. 89-60"/>
    <s v="Cancelación Vigilancia, mes de Mayo 2017"/>
    <x v="0"/>
    <m/>
    <s v="00214"/>
    <s v="06 de mayo de 2017"/>
    <n v="6"/>
    <x v="5"/>
    <s v="0,26"/>
    <e v="#NAME?"/>
  </r>
  <r>
    <n v="215"/>
    <m/>
    <x v="0"/>
    <d v="2017-04-05T00:00:00"/>
    <n v="0.17"/>
    <s v="Wu Hung Fung"/>
    <s v="carolinahung24@gmail.com"/>
    <s v="Calle Guacara Nro. 90-81"/>
    <s v="Cancelación Vigilancia, mes de Abril 2017"/>
    <x v="0"/>
    <m/>
    <s v="00215"/>
    <s v="05 de abril de 2017"/>
    <n v="5"/>
    <x v="4"/>
    <s v="0,17"/>
    <e v="#NAME?"/>
  </r>
  <r>
    <n v="216"/>
    <m/>
    <x v="0"/>
    <d v="2017-05-03T00:00:00"/>
    <n v="0.17"/>
    <s v="Wu Hung Fung"/>
    <s v="carolinahung24@gmail.com"/>
    <s v="Calle Guacara Nro. 90-81"/>
    <s v="Anticipo Vigilancia, mes de Mayo 2017"/>
    <x v="0"/>
    <m/>
    <s v="00216"/>
    <s v="03 de mayo de 2017"/>
    <n v="3"/>
    <x v="5"/>
    <s v="0,17"/>
    <e v="#NAME?"/>
  </r>
  <r>
    <n v="217"/>
    <m/>
    <x v="0"/>
    <d v="2017-05-07T00:00:00"/>
    <n v="0.09"/>
    <s v="Wu Hung Fung"/>
    <s v="carolinahung24@gmail.com"/>
    <s v="Calle Guacara Nro. 90-81"/>
    <s v="Cancelación Saldo Vigilancia, mes de Mayo 2017"/>
    <x v="0"/>
    <m/>
    <s v="00217"/>
    <s v="07 de mayo de 2017"/>
    <n v="7"/>
    <x v="5"/>
    <s v="0,09"/>
    <e v="#NAME?"/>
  </r>
  <r>
    <n v="218"/>
    <m/>
    <x v="0"/>
    <d v="2017-05-07T00:00:00"/>
    <n v="0.26"/>
    <s v="Familia Loponte Arteaga"/>
    <s v="nancyloponte@hotmail.com"/>
    <s v="Calle Güigüe Nro. 88-120"/>
    <s v="Cancelación Vigilancia, mes de Mayo 2017"/>
    <x v="0"/>
    <m/>
    <s v="00218"/>
    <s v="07 de mayo de 2017"/>
    <n v="7"/>
    <x v="5"/>
    <s v="0,26"/>
    <e v="#NAME?"/>
  </r>
  <r>
    <n v="219"/>
    <m/>
    <x v="0"/>
    <d v="2017-05-07T00:00:00"/>
    <n v="0.26"/>
    <s v="Familia Colosso Delgado"/>
    <s v="mcolosso@gmail.com"/>
    <s v="Calle Güigüe Nro. 88-44"/>
    <s v="Cancelación Vigilancia, mes de Mayo 2017"/>
    <x v="0"/>
    <m/>
    <s v="00219"/>
    <s v="07 de mayo de 2017"/>
    <n v="7"/>
    <x v="5"/>
    <s v="0,26"/>
    <e v="#NAME?"/>
  </r>
  <r>
    <n v="220"/>
    <m/>
    <x v="0"/>
    <d v="2017-05-07T00:00:00"/>
    <n v="0.16999999999999998"/>
    <s v="Familia Hurtado"/>
    <s v="En Físico"/>
    <s v="Av. &quot;O&quot; Nro. 146-11"/>
    <s v="Cancelación Vigilancia, mes de Abril 2017"/>
    <x v="0"/>
    <m/>
    <s v="00220"/>
    <s v="07 de mayo de 2017"/>
    <n v="7"/>
    <x v="5"/>
    <s v="0,17"/>
    <e v="#NAME?"/>
  </r>
  <r>
    <n v="221"/>
    <m/>
    <x v="0"/>
    <d v="2017-02-15T00:00:00"/>
    <n v="0.2"/>
    <s v="La Casita Encantada"/>
    <s v="En Físico"/>
    <s v="Av. &quot;M&quot; Nro. 146-30"/>
    <s v="Cancelación Vigilancia, mes de Febrero 2017"/>
    <x v="0"/>
    <m/>
    <s v="00221"/>
    <s v="15 de febrero de 2017"/>
    <n v="15"/>
    <x v="2"/>
    <s v="0,20"/>
    <e v="#NAME?"/>
  </r>
  <r>
    <n v="222"/>
    <m/>
    <x v="0"/>
    <d v="2017-01-15T00:00:00"/>
    <n v="0.3"/>
    <s v="Colegio El Trigal"/>
    <s v="En Físico"/>
    <s v="Calle Güigüe Nros. 88-71 y 88-81"/>
    <s v="Cancelación Vigilancia, mes de Enero 2017"/>
    <x v="0"/>
    <m/>
    <s v="00222"/>
    <s v="15 de enero de 2017"/>
    <n v="15"/>
    <x v="1"/>
    <s v="0,30"/>
    <e v="#NAME?"/>
  </r>
  <r>
    <n v="223"/>
    <m/>
    <x v="0"/>
    <d v="2017-05-08T00:00:00"/>
    <n v="0.26"/>
    <s v="Familia Arcia Polanco"/>
    <s v="misipo29@gmail.com"/>
    <s v="Calle Guacara Nro. 89-20"/>
    <s v="Cancelación Vigilancia, mes de Mayo 2017"/>
    <x v="0"/>
    <m/>
    <s v="00223"/>
    <s v="08 de mayo de 2017"/>
    <n v="8"/>
    <x v="5"/>
    <s v="0,26"/>
    <e v="#NAME?"/>
  </r>
  <r>
    <n v="224"/>
    <m/>
    <x v="0"/>
    <d v="2017-05-08T00:00:00"/>
    <n v="0.26"/>
    <s v="Familia Del Negro Palermo"/>
    <s v="vdelnegro@gmail.com"/>
    <s v="Calle Guacara Nro. 88-45"/>
    <s v="Cancelación Vigilancia, mes de Mayo 2017"/>
    <x v="0"/>
    <m/>
    <s v="00224"/>
    <s v="08 de mayo de 2017"/>
    <n v="8"/>
    <x v="5"/>
    <s v="0,26"/>
    <e v="#NAME?"/>
  </r>
  <r>
    <n v="225"/>
    <m/>
    <x v="0"/>
    <d v="2017-03-15T00:00:00"/>
    <n v="0.17"/>
    <s v="Familia Castro Jiménez"/>
    <s v="0426-543.4303"/>
    <s v="Calle Guacara Nro. 90-51"/>
    <s v="Cancelación Vigilancia, mes de Marzo 2017"/>
    <x v="0"/>
    <m/>
    <s v="00225"/>
    <s v="15 de marzo de 2017"/>
    <n v="15"/>
    <x v="3"/>
    <s v="0,17"/>
    <e v="#NAME?"/>
  </r>
  <r>
    <n v="226"/>
    <m/>
    <x v="0"/>
    <d v="2017-05-08T00:00:00"/>
    <n v="0.34"/>
    <s v="Familia Scabuzzo Gómez"/>
    <s v="sfscabuzzo@msn.com"/>
    <s v="Av. &quot;I&quot; Nro. 146-20"/>
    <s v="Cancelación Vigilancia, mes de Abr 2017 y anticipo May 2017"/>
    <x v="0"/>
    <m/>
    <s v="00226"/>
    <s v="08 de mayo de 2017"/>
    <n v="8"/>
    <x v="5"/>
    <s v="0,34"/>
    <e v="#NAME?"/>
  </r>
  <r>
    <n v="227"/>
    <m/>
    <x v="0"/>
    <d v="2017-03-15T00:00:00"/>
    <n v="0.17"/>
    <s v="Familia Delgado Hidalgo"/>
    <s v="ardh@hotmail.com"/>
    <s v="Calle Güigüe Nro. 88-10"/>
    <s v="Cancelación Vigilancia, mes de Febrero 2017"/>
    <x v="0"/>
    <m/>
    <s v="00227"/>
    <s v="15 de marzo de 2017"/>
    <n v="15"/>
    <x v="3"/>
    <s v="0,17"/>
    <e v="#NAME?"/>
  </r>
  <r>
    <n v="228"/>
    <m/>
    <x v="1"/>
    <m/>
    <m/>
    <s v="Familia Delgado Hidalgo"/>
    <s v="ardh@hotmail.com"/>
    <s v="Calle Güigüe Nro. 88-10"/>
    <s v="ANULADO: Cancelación Vigilancia, mes de Marzo 2017"/>
    <x v="3"/>
    <m/>
    <s v="00228"/>
    <s v=""/>
    <n v="0"/>
    <x v="6"/>
    <s v="0,00"/>
    <e v="#NAME?"/>
  </r>
  <r>
    <n v="229"/>
    <m/>
    <x v="0"/>
    <d v="2017-05-05T00:00:00"/>
    <n v="0.17"/>
    <s v="Familia Delgado Hidalgo"/>
    <s v="ardh@hotmail.com"/>
    <s v="Calle Güigüe Nro. 88-10"/>
    <s v="Cancelación Vigilancia, mes de Marzo 2017"/>
    <x v="0"/>
    <m/>
    <s v="00229"/>
    <s v="05 de mayo de 2017"/>
    <n v="5"/>
    <x v="5"/>
    <s v="0,17"/>
    <e v="#NAME?"/>
  </r>
  <r>
    <n v="230"/>
    <m/>
    <x v="0"/>
    <d v="2017-05-08T00:00:00"/>
    <n v="0.17"/>
    <s v="Familia Navarro Assing"/>
    <s v="liliaassing@gmail.com"/>
    <s v="Calle Güigüe Nro. 88-54"/>
    <s v="Cancelación Vigilancia, mes de Abril 2017"/>
    <x v="0"/>
    <m/>
    <s v="00230"/>
    <s v="08 de mayo de 2017"/>
    <n v="8"/>
    <x v="5"/>
    <s v="0,17"/>
    <e v="#NAME?"/>
  </r>
  <r>
    <n v="231"/>
    <m/>
    <x v="0"/>
    <d v="2017-05-09T00:00:00"/>
    <n v="0.26"/>
    <s v="Familia Puerta Burguillos"/>
    <s v="namaricakes@gmail.com"/>
    <s v="Calle Guacara Nro. 87-100"/>
    <s v="Cancelación Vigilancia, mes de Mayo 2017"/>
    <x v="0"/>
    <m/>
    <s v="00231"/>
    <s v="09 de mayo de 2017"/>
    <n v="9"/>
    <x v="5"/>
    <s v="0,26"/>
    <e v="#NAME?"/>
  </r>
  <r>
    <n v="232"/>
    <m/>
    <x v="0"/>
    <d v="2017-05-09T00:00:00"/>
    <n v="0.04"/>
    <s v="Familia Flores Montagne"/>
    <s v="namaricakes@gmail.com"/>
    <s v="Av. &quot;M&quot; Nro. 146-20"/>
    <s v="Colaboración Vigilancia, mes de Mayo 2017"/>
    <x v="0"/>
    <m/>
    <s v="00232"/>
    <s v="09 de mayo de 2017"/>
    <n v="9"/>
    <x v="5"/>
    <s v="0,04"/>
    <e v="#NAME?"/>
  </r>
  <r>
    <n v="233"/>
    <m/>
    <x v="0"/>
    <d v="2017-04-30T00:00:00"/>
    <n v="0.17"/>
    <s v="Familia Cegarra Villamizar"/>
    <s v="jesus.villamizar.ra@gmail.com"/>
    <s v="Calle Guacara Nro. 88-35"/>
    <s v="Cancelación Vigilancia, mes de Abril 2017, contra facturas"/>
    <x v="0"/>
    <m/>
    <s v="00233"/>
    <s v="30 de abril de 2017"/>
    <n v="30"/>
    <x v="4"/>
    <s v="0,17"/>
    <e v="#NAME?"/>
  </r>
  <r>
    <n v="234"/>
    <m/>
    <x v="0"/>
    <d v="2017-05-09T00:00:00"/>
    <n v="0.43000000000000005"/>
    <s v="Familia López Hermoso"/>
    <s v="lopez.humberto14@yahoo.com.ve"/>
    <s v="Calle Güigüe Nro. 89-79"/>
    <s v="Cancelación Vigilancia, mes de Mayo 2017 y Bs. 17.000 adelanto Junio 2017"/>
    <x v="0"/>
    <m/>
    <s v="00234"/>
    <s v="09 de mayo de 2017"/>
    <n v="9"/>
    <x v="5"/>
    <s v="0,43"/>
    <e v="#NAME?"/>
  </r>
  <r>
    <n v="235"/>
    <m/>
    <x v="0"/>
    <d v="2017-05-09T00:00:00"/>
    <n v="0.26"/>
    <s v="Familia Castillo Mena"/>
    <s v="emmecas@hotmail.com"/>
    <s v="Calle Güigüe Nro. 88-101"/>
    <s v="Cancelación Vigilancia, mes de Mayo 2017"/>
    <x v="0"/>
    <m/>
    <s v="00235"/>
    <s v="09 de mayo de 2017"/>
    <n v="9"/>
    <x v="5"/>
    <s v="0,26"/>
    <e v="#NAME?"/>
  </r>
  <r>
    <n v="236"/>
    <m/>
    <x v="0"/>
    <d v="2017-04-06T00:00:00"/>
    <n v="0.14000000000000001"/>
    <s v="Familia Zavarce Barón"/>
    <s v="0414-241.8055"/>
    <s v="Calle Guacara Nro. 88-91"/>
    <s v="Colaboración Vigilancia, mes de Marzo 2017"/>
    <x v="0"/>
    <m/>
    <s v="00236"/>
    <s v="06 de abril de 2017"/>
    <n v="6"/>
    <x v="4"/>
    <s v="0,14"/>
    <e v="#NAME?"/>
  </r>
  <r>
    <n v="237"/>
    <m/>
    <x v="0"/>
    <d v="2017-05-09T00:00:00"/>
    <n v="0.105"/>
    <s v="Familia Hoyte Rafmari"/>
    <s v="0412-741.3242"/>
    <s v="Av. &quot;I&quot; Nro. 146-30"/>
    <s v="Colaboración Vigilancia, mes de Marzo 2017"/>
    <x v="0"/>
    <m/>
    <s v="00237"/>
    <s v="09 de mayo de 2017"/>
    <n v="9"/>
    <x v="5"/>
    <s v="0,11"/>
    <e v="#NAME?"/>
  </r>
  <r>
    <n v="238"/>
    <m/>
    <x v="0"/>
    <d v="2017-05-09T00:00:00"/>
    <n v="0.24"/>
    <s v="Familia Rodríguez Aular"/>
    <s v="mvaular@hotmail.com"/>
    <s v="Calle Güigüe Nro. 88-58"/>
    <s v="Colaboración Vigilancia, meses de Mar-Abr 2017"/>
    <x v="0"/>
    <m/>
    <s v="00238"/>
    <s v="09 de mayo de 2017"/>
    <n v="9"/>
    <x v="5"/>
    <s v="0,24"/>
    <e v="#NAME?"/>
  </r>
  <r>
    <n v="239"/>
    <m/>
    <x v="0"/>
    <d v="2017-05-09T00:00:00"/>
    <n v="0.60000000000000009"/>
    <s v="Familia Ochoa Mendoza"/>
    <s v="marisoljudithm@hotmail.com"/>
    <s v="Calle Güigüe Nro. 89-105"/>
    <s v="Cancelación Vigilancia, meses de Marzo, Abril y Mayo 2017"/>
    <x v="0"/>
    <m/>
    <s v="00239"/>
    <s v="09 de mayo de 2017"/>
    <n v="9"/>
    <x v="5"/>
    <s v="0,60"/>
    <e v="#NAME?"/>
  </r>
  <r>
    <n v="240"/>
    <m/>
    <x v="0"/>
    <d v="2017-05-10T00:00:00"/>
    <n v="0.26"/>
    <s v="Beatriz Lara"/>
    <s v="valentina.gutierrez@hotmail.com"/>
    <s v="Calle Guacara Nro. 89-130"/>
    <s v="Cancelación Vigilancia, mes de Mayo 2017"/>
    <x v="0"/>
    <m/>
    <s v="00240"/>
    <s v="10 de mayo de 2017"/>
    <n v="10"/>
    <x v="5"/>
    <s v="0,26"/>
    <e v="#NAME?"/>
  </r>
  <r>
    <n v="241"/>
    <m/>
    <x v="0"/>
    <d v="2017-05-10T00:00:00"/>
    <n v="0.17"/>
    <s v="Familia Zavarce Barón"/>
    <s v="0414-241.8055"/>
    <s v="Calle Guacara Nro. 88-91"/>
    <s v="Cancelación Vigilancia, mes de Abril 2017"/>
    <x v="0"/>
    <m/>
    <s v="00241"/>
    <s v="10 de mayo de 2017"/>
    <n v="10"/>
    <x v="5"/>
    <s v="0,17"/>
    <e v="#NAME?"/>
  </r>
  <r>
    <n v="242"/>
    <m/>
    <x v="0"/>
    <d v="2017-05-10T00:00:00"/>
    <n v="0.1"/>
    <s v="Familia Rodríguez Landaeta"/>
    <s v="mrl58@hotmail.com"/>
    <s v="Calle Güigüe Nro. 89-29"/>
    <s v="Colaboración Vigilancia, mes de Mayo 2017"/>
    <x v="0"/>
    <m/>
    <s v="00242"/>
    <s v="10 de mayo de 2017"/>
    <n v="10"/>
    <x v="5"/>
    <s v="0,10"/>
    <e v="#NAME?"/>
  </r>
  <r>
    <n v="243"/>
    <m/>
    <x v="0"/>
    <d v="2017-05-11T00:00:00"/>
    <n v="0.26"/>
    <s v="Familia González Arévalo"/>
    <s v="feryenis@hotmail.com"/>
    <s v="Calle Guacara Nro. 89-86"/>
    <s v="Cancelación Vigilancia, mes de Junio 2017 *DEFINITIVO*"/>
    <x v="0"/>
    <m/>
    <s v="00243"/>
    <s v="11 de mayo de 2017"/>
    <n v="11"/>
    <x v="5"/>
    <s v="0,26"/>
    <e v="#NAME?"/>
  </r>
  <r>
    <n v="244"/>
    <m/>
    <x v="0"/>
    <d v="2017-05-11T00:00:00"/>
    <n v="0.15"/>
    <s v="Familia Kablan Sarmiento"/>
    <s v="norisjsb56@hotmail.com"/>
    <s v="Calle Güigüe Nro. 89-80"/>
    <s v="Colaboración Vigilancia, mes de Mayo 2017"/>
    <x v="0"/>
    <m/>
    <s v="00244"/>
    <s v="11 de mayo de 2017"/>
    <n v="11"/>
    <x v="5"/>
    <s v="0,15"/>
    <e v="#NAME?"/>
  </r>
  <r>
    <n v="245"/>
    <m/>
    <x v="0"/>
    <d v="2017-05-11T00:00:00"/>
    <n v="0.1"/>
    <s v="Zoraida Khair"/>
    <s v="zorakhair@hotmail.com"/>
    <s v="Calle Güigüe Nro. 88-80"/>
    <s v="Colaboración Vigilancia, mes de Mayo 2017"/>
    <x v="0"/>
    <m/>
    <s v="00245"/>
    <s v="11 de mayo de 2017"/>
    <n v="11"/>
    <x v="5"/>
    <s v="0,10"/>
    <e v="#NAME?"/>
  </r>
  <r>
    <n v="246"/>
    <m/>
    <x v="0"/>
    <d v="2017-05-13T00:00:00"/>
    <n v="7.0000000000000007E-2"/>
    <s v="Chin Chun Ya (Goya)"/>
    <s v="uc2721@gmail.com"/>
    <s v="Calle Guacara Nro. 87-86"/>
    <s v="Colaboración Vigilancia, mes de Mayo 2017"/>
    <x v="0"/>
    <m/>
    <s v="00246"/>
    <s v="13 de mayo de 2017"/>
    <n v="13"/>
    <x v="5"/>
    <s v="0,07"/>
    <e v="#NAME?"/>
  </r>
  <r>
    <n v="247"/>
    <m/>
    <x v="0"/>
    <d v="2017-05-15T00:00:00"/>
    <n v="0.26"/>
    <s v="Familia Fermín Rivas"/>
    <s v="angelferminb@gmail.com"/>
    <s v="Calle Güigüe Nro. 89-55"/>
    <s v="Cancelación Vigilancia, mes de Mayo 2017"/>
    <x v="0"/>
    <m/>
    <s v="00247"/>
    <s v="15 de mayo de 2017"/>
    <n v="15"/>
    <x v="5"/>
    <s v="0,26"/>
    <e v="#NAME?"/>
  </r>
  <r>
    <n v="248"/>
    <m/>
    <x v="0"/>
    <d v="2017-05-15T00:00:00"/>
    <n v="0.17"/>
    <s v="Familia Nava Gordon"/>
    <s v="maru_19_66@hotmail.com"/>
    <s v="Calle Guacara Nro. 89-78"/>
    <s v="Cancelación Vigilancia, mes de Abril 2017"/>
    <x v="0"/>
    <m/>
    <s v="00248"/>
    <s v="15 de mayo de 2017"/>
    <n v="15"/>
    <x v="5"/>
    <s v="0,17"/>
    <e v="#NAME?"/>
  </r>
  <r>
    <n v="249"/>
    <m/>
    <x v="0"/>
    <d v="2017-05-15T00:00:00"/>
    <n v="0.2"/>
    <s v="Familia Méndez Parra"/>
    <s v="briceidamp@hotmail.com"/>
    <s v="Calle Guacara Nro. 88-19"/>
    <s v="Colaboración Vigilancia, mes de Mayo 2017"/>
    <x v="0"/>
    <m/>
    <s v="00249"/>
    <s v="15 de mayo de 2017"/>
    <n v="15"/>
    <x v="5"/>
    <s v="0,20"/>
    <e v="#NAME?"/>
  </r>
  <r>
    <n v="250"/>
    <m/>
    <x v="0"/>
    <d v="2017-05-15T00:00:00"/>
    <n v="0.26"/>
    <s v="Familia Díaz González"/>
    <s v="luisrdt57@gmail.com"/>
    <s v="Calle Güigüe Nro. 88-116"/>
    <s v="Cancelación Vigilancia, mes de Mayo 2017"/>
    <x v="0"/>
    <m/>
    <s v="00250"/>
    <s v="15 de mayo de 2017"/>
    <n v="15"/>
    <x v="5"/>
    <s v="0,26"/>
    <e v="#NAME?"/>
  </r>
  <r>
    <n v="251"/>
    <m/>
    <x v="0"/>
    <d v="2017-05-15T00:00:00"/>
    <n v="0.26"/>
    <s v="Familia Sayago Peñaranda"/>
    <s v="alexissayago@gmail.com"/>
    <s v="Calle Güigüe Nro. 89-04"/>
    <s v="Cancelación Vigilancia, mes de Mayo 2017"/>
    <x v="0"/>
    <m/>
    <s v="00251"/>
    <s v="15 de mayo de 2017"/>
    <n v="15"/>
    <x v="5"/>
    <s v="0,26"/>
    <e v="#NAME?"/>
  </r>
  <r>
    <n v="252"/>
    <m/>
    <x v="0"/>
    <d v="2017-05-09T00:00:00"/>
    <n v="0.05"/>
    <s v="Familia Herrera Guada"/>
    <s v="En Físico"/>
    <s v="Calle Güigüe Nro. 89-90"/>
    <s v="Colaboración Vigilancia, mes de Mayo 2017"/>
    <x v="0"/>
    <m/>
    <s v="00252"/>
    <s v="09 de mayo de 2017"/>
    <n v="9"/>
    <x v="5"/>
    <s v="0,05"/>
    <e v="#NAME?"/>
  </r>
  <r>
    <n v="253"/>
    <m/>
    <x v="0"/>
    <d v="2017-05-16T00:00:00"/>
    <n v="0.17"/>
    <s v="Familia Franco Gómez"/>
    <s v="eof64@hotmail.com"/>
    <s v="Calle Guacara Nro. 87-07"/>
    <s v="Colaboración Vigilancia, mes de Mayo 2017"/>
    <x v="0"/>
    <m/>
    <s v="00253"/>
    <s v="16 de mayo de 2017"/>
    <n v="16"/>
    <x v="5"/>
    <s v="0,17"/>
    <e v="#NAME?"/>
  </r>
  <r>
    <n v="254"/>
    <m/>
    <x v="0"/>
    <d v="2017-05-17T00:00:00"/>
    <n v="0.26"/>
    <s v="Familia Ferrer Bahri"/>
    <s v="bahrimariela@hotmail.com"/>
    <s v="Calle Güigüe Nro. 89-83"/>
    <s v="Cancelación Vigilancia, mes de Mayo 2017"/>
    <x v="0"/>
    <m/>
    <s v="00254"/>
    <s v="17 de mayo de 2017"/>
    <n v="17"/>
    <x v="5"/>
    <s v="0,26"/>
    <e v="#NAME?"/>
  </r>
  <r>
    <n v="255"/>
    <m/>
    <x v="0"/>
    <d v="2017-03-15T00:00:00"/>
    <n v="0.2"/>
    <s v="La Casita Encantada"/>
    <s v="En Físico"/>
    <s v="Av. &quot;M&quot; Nro. 146-30"/>
    <s v="Cancelación Vigilancia, mes de Marzo 2017"/>
    <x v="0"/>
    <m/>
    <s v="00255"/>
    <s v="15 de marzo de 2017"/>
    <n v="15"/>
    <x v="3"/>
    <s v="0,20"/>
    <e v="#NAME?"/>
  </r>
  <r>
    <n v="256"/>
    <m/>
    <x v="0"/>
    <d v="2017-04-15T00:00:00"/>
    <n v="0.2"/>
    <s v="La Casita Encantada"/>
    <s v="En Físico"/>
    <s v="Av. &quot;M&quot; Nro. 146-30"/>
    <s v="Cancelación Vigilancia, mes de Abril 2017"/>
    <x v="0"/>
    <m/>
    <s v="00256"/>
    <s v="15 de abril de 2017"/>
    <n v="15"/>
    <x v="4"/>
    <s v="0,20"/>
    <e v="#NAME?"/>
  </r>
  <r>
    <n v="257"/>
    <m/>
    <x v="0"/>
    <d v="2017-02-15T00:00:00"/>
    <n v="0.3"/>
    <s v="Colegio El Trigal"/>
    <s v="En Físico"/>
    <s v="Calle Güigüe Nros. 88-71 y 88-81"/>
    <s v="Cancelación Vigilancia, mes de Febrero 2017"/>
    <x v="0"/>
    <m/>
    <s v="00257"/>
    <s v="15 de febrero de 2017"/>
    <n v="15"/>
    <x v="2"/>
    <s v="0,30"/>
    <e v="#NAME?"/>
  </r>
  <r>
    <n v="258"/>
    <m/>
    <x v="0"/>
    <d v="2017-03-15T00:00:00"/>
    <n v="0.3"/>
    <s v="Colegio El Trigal"/>
    <s v="En Físico"/>
    <s v="Calle Güigüe Nros. 88-71 y 88-81"/>
    <s v="Cancelación Vigilancia, mes de Marzo 2017"/>
    <x v="0"/>
    <m/>
    <s v="00258"/>
    <s v="15 de marzo de 2017"/>
    <n v="15"/>
    <x v="3"/>
    <s v="0,30"/>
    <e v="#NAME?"/>
  </r>
  <r>
    <n v="259"/>
    <m/>
    <x v="0"/>
    <d v="2017-04-15T00:00:00"/>
    <n v="0.3"/>
    <s v="Colegio El Trigal"/>
    <s v="En Físico"/>
    <s v="Calle Güigüe Nros. 88-71 y 88-81"/>
    <s v="Cancelación Vigilancia, mes de Abril 2017"/>
    <x v="0"/>
    <m/>
    <s v="00259"/>
    <s v="15 de abril de 2017"/>
    <n v="15"/>
    <x v="4"/>
    <s v="0,30"/>
    <e v="#NAME?"/>
  </r>
  <r>
    <n v="260"/>
    <m/>
    <x v="0"/>
    <d v="2017-05-18T00:00:00"/>
    <n v="0.2"/>
    <s v="Victoria Francischiello"/>
    <s v="victoriafrancischiello@hotmail.com"/>
    <s v="Calle Guacara Nro. 88-25"/>
    <s v="Colaboración Vigilancia, mes de Mayo 2017"/>
    <x v="0"/>
    <m/>
    <s v="00260"/>
    <s v="18 de mayo de 2017"/>
    <n v="18"/>
    <x v="5"/>
    <s v="0,20"/>
    <e v="#NAME?"/>
  </r>
  <r>
    <n v="261"/>
    <m/>
    <x v="0"/>
    <d v="2017-05-22T00:00:00"/>
    <n v="0.3"/>
    <s v="La Casita Encantada"/>
    <s v="En Físico"/>
    <s v="Av. &quot;M&quot; Nro. 146-30"/>
    <s v="Cancelación Vigilancia, mes de Mayo 2017"/>
    <x v="0"/>
    <m/>
    <s v="00261"/>
    <s v="22 de mayo de 2017"/>
    <n v="22"/>
    <x v="5"/>
    <s v="0,30"/>
    <e v="#NAME?"/>
  </r>
  <r>
    <n v="262"/>
    <m/>
    <x v="0"/>
    <d v="2017-05-22T00:00:00"/>
    <n v="0.34"/>
    <s v="Familia Zavarce Pérez"/>
    <s v="En Físico"/>
    <s v="Calle Guacara Nro. 90-35"/>
    <s v="Cancelación Vigilancia, mes de Abril 2017 y anticipo Mayo 2017 (Bs. 17.000)"/>
    <x v="0"/>
    <m/>
    <s v="00262"/>
    <s v="22 de mayo de 2017"/>
    <n v="22"/>
    <x v="5"/>
    <s v="0,34"/>
    <e v="#NAME?"/>
  </r>
  <r>
    <n v="263"/>
    <m/>
    <x v="0"/>
    <d v="2017-05-23T00:00:00"/>
    <n v="0.4"/>
    <s v="Colegio El Trigal"/>
    <s v="En Físico"/>
    <s v="Calle Güigüe Nros. 88-71 y 88-81"/>
    <s v="Cancelación Vigilancia, mes de Mayo 2017"/>
    <x v="0"/>
    <m/>
    <s v="00263"/>
    <s v="23 de mayo de 2017"/>
    <n v="23"/>
    <x v="5"/>
    <s v="0,40"/>
    <e v="#NAME?"/>
  </r>
  <r>
    <n v="264"/>
    <m/>
    <x v="0"/>
    <d v="2017-05-24T00:00:00"/>
    <n v="0.26"/>
    <s v="Familia Matta Palomino"/>
    <s v="En Físico"/>
    <s v="Calle Güigüe Nro. 88-90"/>
    <s v="Cancelación Vigilancia, mes de Mayo 2017"/>
    <x v="0"/>
    <m/>
    <s v="00264"/>
    <s v="24 de mayo de 2017"/>
    <n v="24"/>
    <x v="5"/>
    <s v="0,26"/>
    <e v="#NAME?"/>
  </r>
  <r>
    <n v="265"/>
    <m/>
    <x v="0"/>
    <d v="2017-05-26T00:00:00"/>
    <n v="0.22"/>
    <s v="Familia Navarro Assing"/>
    <s v="liliaassing@gmail.com"/>
    <s v="Calle Güigüe Nro. 88-54"/>
    <s v="Anticipo Vigilancia, mes de Mayo 2017"/>
    <x v="0"/>
    <m/>
    <s v="00265"/>
    <s v="26 de mayo de 2017"/>
    <n v="26"/>
    <x v="5"/>
    <s v="0,22"/>
    <e v="#NAME?"/>
  </r>
  <r>
    <n v="266"/>
    <m/>
    <x v="0"/>
    <d v="2017-05-24T00:00:00"/>
    <n v="0.03"/>
    <s v="Ma. de Jesus Alonso"/>
    <s v="marjoriealonsoh@hotmail.com"/>
    <s v="Calle Güigüe Nro. 88-30"/>
    <s v="Colaboración Vigilancia, mes de Abril 2017"/>
    <x v="0"/>
    <m/>
    <s v="00266"/>
    <s v="24 de mayo de 2017"/>
    <n v="24"/>
    <x v="5"/>
    <s v="0,03"/>
    <e v="#NAME?"/>
  </r>
  <r>
    <n v="267"/>
    <m/>
    <x v="0"/>
    <d v="2017-05-26T00:00:00"/>
    <n v="0.05"/>
    <s v="Familia Rivero"/>
    <s v="En Físico"/>
    <s v="Calle Güigüe Nro. 88-40"/>
    <s v="Colaboración Vigilancia, mes de Mayo 2017"/>
    <x v="0"/>
    <m/>
    <s v="00267"/>
    <s v="26 de mayo de 2017"/>
    <n v="26"/>
    <x v="5"/>
    <s v="0,05"/>
    <e v="#NAME?"/>
  </r>
  <r>
    <n v="268"/>
    <m/>
    <x v="0"/>
    <d v="2017-05-27T00:00:00"/>
    <n v="0.26"/>
    <s v="Familia Castillo Rodríguez"/>
    <s v="vesperanzacastillor@gmail.com"/>
    <s v="Calle Güigüe Nro. 88-91"/>
    <s v="Cancelación Vigilancia, mes de Mayo 2017"/>
    <x v="0"/>
    <m/>
    <s v="00268"/>
    <s v="27 de mayo de 2017"/>
    <n v="27"/>
    <x v="5"/>
    <s v="0,26"/>
    <e v="#NAME?"/>
  </r>
  <r>
    <n v="269"/>
    <m/>
    <x v="0"/>
    <d v="2017-05-27T00:00:00"/>
    <n v="0.15"/>
    <s v="Familia Chávez Hernández"/>
    <s v="mercedesch23@hotmail.com"/>
    <s v="Calle Güigüe Nro. 88-20"/>
    <s v="Colaboración Vigilancia, meses de Noviembre 2016 a Marzo 2017"/>
    <x v="0"/>
    <m/>
    <s v="00269"/>
    <s v="27 de mayo de 2017"/>
    <n v="27"/>
    <x v="5"/>
    <s v="0,15"/>
    <e v="#NAME?"/>
  </r>
  <r>
    <n v="270"/>
    <m/>
    <x v="0"/>
    <d v="2017-05-28T00:00:00"/>
    <n v="0.09"/>
    <s v="Familia Zavarce Pérez"/>
    <s v="En Físico"/>
    <s v="Calle Guacara Nro. 90-35"/>
    <s v="Cancelación Saldo Vigilancia, mes de Mayo 2017"/>
    <x v="0"/>
    <m/>
    <s v="00270"/>
    <s v="28 de mayo de 2017"/>
    <n v="28"/>
    <x v="5"/>
    <s v="0,09"/>
    <e v="#NAME?"/>
  </r>
  <r>
    <n v="271"/>
    <m/>
    <x v="0"/>
    <d v="2017-05-28T00:00:00"/>
    <n v="0.26"/>
    <s v="Anahiz Seijas"/>
    <s v="anahiz_2@hotmail.es"/>
    <s v="Calle Güigüe Nro. 89-106"/>
    <s v="Cancelación Vigilancia, mes de Mayo 2017"/>
    <x v="0"/>
    <m/>
    <s v="00271"/>
    <s v="28 de mayo de 2017"/>
    <n v="28"/>
    <x v="5"/>
    <s v="0,26"/>
    <e v="#NAME?"/>
  </r>
  <r>
    <n v="272"/>
    <m/>
    <x v="0"/>
    <d v="2017-05-29T00:00:00"/>
    <n v="0.69000000000000006"/>
    <s v="Familia Narváez Caldera"/>
    <s v="jeannette_nc@yahoo.com"/>
    <s v="Calle Güigüe Nro. 87-A-11"/>
    <s v="Cancelación Vigilancia, meses de Abril, Mayo y Junio 2017"/>
    <x v="0"/>
    <m/>
    <s v="00272"/>
    <s v="29 de mayo de 2017"/>
    <n v="29"/>
    <x v="5"/>
    <s v="0,69"/>
    <e v="#NAME?"/>
  </r>
  <r>
    <n v="273"/>
    <m/>
    <x v="0"/>
    <d v="2017-05-29T00:00:00"/>
    <n v="0.26"/>
    <s v="Familia Astor Zamora"/>
    <s v="imzastor@gmail.com"/>
    <s v="Calle Güigüe Nro. 88-111"/>
    <s v="Cancelación Vigilancia, mes de Mayo 2017"/>
    <x v="0"/>
    <m/>
    <s v="00273"/>
    <s v="29 de mayo de 2017"/>
    <n v="29"/>
    <x v="5"/>
    <s v="0,26"/>
    <e v="#NAME?"/>
  </r>
  <r>
    <n v="274"/>
    <m/>
    <x v="0"/>
    <d v="2017-05-29T00:00:00"/>
    <n v="0.27"/>
    <s v="Amarilis Guerra"/>
    <s v="amarilisguerra1@yahoo.com"/>
    <s v="Calle Güigüe Nro. 89-96"/>
    <s v="Cancelación Vigilancia, mes de Mayo 2017"/>
    <x v="0"/>
    <m/>
    <s v="00274"/>
    <s v="29 de mayo de 2017"/>
    <n v="29"/>
    <x v="5"/>
    <s v="0,27"/>
    <e v="#NAME?"/>
  </r>
  <r>
    <n v="275"/>
    <m/>
    <x v="0"/>
    <d v="2017-06-01T00:00:00"/>
    <n v="0.2"/>
    <s v="Dra. Lilia Magallanes"/>
    <s v="liliamagallanes2010@gmail.com"/>
    <s v="Calle Güigüe Nro. 88-51"/>
    <s v="Colaboración Vigilancia, mes de Mayo 2017"/>
    <x v="0"/>
    <m/>
    <s v="00275"/>
    <s v="01 de junio de 2017"/>
    <n v="1"/>
    <x v="7"/>
    <s v="0,20"/>
    <e v="#NAME?"/>
  </r>
  <r>
    <n v="276"/>
    <m/>
    <x v="0"/>
    <d v="2017-06-01T00:00:00"/>
    <n v="0.04"/>
    <s v="Familia Navarro Assing"/>
    <s v="liliaassing@gmail.com"/>
    <s v="Calle Güigüe Nro. 88-54"/>
    <s v="Cancelación Saldo Vigilancia, mes de Mayo 2017"/>
    <x v="0"/>
    <m/>
    <s v="00276"/>
    <s v="01 de junio de 2017"/>
    <n v="1"/>
    <x v="7"/>
    <s v="0,04"/>
    <e v="#NAME?"/>
  </r>
  <r>
    <n v="277"/>
    <m/>
    <x v="0"/>
    <d v="2017-06-01T00:00:00"/>
    <n v="1.2000000000000002"/>
    <s v="Ely Saúl Rivero Gómez"/>
    <s v="hhs.admon@gmail.com"/>
    <s v="Av. &quot;Ñ&quot; Nro. 145-25"/>
    <s v="Cancelación Vigilancia, meses de Ene-Jun 2017 (saldo a favor: Bs. 156.000)"/>
    <x v="0"/>
    <m/>
    <s v="00277"/>
    <s v="01 de junio de 2017"/>
    <n v="1"/>
    <x v="7"/>
    <s v="1,20"/>
    <e v="#NAME?"/>
  </r>
  <r>
    <n v="278"/>
    <m/>
    <x v="0"/>
    <d v="2017-06-01T00:00:00"/>
    <n v="0.26"/>
    <s v="Familia Del Negro Palermo"/>
    <s v="vdelnegro@gmail.com"/>
    <s v="Calle Guacara Nro. 88-45"/>
    <s v="Cancelación Vigilancia, mes de Junio 2017 (saldo a favor: Bs. 165.000)"/>
    <x v="0"/>
    <m/>
    <s v="00278"/>
    <s v="01 de junio de 2017"/>
    <n v="1"/>
    <x v="7"/>
    <s v="0,26"/>
    <e v="#NAME?"/>
  </r>
  <r>
    <n v="279"/>
    <m/>
    <x v="0"/>
    <d v="2017-06-04T00:00:00"/>
    <n v="0.26"/>
    <s v="Familia Montilla García"/>
    <s v="dairy252525@hotmail.com"/>
    <s v="Calle Güigüe Nro. 89-90"/>
    <s v="Cancelación Vigilancia, mes de Junio 2017"/>
    <x v="0"/>
    <m/>
    <s v="00279"/>
    <s v="04 de junio de 2017"/>
    <n v="4"/>
    <x v="7"/>
    <s v="0,26"/>
    <e v="#NAME?"/>
  </r>
  <r>
    <n v="280"/>
    <m/>
    <x v="0"/>
    <d v="2017-06-04T00:00:00"/>
    <n v="0.17"/>
    <s v="Familia Jiménez Navarro"/>
    <s v="joyasonline2012@gmail.com"/>
    <s v="Calle Güigüe Nro. 88-50"/>
    <s v="Cancelación Vigilancia, mes de Abril 2017"/>
    <x v="0"/>
    <m/>
    <s v="00280"/>
    <s v="04 de junio de 2017"/>
    <n v="4"/>
    <x v="7"/>
    <s v="0,17"/>
    <e v="#NAME?"/>
  </r>
  <r>
    <n v="281"/>
    <m/>
    <x v="0"/>
    <d v="2017-06-05T00:00:00"/>
    <n v="0.1"/>
    <s v="Chin Chun Ya (Goya)"/>
    <s v="uc2721@gmail.com"/>
    <s v="Calle Guacara Nro. 87-86"/>
    <s v="Colaboración Vigilancia, mes de Junio 2017"/>
    <x v="0"/>
    <m/>
    <s v="00281"/>
    <s v="05 de junio de 2017"/>
    <n v="5"/>
    <x v="7"/>
    <s v="0,10"/>
    <e v="#NAME?"/>
  </r>
  <r>
    <n v="282"/>
    <m/>
    <x v="0"/>
    <d v="2017-06-05T00:00:00"/>
    <n v="0.26"/>
    <s v="Familia Fernández Parés"/>
    <s v="vultecca@gmail.com"/>
    <s v="Calle Guacara Nro. 88-75"/>
    <s v="Cancelación Vigilancia, mes de Mayo 2017"/>
    <x v="0"/>
    <m/>
    <s v="00282"/>
    <s v="05 de junio de 2017"/>
    <n v="5"/>
    <x v="7"/>
    <s v="0,26"/>
    <e v="#NAME?"/>
  </r>
  <r>
    <n v="283"/>
    <m/>
    <x v="0"/>
    <d v="2017-06-06T00:00:00"/>
    <n v="0.15"/>
    <s v="Familia Kablan Sarmiento"/>
    <s v="norisjsb56@hotmail.com"/>
    <s v="Calle Güigüe Nro. 89-80"/>
    <s v="Colaboración Vigilancia, mes de Junio 2017"/>
    <x v="0"/>
    <m/>
    <s v="00283"/>
    <s v="06 de junio de 2017"/>
    <n v="6"/>
    <x v="7"/>
    <s v="0,15"/>
    <e v="#NAME?"/>
  </r>
  <r>
    <n v="284"/>
    <m/>
    <x v="0"/>
    <d v="2017-06-06T00:00:00"/>
    <n v="0.26"/>
    <s v="Familia Kattar González"/>
    <s v="jagiak123@yahoo.es"/>
    <s v="Calle Güigüe Nro. 89-95"/>
    <s v="Cancelación Vigilancia, mes de Mayo 2017"/>
    <x v="0"/>
    <m/>
    <s v="00284"/>
    <s v="06 de junio de 2017"/>
    <n v="6"/>
    <x v="7"/>
    <s v="0,26"/>
    <e v="#NAME?"/>
  </r>
  <r>
    <n v="285"/>
    <m/>
    <x v="0"/>
    <d v="2017-06-07T00:00:00"/>
    <n v="0.35"/>
    <s v="Familia Morales Sesar"/>
    <s v="moralesesar@gmail.com"/>
    <s v="Calle Güigüe Nro. 89-120"/>
    <s v="Cancelación Vigilancia, saldo mes de Mayo 2017 y Junio 2017"/>
    <x v="0"/>
    <m/>
    <s v="00285"/>
    <s v="07 de junio de 2017"/>
    <n v="7"/>
    <x v="7"/>
    <s v="0,35"/>
    <e v="#NAME?"/>
  </r>
  <r>
    <n v="286"/>
    <m/>
    <x v="0"/>
    <d v="2017-06-07T00:00:00"/>
    <n v="0.26"/>
    <s v="Familia Colosso Delgado"/>
    <s v="mcolosso@gmail.com"/>
    <s v="Calle Güigüe Nro. 88-44"/>
    <s v="Cancelación Vigilancia, mes de Junio 2017"/>
    <x v="0"/>
    <m/>
    <s v="00286"/>
    <s v="07 de junio de 2017"/>
    <n v="7"/>
    <x v="7"/>
    <s v="0,26"/>
    <e v="#NAME?"/>
  </r>
  <r>
    <n v="287"/>
    <m/>
    <x v="0"/>
    <d v="2017-06-07T00:00:00"/>
    <n v="0.27"/>
    <s v="Familia Durvelle Serrano"/>
    <s v="sdurvelle@hotmail.com"/>
    <s v="Calle Guacara Nro. 89-60"/>
    <s v="Cancelación Vigilancia, mes de Junio 2017"/>
    <x v="0"/>
    <m/>
    <s v="00287"/>
    <s v="07 de junio de 2017"/>
    <n v="7"/>
    <x v="7"/>
    <s v="0,27"/>
    <e v="#NAME?"/>
  </r>
  <r>
    <n v="288"/>
    <m/>
    <x v="0"/>
    <d v="2017-06-07T00:00:00"/>
    <n v="0.26"/>
    <s v="Familia Lomeña Agudo"/>
    <s v="claudialomena@hotmail.com"/>
    <s v="Calle Guacara Nro. 89-30"/>
    <s v="Cancelación Vigilancia, mes de Mayo 2017"/>
    <x v="0"/>
    <m/>
    <s v="00288"/>
    <s v="07 de junio de 2017"/>
    <n v="7"/>
    <x v="7"/>
    <s v="0,26"/>
    <e v="#NAME?"/>
  </r>
  <r>
    <n v="289"/>
    <m/>
    <x v="0"/>
    <d v="2017-06-02T00:00:00"/>
    <n v="0.26"/>
    <s v="Familia Barreto Pérez"/>
    <s v="bbetsa19@hotmail.com"/>
    <s v="Av. &quot;M&quot; Nro. 146-15"/>
    <s v="Cancelación Vigilancia, mes de Mayo 2017"/>
    <x v="0"/>
    <m/>
    <s v="00289"/>
    <s v="02 de junio de 2017"/>
    <n v="2"/>
    <x v="7"/>
    <s v="0,26"/>
    <e v="#NAME?"/>
  </r>
  <r>
    <n v="290"/>
    <m/>
    <x v="0"/>
    <d v="2017-06-02T00:00:00"/>
    <n v="0.26"/>
    <s v="Familia Cegarra Villamizar"/>
    <s v="jesus.villamizar.ra@gmail.com"/>
    <s v="Calle Guacara Nro. 88-35"/>
    <s v="Cancelación Vigilancia, mes de Mayo 2017"/>
    <x v="0"/>
    <m/>
    <s v="00290"/>
    <s v="02 de junio de 2017"/>
    <n v="2"/>
    <x v="7"/>
    <s v="0,26"/>
    <e v="#NAME?"/>
  </r>
  <r>
    <n v="291"/>
    <m/>
    <x v="0"/>
    <d v="2017-06-04T00:00:00"/>
    <n v="0.26"/>
    <s v="Wu Hung Fung"/>
    <s v="carolinahung24@gmail.com"/>
    <s v="Calle Guacara Nro. 90-81"/>
    <s v="Cancelación Vigilancia, mes de Junio 2017"/>
    <x v="0"/>
    <m/>
    <s v="00291"/>
    <s v="04 de junio de 2017"/>
    <n v="4"/>
    <x v="7"/>
    <s v="0,26"/>
    <e v="#NAME?"/>
  </r>
  <r>
    <n v="292"/>
    <m/>
    <x v="0"/>
    <d v="2017-06-06T00:00:00"/>
    <n v="0.26"/>
    <s v="Familia Ferrer Bahri"/>
    <s v="bahrimariela@hotmail.com"/>
    <s v="Calle Güigüe Nro. 89-83"/>
    <s v="Cancelación Vigilancia, mes de Junio 2017"/>
    <x v="0"/>
    <m/>
    <s v="00292"/>
    <s v="06 de junio de 2017"/>
    <n v="6"/>
    <x v="7"/>
    <s v="0,26"/>
    <e v="#NAME?"/>
  </r>
  <r>
    <n v="293"/>
    <m/>
    <x v="0"/>
    <d v="2017-05-17T00:00:00"/>
    <n v="0.26"/>
    <s v="Familia Piñero Padilla"/>
    <s v="achepaul2005@hotmail.com"/>
    <s v="Calle Güigüe Nro. 89-21"/>
    <s v="Cancelación Vigilancia, mes de Mayo 2017"/>
    <x v="0"/>
    <m/>
    <s v="00293"/>
    <s v="17 de mayo de 2017"/>
    <n v="17"/>
    <x v="5"/>
    <s v="0,26"/>
    <e v="#NAME?"/>
  </r>
  <r>
    <n v="294"/>
    <m/>
    <x v="0"/>
    <d v="2017-06-02T00:00:00"/>
    <n v="0.26"/>
    <s v="Familia Gascón Domínguez"/>
    <s v="vrgascon@gmail.com"/>
    <s v="Calle Güigüe Nro. 88-70"/>
    <s v="Cancelación Vigilancia, mes de Mayo 2017"/>
    <x v="0"/>
    <m/>
    <s v="00294"/>
    <s v="02 de junio de 2017"/>
    <n v="2"/>
    <x v="7"/>
    <s v="0,26"/>
    <e v="#NAME?"/>
  </r>
  <r>
    <n v="295"/>
    <m/>
    <x v="0"/>
    <d v="2017-06-09T00:00:00"/>
    <n v="0.26"/>
    <s v="Beatriz Lara"/>
    <s v="valentina.gutierrez@hotmail.com"/>
    <s v="Calle Guacara Nro. 89-130"/>
    <s v="Cancelación Vigilancia, mes de Junio 2017"/>
    <x v="0"/>
    <m/>
    <s v="00295"/>
    <s v="09 de junio de 2017"/>
    <n v="9"/>
    <x v="7"/>
    <s v="0,26"/>
    <e v="#NAME?"/>
  </r>
  <r>
    <n v="296"/>
    <m/>
    <x v="0"/>
    <d v="2017-06-09T00:00:00"/>
    <n v="0.52"/>
    <s v="Sra. Reina Meléndez"/>
    <s v="olgajipe@gmail.com"/>
    <s v="Av. &quot;M&quot; Nro. 145-10"/>
    <s v="Cancelación Vigilancia, meses de Mayo y Junio 2017"/>
    <x v="0"/>
    <m/>
    <s v="00296"/>
    <s v="09 de junio de 2017"/>
    <n v="9"/>
    <x v="7"/>
    <s v="0,52"/>
    <e v="#NAME?"/>
  </r>
  <r>
    <n v="297"/>
    <m/>
    <x v="0"/>
    <d v="2017-06-01T00:00:00"/>
    <n v="0.17"/>
    <s v="Familia Delgado Hidalgo"/>
    <s v="ardh@hotmail.com"/>
    <s v="Calle Güigüe Nro. 88-10"/>
    <s v="Cancelación Vigilancia, mes de Abril 2017"/>
    <x v="0"/>
    <m/>
    <s v="00297"/>
    <s v="01 de junio de 2017"/>
    <n v="1"/>
    <x v="7"/>
    <s v="0,17"/>
    <e v="#NAME?"/>
  </r>
  <r>
    <n v="298"/>
    <m/>
    <x v="0"/>
    <d v="2017-06-16T00:00:00"/>
    <n v="0.56000000000000005"/>
    <s v="Familia Puerta Burguillos"/>
    <s v="namaricakes@gmail.com"/>
    <s v="Calle Guacara Nro. 87-100"/>
    <s v="Cancelación Vigilancia, mes de Junio y anticipo de Julio y Agosto 2017 (contra facturas)"/>
    <x v="0"/>
    <m/>
    <s v="00298"/>
    <s v="16 de junio de 2017"/>
    <n v="16"/>
    <x v="7"/>
    <s v="0,56"/>
    <e v="#NAME?"/>
  </r>
  <r>
    <n v="299"/>
    <m/>
    <x v="0"/>
    <d v="2017-06-16T00:00:00"/>
    <n v="0.08"/>
    <s v="Familia Flores Montagne"/>
    <s v="namaricakes@gmail.com"/>
    <s v="Av. &quot;M&quot; Nro. 146-20"/>
    <s v="Colaboración Vigilancia, meses de Junio y Julio 2017 (contra facturas)"/>
    <x v="0"/>
    <m/>
    <s v="00299"/>
    <s v="16 de junio de 2017"/>
    <n v="16"/>
    <x v="7"/>
    <s v="0,08"/>
    <e v="#NAME?"/>
  </r>
  <r>
    <n v="300"/>
    <m/>
    <x v="0"/>
    <d v="2017-06-08T00:00:00"/>
    <n v="0.2"/>
    <s v="Familia Hurtado"/>
    <s v="En Físico"/>
    <s v="Av. &quot;O&quot; Nro. 146-11"/>
    <s v="Cancelación Vigilancia, mes de Mayo 2017"/>
    <x v="0"/>
    <m/>
    <s v="00300"/>
    <s v="08 de junio de 2017"/>
    <n v="8"/>
    <x v="7"/>
    <s v="0,20"/>
    <e v="#NAME?"/>
  </r>
  <r>
    <n v="301"/>
    <m/>
    <x v="0"/>
    <d v="2017-05-15T00:00:00"/>
    <n v="0.17"/>
    <s v="Familia Astor Zamora"/>
    <s v="imzastor@gmail.com"/>
    <s v="Calle Güigüe Nro. 88-111"/>
    <s v="Cancelación Vigilancia, mes de Abril 2017"/>
    <x v="0"/>
    <m/>
    <s v="00301"/>
    <s v="15 de mayo de 2017"/>
    <n v="15"/>
    <x v="5"/>
    <s v="0,17"/>
    <e v="#NAME?"/>
  </r>
  <r>
    <n v="302"/>
    <m/>
    <x v="0"/>
    <d v="2017-06-05T00:00:00"/>
    <n v="0.26"/>
    <s v="Familia Lomeña Agudo"/>
    <s v="claudialomena@hotmail.com"/>
    <s v="Calle Guacara Nro. 89-30"/>
    <s v="Cancelación Vigilancia, mes de Junio 2017"/>
    <x v="0"/>
    <m/>
    <s v="00302"/>
    <s v="05 de junio de 2017"/>
    <n v="5"/>
    <x v="7"/>
    <s v="0,26"/>
    <e v="#NAME?"/>
  </r>
  <r>
    <n v="303"/>
    <m/>
    <x v="0"/>
    <d v="2017-06-14T00:00:00"/>
    <n v="0.1"/>
    <s v="Familia Jiménez Navarro"/>
    <s v="joyasonline2012@gmail.com"/>
    <s v="Calle Güigüe Nro. 88-50"/>
    <s v="Cuota especial, reja vereda Centro Comercial"/>
    <x v="4"/>
    <m/>
    <s v="00303"/>
    <s v="14 de junio de 2017"/>
    <n v="14"/>
    <x v="7"/>
    <s v="0,10"/>
    <e v="#NAME?"/>
  </r>
  <r>
    <n v="304"/>
    <m/>
    <x v="0"/>
    <d v="2017-06-14T00:00:00"/>
    <n v="0.4"/>
    <s v="Colegio El Trigal"/>
    <s v="En Físico"/>
    <s v="Calle Güigüe Nros. 88-71 y 88-81"/>
    <s v="Cancelación Vigilancia, mes de Junio 2017"/>
    <x v="0"/>
    <m/>
    <s v="00304"/>
    <s v="14 de junio de 2017"/>
    <n v="14"/>
    <x v="7"/>
    <s v="0,40"/>
    <e v="#NAME?"/>
  </r>
  <r>
    <n v="305"/>
    <m/>
    <x v="0"/>
    <d v="2017-06-14T00:00:00"/>
    <n v="7.0000000000000007E-2"/>
    <s v="Colegio El Trigal"/>
    <s v="En Físico"/>
    <s v="Calle Güigüe Nros. 88-71 y 88-81"/>
    <s v="Cuota especial, reja vereda Centro Comercial"/>
    <x v="4"/>
    <m/>
    <s v="00305"/>
    <s v="14 de junio de 2017"/>
    <n v="14"/>
    <x v="7"/>
    <s v="0,07"/>
    <e v="#NAME?"/>
  </r>
  <r>
    <n v="306"/>
    <m/>
    <x v="0"/>
    <d v="2017-06-14T00:00:00"/>
    <n v="7.0000000000000007E-2"/>
    <s v="Familia Fernández Parés"/>
    <s v="vultecca@gmail.com"/>
    <s v="Calle Guacara Nro. 88-75"/>
    <s v="Cuota especial, reja vereda Centro Comercial"/>
    <x v="4"/>
    <m/>
    <s v="00306"/>
    <s v="14 de junio de 2017"/>
    <n v="14"/>
    <x v="7"/>
    <s v="0,07"/>
    <e v="#NAME?"/>
  </r>
  <r>
    <n v="307"/>
    <m/>
    <x v="0"/>
    <d v="2017-06-14T00:00:00"/>
    <n v="0.52"/>
    <s v="Familia Manrique Riera"/>
    <s v="patriciamanrique@gmail.com"/>
    <s v="Calle Guacara Nro. 89-40"/>
    <s v="Cancelación Vigilancia, meses de Mayo y Junio 2017"/>
    <x v="0"/>
    <m/>
    <s v="00307"/>
    <s v="14 de junio de 2017"/>
    <n v="14"/>
    <x v="7"/>
    <s v="0,52"/>
    <e v="#NAME?"/>
  </r>
  <r>
    <n v="308"/>
    <m/>
    <x v="0"/>
    <d v="2017-06-14T00:00:00"/>
    <n v="7.0000000000000007E-2"/>
    <s v="Familia Manrique Riera"/>
    <s v="patriciamanrique@gmail.com"/>
    <s v="Calle Guacara Nro. 89-40"/>
    <s v="Cuota especial, reja vereda Centro Comercial"/>
    <x v="4"/>
    <m/>
    <s v="00308"/>
    <s v="14 de junio de 2017"/>
    <n v="14"/>
    <x v="7"/>
    <s v="0,07"/>
    <e v="#NAME?"/>
  </r>
  <r>
    <n v="309"/>
    <m/>
    <x v="0"/>
    <d v="2017-06-14T00:00:00"/>
    <n v="0.34"/>
    <s v="Ana de González"/>
    <s v="mikelnowak25@gmail.com"/>
    <s v="Av. &quot;O&quot; Nro. 146-17"/>
    <s v="Anticipo Vigilancia, meses de Mayo y Junio 2017"/>
    <x v="0"/>
    <m/>
    <s v="00309"/>
    <s v="14 de junio de 2017"/>
    <n v="14"/>
    <x v="7"/>
    <s v="0,34"/>
    <e v="#NAME?"/>
  </r>
  <r>
    <n v="310"/>
    <m/>
    <x v="0"/>
    <d v="2017-06-14T00:00:00"/>
    <n v="7.0000000000000007E-2"/>
    <s v="Ana de González"/>
    <s v="mikelnowak25@gmail.com"/>
    <s v="Av. &quot;O&quot; Nro. 146-17"/>
    <s v="Cuota especial, reja vereda Centro Comercial"/>
    <x v="4"/>
    <m/>
    <s v="00310"/>
    <s v="14 de junio de 2017"/>
    <n v="14"/>
    <x v="7"/>
    <s v="0,07"/>
    <e v="#NAME?"/>
  </r>
  <r>
    <n v="311"/>
    <m/>
    <x v="0"/>
    <d v="2017-06-14T00:00:00"/>
    <n v="7.0000000000000007E-2"/>
    <s v="Familia Durvelle Serrano"/>
    <s v="sdurvelle@hotmail.com"/>
    <s v="Calle Guacara Nro. 89-60"/>
    <s v="Cuota especial, reja vereda Centro Comercial"/>
    <x v="4"/>
    <m/>
    <s v="00311"/>
    <s v="14 de junio de 2017"/>
    <n v="14"/>
    <x v="7"/>
    <s v="0,07"/>
    <e v="#NAME?"/>
  </r>
  <r>
    <n v="312"/>
    <m/>
    <x v="0"/>
    <d v="2017-06-14T00:00:00"/>
    <n v="0.13"/>
    <s v="Familia Rodríguez Landaeta"/>
    <s v="mrl58@hotmail.com"/>
    <s v="Calle Güigüe Nro. 89-29"/>
    <s v="Colaboración Vigilancia, mes de Junio 2017"/>
    <x v="0"/>
    <m/>
    <s v="00312"/>
    <s v="14 de junio de 2017"/>
    <n v="14"/>
    <x v="7"/>
    <s v="0,13"/>
    <e v="#NAME?"/>
  </r>
  <r>
    <n v="313"/>
    <m/>
    <x v="0"/>
    <d v="2017-06-14T00:00:00"/>
    <n v="7.0000000000000007E-2"/>
    <s v="Familia Colosso Delgado"/>
    <s v="mcolosso@gmail.com"/>
    <s v="Calle Güigüe Nro. 88-44"/>
    <s v="Cuota especial, reja vereda Centro Comercial"/>
    <x v="4"/>
    <m/>
    <s v="00313"/>
    <s v="14 de junio de 2017"/>
    <n v="14"/>
    <x v="7"/>
    <s v="0,07"/>
    <e v="#NAME?"/>
  </r>
  <r>
    <n v="314"/>
    <m/>
    <x v="0"/>
    <d v="2017-06-14T00:00:00"/>
    <n v="7.0000000000000007E-2"/>
    <s v="Amparo Acosta"/>
    <s v="En Físico"/>
    <s v="Calle Guacara Nro. 88-65"/>
    <s v="Cuota especial, reja vereda Centro Comercial"/>
    <x v="4"/>
    <m/>
    <s v="00314"/>
    <s v="14 de junio de 2017"/>
    <n v="14"/>
    <x v="7"/>
    <s v="0,07"/>
    <e v="#NAME?"/>
  </r>
  <r>
    <n v="315"/>
    <m/>
    <x v="0"/>
    <d v="2017-06-15T00:00:00"/>
    <n v="0.15"/>
    <s v="Familia Santos Carrillo"/>
    <s v="briceidamp@hotmail.com"/>
    <s v="Calle Guacara Nro. 90-93"/>
    <s v="Colaboración Vigilancia, meses de Febrero a Junio 2017"/>
    <x v="0"/>
    <m/>
    <s v="00315"/>
    <s v="15 de junio de 2017"/>
    <n v="15"/>
    <x v="7"/>
    <s v="0,15"/>
    <e v="#NAME?"/>
  </r>
  <r>
    <n v="316"/>
    <m/>
    <x v="0"/>
    <d v="2017-06-15T00:00:00"/>
    <n v="0.05"/>
    <s v="Familia Santos Carrillo"/>
    <s v="briceidamp@hotmail.com"/>
    <s v="Calle Guacara Nro. 90-93"/>
    <s v="Colaboración cuota especial, reja vereda Centro Comercial"/>
    <x v="4"/>
    <m/>
    <s v="00316"/>
    <s v="15 de junio de 2017"/>
    <n v="15"/>
    <x v="7"/>
    <s v="0,05"/>
    <e v="#NAME?"/>
  </r>
  <r>
    <n v="317"/>
    <m/>
    <x v="0"/>
    <d v="2017-06-15T00:00:00"/>
    <n v="0.2"/>
    <s v="Familia Méndez Parra"/>
    <s v="briceidamp@hotmail.com"/>
    <s v="Calle Guacara Nro. 88-19"/>
    <s v="Colaboración Vigilancia, mes de Junio 2017"/>
    <x v="0"/>
    <m/>
    <s v="00317"/>
    <s v="15 de junio de 2017"/>
    <n v="15"/>
    <x v="7"/>
    <s v="0,20"/>
    <e v="#NAME?"/>
  </r>
  <r>
    <n v="318"/>
    <m/>
    <x v="0"/>
    <d v="2017-06-15T00:00:00"/>
    <n v="7.0000000000000007E-2"/>
    <s v="Familia Lomeña Agudo"/>
    <s v="claudialomena@hotmail.com"/>
    <s v="Calle Guacara Nro. 89-30"/>
    <s v="Cuota especial, reja vereda Centro Comercial"/>
    <x v="4"/>
    <m/>
    <s v="00318"/>
    <s v="15 de junio de 2017"/>
    <n v="15"/>
    <x v="7"/>
    <s v="0,07"/>
    <e v="#NAME?"/>
  </r>
  <r>
    <n v="319"/>
    <m/>
    <x v="0"/>
    <d v="2017-06-15T00:00:00"/>
    <n v="1.4999999999999999E-2"/>
    <s v="Familia Lomeña Agudo"/>
    <s v="claudialomena@hotmail.com"/>
    <s v="Calle Guacara Nro. 89-30"/>
    <s v="Compra de tres (03) calcomanías a Bs. 500 c u"/>
    <x v="5"/>
    <m/>
    <s v="00319"/>
    <s v="15 de junio de 2017"/>
    <n v="15"/>
    <x v="7"/>
    <s v="0,02"/>
    <e v="#NAME?"/>
  </r>
  <r>
    <n v="320"/>
    <m/>
    <x v="0"/>
    <d v="2017-06-15T00:00:00"/>
    <n v="7.0000000000000007E-2"/>
    <s v="Familia Fermín Rivas"/>
    <s v="angelferminb@gmail.com"/>
    <s v="Calle Güigüe Nro. 89-55"/>
    <s v="Cuota especial, reja vereda Centro Comercial"/>
    <x v="4"/>
    <m/>
    <s v="00320"/>
    <s v="15 de junio de 2017"/>
    <n v="15"/>
    <x v="7"/>
    <s v="0,07"/>
    <e v="#NAME?"/>
  </r>
  <r>
    <n v="321"/>
    <m/>
    <x v="0"/>
    <d v="2017-06-16T00:00:00"/>
    <n v="7.0000000000000007E-2"/>
    <s v="Familia Nava Gordon"/>
    <s v="maru_19_66@hotmail.com"/>
    <s v="Calle Guacara Nro. 89-78"/>
    <s v="Cuota especial, reja vereda Centro Comercial"/>
    <x v="4"/>
    <m/>
    <s v="00321"/>
    <s v="16 de junio de 2017"/>
    <n v="16"/>
    <x v="7"/>
    <s v="0,07"/>
    <e v="#NAME?"/>
  </r>
  <r>
    <n v="322"/>
    <m/>
    <x v="0"/>
    <d v="2017-06-16T00:00:00"/>
    <n v="7.0000000000000007E-2"/>
    <s v="Familia Puerta Burguillos"/>
    <s v="namaricakes@gmail.com"/>
    <s v="Calle Guacara Nro. 87-100"/>
    <s v="Cuota especial, reja vereda Centro Comercial"/>
    <x v="4"/>
    <m/>
    <s v="00322"/>
    <s v="16 de junio de 2017"/>
    <n v="16"/>
    <x v="7"/>
    <s v="0,07"/>
    <e v="#NAME?"/>
  </r>
  <r>
    <n v="323"/>
    <m/>
    <x v="0"/>
    <d v="2017-06-16T00:00:00"/>
    <n v="0.27"/>
    <s v="Familia Nava Gordon"/>
    <s v="maru_19_66@hotmail.com"/>
    <s v="Calle Guacara Nro. 89-78"/>
    <s v="Cancelación Vigilancia, mes de Mayo y anticipo de Junio 2017"/>
    <x v="0"/>
    <m/>
    <s v="00323"/>
    <s v="16 de junio de 2017"/>
    <n v="16"/>
    <x v="7"/>
    <s v="0,27"/>
    <e v="#NAME?"/>
  </r>
  <r>
    <n v="324"/>
    <m/>
    <x v="0"/>
    <d v="2017-06-16T00:00:00"/>
    <n v="0.26"/>
    <s v="Familia Cegarra Villamizar"/>
    <s v="jesus.villamizar.ra@gmail.com"/>
    <s v="Calle Guacara Nro. 88-35"/>
    <s v="Cancelación Vigilancia, mes de Junio 2017, contra factura"/>
    <x v="0"/>
    <m/>
    <s v="00324"/>
    <s v="16 de junio de 2017"/>
    <n v="16"/>
    <x v="7"/>
    <s v="0,26"/>
    <e v="#NAME?"/>
  </r>
  <r>
    <n v="325"/>
    <m/>
    <x v="0"/>
    <d v="2017-06-16T00:00:00"/>
    <n v="7.0000000000000007E-2"/>
    <s v="Chin Chun Ya (Goya)"/>
    <s v="uc2721@gmail.com"/>
    <s v="Calle Guacara Nro. 87-86"/>
    <s v="Cuota especial, reja vereda Centro Comercial"/>
    <x v="4"/>
    <m/>
    <s v="00325"/>
    <s v="16 de junio de 2017"/>
    <n v="16"/>
    <x v="7"/>
    <s v="0,07"/>
    <e v="#NAME?"/>
  </r>
  <r>
    <n v="326"/>
    <m/>
    <x v="0"/>
    <d v="2017-06-16T00:00:00"/>
    <n v="0.26"/>
    <s v="Familia Fermín Rivas"/>
    <s v="angelferminb@gmail.com"/>
    <s v="Calle Güigüe Nro. 89-55"/>
    <s v="Cancelación Vigilancia, mes de Junio 2017"/>
    <x v="0"/>
    <m/>
    <s v="00326"/>
    <s v="16 de junio de 2017"/>
    <n v="16"/>
    <x v="7"/>
    <s v="0,26"/>
    <e v="#NAME?"/>
  </r>
  <r>
    <n v="327"/>
    <m/>
    <x v="0"/>
    <d v="2017-06-17T00:00:00"/>
    <n v="0.26"/>
    <s v="Familia Il Grande Franceschi"/>
    <s v="arcifran75@hotmail.com"/>
    <s v="Av. &quot;I&quot; Nro. 146-40"/>
    <s v="Cancelación Vigilancia, mes de Mayo 2017"/>
    <x v="0"/>
    <m/>
    <s v="00327"/>
    <s v="17 de junio de 2017"/>
    <n v="17"/>
    <x v="7"/>
    <s v="0,26"/>
    <e v="#NAME?"/>
  </r>
  <r>
    <n v="328"/>
    <m/>
    <x v="0"/>
    <d v="2017-06-19T00:00:00"/>
    <n v="0.56000000000000005"/>
    <s v="Familia Acosta Carpio"/>
    <s v="pablo962@hotmail.com"/>
    <s v="Calle Güigüe Nro. 89-10"/>
    <s v="Cancelación Vigilancia, meses de Abril y Mayo 2017 y adelanto del mes de Junio 2017, contra factura"/>
    <x v="0"/>
    <m/>
    <s v="00328"/>
    <s v="19 de junio de 2017"/>
    <n v="19"/>
    <x v="7"/>
    <s v="0,56"/>
    <e v="#NAME?"/>
  </r>
  <r>
    <n v="329"/>
    <m/>
    <x v="0"/>
    <d v="2017-06-19T00:00:00"/>
    <n v="7.0000000000000007E-2"/>
    <s v="Wu Hung Fung"/>
    <s v="carolinahung24@gmail.com"/>
    <s v="Calle Guacara Nro. 90-81"/>
    <s v="Cuota especial, reja vereda Centro Comercial"/>
    <x v="4"/>
    <m/>
    <s v="00329"/>
    <s v="19 de junio de 2017"/>
    <n v="19"/>
    <x v="7"/>
    <s v="0,07"/>
    <e v="#NAME?"/>
  </r>
  <r>
    <n v="330"/>
    <m/>
    <x v="0"/>
    <d v="2017-06-20T00:00:00"/>
    <n v="7.0000000000000007E-2"/>
    <s v="Familia Gascón Domínguez"/>
    <s v="vrgascon@gmail.com"/>
    <s v="Calle Güigüe Nro. 88-70"/>
    <s v="Cuota especial, reja vereda Centro Comercial"/>
    <x v="4"/>
    <m/>
    <s v="00330"/>
    <s v="20 de junio de 2017"/>
    <n v="20"/>
    <x v="7"/>
    <s v="0,07"/>
    <e v="#NAME?"/>
  </r>
  <r>
    <n v="331"/>
    <m/>
    <x v="0"/>
    <d v="2017-06-20T00:00:00"/>
    <n v="7.0000000000000007E-2"/>
    <s v="Familia Kablan Sarmiento"/>
    <s v="norisjsb56@hotmail.com"/>
    <s v="Calle Güigüe Nro. 89-80"/>
    <s v="Cuota especial, reja vereda Centro Comercial"/>
    <x v="4"/>
    <m/>
    <s v="00331"/>
    <s v="20 de junio de 2017"/>
    <n v="20"/>
    <x v="7"/>
    <s v="0,07"/>
    <e v="#NAME?"/>
  </r>
  <r>
    <n v="332"/>
    <m/>
    <x v="0"/>
    <d v="2017-06-21T00:00:00"/>
    <n v="0.13"/>
    <s v="Familia Acosta Carpio"/>
    <s v="pablo962@hotmail.com"/>
    <s v="Calle Güigüe Nro. 89-10"/>
    <s v="Cancelación saldo Vigilancia, mes de Junio 2017"/>
    <x v="0"/>
    <m/>
    <s v="00332"/>
    <s v="21 de junio de 2017"/>
    <n v="21"/>
    <x v="7"/>
    <s v="0,13"/>
    <e v="#NAME?"/>
  </r>
  <r>
    <n v="333"/>
    <m/>
    <x v="0"/>
    <d v="2017-06-21T00:00:00"/>
    <n v="7.0000000000000007E-2"/>
    <s v="Familia Acosta Carpio"/>
    <s v="pablo962@hotmail.com"/>
    <s v="Calle Güigüe Nro. 89-10"/>
    <s v="Cuota especial, reja vereda Centro Comercial"/>
    <x v="4"/>
    <m/>
    <s v="00333"/>
    <s v="21 de junio de 2017"/>
    <n v="21"/>
    <x v="7"/>
    <s v="0,07"/>
    <e v="#NAME?"/>
  </r>
  <r>
    <n v="334"/>
    <m/>
    <x v="0"/>
    <d v="2017-06-21T00:00:00"/>
    <n v="7.4999999999999997E-2"/>
    <s v="Familia Ramírez"/>
    <s v="0414-433.7527"/>
    <s v="Calle Güigüe Nro. 88-61"/>
    <s v="Cuota especial, reja vereda Centro Comercial"/>
    <x v="4"/>
    <m/>
    <s v="00334"/>
    <s v="21 de junio de 2017"/>
    <n v="21"/>
    <x v="7"/>
    <s v="0,08"/>
    <e v="#NAME?"/>
  </r>
  <r>
    <n v="335"/>
    <m/>
    <x v="0"/>
    <d v="2017-06-21T00:00:00"/>
    <n v="7.0000000000000007E-2"/>
    <s v="Familia Zavarce Pérez"/>
    <s v="En Físico"/>
    <s v="Calle Guacara Nro. 90-35"/>
    <s v="Cuota especial, reja vereda Centro Comercial"/>
    <x v="4"/>
    <m/>
    <s v="00335"/>
    <s v="21 de junio de 2017"/>
    <n v="21"/>
    <x v="7"/>
    <s v="0,07"/>
    <e v="#NAME?"/>
  </r>
  <r>
    <n v="336"/>
    <m/>
    <x v="0"/>
    <d v="2017-06-21T00:00:00"/>
    <n v="0.3"/>
    <s v="La Casita Encantada"/>
    <s v="En Físico"/>
    <s v="Av. &quot;M&quot; Nro. 146-30"/>
    <s v="Cancelación Vigilancia, mes de Junio 2017"/>
    <x v="0"/>
    <m/>
    <s v="00336"/>
    <s v="21 de junio de 2017"/>
    <n v="21"/>
    <x v="7"/>
    <s v="0,30"/>
    <e v="#NAME?"/>
  </r>
  <r>
    <n v="337"/>
    <m/>
    <x v="0"/>
    <d v="2017-06-21T00:00:00"/>
    <n v="7.0000000000000007E-2"/>
    <s v="La Casita Encantada"/>
    <s v="En Físico"/>
    <s v="Av. &quot;M&quot; Nro. 146-30"/>
    <s v="Cuota especial, reja vereda Centro Comercial"/>
    <x v="4"/>
    <m/>
    <s v="00337"/>
    <s v="21 de junio de 2017"/>
    <n v="21"/>
    <x v="7"/>
    <s v="0,07"/>
    <e v="#NAME?"/>
  </r>
  <r>
    <n v="338"/>
    <m/>
    <x v="0"/>
    <d v="2017-06-21T00:00:00"/>
    <n v="0.05"/>
    <s v="Familia Hurtado"/>
    <s v="francisco_hurtado@hotmail.com"/>
    <s v="Av. &quot;O&quot; Nro. 146-11"/>
    <s v="Anticipo cuota especial, reja vereda Centro Comercial"/>
    <x v="4"/>
    <m/>
    <s v="00338"/>
    <s v="21 de junio de 2017"/>
    <n v="21"/>
    <x v="7"/>
    <s v="0,05"/>
    <e v="#NAME?"/>
  </r>
  <r>
    <n v="339"/>
    <m/>
    <x v="0"/>
    <d v="2017-06-21T00:00:00"/>
    <n v="0.09"/>
    <s v="Familia López Hermoso"/>
    <s v="lopez.humberto14@yahoo.com.ve"/>
    <s v="Calle Güigüe Nro. 89-79"/>
    <s v="Cancelación saldo Vigilancia, mes de Junio 2017"/>
    <x v="0"/>
    <m/>
    <s v="00339"/>
    <s v="21 de junio de 2017"/>
    <n v="21"/>
    <x v="7"/>
    <s v="0,09"/>
    <e v="#NAME?"/>
  </r>
  <r>
    <n v="340"/>
    <m/>
    <x v="0"/>
    <d v="2017-06-21T00:00:00"/>
    <n v="7.0000000000000007E-2"/>
    <s v="Familia López Hermoso"/>
    <s v="lopez.humberto14@yahoo.com.ve"/>
    <s v="Calle Güigüe Nro. 89-79"/>
    <s v="Cuota especial, reja vereda Centro Comercial"/>
    <x v="4"/>
    <m/>
    <s v="00340"/>
    <s v="21 de junio de 2017"/>
    <n v="21"/>
    <x v="7"/>
    <s v="0,07"/>
    <e v="#NAME?"/>
  </r>
  <r>
    <n v="341"/>
    <m/>
    <x v="0"/>
    <d v="2017-06-21T00:00:00"/>
    <n v="7.0000000000000007E-2"/>
    <s v="Familia Kattar González"/>
    <s v="jagiak123@yahoo.es"/>
    <s v="Calle Güigüe Nro. 89-95"/>
    <s v="Cuota especial, reja vereda Centro Comercial"/>
    <x v="4"/>
    <m/>
    <s v="00341"/>
    <s v="21 de junio de 2017"/>
    <n v="21"/>
    <x v="7"/>
    <s v="0,07"/>
    <e v="#NAME?"/>
  </r>
  <r>
    <n v="342"/>
    <m/>
    <x v="0"/>
    <d v="2017-06-21T00:00:00"/>
    <n v="7.0000000000000007E-2"/>
    <s v="Familia González Arévalo"/>
    <s v="feryenis@hotmail.com"/>
    <s v="Calle Guacara Nro. 89-86"/>
    <s v="Cuota especial, reja vereda Centro Comercial"/>
    <x v="4"/>
    <m/>
    <s v="00342"/>
    <s v="21 de junio de 2017"/>
    <n v="21"/>
    <x v="7"/>
    <s v="0,07"/>
    <e v="#NAME?"/>
  </r>
  <r>
    <n v="343"/>
    <m/>
    <x v="0"/>
    <d v="2017-06-21T00:00:00"/>
    <n v="0.26"/>
    <s v="Familia Sayago Peñaranda"/>
    <s v="alexissayago@gmail.com"/>
    <s v="Calle Güigüe Nro. 89-04"/>
    <s v="Cancelación Vigilancia, mes de Junio 2017"/>
    <x v="0"/>
    <m/>
    <s v="00343"/>
    <s v="21 de junio de 2017"/>
    <n v="21"/>
    <x v="7"/>
    <s v="0,26"/>
    <e v="#NAME?"/>
  </r>
  <r>
    <n v="344"/>
    <m/>
    <x v="0"/>
    <d v="2017-06-21T00:00:00"/>
    <n v="7.0000000000000007E-2"/>
    <s v="Familia Sayago Peñaranda"/>
    <s v="alexissayago@gmail.com"/>
    <s v="Calle Güigüe Nro. 89-04"/>
    <s v="Cuota especial, reja vereda Centro Comercial"/>
    <x v="4"/>
    <m/>
    <s v="00344"/>
    <s v="21 de junio de 2017"/>
    <n v="21"/>
    <x v="7"/>
    <s v="0,07"/>
    <e v="#NAME?"/>
  </r>
  <r>
    <n v="345"/>
    <m/>
    <x v="0"/>
    <d v="2017-06-22T00:00:00"/>
    <n v="7.0000000000000007E-2"/>
    <s v="Beatriz Lara"/>
    <s v="valentina.gutierrez@hotmail.com"/>
    <s v="Calle Guacara Nro. 89-130"/>
    <s v="Cuota especial, reja vereda Centro Comercial"/>
    <x v="4"/>
    <m/>
    <s v="00345"/>
    <s v="22 de junio de 2017"/>
    <n v="22"/>
    <x v="7"/>
    <s v="0,07"/>
    <e v="#NAME?"/>
  </r>
  <r>
    <n v="346"/>
    <m/>
    <x v="0"/>
    <d v="2017-06-22T00:00:00"/>
    <n v="0.03"/>
    <s v="Familia Hatem Medina"/>
    <s v="hhatem1@hotmail.com"/>
    <s v="Calle Guacara Nro. 88-51"/>
    <s v="Colaboración cuota especial, reja vereda Centro Comercial"/>
    <x v="4"/>
    <m/>
    <s v="00346"/>
    <s v="22 de junio de 2017"/>
    <n v="22"/>
    <x v="7"/>
    <s v="0,03"/>
    <e v="#NAME?"/>
  </r>
  <r>
    <n v="347"/>
    <m/>
    <x v="0"/>
    <d v="2017-06-22T00:00:00"/>
    <n v="7.0000000000000007E-2"/>
    <s v="Familia Matta Palomino"/>
    <s v="En Físico"/>
    <s v="Calle Güigüe Nro. 88-90"/>
    <s v="Cuota especial, reja vereda Centro Comercial"/>
    <x v="4"/>
    <m/>
    <s v="00347"/>
    <s v="22 de junio de 2017"/>
    <n v="22"/>
    <x v="7"/>
    <s v="0,07"/>
    <e v="#NAME?"/>
  </r>
  <r>
    <n v="348"/>
    <m/>
    <x v="0"/>
    <d v="2017-06-22T00:00:00"/>
    <n v="4.3200000000000002E-2"/>
    <s v="Familia Méndez Parra"/>
    <s v="briceidamp@hotmail.com"/>
    <s v="Calle Guacara Nro. 88-19"/>
    <s v="Colaboración cuota especial, reja vereda Centro Comercial"/>
    <x v="4"/>
    <m/>
    <s v="00348"/>
    <s v="22 de junio de 2017"/>
    <n v="22"/>
    <x v="7"/>
    <s v="0,04"/>
    <e v="#NAME?"/>
  </r>
  <r>
    <n v="349"/>
    <m/>
    <x v="0"/>
    <d v="2017-06-22T00:00:00"/>
    <n v="0.26"/>
    <s v="Familia Castillo Mena"/>
    <s v="emmecas@hotmail.com"/>
    <s v="Calle Güigüe Nro. 88-101"/>
    <s v="Cancelación Vigilancia, mes de Junio 2017"/>
    <x v="0"/>
    <m/>
    <s v="00349"/>
    <s v="22 de junio de 2017"/>
    <n v="22"/>
    <x v="7"/>
    <s v="0,26"/>
    <e v="#NAME?"/>
  </r>
  <r>
    <n v="350"/>
    <m/>
    <x v="0"/>
    <d v="2017-06-22T00:00:00"/>
    <n v="7.0000000000000007E-2"/>
    <s v="Familia Castillo Mena"/>
    <s v="emmecas@hotmail.com"/>
    <s v="Calle Güigüe Nro. 88-101"/>
    <s v="Cuota especial, reja vereda Centro Comercial"/>
    <x v="4"/>
    <m/>
    <s v="00350"/>
    <s v="22 de junio de 2017"/>
    <n v="22"/>
    <x v="7"/>
    <s v="0,07"/>
    <e v="#NAME?"/>
  </r>
  <r>
    <n v="351"/>
    <m/>
    <x v="0"/>
    <d v="2017-06-22T00:00:00"/>
    <n v="0.26"/>
    <s v="Familia Jiménez Navarro"/>
    <s v="joyasonline2012@gmail.com"/>
    <s v="Calle Güigüe Nro. 88-50"/>
    <s v="Cancelación Vigilancia, mes de Mayo 2017"/>
    <x v="0"/>
    <m/>
    <s v="00351"/>
    <s v="22 de junio de 2017"/>
    <n v="22"/>
    <x v="7"/>
    <s v="0,26"/>
    <e v="#NAME?"/>
  </r>
  <r>
    <n v="352"/>
    <m/>
    <x v="0"/>
    <d v="2017-06-22T00:00:00"/>
    <n v="7.0000000000000007E-2"/>
    <s v="Anahiz Seijas"/>
    <s v="anahiz_2@hotmail.es"/>
    <s v="Calle Güigüe Nro. 89-106"/>
    <s v="Cuota especial, reja vereda Centro Comercial"/>
    <x v="4"/>
    <m/>
    <s v="00352"/>
    <s v="22 de junio de 2017"/>
    <n v="22"/>
    <x v="7"/>
    <s v="0,07"/>
    <e v="#NAME?"/>
  </r>
  <r>
    <n v="353"/>
    <m/>
    <x v="0"/>
    <d v="2017-06-23T00:00:00"/>
    <n v="7.0000000000000007E-2"/>
    <s v="Dra. Lilia Magallanes"/>
    <s v="liliamagallanes2010@gmail.com"/>
    <s v="Calle Güigüe Nro. 88-51"/>
    <s v="Cuota especial, reja vereda Centro Comercial"/>
    <x v="4"/>
    <m/>
    <s v="00353"/>
    <s v="23 de junio de 2017"/>
    <n v="23"/>
    <x v="7"/>
    <s v="0,07"/>
    <e v="#NAME?"/>
  </r>
  <r>
    <n v="354"/>
    <m/>
    <x v="0"/>
    <d v="2017-06-24T00:00:00"/>
    <n v="0.3"/>
    <s v="Gloria Molina"/>
    <s v="glomola2@yahoo.es"/>
    <s v="Calle Güigüe Nro. 89-71"/>
    <s v="Colaboración Vigilancia, meses de Abril y Mayo 2017"/>
    <x v="0"/>
    <m/>
    <s v="00354"/>
    <s v="24 de junio de 2017"/>
    <n v="24"/>
    <x v="7"/>
    <s v="0,30"/>
    <e v="#NAME?"/>
  </r>
  <r>
    <n v="355"/>
    <m/>
    <x v="0"/>
    <d v="2017-06-24T00:00:00"/>
    <n v="0.2"/>
    <s v="Victoria Francischiello"/>
    <s v="victoriafrancischiello@hotmail.com"/>
    <s v="Calle Guacara Nro. 88-25"/>
    <s v="Colaboración Vigilancia, mes de Junio 2017"/>
    <x v="0"/>
    <m/>
    <s v="00355"/>
    <s v="24 de junio de 2017"/>
    <n v="24"/>
    <x v="7"/>
    <s v="0,20"/>
    <e v="#NAME?"/>
  </r>
  <r>
    <n v="356"/>
    <m/>
    <x v="0"/>
    <d v="2017-06-26T00:00:00"/>
    <n v="7.0000000000000007E-2"/>
    <s v="Familia Ferrer Bahri"/>
    <s v="bahrimariela@hotmail.com"/>
    <s v="Calle Güigüe Nro. 89-83"/>
    <s v="Cuota especial, reja vereda Centro Comercial"/>
    <x v="4"/>
    <m/>
    <s v="00356"/>
    <s v="26 de junio de 2017"/>
    <n v="26"/>
    <x v="7"/>
    <s v="0,07"/>
    <e v="#NAME?"/>
  </r>
  <r>
    <n v="357"/>
    <m/>
    <x v="0"/>
    <d v="2017-06-26T00:00:00"/>
    <n v="0.26"/>
    <s v="Familia Navarro Assing"/>
    <s v="liliaassing@gmail.com"/>
    <s v="Calle Güigüe Nro. 88-54"/>
    <s v="Cancelación Vigilancia, mes de Junio 2017"/>
    <x v="0"/>
    <m/>
    <s v="00357"/>
    <s v="26 de junio de 2017"/>
    <n v="26"/>
    <x v="7"/>
    <s v="0,26"/>
    <e v="#NAME?"/>
  </r>
  <r>
    <n v="358"/>
    <m/>
    <x v="0"/>
    <d v="2017-06-26T00:00:00"/>
    <n v="0.26"/>
    <s v="Familia Delgado Hidalgo"/>
    <s v="ardh@hotmail.com"/>
    <s v="Calle Güigüe Nro. 88-10"/>
    <s v="Cancelación Vigilancia, mes de Mayo 2017"/>
    <x v="0"/>
    <m/>
    <s v="00358"/>
    <s v="26 de junio de 2017"/>
    <n v="26"/>
    <x v="7"/>
    <s v="0,26"/>
    <e v="#NAME?"/>
  </r>
  <r>
    <n v="359"/>
    <m/>
    <x v="0"/>
    <d v="2017-06-26T00:00:00"/>
    <n v="7.0000000000000007E-2"/>
    <s v="Familia Delgado Hidalgo"/>
    <s v="ardh@hotmail.com"/>
    <s v="Calle Güigüe Nro. 88-10"/>
    <s v="Cuota especial, reja vereda Centro Comercial"/>
    <x v="4"/>
    <m/>
    <s v="00359"/>
    <s v="26 de junio de 2017"/>
    <n v="26"/>
    <x v="7"/>
    <s v="0,07"/>
    <e v="#NAME?"/>
  </r>
  <r>
    <n v="360"/>
    <m/>
    <x v="0"/>
    <d v="2017-06-26T00:00:00"/>
    <n v="7.0000000000000007E-2"/>
    <s v="Familia Rivero"/>
    <s v="En Físico"/>
    <s v="Calle Güigüe Nro. 88-40"/>
    <s v="Cuota especial, reja vereda Centro Comercial"/>
    <x v="4"/>
    <m/>
    <s v="00360"/>
    <s v="26 de junio de 2017"/>
    <n v="26"/>
    <x v="7"/>
    <s v="0,07"/>
    <e v="#NAME?"/>
  </r>
  <r>
    <n v="361"/>
    <m/>
    <x v="0"/>
    <d v="2017-06-27T00:00:00"/>
    <n v="7.0000000000000007E-2"/>
    <s v="Familia Montilla García"/>
    <s v="dairy252525@hotmail.com"/>
    <s v="Calle Güigüe Nro. 89-90"/>
    <s v="Cuota especial, reja vereda Centro Comercial"/>
    <x v="4"/>
    <m/>
    <s v="00361"/>
    <s v="27 de junio de 2017"/>
    <n v="27"/>
    <x v="7"/>
    <s v="0,07"/>
    <e v="#NAME?"/>
  </r>
  <r>
    <n v="362"/>
    <m/>
    <x v="0"/>
    <d v="2017-06-28T00:00:00"/>
    <n v="0.03"/>
    <s v="Ma. de Jesus Alonso"/>
    <s v="marjoriealonsoh@hotmail.com"/>
    <s v="Calle Güigüe Nro. 88-30"/>
    <s v="Colaboración Vigilancia, mes de Mayo 2017"/>
    <x v="0"/>
    <m/>
    <s v="00362"/>
    <s v="28 de junio de 2017"/>
    <n v="28"/>
    <x v="7"/>
    <s v="0,03"/>
    <e v="#NAME?"/>
  </r>
  <r>
    <n v="363"/>
    <m/>
    <x v="0"/>
    <d v="2017-06-20T00:00:00"/>
    <n v="0.26"/>
    <s v="Familia Díaz González"/>
    <s v="luisrdt57@gmail.com"/>
    <s v="Calle Güigüe Nro. 88-116"/>
    <s v="Cancelación Vigilancia, mes de Junio 2017"/>
    <x v="0"/>
    <m/>
    <s v="00363"/>
    <s v="20 de junio de 2017"/>
    <n v="20"/>
    <x v="7"/>
    <s v="0,26"/>
    <e v="#NAME?"/>
  </r>
  <r>
    <n v="364"/>
    <m/>
    <x v="1"/>
    <d v="2017-06-28T00:00:00"/>
    <n v="7.0000000000000007E-2"/>
    <s v="Beatriz Lara"/>
    <s v="valentina.gutierrez@hotmail.com"/>
    <s v="Calle Guacara Nro. 89-130"/>
    <s v="ANULADO: Cuota especial, reja vereda Centro Comercial"/>
    <x v="3"/>
    <m/>
    <s v="00364"/>
    <s v="28 de junio de 2017"/>
    <n v="28"/>
    <x v="7"/>
    <s v="0,07"/>
    <e v="#NAME?"/>
  </r>
  <r>
    <n v="365"/>
    <m/>
    <x v="0"/>
    <d v="2017-06-28T00:00:00"/>
    <n v="0.17"/>
    <s v="Familia Castro Jiménez"/>
    <s v="0426-543.4303"/>
    <s v="Calle Guacara Nro. 90-51"/>
    <s v="Cancelación Vigilancia, mes de Abril 2017"/>
    <x v="0"/>
    <m/>
    <s v="00365"/>
    <s v="28 de junio de 2017"/>
    <n v="28"/>
    <x v="7"/>
    <s v="0,17"/>
    <e v="#NAME?"/>
  </r>
  <r>
    <n v="366"/>
    <m/>
    <x v="0"/>
    <d v="2017-06-28T00:00:00"/>
    <n v="0.52"/>
    <s v="Familia Castro Jiménez"/>
    <s v="0426-543.4303"/>
    <s v="Calle Guacara Nro. 90-51"/>
    <s v="Cancelación Vigilancia, meses de Mayo y Junio 2017"/>
    <x v="0"/>
    <m/>
    <s v="00366"/>
    <s v="28 de junio de 2017"/>
    <n v="28"/>
    <x v="7"/>
    <s v="0,52"/>
    <e v="#NAME?"/>
  </r>
  <r>
    <n v="367"/>
    <m/>
    <x v="0"/>
    <d v="2017-06-29T00:00:00"/>
    <n v="7.0000000000000007E-2"/>
    <s v="Familia Cegarra Villamizar"/>
    <s v="jesus.villamizar.ra@gmail.com"/>
    <s v="Calle Guacara Nro. 88-35"/>
    <s v="Cuota especial, reja vereda Centro Comercial"/>
    <x v="4"/>
    <m/>
    <s v="00367"/>
    <s v="29 de junio de 2017"/>
    <n v="29"/>
    <x v="7"/>
    <s v="0,07"/>
    <e v="#NAME?"/>
  </r>
  <r>
    <n v="368"/>
    <m/>
    <x v="0"/>
    <d v="2017-06-30T00:00:00"/>
    <n v="0.02"/>
    <s v="Familia Hurtado"/>
    <s v="francisco_hurtado@hotmail.com"/>
    <s v="Av. &quot;O&quot; Nro. 146-11"/>
    <s v="Cancelación saldo cuota especial, reja vereda Centro Comercial"/>
    <x v="4"/>
    <m/>
    <s v="00368"/>
    <s v="30 de junio de 2017"/>
    <n v="30"/>
    <x v="7"/>
    <s v="0,02"/>
    <e v="#NAME?"/>
  </r>
  <r>
    <n v="369"/>
    <m/>
    <x v="0"/>
    <d v="2017-06-30T00:00:00"/>
    <n v="7.0000000000000007E-2"/>
    <s v="Familia Sirit Palencia"/>
    <s v="irasirit@gmail.com"/>
    <s v="Calle Güigüe Nro. 89-35"/>
    <s v="Cuota especial, reja vereda Centro Comercial"/>
    <x v="4"/>
    <m/>
    <s v="00369"/>
    <s v="30 de junio de 2017"/>
    <n v="30"/>
    <x v="7"/>
    <s v="0,07"/>
    <e v="#NAME?"/>
  </r>
  <r>
    <n v="370"/>
    <m/>
    <x v="0"/>
    <d v="2017-06-30T00:00:00"/>
    <n v="0.05"/>
    <s v="Familia Molina Estopiñán"/>
    <s v="En Físico"/>
    <s v="Calle Güigüe Nro. 89-30"/>
    <s v="Colaboración cuota especial, reja vereda Centro Comercial"/>
    <x v="4"/>
    <m/>
    <s v="00370"/>
    <s v="30 de junio de 2017"/>
    <n v="30"/>
    <x v="7"/>
    <s v="0,05"/>
    <e v="#NAME?"/>
  </r>
  <r>
    <n v="371"/>
    <m/>
    <x v="0"/>
    <d v="2017-06-30T00:00:00"/>
    <n v="0.27"/>
    <s v="Familia Durvelle Serrano"/>
    <s v="sdurvelle@hotmail.com"/>
    <s v="Calle Guacara Nro. 89-60"/>
    <s v="Anticipo Vigilancia, mes de Julio 2017"/>
    <x v="0"/>
    <m/>
    <s v="00371"/>
    <s v="30 de junio de 2017"/>
    <n v="30"/>
    <x v="7"/>
    <s v="0,27"/>
    <e v="#NAME?"/>
  </r>
  <r>
    <n v="372"/>
    <m/>
    <x v="0"/>
    <d v="2017-07-02T00:00:00"/>
    <n v="0.05"/>
    <s v="Victoria Francischiello"/>
    <s v="victoriafrancischiello@hotmail.com"/>
    <s v="Calle Guacara Nro. 88-25"/>
    <s v="Colaboración cuota especial, reja vereda Centro Comercial"/>
    <x v="4"/>
    <m/>
    <s v="00372"/>
    <s v="02 de julio de 2017"/>
    <n v="2"/>
    <x v="8"/>
    <s v="0,05"/>
    <e v="#NAME?"/>
  </r>
  <r>
    <n v="373"/>
    <m/>
    <x v="0"/>
    <d v="2017-07-02T00:00:00"/>
    <n v="0.34"/>
    <s v="Familia Franco Gómez"/>
    <s v="eof64@hotmail.com"/>
    <s v="Calle Guacara Nro. 87-07"/>
    <s v="Colaboración Vigilancia, meses de Junio y Julio 2017"/>
    <x v="0"/>
    <m/>
    <s v="00373"/>
    <s v="02 de julio de 2017"/>
    <n v="2"/>
    <x v="8"/>
    <s v="0,34"/>
    <e v="#NAME?"/>
  </r>
  <r>
    <n v="374"/>
    <m/>
    <x v="0"/>
    <d v="2017-07-02T00:00:00"/>
    <n v="7.0000000000000007E-2"/>
    <s v="Familia Franco Gómez"/>
    <s v="eof64@hotmail.com"/>
    <s v="Calle Guacara Nro. 87-07"/>
    <s v="Cuota especial, reja vereda Centro Comercial"/>
    <x v="4"/>
    <m/>
    <s v="00374"/>
    <s v="02 de julio de 2017"/>
    <n v="2"/>
    <x v="8"/>
    <s v="0,07"/>
    <e v="#NAME?"/>
  </r>
  <r>
    <n v="375"/>
    <m/>
    <x v="0"/>
    <d v="2017-07-01T00:00:00"/>
    <n v="0.26"/>
    <s v="Familia Del Negro Palermo"/>
    <s v="vdelnegro@gmail.com"/>
    <s v="Calle Guacara Nro. 88-45"/>
    <s v="Anticipo Vigilancia, mes de Julio 2017 (saldo a favor: Bs. 139.000)"/>
    <x v="0"/>
    <m/>
    <s v="00375"/>
    <s v="01 de julio de 2017"/>
    <n v="1"/>
    <x v="8"/>
    <s v="0,26"/>
    <e v="#NAME?"/>
  </r>
  <r>
    <n v="376"/>
    <m/>
    <x v="0"/>
    <d v="2017-07-01T00:00:00"/>
    <n v="0.26"/>
    <s v="Ely Saúl Rivero Gómez"/>
    <s v="hhs.admon@gmail.com"/>
    <s v="Av. &quot;Ñ&quot; Nro. 145-25"/>
    <s v="Anticipo Vigilancia, mes de Julio 2017 (saldo a favor: Bs. 130.000)"/>
    <x v="0"/>
    <m/>
    <s v="00376"/>
    <s v="01 de julio de 2017"/>
    <n v="1"/>
    <x v="8"/>
    <s v="0,26"/>
    <e v="#NAME?"/>
  </r>
  <r>
    <n v="377"/>
    <m/>
    <x v="0"/>
    <d v="2017-07-02T00:00:00"/>
    <n v="7.0000000000000007E-2"/>
    <s v="Familia Navarro Assing"/>
    <s v="liliaassing@gmail.com"/>
    <s v="Calle Güigüe Nro. 88-54"/>
    <s v="Cuota especial, reja vereda Centro Comercial"/>
    <x v="4"/>
    <m/>
    <s v="00377"/>
    <s v="02 de julio de 2017"/>
    <n v="2"/>
    <x v="8"/>
    <s v="0,07"/>
    <e v="#NAME?"/>
  </r>
  <r>
    <n v="378"/>
    <m/>
    <x v="0"/>
    <d v="2017-07-03T00:00:00"/>
    <n v="0.26"/>
    <s v="Familia Loponte Arteaga"/>
    <s v="nancyloponte@hotmail.com"/>
    <s v="Calle Güigüe Nro. 88-120"/>
    <s v="Anticipo Vigilancia, mes de Julio 2017"/>
    <x v="0"/>
    <m/>
    <s v="00378"/>
    <s v="03 de julio de 2017"/>
    <n v="3"/>
    <x v="8"/>
    <s v="0,26"/>
    <e v="#NAME?"/>
  </r>
  <r>
    <n v="379"/>
    <m/>
    <x v="0"/>
    <d v="2017-07-03T00:00:00"/>
    <n v="7.0000000000000007E-2"/>
    <s v="Familia Loponte Arteaga"/>
    <s v="nancyloponte@hotmail.com"/>
    <s v="Calle Güigüe Nro. 88-120"/>
    <s v="Cuota especial, reja vereda Centro Comercial"/>
    <x v="4"/>
    <m/>
    <s v="00379"/>
    <s v="03 de julio de 2017"/>
    <n v="3"/>
    <x v="8"/>
    <s v="0,07"/>
    <e v="#NAME?"/>
  </r>
  <r>
    <n v="380"/>
    <m/>
    <x v="0"/>
    <d v="2017-07-03T00:00:00"/>
    <n v="0.25"/>
    <s v="Familia Fermín Rivas"/>
    <s v="angelferminb@gmail.com"/>
    <s v="Calle Güigüe Nro. 89-55"/>
    <s v="Anticipo Vigilancia, mes de Julio 2017"/>
    <x v="0"/>
    <m/>
    <s v="00380"/>
    <s v="03 de julio de 2017"/>
    <n v="3"/>
    <x v="8"/>
    <s v="0,25"/>
    <e v="#NAME?"/>
  </r>
  <r>
    <n v="381"/>
    <m/>
    <x v="0"/>
    <d v="2017-07-03T00:00:00"/>
    <n v="0.89387000000000005"/>
    <s v="Familia Martínez Boada"/>
    <s v="florcitakmz@gmail.com"/>
    <s v="Calle Güigüe Nro. 88-62"/>
    <s v="Cancelación saldo Vigilancia, mes de Feb 2017, y cancelación Vigilancia, meses de Mar-Jun 2017 (saldo a favor: Bs. 36.613)"/>
    <x v="0"/>
    <m/>
    <s v="00381"/>
    <s v="03 de julio de 2017"/>
    <n v="3"/>
    <x v="8"/>
    <s v="0,89"/>
    <e v="#NAME?"/>
  </r>
  <r>
    <n v="382"/>
    <m/>
    <x v="0"/>
    <d v="2017-07-03T00:00:00"/>
    <n v="0.15"/>
    <s v="Héctor Hernández"/>
    <s v="eof64@hotmail.com"/>
    <s v="Calle Guacara Nro. 89-94"/>
    <s v="Colaboración Vigilancia, mes de Julio 2017"/>
    <x v="0"/>
    <m/>
    <s v="00382"/>
    <s v="03 de julio de 2017"/>
    <n v="3"/>
    <x v="8"/>
    <s v="0,15"/>
    <e v="#NAME?"/>
  </r>
  <r>
    <n v="383"/>
    <m/>
    <x v="0"/>
    <d v="2017-07-03T00:00:00"/>
    <n v="7.0000000000000007E-2"/>
    <s v="Héctor Hernández"/>
    <s v="eof64@hotmail.com"/>
    <s v="Calle Guacara Nro. 89-94"/>
    <s v="Cuota especial, reja vereda Centro Comercial"/>
    <x v="4"/>
    <m/>
    <s v="00383"/>
    <s v="03 de julio de 2017"/>
    <n v="3"/>
    <x v="8"/>
    <s v="0,07"/>
    <e v="#NAME?"/>
  </r>
  <r>
    <n v="384"/>
    <m/>
    <x v="0"/>
    <d v="2017-07-04T00:00:00"/>
    <n v="0.94"/>
    <s v="Familia Leung"/>
    <s v="0412-406.5167"/>
    <s v="Calle Guacara Nro. 88-55"/>
    <s v="Cancelación Vigilancia, meses de Enero, Febrero, Marzo, Abril y Mayo 2017"/>
    <x v="0"/>
    <m/>
    <s v="00384"/>
    <s v="04 de julio de 2017"/>
    <n v="4"/>
    <x v="8"/>
    <s v="0,94"/>
    <e v="#NAME?"/>
  </r>
  <r>
    <n v="385"/>
    <m/>
    <x v="0"/>
    <d v="2017-07-04T00:00:00"/>
    <n v="7.0000000000000007E-2"/>
    <s v="Familia Narváez Caldera"/>
    <s v="jeannette_nc@yahoo.com"/>
    <s v="Calle Güigüe Nro. 87-A-11"/>
    <s v="Cuota especial, reja vereda Centro Comercial"/>
    <x v="4"/>
    <m/>
    <s v="00385"/>
    <s v="04 de julio de 2017"/>
    <n v="4"/>
    <x v="8"/>
    <s v="0,07"/>
    <e v="#NAME?"/>
  </r>
  <r>
    <n v="386"/>
    <m/>
    <x v="0"/>
    <d v="2017-07-05T00:00:00"/>
    <n v="0.1"/>
    <s v="Chin Chun Ya (Goya)"/>
    <s v="uc2721@gmail.com"/>
    <s v="Calle Guacara Nro. 87-86"/>
    <s v="Colaboración Vigilancia, mes de Julio 2017"/>
    <x v="0"/>
    <m/>
    <s v="00386"/>
    <s v="05 de julio de 2017"/>
    <n v="5"/>
    <x v="8"/>
    <s v="0,10"/>
    <e v="#NAME?"/>
  </r>
  <r>
    <n v="387"/>
    <m/>
    <x v="0"/>
    <d v="2017-07-06T00:00:00"/>
    <n v="0.2"/>
    <s v="Dra. Lilia Magallanes"/>
    <s v="liliamagallanes2010@gmail.com"/>
    <s v="Calle Güigüe Nro. 88-51"/>
    <s v="Colaboración Vigilancia, mes de Junio 2017"/>
    <x v="0"/>
    <m/>
    <s v="00387"/>
    <s v="06 de julio de 2017"/>
    <n v="6"/>
    <x v="8"/>
    <s v="0,20"/>
    <e v="#NAME?"/>
  </r>
  <r>
    <n v="388"/>
    <m/>
    <x v="0"/>
    <d v="2017-07-06T00:00:00"/>
    <n v="0.26"/>
    <s v="Familia Milanés Carmona"/>
    <s v="yndira11m@gmail.com"/>
    <s v="Calle Güigüe Nro. 89-65"/>
    <s v="Cancelación Vigilancia, mes de Junio 2017"/>
    <x v="0"/>
    <m/>
    <s v="00388"/>
    <s v="06 de julio de 2017"/>
    <n v="6"/>
    <x v="8"/>
    <s v="0,26"/>
    <e v="#NAME?"/>
  </r>
  <r>
    <n v="389"/>
    <m/>
    <x v="0"/>
    <d v="2017-07-06T00:00:00"/>
    <n v="0.04"/>
    <s v="Familia Milanés Carmona"/>
    <s v="yndira11m@gmail.com"/>
    <s v="Calle Güigüe Nro. 89-65"/>
    <s v="Colaboración cuota especial, reja vereda Centro Comercial"/>
    <x v="4"/>
    <m/>
    <s v="00389"/>
    <s v="06 de julio de 2017"/>
    <n v="6"/>
    <x v="8"/>
    <s v="0,04"/>
    <e v="#NAME?"/>
  </r>
  <r>
    <n v="390"/>
    <m/>
    <x v="0"/>
    <d v="2017-07-06T00:00:00"/>
    <n v="0.26"/>
    <s v="Wu Hung Fung"/>
    <s v="carolinahung24@gmail.com"/>
    <s v="Calle Guacara Nro. 90-81"/>
    <s v="Anticipo Vigilancia, mes de Julio 2017"/>
    <x v="0"/>
    <m/>
    <s v="00390"/>
    <s v="06 de julio de 2017"/>
    <n v="6"/>
    <x v="8"/>
    <s v="0,26"/>
    <e v="#NAME?"/>
  </r>
  <r>
    <n v="391"/>
    <m/>
    <x v="0"/>
    <d v="2017-07-07T00:00:00"/>
    <n v="0.52"/>
    <s v="Familia Ochoa Mendoza"/>
    <s v="marisoljudithm@hotmail.com"/>
    <s v="Calle Güigüe Nro. 89-105"/>
    <s v="Cancelación Vigilancia, mes de Junio y anticipo Julio 2017"/>
    <x v="0"/>
    <m/>
    <s v="00391"/>
    <s v="07 de julio de 2017"/>
    <n v="7"/>
    <x v="8"/>
    <s v="0,52"/>
    <e v="#NAME?"/>
  </r>
  <r>
    <n v="392"/>
    <m/>
    <x v="0"/>
    <d v="2017-07-07T00:00:00"/>
    <n v="7.0000000000000007E-2"/>
    <s v="Familia Ochoa Mendoza"/>
    <s v="marisoljudithm@hotmail.com"/>
    <s v="Calle Güigüe Nro. 89-105"/>
    <s v="Cuota especial, reja vereda Centro Comercial"/>
    <x v="4"/>
    <m/>
    <s v="00392"/>
    <s v="07 de julio de 2017"/>
    <n v="7"/>
    <x v="8"/>
    <s v="0,07"/>
    <e v="#NAME?"/>
  </r>
  <r>
    <n v="393"/>
    <m/>
    <x v="0"/>
    <d v="2017-06-06T00:00:00"/>
    <n v="0.26"/>
    <s v="Familia Zavarce Pérez"/>
    <s v="En Físico"/>
    <s v="Calle Guacara Nro. 90-35"/>
    <s v="Cancelación Vigilancia, mes de Junio 2017"/>
    <x v="0"/>
    <m/>
    <s v="00393"/>
    <s v="06 de junio de 2017"/>
    <n v="6"/>
    <x v="7"/>
    <s v="0,26"/>
    <e v="#NAME?"/>
  </r>
  <r>
    <n v="394"/>
    <m/>
    <x v="0"/>
    <d v="2017-07-09T00:00:00"/>
    <n v="0.26"/>
    <s v="Familia Colosso Delgado"/>
    <s v="mcolosso@gmail.com"/>
    <s v="Calle Güigüe Nro. 88-44"/>
    <s v="Anticipo Vigilancia, mes de Julio 2017"/>
    <x v="0"/>
    <m/>
    <s v="00394"/>
    <s v="09 de julio de 2017"/>
    <n v="9"/>
    <x v="8"/>
    <s v="0,26"/>
    <e v="#NAME?"/>
  </r>
  <r>
    <n v="395"/>
    <m/>
    <x v="0"/>
    <d v="2017-07-10T00:00:00"/>
    <n v="7.0000000000000007E-2"/>
    <s v="Familia Díaz González"/>
    <s v="luisrdt57@gmail.com"/>
    <s v="Calle Güigüe Nro. 88-116"/>
    <s v="Cuota especial, reja vereda Centro Comercial"/>
    <x v="4"/>
    <m/>
    <s v="00395"/>
    <s v="10 de julio de 2017"/>
    <n v="10"/>
    <x v="8"/>
    <s v="0,07"/>
    <e v="#NAME?"/>
  </r>
  <r>
    <n v="396"/>
    <m/>
    <x v="0"/>
    <d v="2017-07-10T00:00:00"/>
    <n v="0.26"/>
    <s v="Familia Astor Zamora"/>
    <s v="imzastor@gmail.com"/>
    <s v="Calle Güigüe Nro. 88-111"/>
    <s v="Cancelación Vigilancia, mes de Junio 2017"/>
    <x v="0"/>
    <m/>
    <s v="00396"/>
    <s v="10 de julio de 2017"/>
    <n v="10"/>
    <x v="8"/>
    <s v="0,26"/>
    <e v="#NAME?"/>
  </r>
  <r>
    <n v="397"/>
    <m/>
    <x v="0"/>
    <d v="2017-06-02T00:00:00"/>
    <n v="0.26"/>
    <s v="Familia Loponte Arteaga"/>
    <s v="nancyloponte@hotmail.com"/>
    <s v="Calle Güigüe Nro. 88-120"/>
    <s v="Cancelación Vigilancia, mes de Junio 2017"/>
    <x v="0"/>
    <m/>
    <s v="00397"/>
    <s v="02 de junio de 2017"/>
    <n v="2"/>
    <x v="7"/>
    <s v="0,26"/>
    <e v="#NAME?"/>
  </r>
  <r>
    <n v="398"/>
    <m/>
    <x v="0"/>
    <d v="2017-07-11T00:00:00"/>
    <n v="0.26"/>
    <s v="Familia Fernández Parés"/>
    <s v="vultecca@gmail.com"/>
    <s v="Calle Guacara Nro. 88-75"/>
    <s v="Cancelación Vigilancia, mes de Junio 2017"/>
    <x v="0"/>
    <m/>
    <s v="00398"/>
    <s v="11 de julio de 2017"/>
    <n v="11"/>
    <x v="8"/>
    <s v="0,26"/>
    <e v="#NAME?"/>
  </r>
  <r>
    <n v="399"/>
    <m/>
    <x v="0"/>
    <d v="2017-06-14T00:00:00"/>
    <n v="0.26"/>
    <s v="Familia Arcia Polanco"/>
    <s v="misipo29@gmail.com"/>
    <s v="Calle Guacara Nro. 89-20"/>
    <s v="Cancelación Vigilancia, mes de Junio 2017"/>
    <x v="0"/>
    <m/>
    <s v="00399"/>
    <s v="14 de junio de 2017"/>
    <n v="14"/>
    <x v="7"/>
    <s v="0,26"/>
    <e v="#NAME?"/>
  </r>
  <r>
    <n v="400"/>
    <m/>
    <x v="0"/>
    <d v="2017-06-14T00:00:00"/>
    <n v="7.0000000000000007E-2"/>
    <s v="Familia Arcia Polanco"/>
    <s v="misipo29@gmail.com"/>
    <s v="Calle Guacara Nro. 89-20"/>
    <s v="Cuota especial, reja vereda Centro Comercial"/>
    <x v="4"/>
    <m/>
    <s v="00400"/>
    <s v="14 de junio de 2017"/>
    <n v="14"/>
    <x v="7"/>
    <s v="0,07"/>
    <e v="#NAME?"/>
  </r>
  <r>
    <n v="401"/>
    <m/>
    <x v="0"/>
    <d v="2017-07-11T00:00:00"/>
    <n v="0.26"/>
    <s v="Familia Montilla García"/>
    <s v="dairy252525@hotmail.com"/>
    <s v="Calle Güigüe Nro. 89-90"/>
    <s v="Anticipo Vigilancia, mes de Julio 2017"/>
    <x v="0"/>
    <m/>
    <s v="00401"/>
    <s v="11 de julio de 2017"/>
    <n v="11"/>
    <x v="8"/>
    <s v="0,26"/>
    <e v="#NAME?"/>
  </r>
  <r>
    <n v="402"/>
    <m/>
    <x v="0"/>
    <d v="2017-07-11T00:00:00"/>
    <n v="0.26"/>
    <s v="Familia Arcia Polanco"/>
    <s v="misipo29@gmail.com"/>
    <s v="Calle Guacara Nro. 89-20"/>
    <s v="Anticipo Vigilancia, mes de Julio 2017"/>
    <x v="0"/>
    <m/>
    <s v="00402"/>
    <s v="11 de julio de 2017"/>
    <n v="11"/>
    <x v="8"/>
    <s v="0,26"/>
    <e v="#NAME?"/>
  </r>
  <r>
    <n v="403"/>
    <m/>
    <x v="0"/>
    <d v="2017-07-11T00:00:00"/>
    <n v="0.05"/>
    <s v="Silvia Power"/>
    <s v="spowermeneses@gmail.com"/>
    <s v="Calle Güigüe Nro. 89-16"/>
    <s v="Colaboración cuota especial, reja vereda Centro Comercial"/>
    <x v="4"/>
    <m/>
    <s v="00403"/>
    <s v="11 de julio de 2017"/>
    <n v="11"/>
    <x v="8"/>
    <s v="0,05"/>
    <e v="#NAME?"/>
  </r>
  <r>
    <n v="404"/>
    <m/>
    <x v="1"/>
    <d v="2017-07-11T00:00:00"/>
    <m/>
    <s v="Silvia Power"/>
    <s v="spowermeneses@gmail.com"/>
    <s v="Calle Güigüe Nro. 89-16"/>
    <s v="Donación de láminas de acerolit, manto asfáltico y vidrios para la caseta de vigilancia, quedando exonerada de pago hasta Diciembre 2017"/>
    <x v="6"/>
    <m/>
    <s v="00404"/>
    <s v="11 de julio de 2017"/>
    <n v="11"/>
    <x v="8"/>
    <s v=" - - - "/>
    <s v="- - -"/>
  </r>
  <r>
    <n v="405"/>
    <m/>
    <x v="0"/>
    <d v="2017-07-12T00:00:00"/>
    <n v="0.66"/>
    <s v="Familia Machado Stoppa"/>
    <s v="machadoru@hotmail.com"/>
    <s v="Calle Guacara Nro. 88-85"/>
    <s v="Colaboración Vigilancia, meses de Abril, Mayo y Junio 2017"/>
    <x v="0"/>
    <m/>
    <s v="00405"/>
    <s v="12 de julio de 2017"/>
    <n v="12"/>
    <x v="8"/>
    <s v="0,66"/>
    <e v="#NAME?"/>
  </r>
  <r>
    <n v="406"/>
    <m/>
    <x v="0"/>
    <d v="2017-07-12T00:00:00"/>
    <n v="0.26"/>
    <s v="Familia Narváez Caldera"/>
    <s v="jeannette_nc@yahoo.com"/>
    <s v="Calle Güigüe Nro. 87-A-11"/>
    <s v="Anticipo Vigilancia, mes de Julio 2017"/>
    <x v="0"/>
    <m/>
    <s v="00406"/>
    <s v="12 de julio de 2017"/>
    <n v="12"/>
    <x v="8"/>
    <s v="0,26"/>
    <e v="#NAME?"/>
  </r>
  <r>
    <n v="407"/>
    <m/>
    <x v="0"/>
    <d v="2017-07-12T00:00:00"/>
    <n v="0.26"/>
    <s v="Familia Guerra Miret"/>
    <s v="antoniojguerrag@hotmail.com"/>
    <s v="Calle Güigüe Nro. 89-40"/>
    <s v="Cancelación Vigilancia, mes de Junio y anticipo Julio 2017"/>
    <x v="0"/>
    <m/>
    <s v="00407"/>
    <s v="12 de julio de 2017"/>
    <n v="12"/>
    <x v="8"/>
    <s v="0,26"/>
    <e v="#NAME?"/>
  </r>
  <r>
    <n v="408"/>
    <m/>
    <x v="0"/>
    <d v="2017-07-12T00:00:00"/>
    <n v="7.0000000000000007E-2"/>
    <s v="Familia Guerra Miret"/>
    <s v="antoniojguerrag@hotmail.com"/>
    <s v="Calle Güigüe Nro. 89-40"/>
    <s v="Cuota especial, reja vereda Centro Comercial"/>
    <x v="4"/>
    <m/>
    <s v="00408"/>
    <s v="12 de julio de 2017"/>
    <n v="12"/>
    <x v="8"/>
    <s v="0,07"/>
    <e v="#NAME?"/>
  </r>
  <r>
    <n v="409"/>
    <m/>
    <x v="0"/>
    <d v="2017-07-12T00:00:00"/>
    <n v="0.26"/>
    <s v="Familia Lomeña Agudo"/>
    <s v="claudialomena@hotmail.com"/>
    <s v="Calle Guacara Nro. 89-30"/>
    <s v="Anticipo Vigilancia, mes de Julio 2017"/>
    <x v="0"/>
    <m/>
    <s v="00409"/>
    <s v="12 de julio de 2017"/>
    <n v="12"/>
    <x v="8"/>
    <s v="0,26"/>
    <e v="#NAME?"/>
  </r>
  <r>
    <n v="410"/>
    <m/>
    <x v="0"/>
    <d v="2017-07-12T00:00:00"/>
    <n v="0.1"/>
    <s v="Familia Triana González"/>
    <s v="En Físico"/>
    <s v="Calle Guacara Nro. 90-61"/>
    <s v="Colaboración Vigilancia, meses de Ene-May 2017"/>
    <x v="0"/>
    <m/>
    <s v="00410"/>
    <s v="12 de julio de 2017"/>
    <n v="12"/>
    <x v="8"/>
    <s v="0,10"/>
    <e v="#NAME?"/>
  </r>
  <r>
    <n v="411"/>
    <m/>
    <x v="0"/>
    <d v="2017-07-04T00:00:00"/>
    <n v="0.18"/>
    <s v="Ana de González"/>
    <s v="mikelnowak25@gmail.com"/>
    <s v="Av. &quot;O&quot; Nro. 146-17"/>
    <s v="Cancelación saldo Vigilancia, meses de Mayo y Junio 2017"/>
    <x v="0"/>
    <m/>
    <s v="00411"/>
    <s v="04 de julio de 2017"/>
    <n v="4"/>
    <x v="8"/>
    <s v="0,18"/>
    <e v="#NAME?"/>
  </r>
  <r>
    <n v="412"/>
    <m/>
    <x v="0"/>
    <d v="2017-07-12T00:00:00"/>
    <n v="0.26"/>
    <s v="Anahiz Seijas"/>
    <s v="anahiz_2@hotmail.es"/>
    <s v="Calle Güigüe Nro. 89-106"/>
    <s v="Cancelación Vigilancia, mes de Junio 2017"/>
    <x v="0"/>
    <m/>
    <s v="00412"/>
    <s v="12 de julio de 2017"/>
    <n v="12"/>
    <x v="8"/>
    <s v="0,26"/>
    <e v="#NAME?"/>
  </r>
  <r>
    <n v="413"/>
    <m/>
    <x v="0"/>
    <d v="2017-07-13T00:00:00"/>
    <n v="0.26"/>
    <s v="Familia Kattar González"/>
    <s v="jagiak123@yahoo.es"/>
    <s v="Calle Güigüe Nro. 89-95"/>
    <s v="Cancelación Vigilancia, mes de Junio 2017"/>
    <x v="0"/>
    <m/>
    <s v="00413"/>
    <s v="13 de julio de 2017"/>
    <n v="13"/>
    <x v="8"/>
    <s v="0,26"/>
    <e v="#NAME?"/>
  </r>
  <r>
    <n v="414"/>
    <m/>
    <x v="0"/>
    <d v="2017-07-14T00:00:00"/>
    <n v="0.34"/>
    <s v="Yuraima Rodríguez"/>
    <s v="En Físico"/>
    <s v="Calle Guacara Nro. 89-70"/>
    <s v="Cancelación Vigilancia, meses de Marzo y Abril 2017"/>
    <x v="0"/>
    <m/>
    <s v="00414"/>
    <s v="14 de julio de 2017"/>
    <n v="14"/>
    <x v="8"/>
    <s v="0,34"/>
    <e v="#NAME?"/>
  </r>
  <r>
    <n v="415"/>
    <m/>
    <x v="0"/>
    <d v="2017-07-14T00:00:00"/>
    <n v="0.27"/>
    <s v="Familia Nava Gordon"/>
    <s v="maru_19_66@hotmail.com"/>
    <s v="Calle Guacara Nro. 89-78"/>
    <s v="Cancelación Vigilancia, mes de Junio y anticipo del mes de Julio 2017"/>
    <x v="0"/>
    <m/>
    <s v="00415"/>
    <s v="14 de julio de 2017"/>
    <n v="14"/>
    <x v="8"/>
    <s v="0,27"/>
    <e v="#NAME?"/>
  </r>
  <r>
    <n v="416"/>
    <m/>
    <x v="0"/>
    <d v="2017-07-04T00:00:00"/>
    <n v="0.12"/>
    <s v="Familia Rodríguez Aular"/>
    <s v="mvaular@hotmail.com"/>
    <s v="Calle Güigüe Nro. 88-58"/>
    <s v="Colaboración Vigilancia, mes de Mayo 2017"/>
    <x v="0"/>
    <m/>
    <s v="00416"/>
    <s v="04 de julio de 2017"/>
    <n v="4"/>
    <x v="8"/>
    <s v="0,12"/>
    <e v="#NAME?"/>
  </r>
  <r>
    <n v="417"/>
    <m/>
    <x v="0"/>
    <d v="2017-07-14T00:00:00"/>
    <n v="0.26"/>
    <s v="Familia Ferrer Bahri"/>
    <s v="bahrimariela@hotmail.com"/>
    <s v="Calle Güigüe Nro. 89-83"/>
    <s v="Anticipo Vigilancia, mes de Julio 2017"/>
    <x v="0"/>
    <m/>
    <s v="00417"/>
    <s v="14 de julio de 2017"/>
    <n v="14"/>
    <x v="8"/>
    <s v="0,26"/>
    <e v="#NAME?"/>
  </r>
  <r>
    <n v="418"/>
    <m/>
    <x v="0"/>
    <d v="2017-07-14T00:00:00"/>
    <n v="0.2"/>
    <s v="Familia Kablan Sarmiento"/>
    <s v="norisjsb56@hotmail.com"/>
    <s v="Calle Güigüe Nro. 89-80"/>
    <s v="Colaboración Vigilancia, mes de Julio 2017"/>
    <x v="0"/>
    <m/>
    <s v="00418"/>
    <s v="14 de julio de 2017"/>
    <n v="14"/>
    <x v="8"/>
    <s v="0,20"/>
    <e v="#NAME?"/>
  </r>
  <r>
    <n v="419"/>
    <m/>
    <x v="0"/>
    <d v="2017-06-30T00:00:00"/>
    <n v="0.26"/>
    <s v="Familia Barreto Pérez"/>
    <s v="bbetsa19@hotmail.com"/>
    <s v="Av. &quot;M&quot; Nro. 146-15"/>
    <s v="Cancelación Vigilancia, mes de Junio 2017"/>
    <x v="0"/>
    <m/>
    <s v="00419"/>
    <s v="30 de junio de 2017"/>
    <n v="30"/>
    <x v="7"/>
    <s v="0,26"/>
    <e v="#NAME?"/>
  </r>
  <r>
    <n v="420"/>
    <m/>
    <x v="0"/>
    <d v="2017-07-15T00:00:00"/>
    <n v="0.15"/>
    <s v="Familia Rodríguez Landaeta"/>
    <s v="mrl58@hotmail.com"/>
    <s v="Calle Güigüe Nro. 89-29"/>
    <s v="Colaboración Vigilancia, mes de Julio 2017"/>
    <x v="0"/>
    <m/>
    <s v="00420"/>
    <s v="15 de julio de 2017"/>
    <n v="15"/>
    <x v="8"/>
    <s v="0,15"/>
    <e v="#NAME?"/>
  </r>
  <r>
    <n v="421"/>
    <m/>
    <x v="0"/>
    <d v="2017-07-17T00:00:00"/>
    <n v="0.26"/>
    <s v="Familia Delgado Hidalgo"/>
    <s v="ardh@hotmail.com"/>
    <s v="Calle Güigüe Nro. 88-10"/>
    <s v="Cancelación Vigilancia, mes de Junio 2017"/>
    <x v="0"/>
    <m/>
    <s v="00421"/>
    <s v="17 de julio de 2017"/>
    <n v="17"/>
    <x v="8"/>
    <s v="0,26"/>
    <e v="#NAME?"/>
  </r>
  <r>
    <n v="422"/>
    <m/>
    <x v="0"/>
    <d v="2017-07-17T00:00:00"/>
    <n v="0.3"/>
    <s v="La Casita Encantada"/>
    <s v="En Físico"/>
    <s v="Av. &quot;M&quot; Nro. 146-30"/>
    <s v="Anticipo Vigilancia, mes de Julio 2017"/>
    <x v="0"/>
    <m/>
    <s v="00422"/>
    <s v="17 de julio de 2017"/>
    <n v="17"/>
    <x v="8"/>
    <s v="0,30"/>
    <e v="#NAME?"/>
  </r>
  <r>
    <n v="423"/>
    <m/>
    <x v="0"/>
    <d v="2017-07-17T00:00:00"/>
    <n v="0.06"/>
    <s v="Familia Hurtado"/>
    <s v="En Físico"/>
    <s v="Av. &quot;O&quot; Nro. 146-11"/>
    <s v="Cancelación saldo Vigilancia, mes de Mayo 2017"/>
    <x v="0"/>
    <m/>
    <s v="00423"/>
    <s v="17 de julio de 2017"/>
    <n v="17"/>
    <x v="8"/>
    <s v="0,06"/>
    <e v="#NAME?"/>
  </r>
  <r>
    <n v="424"/>
    <m/>
    <x v="0"/>
    <d v="2017-07-18T00:00:00"/>
    <n v="0.09"/>
    <s v="Familia Arcia Polanco"/>
    <s v="misipo29@gmail.com"/>
    <s v="Calle Guacara Nro. 89-20"/>
    <s v="Cancelación saldo Vigilancia, mes de Julio 2017"/>
    <x v="0"/>
    <m/>
    <s v="00424"/>
    <s v="18 de julio de 2017"/>
    <n v="18"/>
    <x v="8"/>
    <s v="0,09"/>
    <e v="#NAME?"/>
  </r>
  <r>
    <n v="425"/>
    <m/>
    <x v="0"/>
    <d v="2017-07-18T00:00:00"/>
    <n v="0.1"/>
    <s v="La Casita Encantada"/>
    <s v="En Físico"/>
    <s v="Av. &quot;M&quot; Nro. 146-30"/>
    <s v="Cancelación saldo Vigilancia, mes de Julio 2017"/>
    <x v="0"/>
    <m/>
    <s v="00425"/>
    <s v="18 de julio de 2017"/>
    <n v="18"/>
    <x v="8"/>
    <s v="0,10"/>
    <e v="#NAME?"/>
  </r>
  <r>
    <n v="426"/>
    <m/>
    <x v="0"/>
    <d v="2017-07-18T00:00:00"/>
    <n v="0.26"/>
    <s v="Familia Hurtado"/>
    <s v="En Físico"/>
    <s v="Av. &quot;O&quot; Nro. 146-11"/>
    <s v="Cancelación Vigilancia, mes de Junio 2017"/>
    <x v="0"/>
    <m/>
    <s v="00426"/>
    <s v="18 de julio de 2017"/>
    <n v="18"/>
    <x v="8"/>
    <s v="0,26"/>
    <e v="#NAME?"/>
  </r>
  <r>
    <n v="427"/>
    <m/>
    <x v="0"/>
    <d v="2017-07-18T00:00:00"/>
    <n v="0.35"/>
    <s v="Familia Milanés Carmona"/>
    <s v="yndira11m@gmail.com"/>
    <s v="Calle Güigüe Nro. 89-65"/>
    <s v="Cancelación Vigilancia, mes de Julio 2017"/>
    <x v="0"/>
    <m/>
    <s v="00427"/>
    <s v="18 de julio de 2017"/>
    <n v="18"/>
    <x v="8"/>
    <s v="0,35"/>
    <e v="#NAME?"/>
  </r>
  <r>
    <n v="428"/>
    <m/>
    <x v="0"/>
    <d v="2017-07-18T00:00:00"/>
    <n v="0.35"/>
    <s v="Familia Sayago Peñaranda"/>
    <s v="alexissayago@gmail.com"/>
    <s v="Calle Güigüe Nro. 89-04"/>
    <s v="Cancelación Vigilancia, mes de Julio 2017"/>
    <x v="0"/>
    <m/>
    <s v="00428"/>
    <s v="18 de julio de 2017"/>
    <n v="18"/>
    <x v="8"/>
    <s v="0,35"/>
    <e v="#NAME?"/>
  </r>
  <r>
    <n v="429"/>
    <m/>
    <x v="0"/>
    <d v="2017-07-18T00:00:00"/>
    <n v="0.36"/>
    <s v="Familia Hatem Medina"/>
    <s v="hhatem1@hotmail.com"/>
    <s v="Calle Guacara Nro. 88-51"/>
    <s v="Complemento colaboración Vigilancia, mes de Mayo y Cancelación mes de Junio 2017"/>
    <x v="0"/>
    <m/>
    <s v="00429"/>
    <s v="18 de julio de 2017"/>
    <n v="18"/>
    <x v="8"/>
    <s v="0,36"/>
    <e v="#NAME?"/>
  </r>
  <r>
    <n v="430"/>
    <m/>
    <x v="0"/>
    <d v="2017-07-13T00:00:00"/>
    <n v="0.2"/>
    <s v="Familia Zavarce Barón"/>
    <s v="0414-241.8055"/>
    <s v="Calle Guacara Nro. 88-91"/>
    <s v="Colaboración Vigilancia, meses de Mayo y Junio 2017"/>
    <x v="0"/>
    <m/>
    <s v="00430"/>
    <s v="13 de julio de 2017"/>
    <n v="13"/>
    <x v="8"/>
    <s v="0,20"/>
    <e v="#NAME?"/>
  </r>
  <r>
    <n v="431"/>
    <m/>
    <x v="0"/>
    <d v="2017-07-18T00:00:00"/>
    <n v="0.09"/>
    <s v="Familia Del Negro Palermo"/>
    <s v="vdelnegro@gmail.com"/>
    <s v="Calle Guacara Nro. 88-45"/>
    <s v="Cancelación saldo Vigilancia, mes de Julio 2017 (saldo a favor: Bs. 130.000)"/>
    <x v="0"/>
    <m/>
    <s v="00431"/>
    <s v="18 de julio de 2017"/>
    <n v="18"/>
    <x v="8"/>
    <s v="0,09"/>
    <e v="#NAME?"/>
  </r>
  <r>
    <n v="432"/>
    <m/>
    <x v="0"/>
    <d v="2017-07-18T00:00:00"/>
    <n v="0.09"/>
    <s v="Ely Saúl Rivero Gómez"/>
    <s v="hhs.admon@gmail.com"/>
    <s v="Av. &quot;Ñ&quot; Nro. 145-25"/>
    <s v="Cancelación saldo Vigilancia, mes de Julio 2017 (saldo a favor: Bs. 121.000)"/>
    <x v="0"/>
    <m/>
    <s v="00432"/>
    <s v="18 de julio de 2017"/>
    <n v="18"/>
    <x v="8"/>
    <s v="0,09"/>
    <e v="#NAME?"/>
  </r>
  <r>
    <n v="433"/>
    <m/>
    <x v="0"/>
    <d v="2017-07-18T00:00:00"/>
    <n v="0.09"/>
    <s v="Familia Puerta Burguillos"/>
    <s v="namaricakes@gmail.com"/>
    <s v="Calle Guacara Nro. 87-100"/>
    <s v="Cancelación saldo Vigilancia, mes de Julio 2017"/>
    <x v="0"/>
    <m/>
    <s v="00433"/>
    <s v="18 de julio de 2017"/>
    <n v="18"/>
    <x v="8"/>
    <s v="0,09"/>
    <e v="#NAME?"/>
  </r>
  <r>
    <n v="434"/>
    <m/>
    <x v="0"/>
    <d v="2017-07-18T00:00:00"/>
    <n v="0.09"/>
    <s v="Familia Ferrer Bahri"/>
    <s v="bahrimariela@hotmail.com"/>
    <s v="Calle Güigüe Nro. 89-83"/>
    <s v="Cancelación saldo Vigilancia, mes de Julio 2017"/>
    <x v="0"/>
    <m/>
    <s v="00434"/>
    <s v="18 de julio de 2017"/>
    <n v="18"/>
    <x v="8"/>
    <s v="0,09"/>
    <e v="#NAME?"/>
  </r>
  <r>
    <n v="435"/>
    <m/>
    <x v="0"/>
    <d v="2017-07-19T00:00:00"/>
    <n v="0.1"/>
    <s v="Familia Fermín Rivas"/>
    <s v="angelferminb@gmail.com"/>
    <s v="Calle Güigüe Nro. 89-55"/>
    <s v="Cancelación saldo Vigilancia, mes de Julio 2017"/>
    <x v="0"/>
    <m/>
    <s v="00435"/>
    <s v="19 de julio de 2017"/>
    <n v="19"/>
    <x v="8"/>
    <s v="0,10"/>
    <e v="#NAME?"/>
  </r>
  <r>
    <n v="436"/>
    <m/>
    <x v="0"/>
    <d v="2017-07-19T00:00:00"/>
    <n v="0.25"/>
    <s v="Familia Méndez Parra"/>
    <s v="briceidamp@hotmail.com"/>
    <s v="Calle Guacara Nro. 88-19"/>
    <s v="Colaboración Vigilancia, mes de Julio 2017"/>
    <x v="0"/>
    <m/>
    <s v="00436"/>
    <s v="19 de julio de 2017"/>
    <n v="19"/>
    <x v="8"/>
    <s v="0,25"/>
    <e v="#NAME?"/>
  </r>
  <r>
    <n v="437"/>
    <m/>
    <x v="0"/>
    <d v="2017-07-19T00:00:00"/>
    <n v="0.09"/>
    <s v="Familia Durvelle Serrano"/>
    <s v="sdurvelle@hotmail.com"/>
    <s v="Calle Guacara Nro. 89-60"/>
    <s v="Cancelación saldo Vigilancia, mes de Julio 2017"/>
    <x v="0"/>
    <m/>
    <s v="00437"/>
    <s v="19 de julio de 2017"/>
    <n v="19"/>
    <x v="8"/>
    <s v="0,09"/>
    <e v="#NAME?"/>
  </r>
  <r>
    <n v="438"/>
    <m/>
    <x v="0"/>
    <d v="2017-07-19T00:00:00"/>
    <n v="0.3"/>
    <s v="Familia Cegarra Villamizar"/>
    <s v="jesus.villamizar.ra@gmail.com"/>
    <s v="Calle Guacara Nro. 88-35"/>
    <s v="Colaboración Vigilancia, mes de Julio 2017"/>
    <x v="0"/>
    <m/>
    <s v="00438"/>
    <s v="19 de julio de 2017"/>
    <n v="19"/>
    <x v="8"/>
    <s v="0,30"/>
    <e v="#NAME?"/>
  </r>
  <r>
    <n v="439"/>
    <m/>
    <x v="0"/>
    <d v="2017-07-18T00:00:00"/>
    <n v="0.52"/>
    <s v="Familia Castillo Rodríguez"/>
    <s v="vesperanzacastillor@gmail.com"/>
    <s v="Calle Güigüe Nro. 88-91"/>
    <s v="Cancelación Vigilancia, mes de Junio y anticipo mes de Julio 2017"/>
    <x v="0"/>
    <m/>
    <s v="00439"/>
    <s v="18 de julio de 2017"/>
    <n v="18"/>
    <x v="8"/>
    <s v="0,52"/>
    <e v="#NAME?"/>
  </r>
  <r>
    <n v="440"/>
    <m/>
    <x v="0"/>
    <d v="2017-07-19T00:00:00"/>
    <n v="0.09"/>
    <s v="Familia Lomeña Agudo"/>
    <s v="claudialomena@hotmail.com"/>
    <s v="Calle Guacara Nro. 89-30"/>
    <s v="Cancelación saldo Vigilancia, mes de Julio 2017"/>
    <x v="0"/>
    <m/>
    <s v="00440"/>
    <s v="19 de julio de 2017"/>
    <n v="19"/>
    <x v="8"/>
    <s v="0,09"/>
    <e v="#NAME?"/>
  </r>
  <r>
    <n v="441"/>
    <m/>
    <x v="0"/>
    <d v="2017-07-19T00:00:00"/>
    <n v="0.09"/>
    <s v="Wu Hung Fung"/>
    <s v="carolinahung24@gmail.com"/>
    <s v="Calle Guacara Nro. 90-81"/>
    <s v="Cancelación saldo Vigilancia, mes de Julio 2017"/>
    <x v="0"/>
    <m/>
    <s v="00441"/>
    <s v="19 de julio de 2017"/>
    <n v="19"/>
    <x v="8"/>
    <s v="0,09"/>
    <e v="#NAME?"/>
  </r>
  <r>
    <n v="442"/>
    <m/>
    <x v="0"/>
    <d v="2017-07-17T00:00:00"/>
    <n v="0.15"/>
    <s v="Familia Rodríguez Aular"/>
    <s v="mvaular@hotmail.com"/>
    <s v="Calle Güigüe Nro. 88-58"/>
    <s v="Colaboración Vigilancia, mes de Junio 2017"/>
    <x v="0"/>
    <m/>
    <s v="00442"/>
    <s v="17 de julio de 2017"/>
    <n v="17"/>
    <x v="8"/>
    <s v="0,15"/>
    <e v="#NAME?"/>
  </r>
  <r>
    <n v="443"/>
    <m/>
    <x v="0"/>
    <d v="2017-07-20T00:00:00"/>
    <n v="5.0999999999999997E-2"/>
    <s v="Familia Hatem Medina"/>
    <s v="hhatem1@hotmail.com"/>
    <s v="Calle Guacara Nro. 88-51"/>
    <s v="Complemento colaboración Vigilancia, mes de Abril 2017, contra factura"/>
    <x v="0"/>
    <m/>
    <s v="00443"/>
    <s v="20 de julio de 2017"/>
    <n v="20"/>
    <x v="8"/>
    <s v="0,05"/>
    <e v="#NAME?"/>
  </r>
  <r>
    <n v="444"/>
    <m/>
    <x v="0"/>
    <d v="2017-07-20T00:00:00"/>
    <n v="0.35"/>
    <s v="Beatriz Lara"/>
    <s v="valentina.gutierrez@hotmail.com"/>
    <s v="Calle Guacara Nro. 89-130"/>
    <s v="Cancelación Vigilancia, mes de Julio 2017"/>
    <x v="0"/>
    <m/>
    <s v="00444"/>
    <s v="20 de julio de 2017"/>
    <n v="20"/>
    <x v="8"/>
    <s v="0,35"/>
    <e v="#NAME?"/>
  </r>
  <r>
    <n v="445"/>
    <m/>
    <x v="0"/>
    <d v="2017-07-20T00:00:00"/>
    <n v="0.25"/>
    <s v="Amarilis Guerra"/>
    <s v="amarilisguerra1@yahoo.com"/>
    <s v="Calle Güigüe Nro. 89-96"/>
    <s v="Cancelación Vigilancia, mes de Junio 2017"/>
    <x v="0"/>
    <m/>
    <s v="00445"/>
    <s v="20 de julio de 2017"/>
    <n v="20"/>
    <x v="8"/>
    <s v="0,25"/>
    <e v="#NAME?"/>
  </r>
  <r>
    <n v="446"/>
    <m/>
    <x v="0"/>
    <d v="2017-07-21T00:00:00"/>
    <n v="0.05"/>
    <s v="Ma. de Jesus Alonso"/>
    <s v="marjoriealonsoh@hotmail.com"/>
    <s v="Calle Güigüe Nro. 88-30"/>
    <s v="Colaboración Vigilancia, mes de Julio 2017"/>
    <x v="0"/>
    <m/>
    <s v="00446"/>
    <s v="21 de julio de 2017"/>
    <n v="21"/>
    <x v="8"/>
    <s v="0,05"/>
    <e v="#NAME?"/>
  </r>
  <r>
    <n v="447"/>
    <m/>
    <x v="0"/>
    <d v="2017-07-23T00:00:00"/>
    <n v="0.09"/>
    <s v="Familia Colosso Delgado"/>
    <s v="mcolosso@gmail.com"/>
    <s v="Calle Güigüe Nro. 88-44"/>
    <s v="Cancelación saldo Vigilancia, mes de Julio 2017"/>
    <x v="0"/>
    <m/>
    <s v="00447"/>
    <s v="23 de julio de 2017"/>
    <n v="23"/>
    <x v="8"/>
    <s v="0,09"/>
    <e v="#NAME?"/>
  </r>
  <r>
    <n v="448"/>
    <m/>
    <x v="0"/>
    <d v="2017-06-07T00:00:00"/>
    <n v="0.26"/>
    <s v="Familia González Arévalo"/>
    <s v="feryenis@hotmail.com"/>
    <s v="Calle Guacara Nro. 89-86"/>
    <s v="Anticipo Vigilancia, mes de Julio 2017"/>
    <x v="0"/>
    <m/>
    <s v="00448"/>
    <s v="07 de junio de 2017"/>
    <n v="7"/>
    <x v="7"/>
    <s v="0,26"/>
    <e v="#NAME?"/>
  </r>
  <r>
    <n v="449"/>
    <m/>
    <x v="0"/>
    <d v="2017-07-23T00:00:00"/>
    <n v="0.44"/>
    <s v="Familia González Arévalo"/>
    <s v="feryenis@hotmail.com"/>
    <s v="Calle Guacara Nro. 89-86"/>
    <s v="Cancelación saldo Vigilancia, mes de Julio y Cancelación Vigilancia Agosto 2017"/>
    <x v="0"/>
    <m/>
    <s v="00449"/>
    <s v="23 de julio de 2017"/>
    <n v="23"/>
    <x v="8"/>
    <s v="0,44"/>
    <e v="#NAME?"/>
  </r>
  <r>
    <n v="450"/>
    <m/>
    <x v="0"/>
    <d v="2017-07-24T00:00:00"/>
    <n v="1.08"/>
    <s v="Colegio El Trigal"/>
    <s v="En Físico"/>
    <s v="Calle Güigüe Nros. 88-71 y 88-81"/>
    <s v="Cancelación Vigilancia, meses de Julio y Agosto 2017"/>
    <x v="0"/>
    <m/>
    <s v="00450"/>
    <s v="24 de julio de 2017"/>
    <n v="24"/>
    <x v="8"/>
    <s v="1,08"/>
    <e v="#NAME?"/>
  </r>
  <r>
    <n v="451"/>
    <m/>
    <x v="1"/>
    <d v="2017-04-06T00:00:00"/>
    <n v="0.14000000000000001"/>
    <s v="Familia García Hurtado"/>
    <s v="0414-241.8055"/>
    <s v="Calle Guacara Nro. 90-110"/>
    <s v="ANULADO: Colaboración Vigilancia, mes de Marzo 2017"/>
    <x v="3"/>
    <m/>
    <s v="00451"/>
    <s v="06 de abril de 2017"/>
    <n v="6"/>
    <x v="4"/>
    <s v="0,14"/>
    <e v="#NAME?"/>
  </r>
  <r>
    <n v="452"/>
    <m/>
    <x v="1"/>
    <d v="2017-05-10T00:00:00"/>
    <n v="0.17"/>
    <s v="Familia García Hurtado"/>
    <s v="0414-241.8055"/>
    <s v="Calle Guacara Nro. 90-110"/>
    <s v="ANULADO: Colaboración Vigilancia, mes de Abril 2017"/>
    <x v="3"/>
    <m/>
    <s v="00452"/>
    <s v="10 de mayo de 2017"/>
    <n v="10"/>
    <x v="5"/>
    <s v="0,17"/>
    <e v="#NAME?"/>
  </r>
  <r>
    <n v="453"/>
    <m/>
    <x v="1"/>
    <d v="2017-07-13T00:00:00"/>
    <n v="0.2"/>
    <s v="Familia García Hurtado"/>
    <s v="0414-241.8055"/>
    <s v="Calle Guacara Nro. 90-110"/>
    <s v="ANULADO: Colaboración Vigilancia, meses de Mayo y Junio 2017"/>
    <x v="3"/>
    <m/>
    <s v="00453"/>
    <s v="13 de julio de 2017"/>
    <n v="13"/>
    <x v="8"/>
    <s v="0,20"/>
    <e v="#NAME?"/>
  </r>
  <r>
    <n v="454"/>
    <m/>
    <x v="0"/>
    <d v="2017-07-28T00:00:00"/>
    <n v="0.2"/>
    <s v="Victoria Francischiello"/>
    <s v="victoriafrancischiello@hotmail.com"/>
    <s v="Calle Guacara Nro. 88-25"/>
    <s v="Colaboración Vigilancia, mes de Julio 2017"/>
    <x v="0"/>
    <m/>
    <s v="00454"/>
    <s v="28 de julio de 2017"/>
    <n v="28"/>
    <x v="8"/>
    <s v="0,20"/>
    <e v="#NAME?"/>
  </r>
  <r>
    <n v="455"/>
    <m/>
    <x v="0"/>
    <d v="2017-07-29T00:00:00"/>
    <n v="0.35"/>
    <s v="Familia Navarro Assing"/>
    <s v="liliaassing@gmail.com"/>
    <s v="Calle Güigüe Nro. 88-54"/>
    <s v="Cancelación Vigilancia, mes de Julio 2017"/>
    <x v="0"/>
    <m/>
    <s v="00455"/>
    <s v="29 de julio de 2017"/>
    <n v="29"/>
    <x v="8"/>
    <s v="0,35"/>
    <e v="#NAME?"/>
  </r>
  <r>
    <n v="456"/>
    <m/>
    <x v="0"/>
    <d v="2017-07-20T00:00:00"/>
    <n v="0.35"/>
    <s v="Familia Acosta Carpio"/>
    <s v="pablo962@hotmail.com"/>
    <s v="Calle Güigüe Nro. 89-10"/>
    <s v="Cancelación Vigilancia, mes de Julio 2017"/>
    <x v="0"/>
    <m/>
    <s v="00456"/>
    <s v="20 de julio de 2017"/>
    <n v="20"/>
    <x v="8"/>
    <s v="0,35"/>
    <e v="#NAME?"/>
  </r>
  <r>
    <n v="457"/>
    <m/>
    <x v="0"/>
    <d v="2017-07-29T00:00:00"/>
    <n v="7.0000000000000007E-2"/>
    <s v="Ely Saúl Rivero Gómez"/>
    <s v="hhs.admon@gmail.com"/>
    <s v="Av. &quot;Ñ&quot; Nro. 145-25"/>
    <s v="Cuota especial, reja vereda Centro Comercial (saldo a favor: Bs. 114.000)"/>
    <x v="4"/>
    <m/>
    <s v="00457"/>
    <s v="29 de julio de 2017"/>
    <n v="29"/>
    <x v="8"/>
    <s v="0,07"/>
    <e v="#NAME?"/>
  </r>
  <r>
    <n v="458"/>
    <m/>
    <x v="0"/>
    <d v="2017-08-01T00:00:00"/>
    <n v="0.15"/>
    <s v="Héctor Hernández"/>
    <s v="eof64@hotmail.com"/>
    <s v="Calle Guacara Nro. 89-94"/>
    <s v="Colaboración Vigilancia, mes de Agosto 2017"/>
    <x v="0"/>
    <m/>
    <s v="00458"/>
    <s v="01 de agosto de 2017"/>
    <n v="1"/>
    <x v="9"/>
    <s v="0,15"/>
    <e v="#NAME?"/>
  </r>
  <r>
    <n v="459"/>
    <m/>
    <x v="0"/>
    <d v="2017-08-02T00:00:00"/>
    <n v="0.35"/>
    <s v="Amarilis Guerra"/>
    <s v="amarilisguerra1@yahoo.com"/>
    <s v="Calle Güigüe Nro. 89-96"/>
    <s v="Cancelación Vigilancia, mes de Julio 2017"/>
    <x v="0"/>
    <m/>
    <s v="00459"/>
    <s v="02 de agosto de 2017"/>
    <n v="2"/>
    <x v="9"/>
    <s v="0,35"/>
    <e v="#NAME?"/>
  </r>
  <r>
    <n v="460"/>
    <m/>
    <x v="0"/>
    <d v="2017-08-02T00:00:00"/>
    <n v="0.35"/>
    <s v="Familia Jiménez Navarro"/>
    <s v="joyasonline2012@gmail.com"/>
    <s v="Calle Güigüe Nro. 88-50"/>
    <s v="Cancelación Vigilancia, mes de Julio 2017"/>
    <x v="0"/>
    <m/>
    <s v="00460"/>
    <s v="02 de agosto de 2017"/>
    <n v="2"/>
    <x v="9"/>
    <s v="0,35"/>
    <e v="#NAME?"/>
  </r>
  <r>
    <n v="461"/>
    <m/>
    <x v="0"/>
    <d v="2017-08-02T00:00:00"/>
    <n v="0.35"/>
    <s v="Familia Durvelle Serrano"/>
    <s v="sdurvelle@hotmail.com"/>
    <s v="Calle Guacara Nro. 89-60"/>
    <s v="Cancelación Vigilancia, mes de Agosto 2017"/>
    <x v="0"/>
    <m/>
    <s v="00461"/>
    <s v="02 de agosto de 2017"/>
    <n v="2"/>
    <x v="9"/>
    <s v="0,35"/>
    <e v="#NAME?"/>
  </r>
  <r>
    <n v="462"/>
    <m/>
    <x v="0"/>
    <d v="2017-07-11T00:00:00"/>
    <n v="0.26"/>
    <s v="Familia Díaz González"/>
    <s v="luisrdt57@gmail.com"/>
    <s v="Calle Güigüe Nro. 88-116"/>
    <s v="Anticipo Vigilancia, mes de Julio 2017"/>
    <x v="0"/>
    <m/>
    <s v="00462"/>
    <s v="11 de julio de 2017"/>
    <n v="11"/>
    <x v="8"/>
    <s v="0,26"/>
    <e v="#NAME?"/>
  </r>
  <r>
    <n v="463"/>
    <m/>
    <x v="0"/>
    <d v="2017-08-02T00:00:00"/>
    <n v="0.26"/>
    <s v="Familia Matta Palomino"/>
    <s v="En Físico"/>
    <s v="Calle Güigüe Nro. 88-90"/>
    <s v="Cancelación Vigilancia, mes de Junio 2017"/>
    <x v="0"/>
    <m/>
    <s v="00463"/>
    <s v="02 de agosto de 2017"/>
    <n v="2"/>
    <x v="9"/>
    <s v="0,26"/>
    <e v="#NAME?"/>
  </r>
  <r>
    <n v="464"/>
    <m/>
    <x v="0"/>
    <d v="2017-08-02T00:00:00"/>
    <n v="0.1"/>
    <s v="Familia Rivero"/>
    <s v="En Físico"/>
    <s v="Calle Güigüe Nro. 88-40"/>
    <s v="Colaboración Vigilancia, meses de Junio y Julio 2017"/>
    <x v="0"/>
    <m/>
    <s v="00464"/>
    <s v="02 de agosto de 2017"/>
    <n v="2"/>
    <x v="9"/>
    <s v="0,10"/>
    <e v="#NAME?"/>
  </r>
  <r>
    <n v="465"/>
    <m/>
    <x v="0"/>
    <d v="2017-08-02T00:00:00"/>
    <n v="0.33"/>
    <s v="Familia Nava Gordon"/>
    <s v="maru_19_66@hotmail.com"/>
    <s v="Calle Guacara Nro. 89-78"/>
    <s v="Cancelación saldo Vigilancia, mes de Julio 2017"/>
    <x v="0"/>
    <m/>
    <s v="00465"/>
    <s v="02 de agosto de 2017"/>
    <n v="2"/>
    <x v="9"/>
    <s v="0,33"/>
    <e v="#NAME?"/>
  </r>
  <r>
    <n v="466"/>
    <m/>
    <x v="0"/>
    <d v="2017-08-03T00:00:00"/>
    <n v="0.35"/>
    <s v="Familia Loponte Arteaga"/>
    <s v="nancyloponte@hotmail.com"/>
    <s v="Calle Güigüe Nro. 88-120"/>
    <s v="Cancelación Vigilancia, mes de Agosto 2017"/>
    <x v="0"/>
    <m/>
    <s v="00466"/>
    <s v="03 de agosto de 2017"/>
    <n v="3"/>
    <x v="9"/>
    <s v="0,35"/>
    <e v="#NAME?"/>
  </r>
  <r>
    <n v="467"/>
    <m/>
    <x v="0"/>
    <d v="2017-08-03T00:00:00"/>
    <n v="0.2"/>
    <s v="Familia Hurtado"/>
    <s v="En Físico"/>
    <s v="Av. &quot;O&quot; Nro. 146-11"/>
    <s v="Anticipo Vigilancia, mes de Julio 2017"/>
    <x v="0"/>
    <m/>
    <s v="00467"/>
    <s v="03 de agosto de 2017"/>
    <n v="3"/>
    <x v="9"/>
    <s v="0,20"/>
    <e v="#NAME?"/>
  </r>
  <r>
    <n v="468"/>
    <m/>
    <x v="0"/>
    <d v="2017-08-03T00:00:00"/>
    <n v="0.2"/>
    <s v="Familia Franco Gómez"/>
    <s v="eof64@hotmail.com"/>
    <s v="Calle Guacara Nro. 87-07"/>
    <s v="Colaboración Vigilancia, mes de Agosto 2017"/>
    <x v="0"/>
    <m/>
    <s v="00468"/>
    <s v="03 de agosto de 2017"/>
    <n v="3"/>
    <x v="9"/>
    <s v="0,20"/>
    <e v="#NAME?"/>
  </r>
  <r>
    <n v="469"/>
    <m/>
    <x v="0"/>
    <d v="2017-08-03T00:00:00"/>
    <n v="0.18"/>
    <s v="Familia Morales Sesar"/>
    <s v="moralesesar@gmail.com"/>
    <s v="Calle Güigüe Nro. 89-120"/>
    <s v="Colaboración Vigilancia, mes de Julio 2017"/>
    <x v="0"/>
    <m/>
    <s v="00469"/>
    <s v="03 de agosto de 2017"/>
    <n v="3"/>
    <x v="9"/>
    <s v="0,18"/>
    <e v="#NAME?"/>
  </r>
  <r>
    <n v="470"/>
    <m/>
    <x v="0"/>
    <d v="2017-08-04T00:00:00"/>
    <n v="0.35"/>
    <s v="Familia Martínez Boada"/>
    <s v="florcitakmz@gmail.com"/>
    <s v="Calle Güigüe Nro. 88-62"/>
    <s v="Cancelación Vigilancia, mes de Julio 2017 (saldo a favor: Bs. 1.613)"/>
    <x v="0"/>
    <m/>
    <s v="00470"/>
    <s v="04 de agosto de 2017"/>
    <n v="4"/>
    <x v="9"/>
    <s v="0,35"/>
    <e v="#NAME?"/>
  </r>
  <r>
    <n v="471"/>
    <m/>
    <x v="0"/>
    <d v="2017-08-04T00:00:00"/>
    <n v="0.15"/>
    <s v="Chin Chun Ya (Goya)"/>
    <s v="uc2721@gmail.com"/>
    <s v="Calle Guacara Nro. 87-86"/>
    <s v="Colaboración Vigilancia, mes de Agosto 2017"/>
    <x v="0"/>
    <m/>
    <s v="00471"/>
    <s v="04 de agosto de 2017"/>
    <n v="4"/>
    <x v="9"/>
    <s v="0,15"/>
    <e v="#NAME?"/>
  </r>
  <r>
    <n v="472"/>
    <m/>
    <x v="0"/>
    <d v="2017-08-06T00:00:00"/>
    <n v="0.35"/>
    <s v="Familia Kattar González"/>
    <s v="jagiak123@yahoo.es"/>
    <s v="Calle Güigüe Nro. 89-95"/>
    <s v="Cancelación Vigilancia, mes de Julio 2017"/>
    <x v="0"/>
    <m/>
    <s v="00472"/>
    <s v="06 de agosto de 2017"/>
    <n v="6"/>
    <x v="9"/>
    <s v="0,35"/>
    <e v="#NAME?"/>
  </r>
  <r>
    <n v="473"/>
    <m/>
    <x v="0"/>
    <d v="2017-08-06T00:00:00"/>
    <n v="0.35"/>
    <s v="Familia Del Negro Palermo"/>
    <s v="vdelnegro@gmail.com"/>
    <s v="Calle Guacara Nro. 88-45"/>
    <s v="Cancelación Vigilancia, mes de Agosto 2017 (saldo a favor: Bs. 95.000)"/>
    <x v="0"/>
    <m/>
    <s v="00473"/>
    <s v="06 de agosto de 2017"/>
    <n v="6"/>
    <x v="9"/>
    <s v="0,35"/>
    <e v="#NAME?"/>
  </r>
  <r>
    <n v="474"/>
    <m/>
    <x v="0"/>
    <d v="2017-08-06T00:00:00"/>
    <n v="0.35"/>
    <s v="Ely Saúl Rivero Gómez"/>
    <s v="hhs.admon@gmail.com"/>
    <s v="Av. &quot;Ñ&quot; Nro. 145-25"/>
    <s v="Cancelación saldo Vigilancia, mes de Agosto 2017 (saldo a favor: Bs. 79.000)"/>
    <x v="0"/>
    <m/>
    <s v="00474"/>
    <s v="06 de agosto de 2017"/>
    <n v="6"/>
    <x v="9"/>
    <s v="0,35"/>
    <e v="#NAME?"/>
  </r>
  <r>
    <n v="475"/>
    <m/>
    <x v="0"/>
    <d v="2017-08-07T00:00:00"/>
    <n v="0.3"/>
    <s v="Dra. Lilia Magallanes"/>
    <s v="liliamagallanes2010@gmail.com"/>
    <s v="Calle Güigüe Nro. 88-51"/>
    <s v="Colaboración Vigilancia, mes de Julio 2017"/>
    <x v="0"/>
    <m/>
    <s v="00475"/>
    <s v="07 de agosto de 2017"/>
    <n v="7"/>
    <x v="9"/>
    <s v="0,30"/>
    <e v="#NAME?"/>
  </r>
  <r>
    <n v="476"/>
    <m/>
    <x v="0"/>
    <d v="2017-08-07T00:00:00"/>
    <n v="0.35"/>
    <s v="Familia Castillo Mena"/>
    <s v="emmecas@hotmail.com"/>
    <s v="Calle Güigüe Nro. 88-101"/>
    <s v="Cancelación Vigilancia, mes de Julio 2017"/>
    <x v="0"/>
    <m/>
    <s v="00476"/>
    <s v="07 de agosto de 2017"/>
    <n v="7"/>
    <x v="9"/>
    <s v="0,35"/>
    <e v="#NAME?"/>
  </r>
  <r>
    <n v="477"/>
    <m/>
    <x v="0"/>
    <d v="2017-08-08T00:00:00"/>
    <n v="0.35"/>
    <s v="Familia Colosso Delgado"/>
    <s v="mcolosso@gmail.com"/>
    <s v="Calle Güigüe Nro. 88-44"/>
    <s v="Cancelación Vigilancia, mes de Agosto 2017"/>
    <x v="0"/>
    <m/>
    <s v="00477"/>
    <s v="08 de agosto de 2017"/>
    <n v="8"/>
    <x v="9"/>
    <s v="0,35"/>
    <e v="#NAME?"/>
  </r>
  <r>
    <n v="478"/>
    <m/>
    <x v="0"/>
    <d v="2017-08-09T00:00:00"/>
    <n v="0.04"/>
    <s v="Familia Flores Montagne"/>
    <s v="namaricakes@gmail.com"/>
    <s v="Av. &quot;M&quot; Nro. 146-20"/>
    <s v="Colaboración Vigilancia, mes de Agosto 2017"/>
    <x v="0"/>
    <m/>
    <s v="00478"/>
    <s v="09 de agosto de 2017"/>
    <n v="9"/>
    <x v="9"/>
    <s v="0,04"/>
    <e v="#NAME?"/>
  </r>
  <r>
    <n v="479"/>
    <m/>
    <x v="0"/>
    <d v="2017-08-09T00:00:00"/>
    <n v="0.31"/>
    <s v="Familia Puerta Burguillos"/>
    <s v="namaricakes@gmail.com"/>
    <s v="Calle Guacara Nro. 87-100"/>
    <s v="Cancelación saldo Vigilancia, mes de Agosto 2017"/>
    <x v="0"/>
    <m/>
    <s v="00479"/>
    <s v="09 de agosto de 2017"/>
    <n v="9"/>
    <x v="9"/>
    <s v="0,31"/>
    <e v="#NAME?"/>
  </r>
  <r>
    <n v="480"/>
    <m/>
    <x v="0"/>
    <d v="2017-08-09T00:00:00"/>
    <n v="0.26"/>
    <s v="Familia Hatem Medina"/>
    <s v="hhatem1@hotmail.com"/>
    <s v="Calle Guacara Nro. 88-51"/>
    <s v="Cancelación Vigilancia, mes de Junio 2017: transferencia y contra factura"/>
    <x v="0"/>
    <m/>
    <s v="00480"/>
    <s v="09 de agosto de 2017"/>
    <n v="9"/>
    <x v="9"/>
    <s v="0,26"/>
    <e v="#NAME?"/>
  </r>
  <r>
    <n v="481"/>
    <m/>
    <x v="0"/>
    <d v="2017-08-09T00:00:00"/>
    <n v="0.35"/>
    <s v="Familia Guerra Miret"/>
    <s v="antoniojguerrag@hotmail.com"/>
    <s v="Calle Güigüe Nro. 89-40"/>
    <s v="Cancelación Vigilancia, mes de Julio 2017"/>
    <x v="0"/>
    <m/>
    <s v="00481"/>
    <s v="09 de agosto de 2017"/>
    <n v="9"/>
    <x v="9"/>
    <s v="0,35"/>
    <e v="#NAME?"/>
  </r>
  <r>
    <n v="482"/>
    <m/>
    <x v="0"/>
    <d v="2017-08-10T00:00:00"/>
    <n v="0.35"/>
    <s v="Familia Arcia Polanco"/>
    <s v="misipo29@gmail.com"/>
    <s v="Calle Guacara Nro. 89-20"/>
    <s v="Cancelación Vigilancia, mes de Agosto 2017"/>
    <x v="0"/>
    <m/>
    <s v="00482"/>
    <s v="10 de agosto de 2017"/>
    <n v="10"/>
    <x v="9"/>
    <s v="0,35"/>
    <e v="#NAME?"/>
  </r>
  <r>
    <n v="483"/>
    <m/>
    <x v="0"/>
    <d v="2017-08-10T00:00:00"/>
    <n v="0.35"/>
    <s v="Beatriz Lara"/>
    <s v="valentina.gutierrez@hotmail.com"/>
    <s v="Calle Guacara Nro. 89-130"/>
    <s v="Cancelación Vigilancia, mes de Agosto 2017"/>
    <x v="0"/>
    <m/>
    <s v="00483"/>
    <s v="10 de agosto de 2017"/>
    <n v="10"/>
    <x v="9"/>
    <s v="0,35"/>
    <e v="#NAME?"/>
  </r>
  <r>
    <n v="484"/>
    <m/>
    <x v="0"/>
    <d v="2017-08-10T00:00:00"/>
    <n v="0.26"/>
    <s v="Ana de González"/>
    <s v="mikelnowak25@gmail.com"/>
    <s v="Av. &quot;O&quot; Nro. 146-17"/>
    <s v="Anticipo Vigilancia, mes de Julio 2017"/>
    <x v="0"/>
    <m/>
    <s v="00484"/>
    <s v="10 de agosto de 2017"/>
    <n v="10"/>
    <x v="9"/>
    <s v="0,26"/>
    <e v="#NAME?"/>
  </r>
  <r>
    <n v="485"/>
    <m/>
    <x v="0"/>
    <d v="2017-08-10T00:00:00"/>
    <n v="0.35"/>
    <s v="Familia Fermín Rivas"/>
    <s v="angelferminb@gmail.com"/>
    <s v="Calle Güigüe Nro. 89-55"/>
    <s v="Cancelación Vigilancia, mes de Agosto 2017, transferencia y contra factura"/>
    <x v="0"/>
    <m/>
    <s v="00485"/>
    <s v="10 de agosto de 2017"/>
    <n v="10"/>
    <x v="9"/>
    <s v="0,35"/>
    <e v="#NAME?"/>
  </r>
  <r>
    <n v="486"/>
    <m/>
    <x v="0"/>
    <d v="2017-08-10T00:00:00"/>
    <n v="0.13"/>
    <s v="Sra. Reina Meléndez"/>
    <s v="olgajipe@gmail.com"/>
    <s v="Av. &quot;M&quot; Nro. 145-10"/>
    <s v="Anticipo Vigilancia, mes de Julio 2017"/>
    <x v="0"/>
    <m/>
    <s v="00486"/>
    <s v="10 de agosto de 2017"/>
    <n v="10"/>
    <x v="9"/>
    <s v="0,13"/>
    <e v="#NAME?"/>
  </r>
  <r>
    <n v="487"/>
    <m/>
    <x v="0"/>
    <d v="2017-08-10T00:00:00"/>
    <n v="7.0000000000000007E-2"/>
    <s v="Sra. Reina Meléndez"/>
    <s v="olgajipe@gmail.com"/>
    <s v="Av. &quot;M&quot; Nro. 145-10"/>
    <s v="Cuota especial, reja vereda Centro Comercial"/>
    <x v="4"/>
    <m/>
    <s v="00487"/>
    <s v="10 de agosto de 2017"/>
    <n v="10"/>
    <x v="9"/>
    <s v="0,07"/>
    <e v="#NAME?"/>
  </r>
  <r>
    <n v="488"/>
    <m/>
    <x v="0"/>
    <d v="2017-08-10T00:00:00"/>
    <n v="0.35"/>
    <s v="Familia Montilla García"/>
    <s v="dairy252525@hotmail.com"/>
    <s v="Calle Güigüe Nro. 89-90"/>
    <s v="Cancelación Vigilancia, mes de Agosto 2017"/>
    <x v="0"/>
    <m/>
    <s v="00488"/>
    <s v="10 de agosto de 2017"/>
    <n v="10"/>
    <x v="9"/>
    <s v="0,35"/>
    <e v="#NAME?"/>
  </r>
  <r>
    <n v="489"/>
    <m/>
    <x v="0"/>
    <d v="2017-08-13T00:00:00"/>
    <n v="0.26"/>
    <s v="Familia Piñero Padilla"/>
    <s v="achepaul2005@hotmail.com"/>
    <s v="Calle Güigüe Nro. 89-21"/>
    <s v="Cancelación Vigilancia, mes de Junio 2017"/>
    <x v="0"/>
    <m/>
    <s v="00489"/>
    <s v="13 de agosto de 2017"/>
    <n v="13"/>
    <x v="9"/>
    <s v="0,26"/>
    <e v="#NAME?"/>
  </r>
  <r>
    <n v="490"/>
    <m/>
    <x v="0"/>
    <d v="2017-08-13T00:00:00"/>
    <n v="7.0000000000000007E-2"/>
    <s v="Familia Piñero Padilla"/>
    <s v="achepaul2005@hotmail.com"/>
    <s v="Calle Güigüe Nro. 89-21"/>
    <s v="Cuota especial, reja vereda Centro Comercial"/>
    <x v="4"/>
    <m/>
    <s v="00490"/>
    <s v="13 de agosto de 2017"/>
    <n v="13"/>
    <x v="9"/>
    <s v="0,07"/>
    <e v="#NAME?"/>
  </r>
  <r>
    <n v="491"/>
    <m/>
    <x v="0"/>
    <d v="2017-08-14T00:00:00"/>
    <n v="0.35"/>
    <s v="Wu Hung Fung"/>
    <s v="carolinahung24@gmail.com"/>
    <s v="Calle Guacara Nro. 90-81"/>
    <s v="Cancelación Vigilancia, mes de Agosto 2017"/>
    <x v="0"/>
    <m/>
    <s v="00491"/>
    <s v="14 de agosto de 2017"/>
    <n v="14"/>
    <x v="9"/>
    <s v="0,35"/>
    <e v="#NAME?"/>
  </r>
  <r>
    <n v="492"/>
    <m/>
    <x v="0"/>
    <d v="2017-08-14T00:00:00"/>
    <n v="0.09"/>
    <s v="Ana de González"/>
    <s v="mikelnowak25@gmail.com"/>
    <s v="Av. &quot;O&quot; Nro. 146-17"/>
    <s v="Cancelación saldo Vigilancia, mes de Julio 2017"/>
    <x v="0"/>
    <m/>
    <s v="00492"/>
    <s v="14 de agosto de 2017"/>
    <n v="14"/>
    <x v="9"/>
    <s v="0,09"/>
    <e v="#NAME?"/>
  </r>
  <r>
    <n v="493"/>
    <m/>
    <x v="0"/>
    <d v="2017-08-14T00:00:00"/>
    <n v="0.18"/>
    <s v="Ana de González"/>
    <s v="mikelnowak25@gmail.com"/>
    <s v="Av. &quot;O&quot; Nro. 146-17"/>
    <s v="Cancelación diferencia pago controles"/>
    <x v="2"/>
    <m/>
    <s v="00493"/>
    <s v="14 de agosto de 2017"/>
    <n v="14"/>
    <x v="9"/>
    <s v="0,18"/>
    <e v="#NAME?"/>
  </r>
  <r>
    <n v="494"/>
    <m/>
    <x v="0"/>
    <d v="2017-08-15T00:00:00"/>
    <n v="0.15"/>
    <s v="Familia Rodríguez Landaeta"/>
    <s v="mrl58@hotmail.com"/>
    <s v="Calle Güigüe Nro. 89-29"/>
    <s v="Colaboración Vigilancia, mes de Agosto 2017"/>
    <x v="0"/>
    <m/>
    <s v="00494"/>
    <s v="15 de agosto de 2017"/>
    <n v="15"/>
    <x v="9"/>
    <s v="0,15"/>
    <e v="#NAME?"/>
  </r>
  <r>
    <n v="495"/>
    <m/>
    <x v="0"/>
    <d v="2017-08-15T00:00:00"/>
    <n v="0.2"/>
    <s v="Familia Kablan Sarmiento"/>
    <s v="norisjsb56@hotmail.com"/>
    <s v="Calle Güigüe Nro. 89-80"/>
    <s v="Colaboración Vigilancia, mes de Agosto 2017"/>
    <x v="0"/>
    <m/>
    <s v="00495"/>
    <s v="15 de agosto de 2017"/>
    <n v="15"/>
    <x v="9"/>
    <s v="0,20"/>
    <e v="#NAME?"/>
  </r>
  <r>
    <n v="496"/>
    <m/>
    <x v="0"/>
    <d v="2017-08-15T00:00:00"/>
    <n v="0.35"/>
    <s v="Familia Sayago Peñaranda"/>
    <s v="alexissayago@gmail.com"/>
    <s v="Calle Güigüe Nro. 89-04"/>
    <s v="Cancelación Vigilancia, mes de Agosto 2017"/>
    <x v="0"/>
    <m/>
    <s v="00496"/>
    <s v="15 de agosto de 2017"/>
    <n v="15"/>
    <x v="9"/>
    <s v="0,35"/>
    <e v="#NAME?"/>
  </r>
  <r>
    <n v="497"/>
    <m/>
    <x v="0"/>
    <d v="2017-06-25T00:00:00"/>
    <n v="0.26"/>
    <s v="Familia Gascón Domínguez"/>
    <s v="vrgascon@gmail.com"/>
    <s v="Calle Güigüe Nro. 88-70"/>
    <s v="Cancelación Vigilancia, mes de Junio 2017"/>
    <x v="0"/>
    <m/>
    <s v="00497"/>
    <s v="25 de junio de 2017"/>
    <n v="25"/>
    <x v="7"/>
    <s v="0,26"/>
    <e v="#NAME?"/>
  </r>
  <r>
    <n v="498"/>
    <m/>
    <x v="0"/>
    <d v="2017-08-16T00:00:00"/>
    <n v="0.09"/>
    <s v="Familia Díaz González"/>
    <s v="luisrdt57@gmail.com"/>
    <s v="Calle Güigüe Nro. 88-116"/>
    <s v="Cancelación saldo Vigilancia, mes de Julio 2017"/>
    <x v="0"/>
    <m/>
    <s v="00498"/>
    <s v="16 de agosto de 2017"/>
    <n v="16"/>
    <x v="9"/>
    <s v="0,09"/>
    <e v="#NAME?"/>
  </r>
  <r>
    <n v="499"/>
    <m/>
    <x v="0"/>
    <d v="2017-08-16T00:00:00"/>
    <n v="0.35"/>
    <s v="Familia Díaz González"/>
    <s v="luisrdt57@gmail.com"/>
    <s v="Calle Güigüe Nro. 88-116"/>
    <s v="Cancelación Vigilancia, mes de Agosto 2017"/>
    <x v="0"/>
    <m/>
    <s v="00499"/>
    <s v="16 de agosto de 2017"/>
    <n v="16"/>
    <x v="9"/>
    <s v="0,35"/>
    <e v="#NAME?"/>
  </r>
  <r>
    <n v="500"/>
    <m/>
    <x v="0"/>
    <d v="2017-07-28T00:00:00"/>
    <n v="0.35"/>
    <s v="Familia Barreto Pérez"/>
    <s v="bbetsa19@hotmail.com"/>
    <s v="Av. &quot;M&quot; Nro. 146-15"/>
    <s v="Cancelación Vigilancia, mes de Julio 2017"/>
    <x v="0"/>
    <m/>
    <s v="00500"/>
    <s v="28 de julio de 2017"/>
    <n v="28"/>
    <x v="8"/>
    <s v="0,35"/>
    <e v="#NAME?"/>
  </r>
  <r>
    <n v="501"/>
    <m/>
    <x v="0"/>
    <d v="2017-07-25T00:00:00"/>
    <n v="0.35"/>
    <s v="Familia Gascón Domínguez"/>
    <s v="vrgascon@gmail.com"/>
    <s v="Calle Güigüe Nro. 88-70"/>
    <s v="Cancelación Vigilancia, mes de Julio 2017"/>
    <x v="0"/>
    <m/>
    <s v="00501"/>
    <s v="25 de julio de 2017"/>
    <n v="25"/>
    <x v="8"/>
    <s v="0,35"/>
    <e v="#NAME?"/>
  </r>
  <r>
    <n v="502"/>
    <m/>
    <x v="0"/>
    <d v="2017-08-17T00:00:00"/>
    <n v="0.4"/>
    <s v="La Casita Encantada"/>
    <s v="En Físico"/>
    <s v="Av. &quot;M&quot; Nro. 146-30"/>
    <s v="Cancelación Vigilancia, mes de Agosto 2017"/>
    <x v="0"/>
    <m/>
    <s v="00502"/>
    <s v="17 de agosto de 2017"/>
    <n v="17"/>
    <x v="9"/>
    <s v="0,40"/>
    <e v="#NAME?"/>
  </r>
  <r>
    <n v="503"/>
    <m/>
    <x v="0"/>
    <d v="2017-07-30T00:00:00"/>
    <n v="0.62"/>
    <s v="Familia Il Grande Franceschi"/>
    <s v="arcifran75@hotmail.com"/>
    <s v="Av. &quot;I&quot; Nro. 146-40"/>
    <s v="Cancelación Vigilancia, meses de Junio y Julio 2017 y anticipo mes de Agosto 2017 (Bs. 1.000)"/>
    <x v="0"/>
    <m/>
    <s v="00503"/>
    <s v="30 de julio de 2017"/>
    <n v="30"/>
    <x v="8"/>
    <s v="0,62"/>
    <e v="#NAME?"/>
  </r>
  <r>
    <n v="504"/>
    <m/>
    <x v="0"/>
    <d v="2017-08-17T00:00:00"/>
    <n v="0.15"/>
    <s v="Familia Hurtado"/>
    <s v="En Físico"/>
    <s v="Av. &quot;O&quot; Nro. 146-11"/>
    <s v="Cancelación saldo Vigilancia, mes de Julio 2017"/>
    <x v="0"/>
    <m/>
    <s v="00504"/>
    <s v="17 de agosto de 2017"/>
    <n v="17"/>
    <x v="9"/>
    <s v="0,15"/>
    <e v="#NAME?"/>
  </r>
  <r>
    <n v="505"/>
    <m/>
    <x v="0"/>
    <d v="2017-08-17T00:00:00"/>
    <n v="0.05"/>
    <s v="Ma. de Jesus Alonso"/>
    <s v="marjoriealonsoh@hotmail.com"/>
    <s v="Calle Güigüe Nro. 88-30"/>
    <s v="Colaboración Vigilancia, mes de Agosto 2017"/>
    <x v="0"/>
    <m/>
    <s v="00505"/>
    <s v="17 de agosto de 2017"/>
    <n v="17"/>
    <x v="9"/>
    <s v="0,05"/>
    <e v="#NAME?"/>
  </r>
  <r>
    <n v="506"/>
    <m/>
    <x v="0"/>
    <d v="2017-08-17T00:00:00"/>
    <n v="0.35"/>
    <s v="Familia Lomeña Agudo"/>
    <s v="claudialomena@hotmail.com"/>
    <s v="Calle Guacara Nro. 89-30"/>
    <s v="Cancelación Vigilancia, mes de Agosto 2017"/>
    <x v="0"/>
    <m/>
    <s v="00506"/>
    <s v="17 de agosto de 2017"/>
    <n v="17"/>
    <x v="9"/>
    <s v="0,35"/>
    <e v="#NAME?"/>
  </r>
  <r>
    <n v="507"/>
    <m/>
    <x v="0"/>
    <d v="2017-07-18T00:00:00"/>
    <n v="0.2"/>
    <s v="Victoria Francischiello"/>
    <s v="victoriafrancischiello@hotmail.com"/>
    <s v="Calle Guacara Nro. 88-25"/>
    <s v="Colaboración Vigilancia, mes de Agosto 2017"/>
    <x v="0"/>
    <m/>
    <s v="00507"/>
    <s v="18 de julio de 2017"/>
    <n v="18"/>
    <x v="8"/>
    <s v="0,20"/>
    <e v="#NAME?"/>
  </r>
  <r>
    <n v="508"/>
    <m/>
    <x v="0"/>
    <d v="2017-08-18T00:00:00"/>
    <n v="0.2"/>
    <s v="Familia Méndez Parra"/>
    <s v="briceidamp@hotmail.com"/>
    <s v="Calle Guacara Nro. 88-19"/>
    <s v="Colaboración Vigilancia, mes de Agosto 2017"/>
    <x v="0"/>
    <m/>
    <s v="00508"/>
    <s v="18 de agosto de 2017"/>
    <n v="18"/>
    <x v="9"/>
    <s v="0,20"/>
    <e v="#NAME?"/>
  </r>
  <r>
    <n v="509"/>
    <m/>
    <x v="0"/>
    <d v="2017-08-18T00:00:00"/>
    <n v="0.125"/>
    <s v="Familia Santos Carrillo"/>
    <s v="briceidamp@hotmail.com"/>
    <s v="Calle Guacara Nro. 90-93"/>
    <s v="Colaboración Vigilancia, meses de Julio y Agosto 2017"/>
    <x v="0"/>
    <m/>
    <s v="00509"/>
    <s v="18 de agosto de 2017"/>
    <n v="18"/>
    <x v="9"/>
    <s v="0,13"/>
    <e v="#NAME?"/>
  </r>
  <r>
    <n v="510"/>
    <m/>
    <x v="0"/>
    <d v="2017-08-18T00:00:00"/>
    <n v="1.3900000000000001"/>
    <s v="Familia Jiménez Salvatierra"/>
    <s v="0414-582.8909"/>
    <s v="Calle Güigüe Nro. 89-45"/>
    <s v="Cancelación Vigilancia, meses de Abril a Agosto 2017"/>
    <x v="0"/>
    <m/>
    <s v="00510"/>
    <s v="18 de agosto de 2017"/>
    <n v="18"/>
    <x v="9"/>
    <s v="1,39"/>
    <e v="#NAME?"/>
  </r>
  <r>
    <n v="511"/>
    <m/>
    <x v="0"/>
    <d v="2017-08-19T00:00:00"/>
    <n v="0.7"/>
    <s v="Anahiz Seijas"/>
    <s v="anahiz_2@hotmail.es"/>
    <s v="Calle Güigüe Nro. 89-106"/>
    <s v="Cancelación Vigilancia, meses de Julio y Agosto 2017"/>
    <x v="0"/>
    <m/>
    <s v="00511"/>
    <s v="19 de agosto de 2017"/>
    <n v="19"/>
    <x v="9"/>
    <s v="0,70"/>
    <e v="#NAME?"/>
  </r>
  <r>
    <n v="512"/>
    <m/>
    <x v="0"/>
    <d v="2017-08-19T00:00:00"/>
    <n v="0.3"/>
    <s v="Familia Cegarra Villamizar"/>
    <s v="jesus.villamizar.ra@gmail.com"/>
    <s v="Calle Guacara Nro. 88-35"/>
    <s v="Colaboración Vigilancia, mes de Agosto 2017"/>
    <x v="0"/>
    <m/>
    <s v="00512"/>
    <s v="19 de agosto de 2017"/>
    <n v="19"/>
    <x v="9"/>
    <s v="0,30"/>
    <e v="#NAME?"/>
  </r>
  <r>
    <n v="513"/>
    <m/>
    <x v="0"/>
    <d v="2017-08-19T00:00:00"/>
    <n v="0.35"/>
    <s v="Familia Delgado Hidalgo"/>
    <s v="ardh@hotmail.com"/>
    <s v="Calle Güigüe Nro. 88-10"/>
    <s v="Cancelación Vigilancia, mes de Julio 2017"/>
    <x v="0"/>
    <m/>
    <s v="00513"/>
    <s v="19 de agosto de 2017"/>
    <n v="19"/>
    <x v="9"/>
    <s v="0,35"/>
    <e v="#NAME?"/>
  </r>
  <r>
    <n v="514"/>
    <m/>
    <x v="0"/>
    <d v="2017-08-19T00:00:00"/>
    <n v="0.35"/>
    <s v="Familia Milanés Carmona"/>
    <s v="yndira11m@gmail.com"/>
    <s v="Calle Güigüe Nro. 89-65"/>
    <s v="Cancelación Vigilancia, mes de Agosto 2017"/>
    <x v="0"/>
    <m/>
    <s v="00514"/>
    <s v="19 de agosto de 2017"/>
    <n v="19"/>
    <x v="9"/>
    <s v="0,35"/>
    <e v="#NAME?"/>
  </r>
  <r>
    <n v="515"/>
    <m/>
    <x v="0"/>
    <d v="2017-08-20T00:00:00"/>
    <n v="0.35"/>
    <s v="Familia Ferrer Bahri"/>
    <s v="bahrimariela@hotmail.com"/>
    <s v="Calle Güigüe Nro. 89-83"/>
    <s v="Cancelación Vigilancia, mes de Agosto 2017"/>
    <x v="0"/>
    <m/>
    <s v="00515"/>
    <s v="20 de agosto de 2017"/>
    <n v="20"/>
    <x v="9"/>
    <s v="0,35"/>
    <e v="#NAME?"/>
  </r>
  <r>
    <n v="516"/>
    <m/>
    <x v="0"/>
    <d v="2017-08-16T00:00:00"/>
    <n v="0.61"/>
    <s v="Familia Scabuzzo Gómez"/>
    <s v="sfscabuzzo@msn.com"/>
    <s v="Av. &quot;I&quot; Nro. 146-20"/>
    <s v="Cancelación Vigilancia, meses de Junio y Julio 2017"/>
    <x v="0"/>
    <m/>
    <s v="00516"/>
    <s v="16 de agosto de 2017"/>
    <n v="16"/>
    <x v="9"/>
    <s v="0,61"/>
    <e v="#NAME?"/>
  </r>
  <r>
    <n v="517"/>
    <m/>
    <x v="0"/>
    <d v="2017-08-20T00:00:00"/>
    <n v="0.15"/>
    <s v="Familia Rodríguez Aular"/>
    <s v="mvaular@hotmail.com"/>
    <s v="Calle Güigüe Nro. 88-58"/>
    <s v="Colaboración Vigilancia, mes de Julio 2017"/>
    <x v="0"/>
    <m/>
    <s v="00517"/>
    <s v="20 de agosto de 2017"/>
    <n v="20"/>
    <x v="9"/>
    <s v="0,15"/>
    <e v="#NAME?"/>
  </r>
  <r>
    <n v="518"/>
    <m/>
    <x v="0"/>
    <d v="2017-08-21T00:00:00"/>
    <n v="0.43999999999999995"/>
    <s v="Familia Narváez Caldera"/>
    <s v="jeannette_nc@yahoo.com"/>
    <s v="Calle Güigüe Nro. 87-A-11"/>
    <s v="Cancelación saldo Vigilancia, mes de Julio 2017 y Cancelación Vigilancia mes de Agosto 2017"/>
    <x v="0"/>
    <m/>
    <s v="00518"/>
    <s v="21 de agosto de 2017"/>
    <n v="21"/>
    <x v="9"/>
    <s v="0,44"/>
    <e v="#NAME?"/>
  </r>
  <r>
    <n v="519"/>
    <m/>
    <x v="0"/>
    <d v="2017-08-23T00:00:00"/>
    <n v="0.35"/>
    <s v="Familia Scabuzzo Gómez"/>
    <s v="sfscabuzzo@msn.com"/>
    <s v="Av. &quot;I&quot; Nro. 146-20"/>
    <s v="Cancelación Vigilancia, mes de Agosto 2017"/>
    <x v="0"/>
    <m/>
    <s v="00519"/>
    <s v="23 de agosto de 2017"/>
    <n v="23"/>
    <x v="9"/>
    <s v="0,35"/>
    <e v="#NAME?"/>
  </r>
  <r>
    <n v="520"/>
    <m/>
    <x v="0"/>
    <d v="2017-08-25T00:00:00"/>
    <n v="0.18"/>
    <s v="Familia Rodríguez Aular"/>
    <s v="mvaular@hotmail.com"/>
    <s v="Calle Güigüe Nro. 88-58"/>
    <s v="Colaboración Vigilancia, mes de Agosto 2017"/>
    <x v="0"/>
    <m/>
    <s v="00520"/>
    <s v="25 de agosto de 2017"/>
    <n v="25"/>
    <x v="9"/>
    <s v="0,18"/>
    <e v="#NAME?"/>
  </r>
  <r>
    <n v="521"/>
    <m/>
    <x v="0"/>
    <d v="2017-08-28T00:00:00"/>
    <n v="0.7"/>
    <s v="Familia Castro Jiménez"/>
    <s v="0426-543.4303"/>
    <s v="Calle Guacara Nro. 90-51"/>
    <s v="Cancelación Vigilancia, meses de Julio y Agosto 2017"/>
    <x v="0"/>
    <m/>
    <s v="00521"/>
    <s v="28 de agosto de 2017"/>
    <n v="28"/>
    <x v="9"/>
    <s v="0,70"/>
    <e v="#NAME?"/>
  </r>
  <r>
    <n v="522"/>
    <m/>
    <x v="0"/>
    <d v="2017-08-24T00:00:00"/>
    <n v="0.36"/>
    <s v="Familia Fernández Parés"/>
    <s v="vultecca@gmail.com"/>
    <s v="Calle Guacara Nro. 88-75"/>
    <s v="Cancelación Vigilancia, mes de Julio 2017, y anticipo del mes de Agosto 2017"/>
    <x v="0"/>
    <m/>
    <s v="00522"/>
    <s v="24 de agosto de 2017"/>
    <n v="24"/>
    <x v="9"/>
    <s v="0,36"/>
    <e v="#NAME?"/>
  </r>
  <r>
    <n v="523"/>
    <m/>
    <x v="0"/>
    <d v="2017-08-30T00:00:00"/>
    <n v="0.35"/>
    <s v="Familia Durvelle Serrano"/>
    <s v="sdurvelle@hotmail.com"/>
    <s v="Calle Guacara Nro. 89-60"/>
    <s v="Cancelación Vigilancia, mes de Septiembre 2017"/>
    <x v="0"/>
    <m/>
    <s v="00523"/>
    <s v="30 de agosto de 2017"/>
    <n v="30"/>
    <x v="9"/>
    <s v="0,35"/>
    <e v="#NAME?"/>
  </r>
  <r>
    <n v="524"/>
    <m/>
    <x v="0"/>
    <d v="2017-08-31T00:00:00"/>
    <n v="0.7"/>
    <s v="Familia Gascón Domínguez"/>
    <s v="vrgascon@gmail.com"/>
    <s v="Calle Güigüe Nro. 88-70"/>
    <s v="Cancelación Vigilancia, meses de Agosto y Septiembre 2017"/>
    <x v="0"/>
    <m/>
    <s v="00524"/>
    <s v="31 de agosto de 2017"/>
    <n v="31"/>
    <x v="9"/>
    <s v="0,70"/>
    <e v="#NAME?"/>
  </r>
  <r>
    <n v="525"/>
    <m/>
    <x v="0"/>
    <d v="2017-08-30T00:00:00"/>
    <n v="0.1"/>
    <s v="Familia Sirit Palencia"/>
    <s v="irasirit@gmail.com"/>
    <s v="Calle Güigüe Nro. 89-35"/>
    <s v="Colaboración Vigilancia, mes de Agosto 2017"/>
    <x v="0"/>
    <m/>
    <s v="00525"/>
    <s v="30 de agosto de 2017"/>
    <n v="30"/>
    <x v="9"/>
    <s v="0,10"/>
    <e v="#NAME?"/>
  </r>
  <r>
    <n v="526"/>
    <m/>
    <x v="0"/>
    <d v="2017-08-31T00:00:00"/>
    <n v="0.72"/>
    <s v="Familia Matta Palomino"/>
    <s v="En Físico"/>
    <s v="Calle Güigüe Nro. 88-90"/>
    <s v="Cancelación Vigilancia, meses de Julio y Agosto 2017 y Anticipo Vigilancia Septiembre 2017"/>
    <x v="0"/>
    <m/>
    <s v="00526"/>
    <s v="31 de agosto de 2017"/>
    <n v="31"/>
    <x v="9"/>
    <s v="0,72"/>
    <e v="#NAME?"/>
  </r>
  <r>
    <n v="527"/>
    <m/>
    <x v="0"/>
    <d v="2017-08-31T00:00:00"/>
    <n v="0.35"/>
    <s v="Familia Ferrer Bahri"/>
    <s v="bahrimariela@hotmail.com"/>
    <s v="Calle Güigüe Nro. 89-83"/>
    <s v="Cancelación Vigilancia, mes de Septiembre 2017"/>
    <x v="0"/>
    <m/>
    <s v="00527"/>
    <s v="31 de agosto de 2017"/>
    <n v="31"/>
    <x v="9"/>
    <s v="0,35"/>
    <e v="#NAME?"/>
  </r>
  <r>
    <n v="528"/>
    <m/>
    <x v="0"/>
    <d v="2017-07-31T00:00:00"/>
    <n v="0.35"/>
    <s v="Familia Navarro Assing"/>
    <s v="liliaassing@gmail.com"/>
    <s v="Calle Güigüe Nro. 88-54"/>
    <s v="Cancelación Vigilancia, mes de Agosto 2017"/>
    <x v="0"/>
    <m/>
    <s v="00528"/>
    <s v="31 de julio de 2017"/>
    <n v="31"/>
    <x v="8"/>
    <s v="0,35"/>
    <e v="#NAME?"/>
  </r>
  <r>
    <n v="529"/>
    <m/>
    <x v="0"/>
    <d v="2017-09-01T00:00:00"/>
    <n v="1"/>
    <s v="Zoraida Khair"/>
    <s v="zorakhair@hotmail.com"/>
    <s v="Calle Güigüe Nro. 88-80"/>
    <s v="Colaboración Vigilancia, meses de Junio, Julio, Agosto y Septiembre 2017"/>
    <x v="0"/>
    <m/>
    <s v="00529"/>
    <s v="01 de septiembre de 2017"/>
    <n v="1"/>
    <x v="10"/>
    <s v="1,00"/>
    <e v="#NAME?"/>
  </r>
  <r>
    <n v="530"/>
    <m/>
    <x v="0"/>
    <d v="2017-09-01T00:00:00"/>
    <n v="0.35"/>
    <s v="Familia Colosso Delgado"/>
    <s v="mcolosso@gmail.com"/>
    <s v="Calle Güigüe Nro. 88-44"/>
    <s v="Cancelación Vigilancia, mes de Septiembre 2017"/>
    <x v="0"/>
    <m/>
    <s v="00530"/>
    <s v="01 de septiembre de 2017"/>
    <n v="1"/>
    <x v="10"/>
    <s v="0,35"/>
    <e v="#NAME?"/>
  </r>
  <r>
    <n v="531"/>
    <m/>
    <x v="0"/>
    <d v="2017-09-01T00:00:00"/>
    <n v="0.35"/>
    <s v="Familia Zavarce Pérez"/>
    <s v="En Físico"/>
    <s v="Calle Guacara Nro. 90-35"/>
    <s v="Cancelación Vigilancia, mes de Julio 2017"/>
    <x v="0"/>
    <m/>
    <s v="00531"/>
    <s v="01 de septiembre de 2017"/>
    <n v="1"/>
    <x v="10"/>
    <s v="0,35"/>
    <e v="#NAME?"/>
  </r>
  <r>
    <n v="532"/>
    <m/>
    <x v="0"/>
    <d v="2017-09-01T00:00:00"/>
    <n v="0.35"/>
    <s v="Familia Zavarce Pérez"/>
    <s v="En Físico"/>
    <s v="Calle Guacara Nro. 90-35"/>
    <s v="Cancelación Vigilancia, mes de Agosto 2017"/>
    <x v="0"/>
    <m/>
    <s v="00532"/>
    <s v="01 de septiembre de 2017"/>
    <n v="1"/>
    <x v="10"/>
    <s v="0,35"/>
    <e v="#NAME?"/>
  </r>
  <r>
    <n v="533"/>
    <m/>
    <x v="0"/>
    <d v="2017-09-01T00:00:00"/>
    <n v="0.35"/>
    <s v="Familia Barreto Pérez"/>
    <s v="bbetsa19@hotmail.com"/>
    <s v="Av. &quot;M&quot; Nro. 146-15"/>
    <s v="Cancelación Vigilancia, mes de Agosto 2017"/>
    <x v="0"/>
    <m/>
    <s v="00533"/>
    <s v="01 de septiembre de 2017"/>
    <n v="1"/>
    <x v="10"/>
    <s v="0,35"/>
    <e v="#NAME?"/>
  </r>
  <r>
    <n v="534"/>
    <m/>
    <x v="0"/>
    <d v="2017-09-01T00:00:00"/>
    <n v="0.35"/>
    <s v="Ely Saúl Rivero Gómez"/>
    <s v="hhs.admon@gmail.com"/>
    <s v="Av. &quot;Ñ&quot; Nro. 145-25"/>
    <s v="Cancelación saldo Vigilancia, mes de Septiembre 2017 (saldo a favor: Bs. 44.000)"/>
    <x v="0"/>
    <m/>
    <s v="00534"/>
    <s v="01 de septiembre de 2017"/>
    <n v="1"/>
    <x v="10"/>
    <s v="0,35"/>
    <e v="#NAME?"/>
  </r>
  <r>
    <n v="535"/>
    <m/>
    <x v="0"/>
    <d v="2017-09-01T00:00:00"/>
    <n v="0.35"/>
    <s v="Familia Del Negro Palermo"/>
    <s v="vdelnegro@gmail.com"/>
    <s v="Calle Guacara Nro. 88-45"/>
    <s v="Cancelación Vigilancia, mes de Septiembre 2017 (saldo a favor: Bs. 60.000)"/>
    <x v="0"/>
    <m/>
    <s v="00535"/>
    <s v="01 de septiembre de 2017"/>
    <n v="1"/>
    <x v="10"/>
    <s v="0,35"/>
    <e v="#NAME?"/>
  </r>
  <r>
    <n v="536"/>
    <m/>
    <x v="0"/>
    <d v="2017-09-01T00:00:00"/>
    <n v="0.2"/>
    <s v="Héctor Hernández"/>
    <s v="eof64@hotmail.com"/>
    <s v="Calle Guacara Nro. 89-94"/>
    <s v="Colaboración Vigilancia, mes de Septiembre 2017"/>
    <x v="0"/>
    <m/>
    <s v="00536"/>
    <s v="01 de septiembre de 2017"/>
    <n v="1"/>
    <x v="10"/>
    <s v="0,20"/>
    <e v="#NAME?"/>
  </r>
  <r>
    <n v="537"/>
    <m/>
    <x v="0"/>
    <d v="2017-09-01T00:00:00"/>
    <n v="0.35"/>
    <s v="Familia Manrique Riera"/>
    <s v="patriciamanrique@gmail.com"/>
    <s v="Calle Guacara Nro. 89-40"/>
    <s v="Cancelación Vigilancia, mes de Julio 2017"/>
    <x v="0"/>
    <m/>
    <s v="00537"/>
    <s v="01 de septiembre de 2017"/>
    <n v="1"/>
    <x v="10"/>
    <s v="0,35"/>
    <e v="#NAME?"/>
  </r>
  <r>
    <n v="538"/>
    <m/>
    <x v="0"/>
    <d v="2017-09-03T00:00:00"/>
    <n v="0.7"/>
    <s v="Familia González Arévalo"/>
    <s v="feryenis@hotmail.com"/>
    <s v="Calle Guacara Nro. 89-86"/>
    <s v="Cancelación Vigilancia, meses de Septiembre y Octubre 2017"/>
    <x v="0"/>
    <m/>
    <s v="00538"/>
    <s v="03 de septiembre de 2017"/>
    <n v="3"/>
    <x v="10"/>
    <s v="0,70"/>
    <e v="#NAME?"/>
  </r>
  <r>
    <n v="539"/>
    <m/>
    <x v="0"/>
    <d v="2017-09-04T00:00:00"/>
    <n v="0.7"/>
    <s v="Familia Ochoa Mendoza"/>
    <s v="marisoljudithm@hotmail.com"/>
    <s v="Calle Güigüe Nro. 89-105"/>
    <s v="Cancelación Vigilancia, meses de Agosto y Septiembre 2017"/>
    <x v="0"/>
    <m/>
    <s v="00539"/>
    <s v="04 de septiembre de 2017"/>
    <n v="4"/>
    <x v="10"/>
    <s v="0,70"/>
    <e v="#NAME?"/>
  </r>
  <r>
    <n v="540"/>
    <m/>
    <x v="0"/>
    <d v="2017-09-04T00:00:00"/>
    <n v="0.35"/>
    <s v="Familia Castillo Mena"/>
    <s v="emmecas@hotmail.com"/>
    <s v="Calle Güigüe Nro. 88-101"/>
    <s v="Cancelación Vigilancia, mes de Agosto 2017"/>
    <x v="0"/>
    <m/>
    <s v="00540"/>
    <s v="04 de septiembre de 2017"/>
    <n v="4"/>
    <x v="10"/>
    <s v="0,35"/>
    <e v="#NAME?"/>
  </r>
  <r>
    <n v="541"/>
    <m/>
    <x v="0"/>
    <d v="2017-09-05T00:00:00"/>
    <n v="0.35"/>
    <s v="Familia Guerra Miret"/>
    <s v="antoniojguerrag@hotmail.com"/>
    <s v="Calle Güigüe Nro. 89-40"/>
    <s v="Cancelación Vigilancia, mes de Agosto 2017"/>
    <x v="0"/>
    <m/>
    <s v="00541"/>
    <s v="05 de septiembre de 2017"/>
    <n v="5"/>
    <x v="10"/>
    <s v="0,35"/>
    <e v="#NAME?"/>
  </r>
  <r>
    <n v="542"/>
    <m/>
    <x v="0"/>
    <d v="2017-09-05T00:00:00"/>
    <n v="0.35"/>
    <s v="Familia Arcia Polanco"/>
    <s v="misipo29@gmail.com"/>
    <s v="Calle Guacara Nro. 89-20"/>
    <s v="Cancelación Vigilancia, mes de Septiembre 2017"/>
    <x v="0"/>
    <m/>
    <s v="00542"/>
    <s v="05 de septiembre de 2017"/>
    <n v="5"/>
    <x v="10"/>
    <s v="0,35"/>
    <e v="#NAME?"/>
  </r>
  <r>
    <n v="543"/>
    <m/>
    <x v="0"/>
    <d v="2017-09-05T00:00:00"/>
    <n v="1.05"/>
    <s v="Familia López Hermoso"/>
    <s v="lopez.humberto14@yahoo.com.ve"/>
    <s v="Calle Güigüe Nro. 89-79"/>
    <s v="Cancelación Vigilancia, meses de Julio, Agosto y Septiembre 2017"/>
    <x v="0"/>
    <m/>
    <s v="00543"/>
    <s v="05 de septiembre de 2017"/>
    <n v="5"/>
    <x v="10"/>
    <s v="1,05"/>
    <e v="#NAME?"/>
  </r>
  <r>
    <n v="544"/>
    <m/>
    <x v="0"/>
    <d v="2017-09-06T00:00:00"/>
    <n v="0.35"/>
    <s v="Wu Hung Fung"/>
    <s v="carolinahung24@gmail.com"/>
    <s v="Calle Guacara Nro. 90-81"/>
    <s v="Cancelación Vigilancia, mes de Septiembre 2017"/>
    <x v="0"/>
    <m/>
    <s v="00544"/>
    <s v="06 de septiembre de 2017"/>
    <n v="6"/>
    <x v="10"/>
    <s v="0,35"/>
    <e v="#NAME?"/>
  </r>
  <r>
    <n v="545"/>
    <m/>
    <x v="0"/>
    <d v="2017-09-06T00:00:00"/>
    <n v="0.54"/>
    <s v="Colegio El Trigal"/>
    <s v="En Físico"/>
    <s v="Calle Güigüe Nros. 88-71 y 88-81"/>
    <s v="Cancelación Vigilancia, mes de Septiembre 2017"/>
    <x v="0"/>
    <m/>
    <s v="00545"/>
    <s v="06 de septiembre de 2017"/>
    <n v="6"/>
    <x v="10"/>
    <s v="0,54"/>
    <e v="#NAME?"/>
  </r>
  <r>
    <n v="546"/>
    <m/>
    <x v="0"/>
    <d v="2017-09-06T00:00:00"/>
    <n v="0.15"/>
    <s v="Chin Chun Ya (Goya)"/>
    <s v="uc2721@gmail.com"/>
    <s v="Calle Guacara Nro. 87-86"/>
    <s v="Colaboración Vigilancia, mes de Septiembre 2017"/>
    <x v="0"/>
    <m/>
    <s v="00546"/>
    <s v="06 de septiembre de 2017"/>
    <n v="6"/>
    <x v="10"/>
    <s v="0,15"/>
    <e v="#NAME?"/>
  </r>
  <r>
    <n v="547"/>
    <m/>
    <x v="0"/>
    <d v="2017-08-23T00:00:00"/>
    <n v="0.35"/>
    <s v="Familia Acosta Carpio"/>
    <s v="pablo962@hotmail.com"/>
    <s v="Calle Güigüe Nro. 89-10"/>
    <s v="Cancelación Vigilancia, mes de Agosto 2017"/>
    <x v="0"/>
    <m/>
    <s v="00547"/>
    <s v="23 de agosto de 2017"/>
    <n v="23"/>
    <x v="9"/>
    <s v="0,35"/>
    <e v="#NAME?"/>
  </r>
  <r>
    <n v="548"/>
    <m/>
    <x v="0"/>
    <d v="2017-08-24T00:00:00"/>
    <n v="0.35"/>
    <s v="Amarilis Guerra"/>
    <s v="amarilisguerra1@yahoo.com"/>
    <s v="Calle Güigüe Nro. 89-96"/>
    <s v="Cancelación Vigilancia, mes de Agosto 2017"/>
    <x v="0"/>
    <m/>
    <s v="00548"/>
    <s v="24 de agosto de 2017"/>
    <n v="24"/>
    <x v="9"/>
    <s v="0,35"/>
    <e v="#NAME?"/>
  </r>
  <r>
    <n v="549"/>
    <m/>
    <x v="0"/>
    <d v="2017-09-07T00:00:00"/>
    <n v="0.35"/>
    <s v="Familia Astor Zamora"/>
    <s v="imzastor@gmail.com"/>
    <s v="Calle Güigüe Nro. 88-111"/>
    <s v="Cancelación Vigilancia, mes de Julio 2017"/>
    <x v="0"/>
    <m/>
    <s v="00549"/>
    <s v="07 de septiembre de 2017"/>
    <n v="7"/>
    <x v="10"/>
    <s v="0,35"/>
    <e v="#NAME?"/>
  </r>
  <r>
    <n v="550"/>
    <m/>
    <x v="0"/>
    <d v="2017-09-10T00:00:00"/>
    <n v="0.15"/>
    <s v="Familia Morales Sesar"/>
    <s v="moralesesar@gmail.com"/>
    <s v="Calle Güigüe Nro. 89-120"/>
    <s v="Colaboración Vigilancia, mes de Agosto 2017"/>
    <x v="0"/>
    <m/>
    <s v="00550"/>
    <s v="10 de septiembre de 2017"/>
    <n v="10"/>
    <x v="10"/>
    <s v="0,15"/>
    <e v="#NAME?"/>
  </r>
  <r>
    <n v="551"/>
    <m/>
    <x v="0"/>
    <d v="2017-09-11T00:00:00"/>
    <n v="0.6"/>
    <s v="Familia Hatem Medina"/>
    <s v="hhatem1@hotmail.com"/>
    <s v="Calle Guacara Nro. 88-51"/>
    <s v="Colaboración Vigilancia, meses de Julio y Agosto 2017"/>
    <x v="0"/>
    <m/>
    <s v="00551"/>
    <s v="11 de septiembre de 2017"/>
    <n v="11"/>
    <x v="10"/>
    <s v="0,60"/>
    <e v="#NAME?"/>
  </r>
  <r>
    <n v="552"/>
    <m/>
    <x v="0"/>
    <d v="2017-09-12T00:00:00"/>
    <n v="0.35"/>
    <s v="Familia Hatem Medina"/>
    <s v="hhatem1@hotmail.com"/>
    <s v="Calle Guacara Nro. 88-51"/>
    <s v="Cancelación Vigilancia, mes de Septiembre 2017"/>
    <x v="0"/>
    <m/>
    <s v="00552"/>
    <s v="12 de septiembre de 2017"/>
    <n v="12"/>
    <x v="10"/>
    <s v="0,35"/>
    <e v="#NAME?"/>
  </r>
  <r>
    <n v="553"/>
    <m/>
    <x v="0"/>
    <d v="2017-09-13T00:00:00"/>
    <n v="0.09"/>
    <s v="Familia Ochoa Mendoza"/>
    <s v="marisoljudithm@hotmail.com"/>
    <s v="Calle Güigüe Nro. 89-105"/>
    <s v="Cancelación saldo Vigilancia, mes de Julio 2017"/>
    <x v="0"/>
    <m/>
    <s v="00553"/>
    <s v="13 de septiembre de 2017"/>
    <n v="13"/>
    <x v="10"/>
    <s v="0,09"/>
    <e v="#NAME?"/>
  </r>
  <r>
    <n v="554"/>
    <m/>
    <x v="0"/>
    <d v="2017-09-13T00:00:00"/>
    <n v="0.35"/>
    <s v="Familia Puerta Burguillos"/>
    <s v="namaricakes@gmail.com"/>
    <s v="Calle Guacara Nro. 87-100"/>
    <s v="Cancelación Vigilancia, mes de Septiembre 2017"/>
    <x v="0"/>
    <m/>
    <s v="00554"/>
    <s v="13 de septiembre de 2017"/>
    <n v="13"/>
    <x v="10"/>
    <s v="0,35"/>
    <e v="#NAME?"/>
  </r>
  <r>
    <n v="555"/>
    <m/>
    <x v="0"/>
    <d v="2017-09-13T00:00:00"/>
    <n v="0.03"/>
    <s v="Familia Flores Montagne"/>
    <s v="namaricakes@gmail.com"/>
    <s v="Av. &quot;M&quot; Nro. 146-20"/>
    <s v="Colaboración Vigilancia, mes de Septiembre 2017"/>
    <x v="0"/>
    <m/>
    <s v="00555"/>
    <s v="13 de septiembre de 2017"/>
    <n v="13"/>
    <x v="10"/>
    <s v="0,03"/>
    <e v="#NAME?"/>
  </r>
  <r>
    <n v="556"/>
    <m/>
    <x v="0"/>
    <d v="2017-09-13T00:00:00"/>
    <n v="1.05"/>
    <s v="Familia Navarrete Medina"/>
    <s v="juanin1919@yahoo.com"/>
    <s v="Calle Güigüe Nro. 89-22"/>
    <s v="Cancelación Vigilancia, meses de Julio, Agosto y Septiembre 2017"/>
    <x v="0"/>
    <m/>
    <s v="00556"/>
    <s v="13 de septiembre de 2017"/>
    <n v="13"/>
    <x v="10"/>
    <s v="1,05"/>
    <e v="#NAME?"/>
  </r>
  <r>
    <n v="557"/>
    <m/>
    <x v="0"/>
    <d v="2017-09-14T00:00:00"/>
    <n v="0.14899999999999999"/>
    <s v="Familia Santos Carrillo"/>
    <s v="briceidamp@hotmail.com"/>
    <s v="Calle Guacara Nro. 90-93"/>
    <s v="Colaboración Vigilancia, mes de Septiembre 2017"/>
    <x v="0"/>
    <m/>
    <s v="00557"/>
    <s v="14 de septiembre de 2017"/>
    <n v="14"/>
    <x v="10"/>
    <s v="0,15"/>
    <e v="#NAME?"/>
  </r>
  <r>
    <n v="558"/>
    <m/>
    <x v="0"/>
    <d v="2017-09-14T00:00:00"/>
    <n v="0.2"/>
    <s v="Familia Méndez Parra"/>
    <s v="briceidamp@hotmail.com"/>
    <s v="Calle Guacara Nro. 88-19"/>
    <s v="Colaboración Vigilancia, mes de Septiembre 2017"/>
    <x v="0"/>
    <m/>
    <s v="00558"/>
    <s v="14 de septiembre de 2017"/>
    <n v="14"/>
    <x v="10"/>
    <s v="0,20"/>
    <e v="#NAME?"/>
  </r>
  <r>
    <n v="559"/>
    <m/>
    <x v="0"/>
    <d v="2017-09-15T00:00:00"/>
    <n v="0.35"/>
    <s v="Beatriz Lara"/>
    <s v="valentina.gutierrez@hotmail.com"/>
    <s v="Calle Guacara Nro. 89-130"/>
    <s v="Cancelación Vigilancia, mes de Septiembre 2017"/>
    <x v="0"/>
    <m/>
    <s v="00559"/>
    <s v="15 de septiembre de 2017"/>
    <n v="15"/>
    <x v="10"/>
    <s v="0,35"/>
    <e v="#NAME?"/>
  </r>
  <r>
    <n v="560"/>
    <m/>
    <x v="0"/>
    <d v="2017-09-15T00:00:00"/>
    <n v="0.35"/>
    <s v="Familia Díaz González"/>
    <s v="luisrdt57@gmail.com"/>
    <s v="Calle Güigüe Nro. 88-116"/>
    <s v="Cancelación Vigilancia, mes de Septiembre 2017"/>
    <x v="0"/>
    <m/>
    <s v="00560"/>
    <s v="15 de septiembre de 2017"/>
    <n v="15"/>
    <x v="10"/>
    <s v="0,35"/>
    <e v="#NAME?"/>
  </r>
  <r>
    <n v="561"/>
    <m/>
    <x v="0"/>
    <d v="2017-09-15T00:00:00"/>
    <n v="0.17"/>
    <s v="Familia Rodríguez Landaeta"/>
    <s v="mrl58@hotmail.com"/>
    <s v="Calle Güigüe Nro. 89-29"/>
    <s v="Colaboración Vigilancia, mes de Septiembre 2017"/>
    <x v="0"/>
    <m/>
    <s v="00561"/>
    <s v="15 de septiembre de 2017"/>
    <n v="15"/>
    <x v="10"/>
    <s v="0,17"/>
    <e v="#NAME?"/>
  </r>
  <r>
    <n v="562"/>
    <m/>
    <x v="0"/>
    <d v="2017-09-15T00:00:00"/>
    <n v="0.35"/>
    <s v="Familia Sayago Peñaranda"/>
    <s v="alexissayago@gmail.com"/>
    <s v="Calle Güigüe Nro. 89-04"/>
    <s v="Cancelación Vigilancia, mes de Septiembre 2017"/>
    <x v="0"/>
    <m/>
    <s v="00562"/>
    <s v="15 de septiembre de 2017"/>
    <n v="15"/>
    <x v="10"/>
    <s v="0,35"/>
    <e v="#NAME?"/>
  </r>
  <r>
    <n v="563"/>
    <m/>
    <x v="0"/>
    <d v="2017-09-16T00:00:00"/>
    <n v="0.2"/>
    <s v="Familia Kablan Sarmiento"/>
    <s v="norisjsb56@hotmail.com"/>
    <s v="Calle Güigüe Nro. 89-80"/>
    <s v="Colaboración Vigilancia, mes de Septiembre 2017"/>
    <x v="0"/>
    <m/>
    <s v="00563"/>
    <s v="16 de septiembre de 2017"/>
    <n v="16"/>
    <x v="10"/>
    <s v="0,20"/>
    <e v="#NAME?"/>
  </r>
  <r>
    <n v="564"/>
    <m/>
    <x v="0"/>
    <d v="2017-09-18T00:00:00"/>
    <n v="0.35"/>
    <s v="Familia Nava Gordon"/>
    <s v="maru_19_66@hotmail.com"/>
    <s v="Calle Guacara Nro. 89-78"/>
    <s v="Cancelación Vigilancia, mes de Agosto 2017"/>
    <x v="0"/>
    <m/>
    <s v="00564"/>
    <s v="18 de septiembre de 2017"/>
    <n v="18"/>
    <x v="10"/>
    <s v="0,35"/>
    <e v="#NAME?"/>
  </r>
  <r>
    <n v="565"/>
    <m/>
    <x v="0"/>
    <d v="2017-09-18T00:00:00"/>
    <n v="0.35"/>
    <s v="Familia Lomeña Agudo"/>
    <s v="claudialomena@hotmail.com"/>
    <s v="Calle Guacara Nro. 89-30"/>
    <s v="Cancelación Vigilancia, mes de Septiembre 2017"/>
    <x v="0"/>
    <m/>
    <s v="00565"/>
    <s v="18 de septiembre de 2017"/>
    <n v="18"/>
    <x v="10"/>
    <s v="0,35"/>
    <e v="#NAME?"/>
  </r>
  <r>
    <n v="566"/>
    <m/>
    <x v="0"/>
    <d v="2017-09-18T00:00:00"/>
    <n v="0.2"/>
    <s v="Familia Zavarce Barón"/>
    <s v="0414-241.8055"/>
    <s v="Calle Guacara Nro. 88-91"/>
    <s v="Colaboración Vigilancia, meses de Julio y Agosto 2017"/>
    <x v="0"/>
    <m/>
    <s v="00566"/>
    <s v="18 de septiembre de 2017"/>
    <n v="18"/>
    <x v="10"/>
    <s v="0,20"/>
    <e v="#NAME?"/>
  </r>
  <r>
    <n v="567"/>
    <m/>
    <x v="0"/>
    <d v="2017-09-18T00:00:00"/>
    <n v="0.35"/>
    <s v="Familia Fermín Rivas"/>
    <s v="angelferminb@gmail.com"/>
    <s v="Calle Güigüe Nro. 89-55"/>
    <s v="Cancelación Vigilancia, mes de Septiembre 2017, transferencia y contra factura"/>
    <x v="0"/>
    <m/>
    <s v="00567"/>
    <s v="18 de septiembre de 2017"/>
    <n v="18"/>
    <x v="10"/>
    <s v="0,35"/>
    <e v="#NAME?"/>
  </r>
  <r>
    <n v="568"/>
    <m/>
    <x v="0"/>
    <d v="2017-09-19T00:00:00"/>
    <n v="0.35"/>
    <s v="Familia Loponte Arteaga"/>
    <s v="nancyloponte@hotmail.com"/>
    <s v="Calle Güigüe Nro. 88-120"/>
    <s v="Cancelación Vigilancia, mes de Septiembre 2017"/>
    <x v="0"/>
    <m/>
    <s v="00568"/>
    <s v="19 de septiembre de 2017"/>
    <n v="19"/>
    <x v="10"/>
    <s v="0,35"/>
    <e v="#NAME?"/>
  </r>
  <r>
    <n v="569"/>
    <m/>
    <x v="0"/>
    <d v="2017-09-19T00:00:00"/>
    <n v="0.35"/>
    <s v="Familia Castillo Mena"/>
    <s v="emmecas@hotmail.com"/>
    <s v="Calle Güigüe Nro. 88-101"/>
    <s v="Cancelación Vigilancia, mes de Septiembre 2017"/>
    <x v="0"/>
    <m/>
    <s v="00569"/>
    <s v="19 de septiembre de 2017"/>
    <n v="19"/>
    <x v="10"/>
    <s v="0,35"/>
    <e v="#NAME?"/>
  </r>
  <r>
    <n v="570"/>
    <m/>
    <x v="0"/>
    <d v="2017-09-19T00:00:00"/>
    <n v="0.7"/>
    <s v="Familia Piñero Padilla"/>
    <s v="achepaul2005@hotmail.com"/>
    <s v="Calle Güigüe Nro. 89-21"/>
    <s v="Cancelación Vigilancia, meses de Julio y Agosto 2017"/>
    <x v="0"/>
    <m/>
    <s v="00570"/>
    <s v="19 de septiembre de 2017"/>
    <n v="19"/>
    <x v="10"/>
    <s v="0,70"/>
    <e v="#NAME?"/>
  </r>
  <r>
    <n v="571"/>
    <m/>
    <x v="0"/>
    <d v="2017-09-20T00:00:00"/>
    <n v="0.35"/>
    <s v="Amarilis Guerra"/>
    <s v="amarilisguerra1@yahoo.com"/>
    <s v="Calle Güigüe Nro. 89-96"/>
    <s v="Cancelación Vigilancia, mes de Septiembre 2017"/>
    <x v="0"/>
    <m/>
    <s v="00571"/>
    <s v="20 de septiembre de 2017"/>
    <n v="20"/>
    <x v="10"/>
    <s v="0,35"/>
    <e v="#NAME?"/>
  </r>
  <r>
    <n v="572"/>
    <m/>
    <x v="0"/>
    <d v="2017-09-20T00:00:00"/>
    <n v="0.35"/>
    <s v="Familia Montilla García"/>
    <s v="dairy252525@hotmail.com"/>
    <s v="Calle Güigüe Nro. 89-90"/>
    <s v="Cancelación Vigilancia, mes de Septiembre 2017"/>
    <x v="0"/>
    <m/>
    <s v="00572"/>
    <s v="20 de septiembre de 2017"/>
    <n v="20"/>
    <x v="10"/>
    <s v="0,35"/>
    <e v="#NAME?"/>
  </r>
  <r>
    <n v="573"/>
    <m/>
    <x v="0"/>
    <d v="2017-09-20T00:00:00"/>
    <n v="0.35"/>
    <s v="Familia Jiménez Navarro"/>
    <s v="joyasonline2012@gmail.com"/>
    <s v="Calle Güigüe Nro. 88-50"/>
    <s v="Cancelación Vigilancia, mes de Agosto 2017"/>
    <x v="0"/>
    <m/>
    <s v="00573"/>
    <s v="20 de septiembre de 2017"/>
    <n v="20"/>
    <x v="10"/>
    <s v="0,35"/>
    <e v="#NAME?"/>
  </r>
  <r>
    <n v="574"/>
    <m/>
    <x v="0"/>
    <d v="2017-09-21T00:00:00"/>
    <n v="0.35"/>
    <s v="Familia Del Negro Palermo"/>
    <s v="vdelnegro@gmail.com"/>
    <s v="Calle Guacara Nro. 88-45"/>
    <s v="Anticipo Vigilancia (saldo a favor: Bs. 105.000)"/>
    <x v="1"/>
    <m/>
    <s v="00574"/>
    <s v="21 de septiembre de 2017"/>
    <n v="21"/>
    <x v="10"/>
    <s v="0,35"/>
    <e v="#NAME?"/>
  </r>
  <r>
    <n v="575"/>
    <m/>
    <x v="0"/>
    <d v="2017-09-21T00:00:00"/>
    <n v="0.1"/>
    <s v="Familia Rivero"/>
    <s v="En Físico"/>
    <s v="Calle Güigüe Nro. 88-40"/>
    <s v="Colaboración Vigilancia, mes de Agosto 2017"/>
    <x v="0"/>
    <m/>
    <s v="00575"/>
    <s v="21 de septiembre de 2017"/>
    <n v="21"/>
    <x v="10"/>
    <s v="0,10"/>
    <e v="#NAME?"/>
  </r>
  <r>
    <n v="576"/>
    <m/>
    <x v="0"/>
    <d v="2017-09-21T00:00:00"/>
    <n v="0.35"/>
    <s v="Familia Il Grande Franceschi"/>
    <s v="arcifran75@hotmail.com"/>
    <s v="Av. &quot;I&quot; Nro. 146-40"/>
    <s v="Cancelación saldo Vigilancia, mes de Agosto 2017 y anticipo mes de Septiembre 2017 (Bs. 1.000)"/>
    <x v="0"/>
    <m/>
    <s v="00576"/>
    <s v="21 de septiembre de 2017"/>
    <n v="21"/>
    <x v="10"/>
    <s v="0,35"/>
    <e v="#NAME?"/>
  </r>
  <r>
    <n v="577"/>
    <m/>
    <x v="0"/>
    <d v="2017-09-21T00:00:00"/>
    <n v="0.25"/>
    <s v="Familia Machado Stoppa"/>
    <s v="machadoru@hotmail.com"/>
    <s v="Calle Guacara Nro. 88-85"/>
    <s v="Colaboración Vigilancia, mes de Julio 2017"/>
    <x v="0"/>
    <m/>
    <s v="00577"/>
    <s v="21 de septiembre de 2017"/>
    <n v="21"/>
    <x v="10"/>
    <s v="0,25"/>
    <e v="#NAME?"/>
  </r>
  <r>
    <n v="578"/>
    <m/>
    <x v="0"/>
    <d v="2017-09-21T00:00:00"/>
    <n v="0.3"/>
    <s v="Familia Machado Stoppa"/>
    <s v="machadoru@hotmail.com"/>
    <s v="Calle Guacara Nro. 88-85"/>
    <s v="Colaboración Vigilancia, mes de Agosto 2017"/>
    <x v="0"/>
    <m/>
    <s v="00578"/>
    <s v="21 de septiembre de 2017"/>
    <n v="21"/>
    <x v="10"/>
    <s v="0,30"/>
    <e v="#NAME?"/>
  </r>
  <r>
    <n v="579"/>
    <m/>
    <x v="0"/>
    <d v="2017-09-22T00:00:00"/>
    <n v="0.35"/>
    <s v="Familia Zavarce Pérez"/>
    <s v="En Físico"/>
    <s v="Calle Guacara Nro. 90-35"/>
    <s v="Cancelación Vigilancia, mes de Septiembre 2017"/>
    <x v="0"/>
    <m/>
    <s v="00579"/>
    <s v="22 de septiembre de 2017"/>
    <n v="22"/>
    <x v="10"/>
    <s v="0,35"/>
    <e v="#NAME?"/>
  </r>
  <r>
    <n v="580"/>
    <m/>
    <x v="0"/>
    <d v="2017-09-23T00:00:00"/>
    <n v="0.21"/>
    <s v="Familia Chávez Hernández"/>
    <s v="mercedesch23@hotmail.com"/>
    <s v="Calle Güigüe Nro. 88-20"/>
    <s v="Colaboración Vigilancia, meses de Abril a Octubre 2017"/>
    <x v="0"/>
    <m/>
    <s v="00580"/>
    <s v="23 de septiembre de 2017"/>
    <n v="23"/>
    <x v="10"/>
    <s v="0,21"/>
    <e v="#NAME?"/>
  </r>
  <r>
    <n v="581"/>
    <m/>
    <x v="0"/>
    <d v="2017-09-25T00:00:00"/>
    <n v="0.4"/>
    <s v="La Casita Encantada"/>
    <s v="En Físico"/>
    <s v="Av. &quot;M&quot; Nro. 146-30"/>
    <s v="Cancelación Vigilancia, mes de Septiembre 2017"/>
    <x v="0"/>
    <m/>
    <s v="00581"/>
    <s v="25 de septiembre de 2017"/>
    <n v="25"/>
    <x v="10"/>
    <s v="0,40"/>
    <e v="#NAME?"/>
  </r>
  <r>
    <n v="582"/>
    <m/>
    <x v="0"/>
    <d v="2017-09-25T00:00:00"/>
    <n v="0.35"/>
    <s v="Familia Hurtado"/>
    <s v="En Físico"/>
    <s v="Av. &quot;O&quot; Nro. 146-11"/>
    <s v="Cancelación Vigilancia, mes de Agosto 2017"/>
    <x v="0"/>
    <m/>
    <s v="00582"/>
    <s v="25 de septiembre de 2017"/>
    <n v="25"/>
    <x v="10"/>
    <s v="0,35"/>
    <e v="#NAME?"/>
  </r>
  <r>
    <n v="583"/>
    <m/>
    <x v="0"/>
    <d v="2017-09-25T00:00:00"/>
    <n v="0.35"/>
    <s v="Familia Delgado Hidalgo"/>
    <s v="ardh@hotmail.com"/>
    <s v="Calle Güigüe Nro. 88-10"/>
    <s v="Cancelación Vigilancia, mes de Agosto 2017"/>
    <x v="0"/>
    <m/>
    <s v="00583"/>
    <s v="25 de septiembre de 2017"/>
    <n v="25"/>
    <x v="10"/>
    <s v="0,35"/>
    <e v="#NAME?"/>
  </r>
  <r>
    <n v="584"/>
    <m/>
    <x v="0"/>
    <d v="2017-09-26T00:00:00"/>
    <n v="0.35"/>
    <s v="Familia Jiménez Salvatierra"/>
    <s v="0414-582.8909"/>
    <s v="Calle Güigüe Nro. 89-45"/>
    <s v="Cancelación Vigilancia, mes de Septiembre 2017"/>
    <x v="0"/>
    <m/>
    <s v="00584"/>
    <s v="26 de septiembre de 2017"/>
    <n v="26"/>
    <x v="10"/>
    <s v="0,35"/>
    <e v="#NAME?"/>
  </r>
  <r>
    <n v="585"/>
    <m/>
    <x v="0"/>
    <d v="2017-09-29T00:00:00"/>
    <n v="0.35"/>
    <s v="Familia Barreto Pérez"/>
    <s v="bbetsa19@hotmail.com"/>
    <s v="Av. &quot;M&quot; Nro. 146-15"/>
    <s v="Cancelación Vigilancia, mes de Septiembre 2017"/>
    <x v="0"/>
    <m/>
    <s v="00585"/>
    <s v="29 de septiembre de 2017"/>
    <n v="29"/>
    <x v="10"/>
    <s v="0,35"/>
    <e v="#NAME?"/>
  </r>
  <r>
    <n v="586"/>
    <m/>
    <x v="0"/>
    <d v="2017-10-02T00:00:00"/>
    <n v="0.35"/>
    <s v="Familia Guerra Miret"/>
    <s v="antoniojguerrag@hotmail.com"/>
    <s v="Calle Güigüe Nro. 89-40"/>
    <s v="Cancelación Vigilancia, mes de Septiembre 2017"/>
    <x v="0"/>
    <m/>
    <s v="00586"/>
    <s v="02 de octubre de 2017"/>
    <n v="2"/>
    <x v="11"/>
    <s v="0,35"/>
    <e v="#NAME?"/>
  </r>
  <r>
    <n v="587"/>
    <m/>
    <x v="0"/>
    <d v="2017-10-02T00:00:00"/>
    <n v="0.35"/>
    <s v="Familia Fernández Parés"/>
    <s v="vultecca@gmail.com"/>
    <s v="Calle Guacara Nro. 88-75"/>
    <s v="Cancelación saldo Vigilancia, mes de Agosto 2017, y anticipo del mes de Septiembre 2017"/>
    <x v="0"/>
    <m/>
    <s v="00587"/>
    <s v="02 de octubre de 2017"/>
    <n v="2"/>
    <x v="11"/>
    <s v="0,35"/>
    <e v="#NAME?"/>
  </r>
  <r>
    <n v="588"/>
    <m/>
    <x v="0"/>
    <d v="2017-10-03T00:00:00"/>
    <n v="0.35"/>
    <s v="Familia Durvelle Serrano"/>
    <s v="sdurvelle@hotmail.com"/>
    <s v="Calle Guacara Nro. 89-60"/>
    <s v="Cancelación Vigilancia, mes de Octubre 2017"/>
    <x v="0"/>
    <m/>
    <s v="00588"/>
    <s v="03 de octubre de 2017"/>
    <n v="3"/>
    <x v="11"/>
    <s v="0,35"/>
    <e v="#NAME?"/>
  </r>
  <r>
    <n v="589"/>
    <m/>
    <x v="0"/>
    <d v="2017-10-03T00:00:00"/>
    <n v="0.22"/>
    <s v="Sra. Reina Meléndez"/>
    <s v="olgajipe@gmail.com"/>
    <s v="Av. &quot;M&quot; Nro. 145-10"/>
    <s v="Cancelación saldo Vigilancia, mes de Julio 2017"/>
    <x v="0"/>
    <m/>
    <s v="00589"/>
    <s v="03 de octubre de 2017"/>
    <n v="3"/>
    <x v="11"/>
    <s v="0,22"/>
    <e v="#NAME?"/>
  </r>
  <r>
    <n v="590"/>
    <m/>
    <x v="0"/>
    <d v="2017-10-03T00:00:00"/>
    <n v="0.35"/>
    <s v="Sra. Reina Meléndez"/>
    <s v="olgajipe@gmail.com"/>
    <s v="Av. &quot;M&quot; Nro. 145-10"/>
    <s v="Cancelación Vigilancia, mes de Agosto 2017"/>
    <x v="0"/>
    <m/>
    <s v="00590"/>
    <s v="03 de octubre de 2017"/>
    <n v="3"/>
    <x v="11"/>
    <s v="0,35"/>
    <e v="#NAME?"/>
  </r>
  <r>
    <n v="591"/>
    <m/>
    <x v="0"/>
    <d v="2017-10-03T00:00:00"/>
    <n v="0.2"/>
    <s v="Victoria Francischiello"/>
    <s v="victoriafrancischiello@hotmail.com"/>
    <s v="Calle Guacara Nro. 88-25"/>
    <s v="Colaboración Vigilancia, mes de Septiembre 2017"/>
    <x v="0"/>
    <m/>
    <s v="00591"/>
    <s v="03 de octubre de 2017"/>
    <n v="3"/>
    <x v="11"/>
    <s v="0,20"/>
    <e v="#NAME?"/>
  </r>
  <r>
    <n v="592"/>
    <m/>
    <x v="0"/>
    <d v="2017-10-03T00:00:00"/>
    <n v="0.7"/>
    <s v="Familia Scabuzzo Gómez"/>
    <s v="sfscabuzzo@msn.com"/>
    <s v="Av. &quot;I&quot; Nro. 146-20"/>
    <s v="Cancelación Vigilancia, meses de Septiembre y Octubre 2017"/>
    <x v="0"/>
    <m/>
    <s v="00592"/>
    <s v="03 de octubre de 2017"/>
    <n v="3"/>
    <x v="11"/>
    <s v="0,70"/>
    <e v="#NAME?"/>
  </r>
  <r>
    <n v="593"/>
    <m/>
    <x v="0"/>
    <d v="2017-10-04T00:00:00"/>
    <n v="0.15"/>
    <s v="Chin Chun Ya (Goya)"/>
    <s v="uc2721@gmail.com"/>
    <s v="Calle Guacara Nro. 87-86"/>
    <s v="Colaboración Vigilancia, mes de Octubre 2017"/>
    <x v="0"/>
    <m/>
    <s v="00593"/>
    <s v="04 de octubre de 2017"/>
    <n v="4"/>
    <x v="11"/>
    <s v="0,15"/>
    <e v="#NAME?"/>
  </r>
  <r>
    <n v="594"/>
    <m/>
    <x v="0"/>
    <d v="2017-10-04T00:00:00"/>
    <n v="0.35"/>
    <s v="Familia Ferrer Bahri"/>
    <s v="bahrimariela@hotmail.com"/>
    <s v="Calle Güigüe Nro. 89-83"/>
    <s v="Cancelación Vigilancia, mes de Octubre 2017"/>
    <x v="0"/>
    <m/>
    <s v="00594"/>
    <s v="04 de octubre de 2017"/>
    <n v="4"/>
    <x v="11"/>
    <s v="0,35"/>
    <e v="#NAME?"/>
  </r>
  <r>
    <n v="595"/>
    <m/>
    <x v="0"/>
    <d v="2017-10-04T00:00:00"/>
    <n v="0.7"/>
    <s v="Ana de González"/>
    <s v="mikelnowak25@gmail.com"/>
    <s v="Av. &quot;O&quot; Nro. 146-17"/>
    <s v="Cancelación Vigilancia, meses de Agosto y Septiembre 2017"/>
    <x v="0"/>
    <m/>
    <s v="00595"/>
    <s v="04 de octubre de 2017"/>
    <n v="4"/>
    <x v="11"/>
    <s v="0,70"/>
    <e v="#NAME?"/>
  </r>
  <r>
    <n v="596"/>
    <m/>
    <x v="0"/>
    <d v="2017-10-04T00:00:00"/>
    <n v="0.35"/>
    <s v="Familia Arcia Polanco"/>
    <s v="misipo29@gmail.com"/>
    <s v="Calle Guacara Nro. 89-20"/>
    <s v="Cancelación Vigilancia, mes de Octubre 2017"/>
    <x v="0"/>
    <m/>
    <s v="00596"/>
    <s v="04 de octubre de 2017"/>
    <n v="4"/>
    <x v="11"/>
    <s v="0,35"/>
    <e v="#NAME?"/>
  </r>
  <r>
    <n v="597"/>
    <m/>
    <x v="0"/>
    <d v="2017-10-04T00:00:00"/>
    <n v="0.25"/>
    <s v="Héctor Hernández"/>
    <s v="eof64@hotmail.com"/>
    <s v="Calle Guacara Nro. 89-94"/>
    <s v="Colaboración Vigilancia, mes de Octubre 2017"/>
    <x v="0"/>
    <m/>
    <s v="00597"/>
    <s v="04 de octubre de 2017"/>
    <n v="4"/>
    <x v="11"/>
    <s v="0,25"/>
    <e v="#NAME?"/>
  </r>
  <r>
    <n v="598"/>
    <m/>
    <x v="0"/>
    <d v="2017-10-05T00:00:00"/>
    <n v="0.35"/>
    <s v="Familia Del Negro Palermo"/>
    <s v="vdelnegro@gmail.com"/>
    <s v="Calle Guacara Nro. 88-45"/>
    <s v="Cancelación Vigilancia, mes de Octubre 2017 (saldo a favor: Bs. 70.000)"/>
    <x v="0"/>
    <m/>
    <s v="00598"/>
    <s v="05 de octubre de 2017"/>
    <n v="5"/>
    <x v="11"/>
    <s v="0,35"/>
    <e v="#NAME?"/>
  </r>
  <r>
    <n v="599"/>
    <m/>
    <x v="0"/>
    <d v="2017-10-05T00:00:00"/>
    <n v="0.35"/>
    <s v="Ely Saúl Rivero Gómez"/>
    <s v="hhs.admon@gmail.com"/>
    <s v="Av. &quot;Ñ&quot; Nro. 145-25"/>
    <s v="Cancelación Vigilancia, mes de Octubre 2017 (saldo a favor: Bs. 9.000)"/>
    <x v="0"/>
    <m/>
    <s v="00599"/>
    <s v="05 de octubre de 2017"/>
    <n v="5"/>
    <x v="11"/>
    <s v="0,35"/>
    <e v="#NAME?"/>
  </r>
  <r>
    <n v="600"/>
    <m/>
    <x v="0"/>
    <d v="2017-09-20T00:00:00"/>
    <n v="0.1"/>
    <s v="Ma. de Jesus Alonso"/>
    <s v="marjoriealonsoh@hotmail.com"/>
    <s v="Calle Güigüe Nro. 88-30"/>
    <s v="Colaboración Vigilancia, mes de Septiembre 2017"/>
    <x v="0"/>
    <m/>
    <s v="00600"/>
    <s v="20 de septiembre de 2017"/>
    <n v="20"/>
    <x v="10"/>
    <s v="0,10"/>
    <e v="#NAME?"/>
  </r>
  <r>
    <n v="601"/>
    <m/>
    <x v="0"/>
    <d v="2017-10-05T00:00:00"/>
    <n v="0.1"/>
    <s v="Ma. de Jesus Alonso"/>
    <s v="marjoriealonsoh@hotmail.com"/>
    <s v="Calle Güigüe Nro. 88-30"/>
    <s v="Colaboración Vigilancia, mes de Octubre 2017"/>
    <x v="0"/>
    <m/>
    <s v="00601"/>
    <s v="05 de octubre de 2017"/>
    <n v="5"/>
    <x v="11"/>
    <s v="0,10"/>
    <e v="#NAME?"/>
  </r>
  <r>
    <n v="602"/>
    <m/>
    <x v="0"/>
    <d v="2017-10-06T00:00:00"/>
    <n v="0.1"/>
    <s v="Familia Sirit Palencia"/>
    <s v="irasirit@gmail.com"/>
    <s v="Calle Güigüe Nro. 89-35"/>
    <s v="Colaboración Vigilancia, mes de Septiembre 2017"/>
    <x v="0"/>
    <m/>
    <s v="00602"/>
    <s v="06 de octubre de 2017"/>
    <n v="6"/>
    <x v="11"/>
    <s v="0,10"/>
    <e v="#NAME?"/>
  </r>
  <r>
    <n v="603"/>
    <m/>
    <x v="0"/>
    <d v="2017-10-06T00:00:00"/>
    <n v="0.35"/>
    <s v="Familia Navarro Assing"/>
    <s v="liliaassing@gmail.com"/>
    <s v="Calle Güigüe Nro. 88-54"/>
    <s v="Cancelación Vigilancia, mes de Septiembre 2017"/>
    <x v="0"/>
    <m/>
    <s v="00603"/>
    <s v="06 de octubre de 2017"/>
    <n v="6"/>
    <x v="11"/>
    <s v="0,35"/>
    <e v="#NAME?"/>
  </r>
  <r>
    <n v="604"/>
    <m/>
    <x v="0"/>
    <d v="2017-10-06T00:00:00"/>
    <n v="0.54"/>
    <s v="Colegio El Trigal"/>
    <s v="En Físico"/>
    <s v="Calle Güigüe Nros. 88-71 y 88-81"/>
    <s v="Cancelación Vigilancia, mes de Octubre 2017"/>
    <x v="0"/>
    <m/>
    <s v="00604"/>
    <s v="06 de octubre de 2017"/>
    <n v="6"/>
    <x v="11"/>
    <s v="0,54"/>
    <e v="#NAME?"/>
  </r>
  <r>
    <n v="605"/>
    <m/>
    <x v="1"/>
    <d v="2017-10-09T00:00:00"/>
    <n v="1.56"/>
    <s v="Ely Saúl Rivero Gómez"/>
    <s v="hhs.admon@gmail.com"/>
    <s v="Av. &quot;Ñ&quot; Nro. 145-25"/>
    <s v="Anticipo Vigilancia (saldo a favor: Bs. 165.000)"/>
    <x v="1"/>
    <m/>
    <s v="00605"/>
    <s v="09 de octubre de 2017"/>
    <n v="9"/>
    <x v="11"/>
    <s v="1,56"/>
    <e v="#NAME?"/>
  </r>
  <r>
    <n v="606"/>
    <m/>
    <x v="0"/>
    <d v="2017-10-10T00:00:00"/>
    <n v="0.35"/>
    <s v="Familia Colosso Delgado"/>
    <s v="mcolosso@gmail.com"/>
    <s v="Calle Güigüe Nro. 88-44"/>
    <s v="Cancelación Vigilancia, mes de Octubre 2017"/>
    <x v="0"/>
    <m/>
    <s v="00606"/>
    <s v="10 de octubre de 2017"/>
    <n v="10"/>
    <x v="11"/>
    <s v="0,35"/>
    <e v="#NAME?"/>
  </r>
  <r>
    <n v="607"/>
    <m/>
    <x v="0"/>
    <d v="2017-10-11T00:00:00"/>
    <n v="0.35"/>
    <s v="Familia Puerta Burguillos"/>
    <s v="namaricakes@gmail.com"/>
    <s v="Calle Guacara Nro. 87-100"/>
    <s v="Cancelación Vigilancia, mes de Octubre 2017"/>
    <x v="0"/>
    <m/>
    <s v="00607"/>
    <s v="11 de octubre de 2017"/>
    <n v="11"/>
    <x v="11"/>
    <s v="0,35"/>
    <e v="#NAME?"/>
  </r>
  <r>
    <n v="608"/>
    <m/>
    <x v="0"/>
    <d v="2017-10-11T00:00:00"/>
    <n v="0.05"/>
    <s v="Familia Flores Montagne"/>
    <s v="namaricakes@gmail.com"/>
    <s v="Av. &quot;M&quot; Nro. 146-20"/>
    <s v="Colaboración Vigilancia, mes de Octubre 2017"/>
    <x v="0"/>
    <m/>
    <s v="00608"/>
    <s v="11 de octubre de 2017"/>
    <n v="11"/>
    <x v="11"/>
    <s v="0,05"/>
    <e v="#NAME?"/>
  </r>
  <r>
    <n v="609"/>
    <m/>
    <x v="0"/>
    <d v="2017-10-11T00:00:00"/>
    <n v="0.35"/>
    <s v="Beatriz Lara"/>
    <s v="valentina.gutierrez@hotmail.com"/>
    <s v="Calle Guacara Nro. 89-130"/>
    <s v="Cancelación Vigilancia, mes de Octubre 2017"/>
    <x v="0"/>
    <m/>
    <s v="00609"/>
    <s v="11 de octubre de 2017"/>
    <n v="11"/>
    <x v="11"/>
    <s v="0,35"/>
    <e v="#NAME?"/>
  </r>
  <r>
    <n v="610"/>
    <m/>
    <x v="0"/>
    <d v="2017-10-11T00:00:00"/>
    <n v="0.35"/>
    <s v="Familia Fernández Parés"/>
    <s v="vultecca@gmail.com"/>
    <s v="Calle Guacara Nro. 88-75"/>
    <s v="Cancelación saldo Vigilancia, mes de Septiembre 2017, y anticipo del mes de Octubre 2017"/>
    <x v="0"/>
    <m/>
    <s v="00610"/>
    <s v="11 de octubre de 2017"/>
    <n v="11"/>
    <x v="11"/>
    <s v="0,35"/>
    <e v="#NAME?"/>
  </r>
  <r>
    <n v="611"/>
    <m/>
    <x v="0"/>
    <d v="2017-10-12T00:00:00"/>
    <n v="0.7"/>
    <s v="Anahiz Seijas"/>
    <s v="anahiz_2@hotmail.es"/>
    <s v="Calle Güigüe Nro. 89-106"/>
    <s v="Cancelación Vigilancia, meses de Septiembre y Octubre 2017"/>
    <x v="0"/>
    <m/>
    <s v="00611"/>
    <s v="12 de octubre de 2017"/>
    <n v="12"/>
    <x v="11"/>
    <s v="0,70"/>
    <e v="#NAME?"/>
  </r>
  <r>
    <n v="612"/>
    <m/>
    <x v="0"/>
    <d v="2017-10-15T00:00:00"/>
    <n v="0.35"/>
    <s v="Familia Castillo Mena"/>
    <s v="emmecas@hotmail.com"/>
    <s v="Calle Güigüe Nro. 88-101"/>
    <s v="Cancelación Vigilancia, mes de Octubre 2017"/>
    <x v="0"/>
    <m/>
    <s v="00612"/>
    <s v="15 de octubre de 2017"/>
    <n v="15"/>
    <x v="11"/>
    <s v="0,35"/>
    <e v="#NAME?"/>
  </r>
  <r>
    <n v="613"/>
    <m/>
    <x v="0"/>
    <d v="2017-10-15T00:00:00"/>
    <n v="0.35"/>
    <s v="Familia Montilla García"/>
    <s v="dairy252525@hotmail.com"/>
    <s v="Calle Güigüe Nro. 89-90"/>
    <s v="Cancelación Vigilancia, mes de Octubre 2017"/>
    <x v="0"/>
    <m/>
    <s v="00613"/>
    <s v="15 de octubre de 2017"/>
    <n v="15"/>
    <x v="11"/>
    <s v="0,35"/>
    <e v="#NAME?"/>
  </r>
  <r>
    <n v="614"/>
    <m/>
    <x v="0"/>
    <d v="2017-10-14T00:00:00"/>
    <n v="0.35"/>
    <s v="Familia Fermín Rivas"/>
    <s v="angelferminb@gmail.com"/>
    <s v="Calle Güigüe Nro. 89-55"/>
    <s v="Cancelación Vigilancia, mes de Octubre 2017, transferencia y Bs. 7.868 contra factura"/>
    <x v="0"/>
    <m/>
    <s v="00614"/>
    <s v="14 de octubre de 2017"/>
    <n v="14"/>
    <x v="11"/>
    <s v="0,35"/>
    <e v="#NAME?"/>
  </r>
  <r>
    <n v="615"/>
    <m/>
    <x v="0"/>
    <d v="2017-10-16T00:00:00"/>
    <n v="0.35"/>
    <s v="Familia Sayago Peñaranda"/>
    <s v="alexissayago@gmail.com"/>
    <s v="Calle Güigüe Nro. 89-04"/>
    <s v="Cancelación Vigilancia, mes de Octubre 2017, transferencia y Bs. 12.000 contra factura"/>
    <x v="0"/>
    <m/>
    <s v="00615"/>
    <s v="16 de octubre de 2017"/>
    <n v="16"/>
    <x v="11"/>
    <s v="0,35"/>
    <e v="#NAME?"/>
  </r>
  <r>
    <n v="616"/>
    <m/>
    <x v="0"/>
    <d v="2017-10-16T00:00:00"/>
    <n v="0.35"/>
    <s v="Familia Milanés Carmona"/>
    <s v="yndira11m@gmail.com"/>
    <s v="Calle Güigüe Nro. 89-65"/>
    <s v="Cancelación Vigilancia, mes de Septiembre 2017"/>
    <x v="0"/>
    <m/>
    <s v="00616"/>
    <s v="16 de octubre de 2017"/>
    <n v="16"/>
    <x v="11"/>
    <s v="0,35"/>
    <e v="#NAME?"/>
  </r>
  <r>
    <n v="617"/>
    <m/>
    <x v="0"/>
    <d v="2017-10-16T00:00:00"/>
    <n v="0.15"/>
    <s v="Familia Rodríguez Landaeta"/>
    <s v="mrl58@hotmail.com"/>
    <s v="Calle Güigüe Nro. 89-29"/>
    <s v="Colaboración Vigilancia, mes de Octubre 2017"/>
    <x v="0"/>
    <m/>
    <s v="00617"/>
    <s v="16 de octubre de 2017"/>
    <n v="16"/>
    <x v="11"/>
    <s v="0,15"/>
    <e v="#NAME?"/>
  </r>
  <r>
    <n v="618"/>
    <m/>
    <x v="0"/>
    <d v="2017-10-16T00:00:00"/>
    <n v="0.2"/>
    <s v="Familia Rodríguez Aular"/>
    <s v="mvaular@hotmail.com"/>
    <s v="Calle Güigüe Nro. 88-58"/>
    <s v="Colaboración Vigilancia, mes de Octubre 2017"/>
    <x v="0"/>
    <m/>
    <s v="00618"/>
    <s v="16 de octubre de 2017"/>
    <n v="16"/>
    <x v="11"/>
    <s v="0,20"/>
    <e v="#NAME?"/>
  </r>
  <r>
    <n v="619"/>
    <m/>
    <x v="0"/>
    <d v="2017-10-18T00:00:00"/>
    <n v="0.2"/>
    <s v="Familia Rodríguez Aular"/>
    <s v="mvaular@hotmail.com"/>
    <s v="Calle Güigüe Nro. 88-58"/>
    <s v="Colaboración Vigilancia, mes de Septiembre 2017"/>
    <x v="0"/>
    <m/>
    <s v="00619"/>
    <s v="18 de octubre de 2017"/>
    <n v="18"/>
    <x v="11"/>
    <s v="0,20"/>
    <e v="#NAME?"/>
  </r>
  <r>
    <n v="620"/>
    <m/>
    <x v="0"/>
    <d v="2017-10-18T00:00:00"/>
    <n v="0.35"/>
    <s v="Familia Acosta Carpio"/>
    <s v="pablo962@hotmail.com"/>
    <s v="Calle Güigüe Nro. 89-10"/>
    <s v="Cancelación Vigilancia, mes de Septiembre 2017"/>
    <x v="0"/>
    <m/>
    <s v="00620"/>
    <s v="18 de octubre de 2017"/>
    <n v="18"/>
    <x v="11"/>
    <s v="0,35"/>
    <e v="#NAME?"/>
  </r>
  <r>
    <n v="621"/>
    <m/>
    <x v="0"/>
    <d v="2017-10-19T00:00:00"/>
    <n v="0.35"/>
    <s v="Familia Díaz González"/>
    <s v="luisrdt57@gmail.com"/>
    <s v="Calle Güigüe Nro. 88-116"/>
    <s v="Cancelación Vigilancia, mes de Octubre 2017"/>
    <x v="0"/>
    <m/>
    <s v="00621"/>
    <s v="19 de octubre de 2017"/>
    <n v="19"/>
    <x v="11"/>
    <s v="0,35"/>
    <e v="#NAME?"/>
  </r>
  <r>
    <n v="622"/>
    <m/>
    <x v="0"/>
    <d v="2017-10-20T00:00:00"/>
    <n v="0.4"/>
    <s v="La Casita Encantada"/>
    <s v="En Físico"/>
    <s v="Av. &quot;M&quot; Nro. 146-30"/>
    <s v="Cancelación Vigilancia, mes de Octubre 2017"/>
    <x v="0"/>
    <m/>
    <s v="00622"/>
    <s v="20 de octubre de 2017"/>
    <n v="20"/>
    <x v="11"/>
    <s v="0,40"/>
    <e v="#NAME?"/>
  </r>
  <r>
    <n v="623"/>
    <m/>
    <x v="0"/>
    <d v="2017-10-21T00:00:00"/>
    <n v="0.7"/>
    <s v="Familia Castro Jiménez"/>
    <s v="0426-543.4303"/>
    <s v="Calle Guacara Nro. 90-51"/>
    <s v="Cancelación Vigilancia, meses de Septiembre y Octubre 2017"/>
    <x v="0"/>
    <m/>
    <s v="00623"/>
    <s v="21 de octubre de 2017"/>
    <n v="21"/>
    <x v="11"/>
    <s v="0,70"/>
    <e v="#NAME?"/>
  </r>
  <r>
    <n v="624"/>
    <m/>
    <x v="0"/>
    <d v="2017-10-21T00:00:00"/>
    <n v="0.35"/>
    <s v="Familia Nava Gordon"/>
    <s v="maru_19_66@hotmail.com"/>
    <s v="Calle Guacara Nro. 89-78"/>
    <s v="Cancelación Vigilancia, mes de Septiembre 2017"/>
    <x v="0"/>
    <m/>
    <s v="00624"/>
    <s v="21 de octubre de 2017"/>
    <n v="21"/>
    <x v="11"/>
    <s v="0,35"/>
    <e v="#NAME?"/>
  </r>
  <r>
    <n v="625"/>
    <m/>
    <x v="0"/>
    <d v="2017-10-21T00:00:00"/>
    <n v="0.35"/>
    <s v="Familia Jiménez Navarro"/>
    <s v="joyasonline2012@gmail.com"/>
    <s v="Calle Güigüe Nro. 88-50"/>
    <s v="Cancelación Vigilancia, mes de Septiembre 2017"/>
    <x v="0"/>
    <m/>
    <s v="00625"/>
    <s v="21 de octubre de 2017"/>
    <n v="21"/>
    <x v="11"/>
    <s v="0,35"/>
    <e v="#NAME?"/>
  </r>
  <r>
    <n v="626"/>
    <m/>
    <x v="0"/>
    <d v="2017-10-23T00:00:00"/>
    <n v="0.35"/>
    <s v="Amarilis Guerra"/>
    <s v="amarilisguerra1@yahoo.com"/>
    <s v="Calle Güigüe Nro. 89-96"/>
    <s v="Cancelación Vigilancia, mes de Octubre 2017"/>
    <x v="0"/>
    <m/>
    <s v="00626"/>
    <s v="23 de octubre de 2017"/>
    <n v="23"/>
    <x v="11"/>
    <s v="0,35"/>
    <e v="#NAME?"/>
  </r>
  <r>
    <n v="627"/>
    <m/>
    <x v="0"/>
    <d v="2017-10-23T00:00:00"/>
    <n v="0.35"/>
    <s v="Familia Lomeña Agudo"/>
    <s v="claudialomena@hotmail.com"/>
    <s v="Calle Guacara Nro. 89-30"/>
    <s v="Cancelación Vigilancia, mes de Octubre 2017"/>
    <x v="0"/>
    <m/>
    <s v="00627"/>
    <s v="23 de octubre de 2017"/>
    <n v="23"/>
    <x v="11"/>
    <s v="0,35"/>
    <e v="#NAME?"/>
  </r>
  <r>
    <n v="628"/>
    <m/>
    <x v="0"/>
    <d v="2017-10-23T00:00:00"/>
    <n v="0.35"/>
    <s v="Familia Loponte Arteaga"/>
    <s v="nancyloponte@hotmail.com"/>
    <s v="Calle Güigüe Nro. 88-120"/>
    <s v="Cancelación Vigilancia, mes de Octubre 2017"/>
    <x v="0"/>
    <m/>
    <s v="00628"/>
    <s v="23 de octubre de 2017"/>
    <n v="23"/>
    <x v="11"/>
    <s v="0,35"/>
    <e v="#NAME?"/>
  </r>
  <r>
    <n v="629"/>
    <m/>
    <x v="0"/>
    <d v="2017-10-23T00:00:00"/>
    <n v="0.7"/>
    <s v="Familia Delgado Hidalgo"/>
    <s v="ardh@hotmail.com"/>
    <s v="Calle Güigüe Nro. 88-10"/>
    <s v="Cancelación Vigilancia, meses de Septiembre y Octubre 2017"/>
    <x v="0"/>
    <m/>
    <s v="00629"/>
    <s v="23 de octubre de 2017"/>
    <n v="23"/>
    <x v="11"/>
    <s v="0,70"/>
    <e v="#NAME?"/>
  </r>
  <r>
    <n v="630"/>
    <m/>
    <x v="0"/>
    <d v="2017-10-23T00:00:00"/>
    <n v="0.7"/>
    <s v="Familia Manrique Riera"/>
    <s v="patriciamanrique@gmail.com"/>
    <s v="Calle Guacara Nro. 89-40"/>
    <s v="Cancelación Vigilancia, meses de Agosto y Septiembre 2017"/>
    <x v="0"/>
    <m/>
    <s v="00630"/>
    <s v="23 de octubre de 2017"/>
    <n v="23"/>
    <x v="11"/>
    <s v="0,70"/>
    <e v="#NAME?"/>
  </r>
  <r>
    <n v="631"/>
    <m/>
    <x v="0"/>
    <d v="2017-10-25T00:00:00"/>
    <n v="0.3"/>
    <s v="Familia Machado Stoppa"/>
    <s v="machadoru@hotmail.com"/>
    <s v="Calle Guacara Nro. 88-85"/>
    <s v="Colaboración Vigilancia, mes de Septiembre 2017"/>
    <x v="0"/>
    <m/>
    <s v="00631"/>
    <s v="25 de octubre de 2017"/>
    <n v="25"/>
    <x v="11"/>
    <s v="0,30"/>
    <e v="#NAME?"/>
  </r>
  <r>
    <n v="632"/>
    <m/>
    <x v="0"/>
    <d v="2017-10-26T00:00:00"/>
    <n v="0.15"/>
    <s v="Familia Morales Sesar"/>
    <s v="moralesesar@gmail.com"/>
    <s v="Calle Güigüe Nro. 89-120"/>
    <s v="Colaboración Vigilancia, mes de Septiembre 2017"/>
    <x v="0"/>
    <m/>
    <s v="00632"/>
    <s v="26 de octubre de 2017"/>
    <n v="26"/>
    <x v="11"/>
    <s v="0,15"/>
    <e v="#NAME?"/>
  </r>
  <r>
    <n v="633"/>
    <m/>
    <x v="0"/>
    <d v="2017-10-27T00:00:00"/>
    <n v="0.35"/>
    <s v="Familia Navarro Assing"/>
    <s v="liliaassing@gmail.com"/>
    <s v="Calle Güigüe Nro. 88-54"/>
    <s v="Cancelación Vigilancia, mes de Octubre 2017"/>
    <x v="0"/>
    <m/>
    <s v="00633"/>
    <s v="27 de octubre de 2017"/>
    <n v="27"/>
    <x v="11"/>
    <s v="0,35"/>
    <e v="#NAME?"/>
  </r>
  <r>
    <n v="634"/>
    <m/>
    <x v="0"/>
    <d v="2017-10-27T00:00:00"/>
    <n v="1.05"/>
    <s v="Familia Narváez Caldera"/>
    <s v="jeannette_nc@yahoo.com"/>
    <s v="Calle Güigüe Nro. 87-A-11"/>
    <s v="Cancelación Vigilancia, meses de Septiembre y Octubre 2017, y Anticipo Vigilancia, mes de Noviembre 2017"/>
    <x v="0"/>
    <m/>
    <s v="00634"/>
    <s v="27 de octubre de 2017"/>
    <n v="27"/>
    <x v="11"/>
    <s v="1,05"/>
    <e v="#NAME?"/>
  </r>
  <r>
    <n v="635"/>
    <m/>
    <x v="0"/>
    <d v="2017-10-27T00:00:00"/>
    <n v="0.7"/>
    <s v="Familia Il Grande Franceschi"/>
    <s v="arcifran75@hotmail.com"/>
    <s v="Av. &quot;I&quot; Nro. 146-40"/>
    <s v="Cancelación saldo Vigilancia, mes de Septiembre, cancelación mes de Octubre y anticipo mes de Noviembre 2017 (Bs. 1.000)"/>
    <x v="0"/>
    <m/>
    <s v="00635"/>
    <s v="27 de octubre de 2017"/>
    <n v="27"/>
    <x v="11"/>
    <s v="0,70"/>
    <e v="#NAME?"/>
  </r>
  <r>
    <n v="636"/>
    <m/>
    <x v="0"/>
    <d v="2017-10-29T00:00:00"/>
    <n v="0.6"/>
    <s v="Gloria Molina"/>
    <s v="glomola2@yahoo.es"/>
    <s v="Calle Güigüe Nro. 89-71"/>
    <s v="Colaboración Vigilancia, meses de Junio, Julio, Agosto y Septiembre 2017"/>
    <x v="0"/>
    <m/>
    <s v="00636"/>
    <s v="29 de octubre de 2017"/>
    <n v="29"/>
    <x v="11"/>
    <s v="0,60"/>
    <e v="#NAME?"/>
  </r>
  <r>
    <n v="637"/>
    <m/>
    <x v="0"/>
    <d v="2017-10-30T00:00:00"/>
    <n v="0.2"/>
    <s v="Familia Santos Carrillo"/>
    <s v="briceidamp@hotmail.com"/>
    <s v="Calle Guacara Nro. 90-93"/>
    <s v="Colaboración Vigilancia, mes de Octubre 2017"/>
    <x v="0"/>
    <m/>
    <s v="00637"/>
    <s v="30 de octubre de 2017"/>
    <n v="30"/>
    <x v="11"/>
    <s v="0,20"/>
    <e v="#NAME?"/>
  </r>
  <r>
    <n v="638"/>
    <m/>
    <x v="0"/>
    <d v="2017-10-30T00:00:00"/>
    <n v="0.2"/>
    <s v="Familia Méndez Parra"/>
    <s v="briceidamp@hotmail.com"/>
    <s v="Calle Guacara Nro. 88-19"/>
    <s v="Colaboración Vigilancia, mes de Octubre 2017"/>
    <x v="0"/>
    <m/>
    <s v="00638"/>
    <s v="30 de octubre de 2017"/>
    <n v="30"/>
    <x v="11"/>
    <s v="0,20"/>
    <e v="#NAME?"/>
  </r>
  <r>
    <n v="639"/>
    <m/>
    <x v="0"/>
    <d v="2017-10-31T00:00:00"/>
    <n v="0.35"/>
    <s v="Familia Gascón Domínguez"/>
    <s v="vrgascon@gmail.com"/>
    <s v="Calle Güigüe Nro. 88-70"/>
    <s v="Cancelación Vigilancia, mes de Octubre 2017"/>
    <x v="0"/>
    <m/>
    <s v="00639"/>
    <s v="31 de octubre de 2017"/>
    <n v="31"/>
    <x v="11"/>
    <s v="0,35"/>
    <e v="#NAME?"/>
  </r>
  <r>
    <n v="640"/>
    <m/>
    <x v="0"/>
    <d v="2017-10-19T00:00:00"/>
    <n v="0.2"/>
    <s v="Familia Kablan Sarmiento"/>
    <s v="norisjsb56@hotmail.com"/>
    <s v="Calle Güigüe Nro. 89-80"/>
    <s v="Colaboración Vigilancia, mes de Octubre 2017"/>
    <x v="0"/>
    <m/>
    <s v="00640"/>
    <s v="19 de octubre de 2017"/>
    <n v="19"/>
    <x v="11"/>
    <s v="0,20"/>
    <e v="#NAME?"/>
  </r>
  <r>
    <n v="641"/>
    <m/>
    <x v="0"/>
    <d v="2017-11-01T00:00:00"/>
    <n v="0.35"/>
    <s v="Familia Barreto Pérez"/>
    <s v="bbetsa19@hotmail.com"/>
    <s v="Av. &quot;M&quot; Nro. 146-15"/>
    <s v="Cancelación Vigilancia, mes de Octubre 2017"/>
    <x v="0"/>
    <m/>
    <s v="00641"/>
    <s v="01 de noviembre de 2017"/>
    <n v="1"/>
    <x v="12"/>
    <s v="0,35"/>
    <e v="#NAME?"/>
  </r>
  <r>
    <n v="642"/>
    <m/>
    <x v="0"/>
    <d v="2017-11-01T00:00:00"/>
    <n v="0.35"/>
    <s v="Familia Ferrer Bahri"/>
    <s v="bahrimariela@hotmail.com"/>
    <s v="Calle Güigüe Nro. 89-83"/>
    <s v="Anticipo Vigilancia, mes de Noviembre 2017"/>
    <x v="0"/>
    <m/>
    <s v="00642"/>
    <s v="01 de noviembre de 2017"/>
    <n v="1"/>
    <x v="12"/>
    <s v="0,35"/>
    <e v="#NAME?"/>
  </r>
  <r>
    <n v="643"/>
    <m/>
    <x v="0"/>
    <d v="2017-11-02T00:00:00"/>
    <n v="0.35"/>
    <s v="Familia Durvelle Serrano"/>
    <s v="sdurvelle@hotmail.com"/>
    <s v="Calle Guacara Nro. 89-60"/>
    <s v="Anticipo Vigilancia, mes de Noviembre 2017"/>
    <x v="0"/>
    <m/>
    <s v="00643"/>
    <s v="02 de noviembre de 2017"/>
    <n v="2"/>
    <x v="12"/>
    <s v="0,35"/>
    <e v="#NAME?"/>
  </r>
  <r>
    <n v="644"/>
    <m/>
    <x v="0"/>
    <d v="2017-11-01T00:00:00"/>
    <n v="0.67999999999999994"/>
    <s v="Familia Matta Palomino"/>
    <s v="En Físico"/>
    <s v="Calle Güigüe Nro. 88-90"/>
    <s v="Cancelación saldo Vigilancia, mes de Septiembre 2017 y Cancelación Vigilancia, mes de Octubre 2017"/>
    <x v="0"/>
    <m/>
    <s v="00644"/>
    <s v="01 de noviembre de 2017"/>
    <n v="1"/>
    <x v="12"/>
    <s v="0,68"/>
    <e v="#NAME?"/>
  </r>
  <r>
    <n v="645"/>
    <m/>
    <x v="0"/>
    <d v="2017-11-02T00:00:00"/>
    <n v="0.7"/>
    <s v="Familia Kattar González"/>
    <s v="jagiak123@yahoo.es"/>
    <s v="Calle Güigüe Nro. 89-95"/>
    <s v="Cancelación Vigilancia, meses de Agosto y Septiembre 2017"/>
    <x v="0"/>
    <m/>
    <s v="00645"/>
    <s v="02 de noviembre de 2017"/>
    <n v="2"/>
    <x v="12"/>
    <s v="0,70"/>
    <e v="#NAME?"/>
  </r>
  <r>
    <n v="646"/>
    <m/>
    <x v="0"/>
    <d v="2017-11-02T00:00:00"/>
    <n v="0.35"/>
    <s v="Familia Loponte Arteaga"/>
    <s v="nancyloponte@hotmail.com"/>
    <s v="Calle Güigüe Nro. 88-120"/>
    <s v="Anticipo Vigilancia, mes de Noviembre 2017"/>
    <x v="0"/>
    <m/>
    <s v="00646"/>
    <s v="02 de noviembre de 2017"/>
    <n v="2"/>
    <x v="12"/>
    <s v="0,35"/>
    <e v="#NAME?"/>
  </r>
  <r>
    <n v="647"/>
    <m/>
    <x v="0"/>
    <d v="2017-11-02T00:00:00"/>
    <n v="0.7"/>
    <s v="Familia Jiménez Salvatierra"/>
    <s v="0414-582.8909"/>
    <s v="Calle Güigüe Nro. 89-45"/>
    <s v="Cancelación Vigilancia, mes de Octubre 2017, y Anticipo Vigilancia, mes de Noviembre 2017"/>
    <x v="0"/>
    <m/>
    <s v="00647"/>
    <s v="02 de noviembre de 2017"/>
    <n v="2"/>
    <x v="12"/>
    <s v="0,70"/>
    <e v="#NAME?"/>
  </r>
  <r>
    <n v="648"/>
    <m/>
    <x v="0"/>
    <d v="2017-11-02T00:00:00"/>
    <n v="0.5"/>
    <s v="Familia Alonso Rojas"/>
    <s v="redjc01@gmail.com"/>
    <s v="Calle Güigüe Nro. 89-54"/>
    <s v="Cancelación Vigilancia, mes de Noviembre 2017"/>
    <x v="0"/>
    <m/>
    <s v="00648"/>
    <s v="02 de noviembre de 2017"/>
    <n v="2"/>
    <x v="12"/>
    <s v="0,50"/>
    <e v="#NAME?"/>
  </r>
  <r>
    <n v="649"/>
    <m/>
    <x v="0"/>
    <d v="2017-11-03T00:00:00"/>
    <n v="0.5"/>
    <s v="Familia Colosso Delgado"/>
    <s v="mcolosso@gmail.com"/>
    <s v="Calle Güigüe Nro. 88-44"/>
    <s v="Cancelación Vigilancia, mes de Noviembre 2017"/>
    <x v="0"/>
    <m/>
    <s v="00649"/>
    <s v="03 de noviembre de 2017"/>
    <n v="3"/>
    <x v="12"/>
    <s v="0,50"/>
    <e v="#NAME?"/>
  </r>
  <r>
    <n v="650"/>
    <m/>
    <x v="0"/>
    <d v="2017-11-04T00:00:00"/>
    <n v="1.05"/>
    <s v="Dra. Lilia Magallanes"/>
    <s v="liliamagallanes2010@gmail.com"/>
    <s v="Calle Güigüe Nro. 88-51"/>
    <s v="Cancelación Vigilancia, meses de Agosto, Septiembre y Octubre 2017"/>
    <x v="0"/>
    <m/>
    <s v="00650"/>
    <s v="04 de noviembre de 2017"/>
    <n v="4"/>
    <x v="12"/>
    <s v="1,05"/>
    <e v="#NAME?"/>
  </r>
  <r>
    <n v="651"/>
    <m/>
    <x v="0"/>
    <d v="2017-11-08T00:00:00"/>
    <n v="0.35"/>
    <s v="Familia Hatem Medina"/>
    <s v="hhatem1@hotmail.com"/>
    <s v="Calle Guacara Nro. 88-51"/>
    <s v="Cancelación Vigilancia, mes de Octubre y anticipo mes de Noviembre 2017: transferencia y contra factura"/>
    <x v="0"/>
    <m/>
    <s v="00651"/>
    <s v="08 de noviembre de 2017"/>
    <n v="8"/>
    <x v="12"/>
    <s v="0,35"/>
    <e v="#NAME?"/>
  </r>
  <r>
    <n v="652"/>
    <m/>
    <x v="0"/>
    <d v="2017-11-07T00:00:00"/>
    <n v="0.5"/>
    <s v="Familia Del Negro Palermo"/>
    <s v="vdelnegro@gmail.com"/>
    <s v="Calle Guacara Nro. 88-45"/>
    <s v="Cancelación Vigilancia, mes de Noviembre 2017 (saldo a favor: Bs. 20.000)"/>
    <x v="0"/>
    <m/>
    <s v="00652"/>
    <s v="07 de noviembre de 2017"/>
    <n v="7"/>
    <x v="12"/>
    <s v="0,50"/>
    <e v="#NAME?"/>
  </r>
  <r>
    <n v="653"/>
    <m/>
    <x v="0"/>
    <d v="2017-11-07T00:00:00"/>
    <n v="0.5"/>
    <s v="Ely Saúl Rivero Gómez"/>
    <s v="hhs.admon@gmail.com"/>
    <s v="Av. &quot;Ñ&quot; Nro. 145-25"/>
    <s v="Cancelación Vigilancia, mes de Noviembre 2017 (saldo a favor: Bs. 115.000)"/>
    <x v="0"/>
    <m/>
    <s v="00653"/>
    <s v="07 de noviembre de 2017"/>
    <n v="7"/>
    <x v="12"/>
    <s v="0,50"/>
    <e v="#NAME?"/>
  </r>
  <r>
    <n v="654"/>
    <m/>
    <x v="0"/>
    <d v="2017-11-08T00:00:00"/>
    <n v="0.5"/>
    <s v="Familia Arcia Polanco"/>
    <s v="misipo29@gmail.com"/>
    <s v="Calle Guacara Nro. 89-20"/>
    <s v="Cancelación Vigilancia, mes de Noviembre 2017"/>
    <x v="0"/>
    <m/>
    <s v="00654"/>
    <s v="08 de noviembre de 2017"/>
    <n v="8"/>
    <x v="12"/>
    <s v="0,50"/>
    <e v="#NAME?"/>
  </r>
  <r>
    <n v="655"/>
    <m/>
    <x v="0"/>
    <d v="2017-11-10T00:00:00"/>
    <n v="0.3"/>
    <s v="Héctor Hernández"/>
    <s v="eof64@hotmail.com"/>
    <s v="Calle Guacara Nro. 89-94"/>
    <s v="Colaboración Vigilancia, mes de Noviembre 2017"/>
    <x v="0"/>
    <m/>
    <s v="00655"/>
    <s v="10 de noviembre de 2017"/>
    <n v="10"/>
    <x v="12"/>
    <s v="0,30"/>
    <e v="#NAME?"/>
  </r>
  <r>
    <n v="656"/>
    <m/>
    <x v="0"/>
    <d v="2017-11-09T00:00:00"/>
    <n v="0.5"/>
    <s v="Familia Acosta Carpio"/>
    <s v="pablo962@hotmail.com"/>
    <s v="Calle Güigüe Nro. 89-10"/>
    <s v="Cancelación Vigilancia, mes de Noviembre 2017"/>
    <x v="0"/>
    <m/>
    <s v="00656"/>
    <s v="09 de noviembre de 2017"/>
    <n v="9"/>
    <x v="12"/>
    <s v="0,50"/>
    <e v="#NAME?"/>
  </r>
  <r>
    <n v="657"/>
    <m/>
    <x v="0"/>
    <d v="2017-11-09T00:00:00"/>
    <n v="0.85"/>
    <s v="Familia Kattar González"/>
    <s v="jagiak123@yahoo.es"/>
    <s v="Calle Güigüe Nro. 89-95"/>
    <s v="Cancelación Vigilancia, meses de Octubre y Noviembre 2017"/>
    <x v="0"/>
    <m/>
    <s v="00657"/>
    <s v="09 de noviembre de 2017"/>
    <n v="9"/>
    <x v="12"/>
    <s v="0,85"/>
    <e v="#NAME?"/>
  </r>
  <r>
    <n v="658"/>
    <m/>
    <x v="0"/>
    <d v="2017-11-10T00:00:00"/>
    <n v="1.35"/>
    <s v="Wu Hung Fung"/>
    <s v="carolinahung24@gmail.com"/>
    <s v="Calle Guacara Nro. 90-81"/>
    <s v="Cancelación Vigilancia, meses de Octubre, Noviembre y Diciembre 2017"/>
    <x v="0"/>
    <m/>
    <s v="00658"/>
    <s v="10 de noviembre de 2017"/>
    <n v="10"/>
    <x v="12"/>
    <s v="1,35"/>
    <e v="#NAME?"/>
  </r>
  <r>
    <n v="659"/>
    <m/>
    <x v="0"/>
    <d v="2017-11-10T00:00:00"/>
    <n v="0.35"/>
    <s v="Chin Chun Ya (Goya)"/>
    <s v="uc2721@gmail.com"/>
    <s v="Calle Guacara Nro. 87-86"/>
    <s v="Colaboración Vigilancia, mes de Noviembre 2017"/>
    <x v="0"/>
    <m/>
    <s v="00659"/>
    <s v="10 de noviembre de 2017"/>
    <n v="10"/>
    <x v="12"/>
    <s v="0,35"/>
    <e v="#NAME?"/>
  </r>
  <r>
    <n v="660"/>
    <m/>
    <x v="0"/>
    <d v="2017-11-11T00:00:00"/>
    <n v="1.2"/>
    <s v="Familia Piñero Padilla"/>
    <s v="achepaul2005@hotmail.com"/>
    <s v="Calle Güigüe Nro. 89-21"/>
    <s v="Cancelación Vigilancia, meses de Septiembre, Octubre y Noviembre 2017"/>
    <x v="0"/>
    <m/>
    <s v="00660"/>
    <s v="11 de noviembre de 2017"/>
    <n v="11"/>
    <x v="12"/>
    <s v="1,20"/>
    <e v="#NAME?"/>
  </r>
  <r>
    <n v="661"/>
    <m/>
    <x v="0"/>
    <d v="2017-11-11T00:00:00"/>
    <n v="0.5"/>
    <s v="Familia Fermín Rivas"/>
    <s v="angelferminb@gmail.com"/>
    <s v="Calle Güigüe Nro. 89-55"/>
    <s v="Cancelación Vigilancia, mes de Noviembre 2017"/>
    <x v="0"/>
    <m/>
    <s v="00661"/>
    <s v="11 de noviembre de 2017"/>
    <n v="11"/>
    <x v="12"/>
    <s v="0,50"/>
    <e v="#NAME?"/>
  </r>
  <r>
    <n v="662"/>
    <m/>
    <x v="0"/>
    <d v="2017-11-12T00:00:00"/>
    <n v="0.85"/>
    <s v="Familia López Hermoso"/>
    <s v="lopez.humberto14@yahoo.com.ve"/>
    <s v="Calle Güigüe Nro. 89-79"/>
    <s v="Cancelación Vigilancia, meses de Octubre y Noviembre 2017"/>
    <x v="0"/>
    <m/>
    <s v="00662"/>
    <s v="12 de noviembre de 2017"/>
    <n v="12"/>
    <x v="12"/>
    <s v="0,85"/>
    <e v="#NAME?"/>
  </r>
  <r>
    <n v="663"/>
    <m/>
    <x v="0"/>
    <d v="2017-11-12T00:00:00"/>
    <n v="0.1"/>
    <s v="Ma. de Jesus Alonso"/>
    <s v="marjoriealonsoh@hotmail.com"/>
    <s v="Calle Güigüe Nro. 88-30"/>
    <s v="Colaboración Vigilancia, mes de Noviembre 2017"/>
    <x v="0"/>
    <m/>
    <s v="00663"/>
    <s v="12 de noviembre de 2017"/>
    <n v="12"/>
    <x v="12"/>
    <s v="0,10"/>
    <e v="#NAME?"/>
  </r>
  <r>
    <n v="664"/>
    <m/>
    <x v="0"/>
    <d v="2017-11-14T00:00:00"/>
    <n v="0.5"/>
    <s v="Familia Lomeña Agudo"/>
    <s v="claudialomena@hotmail.com"/>
    <s v="Calle Guacara Nro. 89-30"/>
    <s v="Cancelación Vigilancia, mes de Noviembre 2017"/>
    <x v="0"/>
    <m/>
    <s v="00664"/>
    <s v="14 de noviembre de 2017"/>
    <n v="14"/>
    <x v="12"/>
    <s v="0,50"/>
    <e v="#NAME?"/>
  </r>
  <r>
    <n v="665"/>
    <m/>
    <x v="0"/>
    <d v="2017-11-13T00:00:00"/>
    <n v="0.2"/>
    <s v="Victoria Francischiello"/>
    <s v="victoriafrancischiello@hotmail.com"/>
    <s v="Calle Guacara Nro. 88-25"/>
    <s v="Colaboración Vigilancia, mes de Octubre 2017"/>
    <x v="0"/>
    <m/>
    <s v="00665"/>
    <s v="13 de noviembre de 2017"/>
    <n v="13"/>
    <x v="12"/>
    <s v="0,20"/>
    <e v="#NAME?"/>
  </r>
  <r>
    <n v="666"/>
    <m/>
    <x v="0"/>
    <d v="2017-11-09T00:00:00"/>
    <n v="0.35"/>
    <s v="Familia Zavarce Pérez"/>
    <s v="En Físico"/>
    <s v="Calle Guacara Nro. 90-35"/>
    <s v="Cancelación Vigilancia, mes de Octubre 2017"/>
    <x v="0"/>
    <m/>
    <s v="00666"/>
    <s v="09 de noviembre de 2017"/>
    <n v="9"/>
    <x v="12"/>
    <s v="0,35"/>
    <e v="#NAME?"/>
  </r>
  <r>
    <n v="667"/>
    <m/>
    <x v="0"/>
    <d v="2017-11-14T00:00:00"/>
    <n v="0.85"/>
    <s v="Ana de González"/>
    <s v="mikelnowak25@gmail.com"/>
    <s v="Av. &quot;O&quot; Nro. 146-17"/>
    <s v="Cancelación Vigilancia, meses de Octubre y Noviembre 2017"/>
    <x v="0"/>
    <m/>
    <s v="00667"/>
    <s v="14 de noviembre de 2017"/>
    <n v="14"/>
    <x v="12"/>
    <s v="0,85"/>
    <e v="#NAME?"/>
  </r>
  <r>
    <n v="668"/>
    <m/>
    <x v="0"/>
    <d v="2017-11-14T00:00:00"/>
    <n v="0.35"/>
    <s v="Familia Nava Gordon"/>
    <s v="maru_19_66@hotmail.com"/>
    <s v="Calle Guacara Nro. 89-78"/>
    <s v="Cancelación Vigilancia, mes de Octubre 2017"/>
    <x v="0"/>
    <m/>
    <s v="00668"/>
    <s v="14 de noviembre de 2017"/>
    <n v="14"/>
    <x v="12"/>
    <s v="0,35"/>
    <e v="#NAME?"/>
  </r>
  <r>
    <n v="669"/>
    <m/>
    <x v="0"/>
    <d v="2017-11-14T00:00:00"/>
    <n v="1"/>
    <s v="Familia González Arévalo"/>
    <s v="feryenis@hotmail.com"/>
    <s v="Calle Guacara Nro. 89-86"/>
    <s v="Cancelación Vigilancia, meses de Noviembre y Diciembre 2017"/>
    <x v="0"/>
    <m/>
    <s v="00669"/>
    <s v="14 de noviembre de 2017"/>
    <n v="14"/>
    <x v="12"/>
    <s v="1,00"/>
    <e v="#NAME?"/>
  </r>
  <r>
    <n v="670"/>
    <m/>
    <x v="0"/>
    <d v="2017-11-15T00:00:00"/>
    <n v="0.15"/>
    <s v="Familia Ferrer Bahri"/>
    <s v="bahrimariela@hotmail.com"/>
    <s v="Calle Güigüe Nro. 89-83"/>
    <s v="Cancelación saldo Vigilancia, mes de Noviembre 2017"/>
    <x v="0"/>
    <m/>
    <s v="00670"/>
    <s v="15 de noviembre de 2017"/>
    <n v="15"/>
    <x v="12"/>
    <s v="0,15"/>
    <e v="#NAME?"/>
  </r>
  <r>
    <n v="671"/>
    <m/>
    <x v="0"/>
    <d v="2017-11-15T00:00:00"/>
    <n v="1.85"/>
    <s v="Familia Guerra Miret"/>
    <s v="antoniojguerrag@hotmail.com"/>
    <s v="Calle Güigüe Nro. 89-40"/>
    <s v="Cancelación Vigilancia, meses de Octubre, Noviembre , diciembre 2017 y mes de Enero 2018"/>
    <x v="0"/>
    <m/>
    <s v="00671"/>
    <s v="15 de noviembre de 2017"/>
    <n v="15"/>
    <x v="12"/>
    <s v="1,85"/>
    <e v="#NAME?"/>
  </r>
  <r>
    <n v="672"/>
    <m/>
    <x v="0"/>
    <d v="2017-11-15T00:00:00"/>
    <n v="0.15"/>
    <s v="Familia Rodríguez Landaeta"/>
    <s v="mrl58@hotmail.com"/>
    <s v="Calle Güigüe Nro. 89-29"/>
    <s v="Colaboración Vigilancia, mes de Noviembre 2017"/>
    <x v="0"/>
    <m/>
    <s v="00672"/>
    <s v="15 de noviembre de 2017"/>
    <n v="15"/>
    <x v="12"/>
    <s v="0,15"/>
    <e v="#NAME?"/>
  </r>
  <r>
    <n v="673"/>
    <m/>
    <x v="0"/>
    <d v="2017-11-10T00:00:00"/>
    <n v="0.15"/>
    <s v="Familia Durvelle Serrano"/>
    <s v="sdurvelle@hotmail.com"/>
    <s v="Calle Guacara Nro. 89-60"/>
    <s v="Cancelación saldo Vigilancia, mes de Noviembre 2017"/>
    <x v="0"/>
    <m/>
    <s v="00673"/>
    <s v="10 de noviembre de 2017"/>
    <n v="10"/>
    <x v="12"/>
    <s v="0,15"/>
    <e v="#NAME?"/>
  </r>
  <r>
    <n v="674"/>
    <m/>
    <x v="0"/>
    <d v="2017-11-15T00:00:00"/>
    <n v="0.85"/>
    <s v="Familia Milanés Carmona"/>
    <s v="yndira11m@gmail.com"/>
    <s v="Calle Güigüe Nro. 89-65"/>
    <s v="Cancelación Vigilancia, meses de Octubre y Noviembre 2017"/>
    <x v="0"/>
    <m/>
    <s v="00674"/>
    <s v="15 de noviembre de 2017"/>
    <n v="15"/>
    <x v="12"/>
    <s v="0,85"/>
    <e v="#NAME?"/>
  </r>
  <r>
    <n v="675"/>
    <m/>
    <x v="0"/>
    <d v="2017-11-15T00:00:00"/>
    <n v="0.85"/>
    <s v="Familia Manrique Riera"/>
    <s v="patriciamanrique@gmail.com"/>
    <s v="Calle Guacara Nro. 89-40"/>
    <s v="Cancelación Vigilancia, meses de Octubre y Noviembre 2017"/>
    <x v="0"/>
    <m/>
    <s v="00675"/>
    <s v="15 de noviembre de 2017"/>
    <n v="15"/>
    <x v="12"/>
    <s v="0,85"/>
    <e v="#NAME?"/>
  </r>
  <r>
    <n v="676"/>
    <m/>
    <x v="0"/>
    <d v="2017-11-15T00:00:00"/>
    <n v="0.5"/>
    <s v="Familia Puerta Burguillos"/>
    <s v="namaricakes@gmail.com"/>
    <s v="Calle Guacara Nro. 87-100"/>
    <s v="Cancelación Vigilancia, mes de Noviembre 2017"/>
    <x v="0"/>
    <m/>
    <s v="00676"/>
    <s v="15 de noviembre de 2017"/>
    <n v="15"/>
    <x v="12"/>
    <s v="0,50"/>
    <e v="#NAME?"/>
  </r>
  <r>
    <n v="677"/>
    <m/>
    <x v="0"/>
    <d v="2017-11-16T00:00:00"/>
    <n v="0.54"/>
    <s v="La Casita Encantada"/>
    <s v="En Físico"/>
    <s v="Av. &quot;M&quot; Nro. 146-30"/>
    <s v="Cancelación Vigilancia, mes de Noviembre 2017"/>
    <x v="0"/>
    <m/>
    <s v="00677"/>
    <s v="16 de noviembre de 2017"/>
    <n v="16"/>
    <x v="12"/>
    <s v="0,54"/>
    <e v="#NAME?"/>
  </r>
  <r>
    <n v="678"/>
    <m/>
    <x v="0"/>
    <d v="2017-11-16T00:00:00"/>
    <n v="0.35"/>
    <s v="Familia Navarrete Medina"/>
    <s v="juanin1919@yahoo.com"/>
    <s v="Calle Güigüe Nro. 89-22"/>
    <s v="Cancelación Vigilancia, mes de Octubre 2017"/>
    <x v="0"/>
    <m/>
    <s v="00678"/>
    <s v="16 de noviembre de 2017"/>
    <n v="16"/>
    <x v="12"/>
    <s v="0,35"/>
    <e v="#NAME?"/>
  </r>
  <r>
    <n v="679"/>
    <m/>
    <x v="0"/>
    <d v="2017-11-17T00:00:00"/>
    <n v="0.5"/>
    <s v="Familia Díaz González"/>
    <s v="luisrdt57@gmail.com"/>
    <s v="Calle Güigüe Nro. 88-116"/>
    <s v="Cancelación Vigilancia, mes de Noviembre 2017"/>
    <x v="0"/>
    <m/>
    <s v="00679"/>
    <s v="17 de noviembre de 2017"/>
    <n v="17"/>
    <x v="12"/>
    <s v="0,50"/>
    <e v="#NAME?"/>
  </r>
  <r>
    <n v="680"/>
    <m/>
    <x v="0"/>
    <d v="2017-11-17T00:00:00"/>
    <n v="0.5"/>
    <s v="Familia Sayago Peñaranda"/>
    <s v="alexissayago@gmail.com"/>
    <s v="Calle Güigüe Nro. 89-04"/>
    <s v="Cancelación Vigilancia, mes de Noviembre 2017 (transferencia y Bs. 14.600 contra factura)"/>
    <x v="0"/>
    <m/>
    <s v="00680"/>
    <s v="17 de noviembre de 2017"/>
    <n v="17"/>
    <x v="12"/>
    <s v="0,50"/>
    <e v="#NAME?"/>
  </r>
  <r>
    <n v="681"/>
    <m/>
    <x v="0"/>
    <d v="2017-11-17T00:00:00"/>
    <n v="0.5"/>
    <s v="Amarilis Guerra"/>
    <s v="amarilisguerra1@yahoo.com"/>
    <s v="Calle Güigüe Nro. 89-96"/>
    <s v="Cancelación Vigilancia, mes de Noviembre 2017"/>
    <x v="0"/>
    <m/>
    <s v="00681"/>
    <s v="17 de noviembre de 2017"/>
    <n v="17"/>
    <x v="12"/>
    <s v="0,50"/>
    <e v="#NAME?"/>
  </r>
  <r>
    <n v="682"/>
    <m/>
    <x v="0"/>
    <d v="2017-11-17T00:00:00"/>
    <n v="1"/>
    <s v="Familia Hurtado"/>
    <s v="En Físico"/>
    <s v="Av. &quot;O&quot; Nro. 146-11"/>
    <s v="Cancelación Vigilancia, meses de Septiembre y Octubre 2017, y anticipo Vigilancia, mes de Noviembre 2017"/>
    <x v="0"/>
    <m/>
    <s v="00682"/>
    <s v="17 de noviembre de 2017"/>
    <n v="17"/>
    <x v="12"/>
    <s v="1,00"/>
    <e v="#NAME?"/>
  </r>
  <r>
    <n v="683"/>
    <m/>
    <x v="0"/>
    <d v="2017-11-17T00:00:00"/>
    <n v="0.4"/>
    <s v="Familia Kablan Sarmiento"/>
    <s v="norisjsb56@hotmail.com"/>
    <s v="Calle Güigüe Nro. 89-80"/>
    <s v="Colaboración Vigilancia, mes de Noviembre 2017"/>
    <x v="0"/>
    <m/>
    <s v="00683"/>
    <s v="17 de noviembre de 2017"/>
    <n v="17"/>
    <x v="12"/>
    <s v="0,40"/>
    <e v="#NAME?"/>
  </r>
  <r>
    <n v="684"/>
    <m/>
    <x v="0"/>
    <d v="2017-11-19T00:00:00"/>
    <n v="0.35"/>
    <s v="Familia Jiménez Navarro"/>
    <s v="joyasonline2012@gmail.com"/>
    <s v="Calle Güigüe Nro. 88-50"/>
    <s v="Cancelación Vigilancia, mes de Octubre 2017"/>
    <x v="0"/>
    <m/>
    <s v="00684"/>
    <s v="19 de noviembre de 2017"/>
    <n v="19"/>
    <x v="12"/>
    <s v="0,35"/>
    <e v="#NAME?"/>
  </r>
  <r>
    <n v="685"/>
    <m/>
    <x v="0"/>
    <d v="2017-11-19T00:00:00"/>
    <n v="0.5"/>
    <s v="Familia Zavarce Pérez"/>
    <s v="En Físico"/>
    <s v="Calle Guacara Nro. 90-35"/>
    <s v="Cancelación Vigilancia, mes de Noviembre 2017"/>
    <x v="0"/>
    <m/>
    <s v="00685"/>
    <s v="19 de noviembre de 2017"/>
    <n v="19"/>
    <x v="12"/>
    <s v="0,50"/>
    <e v="#NAME?"/>
  </r>
  <r>
    <n v="686"/>
    <m/>
    <x v="0"/>
    <d v="2017-11-20T00:00:00"/>
    <n v="0.5"/>
    <s v="Familia Alonso Rojas"/>
    <s v="redjc01@gmail.com"/>
    <s v="Calle Güigüe Nro. 89-54"/>
    <s v="Cancelación Vigilancia, mes de Diciembre 2017"/>
    <x v="0"/>
    <m/>
    <s v="00686"/>
    <s v="20 de noviembre de 2017"/>
    <n v="20"/>
    <x v="12"/>
    <s v="0,50"/>
    <e v="#NAME?"/>
  </r>
  <r>
    <n v="687"/>
    <m/>
    <x v="0"/>
    <d v="2017-11-20T00:00:00"/>
    <n v="0.4"/>
    <s v="Familia Rivero"/>
    <s v="En Físico"/>
    <s v="Calle Güigüe Nro. 88-40"/>
    <s v="Colaboración Vigilancia, meses de Septiembre y Octubre 2017"/>
    <x v="0"/>
    <m/>
    <s v="00687"/>
    <s v="20 de noviembre de 2017"/>
    <n v="20"/>
    <x v="12"/>
    <s v="0,40"/>
    <e v="#NAME?"/>
  </r>
  <r>
    <n v="688"/>
    <m/>
    <x v="0"/>
    <d v="2017-11-21T00:00:00"/>
    <n v="1.7"/>
    <s v="Familia Cegarra Villamizar"/>
    <s v="jesus.villamizar.ra@gmail.com"/>
    <s v="Calle Guacara Nro. 88-35"/>
    <s v="Cancelación Vigilancia, meses de Septiembre, Octubre, Noviembre y Diciembre 2017"/>
    <x v="0"/>
    <m/>
    <s v="00688"/>
    <s v="21 de noviembre de 2017"/>
    <n v="21"/>
    <x v="12"/>
    <s v="1,70"/>
    <e v="#NAME?"/>
  </r>
  <r>
    <n v="689"/>
    <m/>
    <x v="0"/>
    <d v="2017-11-22T00:00:00"/>
    <n v="0.3"/>
    <s v="Familia Jiménez de Avila"/>
    <s v="meji2333@gmail.com"/>
    <s v="Calle Güigüe Nro. 89-116"/>
    <s v="Colaboración Vigilancia, mes de Noviembre 2017"/>
    <x v="0"/>
    <m/>
    <s v="00689"/>
    <s v="22 de noviembre de 2017"/>
    <n v="22"/>
    <x v="12"/>
    <s v="0,30"/>
    <e v="#NAME?"/>
  </r>
  <r>
    <n v="690"/>
    <m/>
    <x v="0"/>
    <d v="2017-11-22T00:00:00"/>
    <n v="0.5"/>
    <s v="Beatriz Lara"/>
    <s v="valentina.gutierrez@hotmail.com"/>
    <s v="Calle Guacara Nro. 89-130"/>
    <s v="Cancelación Vigilancia, mes de Noviembre 2017"/>
    <x v="0"/>
    <m/>
    <s v="00690"/>
    <s v="22 de noviembre de 2017"/>
    <n v="22"/>
    <x v="12"/>
    <s v="0,50"/>
    <e v="#NAME?"/>
  </r>
  <r>
    <n v="691"/>
    <m/>
    <x v="0"/>
    <d v="2017-11-23T00:00:00"/>
    <n v="0.5"/>
    <s v="Familia Montilla García"/>
    <s v="dairy252525@hotmail.com"/>
    <s v="Calle Güigüe Nro. 89-90"/>
    <s v="Cancelación Vigilancia, mes de Noviembre 2017"/>
    <x v="0"/>
    <m/>
    <s v="00691"/>
    <s v="23 de noviembre de 2017"/>
    <n v="23"/>
    <x v="12"/>
    <s v="0,50"/>
    <e v="#NAME?"/>
  </r>
  <r>
    <n v="692"/>
    <m/>
    <x v="0"/>
    <d v="2017-11-28T00:00:00"/>
    <n v="0.65"/>
    <s v="Familia Narváez Caldera"/>
    <s v="jeannette_nc@yahoo.com"/>
    <s v="Calle Güigüe Nro. 87-A-11"/>
    <s v="Cancelación Vigilancia, saldo mes de Noviembre y mes de Diciembre 2017"/>
    <x v="0"/>
    <m/>
    <s v="00692"/>
    <s v="28 de noviembre de 2017"/>
    <n v="28"/>
    <x v="12"/>
    <s v="0,65"/>
    <e v="#NAME?"/>
  </r>
  <r>
    <n v="693"/>
    <m/>
    <x v="0"/>
    <d v="2017-11-28T00:00:00"/>
    <n v="1"/>
    <s v="Familia Gascón Domínguez"/>
    <s v="vrgascon@gmail.com"/>
    <s v="Calle Güigüe Nro. 88-70"/>
    <s v="Cancelación Vigilancia, meses de Noviembre y Diciembre 2017"/>
    <x v="0"/>
    <m/>
    <s v="00693"/>
    <s v="28 de noviembre de 2017"/>
    <n v="28"/>
    <x v="12"/>
    <s v="1,00"/>
    <e v="#NAME?"/>
  </r>
  <r>
    <n v="694"/>
    <m/>
    <x v="0"/>
    <d v="2017-11-28T00:00:00"/>
    <n v="1"/>
    <s v="Familia Hatem Medina"/>
    <s v="hhatem1@hotmail.com"/>
    <s v="Calle Guacara Nro. 88-51"/>
    <s v="Cancelación Vigilancia, saldo mes de Noviembre, mes de Diciembre 2017 y Anticipo Vigilancia, mes de Enero 2018 (Bs. 5.850)"/>
    <x v="0"/>
    <m/>
    <s v="00694"/>
    <s v="28 de noviembre de 2017"/>
    <n v="28"/>
    <x v="12"/>
    <s v="1,00"/>
    <e v="#NAME?"/>
  </r>
  <r>
    <n v="695"/>
    <m/>
    <x v="0"/>
    <d v="2017-11-29T00:00:00"/>
    <n v="0.5"/>
    <s v="Familia Delgado Hidalgo"/>
    <s v="ardh@hotmail.com"/>
    <s v="Calle Güigüe Nro. 88-10"/>
    <s v="Cancelación Vigilancia, mes de Noviembre 2017"/>
    <x v="0"/>
    <m/>
    <s v="00695"/>
    <s v="29 de noviembre de 2017"/>
    <n v="29"/>
    <x v="12"/>
    <s v="0,50"/>
    <e v="#NAME?"/>
  </r>
  <r>
    <n v="696"/>
    <m/>
    <x v="0"/>
    <d v="2017-12-03T00:00:00"/>
    <n v="1"/>
    <s v="Familia Ferrer Bahri"/>
    <s v="bahrimariela@hotmail.com"/>
    <s v="Calle Güigüe Nro. 89-83"/>
    <s v="Cancelación Vigilancia, meses de Diciembre 2017 y Enero 2018"/>
    <x v="0"/>
    <m/>
    <s v="00696"/>
    <s v="03 de diciembre de 2017"/>
    <n v="3"/>
    <x v="13"/>
    <s v="1,00"/>
    <e v="#NAME?"/>
  </r>
  <r>
    <n v="697"/>
    <m/>
    <x v="0"/>
    <d v="2017-11-21T00:00:00"/>
    <n v="0.71"/>
    <s v="Colegio El Trigal"/>
    <s v="En Físico"/>
    <s v="Calle Güigüe Nros. 88-71 y 88-81"/>
    <s v="Cancelación Vigilancia, mes de Noviembre 2017"/>
    <x v="0"/>
    <m/>
    <s v="00697"/>
    <s v="21 de noviembre de 2017"/>
    <n v="21"/>
    <x v="12"/>
    <s v="0,71"/>
    <e v="#NAME?"/>
  </r>
  <r>
    <n v="698"/>
    <m/>
    <x v="0"/>
    <d v="2017-12-04T00:00:00"/>
    <n v="0.5"/>
    <s v="Familia Navarro Assing"/>
    <s v="liliaassing@gmail.com"/>
    <s v="Calle Güigüe Nro. 88-54"/>
    <s v="Cancelación Vigilancia, mes de Noviembre 2017"/>
    <x v="0"/>
    <m/>
    <s v="00698"/>
    <s v="04 de diciembre de 2017"/>
    <n v="4"/>
    <x v="13"/>
    <s v="0,50"/>
    <e v="#NAME?"/>
  </r>
  <r>
    <n v="699"/>
    <m/>
    <x v="0"/>
    <d v="2017-12-04T00:00:00"/>
    <n v="0.32"/>
    <s v="Familia Méndez Parra"/>
    <s v="briceidamp@hotmail.com"/>
    <s v="Calle Guacara Nro. 88-19"/>
    <s v="Colaboración Vigilancia, mes de Noviembre 2017"/>
    <x v="0"/>
    <m/>
    <s v="00699"/>
    <s v="04 de diciembre de 2017"/>
    <n v="4"/>
    <x v="13"/>
    <s v="0,32"/>
    <e v="#NAME?"/>
  </r>
  <r>
    <n v="700"/>
    <m/>
    <x v="0"/>
    <d v="2017-12-04T00:00:00"/>
    <n v="0.18"/>
    <s v="Familia Santos Carrillo"/>
    <s v="briceidamp@hotmail.com"/>
    <s v="Calle Guacara Nro. 90-93"/>
    <s v="Colaboración Vigilancia, mes de Noviembre 2017"/>
    <x v="0"/>
    <m/>
    <s v="00700"/>
    <s v="04 de diciembre de 2017"/>
    <n v="4"/>
    <x v="13"/>
    <s v="0,18"/>
    <e v="#NAME?"/>
  </r>
  <r>
    <n v="701"/>
    <m/>
    <x v="0"/>
    <d v="2017-12-04T00:00:00"/>
    <n v="0.25"/>
    <s v="Familia Morales Sesar"/>
    <s v="moralesesar@gmail.com"/>
    <s v="Calle Güigüe Nro. 89-120"/>
    <s v="Colaboración Vigilancia, mes de Octubre 2017"/>
    <x v="0"/>
    <m/>
    <s v="00701"/>
    <s v="04 de diciembre de 2017"/>
    <n v="4"/>
    <x v="13"/>
    <s v="0,25"/>
    <e v="#NAME?"/>
  </r>
  <r>
    <n v="702"/>
    <m/>
    <x v="0"/>
    <d v="2017-12-04T00:00:00"/>
    <n v="1"/>
    <s v="Familia Castro Jiménez"/>
    <s v="0426-543.4303"/>
    <s v="Calle Guacara Nro. 90-51"/>
    <s v="Cancelación Vigilancia, meses de Noviembre y Diciembre 2017"/>
    <x v="0"/>
    <m/>
    <s v="00702"/>
    <s v="04 de diciembre de 2017"/>
    <n v="4"/>
    <x v="13"/>
    <s v="1,00"/>
    <e v="#NAME?"/>
  </r>
  <r>
    <n v="703"/>
    <m/>
    <x v="0"/>
    <d v="2017-12-04T00:00:00"/>
    <n v="0.4"/>
    <s v="Familia Jiménez Salvatierra"/>
    <s v="0414-582.8909"/>
    <s v="Calle Güigüe Nro. 89-45"/>
    <s v="Cancelación Vigilancia, saldo mes de Noviembre y anticipo mes de Diciembre 2017"/>
    <x v="0"/>
    <m/>
    <s v="00703"/>
    <s v="04 de diciembre de 2017"/>
    <n v="4"/>
    <x v="13"/>
    <s v="0,40"/>
    <e v="#NAME?"/>
  </r>
  <r>
    <n v="704"/>
    <m/>
    <x v="0"/>
    <d v="2017-12-04T00:00:00"/>
    <n v="0.5"/>
    <s v="Familia Castillo Mena"/>
    <s v="emmecas@hotmail.com"/>
    <s v="Calle Güigüe Nro. 88-101"/>
    <s v="Cancelación Vigilancia, mes de Noviembre 2017"/>
    <x v="0"/>
    <m/>
    <s v="00704"/>
    <s v="04 de diciembre de 2017"/>
    <n v="4"/>
    <x v="13"/>
    <s v="0,50"/>
    <e v="#NAME?"/>
  </r>
  <r>
    <n v="705"/>
    <m/>
    <x v="0"/>
    <d v="2017-12-05T00:00:00"/>
    <n v="0.5"/>
    <s v="Familia Milanés Carmona"/>
    <s v="yndira11m@gmail.com"/>
    <s v="Calle Güigüe Nro. 89-65"/>
    <s v="Cancelación Vigilancia, mes de Diciembre 2017"/>
    <x v="0"/>
    <m/>
    <s v="00705"/>
    <s v="05 de diciembre de 2017"/>
    <n v="5"/>
    <x v="13"/>
    <s v="0,50"/>
    <e v="#NAME?"/>
  </r>
  <r>
    <n v="706"/>
    <m/>
    <x v="0"/>
    <d v="2017-12-05T00:00:00"/>
    <n v="0.5"/>
    <s v="Familia Del Negro Palermo"/>
    <s v="vdelnegro@gmail.com"/>
    <s v="Calle Guacara Nro. 88-45"/>
    <s v="Cancelación Vigilancia, mes de Diciembre 2017 (saldo a favor: Bs. 600.000)"/>
    <x v="0"/>
    <m/>
    <s v="00706"/>
    <s v="05 de diciembre de 2017"/>
    <n v="5"/>
    <x v="13"/>
    <s v="0,50"/>
    <e v="#NAME?"/>
  </r>
  <r>
    <n v="707"/>
    <m/>
    <x v="0"/>
    <d v="2017-12-05T00:00:00"/>
    <n v="0.5"/>
    <s v="Ely Saúl Rivero Gómez"/>
    <s v="hhs.admon@gmail.com"/>
    <s v="Av. &quot;Ñ&quot; Nro. 145-25"/>
    <s v="Cancelación Vigilancia, mes de Diciembre 2017 (saldo a favor: Bs. 65.000)"/>
    <x v="0"/>
    <m/>
    <s v="00707"/>
    <s v="05 de diciembre de 2017"/>
    <n v="5"/>
    <x v="13"/>
    <s v="0,50"/>
    <e v="#NAME?"/>
  </r>
  <r>
    <n v="708"/>
    <m/>
    <x v="0"/>
    <d v="2017-12-05T00:00:00"/>
    <n v="0.35"/>
    <s v="Chin Chun Ya (Goya)"/>
    <s v="uc2721@gmail.com"/>
    <s v="Calle Guacara Nro. 87-86"/>
    <s v="Colaboración Vigilancia, mes de Diciembre 2017"/>
    <x v="0"/>
    <m/>
    <s v="00708"/>
    <s v="05 de diciembre de 2017"/>
    <n v="5"/>
    <x v="13"/>
    <s v="0,35"/>
    <e v="#NAME?"/>
  </r>
  <r>
    <n v="709"/>
    <m/>
    <x v="0"/>
    <d v="2017-12-05T00:00:00"/>
    <n v="0.5"/>
    <s v="Familia Arcia Polanco"/>
    <s v="misipo29@gmail.com"/>
    <s v="Calle Guacara Nro. 89-20"/>
    <s v="Cancelación Vigilancia, mes de Diciembre 2017"/>
    <x v="0"/>
    <m/>
    <s v="00709"/>
    <s v="05 de diciembre de 2017"/>
    <n v="5"/>
    <x v="13"/>
    <s v="0,50"/>
    <e v="#NAME?"/>
  </r>
  <r>
    <n v="710"/>
    <m/>
    <x v="0"/>
    <d v="2017-12-05T00:00:00"/>
    <n v="0.5"/>
    <s v="Familia Durvelle Serrano"/>
    <s v="sdurvelle@hotmail.com"/>
    <s v="Calle Guacara Nro. 89-60"/>
    <s v="Cancelación Vigilancia, mes de Diciembre 2017"/>
    <x v="0"/>
    <m/>
    <s v="00710"/>
    <s v="05 de diciembre de 2017"/>
    <n v="5"/>
    <x v="13"/>
    <s v="0,50"/>
    <e v="#NAME?"/>
  </r>
  <r>
    <n v="711"/>
    <m/>
    <x v="0"/>
    <d v="2017-12-05T00:00:00"/>
    <n v="0.3"/>
    <s v="Héctor Hernández"/>
    <s v="eof64@hotmail.com"/>
    <s v="Calle Guacara Nro. 89-94"/>
    <s v="Colaboración Vigilancia, mes de Diciembre 2017"/>
    <x v="0"/>
    <m/>
    <s v="00711"/>
    <s v="05 de diciembre de 2017"/>
    <n v="5"/>
    <x v="13"/>
    <s v="0,30"/>
    <e v="#NAME?"/>
  </r>
  <r>
    <n v="712"/>
    <m/>
    <x v="0"/>
    <d v="2017-12-05T00:00:00"/>
    <n v="0.84000000000000008"/>
    <s v="Familia Fernández Parés"/>
    <s v="vultecca@gmail.com"/>
    <s v="Calle Guacara Nro. 88-75"/>
    <s v="Cancelación saldo Vigilancia, mes de Octubre 2017 y anticipo del mes de Noviembre 2017"/>
    <x v="0"/>
    <m/>
    <s v="00712"/>
    <s v="05 de diciembre de 2017"/>
    <n v="5"/>
    <x v="13"/>
    <s v="0,84"/>
    <e v="#NAME?"/>
  </r>
  <r>
    <n v="713"/>
    <m/>
    <x v="0"/>
    <d v="2017-12-06T00:00:00"/>
    <n v="1"/>
    <s v="Anahiz Seijas"/>
    <s v="anahiz_2@hotmail.es"/>
    <s v="Calle Güigüe Nro. 89-106"/>
    <s v="Cancelación Vigilancia, meses de Noviembre y Diciembre 2017"/>
    <x v="0"/>
    <m/>
    <s v="00713"/>
    <s v="06 de diciembre de 2017"/>
    <n v="6"/>
    <x v="13"/>
    <s v="1,00"/>
    <e v="#NAME?"/>
  </r>
  <r>
    <n v="714"/>
    <m/>
    <x v="0"/>
    <d v="2017-12-06T00:00:00"/>
    <n v="0.5"/>
    <s v="Familia Sayago Peñaranda"/>
    <s v="alexissayago@gmail.com"/>
    <s v="Calle Güigüe Nro. 89-04"/>
    <s v="Cancelación Vigilancia, mes de Diciembre 2017 (transferencia y Bs. 15.200 contra factura)"/>
    <x v="0"/>
    <m/>
    <s v="00714"/>
    <s v="06 de diciembre de 2017"/>
    <n v="6"/>
    <x v="13"/>
    <s v="0,50"/>
    <e v="#NAME?"/>
  </r>
  <r>
    <n v="715"/>
    <m/>
    <x v="0"/>
    <d v="2017-12-06T00:00:00"/>
    <n v="0.3"/>
    <s v="Familia Rodríguez Aular"/>
    <s v="mvaular@hotmail.com"/>
    <s v="Calle Güigüe Nro. 88-58"/>
    <s v="Colaboración Vigilancia, mes de Noviembre 2017"/>
    <x v="0"/>
    <m/>
    <s v="00715"/>
    <s v="06 de diciembre de 2017"/>
    <n v="6"/>
    <x v="13"/>
    <s v="0,30"/>
    <e v="#NAME?"/>
  </r>
  <r>
    <n v="716"/>
    <m/>
    <x v="0"/>
    <d v="2017-12-07T00:00:00"/>
    <n v="0.35"/>
    <s v="Familia Martínez Boada"/>
    <s v="florcitakmz@gmail.com"/>
    <s v="Calle Güigüe Nro. 88-62"/>
    <s v="Cancelación Vigilancia, mes de Agosto 2017"/>
    <x v="0"/>
    <m/>
    <s v="00716"/>
    <s v="07 de diciembre de 2017"/>
    <n v="7"/>
    <x v="13"/>
    <s v="0,35"/>
    <e v="#NAME?"/>
  </r>
  <r>
    <n v="717"/>
    <m/>
    <x v="0"/>
    <d v="2017-12-06T00:00:00"/>
    <n v="1.2"/>
    <s v="Zoraida Khair"/>
    <s v="zorakhair@hotmail.com"/>
    <s v="Calle Güigüe Nro. 88-80"/>
    <s v="Colaboración Vigilancia, meses de Octubre, Noviembre y Diciembre 2017"/>
    <x v="0"/>
    <m/>
    <s v="00717"/>
    <s v="06 de diciembre de 2017"/>
    <n v="6"/>
    <x v="13"/>
    <s v="1,20"/>
    <e v="#NAME?"/>
  </r>
  <r>
    <n v="718"/>
    <m/>
    <x v="0"/>
    <d v="2017-12-06T00:00:00"/>
    <n v="1"/>
    <s v="Familia Franco Gómez"/>
    <s v="eof64@hotmail.com"/>
    <s v="Calle Guacara Nro. 87-07"/>
    <s v="Colaboración Vigilancia, meses de Septiembre, Octubre, Noviembre y Diciembre 2017"/>
    <x v="0"/>
    <m/>
    <s v="00718"/>
    <s v="06 de diciembre de 2017"/>
    <n v="6"/>
    <x v="13"/>
    <s v="1,00"/>
    <e v="#NAME?"/>
  </r>
  <r>
    <n v="719"/>
    <m/>
    <x v="0"/>
    <d v="2017-12-07T00:00:00"/>
    <n v="1.1499999999999999"/>
    <s v="Familia Loponte Arteaga"/>
    <s v="nancyloponte@hotmail.com"/>
    <s v="Calle Güigüe Nro. 88-120"/>
    <s v="Cancelación Vigilancia, saldo mes de Noviembre y meses de Diciembre 2017 y Enero 2018"/>
    <x v="0"/>
    <m/>
    <s v="00719"/>
    <s v="07 de diciembre de 2017"/>
    <n v="7"/>
    <x v="13"/>
    <s v="1,15"/>
    <e v="#NAME?"/>
  </r>
  <r>
    <n v="720"/>
    <m/>
    <x v="0"/>
    <d v="2017-12-07T00:00:00"/>
    <n v="0.5"/>
    <s v="Familia Barreto Pérez"/>
    <s v="bbetsa19@hotmail.com"/>
    <s v="Av. &quot;M&quot; Nro. 146-15"/>
    <s v="Cancelación Vigilancia, mes de Noviembre 2017"/>
    <x v="0"/>
    <m/>
    <s v="00720"/>
    <s v="07 de diciembre de 2017"/>
    <n v="7"/>
    <x v="13"/>
    <s v="0,50"/>
    <e v="#NAME?"/>
  </r>
  <r>
    <n v="721"/>
    <m/>
    <x v="0"/>
    <d v="2017-12-07T00:00:00"/>
    <n v="0.5"/>
    <s v="Familia Colosso Delgado"/>
    <s v="mcolosso@gmail.com"/>
    <s v="Calle Güigüe Nro. 88-44"/>
    <s v="Cancelación Vigilancia, mes de Diciembre 2017"/>
    <x v="0"/>
    <m/>
    <s v="00721"/>
    <s v="07 de diciembre de 2017"/>
    <n v="7"/>
    <x v="13"/>
    <s v="0,50"/>
    <e v="#NAME?"/>
  </r>
  <r>
    <n v="722"/>
    <m/>
    <x v="0"/>
    <d v="2017-12-08T00:00:00"/>
    <n v="0.54"/>
    <s v="La Casita Encantada"/>
    <s v="En Físico"/>
    <s v="Av. &quot;M&quot; Nro. 146-30"/>
    <s v="Cancelación Vigilancia, mes de Diciembre 2017"/>
    <x v="0"/>
    <m/>
    <s v="00722"/>
    <s v="08 de diciembre de 2017"/>
    <n v="8"/>
    <x v="13"/>
    <s v="0,54"/>
    <e v="#NAME?"/>
  </r>
  <r>
    <n v="723"/>
    <m/>
    <x v="0"/>
    <d v="2017-12-08T00:00:00"/>
    <n v="0.5"/>
    <s v="Familia Lomeña Agudo"/>
    <s v="claudialomena@hotmail.com"/>
    <s v="Calle Guacara Nro. 89-30"/>
    <s v="Cancelación Vigilancia, mes de Diciembre 2017"/>
    <x v="0"/>
    <m/>
    <s v="00723"/>
    <s v="08 de diciembre de 2017"/>
    <n v="8"/>
    <x v="13"/>
    <s v="0,50"/>
    <e v="#NAME?"/>
  </r>
  <r>
    <n v="724"/>
    <m/>
    <x v="0"/>
    <d v="2017-12-08T00:00:00"/>
    <n v="0.2"/>
    <s v="Familia Santos Carrillo"/>
    <s v="briceidamp@hotmail.com"/>
    <s v="Calle Guacara Nro. 90-93"/>
    <s v="Colaboración Vigilancia, mes de Diciembre 2017"/>
    <x v="0"/>
    <m/>
    <s v="00724"/>
    <s v="08 de diciembre de 2017"/>
    <n v="8"/>
    <x v="13"/>
    <s v="0,20"/>
    <e v="#NAME?"/>
  </r>
  <r>
    <n v="725"/>
    <m/>
    <x v="0"/>
    <d v="2017-12-12T00:00:00"/>
    <n v="0.71"/>
    <s v="Colegio El Trigal"/>
    <s v="En Físico"/>
    <s v="Calle Güigüe Nros. 88-71 y 88-81"/>
    <s v="Cancelación Vigilancia, mes de Diciembre 2017"/>
    <x v="0"/>
    <m/>
    <s v="00725"/>
    <s v="12 de diciembre de 2017"/>
    <n v="12"/>
    <x v="13"/>
    <s v="0,71"/>
    <e v="#NAME?"/>
  </r>
  <r>
    <n v="726"/>
    <m/>
    <x v="0"/>
    <d v="2017-12-12T00:00:00"/>
    <n v="0.5"/>
    <s v="Familia Puerta Burguillos"/>
    <s v="namaricakes@gmail.com"/>
    <s v="Calle Guacara Nro. 87-100"/>
    <s v="Cancelación Vigilancia, mes de Diciembre 2017"/>
    <x v="0"/>
    <m/>
    <s v="00726"/>
    <s v="12 de diciembre de 2017"/>
    <n v="12"/>
    <x v="13"/>
    <s v="0,50"/>
    <e v="#NAME?"/>
  </r>
  <r>
    <n v="727"/>
    <m/>
    <x v="0"/>
    <d v="2017-12-12T00:00:00"/>
    <n v="0.4"/>
    <s v="Familia Kablan Sarmiento"/>
    <s v="norisjsb56@hotmail.com"/>
    <s v="Calle Güigüe Nro. 89-80"/>
    <s v="Colaboración Vigilancia, mes de Diciembre 2017"/>
    <x v="0"/>
    <m/>
    <s v="00727"/>
    <s v="12 de diciembre de 2017"/>
    <n v="12"/>
    <x v="13"/>
    <s v="0,40"/>
    <e v="#NAME?"/>
  </r>
  <r>
    <n v="728"/>
    <m/>
    <x v="0"/>
    <d v="2017-12-13T00:00:00"/>
    <n v="0.5"/>
    <s v="Familia Fermín Rivas"/>
    <s v="angelferminb@gmail.com"/>
    <s v="Calle Güigüe Nro. 89-55"/>
    <s v="Cancelación Vigilancia, mes de Diciembre 2017"/>
    <x v="0"/>
    <m/>
    <s v="00728"/>
    <s v="13 de diciembre de 2017"/>
    <n v="13"/>
    <x v="13"/>
    <s v="0,50"/>
    <e v="#NAME?"/>
  </r>
  <r>
    <n v="729"/>
    <m/>
    <x v="0"/>
    <d v="2017-12-11T00:00:00"/>
    <n v="0.3"/>
    <s v="Familia Machado Stoppa"/>
    <s v="machadoru@hotmail.com"/>
    <s v="Calle Guacara Nro. 88-85"/>
    <s v="Colaboración Vigilancia, mes de Octubre 2017"/>
    <x v="0"/>
    <m/>
    <s v="00729"/>
    <s v="11 de diciembre de 2017"/>
    <n v="11"/>
    <x v="13"/>
    <s v="0,30"/>
    <e v="#NAME?"/>
  </r>
  <r>
    <n v="730"/>
    <m/>
    <x v="0"/>
    <d v="2017-12-11T00:00:00"/>
    <n v="0.4"/>
    <s v="Familia Machado Stoppa"/>
    <s v="machadoru@hotmail.com"/>
    <s v="Calle Guacara Nro. 88-85"/>
    <s v="Colaboración Vigilancia, mes de Noviembre 2017"/>
    <x v="0"/>
    <m/>
    <s v="00730"/>
    <s v="11 de diciembre de 2017"/>
    <n v="11"/>
    <x v="13"/>
    <s v="0,40"/>
    <e v="#NAME?"/>
  </r>
  <r>
    <n v="731"/>
    <m/>
    <x v="0"/>
    <d v="2017-12-10T00:00:00"/>
    <n v="0.85"/>
    <s v="Familia Acosta Carpio"/>
    <s v="pablo962@hotmail.com"/>
    <s v="Calle Güigüe Nro. 89-10"/>
    <s v="Cancelación Vigilancia, meses de Octubre y Diciembre 2017"/>
    <x v="0"/>
    <m/>
    <s v="00731"/>
    <s v="10 de diciembre de 2017"/>
    <n v="10"/>
    <x v="13"/>
    <s v="0,85"/>
    <e v="#NAME?"/>
  </r>
  <r>
    <n v="732"/>
    <m/>
    <x v="0"/>
    <d v="2017-12-13T00:00:00"/>
    <n v="0.5"/>
    <s v="Familia Navarro Assing"/>
    <s v="liliaassing@gmail.com"/>
    <s v="Calle Güigüe Nro. 88-54"/>
    <s v="Cancelación Vigilancia, mes de Diciembre 2017"/>
    <x v="0"/>
    <m/>
    <s v="00732"/>
    <s v="13 de diciembre de 2017"/>
    <n v="13"/>
    <x v="13"/>
    <s v="0,50"/>
    <e v="#NAME?"/>
  </r>
  <r>
    <n v="733"/>
    <m/>
    <x v="0"/>
    <d v="2017-12-15T00:00:00"/>
    <n v="1"/>
    <s v="Familia Nava Gordon"/>
    <s v="maru_19_66@hotmail.com"/>
    <s v="Calle Guacara Nro. 89-78"/>
    <s v="Cancelación Vigilancia, meses de Noviembre y Diciembre 2017"/>
    <x v="0"/>
    <m/>
    <s v="00733"/>
    <s v="15 de diciembre de 2017"/>
    <n v="15"/>
    <x v="13"/>
    <s v="1,00"/>
    <e v="#NAME?"/>
  </r>
  <r>
    <n v="734"/>
    <m/>
    <x v="0"/>
    <d v="2017-10-11T00:00:00"/>
    <n v="0.35"/>
    <s v="Familia Astor Zamora"/>
    <s v="imzastor@gmail.com"/>
    <s v="Calle Güigüe Nro. 88-111"/>
    <s v="Cancelación Vigilancia, mes de Agosto 2017"/>
    <x v="0"/>
    <m/>
    <s v="00734"/>
    <s v="11 de octubre de 2017"/>
    <n v="11"/>
    <x v="11"/>
    <s v="0,35"/>
    <e v="#NAME?"/>
  </r>
  <r>
    <n v="735"/>
    <m/>
    <x v="0"/>
    <d v="2017-07-07T00:00:00"/>
    <n v="0.03"/>
    <s v="Ma. de Jesus Alonso"/>
    <s v="marjoriealonsoh@hotmail.com"/>
    <s v="Calle Güigüe Nro. 88-30"/>
    <s v="Colaboración Vigilancia, mes de Junio 2017"/>
    <x v="0"/>
    <m/>
    <s v="00735"/>
    <s v="07 de julio de 2017"/>
    <n v="7"/>
    <x v="8"/>
    <s v="0,03"/>
    <e v="#NAME?"/>
  </r>
  <r>
    <n v="736"/>
    <m/>
    <x v="0"/>
    <d v="2017-12-17T00:00:00"/>
    <n v="0.5"/>
    <s v="Familia Díaz González"/>
    <s v="luisrdt57@gmail.com"/>
    <s v="Calle Güigüe Nro. 88-116"/>
    <s v="Cancelación Vigilancia, mes de Diciembre 2017"/>
    <x v="0"/>
    <m/>
    <s v="00736"/>
    <s v="17 de diciembre de 2017"/>
    <n v="17"/>
    <x v="13"/>
    <s v="0,50"/>
    <e v="#NAME?"/>
  </r>
  <r>
    <n v="737"/>
    <m/>
    <x v="0"/>
    <d v="2017-12-18T00:00:00"/>
    <n v="0.5"/>
    <s v="Familia Romero"/>
    <s v="autoescuela21@gmail.com"/>
    <s v="Calle Guacara Nro. 89-50"/>
    <s v="Cancelación Vigilancia, mes de Diciembre 2017"/>
    <x v="0"/>
    <m/>
    <s v="00737"/>
    <s v="18 de diciembre de 2017"/>
    <n v="18"/>
    <x v="13"/>
    <s v="0,50"/>
    <e v="#NAME?"/>
  </r>
  <r>
    <n v="738"/>
    <m/>
    <x v="0"/>
    <d v="2017-12-19T00:00:00"/>
    <n v="0.6"/>
    <s v="Gloria Molina"/>
    <s v="glomola2@yahoo.es"/>
    <s v="Calle Güigüe Nro. 89-71"/>
    <s v="Colaboración Vigilancia, meses de Octubre, Noviembre y Diciembre 2017"/>
    <x v="0"/>
    <m/>
    <s v="00738"/>
    <s v="19 de diciembre de 2017"/>
    <n v="19"/>
    <x v="13"/>
    <s v="0,60"/>
    <e v="#NAME?"/>
  </r>
  <r>
    <n v="739"/>
    <m/>
    <x v="0"/>
    <d v="2017-12-20T00:00:00"/>
    <n v="1.35"/>
    <s v="Familia Ochoa Mendoza"/>
    <s v="marisoljudithm@hotmail.com"/>
    <s v="Calle Güigüe Nro. 89-105"/>
    <s v="Cancelación Vigilancia, meses de Octubre, Noviembre y Diciembre 2017"/>
    <x v="0"/>
    <m/>
    <s v="00739"/>
    <s v="20 de diciembre de 2017"/>
    <n v="20"/>
    <x v="13"/>
    <s v="1,35"/>
    <e v="#NAME?"/>
  </r>
  <r>
    <n v="740"/>
    <m/>
    <x v="0"/>
    <d v="2017-12-20T00:00:00"/>
    <n v="0.4"/>
    <s v="Familia Machado Stoppa"/>
    <s v="machadoru@hotmail.com"/>
    <s v="Calle Guacara Nro. 88-85"/>
    <s v="Colaboración Vigilancia, mes de Diciembre 2017"/>
    <x v="0"/>
    <m/>
    <s v="00740"/>
    <s v="20 de diciembre de 2017"/>
    <n v="20"/>
    <x v="13"/>
    <s v="0,40"/>
    <e v="#NAME?"/>
  </r>
  <r>
    <n v="741"/>
    <m/>
    <x v="0"/>
    <d v="2017-12-20T00:00:00"/>
    <n v="0.25"/>
    <s v="Familia Jiménez Salvatierra"/>
    <s v="0414-582.8909"/>
    <s v="Calle Güigüe Nro. 89-45"/>
    <s v="Cancelación Vigilancia, saldo mes de Diciembre 2017"/>
    <x v="0"/>
    <m/>
    <s v="00741"/>
    <s v="20 de diciembre de 2017"/>
    <n v="20"/>
    <x v="13"/>
    <s v="0,25"/>
    <e v="#NAME?"/>
  </r>
  <r>
    <n v="742"/>
    <m/>
    <x v="0"/>
    <d v="2017-12-22T00:00:00"/>
    <n v="0.17"/>
    <s v="Familia Rodríguez Landaeta"/>
    <s v="mrl58@hotmail.com"/>
    <s v="Calle Güigüe Nro. 89-29"/>
    <s v="Colaboración Vigilancia, mes de Diciembre 2017"/>
    <x v="0"/>
    <m/>
    <s v="00742"/>
    <s v="22 de diciembre de 2017"/>
    <n v="22"/>
    <x v="13"/>
    <s v="0,17"/>
    <e v="#NAME?"/>
  </r>
  <r>
    <n v="743"/>
    <m/>
    <x v="0"/>
    <d v="2017-12-22T00:00:00"/>
    <n v="0.15"/>
    <s v="Victoria Francischiello"/>
    <s v="victoriafrancischiello@hotmail.com"/>
    <s v="Calle Guacara Nro. 88-25"/>
    <s v="Colaboración Vigilancia, mes de Noviembre 2017"/>
    <x v="0"/>
    <m/>
    <s v="00743"/>
    <s v="22 de diciembre de 2017"/>
    <n v="22"/>
    <x v="13"/>
    <s v="0,15"/>
    <e v="#NAME?"/>
  </r>
  <r>
    <n v="744"/>
    <m/>
    <x v="0"/>
    <d v="2017-12-23T00:00:00"/>
    <n v="1"/>
    <s v="Familia Piñero Padilla"/>
    <s v="achepaul2005@hotmail.com"/>
    <s v="Calle Güigüe Nro. 89-21"/>
    <s v="Cancelación Vigilancia, meses de Diciembre 2017 y Enero 2018"/>
    <x v="0"/>
    <m/>
    <s v="00744"/>
    <s v="23 de diciembre de 2017"/>
    <n v="23"/>
    <x v="13"/>
    <s v="1,00"/>
    <e v="#NAME?"/>
  </r>
  <r>
    <n v="745"/>
    <m/>
    <x v="0"/>
    <d v="2017-12-26T00:00:00"/>
    <n v="1"/>
    <s v="Familia Hurtado"/>
    <s v="En Físico"/>
    <s v="Av. &quot;O&quot; Nro. 146-11"/>
    <s v="Cancelación Vigilancia, ajuste mes de Noviembre, cancelación mes de Diciembre 2017 y anticipo mes de Enero 2018"/>
    <x v="0"/>
    <m/>
    <s v="00745"/>
    <s v="26 de diciembre de 2017"/>
    <n v="26"/>
    <x v="13"/>
    <s v="1,00"/>
    <e v="#NAME?"/>
  </r>
  <r>
    <n v="746"/>
    <m/>
    <x v="0"/>
    <d v="2017-12-26T00:00:00"/>
    <n v="0.5"/>
    <s v="Beatriz Lara"/>
    <s v="valentina.gutierrez@hotmail.com"/>
    <s v="Calle Guacara Nro. 89-130"/>
    <s v="Cancelación Vigilancia, mes de Diciembre 2017"/>
    <x v="0"/>
    <m/>
    <s v="00746"/>
    <s v="26 de diciembre de 2017"/>
    <n v="26"/>
    <x v="13"/>
    <s v="0,50"/>
    <e v="#NAME?"/>
  </r>
  <r>
    <n v="747"/>
    <m/>
    <x v="0"/>
    <d v="2017-12-23T00:00:00"/>
    <n v="0.5"/>
    <s v="Familia Castillo Mena"/>
    <s v="emmecas@hotmail.com"/>
    <s v="Calle Güigüe Nro. 88-101"/>
    <s v="Cancelación Vigilancia, mes de Diciembre 2017"/>
    <x v="0"/>
    <m/>
    <s v="00747"/>
    <s v="23 de diciembre de 2017"/>
    <n v="23"/>
    <x v="13"/>
    <s v="0,50"/>
    <e v="#NAME?"/>
  </r>
  <r>
    <n v="748"/>
    <m/>
    <x v="0"/>
    <d v="2017-12-26T00:00:00"/>
    <n v="0.2"/>
    <s v="Familia Chávez Hernández"/>
    <s v="mercedesch23@hotmail.com"/>
    <s v="Calle Güigüe Nro. 88-20"/>
    <s v="Colaboración Vigilancia, meses de Noviembre y Diciembre 2017"/>
    <x v="0"/>
    <m/>
    <s v="00748"/>
    <s v="26 de diciembre de 2017"/>
    <n v="26"/>
    <x v="13"/>
    <s v="0,20"/>
    <e v="#NAME?"/>
  </r>
  <r>
    <n v="749"/>
    <m/>
    <x v="0"/>
    <d v="2017-12-26T00:00:00"/>
    <n v="0.5"/>
    <s v="Familia Alonso Rojas"/>
    <s v="redjc01@gmail.com"/>
    <s v="Calle Güigüe Nro. 89-54"/>
    <s v="Cancelación Vigilancia, mes de Enero 2018"/>
    <x v="0"/>
    <m/>
    <s v="00749"/>
    <s v="26 de diciembre de 2017"/>
    <n v="26"/>
    <x v="13"/>
    <s v="0,50"/>
    <e v="#NAME?"/>
  </r>
  <r>
    <n v="750"/>
    <m/>
    <x v="0"/>
    <d v="2017-12-27T00:00:00"/>
    <n v="0.25"/>
    <s v="Familia Rivero"/>
    <s v="En Físico"/>
    <s v="Calle Güigüe Nro. 88-40"/>
    <s v="Colaboración Vigilancia, mes de Noviembre 2017"/>
    <x v="0"/>
    <m/>
    <s v="00750"/>
    <s v="27 de diciembre de 2017"/>
    <n v="27"/>
    <x v="13"/>
    <s v="0,25"/>
    <e v="#NAME?"/>
  </r>
  <r>
    <n v="751"/>
    <m/>
    <x v="0"/>
    <d v="2017-12-29T00:00:00"/>
    <n v="1"/>
    <s v="Familia Scabuzzo Gómez"/>
    <s v="sfscabuzzo@msn.com"/>
    <s v="Av. &quot;I&quot; Nro. 146-20"/>
    <s v="Cancelación Vigilancia, meses de Noviembre y Diciembre 2017"/>
    <x v="0"/>
    <m/>
    <s v="00751"/>
    <s v="29 de diciembre de 2017"/>
    <n v="29"/>
    <x v="13"/>
    <s v="1,00"/>
    <e v="#NAME?"/>
  </r>
  <r>
    <n v="752"/>
    <m/>
    <x v="0"/>
    <d v="2018-01-02T00:00:00"/>
    <n v="0.3"/>
    <s v="Héctor Hernández"/>
    <s v="eof64@hotmail.com"/>
    <s v="Calle Guacara Nro. 89-94"/>
    <s v="Colaboración Vigilancia, mes de Enero 2018"/>
    <x v="0"/>
    <m/>
    <s v="00752"/>
    <s v="02 de enero de 2018"/>
    <n v="2"/>
    <x v="14"/>
    <s v="0,30"/>
    <e v="#NAME?"/>
  </r>
  <r>
    <n v="753"/>
    <m/>
    <x v="0"/>
    <d v="2018-01-02T00:00:00"/>
    <n v="0.3"/>
    <s v="Familia Méndez Parra"/>
    <s v="briceidamp@hotmail.com"/>
    <s v="Calle Guacara Nro. 88-19"/>
    <s v="Colaboración Vigilancia, mes de Diciembre 2017"/>
    <x v="0"/>
    <m/>
    <s v="00753"/>
    <s v="02 de enero de 2018"/>
    <n v="2"/>
    <x v="14"/>
    <s v="0,30"/>
    <e v="#NAME?"/>
  </r>
  <r>
    <n v="754"/>
    <m/>
    <x v="0"/>
    <d v="2018-01-04T00:00:00"/>
    <n v="0.45"/>
    <s v="Victoria Francischiello"/>
    <s v="victoriafrancischiello@hotmail.com"/>
    <s v="Calle Guacara Nro. 88-25"/>
    <s v="Colaboración Vigilancia, mes de Diciembre 2017"/>
    <x v="0"/>
    <m/>
    <s v="00754"/>
    <s v="04 de enero de 2018"/>
    <n v="4"/>
    <x v="14"/>
    <s v="0,45"/>
    <e v="#NAME?"/>
  </r>
  <r>
    <n v="755"/>
    <m/>
    <x v="0"/>
    <d v="2017-12-29T00:00:00"/>
    <n v="0.5"/>
    <s v="Familia Durvelle Serrano"/>
    <s v="sdurvelle@hotmail.com"/>
    <s v="Calle Guacara Nro. 89-60"/>
    <s v="Anticipo Vigilancia, mes de Enero 2018"/>
    <x v="0"/>
    <m/>
    <s v="00755"/>
    <s v="29 de diciembre de 2017"/>
    <n v="29"/>
    <x v="13"/>
    <s v="0,50"/>
    <e v="#NAME?"/>
  </r>
  <r>
    <n v="756"/>
    <m/>
    <x v="0"/>
    <d v="2018-01-07T00:00:00"/>
    <n v="0.5"/>
    <s v="Familia Arcia Polanco"/>
    <s v="misipo29@gmail.com"/>
    <s v="Calle Guacara Nro. 89-20"/>
    <s v="Anticipo Vigilancia, mes de Enero 2018"/>
    <x v="0"/>
    <m/>
    <s v="00756"/>
    <s v="07 de enero de 2018"/>
    <n v="7"/>
    <x v="14"/>
    <s v="0,50"/>
    <e v="#NAME?"/>
  </r>
  <r>
    <n v="757"/>
    <m/>
    <x v="0"/>
    <d v="2018-01-10T00:00:00"/>
    <n v="0.5"/>
    <s v="Familia López Hermoso"/>
    <s v="lopez.humberto14@yahoo.com.ve"/>
    <s v="Calle Güigüe Nro. 89-79"/>
    <s v="Cancelación Vigilancia, mes de Diciembre 2017"/>
    <x v="0"/>
    <m/>
    <s v="00757"/>
    <s v="10 de enero de 2018"/>
    <n v="10"/>
    <x v="14"/>
    <s v="0,50"/>
    <e v="#NAME?"/>
  </r>
  <r>
    <n v="758"/>
    <m/>
    <x v="0"/>
    <d v="2018-01-10T00:00:00"/>
    <n v="0.3"/>
    <s v="Familia Arcia Polanco"/>
    <s v="misipo29@gmail.com"/>
    <s v="Calle Guacara Nro. 89-20"/>
    <s v="Cancelación saldo Vigilancia, mes de Enero 2018"/>
    <x v="0"/>
    <m/>
    <s v="00758"/>
    <s v="10 de enero de 2018"/>
    <n v="10"/>
    <x v="14"/>
    <s v="0,30"/>
    <e v="#NAME?"/>
  </r>
  <r>
    <n v="759"/>
    <m/>
    <x v="0"/>
    <d v="2018-01-10T00:00:00"/>
    <n v="0.3"/>
    <s v="Familia Alonso Rojas"/>
    <s v="redjc01@gmail.com"/>
    <s v="Calle Güigüe Nro. 89-54"/>
    <s v="Cancelación saldo Vigilancia, mes de Enero 2018"/>
    <x v="0"/>
    <m/>
    <s v="00759"/>
    <s v="10 de enero de 2018"/>
    <n v="10"/>
    <x v="14"/>
    <s v="0,30"/>
    <e v="#NAME?"/>
  </r>
  <r>
    <n v="760"/>
    <m/>
    <x v="0"/>
    <d v="2018-01-10T00:00:00"/>
    <n v="0.8"/>
    <s v="Familia Del Negro Palermo"/>
    <s v="vdelnegro@gmail.com"/>
    <s v="Calle Guacara Nro. 88-45"/>
    <s v="Cancelación Vigilancia, mes de Enero 2018 (saldo a favor: Bs. 880.000)"/>
    <x v="0"/>
    <m/>
    <s v="00760"/>
    <s v="10 de enero de 2018"/>
    <n v="10"/>
    <x v="14"/>
    <s v="0,80"/>
    <e v="#NAME?"/>
  </r>
  <r>
    <n v="761"/>
    <m/>
    <x v="0"/>
    <d v="2018-01-10T00:00:00"/>
    <n v="0.5"/>
    <s v="Familia Delgado Hidalgo"/>
    <s v="ardh@hotmail.com"/>
    <s v="Calle Güigüe Nro. 88-10"/>
    <s v="Cancelación Vigilancia, mes de Diciembre 2017"/>
    <x v="0"/>
    <m/>
    <s v="00761"/>
    <s v="10 de enero de 2018"/>
    <n v="10"/>
    <x v="14"/>
    <s v="0,50"/>
    <e v="#NAME?"/>
  </r>
  <r>
    <n v="762"/>
    <m/>
    <x v="0"/>
    <d v="2018-01-10T00:00:00"/>
    <n v="1.3"/>
    <s v="Familia Fernández Parés"/>
    <s v="vultecca@gmail.com"/>
    <s v="Calle Guacara Nro. 88-75"/>
    <s v="Cancelación Vigilancia, meses de Diciembre 2017 y Enero 2018"/>
    <x v="0"/>
    <m/>
    <s v="00762"/>
    <s v="10 de enero de 2018"/>
    <n v="10"/>
    <x v="14"/>
    <s v="1,30"/>
    <e v="#NAME?"/>
  </r>
  <r>
    <n v="763"/>
    <m/>
    <x v="0"/>
    <d v="2018-01-10T00:00:00"/>
    <n v="0.8"/>
    <s v="Familia Lomeña Agudo"/>
    <s v="claudialomena@hotmail.com"/>
    <s v="Calle Guacara Nro. 89-30"/>
    <s v="Cancelación Vigilancia, mes de Enero 2018"/>
    <x v="0"/>
    <m/>
    <s v="00763"/>
    <s v="10 de enero de 2018"/>
    <n v="10"/>
    <x v="14"/>
    <s v="0,80"/>
    <e v="#NAME?"/>
  </r>
  <r>
    <n v="764"/>
    <m/>
    <x v="0"/>
    <d v="2018-01-10T00:00:00"/>
    <n v="0.7"/>
    <s v="Familia Il Grande Franceschi"/>
    <s v="arcifran75@hotmail.com"/>
    <s v="Av. &quot;I&quot; Nro. 146-40"/>
    <s v="Cancelación Vigilancia, mes de Noviembre y anticipo mes de Diciembre 2017 (Bs. 21.000)"/>
    <x v="0"/>
    <m/>
    <s v="00764"/>
    <s v="10 de enero de 2018"/>
    <n v="10"/>
    <x v="14"/>
    <s v="0,70"/>
    <e v="#NAME?"/>
  </r>
  <r>
    <n v="765"/>
    <m/>
    <x v="0"/>
    <d v="2018-01-11T00:00:00"/>
    <n v="1.6"/>
    <s v="Familia Hatem Medina"/>
    <s v="hhatem1@hotmail.com"/>
    <s v="Calle Guacara Nro. 88-51"/>
    <s v="Cancelación Vigilancia, saldo mes de Enero, y Anticipo Vigilancia meses de Febrero 2018 (Bs. 80.000) y Febrero 2018 (Bs. 5.850)"/>
    <x v="0"/>
    <m/>
    <s v="00765"/>
    <s v="11 de enero de 2018"/>
    <n v="11"/>
    <x v="14"/>
    <s v="1,60"/>
    <e v="#NAME?"/>
  </r>
  <r>
    <n v="766"/>
    <m/>
    <x v="0"/>
    <d v="2018-01-11T00:00:00"/>
    <n v="0.8"/>
    <s v="Familia Sayago Peñaranda"/>
    <s v="alexissayago@gmail.com"/>
    <s v="Calle Güigüe Nro. 89-04"/>
    <s v="Cancelación Vigilancia, mes de Enero 2018"/>
    <x v="0"/>
    <m/>
    <s v="00766"/>
    <s v="11 de enero de 2018"/>
    <n v="11"/>
    <x v="14"/>
    <s v="0,80"/>
    <e v="#NAME?"/>
  </r>
  <r>
    <n v="767"/>
    <m/>
    <x v="0"/>
    <d v="2018-01-11T00:00:00"/>
    <n v="0.8"/>
    <s v="Familia Flores Montagne"/>
    <s v="martaflores@gmail.com"/>
    <s v="Av. &quot;M&quot; Nro. 146-20"/>
    <s v="Cancelación Vigilancia, mes de Enero 2018"/>
    <x v="0"/>
    <m/>
    <s v="00767"/>
    <s v="11 de enero de 2018"/>
    <n v="11"/>
    <x v="14"/>
    <s v="0,80"/>
    <e v="#NAME?"/>
  </r>
  <r>
    <n v="768"/>
    <m/>
    <x v="0"/>
    <d v="2018-01-11T00:00:00"/>
    <n v="1"/>
    <s v="Familia Jiménez Navarro"/>
    <s v="joyasonline2012@gmail.com"/>
    <s v="Calle Güigüe Nro. 88-50"/>
    <s v="Cancelación Vigilancia, meses de Noviembre y Diciembre 2017"/>
    <x v="0"/>
    <m/>
    <s v="00768"/>
    <s v="11 de enero de 2018"/>
    <n v="11"/>
    <x v="14"/>
    <s v="1,00"/>
    <e v="#NAME?"/>
  </r>
  <r>
    <n v="769"/>
    <m/>
    <x v="0"/>
    <d v="2018-01-11T00:00:00"/>
    <n v="0.8"/>
    <s v="Familia Delgado Hidalgo"/>
    <s v="ardh@hotmail.com"/>
    <s v="Calle Güigüe Nro. 88-10"/>
    <s v="Cancelación Vigilancia, mes de Enero 2018"/>
    <x v="0"/>
    <m/>
    <s v="00769"/>
    <s v="11 de enero de 2018"/>
    <n v="11"/>
    <x v="14"/>
    <s v="0,80"/>
    <e v="#NAME?"/>
  </r>
  <r>
    <n v="770"/>
    <m/>
    <x v="0"/>
    <d v="2018-01-11T00:00:00"/>
    <n v="0.8"/>
    <s v="Familia Narváez Caldera"/>
    <s v="jeannette_nc@yahoo.com"/>
    <s v="Calle Güigüe Nro. 87-A-11"/>
    <s v="Cancelación Vigilancia, mes de Enero 2018"/>
    <x v="0"/>
    <m/>
    <s v="00770"/>
    <s v="11 de enero de 2018"/>
    <n v="11"/>
    <x v="14"/>
    <s v="0,80"/>
    <e v="#NAME?"/>
  </r>
  <r>
    <n v="771"/>
    <m/>
    <x v="0"/>
    <d v="2018-01-11T00:00:00"/>
    <n v="0.8"/>
    <s v="Familia Colosso Delgado"/>
    <s v="mcolosso@gmail.com"/>
    <s v="Calle Güigüe Nro. 88-44"/>
    <s v="Cancelación Vigilancia, mes de Enero 2018"/>
    <x v="0"/>
    <m/>
    <s v="00771"/>
    <s v="11 de enero de 2018"/>
    <n v="11"/>
    <x v="14"/>
    <s v="0,80"/>
    <e v="#NAME?"/>
  </r>
  <r>
    <n v="772"/>
    <m/>
    <x v="0"/>
    <d v="2018-01-12T00:00:00"/>
    <n v="1.6"/>
    <s v="Familia González Arévalo"/>
    <s v="feryenis@hotmail.com"/>
    <s v="Calle Guacara Nro. 89-86"/>
    <s v="Cancelación Vigilancia, meses de Enero y Febrero 2018"/>
    <x v="0"/>
    <m/>
    <s v="00772"/>
    <s v="12 de enero de 2018"/>
    <n v="12"/>
    <x v="14"/>
    <s v="1,60"/>
    <e v="#NAME?"/>
  </r>
  <r>
    <n v="773"/>
    <m/>
    <x v="0"/>
    <d v="2018-01-13T00:00:00"/>
    <n v="0.8"/>
    <s v="Beatriz Lara"/>
    <s v="valentina.gutierrez@hotmail.com"/>
    <s v="Calle Guacara Nro. 89-130"/>
    <s v="Cancelación Vigilancia, mes de Enero 2018"/>
    <x v="0"/>
    <m/>
    <s v="00773"/>
    <s v="13 de enero de 2018"/>
    <n v="13"/>
    <x v="14"/>
    <s v="0,80"/>
    <e v="#NAME?"/>
  </r>
  <r>
    <n v="774"/>
    <m/>
    <x v="0"/>
    <d v="2018-01-14T00:00:00"/>
    <n v="1"/>
    <s v="Familia Romero"/>
    <s v="autoescuela21@gmail.com"/>
    <s v="Calle Guacara Nro. 89-50"/>
    <s v="Colaboración Vigilancia, meses de Enero y Febrero 2018"/>
    <x v="0"/>
    <m/>
    <s v="00774"/>
    <s v="14 de enero de 2018"/>
    <n v="14"/>
    <x v="14"/>
    <s v="1,00"/>
    <e v="#NAME?"/>
  </r>
  <r>
    <n v="775"/>
    <m/>
    <x v="0"/>
    <d v="2018-01-16T00:00:00"/>
    <n v="0.4"/>
    <s v="Familia Rodríguez Aular"/>
    <s v="mvaular@hotmail.com"/>
    <s v="Calle Güigüe Nro. 88-58"/>
    <s v="Colaboración Vigilancia, mes de Enero 2018"/>
    <x v="0"/>
    <m/>
    <s v="00775"/>
    <s v="16 de enero de 2018"/>
    <n v="16"/>
    <x v="14"/>
    <s v="0,40"/>
    <e v="#NAME?"/>
  </r>
  <r>
    <n v="776"/>
    <m/>
    <x v="0"/>
    <d v="2018-01-17T00:00:00"/>
    <n v="0.8"/>
    <s v="Familia Díaz González"/>
    <s v="luisrdt57@gmail.com"/>
    <s v="Calle Güigüe Nro. 88-116"/>
    <s v="Cancelación Vigilancia, mes de Enero 2018"/>
    <x v="0"/>
    <m/>
    <s v="00776"/>
    <s v="17 de enero de 2018"/>
    <n v="17"/>
    <x v="14"/>
    <s v="0,80"/>
    <e v="#NAME?"/>
  </r>
  <r>
    <n v="777"/>
    <m/>
    <x v="0"/>
    <d v="2018-01-18T00:00:00"/>
    <n v="0.8"/>
    <s v="Familia López Hermoso"/>
    <s v="lopez.humberto14@yahoo.com.ve"/>
    <s v="Calle Güigüe Nro. 89-79"/>
    <s v="Cancelación Vigilancia, mes de Enero 2018"/>
    <x v="0"/>
    <m/>
    <s v="00777"/>
    <s v="18 de enero de 2018"/>
    <n v="18"/>
    <x v="14"/>
    <s v="0,80"/>
    <e v="#NAME?"/>
  </r>
  <r>
    <n v="778"/>
    <m/>
    <x v="0"/>
    <d v="2018-01-18T00:00:00"/>
    <n v="0.4"/>
    <s v="Familia Rodríguez Landaeta"/>
    <s v="mrl58@hotmail.com"/>
    <s v="Calle Güigüe Nro. 89-29"/>
    <s v="Colaboración Vigilancia, mes de Enero 2018"/>
    <x v="0"/>
    <m/>
    <s v="00778"/>
    <s v="18 de enero de 2018"/>
    <n v="18"/>
    <x v="14"/>
    <s v="0,40"/>
    <e v="#NAME?"/>
  </r>
  <r>
    <n v="779"/>
    <m/>
    <x v="0"/>
    <d v="2018-01-18T00:00:00"/>
    <n v="0.8"/>
    <s v="Familia Fermín Rivas"/>
    <s v="angelferminb@gmail.com"/>
    <s v="Calle Güigüe Nro. 89-55"/>
    <s v="Cancelación Vigilancia, mes de Enero 2018"/>
    <x v="0"/>
    <m/>
    <s v="00779"/>
    <s v="18 de enero de 2018"/>
    <n v="18"/>
    <x v="14"/>
    <s v="0,80"/>
    <e v="#NAME?"/>
  </r>
  <r>
    <n v="780"/>
    <m/>
    <x v="0"/>
    <d v="2018-01-18T00:00:00"/>
    <n v="1"/>
    <s v="Familia Jiménez Salvatierra"/>
    <s v="En Físico"/>
    <s v="Calle Güigüe Nro. 89-45"/>
    <s v="Cancelación Vigilancia, mes de Enero y anticipo mes de Febrero 2018"/>
    <x v="0"/>
    <m/>
    <s v="00780"/>
    <s v="18 de enero de 2018"/>
    <n v="18"/>
    <x v="14"/>
    <s v="1,00"/>
    <e v="#NAME?"/>
  </r>
  <r>
    <n v="781"/>
    <m/>
    <x v="0"/>
    <d v="2018-01-18T00:00:00"/>
    <n v="0.8"/>
    <s v="Familia Kablan Sarmiento"/>
    <s v="norisjsb56@hotmail.com"/>
    <s v="Calle Güigüe Nro. 89-80"/>
    <s v="Cancelación Vigilancia, mes de Enero 2018"/>
    <x v="0"/>
    <m/>
    <s v="00781"/>
    <s v="18 de enero de 2018"/>
    <n v="18"/>
    <x v="14"/>
    <s v="0,80"/>
    <e v="#NAME?"/>
  </r>
  <r>
    <n v="782"/>
    <m/>
    <x v="0"/>
    <d v="2018-01-18T00:00:00"/>
    <n v="0.8"/>
    <s v="Ely Saúl Rivero Gómez"/>
    <s v="hhs.admon@gmail.com"/>
    <s v="Av. &quot;Ñ&quot; Nro. 145-25"/>
    <s v="Cancelación Vigilancia, mes de Enero 2018 (saldo a favor: Bs. 945.000)"/>
    <x v="0"/>
    <m/>
    <s v="00782"/>
    <s v="18 de enero de 2018"/>
    <n v="18"/>
    <x v="14"/>
    <s v="0,80"/>
    <e v="#NAME?"/>
  </r>
  <r>
    <n v="783"/>
    <m/>
    <x v="0"/>
    <d v="2018-01-18T00:00:00"/>
    <n v="0.35"/>
    <s v="Chin Chun Ya (Goya)"/>
    <s v="uc2721@gmail.com"/>
    <s v="Calle Guacara Nro. 87-86"/>
    <s v="Colaboración Vigilancia, mes de Enero 2018"/>
    <x v="0"/>
    <m/>
    <s v="00783"/>
    <s v="18 de enero de 2018"/>
    <n v="18"/>
    <x v="14"/>
    <s v="0,35"/>
    <e v="#NAME?"/>
  </r>
  <r>
    <n v="784"/>
    <m/>
    <x v="0"/>
    <d v="2018-01-18T00:00:00"/>
    <n v="0.8"/>
    <s v="Familia Nava Gordon"/>
    <s v="maru_19_66@hotmail.com"/>
    <s v="Calle Guacara Nro. 89-78"/>
    <s v="Cancelación Vigilancia, mes de Enero 2018"/>
    <x v="0"/>
    <m/>
    <s v="00784"/>
    <s v="18 de enero de 2018"/>
    <n v="18"/>
    <x v="14"/>
    <s v="0,80"/>
    <e v="#NAME?"/>
  </r>
  <r>
    <n v="785"/>
    <m/>
    <x v="0"/>
    <d v="2018-01-18T00:00:00"/>
    <n v="0.8"/>
    <s v="Wu Hung Fung"/>
    <s v="carolinahung24@gmail.com"/>
    <s v="Calle Guacara Nro. 90-81"/>
    <s v="Cancelación Vigilancia, mes de Enero 2018"/>
    <x v="0"/>
    <m/>
    <s v="00785"/>
    <s v="18 de enero de 2018"/>
    <n v="18"/>
    <x v="14"/>
    <s v="0,80"/>
    <e v="#NAME?"/>
  </r>
  <r>
    <n v="786"/>
    <m/>
    <x v="0"/>
    <d v="2018-01-19T00:00:00"/>
    <n v="0.8"/>
    <s v="Familia Jiménez Navarro"/>
    <s v="joyasonline2012@gmail.com"/>
    <s v="Calle Güigüe Nro. 88-50"/>
    <s v="Cancelación Vigilancia, mes de Enero 2018"/>
    <x v="0"/>
    <m/>
    <s v="00786"/>
    <s v="19 de enero de 2018"/>
    <n v="19"/>
    <x v="14"/>
    <s v="0,80"/>
    <e v="#NAME?"/>
  </r>
  <r>
    <n v="787"/>
    <m/>
    <x v="0"/>
    <d v="2018-01-19T00:00:00"/>
    <n v="2.8"/>
    <s v="Familia Ozar Rivero"/>
    <s v="vanessarivero81@hotmail.com"/>
    <s v="Calle Güigüe Nro. 88-06"/>
    <s v="Cancelación Vigilancia, meses de Octubre 2017 a Enero 2018 y anticipo Febrero 2018 (Bs. 65.000)"/>
    <x v="0"/>
    <m/>
    <s v="00787"/>
    <s v="19 de enero de 2018"/>
    <n v="19"/>
    <x v="14"/>
    <s v="2,80"/>
    <e v="#NAME?"/>
  </r>
  <r>
    <n v="788"/>
    <m/>
    <x v="0"/>
    <d v="2018-01-19T00:00:00"/>
    <n v="0.4"/>
    <s v="Familia Morales Sesar"/>
    <s v="moralesesar@gmail.com"/>
    <s v="Calle Güigüe Nro. 89-120"/>
    <s v="Colaboración Vigilancia, mes de Enero 2018"/>
    <x v="0"/>
    <m/>
    <s v="00788"/>
    <s v="19 de enero de 2018"/>
    <n v="19"/>
    <x v="14"/>
    <s v="0,40"/>
    <e v="#NAME?"/>
  </r>
  <r>
    <n v="789"/>
    <m/>
    <x v="0"/>
    <d v="2018-01-22T00:00:00"/>
    <n v="0.8"/>
    <s v="Familia Alonso Rojas"/>
    <s v="redjc01@gmail.com"/>
    <s v="Calle Güigüe Nro. 89-54"/>
    <s v="Cancelación Vigilancia, mes de Febrero 2018"/>
    <x v="0"/>
    <m/>
    <s v="00789"/>
    <s v="22 de enero de 2018"/>
    <n v="22"/>
    <x v="14"/>
    <s v="0,80"/>
    <e v="#NAME?"/>
  </r>
  <r>
    <n v="790"/>
    <m/>
    <x v="0"/>
    <d v="2018-01-22T00:00:00"/>
    <n v="0.8"/>
    <s v="Familia Zavarce Pérez"/>
    <s v="En Físico"/>
    <s v="Calle Guacara Nro. 90-35"/>
    <s v="Cancelación Vigilancia, mes de Enero 2018"/>
    <x v="0"/>
    <m/>
    <s v="00790"/>
    <s v="22 de enero de 2018"/>
    <n v="22"/>
    <x v="14"/>
    <s v="0,80"/>
    <e v="#NAME?"/>
  </r>
  <r>
    <n v="791"/>
    <m/>
    <x v="0"/>
    <d v="2018-01-22T00:00:00"/>
    <n v="0.8"/>
    <s v="Familia Milanés Carmona"/>
    <s v="yndira11m@gmail.com"/>
    <s v="Calle Güigüe Nro. 89-65"/>
    <s v="Cancelación Vigilancia, mes de Enero 2018"/>
    <x v="0"/>
    <m/>
    <s v="00791"/>
    <s v="22 de enero de 2018"/>
    <n v="22"/>
    <x v="14"/>
    <s v="0,80"/>
    <e v="#NAME?"/>
  </r>
  <r>
    <n v="792"/>
    <m/>
    <x v="0"/>
    <d v="2018-01-22T00:00:00"/>
    <n v="1.5"/>
    <s v="Familia Durvelle Serrano"/>
    <s v="sdurvelle@hotmail.com"/>
    <s v="Calle Guacara Nro. 89-60"/>
    <s v="Cancelación Vigilancia, saldo mes de Enero, Febrero 2018 y colaboración adicional"/>
    <x v="0"/>
    <m/>
    <s v="00792"/>
    <s v="22 de enero de 2018"/>
    <n v="22"/>
    <x v="14"/>
    <s v="1,50"/>
    <e v="#NAME?"/>
  </r>
  <r>
    <n v="793"/>
    <m/>
    <x v="0"/>
    <d v="2018-01-15T00:00:00"/>
    <n v="0.5"/>
    <s v="Familia Zavarce Pérez"/>
    <s v="En Físico"/>
    <s v="Calle Guacara Nro. 90-35"/>
    <s v="Cancelación Vigilancia, mes de Diciembre 2017"/>
    <x v="0"/>
    <m/>
    <s v="00793"/>
    <s v="15 de enero de 2018"/>
    <n v="15"/>
    <x v="14"/>
    <s v="0,50"/>
    <e v="#NAME?"/>
  </r>
  <r>
    <n v="794"/>
    <m/>
    <x v="0"/>
    <d v="2018-01-23T00:00:00"/>
    <n v="0.86399999999999999"/>
    <s v="La Casita Encantada"/>
    <s v="En Físico"/>
    <s v="Av. &quot;M&quot; Nro. 146-30"/>
    <s v="Cancelación Vigilancia, mes de Enero 2018"/>
    <x v="0"/>
    <m/>
    <s v="00794"/>
    <s v="23 de enero de 2018"/>
    <n v="23"/>
    <x v="14"/>
    <s v="0,86"/>
    <e v="#NAME?"/>
  </r>
  <r>
    <n v="795"/>
    <m/>
    <x v="0"/>
    <d v="2018-01-23T00:00:00"/>
    <n v="0.8"/>
    <s v="Familia Navarro Assing"/>
    <s v="liliaassing@gmail.com"/>
    <s v="Calle Güigüe Nro. 88-54"/>
    <s v="Cancelación Vigilancia, mes de Enero 2018"/>
    <x v="0"/>
    <m/>
    <s v="00795"/>
    <s v="23 de enero de 2018"/>
    <n v="23"/>
    <x v="14"/>
    <s v="0,80"/>
    <e v="#NAME?"/>
  </r>
  <r>
    <n v="796"/>
    <m/>
    <x v="0"/>
    <d v="2018-01-24T00:00:00"/>
    <n v="0.5"/>
    <s v="Familia Barreto Pérez"/>
    <s v="bbetsa19@hotmail.com"/>
    <s v="Av. &quot;M&quot; Nro. 146-15"/>
    <s v="Cancelación Vigilancia, mes de Diciembre 2017"/>
    <x v="0"/>
    <m/>
    <s v="00796"/>
    <s v="24 de enero de 2018"/>
    <n v="24"/>
    <x v="14"/>
    <s v="0,50"/>
    <e v="#NAME?"/>
  </r>
  <r>
    <n v="797"/>
    <m/>
    <x v="0"/>
    <d v="2017-12-14T00:00:00"/>
    <n v="0.5"/>
    <s v="Ana de González"/>
    <s v="mikelnowak25@gmail.com"/>
    <s v="Av. &quot;O&quot; Nro. 146-17"/>
    <s v="Cancelación Vigilancia, mes de Diciembre 2017"/>
    <x v="0"/>
    <m/>
    <s v="00797"/>
    <s v="14 de diciembre de 2017"/>
    <n v="14"/>
    <x v="13"/>
    <s v="0,50"/>
    <e v="#NAME?"/>
  </r>
  <r>
    <n v="798"/>
    <m/>
    <x v="0"/>
    <d v="2018-01-23T00:00:00"/>
    <n v="0.8"/>
    <s v="Ana de González"/>
    <s v="mikelnowak25@gmail.com"/>
    <s v="Av. &quot;O&quot; Nro. 146-17"/>
    <s v="Cancelación Vigilancia, mes de Enero 2018"/>
    <x v="0"/>
    <m/>
    <s v="00798"/>
    <s v="23 de enero de 2018"/>
    <n v="23"/>
    <x v="14"/>
    <s v="0,80"/>
    <e v="#NAME?"/>
  </r>
  <r>
    <n v="799"/>
    <m/>
    <x v="0"/>
    <d v="2018-01-24T00:00:00"/>
    <n v="1.3"/>
    <s v="Familia Montilla García"/>
    <s v="dairy252525@hotmail.com"/>
    <s v="Calle Güigüe Nro. 89-90"/>
    <s v="Cancelación Vigilancia, meses de Diciembre 2017 y Enero 2018"/>
    <x v="0"/>
    <m/>
    <s v="00799"/>
    <s v="24 de enero de 2018"/>
    <n v="24"/>
    <x v="14"/>
    <s v="1,30"/>
    <e v="#NAME?"/>
  </r>
  <r>
    <n v="800"/>
    <m/>
    <x v="0"/>
    <d v="2018-01-24T00:00:00"/>
    <n v="1.1359999999999999"/>
    <s v="Colegio El Trigal"/>
    <s v="En Físico"/>
    <s v="Calle Güigüe Nros. 88-71 y 88-81"/>
    <s v="Cancelación Vigilancia, mes de Enero 2018"/>
    <x v="0"/>
    <m/>
    <s v="00800"/>
    <s v="24 de enero de 2018"/>
    <n v="24"/>
    <x v="14"/>
    <s v="1,14"/>
    <e v="#NAME?"/>
  </r>
  <r>
    <n v="801"/>
    <m/>
    <x v="0"/>
    <d v="2018-01-24T00:00:00"/>
    <n v="1.6"/>
    <s v="Familia Puerta Burguillos"/>
    <s v="namaricakes@gmail.com"/>
    <s v="Calle Guacara Nro. 87-100"/>
    <s v="Cancelación Vigilancia, meses de Enero y Febrero 2018"/>
    <x v="0"/>
    <m/>
    <s v="00801"/>
    <s v="24 de enero de 2018"/>
    <n v="24"/>
    <x v="14"/>
    <s v="1,60"/>
    <e v="#NAME?"/>
  </r>
  <r>
    <n v="802"/>
    <m/>
    <x v="0"/>
    <d v="2018-01-24T00:00:00"/>
    <n v="1"/>
    <s v="Familia Matta Palomino"/>
    <s v="En Físico"/>
    <s v="Calle Güigüe Nro. 88-90"/>
    <s v="Cancelación Vigilancia, meses de Noviembre y Diciembre 2017"/>
    <x v="0"/>
    <m/>
    <s v="00802"/>
    <s v="24 de enero de 2018"/>
    <n v="24"/>
    <x v="14"/>
    <s v="1,00"/>
    <e v="#NAME?"/>
  </r>
  <r>
    <n v="803"/>
    <m/>
    <x v="0"/>
    <d v="2018-01-24T00:00:00"/>
    <n v="0.2"/>
    <s v="Familia Santos Carrillo"/>
    <s v="briceidamp@hotmail.com"/>
    <s v="Calle Guacara Nro. 90-93"/>
    <s v="Colaboración Vigilancia, mes de Enero 2018"/>
    <x v="0"/>
    <m/>
    <s v="00803"/>
    <s v="24 de enero de 2018"/>
    <n v="24"/>
    <x v="14"/>
    <s v="0,20"/>
    <e v="#NAME?"/>
  </r>
  <r>
    <n v="804"/>
    <m/>
    <x v="0"/>
    <d v="2018-01-24T00:00:00"/>
    <n v="0.5"/>
    <s v="Familia Méndez Parra"/>
    <s v="briceidamp@hotmail.com"/>
    <s v="Calle Guacara Nro. 88-19"/>
    <s v="Colaboración Vigilancia, mes de Enero 2018"/>
    <x v="0"/>
    <m/>
    <s v="00804"/>
    <s v="24 de enero de 2018"/>
    <n v="24"/>
    <x v="14"/>
    <s v="0,50"/>
    <e v="#NAME?"/>
  </r>
  <r>
    <n v="805"/>
    <m/>
    <x v="0"/>
    <d v="2018-01-23T00:00:00"/>
    <n v="0.3"/>
    <s v="Familia Ferrer Bahri"/>
    <s v="bahrimariela@hotmail.com"/>
    <s v="Calle Güigüe Nro. 89-83"/>
    <s v="Cancelación saldo Vigilancia, mes de Enero 2018"/>
    <x v="0"/>
    <m/>
    <s v="00805"/>
    <s v="23 de enero de 2018"/>
    <n v="23"/>
    <x v="14"/>
    <s v="0,30"/>
    <e v="#NAME?"/>
  </r>
  <r>
    <n v="806"/>
    <m/>
    <x v="0"/>
    <d v="2018-01-26T00:00:00"/>
    <n v="1"/>
    <s v="Familia Hurtado"/>
    <s v="En Físico"/>
    <s v="Av. &quot;O&quot; Nro. 146-11"/>
    <s v="Cancelación Vigilancia, saldo mes de Enero y anticipo mes de Febrero 2018"/>
    <x v="0"/>
    <m/>
    <s v="00806"/>
    <s v="26 de enero de 2018"/>
    <n v="26"/>
    <x v="14"/>
    <s v="1,00"/>
    <e v="#NAME?"/>
  </r>
  <r>
    <n v="807"/>
    <m/>
    <x v="0"/>
    <d v="2018-01-27T00:00:00"/>
    <n v="0.8"/>
    <s v="Amarilis Guerra"/>
    <s v="amarilisguerra1@yahoo.com"/>
    <s v="Calle Güigüe Nro. 89-96"/>
    <s v="Cancelación Vigilancia, mes de Enero 2018"/>
    <x v="0"/>
    <m/>
    <s v="00807"/>
    <s v="27 de enero de 2018"/>
    <n v="27"/>
    <x v="14"/>
    <s v="0,80"/>
    <e v="#NAME?"/>
  </r>
  <r>
    <n v="808"/>
    <m/>
    <x v="0"/>
    <d v="2018-01-29T00:00:00"/>
    <n v="1.1000000000000001"/>
    <s v="Familia Loponte Arteaga"/>
    <s v="nancyloponte@hotmail.com"/>
    <s v="Calle Güigüe Nro. 88-120"/>
    <s v="Cancelación Vigilancia, saldo mes de Enero y Febrero 2018"/>
    <x v="0"/>
    <m/>
    <s v="00808"/>
    <s v="29 de enero de 2018"/>
    <n v="29"/>
    <x v="14"/>
    <s v="1,10"/>
    <e v="#NAME?"/>
  </r>
  <r>
    <n v="809"/>
    <m/>
    <x v="0"/>
    <d v="2018-01-29T00:00:00"/>
    <n v="0.8"/>
    <s v="Familia Castillo Mena"/>
    <s v="emmecas@hotmail.com"/>
    <s v="Calle Güigüe Nro. 88-101"/>
    <s v="Cancelación Vigilancia, mes de Enero 2018"/>
    <x v="0"/>
    <m/>
    <s v="00809"/>
    <s v="29 de enero de 2018"/>
    <n v="29"/>
    <x v="14"/>
    <s v="0,80"/>
    <e v="#NAME?"/>
  </r>
  <r>
    <n v="810"/>
    <m/>
    <x v="0"/>
    <d v="2018-01-30T00:00:00"/>
    <n v="0.2"/>
    <s v="Familia Chávez Hernández"/>
    <s v="mercedesch23@hotmail.com"/>
    <s v="Calle Güigüe Nro. 88-20"/>
    <s v="Colaboración Vigilancia, meses de Enero y Febrero 2018"/>
    <x v="0"/>
    <m/>
    <s v="00810"/>
    <s v="30 de enero de 2018"/>
    <n v="30"/>
    <x v="14"/>
    <s v="0,20"/>
    <e v="#NAME?"/>
  </r>
  <r>
    <n v="811"/>
    <m/>
    <x v="0"/>
    <d v="2018-01-28T00:00:00"/>
    <n v="0.4"/>
    <s v="Familia Rodríguez Aular"/>
    <s v="mvaular@hotmail.com"/>
    <s v="Calle Güigüe Nro. 88-58"/>
    <s v="Colaboración Vigilancia, mes de Diciembre 2017"/>
    <x v="0"/>
    <m/>
    <s v="00811"/>
    <s v="28 de enero de 2018"/>
    <n v="28"/>
    <x v="14"/>
    <s v="0,40"/>
    <e v="#NAME?"/>
  </r>
  <r>
    <n v="812"/>
    <m/>
    <x v="0"/>
    <d v="2018-02-01T00:00:00"/>
    <n v="2.1"/>
    <s v="Familia Il Grande Franceschi"/>
    <s v="arcifran75@hotmail.com"/>
    <s v="Av. &quot;I&quot; Nro. 146-40"/>
    <s v="Cancelación Vigilancia, saldo Diciembre 2017 y meses de Enero y Febrero 2018"/>
    <x v="0"/>
    <m/>
    <s v="00812"/>
    <s v="01 de febrero de 2018"/>
    <n v="1"/>
    <x v="15"/>
    <s v="2,10"/>
    <e v="#NAME?"/>
  </r>
  <r>
    <n v="813"/>
    <m/>
    <x v="0"/>
    <d v="2018-02-01T00:00:00"/>
    <n v="0.3"/>
    <s v="Familia Rivero"/>
    <s v="En Físico"/>
    <s v="Calle Güigüe Nro. 88-40"/>
    <s v="Colaboración Vigilancia, mes de Diciembre 2017"/>
    <x v="0"/>
    <m/>
    <s v="00813"/>
    <s v="01 de febrero de 2018"/>
    <n v="1"/>
    <x v="15"/>
    <s v="0,30"/>
    <e v="#NAME?"/>
  </r>
  <r>
    <n v="814"/>
    <m/>
    <x v="0"/>
    <d v="2018-02-01T00:00:00"/>
    <n v="2.6999999999999997"/>
    <s v="Familia Guerra Miret"/>
    <s v="antoniojguerrag@hotmail.com"/>
    <s v="Calle Güigüe Nro. 89-40"/>
    <s v="Cancelación Vigilancia, saldo Enero 2018 y meses de Febrero, Marzo y Abril 2018"/>
    <x v="0"/>
    <m/>
    <s v="00814"/>
    <s v="01 de febrero de 2018"/>
    <n v="1"/>
    <x v="15"/>
    <s v="2,70"/>
    <e v="#NAME?"/>
  </r>
  <r>
    <n v="815"/>
    <m/>
    <x v="0"/>
    <d v="2018-02-01T00:00:00"/>
    <n v="3.2"/>
    <s v="Familia Cegarra Villamizar"/>
    <s v="jesus.villamizar.ra@gmail.com"/>
    <s v="Calle Guacara Nro. 88-35"/>
    <s v="Cancelación Vigilancia, meses de Enero, Febrero, Marzo y Abril 2018"/>
    <x v="0"/>
    <m/>
    <s v="00815"/>
    <s v="01 de febrero de 2018"/>
    <n v="1"/>
    <x v="15"/>
    <s v="3,20"/>
    <e v="#NAME?"/>
  </r>
  <r>
    <n v="816"/>
    <m/>
    <x v="0"/>
    <d v="2018-02-01T00:00:00"/>
    <n v="0.5"/>
    <s v="Victoria Francischiello"/>
    <s v="victoriafrancischiello@hotmail.com"/>
    <s v="Calle Guacara Nro. 88-25"/>
    <s v="Colaboración Vigilancia, mes de Enero 2018"/>
    <x v="0"/>
    <m/>
    <s v="00816"/>
    <s v="01 de febrero de 2018"/>
    <n v="1"/>
    <x v="15"/>
    <s v="0,50"/>
    <e v="#NAME?"/>
  </r>
  <r>
    <n v="817"/>
    <m/>
    <x v="0"/>
    <d v="2018-02-02T00:00:00"/>
    <n v="1.6"/>
    <s v="Familia Castro Jiménez"/>
    <s v="0426-543.4303"/>
    <s v="Calle Guacara Nro. 90-51"/>
    <s v="Cancelación Vigilancia, meses de Enero y Febrero 2018"/>
    <x v="0"/>
    <m/>
    <s v="00817"/>
    <s v="02 de febrero de 2018"/>
    <n v="2"/>
    <x v="15"/>
    <s v="1,60"/>
    <e v="#NAME?"/>
  </r>
  <r>
    <n v="818"/>
    <m/>
    <x v="0"/>
    <d v="2018-02-02T00:00:00"/>
    <n v="1.6"/>
    <s v="Familia Scabuzzo Gómez"/>
    <s v="sfscabuzzo@msn.com"/>
    <s v="Av. &quot;I&quot; Nro. 146-20"/>
    <s v="Cancelación Vigilancia, meses de Enero y Febrero 2018"/>
    <x v="0"/>
    <m/>
    <s v="00818"/>
    <s v="02 de febrero de 2018"/>
    <n v="2"/>
    <x v="15"/>
    <s v="1,60"/>
    <e v="#NAME?"/>
  </r>
  <r>
    <n v="819"/>
    <m/>
    <x v="0"/>
    <d v="2018-02-05T00:00:00"/>
    <n v="0.8"/>
    <s v="Familia Ferrer Bahri"/>
    <s v="bahrimariela@hotmail.com"/>
    <s v="Calle Güigüe Nro. 89-83"/>
    <s v="Cancelación Vigilancia, mes de Febrero 2018"/>
    <x v="0"/>
    <m/>
    <s v="00819"/>
    <s v="05 de febrero de 2018"/>
    <n v="5"/>
    <x v="15"/>
    <s v="0,80"/>
    <e v="#NAME?"/>
  </r>
  <r>
    <n v="820"/>
    <m/>
    <x v="0"/>
    <d v="2018-02-05T00:00:00"/>
    <n v="0.8"/>
    <s v="Familia Colosso Delgado"/>
    <s v="mcolosso@gmail.com"/>
    <s v="Calle Güigüe Nro. 88-44"/>
    <s v="Cancelación Vigilancia, mes de Febrero 2018"/>
    <x v="0"/>
    <m/>
    <s v="00820"/>
    <s v="05 de febrero de 2018"/>
    <n v="5"/>
    <x v="15"/>
    <s v="0,80"/>
    <e v="#NAME?"/>
  </r>
  <r>
    <n v="821"/>
    <m/>
    <x v="0"/>
    <d v="2018-02-05T00:00:00"/>
    <n v="0.8"/>
    <s v="Familia Del Negro Palermo"/>
    <s v="vdelnegro@gmail.com"/>
    <s v="Calle Guacara Nro. 88-45"/>
    <s v="Cancelación Vigilancia, mes de Febrero 2018 (saldo a favor: Bs. 800.000)"/>
    <x v="0"/>
    <m/>
    <s v="00821"/>
    <s v="05 de febrero de 2018"/>
    <n v="5"/>
    <x v="15"/>
    <s v="0,80"/>
    <e v="#NAME?"/>
  </r>
  <r>
    <n v="822"/>
    <m/>
    <x v="0"/>
    <d v="2018-02-05T00:00:00"/>
    <n v="0.8"/>
    <s v="Ely Saúl Rivero Gómez"/>
    <s v="hhs.admon@gmail.com"/>
    <s v="Av. &quot;Ñ&quot; Nro. 145-25"/>
    <s v="Cancelación Vigilancia, mes de Febrero 2018 (saldo a favor: Bs. 865.000)"/>
    <x v="0"/>
    <m/>
    <s v="00822"/>
    <s v="05 de febrero de 2018"/>
    <n v="5"/>
    <x v="15"/>
    <s v="0,80"/>
    <e v="#NAME?"/>
  </r>
  <r>
    <n v="823"/>
    <m/>
    <x v="0"/>
    <d v="2018-02-06T00:00:00"/>
    <n v="0.8"/>
    <s v="Familia Fermín Rivas"/>
    <s v="angelferminb@gmail.com"/>
    <s v="Calle Güigüe Nro. 89-55"/>
    <s v="Cancelación Vigilancia, mes de Febrero 2018"/>
    <x v="0"/>
    <m/>
    <s v="00823"/>
    <s v="06 de febrero de 2018"/>
    <n v="6"/>
    <x v="15"/>
    <s v="0,80"/>
    <e v="#NAME?"/>
  </r>
  <r>
    <n v="824"/>
    <m/>
    <x v="0"/>
    <d v="2018-02-06T00:00:00"/>
    <n v="1.6"/>
    <s v="Familia Jiménez Salvatierra"/>
    <s v="En Físico"/>
    <s v="Calle Güigüe Nro. 89-45"/>
    <s v="Cancelación Vigilancia, saldo mes de Febrero, mes de Marzo y anticipo mes de Abril 2018"/>
    <x v="0"/>
    <m/>
    <s v="00824"/>
    <s v="06 de febrero de 2018"/>
    <n v="6"/>
    <x v="15"/>
    <s v="1,60"/>
    <e v="#NAME?"/>
  </r>
  <r>
    <n v="825"/>
    <m/>
    <x v="0"/>
    <d v="2018-02-08T00:00:00"/>
    <n v="0.8"/>
    <s v="Familia Montilla García"/>
    <s v="dairy252525@hotmail.com"/>
    <s v="Calle Güigüe Nro. 89-90"/>
    <s v="Cancelación Vigilancia, mes de Febrero 2018"/>
    <x v="0"/>
    <m/>
    <s v="00825"/>
    <s v="08 de febrero de 2018"/>
    <n v="8"/>
    <x v="15"/>
    <s v="0,80"/>
    <e v="#NAME?"/>
  </r>
  <r>
    <n v="826"/>
    <m/>
    <x v="0"/>
    <d v="2018-02-09T00:00:00"/>
    <n v="0.4"/>
    <s v="Familia Morales Sesar"/>
    <s v="moralesesar@gmail.com"/>
    <s v="Calle Güigüe Nro. 89-120"/>
    <s v="Colaboración Vigilancia, mes de Febrero 2018"/>
    <x v="0"/>
    <m/>
    <s v="00826"/>
    <s v="09 de febrero de 2018"/>
    <n v="9"/>
    <x v="15"/>
    <s v="0,40"/>
    <e v="#NAME?"/>
  </r>
  <r>
    <n v="827"/>
    <m/>
    <x v="0"/>
    <d v="2018-01-30T00:00:00"/>
    <n v="0.8"/>
    <s v="Familia Acosta Carpio"/>
    <s v="pablo962@hotmail.com"/>
    <s v="Calle Güigüe Nro. 89-10"/>
    <s v="Cancelación Vigilancia, mes de Enero 2018"/>
    <x v="0"/>
    <m/>
    <s v="00827"/>
    <s v="30 de enero de 2018"/>
    <n v="30"/>
    <x v="14"/>
    <s v="0,80"/>
    <e v="#NAME?"/>
  </r>
  <r>
    <n v="828"/>
    <m/>
    <x v="0"/>
    <d v="2018-01-29T00:00:00"/>
    <n v="0.8"/>
    <s v="Familia Gascón Domínguez"/>
    <s v="vrgascon@gmail.com"/>
    <s v="Calle Güigüe Nro. 88-70"/>
    <s v="Cancelación Vigilancia, mes de Enero 2018"/>
    <x v="0"/>
    <m/>
    <s v="00828"/>
    <s v="29 de enero de 2018"/>
    <n v="29"/>
    <x v="14"/>
    <s v="0,80"/>
    <e v="#NAME?"/>
  </r>
  <r>
    <n v="829"/>
    <m/>
    <x v="0"/>
    <d v="2018-02-08T00:00:00"/>
    <n v="0.8"/>
    <s v="Familia Arcia Polanco"/>
    <s v="misipo29@gmail.com"/>
    <s v="Calle Guacara Nro. 89-20"/>
    <s v="Cancelación saldo Vigilancia, mes de Febrero 2018"/>
    <x v="0"/>
    <m/>
    <s v="00829"/>
    <s v="08 de febrero de 2018"/>
    <n v="8"/>
    <x v="15"/>
    <s v="0,80"/>
    <e v="#NAME?"/>
  </r>
  <r>
    <n v="830"/>
    <m/>
    <x v="0"/>
    <d v="2018-02-09T00:00:00"/>
    <n v="0.8"/>
    <s v="Familia Lomeña Agudo"/>
    <s v="claudialomena@hotmail.com"/>
    <s v="Calle Guacara Nro. 89-30"/>
    <s v="Cancelación Vigilancia, mes de Febrero 2018"/>
    <x v="0"/>
    <m/>
    <s v="00830"/>
    <s v="09 de febrero de 2018"/>
    <n v="9"/>
    <x v="15"/>
    <s v="0,80"/>
    <e v="#NAME?"/>
  </r>
  <r>
    <n v="831"/>
    <m/>
    <x v="0"/>
    <d v="2018-02-09T00:00:00"/>
    <n v="2.8"/>
    <s v="Familia Machado Stoppa"/>
    <s v="machadoru@hotmail.com"/>
    <s v="Calle Guacara Nro. 88-85"/>
    <s v="Colaboración Vigilancia, meses de Enero, Febrero, Marzo y Abril 2018"/>
    <x v="0"/>
    <m/>
    <s v="00831"/>
    <s v="09 de febrero de 2018"/>
    <n v="9"/>
    <x v="15"/>
    <s v="2,80"/>
    <e v="#NAME?"/>
  </r>
  <r>
    <n v="832"/>
    <m/>
    <x v="0"/>
    <d v="2018-02-10T00:00:00"/>
    <n v="1.6"/>
    <s v="Anahiz Seijas"/>
    <s v="anahiz_2@hotmail.es"/>
    <s v="Calle Güigüe Nro. 89-106"/>
    <s v="Cancelación Vigilancia, meses de Enero y Febrero 2018"/>
    <x v="0"/>
    <m/>
    <s v="00832"/>
    <s v="10 de febrero de 2018"/>
    <n v="10"/>
    <x v="15"/>
    <s v="1,60"/>
    <e v="#NAME?"/>
  </r>
  <r>
    <n v="833"/>
    <m/>
    <x v="0"/>
    <d v="2018-01-12T00:00:00"/>
    <n v="1"/>
    <s v="Gloria Molina"/>
    <s v="glomola2@yahoo.es"/>
    <s v="Calle Güigüe Nro. 89-71"/>
    <s v="Colaboración Vigilancia, meses de Enero y Febrero 2018"/>
    <x v="0"/>
    <m/>
    <s v="00833"/>
    <s v="12 de enero de 2018"/>
    <n v="12"/>
    <x v="14"/>
    <s v="1,00"/>
    <e v="#NAME?"/>
  </r>
  <r>
    <n v="834"/>
    <m/>
    <x v="0"/>
    <d v="2018-01-14T00:00:00"/>
    <n v="0.8"/>
    <s v="Familia Nava Gordon"/>
    <s v="maru_19_66@hotmail.com"/>
    <s v="Calle Guacara Nro. 89-78"/>
    <s v="Cancelación Vigilancia, mes de Febrero 2018"/>
    <x v="0"/>
    <m/>
    <s v="00834"/>
    <s v="14 de enero de 2018"/>
    <n v="14"/>
    <x v="14"/>
    <s v="0,80"/>
    <e v="#NAME?"/>
  </r>
  <r>
    <n v="835"/>
    <m/>
    <x v="0"/>
    <d v="2018-01-14T00:00:00"/>
    <n v="0.86399999999999999"/>
    <s v="La Casita Encantada"/>
    <s v="En Físico"/>
    <s v="Av. &quot;M&quot; Nro. 146-30"/>
    <s v="Cancelación Vigilancia, mes de Febrero 2018"/>
    <x v="0"/>
    <m/>
    <s v="00835"/>
    <s v="14 de enero de 2018"/>
    <n v="14"/>
    <x v="14"/>
    <s v="0,86"/>
    <e v="#NAME?"/>
  </r>
  <r>
    <n v="836"/>
    <m/>
    <x v="0"/>
    <d v="2018-02-15T00:00:00"/>
    <n v="1.1359999999999999"/>
    <s v="Colegio El Trigal"/>
    <s v="En Físico"/>
    <s v="Calle Güigüe Nros. 88-71 y 88-81"/>
    <s v="Cancelación Vigilancia, mes de Febrero 2018"/>
    <x v="0"/>
    <m/>
    <s v="00836"/>
    <s v="15 de febrero de 2018"/>
    <n v="15"/>
    <x v="15"/>
    <s v="1,14"/>
    <e v="#NAME?"/>
  </r>
  <r>
    <n v="837"/>
    <m/>
    <x v="0"/>
    <d v="2018-02-15T00:00:00"/>
    <n v="0.8"/>
    <s v="Familia Narváez Caldera"/>
    <s v="jeannette_nc@yahoo.com"/>
    <s v="Calle Güigüe Nro. 87-A-11"/>
    <s v="Cancelación Vigilancia, mes de Febrero 2018"/>
    <x v="0"/>
    <m/>
    <s v="00837"/>
    <s v="15 de febrero de 2018"/>
    <n v="15"/>
    <x v="15"/>
    <s v="0,80"/>
    <e v="#NAME?"/>
  </r>
  <r>
    <n v="838"/>
    <m/>
    <x v="0"/>
    <d v="2018-02-15T00:00:00"/>
    <n v="0.8"/>
    <s v="Familia Sayago Peñaranda"/>
    <s v="alexissayago@gmail.com"/>
    <s v="Calle Güigüe Nro. 89-04"/>
    <s v="Cancelación Vigilancia, mes de Febrero 2018"/>
    <x v="0"/>
    <m/>
    <s v="00838"/>
    <s v="15 de febrero de 2018"/>
    <n v="15"/>
    <x v="15"/>
    <s v="0,80"/>
    <e v="#NAME?"/>
  </r>
  <r>
    <n v="839"/>
    <m/>
    <x v="0"/>
    <d v="2018-02-16T00:00:00"/>
    <n v="0.8"/>
    <s v="Beatriz Lara"/>
    <s v="valentina.gutierrez@hotmail.com"/>
    <s v="Calle Guacara Nro. 89-130"/>
    <s v="Cancelación Vigilancia, mes de Febrero 2018"/>
    <x v="0"/>
    <m/>
    <s v="00839"/>
    <s v="16 de febrero de 2018"/>
    <n v="16"/>
    <x v="15"/>
    <s v="0,80"/>
    <e v="#NAME?"/>
  </r>
  <r>
    <n v="840"/>
    <m/>
    <x v="0"/>
    <d v="2018-02-19T00:00:00"/>
    <n v="0.8"/>
    <s v="Familia Acosta Carpio"/>
    <s v="pablo962@hotmail.com"/>
    <s v="Calle Güigüe Nro. 89-10"/>
    <s v="Cancelación Vigilancia, mes de Febrero 2018"/>
    <x v="0"/>
    <m/>
    <s v="00840"/>
    <s v="19 de febrero de 2018"/>
    <n v="19"/>
    <x v="15"/>
    <s v="0,80"/>
    <e v="#NAME?"/>
  </r>
  <r>
    <n v="841"/>
    <m/>
    <x v="0"/>
    <d v="2018-02-20T00:00:00"/>
    <n v="0.4"/>
    <s v="Familia Rodríguez Landaeta"/>
    <s v="mrl58@hotmail.com"/>
    <s v="Calle Güigüe Nro. 89-29"/>
    <s v="Colaboración Vigilancia, mes de Febrero 2018"/>
    <x v="0"/>
    <m/>
    <s v="00841"/>
    <s v="20 de febrero de 2018"/>
    <n v="20"/>
    <x v="15"/>
    <s v="0,40"/>
    <e v="#NAME?"/>
  </r>
  <r>
    <n v="842"/>
    <m/>
    <x v="0"/>
    <d v="2018-02-20T00:00:00"/>
    <n v="0.8"/>
    <s v="Familia Díaz González"/>
    <s v="luisrdt57@gmail.com"/>
    <s v="Calle Güigüe Nro. 88-116"/>
    <s v="Cancelación Vigilancia, mes de Febrero 2018"/>
    <x v="0"/>
    <m/>
    <s v="00842"/>
    <s v="20 de febrero de 2018"/>
    <n v="20"/>
    <x v="15"/>
    <s v="0,80"/>
    <e v="#NAME?"/>
  </r>
  <r>
    <n v="843"/>
    <m/>
    <x v="0"/>
    <d v="2018-02-20T00:00:00"/>
    <n v="0.8"/>
    <s v="Familia Navarro Assing"/>
    <s v="liliaassing@gmail.com"/>
    <s v="Calle Güigüe Nro. 88-54"/>
    <s v="Cancelación Vigilancia, mes de Febrero 2018"/>
    <x v="0"/>
    <m/>
    <s v="00843"/>
    <s v="20 de febrero de 2018"/>
    <n v="20"/>
    <x v="15"/>
    <s v="0,80"/>
    <e v="#NAME?"/>
  </r>
  <r>
    <n v="844"/>
    <m/>
    <x v="0"/>
    <d v="2018-02-20T00:00:00"/>
    <n v="0.5"/>
    <s v="Familia Méndez Parra"/>
    <s v="briceidamp@hotmail.com"/>
    <s v="Calle Guacara Nro. 88-19"/>
    <s v="Colaboración Vigilancia, mes de Febrero 2018"/>
    <x v="0"/>
    <m/>
    <s v="00844"/>
    <s v="20 de febrero de 2018"/>
    <n v="20"/>
    <x v="15"/>
    <s v="0,50"/>
    <e v="#NAME?"/>
  </r>
  <r>
    <n v="845"/>
    <m/>
    <x v="0"/>
    <d v="2018-02-20T00:00:00"/>
    <n v="0.2"/>
    <s v="Familia Santos Carrillo"/>
    <s v="briceidamp@hotmail.com"/>
    <s v="Calle Guacara Nro. 90-93"/>
    <s v="Colaboración Vigilancia, mes de Febrero 2018"/>
    <x v="0"/>
    <m/>
    <s v="00845"/>
    <s v="20 de febrero de 2018"/>
    <n v="20"/>
    <x v="15"/>
    <s v="0,20"/>
    <e v="#NAME?"/>
  </r>
  <r>
    <n v="846"/>
    <m/>
    <x v="0"/>
    <d v="2018-02-21T00:00:00"/>
    <n v="0.8"/>
    <s v="Familia Rodríguez Aular"/>
    <s v="mvaular@hotmail.com"/>
    <s v="Calle Güigüe Nro. 88-58"/>
    <s v="Cancelación Vigilancia, mes de Febrero 2018"/>
    <x v="0"/>
    <m/>
    <s v="00846"/>
    <s v="21 de febrero de 2018"/>
    <n v="21"/>
    <x v="15"/>
    <s v="0,80"/>
    <e v="#NAME?"/>
  </r>
  <r>
    <n v="847"/>
    <m/>
    <x v="0"/>
    <d v="2018-02-22T00:00:00"/>
    <n v="1.5"/>
    <s v="Familia Martínez Boada"/>
    <s v="florcitakmz@gmail.com"/>
    <s v="Calle Güigüe Nro. 88-62"/>
    <s v="Colaboración Vigilancia, meses de Enero y Febrero 2018"/>
    <x v="0"/>
    <m/>
    <s v="00847"/>
    <s v="22 de febrero de 2018"/>
    <n v="22"/>
    <x v="15"/>
    <s v="1,50"/>
    <e v="#NAME?"/>
  </r>
  <r>
    <n v="848"/>
    <m/>
    <x v="0"/>
    <d v="2018-02-23T00:00:00"/>
    <n v="1.1499999999999999"/>
    <s v="Familia Fernández Parés"/>
    <s v="vultecca@gmail.com"/>
    <s v="Calle Guacara Nro. 88-75"/>
    <s v="Cancelación Vigilancia, mes de Febrero 2018"/>
    <x v="0"/>
    <m/>
    <s v="00848"/>
    <s v="23 de febrero de 2018"/>
    <n v="23"/>
    <x v="15"/>
    <s v="1,15"/>
    <e v="#NAME?"/>
  </r>
  <r>
    <n v="849"/>
    <m/>
    <x v="0"/>
    <d v="2018-02-24T00:00:00"/>
    <n v="2.4"/>
    <s v="Familia Hatem Medina"/>
    <s v="hhatem1@hotmail.com"/>
    <s v="Calle Guacara Nro. 88-51"/>
    <s v="Cancelación Vigilancia, meses de Marzo, Abril y Mayo 2018"/>
    <x v="0"/>
    <m/>
    <s v="00849"/>
    <s v="24 de febrero de 2018"/>
    <n v="24"/>
    <x v="15"/>
    <s v="2,40"/>
    <e v="#NAME?"/>
  </r>
  <r>
    <n v="850"/>
    <m/>
    <x v="0"/>
    <d v="2018-02-24T00:00:00"/>
    <n v="0.8"/>
    <s v="Familia López Hermoso"/>
    <s v="lopez.humberto14@yahoo.com.ve"/>
    <s v="Calle Güigüe Nro. 89-79"/>
    <s v="Cancelación Vigilancia, mes de Febrero 2018"/>
    <x v="0"/>
    <m/>
    <s v="00850"/>
    <s v="24 de febrero de 2018"/>
    <n v="24"/>
    <x v="15"/>
    <s v="0,80"/>
    <e v="#NAME?"/>
  </r>
  <r>
    <n v="851"/>
    <m/>
    <x v="0"/>
    <d v="2018-02-25T00:00:00"/>
    <n v="0.8"/>
    <s v="Familia Jiménez Navarro"/>
    <s v="joyasonline2012@gmail.com"/>
    <s v="Calle Güigüe Nro. 88-50"/>
    <s v="Cancelación Vigilancia, mes de Febrero 2018"/>
    <x v="0"/>
    <m/>
    <s v="00851"/>
    <s v="25 de febrero de 2018"/>
    <n v="25"/>
    <x v="15"/>
    <s v="0,80"/>
    <e v="#NAME?"/>
  </r>
  <r>
    <n v="852"/>
    <m/>
    <x v="0"/>
    <d v="2018-02-25T00:00:00"/>
    <n v="0.8"/>
    <s v="Familia Puerta Burguillos"/>
    <s v="namaricakes@gmail.com"/>
    <s v="Calle Guacara Nro. 87-100"/>
    <s v="Cancelación Vigilancia, mes de Marzo 2018"/>
    <x v="0"/>
    <m/>
    <s v="00852"/>
    <s v="25 de febrero de 2018"/>
    <n v="25"/>
    <x v="15"/>
    <s v="0,80"/>
    <e v="#NAME?"/>
  </r>
  <r>
    <n v="853"/>
    <m/>
    <x v="0"/>
    <d v="2018-02-26T00:00:00"/>
    <n v="0.8"/>
    <s v="Familia Barreto Pérez"/>
    <s v="bbetsa19@hotmail.com"/>
    <s v="Av. &quot;M&quot; Nro. 146-15"/>
    <s v="Cancelación Vigilancia, mes de Enero 2018"/>
    <x v="0"/>
    <m/>
    <s v="00853"/>
    <s v="26 de febrero de 2018"/>
    <n v="26"/>
    <x v="15"/>
    <s v="0,80"/>
    <e v="#NAME?"/>
  </r>
  <r>
    <n v="854"/>
    <m/>
    <x v="0"/>
    <d v="2018-02-26T00:00:00"/>
    <n v="0.8"/>
    <s v="Familia Kablan Sarmiento"/>
    <s v="norisjsb56@hotmail.com"/>
    <s v="Calle Güigüe Nro. 89-80"/>
    <s v="Cancelación Vigilancia, mes de Febrero 2018"/>
    <x v="0"/>
    <m/>
    <s v="00854"/>
    <s v="26 de febrero de 2018"/>
    <n v="26"/>
    <x v="15"/>
    <s v="0,80"/>
    <e v="#NAME?"/>
  </r>
  <r>
    <n v="855"/>
    <m/>
    <x v="0"/>
    <d v="2018-02-26T00:00:00"/>
    <n v="2.6"/>
    <s v="Familia Kattar González"/>
    <s v="jagiak123@yahoo.es"/>
    <s v="Calle Güigüe Nro. 89-95"/>
    <s v="Cancelación Vigilancia, meses de Diciembre 2017, Enero, Febrero y anticipo de Marzo 2018"/>
    <x v="0"/>
    <m/>
    <s v="00855"/>
    <s v="26 de febrero de 2018"/>
    <n v="26"/>
    <x v="15"/>
    <s v="2,60"/>
    <e v="#NAME?"/>
  </r>
  <r>
    <n v="856"/>
    <m/>
    <x v="0"/>
    <d v="2018-02-24T00:00:00"/>
    <n v="0.5"/>
    <s v="Familia Romero"/>
    <s v="autoescuela21@gmail.com"/>
    <s v="Calle Guacara Nro. 89-50"/>
    <s v="Colaboración Vigilancia, mes de Marzo 2018"/>
    <x v="0"/>
    <m/>
    <s v="00856"/>
    <s v="24 de febrero de 2018"/>
    <n v="24"/>
    <x v="15"/>
    <s v="0,50"/>
    <e v="#NAME?"/>
  </r>
  <r>
    <n v="857"/>
    <m/>
    <x v="0"/>
    <d v="2018-02-25T00:00:00"/>
    <n v="0.8"/>
    <s v="Familia Costermani Terrer"/>
    <s v="claudiacostermani@hotmail.com"/>
    <s v="Calle Güigüe Nro. 88-11"/>
    <s v="Cancelación Vigilancia, mes de Febrero 2018"/>
    <x v="0"/>
    <m/>
    <s v="00857"/>
    <s v="25 de febrero de 2018"/>
    <n v="25"/>
    <x v="15"/>
    <s v="0,80"/>
    <e v="#NAME?"/>
  </r>
  <r>
    <n v="858"/>
    <m/>
    <x v="0"/>
    <d v="2018-02-26T00:00:00"/>
    <n v="1"/>
    <s v="Wu Hung Fung"/>
    <s v="carolinahung24@gmail.com"/>
    <s v="Calle Guacara Nro. 90-81"/>
    <s v="Cancelación Vigilancia, mes de Febrero 2018"/>
    <x v="0"/>
    <m/>
    <s v="00858"/>
    <s v="26 de febrero de 2018"/>
    <n v="26"/>
    <x v="15"/>
    <s v="1,00"/>
    <e v="#NAME?"/>
  </r>
  <r>
    <n v="859"/>
    <m/>
    <x v="0"/>
    <d v="2018-01-22T00:00:00"/>
    <n v="0.1245"/>
    <s v="Familia Piñero Padilla"/>
    <s v="achepaul2005@hotmail.com"/>
    <s v="Calle Güigüe Nro. 89-21"/>
    <s v="Anticipo Vigilancia, mes de Enero 2018 (anticipo al Sr. Francisco en su primer día de trabajo)"/>
    <x v="0"/>
    <m/>
    <s v="00859"/>
    <s v="22 de enero de 2018"/>
    <n v="22"/>
    <x v="14"/>
    <s v="0,12"/>
    <e v="#NAME?"/>
  </r>
  <r>
    <n v="860"/>
    <m/>
    <x v="0"/>
    <d v="2018-02-26T00:00:00"/>
    <n v="1"/>
    <s v="Familia Piñero Padilla"/>
    <s v="achepaul2005@hotmail.com"/>
    <s v="Calle Güigüe Nro. 89-21"/>
    <s v="Cancelación Vigilancia, saldo mes de Enero, Febrero y anticipo Marzo 2018"/>
    <x v="0"/>
    <m/>
    <s v="00860"/>
    <s v="26 de febrero de 2018"/>
    <n v="26"/>
    <x v="15"/>
    <s v="1,00"/>
    <e v="#NAME?"/>
  </r>
  <r>
    <n v="861"/>
    <m/>
    <x v="0"/>
    <d v="2018-02-27T00:00:00"/>
    <n v="1.6"/>
    <s v="Familia Leung"/>
    <s v="En Físico"/>
    <s v="Calle Guacara Nro. 88-55"/>
    <s v="Cancelación Vigilancia, meses de Enero y Febrero 2018"/>
    <x v="0"/>
    <m/>
    <s v="00861"/>
    <s v="27 de febrero de 2018"/>
    <n v="27"/>
    <x v="15"/>
    <s v="1,60"/>
    <e v="#NAME?"/>
  </r>
  <r>
    <n v="862"/>
    <m/>
    <x v="0"/>
    <d v="2018-02-27T00:00:00"/>
    <n v="0.3"/>
    <s v="Ma. de Jesus Alonso"/>
    <s v="marjoriealonsoh@hotmail.com"/>
    <s v="Calle Güigüe Nro. 88-30"/>
    <s v="Colaboración Vigilancia, meses de Diciembre 2017, Enero y Febrero 2018"/>
    <x v="0"/>
    <m/>
    <s v="00862"/>
    <s v="27 de febrero de 2018"/>
    <n v="27"/>
    <x v="15"/>
    <s v="0,30"/>
    <e v="#NAME?"/>
  </r>
  <r>
    <n v="863"/>
    <m/>
    <x v="0"/>
    <d v="2018-02-27T00:00:00"/>
    <n v="0.8"/>
    <s v="Familia Castillo Mena"/>
    <s v="emmecas@hotmail.com"/>
    <s v="Calle Güigüe Nro. 88-101"/>
    <s v="Cancelación Vigilancia, mes de Febrero 2018"/>
    <x v="0"/>
    <m/>
    <s v="00863"/>
    <s v="27 de febrero de 2018"/>
    <n v="27"/>
    <x v="15"/>
    <s v="0,80"/>
    <e v="#NAME?"/>
  </r>
  <r>
    <n v="864"/>
    <m/>
    <x v="0"/>
    <d v="2018-02-27T00:00:00"/>
    <n v="0.8"/>
    <s v="Familia Gascón Domínguez"/>
    <s v="vrgascon@gmail.com"/>
    <s v="Calle Güigüe Nro. 88-70"/>
    <s v="Cancelación Vigilancia, mes de Febrero 2018"/>
    <x v="0"/>
    <m/>
    <s v="00864"/>
    <s v="27 de febrero de 2018"/>
    <n v="27"/>
    <x v="15"/>
    <s v="0,80"/>
    <e v="#NAME?"/>
  </r>
  <r>
    <n v="865"/>
    <m/>
    <x v="0"/>
    <d v="2018-02-28T00:00:00"/>
    <n v="2"/>
    <s v="Familia Durvelle Serrano"/>
    <s v="sdurvelle@hotmail.com"/>
    <s v="Calle Guacara Nro. 89-60"/>
    <s v="Cancelación Vigilancia, mes de Marzo 2018 y aporte especial"/>
    <x v="0"/>
    <m/>
    <s v="00865"/>
    <s v="28 de febrero de 2018"/>
    <n v="28"/>
    <x v="15"/>
    <s v="2,00"/>
    <e v="#NAME?"/>
  </r>
  <r>
    <n v="866"/>
    <m/>
    <x v="0"/>
    <d v="2018-02-28T00:00:00"/>
    <n v="0.8"/>
    <s v="Amarilis Guerra"/>
    <s v="amarilisguerra1@yahoo.com"/>
    <s v="Calle Güigüe Nro. 89-96"/>
    <s v="Cancelación Vigilancia, mes de Febrero 2018"/>
    <x v="0"/>
    <m/>
    <s v="00866"/>
    <s v="28 de febrero de 2018"/>
    <n v="28"/>
    <x v="15"/>
    <s v="0,80"/>
    <e v="#NAME?"/>
  </r>
  <r>
    <n v="867"/>
    <m/>
    <x v="0"/>
    <d v="2018-02-28T00:00:00"/>
    <n v="1.8"/>
    <s v="Familia Manrique Riera"/>
    <s v="patriciamanrique@gmail.com"/>
    <s v="Calle Guacara Nro. 89-40"/>
    <s v="Cancelación Vigilancia, meses de Enero y Febrero 2018"/>
    <x v="0"/>
    <m/>
    <s v="00867"/>
    <s v="28 de febrero de 2018"/>
    <n v="28"/>
    <x v="15"/>
    <s v="1,80"/>
    <e v="#NAME?"/>
  </r>
  <r>
    <n v="868"/>
    <m/>
    <x v="0"/>
    <d v="2018-02-28T00:00:00"/>
    <n v="1.6"/>
    <s v="Familia Milanés Carmona"/>
    <s v="yndira11m@gmail.com"/>
    <s v="Calle Güigüe Nro. 89-65"/>
    <s v="Cancelación Vigilancia, meses de Febrero y Marzo 2018"/>
    <x v="0"/>
    <m/>
    <s v="00868"/>
    <s v="28 de febrero de 2018"/>
    <n v="28"/>
    <x v="15"/>
    <s v="1,60"/>
    <e v="#NAME?"/>
  </r>
  <r>
    <n v="869"/>
    <m/>
    <x v="0"/>
    <d v="2018-03-01T00:00:00"/>
    <n v="1.3"/>
    <s v="Familia Lomeña Agudo"/>
    <s v="claudialomena@hotmail.com"/>
    <s v="Calle Guacara Nro. 89-30"/>
    <s v="Cancelación Vigilancia, anticipo mes de Marzo 2018"/>
    <x v="0"/>
    <m/>
    <s v="00869"/>
    <s v="01 de marzo de 2018"/>
    <n v="1"/>
    <x v="16"/>
    <s v="1,30"/>
    <e v="#NAME?"/>
  </r>
  <r>
    <n v="870"/>
    <m/>
    <x v="0"/>
    <d v="2018-03-01T00:00:00"/>
    <n v="1.4"/>
    <s v="Familia Alonso Rojas"/>
    <s v="redjc01@gmail.com"/>
    <s v="Calle Güigüe Nro. 89-54"/>
    <s v="Cancelación Vigilancia, mes de Marzo 2018"/>
    <x v="0"/>
    <m/>
    <s v="00870"/>
    <s v="01 de marzo de 2018"/>
    <n v="1"/>
    <x v="16"/>
    <s v="1,40"/>
    <e v="#NAME?"/>
  </r>
  <r>
    <n v="871"/>
    <m/>
    <x v="0"/>
    <d v="2018-03-02T00:00:00"/>
    <n v="0.1"/>
    <s v="Familia Lomeña Agudo"/>
    <s v="claudialomena@hotmail.com"/>
    <s v="Calle Guacara Nro. 89-30"/>
    <s v="Cancelación Vigilancia, saldo mes de Marzo 2018"/>
    <x v="0"/>
    <m/>
    <s v="00871"/>
    <s v="02 de marzo de 2018"/>
    <n v="2"/>
    <x v="16"/>
    <s v="0,10"/>
    <e v="#NAME?"/>
  </r>
  <r>
    <n v="872"/>
    <m/>
    <x v="0"/>
    <d v="2018-03-02T00:00:00"/>
    <n v="1.4"/>
    <s v="Familia Ferrer Bahri"/>
    <s v="bahrimariela@hotmail.com"/>
    <s v="Calle Güigüe Nro. 89-83"/>
    <s v="Cancelación Vigilancia, mes de Marzo 2018"/>
    <x v="0"/>
    <m/>
    <s v="00872"/>
    <s v="02 de marzo de 2018"/>
    <n v="2"/>
    <x v="16"/>
    <s v="1,40"/>
    <e v="#NAME?"/>
  </r>
  <r>
    <n v="873"/>
    <m/>
    <x v="0"/>
    <d v="2018-03-02T00:00:00"/>
    <n v="1.7999999999999998"/>
    <s v="Familia Jiménez Salvatierra"/>
    <s v="En Físico"/>
    <s v="Calle Güigüe Nro. 89-45"/>
    <s v="Cancelación Vigilancia, saldo meses de Marzo y Abril 2018 (saldo a favor: Bs. 393.000)"/>
    <x v="0"/>
    <m/>
    <s v="00873"/>
    <s v="02 de marzo de 2018"/>
    <n v="2"/>
    <x v="16"/>
    <s v="1,80"/>
    <e v="#NAME?"/>
  </r>
  <r>
    <n v="874"/>
    <m/>
    <x v="0"/>
    <d v="2018-03-02T00:00:00"/>
    <n v="1.7"/>
    <s v="Familia Hurtado"/>
    <s v="En Físico"/>
    <s v="Av. &quot;O&quot; Nro. 146-11"/>
    <s v="Cancelación Vigilancia, saldo mes de Febrero y cancelación mes de Marzo 2018"/>
    <x v="0"/>
    <m/>
    <s v="00874"/>
    <s v="02 de marzo de 2018"/>
    <n v="2"/>
    <x v="16"/>
    <s v="1,70"/>
    <e v="#NAME?"/>
  </r>
  <r>
    <n v="875"/>
    <m/>
    <x v="0"/>
    <d v="2018-03-02T00:00:00"/>
    <n v="0.8"/>
    <s v="Familia Delgado Hidalgo"/>
    <s v="ardh@hotmail.com"/>
    <s v="Calle Güigüe Nro. 88-10"/>
    <s v="Cancelación Vigilancia, mes de Febrero 2018"/>
    <x v="0"/>
    <m/>
    <s v="00875"/>
    <s v="02 de marzo de 2018"/>
    <n v="2"/>
    <x v="16"/>
    <s v="0,80"/>
    <e v="#NAME?"/>
  </r>
  <r>
    <n v="876"/>
    <m/>
    <x v="0"/>
    <d v="2018-03-02T00:00:00"/>
    <n v="1"/>
    <s v="Héctor Hernández"/>
    <s v="eof64@hotmail.com"/>
    <s v="Calle Guacara Nro. 89-94"/>
    <s v="Colaboración Vigilancia, meses de Febrero y Marzo 2018"/>
    <x v="0"/>
    <m/>
    <s v="00876"/>
    <s v="02 de marzo de 2018"/>
    <n v="2"/>
    <x v="16"/>
    <s v="1,00"/>
    <e v="#NAME?"/>
  </r>
  <r>
    <n v="877"/>
    <m/>
    <x v="0"/>
    <d v="2018-03-02T00:00:00"/>
    <n v="1.4"/>
    <s v="Familia Del Negro Palermo"/>
    <s v="vdelnegro@gmail.com"/>
    <s v="Calle Guacara Nro. 88-45"/>
    <s v="Cancelación Vigilancia, mes de Marzo 2018 (saldo a favor: Bs. 660.000)"/>
    <x v="0"/>
    <m/>
    <s v="00877"/>
    <s v="02 de marzo de 2018"/>
    <n v="2"/>
    <x v="16"/>
    <s v="1,40"/>
    <e v="#NAME?"/>
  </r>
  <r>
    <n v="878"/>
    <m/>
    <x v="0"/>
    <d v="2018-03-05T00:00:00"/>
    <n v="2"/>
    <s v="Chin Chun Ya (Goya)"/>
    <s v="uc2721@gmail.com"/>
    <s v="Calle Guacara Nro. 87-86"/>
    <s v="Colaboración Vigilancia, meses de Febrero y Marzo, y anticipo Abril 2018"/>
    <x v="0"/>
    <m/>
    <s v="00878"/>
    <s v="05 de marzo de 2018"/>
    <n v="5"/>
    <x v="16"/>
    <s v="2,00"/>
    <e v="#NAME?"/>
  </r>
  <r>
    <n v="879"/>
    <m/>
    <x v="0"/>
    <d v="2018-01-22T00:00:00"/>
    <n v="0.8"/>
    <s v="Familia Zavarce Pérez"/>
    <s v="En Físico"/>
    <s v="Calle Guacara Nro. 90-35"/>
    <s v="Cancelación Vigilancia, mes de Febrero 2018"/>
    <x v="0"/>
    <m/>
    <s v="00879"/>
    <s v="22 de enero de 2018"/>
    <n v="22"/>
    <x v="14"/>
    <s v="0,80"/>
    <e v="#NAME?"/>
  </r>
  <r>
    <n v="880"/>
    <m/>
    <x v="0"/>
    <d v="2018-03-07T00:00:00"/>
    <n v="1.4"/>
    <s v="Familia Arcia Polanco"/>
    <s v="misipo29@gmail.com"/>
    <s v="Calle Guacara Nro. 89-20"/>
    <s v="Cancelación saldo Vigilancia, mes de Marzo 2018"/>
    <x v="0"/>
    <m/>
    <s v="00880"/>
    <s v="07 de marzo de 2018"/>
    <n v="7"/>
    <x v="16"/>
    <s v="1,40"/>
    <e v="#NAME?"/>
  </r>
  <r>
    <n v="881"/>
    <m/>
    <x v="0"/>
    <d v="2018-03-07T00:00:00"/>
    <n v="1.6"/>
    <s v="Familia Matta Palomino"/>
    <s v="En Físico"/>
    <s v="Calle Güigüe Nro. 88-90"/>
    <s v="Cancelación Vigilancia, meses de Enero y Febrero 2018"/>
    <x v="0"/>
    <m/>
    <s v="00881"/>
    <s v="07 de marzo de 2018"/>
    <n v="7"/>
    <x v="16"/>
    <s v="1,60"/>
    <e v="#NAME?"/>
  </r>
  <r>
    <n v="882"/>
    <m/>
    <x v="0"/>
    <d v="2018-03-07T00:00:00"/>
    <n v="1.4"/>
    <s v="Familia Colosso Delgado"/>
    <s v="mcolosso@gmail.com"/>
    <s v="Calle Güigüe Nro. 88-44"/>
    <s v="Cancelación Vigilancia, mes de Marzo 2018"/>
    <x v="0"/>
    <m/>
    <s v="00882"/>
    <s v="07 de marzo de 2018"/>
    <n v="7"/>
    <x v="16"/>
    <s v="1,40"/>
    <e v="#NAME?"/>
  </r>
  <r>
    <n v="883"/>
    <m/>
    <x v="0"/>
    <d v="2018-03-09T00:00:00"/>
    <n v="1.4"/>
    <s v="Familia Loponte Arteaga"/>
    <s v="nancyloponte@hotmail.com"/>
    <s v="Calle Güigüe Nro. 88-120"/>
    <s v="Cancelación Vigilancia, mes de Marzo 2018"/>
    <x v="0"/>
    <m/>
    <s v="00883"/>
    <s v="09 de marzo de 2018"/>
    <n v="9"/>
    <x v="16"/>
    <s v="1,40"/>
    <e v="#NAME?"/>
  </r>
  <r>
    <n v="884"/>
    <m/>
    <x v="0"/>
    <d v="2018-03-09T00:00:00"/>
    <n v="1.4"/>
    <s v="Ely Saúl Rivero Gómez"/>
    <s v="hhs.admon@gmail.com"/>
    <s v="Av. &quot;Ñ&quot; Nro. 145-25"/>
    <s v="Cancelación Vigilancia, mes de Marzo 2018 (saldo a favor: Bs. 725.000)"/>
    <x v="0"/>
    <m/>
    <s v="00884"/>
    <s v="09 de marzo de 2018"/>
    <n v="9"/>
    <x v="16"/>
    <s v="1,40"/>
    <e v="#NAME?"/>
  </r>
  <r>
    <n v="885"/>
    <m/>
    <x v="0"/>
    <d v="2018-03-12T00:00:00"/>
    <n v="1.4"/>
    <s v="Familia Kablan Sarmiento"/>
    <s v="norisjsb56@hotmail.com"/>
    <s v="Calle Güigüe Nro. 89-80"/>
    <s v="Cancelación Vigilancia, mes de Marzo 2018"/>
    <x v="0"/>
    <m/>
    <s v="00885"/>
    <s v="12 de marzo de 2018"/>
    <n v="12"/>
    <x v="16"/>
    <s v="1,40"/>
    <e v="#NAME?"/>
  </r>
  <r>
    <n v="886"/>
    <m/>
    <x v="0"/>
    <d v="2018-03-12T00:00:00"/>
    <n v="0.8"/>
    <s v="Victoria Francischiello"/>
    <s v="victoriafrancischiello@hotmail.com"/>
    <s v="Calle Guacara Nro. 88-25"/>
    <s v="Cancelación Vigilancia, mes de Febrero 2018"/>
    <x v="0"/>
    <m/>
    <s v="00886"/>
    <s v="12 de marzo de 2018"/>
    <n v="12"/>
    <x v="16"/>
    <s v="0,80"/>
    <e v="#NAME?"/>
  </r>
  <r>
    <n v="887"/>
    <m/>
    <x v="0"/>
    <d v="2018-03-12T00:00:00"/>
    <n v="2.2000000000000002"/>
    <s v="Ana de González"/>
    <s v="mikelnowak25@gmail.com"/>
    <s v="Av. &quot;O&quot; Nro. 146-17"/>
    <s v="Cancelación Vigilancia, meses de Febrero y Marzo 2018"/>
    <x v="0"/>
    <m/>
    <s v="00887"/>
    <s v="12 de marzo de 2018"/>
    <n v="12"/>
    <x v="16"/>
    <s v="2,20"/>
    <e v="#NAME?"/>
  </r>
  <r>
    <n v="888"/>
    <m/>
    <x v="0"/>
    <d v="2018-02-22T00:00:00"/>
    <n v="0.3"/>
    <s v="Familia Rivero"/>
    <s v="En Físico"/>
    <s v="Calle Güigüe Nro. 88-40"/>
    <s v="Colaboración Vigilancia, mes de Enero 2018"/>
    <x v="0"/>
    <m/>
    <s v="00888"/>
    <s v="22 de febrero de 2018"/>
    <n v="22"/>
    <x v="15"/>
    <s v="0,30"/>
    <e v="#NAME?"/>
  </r>
  <r>
    <n v="889"/>
    <m/>
    <x v="0"/>
    <d v="2018-03-02T00:00:00"/>
    <n v="1.4"/>
    <s v="Beatriz Lara"/>
    <s v="valentina.gutierrez@hotmail.com"/>
    <s v="Calle Guacara Nro. 89-130"/>
    <s v="Cancelación Vigilancia, mes de Marzo 2018"/>
    <x v="0"/>
    <m/>
    <s v="00889"/>
    <s v="02 de marzo de 2018"/>
    <n v="2"/>
    <x v="16"/>
    <s v="1,40"/>
    <e v="#NAME?"/>
  </r>
  <r>
    <n v="890"/>
    <m/>
    <x v="0"/>
    <d v="2018-03-13T00:00:00"/>
    <n v="4.5"/>
    <s v="Familia Franco Gómez"/>
    <s v="eof64@hotmail.com"/>
    <s v="Calle Guacara Nro. 87-07"/>
    <s v="Cancelación Vigilancia, meses de Enero, Febrero, Marzo y Abril, y anticipo Mayo 2018"/>
    <x v="0"/>
    <m/>
    <s v="00890"/>
    <s v="13 de marzo de 2018"/>
    <n v="13"/>
    <x v="16"/>
    <s v="4,50"/>
    <e v="#NAME?"/>
  </r>
  <r>
    <n v="891"/>
    <m/>
    <x v="0"/>
    <d v="2018-03-14T00:00:00"/>
    <n v="1.4"/>
    <s v="Familia Nava Gordon"/>
    <s v="maru_19_66@hotmail.com"/>
    <s v="Calle Guacara Nro. 89-78"/>
    <s v="Cancelación Vigilancia, mes de Marzo 2018"/>
    <x v="0"/>
    <m/>
    <s v="00891"/>
    <s v="14 de marzo de 2018"/>
    <n v="14"/>
    <x v="16"/>
    <s v="1,40"/>
    <e v="#NAME?"/>
  </r>
  <r>
    <n v="892"/>
    <m/>
    <x v="0"/>
    <d v="2018-03-14T00:00:00"/>
    <n v="1.4"/>
    <s v="Familia Navarro Assing"/>
    <s v="liliaassing@gmail.com"/>
    <s v="Calle Güigüe Nro. 88-54"/>
    <s v="Cancelación Vigilancia, mes de Marzo 2018"/>
    <x v="0"/>
    <m/>
    <s v="00892"/>
    <s v="14 de marzo de 2018"/>
    <n v="14"/>
    <x v="16"/>
    <s v="1,40"/>
    <e v="#NAME?"/>
  </r>
  <r>
    <n v="893"/>
    <m/>
    <x v="0"/>
    <d v="2018-03-14T00:00:00"/>
    <n v="3"/>
    <s v="Familia Navarro Assing"/>
    <s v="liliaassing@gmail.com"/>
    <s v="Calle Güigüe Nro. 88-54"/>
    <s v="Venta de tubería "/>
    <x v="7"/>
    <m/>
    <s v="00893"/>
    <s v="14 de marzo de 2018"/>
    <n v="14"/>
    <x v="16"/>
    <s v="3,00"/>
    <e v="#NAME?"/>
  </r>
  <r>
    <n v="894"/>
    <m/>
    <x v="0"/>
    <d v="2018-03-14T00:00:00"/>
    <n v="1.4"/>
    <s v="Familia Sayago Peñaranda"/>
    <s v="alexissayago@gmail.com"/>
    <s v="Calle Güigüe Nro. 89-04"/>
    <s v="Cancelación Vigilancia, mes de Marzo 2018"/>
    <x v="0"/>
    <m/>
    <s v="00894"/>
    <s v="14 de marzo de 2018"/>
    <n v="14"/>
    <x v="16"/>
    <s v="1,40"/>
    <e v="#NAME?"/>
  </r>
  <r>
    <n v="895"/>
    <m/>
    <x v="0"/>
    <d v="2018-03-14T00:00:00"/>
    <n v="0.4"/>
    <s v="Familia Hatem Medina"/>
    <s v="hhatem1@hotmail.com"/>
    <s v="Calle Guacara Nro. 88-51"/>
    <s v="Cancelación ajuste de Vigilancia, meses de Marzo y Abril 2018"/>
    <x v="0"/>
    <m/>
    <s v="00895"/>
    <s v="14 de marzo de 2018"/>
    <n v="14"/>
    <x v="16"/>
    <s v="0,40"/>
    <e v="#NAME?"/>
  </r>
  <r>
    <n v="896"/>
    <m/>
    <x v="0"/>
    <d v="2018-03-16T00:00:00"/>
    <n v="1.4"/>
    <s v="Familia Fermín Rivas"/>
    <s v="angelferminb@gmail.com"/>
    <s v="Calle Güigüe Nro. 89-55"/>
    <s v="Cancelación Vigilancia, mes de Marzo 2018"/>
    <x v="0"/>
    <m/>
    <s v="00896"/>
    <s v="16 de marzo de 2018"/>
    <n v="16"/>
    <x v="16"/>
    <s v="1,40"/>
    <e v="#NAME?"/>
  </r>
  <r>
    <n v="897"/>
    <m/>
    <x v="0"/>
    <d v="2018-03-16T00:00:00"/>
    <n v="1.55"/>
    <s v="La Casita Encantada"/>
    <s v="En Físico"/>
    <s v="Av. &quot;M&quot; Nro. 146-30"/>
    <s v="Cancelación Vigilancia, mes de Marzo 2018"/>
    <x v="0"/>
    <m/>
    <s v="00897"/>
    <s v="16 de marzo de 2018"/>
    <n v="16"/>
    <x v="16"/>
    <s v="1,55"/>
    <e v="#NAME?"/>
  </r>
  <r>
    <n v="898"/>
    <m/>
    <x v="0"/>
    <d v="2018-03-19T00:00:00"/>
    <n v="0.8"/>
    <s v="Familia Rodríguez Landaeta"/>
    <s v="mrl58@hotmail.com"/>
    <s v="Calle Güigüe Nro. 89-29"/>
    <s v="Colaboración Vigilancia, mes de Marzo 2018"/>
    <x v="0"/>
    <m/>
    <s v="00898"/>
    <s v="19 de marzo de 2018"/>
    <n v="19"/>
    <x v="16"/>
    <s v="0,80"/>
    <e v="#NAME?"/>
  </r>
  <r>
    <n v="899"/>
    <m/>
    <x v="0"/>
    <d v="2018-03-20T00:00:00"/>
    <n v="4.7"/>
    <s v="Sra. Reina Meléndez"/>
    <s v="olgajipe@gmail.com"/>
    <s v="Av. &quot;M&quot; Nro. 145-10"/>
    <s v="Cancelación Vigilancia, meses de Septiembre a Diciembre 2017 y Enero a Marzo 2018"/>
    <x v="0"/>
    <m/>
    <s v="00899"/>
    <s v="20 de marzo de 2018"/>
    <n v="20"/>
    <x v="16"/>
    <s v="4,70"/>
    <e v="#NAME?"/>
  </r>
  <r>
    <n v="900"/>
    <m/>
    <x v="0"/>
    <d v="2018-03-20T00:00:00"/>
    <n v="1.4"/>
    <s v="Familia Narváez Caldera"/>
    <s v="jeannette_nc@yahoo.com"/>
    <s v="Calle Güigüe Nro. 87-A-11"/>
    <s v="Cancelación Vigilancia, mes de Marzo 2018"/>
    <x v="0"/>
    <m/>
    <s v="00900"/>
    <s v="20 de marzo de 2018"/>
    <n v="20"/>
    <x v="16"/>
    <s v="1,40"/>
    <e v="#NAME?"/>
  </r>
  <r>
    <n v="901"/>
    <m/>
    <x v="0"/>
    <d v="2018-02-28T00:00:00"/>
    <n v="0.8"/>
    <s v="Familia Barreto Pérez"/>
    <s v="bbetsa19@hotmail.com"/>
    <s v="Av. &quot;M&quot; Nro. 146-15"/>
    <s v="Cancelación Vigilancia, mes de Febrero 2018"/>
    <x v="0"/>
    <m/>
    <s v="00901"/>
    <s v="28 de febrero de 2018"/>
    <n v="28"/>
    <x v="15"/>
    <s v="0,80"/>
    <e v="#NAME?"/>
  </r>
  <r>
    <n v="902"/>
    <m/>
    <x v="0"/>
    <d v="2018-03-21T00:00:00"/>
    <n v="2"/>
    <s v="Colegio El Trigal"/>
    <s v="En Físico"/>
    <s v="Calle Güigüe Nros. 88-71 y 88-81"/>
    <s v="Cancelación Vigilancia, mes de Marzo 2018"/>
    <x v="0"/>
    <m/>
    <s v="00902"/>
    <s v="21 de marzo de 2018"/>
    <n v="21"/>
    <x v="16"/>
    <s v="2,00"/>
    <e v="#NAME?"/>
  </r>
  <r>
    <n v="903"/>
    <m/>
    <x v="0"/>
    <d v="2018-03-21T00:00:00"/>
    <n v="3"/>
    <s v="Familia Ochoa Mendoza"/>
    <s v="marisoljudithm@hotmail.com"/>
    <s v="Calle Güigüe Nro. 89-105"/>
    <s v="Cancelación Vigilancia, meses de Enero, Febrero y Marzo 2018"/>
    <x v="0"/>
    <m/>
    <s v="00903"/>
    <s v="21 de marzo de 2018"/>
    <n v="21"/>
    <x v="16"/>
    <s v="3,00"/>
    <e v="#NAME?"/>
  </r>
  <r>
    <n v="904"/>
    <m/>
    <x v="0"/>
    <d v="2018-03-21T00:00:00"/>
    <n v="2.2000000000000002"/>
    <s v="Familia Flores Montagne"/>
    <s v="martaflores@gmail.com"/>
    <s v="Av. &quot;M&quot; Nro. 146-20"/>
    <s v="Cancelación Vigilancia, meses de Febrero y Marzo 2018"/>
    <x v="0"/>
    <m/>
    <s v="00904"/>
    <s v="21 de marzo de 2018"/>
    <n v="21"/>
    <x v="16"/>
    <s v="2,20"/>
    <e v="#NAME?"/>
  </r>
  <r>
    <n v="905"/>
    <m/>
    <x v="0"/>
    <d v="2018-03-21T00:00:00"/>
    <n v="2.5"/>
    <s v="Familia Kattar González"/>
    <s v="jagiak123@yahoo.es"/>
    <s v="Calle Güigüe Nro. 89-95"/>
    <s v="Cancelación Vigilancia, saldo mes de Marzo, y anticipo meses de Abril y Mayo 2018"/>
    <x v="0"/>
    <m/>
    <s v="00905"/>
    <s v="21 de marzo de 2018"/>
    <n v="21"/>
    <x v="16"/>
    <s v="2,50"/>
    <e v="#NAME?"/>
  </r>
  <r>
    <n v="906"/>
    <m/>
    <x v="0"/>
    <d v="2018-03-23T00:00:00"/>
    <n v="1.8"/>
    <s v="Familia Zavarce Pérez"/>
    <s v="En Físico"/>
    <s v="Calle Guacara Nro. 90-35"/>
    <s v="Cancelación Vigilancia, mes de Marzo y anticipo Abril 2018"/>
    <x v="0"/>
    <m/>
    <s v="00906"/>
    <s v="23 de marzo de 2018"/>
    <n v="23"/>
    <x v="16"/>
    <s v="1,80"/>
    <e v="#NAME?"/>
  </r>
  <r>
    <n v="907"/>
    <m/>
    <x v="0"/>
    <d v="2018-03-23T00:00:00"/>
    <n v="1.4"/>
    <s v="Familia Díaz González"/>
    <s v="luisrdt57@gmail.com"/>
    <s v="Calle Güigüe Nro. 88-116"/>
    <s v="Cancelación Vigilancia, mes de Marzo 2018"/>
    <x v="0"/>
    <m/>
    <s v="00907"/>
    <s v="23 de marzo de 2018"/>
    <n v="23"/>
    <x v="16"/>
    <s v="1,40"/>
    <e v="#NAME?"/>
  </r>
  <r>
    <n v="908"/>
    <m/>
    <x v="0"/>
    <d v="2018-03-26T00:00:00"/>
    <n v="1.2"/>
    <s v="Familia Guerra Miret"/>
    <s v="antoniojguerrag@hotmail.com"/>
    <s v="Calle Güigüe Nro. 89-40"/>
    <s v="Cancelación saldo Vigilancia, meses de Marzo y Abril 2018"/>
    <x v="0"/>
    <m/>
    <s v="00908"/>
    <s v="26 de marzo de 2018"/>
    <n v="26"/>
    <x v="16"/>
    <s v="1,20"/>
    <e v="#NAME?"/>
  </r>
  <r>
    <n v="909"/>
    <m/>
    <x v="0"/>
    <d v="2018-03-26T00:00:00"/>
    <n v="1.4"/>
    <s v="Amarilis Guerra"/>
    <s v="amarilisguerra1@yahoo.com"/>
    <s v="Calle Güigüe Nro. 89-96"/>
    <s v="Cancelación Vigilancia, mes de Marzo 2018"/>
    <x v="0"/>
    <m/>
    <s v="00909"/>
    <s v="26 de marzo de 2018"/>
    <n v="26"/>
    <x v="16"/>
    <s v="1,40"/>
    <e v="#NAME?"/>
  </r>
  <r>
    <n v="910"/>
    <m/>
    <x v="0"/>
    <d v="2018-03-26T00:00:00"/>
    <n v="3"/>
    <s v="Zoraida Khair"/>
    <s v="zorakhair@hotmail.com"/>
    <s v="Calle Güigüe Nro. 88-80"/>
    <s v="Colaboración Vigilancia, meses de Enero, Febrero y Marzo 2017"/>
    <x v="0"/>
    <m/>
    <s v="00910"/>
    <s v="26 de marzo de 2018"/>
    <n v="26"/>
    <x v="16"/>
    <s v="3,00"/>
    <e v="#NAME?"/>
  </r>
  <r>
    <n v="911"/>
    <m/>
    <x v="0"/>
    <d v="2018-03-26T00:00:00"/>
    <n v="2.8"/>
    <s v="Anahiz Seijas"/>
    <s v="anahiz_2@hotmail.es"/>
    <s v="Calle Güigüe Nro. 89-106"/>
    <s v="Cancelación Vigilancia, meses de Marzo y Abril 2018"/>
    <x v="0"/>
    <m/>
    <s v="00911"/>
    <s v="26 de marzo de 2018"/>
    <n v="26"/>
    <x v="16"/>
    <s v="2,80"/>
    <e v="#NAME?"/>
  </r>
  <r>
    <n v="912"/>
    <m/>
    <x v="0"/>
    <d v="2018-03-26T00:00:00"/>
    <n v="3"/>
    <s v="Ma. de Jesus Alonso"/>
    <s v="alonsojg@gmail.com"/>
    <s v="Calle Güigüe Nro. 88-30"/>
    <s v="Colaboración Vigilancia, meses de Marzo, Abril y Mayo 2018"/>
    <x v="0"/>
    <m/>
    <s v="00912"/>
    <s v="26 de marzo de 2018"/>
    <n v="26"/>
    <x v="16"/>
    <s v="3,00"/>
    <e v="#NAME?"/>
  </r>
  <r>
    <n v="913"/>
    <m/>
    <x v="0"/>
    <d v="2018-03-26T00:00:00"/>
    <n v="1.4"/>
    <s v="Familia Acosta Carpio"/>
    <s v="pablo962@hotmail.com"/>
    <s v="Calle Güigüe Nro. 89-10"/>
    <s v="Cancelación Vigilancia, mes de Marzo 2018"/>
    <x v="0"/>
    <m/>
    <s v="00913"/>
    <s v="26 de marzo de 2018"/>
    <n v="26"/>
    <x v="16"/>
    <s v="1,40"/>
    <e v="#NAME?"/>
  </r>
  <r>
    <n v="914"/>
    <m/>
    <x v="0"/>
    <d v="2018-03-28T00:00:00"/>
    <n v="1.4"/>
    <s v="Familia Jiménez Navarro"/>
    <s v="joyasonline2012@gmail.com"/>
    <s v="Calle Güigüe Nro. 88-50"/>
    <s v="Cancelación Vigilancia, mes de Marzo 2018"/>
    <x v="0"/>
    <m/>
    <s v="00914"/>
    <s v="28 de marzo de 2018"/>
    <n v="28"/>
    <x v="16"/>
    <s v="1,40"/>
    <e v="#NAME?"/>
  </r>
  <r>
    <n v="915"/>
    <m/>
    <x v="0"/>
    <d v="2018-03-28T00:00:00"/>
    <n v="4"/>
    <s v="Familia Navarrete Medina"/>
    <s v="juanin1919@yahoo.com"/>
    <s v="Calle Güigüe Nro. 89-22"/>
    <s v="Cancelación Vigilancia, meses de Noviembre y Diciembre 2017 y de Enero a Marzo 2018"/>
    <x v="0"/>
    <m/>
    <s v="00915"/>
    <s v="28 de marzo de 2018"/>
    <n v="28"/>
    <x v="16"/>
    <s v="4,00"/>
    <e v="#NAME?"/>
  </r>
  <r>
    <n v="916"/>
    <m/>
    <x v="0"/>
    <d v="2018-03-28T00:00:00"/>
    <n v="2.7755000000000001"/>
    <s v="Familia Piñero Padilla"/>
    <s v="achepaul2005@hotmail.com"/>
    <s v="Calle Güigüe Nro. 89-21"/>
    <s v="Cancelación Vigilancia, saldo mes de Marzo y mes de Abril 2018"/>
    <x v="0"/>
    <m/>
    <s v="00916"/>
    <s v="28 de marzo de 2018"/>
    <n v="28"/>
    <x v="16"/>
    <s v="2,78"/>
    <e v="#NAME?"/>
  </r>
  <r>
    <n v="917"/>
    <m/>
    <x v="0"/>
    <d v="2018-03-28T00:00:00"/>
    <n v="1.4"/>
    <s v="Familia Gascón Domínguez"/>
    <s v="vrgascon@gmail.com"/>
    <s v="Calle Güigüe Nro. 88-70"/>
    <s v="Cancelación Vigilancia, mes de Marzo 2018"/>
    <x v="0"/>
    <m/>
    <s v="00917"/>
    <s v="28 de marzo de 2018"/>
    <n v="28"/>
    <x v="16"/>
    <s v="1,40"/>
    <e v="#NAME?"/>
  </r>
  <r>
    <n v="918"/>
    <m/>
    <x v="0"/>
    <d v="2018-03-30T00:00:00"/>
    <n v="1.4"/>
    <s v="Familia López Hermoso"/>
    <s v="lopez.humberto14@yahoo.com.ve"/>
    <s v="Calle Güigüe Nro. 89-79"/>
    <s v="Cancelación Vigilancia, mes de Marzo 2018 (saldo a favor: Bs. 700.000)"/>
    <x v="0"/>
    <m/>
    <s v="00918"/>
    <s v="30 de marzo de 2018"/>
    <n v="30"/>
    <x v="16"/>
    <s v="1,40"/>
    <e v="#NAME?"/>
  </r>
  <r>
    <n v="919"/>
    <m/>
    <x v="0"/>
    <d v="2018-03-30T00:00:00"/>
    <n v="0.5"/>
    <s v="Familia Méndez Parra"/>
    <s v="briceidamp@hotmail.com"/>
    <s v="Calle Guacara Nro. 88-19"/>
    <s v="Colaboración Vigilancia, mes de Marzo 2018"/>
    <x v="0"/>
    <m/>
    <s v="00919"/>
    <s v="30 de marzo de 2018"/>
    <n v="30"/>
    <x v="16"/>
    <s v="0,50"/>
    <e v="#NAME?"/>
  </r>
  <r>
    <n v="920"/>
    <m/>
    <x v="0"/>
    <d v="2018-03-30T00:00:00"/>
    <n v="4.2"/>
    <s v="Familia González Arévalo"/>
    <s v="feryenis@hotmail.com"/>
    <s v="Calle Guacara Nro. 89-86"/>
    <s v="Cancelación Vigilancia, meses de Marzo, Abril y Mayo 2018"/>
    <x v="0"/>
    <m/>
    <s v="00920"/>
    <s v="30 de marzo de 2018"/>
    <n v="30"/>
    <x v="16"/>
    <s v="4,20"/>
    <e v="#NAME?"/>
  </r>
  <r>
    <n v="921"/>
    <m/>
    <x v="0"/>
    <d v="2018-04-02T00:00:00"/>
    <n v="0.5"/>
    <s v="Familia Méndez Parra"/>
    <s v="briceidamp@hotmail.com"/>
    <s v="Calle Guacara Nro. 88-19"/>
    <s v="Colaboración Vigilancia, complemento mes de Marzo 2018"/>
    <x v="0"/>
    <m/>
    <s v="00921"/>
    <s v="02 de abril de 2018"/>
    <n v="2"/>
    <x v="17"/>
    <s v="0,50"/>
    <e v="#NAME?"/>
  </r>
  <r>
    <n v="922"/>
    <m/>
    <x v="0"/>
    <d v="2018-04-04T00:00:00"/>
    <n v="2"/>
    <s v="Familia Puerta Burguillos"/>
    <s v="namaricakes@gmail.com"/>
    <s v="Calle Guacara Nro. 87-100"/>
    <s v="Vigilancia, saldo mes de Marzo y cancelación mes de Abril 2018"/>
    <x v="0"/>
    <m/>
    <s v="00922"/>
    <s v="04 de abril de 2018"/>
    <n v="4"/>
    <x v="17"/>
    <s v="2,00"/>
    <e v="#NAME?"/>
  </r>
  <r>
    <n v="923"/>
    <m/>
    <x v="0"/>
    <d v="2018-04-03T00:00:00"/>
    <n v="2.8"/>
    <s v="Familia Montilla García"/>
    <s v="dairy252525@hotmail.com"/>
    <s v="Calle Güigüe Nro. 89-90"/>
    <s v="Cancelación Vigilancia, meses de Marzo y Abril 2018"/>
    <x v="0"/>
    <m/>
    <s v="00923"/>
    <s v="03 de abril de 2018"/>
    <n v="3"/>
    <x v="17"/>
    <s v="2,80"/>
    <e v="#NAME?"/>
  </r>
  <r>
    <n v="924"/>
    <m/>
    <x v="0"/>
    <d v="2018-04-04T00:00:00"/>
    <n v="1.4"/>
    <s v="Familia Colosso Delgado"/>
    <s v="mcolosso@gmail.com"/>
    <s v="Calle Güigüe Nro. 88-44"/>
    <s v="Cancelación Vigilancia, mes de Abril 2018"/>
    <x v="0"/>
    <m/>
    <s v="00924"/>
    <s v="04 de abril de 2018"/>
    <n v="4"/>
    <x v="17"/>
    <s v="1,40"/>
    <e v="#NAME?"/>
  </r>
  <r>
    <n v="925"/>
    <m/>
    <x v="0"/>
    <d v="2018-04-04T00:00:00"/>
    <n v="0.5"/>
    <s v="Familia Romero"/>
    <s v="autoescuela21@gmail.com"/>
    <s v="Calle Guacara Nro. 89-50"/>
    <s v="Colaboración Vigilancia, mes de Abril 2018"/>
    <x v="0"/>
    <m/>
    <s v="00925"/>
    <s v="04 de abril de 2018"/>
    <n v="4"/>
    <x v="17"/>
    <s v="0,50"/>
    <e v="#NAME?"/>
  </r>
  <r>
    <n v="926"/>
    <m/>
    <x v="0"/>
    <d v="2018-04-04T00:00:00"/>
    <n v="1.4"/>
    <s v="Familia Lomeña Agudo"/>
    <s v="claudialomena@hotmail.com"/>
    <s v="Calle Guacara Nro. 89-30"/>
    <s v="Cancelación Vigilancia, mes de Abril 2018"/>
    <x v="0"/>
    <m/>
    <s v="00926"/>
    <s v="04 de abril de 2018"/>
    <n v="4"/>
    <x v="17"/>
    <s v="1,40"/>
    <e v="#NAME?"/>
  </r>
  <r>
    <n v="927"/>
    <m/>
    <x v="0"/>
    <d v="2018-04-04T00:00:00"/>
    <n v="0.6"/>
    <s v="Familia Lomeña Agudo"/>
    <s v="claudialomena@hotmail.com"/>
    <s v="Calle Guacara Nro. 89-30"/>
    <s v="Anticipo Vigilancia, mes de Junio 2018"/>
    <x v="0"/>
    <m/>
    <s v="00927"/>
    <s v="04 de abril de 2018"/>
    <n v="4"/>
    <x v="17"/>
    <s v="0,60"/>
    <e v="#NAME?"/>
  </r>
  <r>
    <n v="928"/>
    <m/>
    <x v="0"/>
    <d v="2018-04-04T00:00:00"/>
    <n v="2.5"/>
    <s v="Familia Durvelle Serrano"/>
    <s v="sdurvelle@hotmail.com"/>
    <s v="Calle Guacara Nro. 89-60"/>
    <s v="Cancelación Vigilancia, mes de Abril 2018 y aporte especial"/>
    <x v="0"/>
    <m/>
    <s v="00928"/>
    <s v="04 de abril de 2018"/>
    <n v="4"/>
    <x v="17"/>
    <s v="2,50"/>
    <e v="#NAME?"/>
  </r>
  <r>
    <n v="929"/>
    <m/>
    <x v="0"/>
    <d v="2018-04-04T00:00:00"/>
    <n v="1.4"/>
    <s v="Familia Alonso Rojas"/>
    <s v="redjc01@gmail.com"/>
    <s v="Calle Güigüe Nro. 89-54"/>
    <s v="Cancelación Vigilancia, mes de Abril 2018"/>
    <x v="0"/>
    <m/>
    <s v="00929"/>
    <s v="04 de abril de 2018"/>
    <n v="4"/>
    <x v="17"/>
    <s v="1,40"/>
    <e v="#NAME?"/>
  </r>
  <r>
    <n v="930"/>
    <m/>
    <x v="0"/>
    <d v="2018-04-04T00:00:00"/>
    <n v="2.8"/>
    <s v="Wu Hung Fung"/>
    <s v="carolinahung24@gmail.com"/>
    <s v="Calle Guacara Nro. 90-81"/>
    <s v="Cancelación Vigilancia, meses de Marzo y Abril 2018"/>
    <x v="0"/>
    <m/>
    <s v="00930"/>
    <s v="04 de abril de 2018"/>
    <n v="4"/>
    <x v="17"/>
    <s v="2,80"/>
    <e v="#NAME?"/>
  </r>
  <r>
    <n v="931"/>
    <m/>
    <x v="0"/>
    <d v="2018-04-04T00:00:00"/>
    <n v="1.2"/>
    <s v="Wu Hung Fung"/>
    <s v="carolinahung24@gmail.com"/>
    <s v="Calle Guacara Nro. 90-81"/>
    <s v="Colaboración mantenimiento Caseta de Vigilancia"/>
    <x v="8"/>
    <m/>
    <s v="00931"/>
    <s v="04 de abril de 2018"/>
    <n v="4"/>
    <x v="17"/>
    <s v="1,20"/>
    <e v="#NAME?"/>
  </r>
  <r>
    <n v="932"/>
    <m/>
    <x v="0"/>
    <d v="2018-04-05T00:00:00"/>
    <n v="1.4"/>
    <s v="Familia Del Negro Palermo"/>
    <s v="vdelnegro@gmail.com"/>
    <s v="Calle Guacara Nro. 88-45"/>
    <s v="Cancelación Vigilancia, mes de Abril 2018 (saldo a favor: Bs. 520.000)"/>
    <x v="0"/>
    <m/>
    <s v="00932"/>
    <s v="05 de abril de 2018"/>
    <n v="5"/>
    <x v="17"/>
    <s v="1,40"/>
    <e v="#NAME?"/>
  </r>
  <r>
    <n v="933"/>
    <m/>
    <x v="0"/>
    <d v="2018-04-05T00:00:00"/>
    <n v="1.4"/>
    <s v="Ely Saúl Rivero Gómez"/>
    <s v="hhs.admon@gmail.com"/>
    <s v="Av. &quot;Ñ&quot; Nro. 145-25"/>
    <s v="Cancelación Vigilancia, mes de Abril 2018 (saldo a favor: Bs. 585.000)"/>
    <x v="0"/>
    <m/>
    <s v="00933"/>
    <s v="05 de abril de 2018"/>
    <n v="5"/>
    <x v="17"/>
    <s v="1,40"/>
    <e v="#NAME?"/>
  </r>
  <r>
    <n v="934"/>
    <m/>
    <x v="0"/>
    <d v="2018-04-05T00:00:00"/>
    <n v="1.4"/>
    <s v="Familia López Hermoso"/>
    <s v="lopez.humberto14@yahoo.com.ve"/>
    <s v="Calle Güigüe Nro. 89-79"/>
    <s v="Cancelación Vigilancia, mes de Abril 2018 (saldo a favor: Bs. 560.000)"/>
    <x v="0"/>
    <m/>
    <s v="00934"/>
    <s v="05 de abril de 2018"/>
    <n v="5"/>
    <x v="17"/>
    <s v="1,40"/>
    <e v="#NAME?"/>
  </r>
  <r>
    <n v="935"/>
    <m/>
    <x v="0"/>
    <d v="2018-04-05T00:00:00"/>
    <n v="3"/>
    <s v="Familia Castro Jiménez"/>
    <s v="aurycastrojimenez@gmail.com"/>
    <s v="Calle Guacara Nro. 90-51"/>
    <s v="Cancelación Vigilancia, meses de Marzo y Abril 2018 y aporte especial"/>
    <x v="0"/>
    <m/>
    <s v="00935"/>
    <s v="05 de abril de 2018"/>
    <n v="5"/>
    <x v="17"/>
    <s v="3,00"/>
    <e v="#NAME?"/>
  </r>
  <r>
    <n v="936"/>
    <m/>
    <x v="0"/>
    <d v="2018-04-05T00:00:00"/>
    <n v="1.4"/>
    <s v="Familia Arcia Polanco"/>
    <s v="misipo29@gmail.com"/>
    <s v="Calle Guacara Nro. 89-20"/>
    <s v="Cancelación Vigilancia, mes de Abril 2018"/>
    <x v="0"/>
    <m/>
    <s v="00936"/>
    <s v="05 de abril de 2018"/>
    <n v="5"/>
    <x v="17"/>
    <s v="1,40"/>
    <e v="#NAME?"/>
  </r>
  <r>
    <n v="937"/>
    <m/>
    <x v="0"/>
    <d v="2018-04-05T00:00:00"/>
    <n v="1.4"/>
    <s v="Familia Manrique Riera"/>
    <s v="patriciamanrique@gmail.com"/>
    <s v="Calle Guacara Nro. 89-40"/>
    <s v="Colaboración Vigilancia, mes de Marzo 2018"/>
    <x v="0"/>
    <m/>
    <s v="00937"/>
    <s v="05 de abril de 2018"/>
    <n v="5"/>
    <x v="17"/>
    <s v="1,40"/>
    <e v="#NAME?"/>
  </r>
  <r>
    <n v="938"/>
    <m/>
    <x v="0"/>
    <d v="2018-04-05T00:00:00"/>
    <n v="2.8"/>
    <s v="Familia Costermani Terrer"/>
    <s v="claudiacostermani@hotmail.com"/>
    <s v="Calle Güigüe Nro. 88-11"/>
    <s v="Cancelación Vigilancia, meses de Marzo y Abril 2018"/>
    <x v="0"/>
    <m/>
    <s v="00938"/>
    <s v="05 de abril de 2018"/>
    <n v="5"/>
    <x v="17"/>
    <s v="2,80"/>
    <e v="#NAME?"/>
  </r>
  <r>
    <n v="939"/>
    <m/>
    <x v="0"/>
    <d v="2018-04-05T00:00:00"/>
    <n v="0.8"/>
    <s v="Héctor Hernández"/>
    <s v="eof64@hotmail.com"/>
    <s v="Calle Guacara Nro. 89-94"/>
    <s v="Colaboración Vigilancia, mes de Abril 2018"/>
    <x v="0"/>
    <m/>
    <s v="00939"/>
    <s v="05 de abril de 2018"/>
    <n v="5"/>
    <x v="17"/>
    <s v="0,80"/>
    <e v="#NAME?"/>
  </r>
  <r>
    <n v="940"/>
    <m/>
    <x v="0"/>
    <d v="2018-04-05T00:00:00"/>
    <n v="1.4"/>
    <s v="Familia Loponte Arteaga"/>
    <s v="nancyloponte@hotmail.com"/>
    <s v="Calle Güigüe Nro. 88-120"/>
    <s v="Cancelación Vigilancia, mes de Abril 2018"/>
    <x v="0"/>
    <m/>
    <s v="00940"/>
    <s v="05 de abril de 2018"/>
    <n v="5"/>
    <x v="17"/>
    <s v="1,40"/>
    <e v="#NAME?"/>
  </r>
  <r>
    <n v="941"/>
    <m/>
    <x v="0"/>
    <d v="2018-04-05T00:00:00"/>
    <n v="0.6"/>
    <s v="Familia Loponte Arteaga"/>
    <s v="nancyloponte@hotmail.com"/>
    <s v="Calle Güigüe Nro. 88-120"/>
    <s v="Colaboración mantenimiento Caseta de Vigilancia"/>
    <x v="8"/>
    <m/>
    <s v="00941"/>
    <s v="05 de abril de 2018"/>
    <n v="5"/>
    <x v="17"/>
    <s v="0,60"/>
    <e v="#NAME?"/>
  </r>
  <r>
    <n v="942"/>
    <m/>
    <x v="0"/>
    <d v="2017-12-09T00:00:00"/>
    <n v="0.5"/>
    <s v="Amarilis Guerra"/>
    <s v="amarilisguerra1@yahoo.com"/>
    <s v="Calle Güigüe Nro. 89-96"/>
    <s v="Cancelación Vigilancia, mes de Diciembre 2017"/>
    <x v="0"/>
    <m/>
    <s v="00942"/>
    <s v="09 de diciembre de 2017"/>
    <n v="9"/>
    <x v="13"/>
    <s v="0,50"/>
    <e v="#NAME?"/>
  </r>
  <r>
    <n v="943"/>
    <m/>
    <x v="0"/>
    <d v="2018-04-06T00:00:00"/>
    <n v="1.4"/>
    <s v="Familia Barreto Pérez"/>
    <s v="bbetsa19@hotmail.com"/>
    <s v="Av. &quot;M&quot; Nro. 146-15"/>
    <s v="Cancelación Vigilancia, mes de Marzo 2018"/>
    <x v="0"/>
    <m/>
    <s v="00943"/>
    <s v="06 de abril de 2018"/>
    <n v="6"/>
    <x v="17"/>
    <s v="1,40"/>
    <e v="#NAME?"/>
  </r>
  <r>
    <n v="944"/>
    <m/>
    <x v="0"/>
    <d v="2018-04-06T00:00:00"/>
    <n v="2.6"/>
    <s v="Familia Il Grande Franceschi"/>
    <s v="arcifran75@hotmail.com"/>
    <s v="Av. &quot;I&quot; Nro. 146-40"/>
    <s v="Cancelación Vigilancia, meses de Marzo y Abril 2018"/>
    <x v="0"/>
    <m/>
    <s v="00944"/>
    <s v="06 de abril de 2018"/>
    <n v="6"/>
    <x v="17"/>
    <s v="2,60"/>
    <e v="#NAME?"/>
  </r>
  <r>
    <n v="945"/>
    <m/>
    <x v="0"/>
    <d v="2018-04-07T00:00:00"/>
    <n v="0.8"/>
    <s v="Chin Chun Ya (Goya)"/>
    <s v="uc2721@gmail.com"/>
    <s v="Calle Guacara Nro. 87-86"/>
    <s v="Colaboración Vigilancia, saldo mes de Abril 2018"/>
    <x v="0"/>
    <m/>
    <s v="00945"/>
    <s v="07 de abril de 2018"/>
    <n v="7"/>
    <x v="17"/>
    <s v="0,80"/>
    <e v="#NAME?"/>
  </r>
  <r>
    <n v="946"/>
    <m/>
    <x v="0"/>
    <d v="2018-04-08T00:00:00"/>
    <n v="2"/>
    <s v="Victoria Francischiello"/>
    <s v="victoriafrancischiello@hotmail.com"/>
    <s v="Calle Guacara Nro. 88-25"/>
    <s v="Colaboración Vigilancia, meses de Marzo y Abril 2018"/>
    <x v="0"/>
    <m/>
    <s v="00946"/>
    <s v="08 de abril de 2018"/>
    <n v="8"/>
    <x v="17"/>
    <s v="2,00"/>
    <e v="#NAME?"/>
  </r>
  <r>
    <n v="947"/>
    <m/>
    <x v="0"/>
    <d v="2018-04-08T00:00:00"/>
    <n v="1.4"/>
    <s v="Familia Hurtado"/>
    <s v="En Físico"/>
    <s v="Av. &quot;O&quot; Nro. 146-11"/>
    <s v="Cancelación Vigilancia, mes de Abril 2018"/>
    <x v="0"/>
    <m/>
    <s v="00947"/>
    <s v="08 de abril de 2018"/>
    <n v="8"/>
    <x v="17"/>
    <s v="1,40"/>
    <e v="#NAME?"/>
  </r>
  <r>
    <n v="948"/>
    <m/>
    <x v="0"/>
    <d v="2018-04-10T00:00:00"/>
    <n v="2.8"/>
    <s v="Familia Delgado Hidalgo"/>
    <s v="ardh@hotmail.com"/>
    <s v="Calle Güigüe Nro. 88-10"/>
    <s v="Cancelación Vigilancia, meses de Marzo y Abril 2018"/>
    <x v="0"/>
    <m/>
    <s v="00948"/>
    <s v="10 de abril de 2018"/>
    <n v="10"/>
    <x v="17"/>
    <s v="2,80"/>
    <e v="#NAME?"/>
  </r>
  <r>
    <n v="949"/>
    <m/>
    <x v="0"/>
    <d v="2018-04-10T00:00:00"/>
    <n v="2"/>
    <s v="Familia Milanés Carmona"/>
    <s v="yndira11m@gmail.com"/>
    <s v="Calle Güigüe Nro. 89-65"/>
    <s v="Cancelación Vigilancia, saldo mes de Marzo y cancelación mes de Abril 2018"/>
    <x v="0"/>
    <m/>
    <s v="00949"/>
    <s v="10 de abril de 2018"/>
    <n v="10"/>
    <x v="17"/>
    <s v="2,00"/>
    <e v="#NAME?"/>
  </r>
  <r>
    <n v="950"/>
    <m/>
    <x v="0"/>
    <d v="2018-04-11T00:00:00"/>
    <n v="2"/>
    <s v="Colegio El Trigal"/>
    <s v="En Físico"/>
    <s v="Calle Güigüe Nros. 88-71 y 88-81"/>
    <s v="Cancelación Vigilancia, mes de Abril 2018"/>
    <x v="0"/>
    <m/>
    <s v="00950"/>
    <s v="11 de abril de 2018"/>
    <n v="11"/>
    <x v="17"/>
    <s v="2,00"/>
    <e v="#NAME?"/>
  </r>
  <r>
    <n v="951"/>
    <m/>
    <x v="0"/>
    <d v="2018-04-11T00:00:00"/>
    <n v="1.4"/>
    <s v="Familia Sayago Peñaranda"/>
    <s v="alexissayago@gmail.com"/>
    <s v="Calle Güigüe Nro. 89-04"/>
    <s v="Cancelación Vigilancia, mes de Abril 2018"/>
    <x v="0"/>
    <m/>
    <s v="00951"/>
    <s v="11 de abril de 2018"/>
    <n v="11"/>
    <x v="17"/>
    <s v="1,40"/>
    <e v="#NAME?"/>
  </r>
  <r>
    <n v="952"/>
    <m/>
    <x v="0"/>
    <d v="2018-04-11T00:00:00"/>
    <n v="1.4"/>
    <s v="Familia Lomeña Agudo"/>
    <s v="claudialomena@hotmail.com"/>
    <s v="Calle Guacara Nro. 89-30"/>
    <s v="Anticipo Vigilancia, mes de Junio 2018"/>
    <x v="0"/>
    <m/>
    <s v="00952"/>
    <s v="11 de abril de 2018"/>
    <n v="11"/>
    <x v="17"/>
    <s v="1,40"/>
    <e v="#NAME?"/>
  </r>
  <r>
    <n v="953"/>
    <m/>
    <x v="0"/>
    <d v="2018-04-13T00:00:00"/>
    <n v="1.4"/>
    <s v="Familia Nava Gordon"/>
    <s v="maru_19_66@hotmail.com"/>
    <s v="Calle Guacara Nro. 89-78"/>
    <s v="Cancelación Vigilancia, mes de Abril 2018"/>
    <x v="0"/>
    <m/>
    <s v="00953"/>
    <s v="13 de abril de 2018"/>
    <n v="13"/>
    <x v="17"/>
    <s v="1,40"/>
    <e v="#NAME?"/>
  </r>
  <r>
    <n v="954"/>
    <m/>
    <x v="0"/>
    <d v="2018-04-13T00:00:00"/>
    <n v="0.6"/>
    <s v="Familia Nava Gordon"/>
    <s v="maru_19_66@hotmail.com"/>
    <s v="Calle Guacara Nro. 89-78"/>
    <s v="Colaboración mantenimiento Caseta de Vigilancia"/>
    <x v="8"/>
    <m/>
    <s v="00954"/>
    <s v="13 de abril de 2018"/>
    <n v="13"/>
    <x v="17"/>
    <s v="0,60"/>
    <e v="#NAME?"/>
  </r>
  <r>
    <n v="955"/>
    <m/>
    <x v="0"/>
    <d v="2018-04-13T00:00:00"/>
    <n v="1.4"/>
    <s v="Familia Narváez Caldera"/>
    <s v="jeannette_nc@yahoo.com"/>
    <s v="Calle Güigüe Nro. 87-A-11"/>
    <s v="Cancelación Vigilancia, mes de Abril 2018"/>
    <x v="0"/>
    <m/>
    <s v="00955"/>
    <s v="13 de abril de 2018"/>
    <n v="13"/>
    <x v="17"/>
    <s v="1,40"/>
    <e v="#NAME?"/>
  </r>
  <r>
    <n v="956"/>
    <m/>
    <x v="0"/>
    <d v="2018-04-13T00:00:00"/>
    <n v="0.6"/>
    <s v="Familia Narváez Caldera"/>
    <s v="jeannette_nc@yahoo.com"/>
    <s v="Calle Güigüe Nro. 87-A-11"/>
    <s v="Colaboración mantenimiento Caseta de Vigilancia"/>
    <x v="8"/>
    <m/>
    <s v="00956"/>
    <s v="13 de abril de 2018"/>
    <n v="13"/>
    <x v="17"/>
    <s v="0,60"/>
    <e v="#NAME?"/>
  </r>
  <r>
    <n v="957"/>
    <m/>
    <x v="0"/>
    <d v="2018-04-13T00:00:00"/>
    <n v="1.4"/>
    <s v="Familia Castillo Mena"/>
    <s v="emmecas@hotmail.com"/>
    <s v="Calle Güigüe Nro. 88-101"/>
    <s v="Cancelación Vigilancia, mes de Marzo 2018"/>
    <x v="0"/>
    <m/>
    <s v="00957"/>
    <s v="13 de abril de 2018"/>
    <n v="13"/>
    <x v="17"/>
    <s v="1,40"/>
    <e v="#NAME?"/>
  </r>
  <r>
    <n v="958"/>
    <m/>
    <x v="0"/>
    <d v="2018-04-13T00:00:00"/>
    <n v="1.4"/>
    <s v="Familia Kablan Sarmiento"/>
    <s v="norisjsb56@hotmail.com"/>
    <s v="Calle Güigüe Nro. 89-80"/>
    <s v="Cancelación Vigilancia, mes de Abril 2018"/>
    <x v="0"/>
    <m/>
    <s v="00958"/>
    <s v="13 de abril de 2018"/>
    <n v="13"/>
    <x v="17"/>
    <s v="1,40"/>
    <e v="#NAME?"/>
  </r>
  <r>
    <n v="959"/>
    <m/>
    <x v="0"/>
    <d v="2018-04-16T00:00:00"/>
    <n v="1.4"/>
    <s v="Amarilis Guerra"/>
    <s v="amarilisguerra1@yahoo.com"/>
    <s v="Calle Güigüe Nro. 89-96"/>
    <s v="Cancelación Vigilancia, mes de Abril 2018"/>
    <x v="0"/>
    <m/>
    <s v="00959"/>
    <s v="16 de abril de 2018"/>
    <n v="16"/>
    <x v="17"/>
    <s v="1,40"/>
    <e v="#NAME?"/>
  </r>
  <r>
    <n v="960"/>
    <m/>
    <x v="0"/>
    <d v="2018-04-17T00:00:00"/>
    <n v="0.8"/>
    <s v="Familia Rodríguez Landaeta"/>
    <s v="mrl58@hotmail.com"/>
    <s v="Calle Güigüe Nro. 89-29"/>
    <s v="Colaboración Vigilancia, mes de Abril 2018"/>
    <x v="0"/>
    <m/>
    <s v="00960"/>
    <s v="17 de abril de 2018"/>
    <n v="17"/>
    <x v="17"/>
    <s v="0,80"/>
    <e v="#NAME?"/>
  </r>
  <r>
    <n v="961"/>
    <m/>
    <x v="0"/>
    <d v="2018-04-17T00:00:00"/>
    <n v="1.4"/>
    <s v="Beatriz Lara"/>
    <s v="valentina.gutierrez@hotmail.com"/>
    <s v="Calle Guacara Nro. 89-130"/>
    <s v="Cancelación Vigilancia, mes de Abril 2018"/>
    <x v="0"/>
    <m/>
    <s v="00961"/>
    <s v="17 de abril de 2018"/>
    <n v="17"/>
    <x v="17"/>
    <s v="1,40"/>
    <e v="#NAME?"/>
  </r>
  <r>
    <n v="962"/>
    <m/>
    <x v="0"/>
    <d v="2018-04-19T00:00:00"/>
    <n v="1.4"/>
    <s v="Familia Díaz González"/>
    <s v="luisrdt57@gmail.com"/>
    <s v="Calle Güigüe Nro. 88-116"/>
    <s v="Cancelación Vigilancia, mes de Abril 2018"/>
    <x v="0"/>
    <m/>
    <s v="00962"/>
    <s v="19 de abril de 2018"/>
    <n v="19"/>
    <x v="17"/>
    <s v="1,40"/>
    <e v="#NAME?"/>
  </r>
  <r>
    <n v="963"/>
    <m/>
    <x v="0"/>
    <d v="2018-04-16T00:00:00"/>
    <n v="1.4"/>
    <s v="Familia Fermín Rivas"/>
    <s v="angelferminb@gmail.com"/>
    <s v="Calle Güigüe Nro. 89-55"/>
    <s v="Cancelación Vigilancia, mes de Abril 2018"/>
    <x v="0"/>
    <m/>
    <s v="00963"/>
    <s v="16 de abril de 2018"/>
    <n v="16"/>
    <x v="17"/>
    <s v="1,40"/>
    <e v="#NAME?"/>
  </r>
  <r>
    <n v="964"/>
    <m/>
    <x v="0"/>
    <d v="2018-04-20T00:00:00"/>
    <n v="2.8"/>
    <s v="Familia Santos Carrillo"/>
    <s v="josesantos071073@gmail.com"/>
    <s v="Calle Guacara Nro. 90-93"/>
    <s v="Cancelación Vigilancia, meses de Marzo y Abril 2018"/>
    <x v="0"/>
    <m/>
    <s v="00964"/>
    <s v="20 de abril de 2018"/>
    <n v="20"/>
    <x v="17"/>
    <s v="2,80"/>
    <e v="#NAME?"/>
  </r>
  <r>
    <n v="965"/>
    <m/>
    <x v="0"/>
    <d v="2018-04-20T00:00:00"/>
    <n v="5"/>
    <s v="Familia Hatem Medina"/>
    <s v="hhatem1@hotmail.com"/>
    <s v="Calle Guacara Nro. 88-51"/>
    <s v="Colaboración mantenimiento Caseta de Vigilancia"/>
    <x v="8"/>
    <m/>
    <s v="00965"/>
    <s v="20 de abril de 2018"/>
    <n v="20"/>
    <x v="17"/>
    <s v="5,00"/>
    <e v="#NAME?"/>
  </r>
  <r>
    <n v="966"/>
    <m/>
    <x v="0"/>
    <d v="2018-04-21T00:00:00"/>
    <n v="2"/>
    <s v="Gloria Molina"/>
    <s v="glomola2@yahoo.es"/>
    <s v="Calle Güigüe Nro. 89-71"/>
    <s v="Colaboración Vigilancia, meses de Marzo y Abril 2018"/>
    <x v="0"/>
    <m/>
    <s v="00966"/>
    <s v="21 de abril de 2018"/>
    <n v="21"/>
    <x v="17"/>
    <s v="2,00"/>
    <e v="#NAME?"/>
  </r>
  <r>
    <n v="967"/>
    <m/>
    <x v="0"/>
    <d v="2018-04-21T00:00:00"/>
    <n v="1"/>
    <s v="Familia Zavarce Pérez"/>
    <s v="En Físico"/>
    <s v="Calle Guacara Nro. 90-35"/>
    <s v="Cancelación Vigilancia, saldo mes de Abril 2018"/>
    <x v="0"/>
    <m/>
    <s v="00967"/>
    <s v="21 de abril de 2018"/>
    <n v="21"/>
    <x v="17"/>
    <s v="1,00"/>
    <e v="#NAME?"/>
  </r>
  <r>
    <n v="968"/>
    <m/>
    <x v="0"/>
    <d v="2018-04-22T00:00:00"/>
    <n v="1.4"/>
    <s v="Familia Navarro Assing"/>
    <s v="liliaassing@gmail.com"/>
    <s v="Calle Güigüe Nro. 88-54"/>
    <s v="Cancelación Vigilancia, mes de Abril 2018"/>
    <x v="0"/>
    <m/>
    <s v="00968"/>
    <s v="22 de abril de 2018"/>
    <n v="22"/>
    <x v="17"/>
    <s v="1,40"/>
    <e v="#NAME?"/>
  </r>
  <r>
    <n v="969"/>
    <m/>
    <x v="0"/>
    <d v="2018-04-22T00:00:00"/>
    <n v="1"/>
    <s v="Familia Navarro Assing"/>
    <s v="liliaassing@gmail.com"/>
    <s v="Calle Güigüe Nro. 88-54"/>
    <s v="Colaboración mantenimiento Caseta de Vigilancia"/>
    <x v="8"/>
    <m/>
    <s v="00969"/>
    <s v="22 de abril de 2018"/>
    <n v="22"/>
    <x v="17"/>
    <s v="1,00"/>
    <e v="#NAME?"/>
  </r>
  <r>
    <n v="970"/>
    <m/>
    <x v="0"/>
    <d v="2018-04-23T00:00:00"/>
    <n v="1.4"/>
    <s v="Familia Alonso Rojas"/>
    <s v="redjc01@gmail.com"/>
    <s v="Calle Güigüe Nro. 89-54"/>
    <s v="Cancelación Vigilancia, mes de Mayo 2018"/>
    <x v="0"/>
    <m/>
    <s v="00970"/>
    <s v="23 de abril de 2018"/>
    <n v="23"/>
    <x v="17"/>
    <s v="1,40"/>
    <e v="#NAME?"/>
  </r>
  <r>
    <n v="971"/>
    <m/>
    <x v="0"/>
    <d v="2018-04-23T00:00:00"/>
    <n v="0.6"/>
    <s v="Familia Alonso Rojas"/>
    <s v="redjc01@gmail.com"/>
    <s v="Calle Güigüe Nro. 89-54"/>
    <s v="Colaboración mantenimiento Caseta de Vigilancia"/>
    <x v="8"/>
    <m/>
    <s v="00971"/>
    <s v="23 de abril de 2018"/>
    <n v="23"/>
    <x v="17"/>
    <s v="0,60"/>
    <e v="#NAME?"/>
  </r>
  <r>
    <n v="972"/>
    <m/>
    <x v="0"/>
    <d v="2018-04-24T00:00:00"/>
    <n v="0.6"/>
    <s v="Familia Chávez Hernández"/>
    <s v="mercedesch23@hotmail.com"/>
    <s v="Calle Güigüe Nro. 88-20"/>
    <s v="Colaboración Vigilancia, meses de Marzo y Abril 2018"/>
    <x v="0"/>
    <m/>
    <s v="00972"/>
    <s v="24 de abril de 2018"/>
    <n v="24"/>
    <x v="17"/>
    <s v="0,60"/>
    <e v="#NAME?"/>
  </r>
  <r>
    <n v="973"/>
    <m/>
    <x v="0"/>
    <d v="2018-04-25T00:00:00"/>
    <n v="1.4"/>
    <s v="Familia Acosta Carpio"/>
    <s v="pablo962@hotmail.com"/>
    <s v="Calle Güigüe Nro. 89-10"/>
    <s v="Cancelación Vigilancia, mes de Abril 2018"/>
    <x v="0"/>
    <m/>
    <s v="00973"/>
    <s v="25 de abril de 2018"/>
    <n v="25"/>
    <x v="17"/>
    <s v="1,40"/>
    <e v="#NAME?"/>
  </r>
  <r>
    <n v="974"/>
    <m/>
    <x v="0"/>
    <d v="2018-04-26T00:00:00"/>
    <n v="3"/>
    <s v="Familia Durvelle Serrano"/>
    <s v="sdurvelle@hotmail.com"/>
    <s v="Calle Guacara Nro. 89-60"/>
    <s v="Cancelación Vigilancia, mes de Mayo 2018 y aporte especial"/>
    <x v="0"/>
    <m/>
    <s v="00974"/>
    <s v="26 de abril de 2018"/>
    <n v="26"/>
    <x v="17"/>
    <s v="3,00"/>
    <e v="#NAME?"/>
  </r>
  <r>
    <n v="975"/>
    <m/>
    <x v="0"/>
    <d v="2018-04-26T00:00:00"/>
    <n v="3"/>
    <s v="Familia Durvelle Serrano"/>
    <s v="sdurvelle@hotmail.com"/>
    <s v="Calle Guacara Nro. 89-60"/>
    <s v="Anticipo Vigilancia, mes de Junio 2018"/>
    <x v="0"/>
    <m/>
    <s v="00975"/>
    <s v="26 de abril de 2018"/>
    <n v="26"/>
    <x v="17"/>
    <s v="3,00"/>
    <e v="#NAME?"/>
  </r>
  <r>
    <n v="976"/>
    <m/>
    <x v="0"/>
    <d v="2018-04-26T00:00:00"/>
    <n v="2.5"/>
    <s v="Familia Puerta Burguillos"/>
    <s v="namaricakes@gmail.com"/>
    <s v="Calle Guacara Nro. 87-100"/>
    <s v="Cancelación Vigilancia, mes de Mayo 2018"/>
    <x v="0"/>
    <m/>
    <s v="00976"/>
    <s v="26 de abril de 2018"/>
    <n v="26"/>
    <x v="17"/>
    <s v="2,50"/>
    <e v="#NAME?"/>
  </r>
  <r>
    <n v="977"/>
    <m/>
    <x v="0"/>
    <d v="2018-04-26T00:00:00"/>
    <n v="2.5"/>
    <s v="Familia Puerta Burguillos"/>
    <s v="namaricakes@gmail.com"/>
    <s v="Calle Guacara Nro. 87-100"/>
    <s v="Colaboración mantenimiento Caseta de Vigilancia"/>
    <x v="8"/>
    <m/>
    <s v="00977"/>
    <s v="26 de abril de 2018"/>
    <n v="26"/>
    <x v="17"/>
    <s v="2,50"/>
    <e v="#NAME?"/>
  </r>
  <r>
    <n v="978"/>
    <m/>
    <x v="0"/>
    <d v="2018-04-26T00:00:00"/>
    <n v="3"/>
    <s v="Familia Jiménez Navarro"/>
    <s v="joyasonline2012@gmail.com"/>
    <s v="Calle Güigüe Nro. 88-50"/>
    <s v="Cancelación Vigilancia, mes de Abril 2018"/>
    <x v="0"/>
    <m/>
    <s v="00978"/>
    <s v="26 de abril de 2018"/>
    <n v="26"/>
    <x v="17"/>
    <s v="3,00"/>
    <e v="#NAME?"/>
  </r>
  <r>
    <n v="979"/>
    <m/>
    <x v="1"/>
    <d v="2018-04-26T00:00:00"/>
    <n v="1.6"/>
    <s v="Familia Jiménez Navarro"/>
    <s v="joyasonline2012@gmail.com"/>
    <s v="Calle Güigüe Nro. 88-50"/>
    <s v="ANULADO: Colaboración mantenimiento Caseta de Vigilancia"/>
    <x v="3"/>
    <m/>
    <s v="00979"/>
    <s v="26 de abril de 2018"/>
    <n v="26"/>
    <x v="17"/>
    <s v="1,60"/>
    <e v="#NAME?"/>
  </r>
  <r>
    <n v="980"/>
    <m/>
    <x v="0"/>
    <d v="2018-04-26T00:00:00"/>
    <n v="2.8"/>
    <s v="Familia Scabuzzo Gómez"/>
    <s v="sfscabuzzo@msn.com"/>
    <s v="Av. &quot;I&quot; Nro. 146-20"/>
    <s v="Cancelación Vigilancia, meses de Marzo y Abril 2018"/>
    <x v="0"/>
    <m/>
    <s v="00980"/>
    <s v="26 de abril de 2018"/>
    <n v="26"/>
    <x v="17"/>
    <s v="2,80"/>
    <e v="#NAME?"/>
  </r>
  <r>
    <n v="981"/>
    <m/>
    <x v="0"/>
    <d v="2018-04-26T00:00:00"/>
    <n v="2.8"/>
    <s v="Familia Ozar Rivero"/>
    <s v="vanessarivero81@hotmail.com"/>
    <s v="Calle Güigüe Nro. 88-06"/>
    <s v="Cancelación Vigilancia, meses de Marzo y Abril 2018"/>
    <x v="0"/>
    <m/>
    <s v="00981"/>
    <s v="26 de abril de 2018"/>
    <n v="26"/>
    <x v="17"/>
    <s v="2,80"/>
    <e v="#NAME?"/>
  </r>
  <r>
    <n v="982"/>
    <m/>
    <x v="0"/>
    <d v="2018-04-30T00:00:00"/>
    <n v="1.4"/>
    <s v="Familia Castillo Mena"/>
    <s v="emmecas@hotmail.com"/>
    <s v="Calle Güigüe Nro. 88-101"/>
    <s v="Cancelación Vigilancia, mes de Abril 2018"/>
    <x v="0"/>
    <m/>
    <s v="00982"/>
    <s v="30 de abril de 2018"/>
    <n v="30"/>
    <x v="17"/>
    <s v="1,40"/>
    <e v="#NAME?"/>
  </r>
  <r>
    <n v="983"/>
    <m/>
    <x v="0"/>
    <d v="2018-05-03T00:00:00"/>
    <n v="5"/>
    <s v="Familia Zavarce Barón"/>
    <s v="alexanderzavarce@gmail.com"/>
    <s v="Calle Guacara Nro. 88-91"/>
    <s v="Colaboración Vigilancia, meses de Enero, Febrero, Marzo, Abril y anticipo mes de Mayo 2018"/>
    <x v="0"/>
    <m/>
    <s v="00983"/>
    <s v="03 de mayo de 2018"/>
    <n v="3"/>
    <x v="18"/>
    <s v="5,00"/>
    <e v="#NAME?"/>
  </r>
  <r>
    <n v="984"/>
    <m/>
    <x v="0"/>
    <d v="2018-05-03T00:00:00"/>
    <n v="4"/>
    <s v="Familia Fermín Rivas"/>
    <s v="angelferminb@gmail.com"/>
    <s v="Calle Güigüe Nro. 89-55"/>
    <s v="Cancelación Vigilancia, mes de Mayo 2018 (saldo a favor: Bs. 360.000)"/>
    <x v="0"/>
    <m/>
    <s v="00984"/>
    <s v="03 de mayo de 2018"/>
    <n v="3"/>
    <x v="18"/>
    <s v="4,00"/>
    <e v="#NAME?"/>
  </r>
  <r>
    <n v="985"/>
    <m/>
    <x v="0"/>
    <d v="2018-05-03T00:00:00"/>
    <n v="4"/>
    <s v="Familia Jiménez Salvatierra"/>
    <s v="En Físico"/>
    <s v="Calle Güigüe Nro. 89-45"/>
    <s v="Cancelación Vigilancia, mes de Mayo 2018 (saldo a favor: Bs. 1.393.000)"/>
    <x v="0"/>
    <m/>
    <s v="00985"/>
    <s v="03 de mayo de 2018"/>
    <n v="3"/>
    <x v="18"/>
    <s v="4,00"/>
    <e v="#NAME?"/>
  </r>
  <r>
    <n v="986"/>
    <m/>
    <x v="0"/>
    <d v="2018-05-03T00:00:00"/>
    <n v="4"/>
    <s v="Ely Saúl Rivero Gómez"/>
    <s v="hhs.admon@gmail.com"/>
    <s v="Av. &quot;Ñ&quot; Nro. 145-25"/>
    <s v="Cancelación Vigilancia, mes de Mayo 2018 (saldo a favor: Bs. 185.000)"/>
    <x v="0"/>
    <m/>
    <s v="00986"/>
    <s v="03 de mayo de 2018"/>
    <n v="3"/>
    <x v="18"/>
    <s v="4,00"/>
    <e v="#NAME?"/>
  </r>
  <r>
    <n v="987"/>
    <m/>
    <x v="0"/>
    <d v="2018-05-03T00:00:00"/>
    <n v="4"/>
    <s v="Familia Del Negro Palermo"/>
    <s v="vdelnegro@gmail.com"/>
    <s v="Calle Guacara Nro. 88-45"/>
    <s v="Cancelación Vigilancia, mes de Mayo 2018 (saldo a favor: Bs. 120.000)"/>
    <x v="0"/>
    <m/>
    <s v="00987"/>
    <s v="03 de mayo de 2018"/>
    <n v="3"/>
    <x v="18"/>
    <s v="4,00"/>
    <e v="#NAME?"/>
  </r>
  <r>
    <n v="988"/>
    <m/>
    <x v="0"/>
    <d v="2018-05-03T00:00:00"/>
    <n v="4"/>
    <s v="Familia López Hermoso"/>
    <s v="lopez.humberto14@yahoo.com.ve"/>
    <s v="Calle Güigüe Nro. 89-79"/>
    <s v="Cancelación Vigilancia, mes de Mayo 2018 (saldo a favor: Bs. 160.000)"/>
    <x v="0"/>
    <m/>
    <s v="00988"/>
    <s v="03 de mayo de 2018"/>
    <n v="3"/>
    <x v="18"/>
    <s v="4,00"/>
    <e v="#NAME?"/>
  </r>
  <r>
    <n v="989"/>
    <m/>
    <x v="0"/>
    <d v="2018-05-03T00:00:00"/>
    <n v="1.4"/>
    <s v="Familia Triana González"/>
    <s v="En Físico"/>
    <s v="Calle Guacara Nro. 90-61"/>
    <s v="Cancelación Vigilancia, mes de Abril 2018"/>
    <x v="0"/>
    <m/>
    <s v="00989"/>
    <s v="03 de mayo de 2018"/>
    <n v="3"/>
    <x v="18"/>
    <s v="1,40"/>
    <e v="#NAME?"/>
  </r>
  <r>
    <n v="990"/>
    <m/>
    <x v="0"/>
    <d v="2018-05-03T00:00:00"/>
    <n v="5.2"/>
    <s v="Familia Cegarra Villamizar"/>
    <s v="jesus.villamizar.ra@gmail.com"/>
    <s v="Calle Guacara Nro. 88-35"/>
    <s v="Cancelación Vigilancia, saldo meses de Marzo y Abril y cancelación mes de Mayo 2018"/>
    <x v="0"/>
    <m/>
    <s v="00990"/>
    <s v="03 de mayo de 2018"/>
    <n v="3"/>
    <x v="18"/>
    <s v="5,20"/>
    <e v="#NAME?"/>
  </r>
  <r>
    <n v="991"/>
    <m/>
    <x v="0"/>
    <d v="2018-05-03T00:00:00"/>
    <n v="4"/>
    <s v="Familia Milanés Carmona"/>
    <s v="yndira11m@gmail.com"/>
    <s v="Calle Güigüe Nro. 89-65"/>
    <s v="Cancelación Vigilancia, mes de Mayo 2018"/>
    <x v="0"/>
    <m/>
    <s v="00991"/>
    <s v="03 de mayo de 2018"/>
    <n v="3"/>
    <x v="18"/>
    <s v="4,00"/>
    <e v="#NAME?"/>
  </r>
  <r>
    <n v="992"/>
    <m/>
    <x v="0"/>
    <d v="2018-05-04T00:00:00"/>
    <n v="4"/>
    <s v="Familia Lomeña Agudo"/>
    <s v="claudialomena@hotmail.com"/>
    <s v="Calle Guacara Nro. 89-30"/>
    <s v="Cancelación Vigilancia, mes de Mayo 2018"/>
    <x v="0"/>
    <m/>
    <s v="00992"/>
    <s v="04 de mayo de 2018"/>
    <n v="4"/>
    <x v="18"/>
    <s v="4,00"/>
    <e v="#NAME?"/>
  </r>
  <r>
    <n v="993"/>
    <m/>
    <x v="0"/>
    <d v="2018-05-04T00:00:00"/>
    <n v="5.5"/>
    <s v="Familia Ochoa Mendoza"/>
    <s v="marisoljudithm@hotmail.com"/>
    <s v="Calle Güigüe Nro. 89-105"/>
    <s v="Cancelación Vigilancia, meses de Abril y Mayo 2018"/>
    <x v="0"/>
    <m/>
    <s v="00993"/>
    <s v="04 de mayo de 2018"/>
    <n v="4"/>
    <x v="18"/>
    <s v="5,50"/>
    <e v="#NAME?"/>
  </r>
  <r>
    <n v="994"/>
    <m/>
    <x v="0"/>
    <d v="2018-05-04T00:00:00"/>
    <n v="4"/>
    <s v="Familia Arcia Polanco"/>
    <s v="misipo29@gmail.com"/>
    <s v="Calle Guacara Nro. 89-20"/>
    <s v="Cancelación Vigilancia, mes de Mayo 2018"/>
    <x v="0"/>
    <m/>
    <s v="00994"/>
    <s v="04 de mayo de 2018"/>
    <n v="4"/>
    <x v="18"/>
    <s v="4,00"/>
    <e v="#NAME?"/>
  </r>
  <r>
    <n v="995"/>
    <m/>
    <x v="0"/>
    <d v="2018-05-04T00:00:00"/>
    <n v="4"/>
    <s v="Familia Loponte Arteaga"/>
    <s v="nancyloponte@hotmail.com"/>
    <s v="Calle Güigüe Nro. 88-120"/>
    <s v="Cancelación Vigilancia, mes de Mayo 2018"/>
    <x v="0"/>
    <m/>
    <s v="00995"/>
    <s v="04 de mayo de 2018"/>
    <n v="4"/>
    <x v="18"/>
    <s v="4,00"/>
    <e v="#NAME?"/>
  </r>
  <r>
    <n v="996"/>
    <m/>
    <x v="0"/>
    <d v="2018-05-04T00:00:00"/>
    <n v="4"/>
    <s v="Familia Durvelle Serrano"/>
    <s v="sdurvelle@hotmail.com"/>
    <s v="Calle Guacara Nro. 89-60"/>
    <s v="Cancelación Vigilancia, saldo mes de Mayo y anticipo Junio 2018"/>
    <x v="0"/>
    <m/>
    <s v="00996"/>
    <s v="04 de mayo de 2018"/>
    <n v="4"/>
    <x v="18"/>
    <s v="4,00"/>
    <e v="#NAME?"/>
  </r>
  <r>
    <n v="997"/>
    <m/>
    <x v="0"/>
    <d v="2018-05-06T00:00:00"/>
    <n v="2.6"/>
    <s v="Familia Alonso Rojas"/>
    <s v="redjc01@gmail.com"/>
    <s v="Calle Güigüe Nro. 89-54"/>
    <s v="Cancelación Vigilancia, saldo mes de Mayo 2018"/>
    <x v="0"/>
    <m/>
    <s v="00997"/>
    <s v="06 de mayo de 2018"/>
    <n v="6"/>
    <x v="18"/>
    <s v="2,60"/>
    <e v="#NAME?"/>
  </r>
  <r>
    <n v="998"/>
    <m/>
    <x v="0"/>
    <d v="2018-05-07T00:00:00"/>
    <n v="4"/>
    <s v="Wu Hung Fung"/>
    <s v="carolinahung24@gmail.com"/>
    <s v="Calle Guacara Nro. 90-81"/>
    <s v="Cancelación Vigilancia, mes de Mayo 2018"/>
    <x v="0"/>
    <m/>
    <s v="00998"/>
    <s v="07 de mayo de 2018"/>
    <n v="7"/>
    <x v="18"/>
    <s v="4,00"/>
    <e v="#NAME?"/>
  </r>
  <r>
    <n v="999"/>
    <m/>
    <x v="0"/>
    <d v="2018-05-07T00:00:00"/>
    <n v="1"/>
    <s v="Wu Hung Fung"/>
    <s v="carolinahung24@gmail.com"/>
    <s v="Calle Guacara Nro. 90-81"/>
    <s v="Colaboración mantenimiento Caseta de Vigilancia"/>
    <x v="8"/>
    <m/>
    <s v="00999"/>
    <s v="07 de mayo de 2018"/>
    <n v="7"/>
    <x v="18"/>
    <s v="1,00"/>
    <e v="#NAME?"/>
  </r>
  <r>
    <n v="1000"/>
    <m/>
    <x v="0"/>
    <d v="2018-05-07T00:00:00"/>
    <n v="4"/>
    <s v="Familia Colosso Delgado"/>
    <s v="mcolosso@gmail.com"/>
    <s v="Calle Güigüe Nro. 88-44"/>
    <s v="Cancelación Vigilancia, mes de Mayo 2018"/>
    <x v="0"/>
    <m/>
    <s v="01000"/>
    <s v="07 de mayo de 2018"/>
    <n v="7"/>
    <x v="18"/>
    <s v="4,00"/>
    <e v="#NAME?"/>
  </r>
  <r>
    <n v="1001"/>
    <m/>
    <x v="0"/>
    <d v="2018-04-06T00:00:00"/>
    <n v="1.4"/>
    <s v="Familia Ferrer Bahri"/>
    <s v="bahrimariela@hotmail.com"/>
    <s v="Calle Güigüe Nro. 89-83"/>
    <s v="Cancelación Vigilancia, mes de Abril 2018"/>
    <x v="0"/>
    <m/>
    <s v="01001"/>
    <s v="06 de abril de 2018"/>
    <n v="6"/>
    <x v="17"/>
    <s v="1,40"/>
    <e v="#NAME?"/>
  </r>
  <r>
    <n v="1002"/>
    <m/>
    <x v="0"/>
    <d v="2018-04-06T00:00:00"/>
    <n v="0.6"/>
    <s v="Familia Ferrer Bahri"/>
    <s v="bahrimariela@hotmail.com"/>
    <s v="Calle Güigüe Nro. 89-83"/>
    <s v="Colaboración mantenimiento Caseta de Vigilancia"/>
    <x v="8"/>
    <m/>
    <s v="01002"/>
    <s v="06 de abril de 2018"/>
    <n v="6"/>
    <x v="17"/>
    <s v="0,60"/>
    <e v="#NAME?"/>
  </r>
  <r>
    <n v="1003"/>
    <m/>
    <x v="0"/>
    <d v="2018-05-07T00:00:00"/>
    <n v="4"/>
    <s v="Familia Ferrer Bahri"/>
    <s v="bahrimariela@hotmail.com"/>
    <s v="Calle Güigüe Nro. 89-83"/>
    <s v="Cancelación Vigilancia, mes de Mayo 2018"/>
    <x v="0"/>
    <m/>
    <s v="01003"/>
    <s v="07 de mayo de 2018"/>
    <n v="7"/>
    <x v="18"/>
    <s v="4,00"/>
    <e v="#NAME?"/>
  </r>
  <r>
    <n v="1004"/>
    <m/>
    <x v="0"/>
    <d v="2018-05-07T00:00:00"/>
    <n v="5.4"/>
    <s v="Familia Flores Montagne"/>
    <s v="martaflores@gmail.com"/>
    <s v="Av. &quot;M&quot; Nro. 146-20"/>
    <s v="Cancelación Vigilancia, meses de Abril y Mayo 2018"/>
    <x v="0"/>
    <m/>
    <s v="01004"/>
    <s v="07 de mayo de 2018"/>
    <n v="7"/>
    <x v="18"/>
    <s v="5,40"/>
    <e v="#NAME?"/>
  </r>
  <r>
    <n v="1005"/>
    <m/>
    <x v="0"/>
    <d v="2018-05-04T00:00:00"/>
    <n v="1.4"/>
    <s v="Familia Gascón Domínguez"/>
    <s v="vrgascon@gmail.com"/>
    <s v="Calle Güigüe Nro. 88-70"/>
    <s v="Cancelación Vigilancia, mes de Abril 2018"/>
    <x v="0"/>
    <m/>
    <s v="01005"/>
    <s v="04 de mayo de 2018"/>
    <n v="4"/>
    <x v="18"/>
    <s v="1,40"/>
    <e v="#NAME?"/>
  </r>
  <r>
    <n v="1006"/>
    <m/>
    <x v="0"/>
    <d v="2018-05-07T00:00:00"/>
    <n v="4.4000000000000004"/>
    <s v="Familia Astor Zamora"/>
    <s v="imzastor@gmail.com"/>
    <s v="Calle Güigüe Nro. 88-111"/>
    <s v="Cancelación Vigilancia, meses de Enero, Febrero, Marzo y Abril 2018"/>
    <x v="0"/>
    <m/>
    <s v="01006"/>
    <s v="07 de mayo de 2018"/>
    <n v="7"/>
    <x v="18"/>
    <s v="4,40"/>
    <e v="#NAME?"/>
  </r>
  <r>
    <n v="1007"/>
    <m/>
    <x v="0"/>
    <d v="2018-05-08T00:00:00"/>
    <n v="1"/>
    <s v="Familia Méndez Parra"/>
    <s v="briceidamp@hotmail.com"/>
    <s v="Calle Guacara Nro. 88-19"/>
    <s v="Colaboración Vigilancia, mes de Abril 2018"/>
    <x v="0"/>
    <m/>
    <s v="01007"/>
    <s v="08 de mayo de 2018"/>
    <n v="8"/>
    <x v="18"/>
    <s v="1,00"/>
    <e v="#NAME?"/>
  </r>
  <r>
    <n v="1008"/>
    <m/>
    <x v="0"/>
    <d v="2018-05-08T00:00:00"/>
    <n v="6.8"/>
    <s v="Familia Matta Palomino"/>
    <s v="En Físico"/>
    <s v="Calle Güigüe Nro. 88-90"/>
    <s v="Cancelación Vigilancia, meses de Marzo, Abril y Mayo 2018"/>
    <x v="0"/>
    <m/>
    <s v="01008"/>
    <s v="08 de mayo de 2018"/>
    <n v="8"/>
    <x v="18"/>
    <s v="6,80"/>
    <e v="#NAME?"/>
  </r>
  <r>
    <n v="1009"/>
    <m/>
    <x v="0"/>
    <d v="2018-05-08T00:00:00"/>
    <n v="1.4"/>
    <s v="Ana de González"/>
    <s v="mikelnowak25@gmail.com"/>
    <s v="Av. &quot;O&quot; Nro. 146-17"/>
    <s v="Colaboración Vigilancia, mes de Abril 2018"/>
    <x v="0"/>
    <m/>
    <s v="01009"/>
    <s v="08 de mayo de 2018"/>
    <n v="8"/>
    <x v="18"/>
    <s v="1,40"/>
    <e v="#NAME?"/>
  </r>
  <r>
    <n v="1010"/>
    <m/>
    <x v="0"/>
    <d v="2018-05-08T00:00:00"/>
    <n v="4"/>
    <s v="Isbeth Palacios"/>
    <s v="ispalparcpc@gmail.com"/>
    <s v="Calle Guacara Nro. 88-75"/>
    <s v="Cancelación Vigilancia, mes de Mayo 2018"/>
    <x v="0"/>
    <m/>
    <s v="01010"/>
    <s v="08 de mayo de 2018"/>
    <n v="8"/>
    <x v="18"/>
    <s v="4,00"/>
    <e v="#NAME?"/>
  </r>
  <r>
    <n v="1011"/>
    <m/>
    <x v="0"/>
    <d v="2018-05-08T00:00:00"/>
    <n v="5.55"/>
    <s v="La Casita Encantada"/>
    <s v="En Físico"/>
    <s v="Av. &quot;M&quot; Nro. 146-30"/>
    <s v="Cancelación Vigilancia, meses de Abril y Mayo 2018"/>
    <x v="0"/>
    <m/>
    <s v="01011"/>
    <s v="08 de mayo de 2018"/>
    <n v="8"/>
    <x v="18"/>
    <s v="5,55"/>
    <e v="#NAME?"/>
  </r>
  <r>
    <n v="1012"/>
    <m/>
    <x v="0"/>
    <d v="2018-05-09T00:00:00"/>
    <n v="4"/>
    <s v="Familia Costermani Terrer"/>
    <s v="claudiacostermani@hotmail.com"/>
    <s v="Calle Güigüe Nro. 88-11"/>
    <s v="Cancelación Vigilancia, mes de Mayo 2018"/>
    <x v="0"/>
    <m/>
    <s v="01012"/>
    <s v="09 de mayo de 2018"/>
    <n v="9"/>
    <x v="18"/>
    <s v="4,00"/>
    <e v="#NAME?"/>
  </r>
  <r>
    <n v="1013"/>
    <m/>
    <x v="0"/>
    <d v="2018-05-10T00:00:00"/>
    <n v="20"/>
    <s v="Familia Kattar González"/>
    <s v="jagiak123@yahoo.es"/>
    <s v="Calle Güigüe Nro. 89-95"/>
    <s v="Cancelación Vigilancia, saldo mes de Mayo, y anticipo meses de Junio, Julio, Agosto, Septiembre y Octubre 2018"/>
    <x v="0"/>
    <m/>
    <s v="01013"/>
    <s v="10 de mayo de 2018"/>
    <n v="10"/>
    <x v="18"/>
    <s v="20,00"/>
    <e v="#NAME?"/>
  </r>
  <r>
    <n v="1014"/>
    <m/>
    <x v="0"/>
    <d v="2018-05-10T00:00:00"/>
    <n v="4"/>
    <s v="Familia Navarro Assing"/>
    <s v="liliaassing@gmail.com"/>
    <s v="Calle Güigüe Nro. 88-54"/>
    <s v="Cancelación Vigilancia, mes de Mayo 2018"/>
    <x v="0"/>
    <m/>
    <s v="01014"/>
    <s v="10 de mayo de 2018"/>
    <n v="10"/>
    <x v="18"/>
    <s v="4,00"/>
    <e v="#NAME?"/>
  </r>
  <r>
    <n v="1015"/>
    <m/>
    <x v="0"/>
    <d v="2018-05-11T00:00:00"/>
    <n v="4"/>
    <s v="Familia Delgado Hidalgo"/>
    <s v="ardh@hotmail.com"/>
    <s v="Calle Güigüe Nro. 88-10"/>
    <s v="Cancelación Vigilancia, mes de Mayo 2018"/>
    <x v="0"/>
    <m/>
    <s v="01015"/>
    <s v="11 de mayo de 2018"/>
    <n v="11"/>
    <x v="18"/>
    <s v="4,00"/>
    <e v="#NAME?"/>
  </r>
  <r>
    <n v="1016"/>
    <m/>
    <x v="0"/>
    <d v="2018-05-11T00:00:00"/>
    <n v="2.8"/>
    <s v="Sra. Reina Meléndez"/>
    <s v="olgajipe@gmail.com"/>
    <s v="Av. &quot;M&quot; Nro. 145-10"/>
    <s v="Cancelación Vigilancia, mes de Abril y anticipo Mayo 2018"/>
    <x v="0"/>
    <m/>
    <s v="01016"/>
    <s v="11 de mayo de 2018"/>
    <n v="11"/>
    <x v="18"/>
    <s v="2,80"/>
    <e v="#NAME?"/>
  </r>
  <r>
    <n v="1017"/>
    <m/>
    <x v="0"/>
    <d v="2018-05-13T00:00:00"/>
    <n v="1"/>
    <s v="Familia Morales Sesar"/>
    <s v="moralesesar@gmail.com"/>
    <s v="Calle Güigüe Nro. 89-120"/>
    <s v="Colaboración Vigilancia, meses de Marzo y Abril 2018"/>
    <x v="0"/>
    <m/>
    <s v="01017"/>
    <s v="13 de mayo de 2018"/>
    <n v="13"/>
    <x v="18"/>
    <s v="1,00"/>
    <e v="#NAME?"/>
  </r>
  <r>
    <n v="1018"/>
    <m/>
    <x v="0"/>
    <d v="2018-05-13T00:00:00"/>
    <n v="5.8"/>
    <s v="Colegio El Trigal"/>
    <s v="En Físico"/>
    <s v="Calle Güigüe Nros. 88-71 y 88-81"/>
    <s v="Cancelación Vigilancia, mes de Mayo 2018"/>
    <x v="0"/>
    <m/>
    <s v="01018"/>
    <s v="13 de mayo de 2018"/>
    <n v="13"/>
    <x v="18"/>
    <s v="5,80"/>
    <e v="#NAME?"/>
  </r>
  <r>
    <n v="1019"/>
    <m/>
    <x v="0"/>
    <d v="2018-05-14T00:00:00"/>
    <n v="3"/>
    <s v="Familia Martínez Boada"/>
    <s v="florcitakmz@gmail.com"/>
    <s v="Calle Güigüe Nro. 88-62"/>
    <s v="Colaboración Vigilancia, meses de Marzo, Abril y Mayo 2018"/>
    <x v="0"/>
    <m/>
    <s v="01019"/>
    <s v="14 de mayo de 2018"/>
    <n v="14"/>
    <x v="18"/>
    <s v="3,00"/>
    <e v="#NAME?"/>
  </r>
  <r>
    <n v="1020"/>
    <m/>
    <x v="0"/>
    <d v="2018-05-15T00:00:00"/>
    <n v="4"/>
    <s v="Familia Nava Gordon"/>
    <s v="maru_19_66@hotmail.com"/>
    <s v="Calle Guacara Nro. 89-78"/>
    <s v="Cancelación Vigilancia, mes de Mayo 2018"/>
    <x v="0"/>
    <m/>
    <s v="01020"/>
    <s v="15 de mayo de 2018"/>
    <n v="15"/>
    <x v="18"/>
    <s v="4,00"/>
    <e v="#NAME?"/>
  </r>
  <r>
    <n v="1021"/>
    <m/>
    <x v="0"/>
    <d v="2018-05-15T00:00:00"/>
    <n v="4"/>
    <s v="Familia Hurtado"/>
    <s v="En Físico"/>
    <s v="Av. &quot;O&quot; Nro. 146-11"/>
    <s v="Cancelación Vigilancia, mes de Mayo 2018"/>
    <x v="0"/>
    <m/>
    <s v="01021"/>
    <s v="15 de mayo de 2018"/>
    <n v="15"/>
    <x v="18"/>
    <s v="4,00"/>
    <e v="#NAME?"/>
  </r>
  <r>
    <n v="1022"/>
    <m/>
    <x v="0"/>
    <d v="2018-05-15T00:00:00"/>
    <n v="4"/>
    <s v="Familia Kablan Sarmiento"/>
    <s v="norisjsb56@hotmail.com"/>
    <s v="Calle Güigüe Nro. 89-80"/>
    <s v="Cancelación Vigilancia, mes de Mayo 2018"/>
    <x v="0"/>
    <m/>
    <s v="01022"/>
    <s v="15 de mayo de 2018"/>
    <n v="15"/>
    <x v="18"/>
    <s v="4,00"/>
    <e v="#NAME?"/>
  </r>
  <r>
    <n v="1023"/>
    <m/>
    <x v="0"/>
    <d v="2018-05-15T00:00:00"/>
    <n v="2"/>
    <s v="Familia Rodríguez Landaeta"/>
    <s v="mrl58@hotmail.com"/>
    <s v="Calle Güigüe Nro. 89-29"/>
    <s v="Colaboración Vigilancia, mes de Mayo 2018"/>
    <x v="0"/>
    <m/>
    <s v="01023"/>
    <s v="15 de mayo de 2018"/>
    <n v="15"/>
    <x v="18"/>
    <s v="2,00"/>
    <e v="#NAME?"/>
  </r>
  <r>
    <n v="1024"/>
    <m/>
    <x v="0"/>
    <d v="2018-05-15T00:00:00"/>
    <n v="3"/>
    <s v="Dra. Lilia Magallanes"/>
    <s v="liliamagallanes2010@gmail.com"/>
    <s v="Calle Güigüe Nro. 88-51"/>
    <s v="Cancelación Vigilancia, meses de Noviembre y Diciembre 2017, Enero y Febrero 2018, y anticipo Marzo 2018"/>
    <x v="0"/>
    <m/>
    <s v="01024"/>
    <s v="15 de mayo de 2018"/>
    <n v="15"/>
    <x v="18"/>
    <s v="3,00"/>
    <e v="#NAME?"/>
  </r>
  <r>
    <n v="1025"/>
    <m/>
    <x v="0"/>
    <d v="2018-05-17T00:00:00"/>
    <n v="4"/>
    <s v="Beatriz Lara"/>
    <s v="valentina.gutierrez@hotmail.com"/>
    <s v="Calle Guacara Nro. 89-130"/>
    <s v="Cancelación Vigilancia, mes de Mayo 2018"/>
    <x v="0"/>
    <m/>
    <s v="01025"/>
    <s v="17 de mayo de 2018"/>
    <n v="17"/>
    <x v="18"/>
    <s v="4,00"/>
    <e v="#NAME?"/>
  </r>
  <r>
    <n v="1026"/>
    <m/>
    <x v="0"/>
    <d v="2018-05-18T00:00:00"/>
    <n v="16"/>
    <s v="Familia Machado Stoppa"/>
    <s v="machadoru@hotmail.com"/>
    <s v="Calle Guacara Nro. 88-85"/>
    <s v="Cancelación Vigilancia, meses de Mayo, Junio, Julio y Agosto 2018"/>
    <x v="0"/>
    <m/>
    <s v="01026"/>
    <s v="18 de mayo de 2018"/>
    <n v="18"/>
    <x v="18"/>
    <s v="16,00"/>
    <e v="#NAME?"/>
  </r>
  <r>
    <n v="1027"/>
    <m/>
    <x v="0"/>
    <d v="2018-05-18T00:00:00"/>
    <n v="2.5"/>
    <s v="Victoria Francischiello"/>
    <s v="victoriafrancischiello@hotmail.com"/>
    <s v="Calle Guacara Nro. 88-25"/>
    <s v="Colaboración Vigilancia, mes de Mayo 2018"/>
    <x v="0"/>
    <m/>
    <s v="01027"/>
    <s v="18 de mayo de 2018"/>
    <n v="18"/>
    <x v="18"/>
    <s v="2,50"/>
    <e v="#NAME?"/>
  </r>
  <r>
    <n v="1028"/>
    <m/>
    <x v="0"/>
    <d v="2018-05-18T00:00:00"/>
    <n v="1.4"/>
    <s v="Familia Barreto Pérez"/>
    <s v="bbetsa19@hotmail.com"/>
    <s v="Av. &quot;M&quot; Nro. 146-15"/>
    <s v="Cancelación Vigilancia, mes de Abril 2018"/>
    <x v="0"/>
    <m/>
    <s v="01028"/>
    <s v="18 de mayo de 2018"/>
    <n v="18"/>
    <x v="18"/>
    <s v="1,40"/>
    <e v="#NAME?"/>
  </r>
  <r>
    <n v="1029"/>
    <m/>
    <x v="0"/>
    <d v="2018-05-18T00:00:00"/>
    <n v="4"/>
    <s v="Familia Castillo Mena"/>
    <s v="emmecas@hotmail.com"/>
    <s v="Calle Güigüe Nro. 88-101"/>
    <s v="Cancelación Vigilancia, mes de Mayo 2018"/>
    <x v="0"/>
    <m/>
    <s v="01029"/>
    <s v="18 de mayo de 2018"/>
    <n v="18"/>
    <x v="18"/>
    <s v="4,00"/>
    <e v="#NAME?"/>
  </r>
  <r>
    <n v="1030"/>
    <m/>
    <x v="0"/>
    <d v="2018-05-19T00:00:00"/>
    <n v="4"/>
    <s v="Amarilis Guerra"/>
    <s v="amarilisguerra1@yahoo.com"/>
    <s v="Calle Güigüe Nro. 89-96"/>
    <s v="Cancelación Vigilancia, mes de Mayo 2018"/>
    <x v="0"/>
    <m/>
    <s v="01030"/>
    <s v="19 de mayo de 2018"/>
    <n v="19"/>
    <x v="18"/>
    <s v="4,00"/>
    <e v="#NAME?"/>
  </r>
  <r>
    <n v="1031"/>
    <m/>
    <x v="0"/>
    <d v="2018-05-20T00:00:00"/>
    <n v="1.2"/>
    <s v="Familia Rivero"/>
    <s v="En Físico"/>
    <s v="Calle Güigüe Nro. 88-40"/>
    <s v="Colaboración Vigilancia, meses de Febrero, Marzo, Abril y Mayo 2018"/>
    <x v="0"/>
    <m/>
    <s v="01031"/>
    <s v="20 de mayo de 2018"/>
    <n v="20"/>
    <x v="18"/>
    <s v="1,20"/>
    <e v="#NAME?"/>
  </r>
  <r>
    <n v="1032"/>
    <m/>
    <x v="0"/>
    <d v="2018-05-20T00:00:00"/>
    <n v="5.4"/>
    <s v="Familia Navarrete Medina"/>
    <s v="juanin1919@yahoo.com"/>
    <s v="Calle Güigüe Nro. 89-22"/>
    <s v="Cancelación Vigilancia, meses de Abril y Mayo 2018"/>
    <x v="0"/>
    <m/>
    <s v="01032"/>
    <s v="20 de mayo de 2018"/>
    <n v="20"/>
    <x v="18"/>
    <s v="5,40"/>
    <e v="#NAME?"/>
  </r>
  <r>
    <n v="1033"/>
    <m/>
    <x v="0"/>
    <d v="2018-05-04T00:00:00"/>
    <n v="2"/>
    <s v="Chin Chun Ya (Goya)"/>
    <s v="uc2721@gmail.com"/>
    <s v="Calle Guacara Nro. 87-86"/>
    <s v="Colaboración Vigilancia, mes de Mayo 2018"/>
    <x v="0"/>
    <m/>
    <s v="01033"/>
    <s v="04 de mayo de 2018"/>
    <n v="4"/>
    <x v="18"/>
    <s v="2,00"/>
    <e v="#NAME?"/>
  </r>
  <r>
    <n v="1034"/>
    <m/>
    <x v="0"/>
    <d v="2018-05-21T00:00:00"/>
    <n v="4"/>
    <s v="Familia Montilla García"/>
    <s v="dairy252525@hotmail.com"/>
    <s v="Calle Güigüe Nro. 89-90"/>
    <s v="Cancelación Vigilancia, mes de Mayo 2018"/>
    <x v="0"/>
    <m/>
    <s v="01034"/>
    <s v="21 de mayo de 2018"/>
    <n v="21"/>
    <x v="18"/>
    <s v="4,00"/>
    <e v="#NAME?"/>
  </r>
  <r>
    <n v="1035"/>
    <m/>
    <x v="0"/>
    <d v="2018-05-21T00:00:00"/>
    <n v="2"/>
    <s v="Héctor Hernández"/>
    <s v="eof64@hotmail.com"/>
    <s v="Calle Guacara Nro. 89-94"/>
    <s v="Colaboración Vigilancia, mes de Mayo 2018"/>
    <x v="0"/>
    <m/>
    <s v="01035"/>
    <s v="21 de mayo de 2018"/>
    <n v="21"/>
    <x v="18"/>
    <s v="2,00"/>
    <e v="#NAME?"/>
  </r>
  <r>
    <n v="1036"/>
    <m/>
    <x v="0"/>
    <d v="2018-05-21T00:00:00"/>
    <n v="1.9"/>
    <s v="Familia Franco Gómez"/>
    <s v="eof64@hotmail.com"/>
    <s v="Calle Guacara Nro. 87-07"/>
    <s v="Cancelación Vigilancia, anticipo mes de Mayo 2018"/>
    <x v="0"/>
    <m/>
    <s v="01036"/>
    <s v="21 de mayo de 2018"/>
    <n v="21"/>
    <x v="18"/>
    <s v="1,90"/>
    <e v="#NAME?"/>
  </r>
  <r>
    <n v="1037"/>
    <m/>
    <x v="0"/>
    <d v="2018-05-21T00:00:00"/>
    <n v="4"/>
    <s v="Familia Narváez Caldera"/>
    <s v="jeannette_nc@yahoo.com"/>
    <s v="Calle Güigüe Nro. 87-A-11"/>
    <s v="Cancelación Vigilancia, mes de Mayo 2018"/>
    <x v="0"/>
    <m/>
    <s v="01037"/>
    <s v="21 de mayo de 2018"/>
    <n v="21"/>
    <x v="18"/>
    <s v="4,00"/>
    <e v="#NAME?"/>
  </r>
  <r>
    <n v="1038"/>
    <m/>
    <x v="0"/>
    <d v="2018-05-21T00:00:00"/>
    <n v="1"/>
    <s v="Familia Narváez Caldera"/>
    <s v="jeannette_nc@yahoo.com"/>
    <s v="Calle Güigüe Nro. 87-A-11"/>
    <s v="Colaboración mantenimiento Caseta de Vigilancia"/>
    <x v="8"/>
    <m/>
    <s v="01038"/>
    <s v="21 de mayo de 2018"/>
    <n v="21"/>
    <x v="18"/>
    <s v="1,00"/>
    <e v="#NAME?"/>
  </r>
  <r>
    <n v="1039"/>
    <m/>
    <x v="0"/>
    <d v="2018-05-21T00:00:00"/>
    <n v="4"/>
    <s v="Familia Díaz González"/>
    <s v="luisrdt57@gmail.com"/>
    <s v="Calle Güigüe Nro. 88-116"/>
    <s v="Cancelación Vigilancia, mes de Mayo 2018"/>
    <x v="0"/>
    <m/>
    <s v="01039"/>
    <s v="21 de mayo de 2018"/>
    <n v="21"/>
    <x v="18"/>
    <s v="4,00"/>
    <e v="#NAME?"/>
  </r>
  <r>
    <n v="1040"/>
    <m/>
    <x v="0"/>
    <d v="2018-05-21T00:00:00"/>
    <n v="4"/>
    <s v="Ana de González"/>
    <s v="mikelnowak25@gmail.com"/>
    <s v="Av. &quot;O&quot; Nro. 146-17"/>
    <s v="Cancelación Vigilancia, mes de Mayo 2018"/>
    <x v="0"/>
    <m/>
    <s v="01040"/>
    <s v="21 de mayo de 2018"/>
    <n v="21"/>
    <x v="18"/>
    <s v="4,00"/>
    <e v="#NAME?"/>
  </r>
  <r>
    <n v="1041"/>
    <m/>
    <x v="0"/>
    <d v="2018-05-21T00:00:00"/>
    <n v="4"/>
    <s v="Familia Piñero Padilla"/>
    <s v="achepaul2005@hotmail.com"/>
    <s v="Calle Güigüe Nro. 89-21"/>
    <s v="Cancelación Vigilancia, mes de Mayo 2018"/>
    <x v="0"/>
    <m/>
    <s v="01041"/>
    <s v="21 de mayo de 2018"/>
    <n v="21"/>
    <x v="18"/>
    <s v="4,00"/>
    <e v="#NAME?"/>
  </r>
  <r>
    <n v="1042"/>
    <m/>
    <x v="0"/>
    <d v="2018-05-21T00:00:00"/>
    <n v="3.5"/>
    <s v="Familia Piñero Padilla"/>
    <s v="achepaul2005@hotmail.com"/>
    <s v="Calle Güigüe Nro. 89-21"/>
    <s v="Colaboración mantenimiento Caseta de Vigilancia"/>
    <x v="8"/>
    <m/>
    <s v="01042"/>
    <s v="21 de mayo de 2018"/>
    <n v="21"/>
    <x v="18"/>
    <s v="3,50"/>
    <e v="#NAME?"/>
  </r>
  <r>
    <n v="1043"/>
    <m/>
    <x v="0"/>
    <d v="2018-05-21T00:00:00"/>
    <n v="4"/>
    <s v="Familia Hatem Medina"/>
    <s v="hhatem1@hotmail.com"/>
    <s v="Calle Guacara Nro. 88-51"/>
    <s v="Cancelación Vigilancia, mes de Mayo 2018"/>
    <x v="0"/>
    <m/>
    <s v="01043"/>
    <s v="21 de mayo de 2018"/>
    <n v="21"/>
    <x v="18"/>
    <s v="4,00"/>
    <e v="#NAME?"/>
  </r>
  <r>
    <n v="1044"/>
    <m/>
    <x v="0"/>
    <d v="2018-05-21T00:00:00"/>
    <n v="4"/>
    <s v="Familia Romero"/>
    <s v="autoescuela21@gmail.com"/>
    <s v="Calle Guacara Nro. 89-50"/>
    <s v="Cancelación Vigilancia, mes de Mayo 2018"/>
    <x v="0"/>
    <m/>
    <s v="01044"/>
    <s v="21 de mayo de 2018"/>
    <n v="21"/>
    <x v="18"/>
    <s v="4,00"/>
    <e v="#NAME?"/>
  </r>
  <r>
    <n v="1045"/>
    <m/>
    <x v="0"/>
    <d v="2018-05-22T00:00:00"/>
    <n v="3.5"/>
    <s v="Familia Colosso Delgado"/>
    <s v="mcolosso@gmail.com"/>
    <s v="Calle Güigüe Nro. 88-44"/>
    <s v="Colaboración mantenimiento Caseta de Vigilancia"/>
    <x v="8"/>
    <m/>
    <s v="01045"/>
    <s v="22 de mayo de 2018"/>
    <n v="22"/>
    <x v="18"/>
    <s v="3,50"/>
    <e v="#NAME?"/>
  </r>
  <r>
    <n v="1046"/>
    <m/>
    <x v="0"/>
    <d v="2018-05-22T00:00:00"/>
    <n v="3.5"/>
    <s v="Familia Alonso Rojas"/>
    <s v="redjc01@gmail.com"/>
    <s v="Calle Güigüe Nro. 89-54"/>
    <s v="Colaboración mantenimiento Caseta de Vigilancia"/>
    <x v="8"/>
    <m/>
    <s v="01046"/>
    <s v="22 de mayo de 2018"/>
    <n v="22"/>
    <x v="18"/>
    <s v="3,50"/>
    <e v="#NAME?"/>
  </r>
  <r>
    <n v="1047"/>
    <m/>
    <x v="0"/>
    <d v="2018-05-22T00:00:00"/>
    <n v="4"/>
    <s v="Familia Guerra Miret"/>
    <s v="antoniojguerrag@hotmail.com"/>
    <s v="Calle Güigüe Nro. 89-40"/>
    <s v="Cancelación Vigilancia, mes de Mayo 2018"/>
    <x v="0"/>
    <m/>
    <s v="01047"/>
    <s v="22 de mayo de 2018"/>
    <n v="22"/>
    <x v="18"/>
    <s v="4,00"/>
    <e v="#NAME?"/>
  </r>
  <r>
    <n v="1048"/>
    <m/>
    <x v="0"/>
    <d v="2018-05-22T00:00:00"/>
    <n v="3.5"/>
    <s v="Chin Chun Ya (Goya)"/>
    <s v="uc2721@gmail.com"/>
    <s v="Calle Guacara Nro. 87-86"/>
    <s v="Colaboración mantenimiento Caseta de Vigilancia"/>
    <x v="8"/>
    <m/>
    <s v="01048"/>
    <s v="22 de mayo de 2018"/>
    <n v="22"/>
    <x v="18"/>
    <s v="3,50"/>
    <e v="#NAME?"/>
  </r>
  <r>
    <n v="1049"/>
    <m/>
    <x v="0"/>
    <d v="2018-05-22T00:00:00"/>
    <n v="1.9"/>
    <s v="Familia Narváez Caldera"/>
    <s v="jeannette_nc@yahoo.com"/>
    <s v="Calle Güigüe Nro. 87-A-11"/>
    <s v="Colaboración mantenimiento Caseta de Vigilancia"/>
    <x v="8"/>
    <m/>
    <s v="01049"/>
    <s v="22 de mayo de 2018"/>
    <n v="22"/>
    <x v="18"/>
    <s v="1,90"/>
    <e v="#NAME?"/>
  </r>
  <r>
    <n v="1050"/>
    <m/>
    <x v="0"/>
    <d v="2018-05-22T00:00:00"/>
    <n v="4"/>
    <s v="Familia Alonso Rojas"/>
    <s v="redjc01@gmail.com"/>
    <s v="Calle Güigüe Nro. 89-54"/>
    <s v="Cancelación Vigilancia, mes de Junio 2018"/>
    <x v="0"/>
    <m/>
    <s v="01050"/>
    <s v="22 de mayo de 2018"/>
    <n v="22"/>
    <x v="18"/>
    <s v="4,00"/>
    <e v="#NAME?"/>
  </r>
  <r>
    <n v="1051"/>
    <m/>
    <x v="0"/>
    <d v="2018-05-22T00:00:00"/>
    <n v="3.5"/>
    <s v="Familia Fermín Rivas"/>
    <s v="angelferminb@gmail.com"/>
    <s v="Calle Güigüe Nro. 89-55"/>
    <s v="Colaboración mantenimiento Caseta de Vigilancia"/>
    <x v="8"/>
    <m/>
    <s v="01051"/>
    <s v="22 de mayo de 2018"/>
    <n v="22"/>
    <x v="18"/>
    <s v="3,50"/>
    <e v="#NAME?"/>
  </r>
  <r>
    <n v="1052"/>
    <m/>
    <x v="0"/>
    <d v="2018-05-22T00:00:00"/>
    <n v="3.5"/>
    <s v="Familia Ochoa Mendoza"/>
    <s v="marisoljudithm@hotmail.com"/>
    <s v="Calle Güigüe Nro. 89-105"/>
    <s v="Colaboración mantenimiento Caseta de Vigilancia"/>
    <x v="8"/>
    <m/>
    <s v="01052"/>
    <s v="22 de mayo de 2018"/>
    <n v="22"/>
    <x v="18"/>
    <s v="3,50"/>
    <e v="#NAME?"/>
  </r>
  <r>
    <n v="1053"/>
    <m/>
    <x v="0"/>
    <d v="2018-05-22T00:00:00"/>
    <n v="8"/>
    <s v="Anahiz Seijas"/>
    <s v="anahiz_2@hotmail.es"/>
    <s v="Calle Güigüe Nro. 89-106"/>
    <s v="Cancelación Vigilancia, meses de Mayo y Junio 2018"/>
    <x v="0"/>
    <m/>
    <s v="01053"/>
    <s v="22 de mayo de 2018"/>
    <n v="22"/>
    <x v="18"/>
    <s v="8,00"/>
    <e v="#NAME?"/>
  </r>
  <r>
    <n v="1054"/>
    <m/>
    <x v="0"/>
    <d v="2018-05-22T00:00:00"/>
    <n v="3.5"/>
    <s v="Familia Arcia Polanco"/>
    <s v="misipo29@gmail.com"/>
    <s v="Calle Guacara Nro. 89-20"/>
    <s v="Colaboración mantenimiento Caseta de Vigilancia"/>
    <x v="8"/>
    <m/>
    <s v="01054"/>
    <s v="22 de mayo de 2018"/>
    <n v="22"/>
    <x v="18"/>
    <s v="3,50"/>
    <e v="#NAME?"/>
  </r>
  <r>
    <n v="1055"/>
    <m/>
    <x v="0"/>
    <d v="2018-05-22T00:00:00"/>
    <n v="4"/>
    <s v="Familia Castro Jiménez"/>
    <s v="aurycastrojimenez@gmail.com"/>
    <s v="Calle Guacara Nro. 90-51"/>
    <s v="Cancelación Vigilancia, mes de Mayo 2018"/>
    <x v="0"/>
    <m/>
    <s v="01055"/>
    <s v="22 de mayo de 2018"/>
    <n v="22"/>
    <x v="18"/>
    <s v="4,00"/>
    <e v="#NAME?"/>
  </r>
  <r>
    <n v="1056"/>
    <m/>
    <x v="0"/>
    <d v="2018-05-22T00:00:00"/>
    <n v="3.5"/>
    <s v="Familia Castro Jiménez"/>
    <s v="aurycastrojimenez@gmail.com"/>
    <s v="Calle Guacara Nro. 90-51"/>
    <s v="Colaboración mantenimiento Caseta de Vigilancia"/>
    <x v="8"/>
    <m/>
    <s v="01056"/>
    <s v="22 de mayo de 2018"/>
    <n v="22"/>
    <x v="18"/>
    <s v="3,50"/>
    <e v="#NAME?"/>
  </r>
  <r>
    <n v="1057"/>
    <m/>
    <x v="0"/>
    <d v="2018-05-22T00:00:00"/>
    <n v="3.5"/>
    <s v="Wu Hung Fung"/>
    <s v="carolinahung24@gmail.com"/>
    <s v="Calle Guacara Nro. 90-81"/>
    <s v="Colaboración mantenimiento Caseta de Vigilancia"/>
    <x v="8"/>
    <m/>
    <s v="01057"/>
    <s v="22 de mayo de 2018"/>
    <n v="22"/>
    <x v="18"/>
    <s v="3,50"/>
    <e v="#NAME?"/>
  </r>
  <r>
    <n v="1058"/>
    <m/>
    <x v="1"/>
    <d v="2018-05-22T00:00:00"/>
    <n v="1.5"/>
    <s v="Familia Lomeña Agudo"/>
    <s v="claudialomena@hotmail.com"/>
    <s v="Calle Guacara Nro. 89-30"/>
    <s v="ANULADO: Complemento colaboración mantenimiento Caseta de Vigilancia"/>
    <x v="3"/>
    <m/>
    <s v="01058"/>
    <s v="22 de mayo de 2018"/>
    <n v="22"/>
    <x v="18"/>
    <s v="1,50"/>
    <e v="#NAME?"/>
  </r>
  <r>
    <n v="1059"/>
    <m/>
    <x v="0"/>
    <d v="2018-05-22T00:00:00"/>
    <n v="3.5"/>
    <s v="Familia Durvelle Serrano"/>
    <s v="sdurvelle@hotmail.com"/>
    <s v="Calle Guacara Nro. 89-60"/>
    <s v="Colaboración mantenimiento Caseta de Vigilancia"/>
    <x v="8"/>
    <m/>
    <s v="01059"/>
    <s v="22 de mayo de 2018"/>
    <n v="22"/>
    <x v="18"/>
    <s v="3,50"/>
    <e v="#NAME?"/>
  </r>
  <r>
    <n v="1060"/>
    <m/>
    <x v="0"/>
    <d v="2018-05-22T00:00:00"/>
    <n v="3.5"/>
    <s v="Familia González Arévalo"/>
    <s v="feryenis@hotmail.com"/>
    <s v="Calle Guacara Nro. 89-86"/>
    <s v="Colaboración mantenimiento Caseta de Vigilancia"/>
    <x v="8"/>
    <m/>
    <s v="01060"/>
    <s v="22 de mayo de 2018"/>
    <n v="22"/>
    <x v="18"/>
    <s v="3,50"/>
    <e v="#NAME?"/>
  </r>
  <r>
    <n v="1061"/>
    <m/>
    <x v="0"/>
    <d v="2018-05-22T00:00:00"/>
    <n v="4"/>
    <s v="Familia Jiménez Navarro"/>
    <s v="joyasonline2012@gmail.com"/>
    <s v="Calle Güigüe Nro. 88-50"/>
    <s v="Cancelación Vigilancia, mes de Mayo 2018"/>
    <x v="0"/>
    <m/>
    <s v="01061"/>
    <s v="22 de mayo de 2018"/>
    <n v="22"/>
    <x v="18"/>
    <s v="4,00"/>
    <e v="#NAME?"/>
  </r>
  <r>
    <n v="1062"/>
    <m/>
    <x v="0"/>
    <d v="2018-05-22T00:00:00"/>
    <n v="3.5"/>
    <s v="Familia Jiménez Navarro"/>
    <s v="joyasonline2012@gmail.com"/>
    <s v="Calle Güigüe Nro. 88-50"/>
    <s v="Colaboración mantenimiento Caseta de Vigilancia"/>
    <x v="8"/>
    <m/>
    <s v="01062"/>
    <s v="22 de mayo de 2018"/>
    <n v="22"/>
    <x v="18"/>
    <s v="3,50"/>
    <e v="#NAME?"/>
  </r>
  <r>
    <n v="1063"/>
    <m/>
    <x v="0"/>
    <d v="2018-05-22T00:00:00"/>
    <n v="3.5"/>
    <s v="Familia Jiménez Salvatierra"/>
    <s v="En Físico"/>
    <s v="Calle Güigüe Nro. 89-45"/>
    <s v="Colaboración mantenimiento Caseta de Vigilancia (saldo a favor: Bs. 1.493.000)"/>
    <x v="8"/>
    <m/>
    <s v="01063"/>
    <s v="22 de mayo de 2018"/>
    <n v="22"/>
    <x v="18"/>
    <s v="3,50"/>
    <e v="#NAME?"/>
  </r>
  <r>
    <n v="1064"/>
    <m/>
    <x v="0"/>
    <d v="2018-05-22T00:00:00"/>
    <n v="3.5"/>
    <s v="La Casita Encantada"/>
    <s v="En Físico"/>
    <s v="Av. &quot;M&quot; Nro. 146-30"/>
    <s v="Colaboración mantenimiento Caseta de Vigilancia"/>
    <x v="8"/>
    <m/>
    <s v="01064"/>
    <s v="22 de mayo de 2018"/>
    <n v="22"/>
    <x v="18"/>
    <s v="3,50"/>
    <e v="#NAME?"/>
  </r>
  <r>
    <n v="1065"/>
    <m/>
    <x v="0"/>
    <d v="2018-05-22T00:00:00"/>
    <n v="6.6"/>
    <s v="Familia González Arévalo"/>
    <s v="feryenis@hotmail.com"/>
    <s v="Calle Guacara Nro. 89-86"/>
    <s v="Vigilancia, saldo mes de Mayo y cancelación mes de Junio 2018"/>
    <x v="0"/>
    <m/>
    <s v="01065"/>
    <s v="22 de mayo de 2018"/>
    <n v="22"/>
    <x v="18"/>
    <s v="6,60"/>
    <e v="#NAME?"/>
  </r>
  <r>
    <n v="1066"/>
    <m/>
    <x v="0"/>
    <d v="2018-05-23T00:00:00"/>
    <n v="3.5"/>
    <s v="Familia Machado Stoppa"/>
    <s v="machadoru@hotmail.com"/>
    <s v="Calle Guacara Nro. 88-85"/>
    <s v="Colaboración mantenimiento Caseta de Vigilancia"/>
    <x v="8"/>
    <m/>
    <s v="01066"/>
    <s v="23 de mayo de 2018"/>
    <n v="23"/>
    <x v="18"/>
    <s v="3,50"/>
    <e v="#NAME?"/>
  </r>
  <r>
    <n v="1067"/>
    <m/>
    <x v="0"/>
    <d v="2018-05-23T00:00:00"/>
    <n v="4"/>
    <s v="Familia Scabuzzo Gómez"/>
    <s v="sfscabuzzo@msn.com"/>
    <s v="Av. &quot;I&quot; Nro. 146-20"/>
    <s v="Cancelación Vigilancia, mes de Mayo 2018"/>
    <x v="0"/>
    <m/>
    <s v="01067"/>
    <s v="23 de mayo de 2018"/>
    <n v="23"/>
    <x v="18"/>
    <s v="4,00"/>
    <e v="#NAME?"/>
  </r>
  <r>
    <n v="1068"/>
    <m/>
    <x v="0"/>
    <d v="2018-05-23T00:00:00"/>
    <n v="3.5"/>
    <s v="Familia Delgado Hidalgo"/>
    <s v="ardh@hotmail.com"/>
    <s v="Calle Güigüe Nro. 88-10"/>
    <s v="Colaboración mantenimiento Caseta de Vigilancia"/>
    <x v="8"/>
    <m/>
    <s v="01068"/>
    <s v="23 de mayo de 2018"/>
    <n v="23"/>
    <x v="18"/>
    <s v="3,50"/>
    <e v="#NAME?"/>
  </r>
  <r>
    <n v="1069"/>
    <m/>
    <x v="0"/>
    <d v="2018-05-23T00:00:00"/>
    <n v="3.5"/>
    <s v="Héctor Hernández"/>
    <s v="eof64@hotmail.com"/>
    <s v="Calle Guacara Nro. 89-94"/>
    <s v="Colaboración mantenimiento Caseta de Vigilancia"/>
    <x v="8"/>
    <m/>
    <s v="01069"/>
    <s v="23 de mayo de 2018"/>
    <n v="23"/>
    <x v="18"/>
    <s v="3,50"/>
    <e v="#NAME?"/>
  </r>
  <r>
    <n v="1070"/>
    <m/>
    <x v="0"/>
    <d v="2018-05-23T00:00:00"/>
    <n v="3.5"/>
    <s v="Isbeth Palacios"/>
    <s v="ispalparcpc@gmail.com"/>
    <s v="Calle Guacara Nro. 88-75"/>
    <s v="Colaboración mantenimiento Caseta de Vigilancia"/>
    <x v="8"/>
    <m/>
    <s v="01070"/>
    <s v="23 de mayo de 2018"/>
    <n v="23"/>
    <x v="18"/>
    <s v="3,50"/>
    <e v="#NAME?"/>
  </r>
  <r>
    <n v="1071"/>
    <m/>
    <x v="0"/>
    <d v="2018-05-23T00:00:00"/>
    <n v="3.5"/>
    <s v="Familia Lomeña Agudo"/>
    <s v="claudialomena@hotmail.com"/>
    <s v="Calle Guacara Nro. 89-30"/>
    <s v="Complemento colaboración mantenimiento Caseta de Vigilancia"/>
    <x v="8"/>
    <m/>
    <s v="01071"/>
    <s v="23 de mayo de 2018"/>
    <n v="23"/>
    <x v="18"/>
    <s v="3,50"/>
    <e v="#NAME?"/>
  </r>
  <r>
    <n v="1072"/>
    <m/>
    <x v="0"/>
    <d v="2018-05-23T00:00:00"/>
    <n v="1.5"/>
    <s v="Familia Puerta Burguillos"/>
    <s v="namaricakes@gmail.com"/>
    <s v="Calle Guacara Nro. 87-100"/>
    <s v="Cancelación Vigilancia, saldo mes de Mayo 2018"/>
    <x v="0"/>
    <m/>
    <s v="01072"/>
    <s v="23 de mayo de 2018"/>
    <n v="23"/>
    <x v="18"/>
    <s v="1,50"/>
    <e v="#NAME?"/>
  </r>
  <r>
    <n v="1073"/>
    <m/>
    <x v="0"/>
    <d v="2018-05-23T00:00:00"/>
    <n v="1"/>
    <s v="Familia Puerta Burguillos"/>
    <s v="namaricakes@gmail.com"/>
    <s v="Calle Guacara Nro. 87-100"/>
    <s v="Colaboración mantenimiento Caseta de Vigilancia"/>
    <x v="8"/>
    <m/>
    <s v="01073"/>
    <s v="23 de mayo de 2018"/>
    <n v="23"/>
    <x v="18"/>
    <s v="1,00"/>
    <e v="#NAME?"/>
  </r>
  <r>
    <n v="1074"/>
    <m/>
    <x v="0"/>
    <d v="2018-05-23T00:00:00"/>
    <n v="3.5"/>
    <s v="Familia Kablan Sarmiento"/>
    <s v="norisjsb56@hotmail.com"/>
    <s v="Calle Güigüe Nro. 89-80"/>
    <s v="Colaboración mantenimiento Caseta de Vigilancia"/>
    <x v="8"/>
    <m/>
    <s v="01074"/>
    <s v="23 de mayo de 2018"/>
    <n v="23"/>
    <x v="18"/>
    <s v="3,50"/>
    <e v="#NAME?"/>
  </r>
  <r>
    <n v="1075"/>
    <m/>
    <x v="0"/>
    <d v="2018-05-23T00:00:00"/>
    <n v="3.5"/>
    <s v="Familia Nava Gordon"/>
    <s v="maru_19_66@hotmail.com"/>
    <s v="Calle Guacara Nro. 89-78"/>
    <s v="Colaboración mantenimiento Caseta de Vigilancia"/>
    <x v="8"/>
    <m/>
    <s v="01075"/>
    <s v="23 de mayo de 2018"/>
    <n v="23"/>
    <x v="18"/>
    <s v="3,50"/>
    <e v="#NAME?"/>
  </r>
  <r>
    <n v="1076"/>
    <m/>
    <x v="0"/>
    <d v="2018-05-23T00:00:00"/>
    <n v="3.5"/>
    <s v="Familia Kattar González"/>
    <s v="jagiak123@yahoo.es"/>
    <s v="Calle Güigüe Nro. 89-95"/>
    <s v="Colaboración mantenimiento Caseta de Vigilancia"/>
    <x v="8"/>
    <m/>
    <s v="01076"/>
    <s v="23 de mayo de 2018"/>
    <n v="23"/>
    <x v="18"/>
    <s v="3,50"/>
    <e v="#NAME?"/>
  </r>
  <r>
    <n v="1077"/>
    <m/>
    <x v="0"/>
    <d v="2018-05-23T00:00:00"/>
    <n v="8"/>
    <s v="Yuraima Rodríguez"/>
    <s v="En Físico"/>
    <s v="Calle Guacara Nro. 89-70"/>
    <s v="Cancelación Vigilancia, meses de Mayo y Junio 2018"/>
    <x v="0"/>
    <m/>
    <s v="01077"/>
    <s v="23 de mayo de 2018"/>
    <n v="23"/>
    <x v="18"/>
    <s v="8,00"/>
    <e v="#NAME?"/>
  </r>
  <r>
    <n v="1078"/>
    <m/>
    <x v="0"/>
    <d v="2018-05-24T00:00:00"/>
    <n v="4"/>
    <s v="Carmen Moreno"/>
    <s v="carmenemoreno10@gmail.com"/>
    <s v="Calle Güigüe Nro. 89-04"/>
    <s v="Cancelación Vigilancia, mes de Mayo 2018"/>
    <x v="0"/>
    <m/>
    <s v="01078"/>
    <s v="24 de mayo de 2018"/>
    <n v="24"/>
    <x v="18"/>
    <s v="4,00"/>
    <e v="#NAME?"/>
  </r>
  <r>
    <n v="1079"/>
    <m/>
    <x v="0"/>
    <d v="2018-05-24T00:00:00"/>
    <n v="3.5"/>
    <s v="Carmen Moreno"/>
    <s v="carmenemoreno10@gmail.com"/>
    <s v="Calle Güigüe Nro. 89-04"/>
    <s v="Colaboración mantenimiento Caseta de Vigilancia"/>
    <x v="8"/>
    <m/>
    <s v="01079"/>
    <s v="24 de mayo de 2018"/>
    <n v="24"/>
    <x v="18"/>
    <s v="3,50"/>
    <e v="#NAME?"/>
  </r>
  <r>
    <n v="1080"/>
    <m/>
    <x v="0"/>
    <d v="2018-05-24T00:00:00"/>
    <n v="3.5"/>
    <s v="Familia Ferrer Bahri"/>
    <s v="bahrimariela@hotmail.com"/>
    <s v="Calle Güigüe Nro. 89-83"/>
    <s v="Colaboración mantenimiento Caseta de Vigilancia"/>
    <x v="8"/>
    <m/>
    <s v="01080"/>
    <s v="24 de mayo de 2018"/>
    <n v="24"/>
    <x v="18"/>
    <s v="3,50"/>
    <e v="#NAME?"/>
  </r>
  <r>
    <n v="1081"/>
    <m/>
    <x v="0"/>
    <d v="2018-05-25T00:00:00"/>
    <n v="3.5"/>
    <s v="Beatriz Lara"/>
    <s v="valentina.gutierrez@hotmail.com"/>
    <s v="Calle Guacara Nro. 89-130"/>
    <s v="Colaboración mantenimiento Caseta de Vigilancia"/>
    <x v="8"/>
    <m/>
    <s v="01081"/>
    <s v="25 de mayo de 2018"/>
    <n v="25"/>
    <x v="18"/>
    <s v="3,50"/>
    <e v="#NAME?"/>
  </r>
  <r>
    <n v="1082"/>
    <m/>
    <x v="0"/>
    <d v="2018-05-25T00:00:00"/>
    <n v="3.5"/>
    <s v="Familia Montilla García"/>
    <s v="dairy252525@hotmail.com"/>
    <s v="Calle Güigüe Nro. 89-90"/>
    <s v="Colaboración mantenimiento Caseta de Vigilancia"/>
    <x v="8"/>
    <m/>
    <s v="01082"/>
    <s v="25 de mayo de 2018"/>
    <n v="25"/>
    <x v="18"/>
    <s v="3,50"/>
    <e v="#NAME?"/>
  </r>
  <r>
    <n v="1083"/>
    <m/>
    <x v="0"/>
    <d v="2018-05-25T00:00:00"/>
    <n v="3.5"/>
    <s v="Familia Costermani Terrer"/>
    <s v="claudiacostermani@hotmail.com"/>
    <s v="Calle Güigüe Nro. 88-11"/>
    <s v="Colaboración mantenimiento Caseta de Vigilancia"/>
    <x v="8"/>
    <m/>
    <s v="01083"/>
    <s v="25 de mayo de 2018"/>
    <n v="25"/>
    <x v="18"/>
    <s v="3,50"/>
    <e v="#NAME?"/>
  </r>
  <r>
    <n v="1084"/>
    <m/>
    <x v="0"/>
    <d v="2018-05-26T00:00:00"/>
    <n v="1"/>
    <s v="Familia Chávez Hernández"/>
    <s v="mercedesch23@hotmail.com"/>
    <s v="Calle Güigüe Nro. 88-20"/>
    <s v="Colaboración mantenimiento Caseta de Vigilancia"/>
    <x v="8"/>
    <m/>
    <s v="01084"/>
    <s v="26 de mayo de 2018"/>
    <n v="26"/>
    <x v="18"/>
    <s v="1,00"/>
    <e v="#NAME?"/>
  </r>
  <r>
    <n v="1085"/>
    <m/>
    <x v="0"/>
    <d v="2018-05-27T00:00:00"/>
    <n v="4"/>
    <s v="Familia Gascón Domínguez"/>
    <s v="vrgascon@gmail.com"/>
    <s v="Calle Güigüe Nro. 88-70"/>
    <s v="Cancelación Vigilancia, mes de Mayo 2018"/>
    <x v="0"/>
    <m/>
    <s v="01085"/>
    <s v="27 de mayo de 2018"/>
    <n v="27"/>
    <x v="18"/>
    <s v="4,00"/>
    <e v="#NAME?"/>
  </r>
  <r>
    <n v="1086"/>
    <m/>
    <x v="0"/>
    <d v="2018-05-27T00:00:00"/>
    <n v="3.5"/>
    <s v="Familia Gascón Domínguez"/>
    <s v="vrgascon@gmail.com"/>
    <s v="Calle Güigüe Nro. 88-70"/>
    <s v="Colaboración mantenimiento Caseta de Vigilancia"/>
    <x v="8"/>
    <m/>
    <s v="01086"/>
    <s v="27 de mayo de 2018"/>
    <n v="27"/>
    <x v="18"/>
    <s v="3,50"/>
    <e v="#NAME?"/>
  </r>
  <r>
    <n v="1087"/>
    <m/>
    <x v="0"/>
    <d v="2018-05-28T00:00:00"/>
    <n v="4"/>
    <s v="Ma. de Jesus Alonso"/>
    <s v="alonsojg@gmail.com"/>
    <s v="Calle Güigüe Nro. 88-30"/>
    <s v="Ajuste Colaboración Vigilancia, meses de Febrero, Marzo, Abril y Mayo 2018"/>
    <x v="0"/>
    <m/>
    <s v="01087"/>
    <s v="28 de mayo de 2018"/>
    <n v="28"/>
    <x v="18"/>
    <s v="4,00"/>
    <e v="#NAME?"/>
  </r>
  <r>
    <n v="1088"/>
    <m/>
    <x v="0"/>
    <d v="2018-05-28T00:00:00"/>
    <n v="3.5"/>
    <s v="Ma. de Jesus Alonso"/>
    <s v="alonsojg@gmail.com"/>
    <s v="Calle Güigüe Nro. 88-30"/>
    <s v="Colaboración mantenimiento Caseta de Vigilancia"/>
    <x v="8"/>
    <m/>
    <s v="01088"/>
    <s v="28 de mayo de 2018"/>
    <n v="28"/>
    <x v="18"/>
    <s v="3,50"/>
    <e v="#NAME?"/>
  </r>
  <r>
    <n v="1089"/>
    <m/>
    <x v="0"/>
    <d v="2018-05-28T00:00:00"/>
    <n v="3.5"/>
    <s v="Anahiz Seijas"/>
    <s v="anahiz_2@hotmail.es"/>
    <s v="Calle Güigüe Nro. 89-106"/>
    <s v="Colaboración mantenimiento Caseta de Vigilancia"/>
    <x v="8"/>
    <m/>
    <s v="01089"/>
    <s v="28 de mayo de 2018"/>
    <n v="28"/>
    <x v="18"/>
    <s v="3,50"/>
    <e v="#NAME?"/>
  </r>
  <r>
    <n v="1090"/>
    <m/>
    <x v="0"/>
    <d v="2018-05-28T00:00:00"/>
    <n v="3.5"/>
    <s v="Ana de González"/>
    <s v="mikelnowak25@gmail.com"/>
    <s v="Av. &quot;O&quot; Nro. 146-17"/>
    <s v="Colaboración mantenimiento Caseta de Vigilancia"/>
    <x v="8"/>
    <m/>
    <s v="01090"/>
    <s v="28 de mayo de 2018"/>
    <n v="28"/>
    <x v="18"/>
    <s v="3,50"/>
    <e v="#NAME?"/>
  </r>
  <r>
    <n v="1091"/>
    <m/>
    <x v="0"/>
    <d v="2018-05-28T00:00:00"/>
    <n v="3.5"/>
    <s v="Familia Franco Gómez"/>
    <s v="eof64@hotmail.com"/>
    <s v="Calle Guacara Nro. 87-07"/>
    <s v="Colaboración mantenimiento Caseta de Vigilancia"/>
    <x v="8"/>
    <m/>
    <s v="01091"/>
    <s v="28 de mayo de 2018"/>
    <n v="28"/>
    <x v="18"/>
    <s v="3,50"/>
    <e v="#NAME?"/>
  </r>
  <r>
    <n v="1092"/>
    <m/>
    <x v="0"/>
    <d v="2018-05-29T00:00:00"/>
    <n v="2"/>
    <s v="Familia Méndez Parra"/>
    <s v="briceidademendez@gmail.com"/>
    <s v="Calle Guacara Nro. 88-19"/>
    <s v="Colaboración Vigilancia, mes de Mayo 2018"/>
    <x v="0"/>
    <m/>
    <s v="01092"/>
    <s v="29 de mayo de 2018"/>
    <n v="29"/>
    <x v="18"/>
    <s v="2,00"/>
    <e v="#NAME?"/>
  </r>
  <r>
    <n v="1093"/>
    <m/>
    <x v="0"/>
    <d v="2018-05-29T00:00:00"/>
    <n v="3.5"/>
    <s v="Familia Méndez Parra"/>
    <s v="briceidademendez@gmail.com"/>
    <s v="Calle Guacara Nro. 88-19"/>
    <s v="Colaboración mantenimiento Caseta de Vigilancia"/>
    <x v="8"/>
    <m/>
    <s v="01093"/>
    <s v="29 de mayo de 2018"/>
    <n v="29"/>
    <x v="18"/>
    <s v="3,50"/>
    <e v="#NAME?"/>
  </r>
  <r>
    <n v="1094"/>
    <m/>
    <x v="0"/>
    <d v="2018-05-29T00:00:00"/>
    <n v="3.5"/>
    <s v="Familia Díaz González"/>
    <s v="luisrdt57@gmail.com"/>
    <s v="Calle Güigüe Nro. 88-116"/>
    <s v="Colaboración mantenimiento Caseta de Vigilancia"/>
    <x v="8"/>
    <m/>
    <s v="01094"/>
    <s v="29 de mayo de 2018"/>
    <n v="29"/>
    <x v="18"/>
    <s v="3,50"/>
    <e v="#NAME?"/>
  </r>
  <r>
    <n v="1095"/>
    <m/>
    <x v="0"/>
    <d v="2018-05-29T00:00:00"/>
    <n v="3.5"/>
    <s v="Colegio El Trigal"/>
    <s v="En Físico"/>
    <s v="Calle Güigüe Nros. 88-71 y 88-81"/>
    <s v="Colaboración mantenimiento Caseta de Vigilancia"/>
    <x v="8"/>
    <m/>
    <s v="01095"/>
    <s v="29 de mayo de 2018"/>
    <n v="29"/>
    <x v="18"/>
    <s v="3,50"/>
    <e v="#NAME?"/>
  </r>
  <r>
    <n v="1096"/>
    <m/>
    <x v="0"/>
    <d v="2018-05-30T00:00:00"/>
    <n v="2.4"/>
    <s v="Dra. Lilia Magallanes"/>
    <s v="liliamagallanes2010@gmail.com"/>
    <s v="Calle Güigüe Nro. 88-51"/>
    <s v="Cancelación Vigilancia, saldo mes de Marzo y mes de Abril 2018"/>
    <x v="0"/>
    <m/>
    <s v="01096"/>
    <s v="30 de mayo de 2018"/>
    <n v="30"/>
    <x v="18"/>
    <s v="2,40"/>
    <e v="#NAME?"/>
  </r>
  <r>
    <n v="1097"/>
    <m/>
    <x v="0"/>
    <d v="2018-05-23T00:00:00"/>
    <n v="4"/>
    <s v="Familia Zavarce Pérez"/>
    <s v="En Físico"/>
    <s v="Calle Guacara Nro. 90-35"/>
    <s v="Cancelación Vigilancia, mes de Mayo 2018"/>
    <x v="0"/>
    <m/>
    <s v="01097"/>
    <s v="23 de mayo de 2018"/>
    <n v="23"/>
    <x v="18"/>
    <s v="4,00"/>
    <e v="#NAME?"/>
  </r>
  <r>
    <n v="1098"/>
    <m/>
    <x v="0"/>
    <d v="2018-05-30T00:00:00"/>
    <n v="9.4"/>
    <s v="Familia Civitico Rueda"/>
    <s v="ruedaelizabeth@gmail.com"/>
    <s v="Calle Güigüe Nro. 89-89"/>
    <s v="Cancelación Vigilancia, meses de Abril, Mayo y Junio 2018"/>
    <x v="0"/>
    <m/>
    <s v="01098"/>
    <s v="30 de mayo de 2018"/>
    <n v="30"/>
    <x v="18"/>
    <s v="9,40"/>
    <e v="#NAME?"/>
  </r>
  <r>
    <n v="1099"/>
    <m/>
    <x v="0"/>
    <d v="2018-05-30T00:00:00"/>
    <n v="3.5"/>
    <s v="Familia Civitico Rueda"/>
    <s v="ruedaelizabeth@gmail.com"/>
    <s v="Calle Güigüe Nro. 89-89"/>
    <s v="Colaboración mantenimiento Caseta de Vigilancia"/>
    <x v="8"/>
    <m/>
    <s v="01099"/>
    <s v="30 de mayo de 2018"/>
    <n v="30"/>
    <x v="18"/>
    <s v="3,50"/>
    <e v="#NAME?"/>
  </r>
  <r>
    <n v="1100"/>
    <m/>
    <x v="0"/>
    <d v="2018-05-30T00:00:00"/>
    <n v="2.5"/>
    <s v="Familia Navarro Assing"/>
    <s v="liliaassing@gmail.com"/>
    <s v="Calle Güigüe Nro. 88-54"/>
    <s v="Colaboración mantenimiento Caseta de Vigilancia"/>
    <x v="8"/>
    <m/>
    <s v="01100"/>
    <s v="30 de mayo de 2018"/>
    <n v="30"/>
    <x v="18"/>
    <s v="2,50"/>
    <e v="#NAME?"/>
  </r>
  <r>
    <n v="1101"/>
    <m/>
    <x v="0"/>
    <d v="2018-05-30T00:00:00"/>
    <n v="4"/>
    <s v="Familia Acosta Carpio"/>
    <s v="pablo962@hotmail.com"/>
    <s v="Calle Güigüe Nro. 89-10"/>
    <s v="Cancelación Vigilancia, mes de Mayo 2018"/>
    <x v="0"/>
    <m/>
    <s v="01101"/>
    <s v="30 de mayo de 2018"/>
    <n v="30"/>
    <x v="18"/>
    <s v="4,00"/>
    <e v="#NAME?"/>
  </r>
  <r>
    <n v="1102"/>
    <m/>
    <x v="0"/>
    <d v="2018-05-30T00:00:00"/>
    <n v="3.5"/>
    <s v="Familia Acosta Carpio"/>
    <s v="pablo962@hotmail.com"/>
    <s v="Calle Güigüe Nro. 89-10"/>
    <s v="Colaboración mantenimiento Caseta de Vigilancia"/>
    <x v="8"/>
    <m/>
    <s v="01102"/>
    <s v="30 de mayo de 2018"/>
    <n v="30"/>
    <x v="18"/>
    <s v="3,50"/>
    <e v="#NAME?"/>
  </r>
  <r>
    <n v="1103"/>
    <m/>
    <x v="0"/>
    <d v="2018-05-31T00:00:00"/>
    <n v="5.4"/>
    <s v="Familia Manrique Riera"/>
    <s v="patriciamanrique@gmail.com"/>
    <s v="Calle Guacara Nro. 89-40"/>
    <s v="Cancelación Vigilancia, meses de Abril y Mayo 2018"/>
    <x v="0"/>
    <m/>
    <s v="01103"/>
    <s v="31 de mayo de 2018"/>
    <n v="31"/>
    <x v="18"/>
    <s v="5,40"/>
    <e v="#NAME?"/>
  </r>
  <r>
    <n v="1104"/>
    <m/>
    <x v="0"/>
    <d v="2018-05-31T00:00:00"/>
    <n v="6.6"/>
    <s v="Sra. Reina Meléndez"/>
    <s v="olgajipe@gmail.com"/>
    <s v="Av. &quot;M&quot; Nro. 145-10"/>
    <s v="Cancelación Vigilancia, saldo mes de Mayo y mes de Junio 2018"/>
    <x v="0"/>
    <m/>
    <s v="01104"/>
    <s v="31 de mayo de 2018"/>
    <n v="31"/>
    <x v="18"/>
    <s v="6,60"/>
    <e v="#NAME?"/>
  </r>
  <r>
    <n v="1105"/>
    <m/>
    <x v="0"/>
    <d v="2018-06-02T00:00:00"/>
    <n v="8"/>
    <s v="Familia Il Grande Franceschi"/>
    <s v="arcifran75@hotmail.com"/>
    <s v="Av. &quot;I&quot; Nro. 146-40"/>
    <s v="Cancelación Vigilancia, meses de Mayo y Junio 2018"/>
    <x v="0"/>
    <m/>
    <s v="01105"/>
    <s v="02 de junio de 2018"/>
    <n v="2"/>
    <x v="19"/>
    <s v="8,00"/>
    <e v="#NAME?"/>
  </r>
  <r>
    <n v="1106"/>
    <m/>
    <x v="0"/>
    <d v="2018-06-02T00:00:00"/>
    <n v="3.5"/>
    <s v="Familia Il Grande Franceschi"/>
    <s v="arcifran75@hotmail.com"/>
    <s v="Av. &quot;I&quot; Nro. 146-40"/>
    <s v="Colaboración mantenimiento Caseta de Vigilancia"/>
    <x v="8"/>
    <m/>
    <s v="01106"/>
    <s v="02 de junio de 2018"/>
    <n v="2"/>
    <x v="19"/>
    <s v="3,50"/>
    <e v="#NAME?"/>
  </r>
  <r>
    <n v="1107"/>
    <m/>
    <x v="0"/>
    <d v="2018-06-02T00:00:00"/>
    <n v="3.5"/>
    <s v="Ely Saúl Rivero Gómez"/>
    <s v="hhs.admon@gmail.com"/>
    <s v="Av. &quot;Ñ&quot; Nro. 145-25"/>
    <s v="Colaboración mantenimiento Caseta de Vigilancia"/>
    <x v="8"/>
    <m/>
    <s v="01107"/>
    <s v="02 de junio de 2018"/>
    <n v="2"/>
    <x v="19"/>
    <s v="3,50"/>
    <e v="#NAME?"/>
  </r>
  <r>
    <n v="1108"/>
    <m/>
    <x v="0"/>
    <d v="2018-06-04T00:00:00"/>
    <n v="4"/>
    <s v="Isbeth Palacios"/>
    <s v="ispalparcpc@gmail.com"/>
    <s v="Calle Guacara Nro. 88-75"/>
    <s v="Cancelación Vigilancia, mes de Junio 2018"/>
    <x v="0"/>
    <m/>
    <s v="01108"/>
    <s v="04 de junio de 2018"/>
    <n v="4"/>
    <x v="19"/>
    <s v="4,00"/>
    <e v="#NAME?"/>
  </r>
  <r>
    <n v="1109"/>
    <m/>
    <x v="0"/>
    <d v="2018-06-04T00:00:00"/>
    <n v="4"/>
    <s v="Chin Chun Ya (Goya)"/>
    <s v="uc2721@gmail.com"/>
    <s v="Calle Guacara Nro. 87-86"/>
    <s v="Cancelación Vigilancia, mes de Junio 2018"/>
    <x v="0"/>
    <m/>
    <s v="01109"/>
    <s v="04 de junio de 2018"/>
    <n v="4"/>
    <x v="19"/>
    <s v="4,00"/>
    <e v="#NAME?"/>
  </r>
  <r>
    <n v="1110"/>
    <m/>
    <x v="0"/>
    <d v="2018-06-04T00:00:00"/>
    <n v="4"/>
    <s v="Familia Barreto Pérez"/>
    <s v="bbetsa19@hotmail.com"/>
    <s v="Av. &quot;M&quot; Nro. 146-15"/>
    <s v="Cancelación Vigilancia, mes de Mayo 2018"/>
    <x v="0"/>
    <m/>
    <s v="01110"/>
    <s v="04 de junio de 2018"/>
    <n v="4"/>
    <x v="19"/>
    <s v="4,00"/>
    <e v="#NAME?"/>
  </r>
  <r>
    <n v="1111"/>
    <m/>
    <x v="0"/>
    <d v="2018-06-04T00:00:00"/>
    <n v="1"/>
    <s v="Familia Morales Sesar"/>
    <s v="moralesesar@gmail.com"/>
    <s v="Calle Güigüe Nro. 89-120"/>
    <s v="Colaboración Vigilancia, mes de Mayo 2018"/>
    <x v="0"/>
    <m/>
    <s v="01111"/>
    <s v="04 de junio de 2018"/>
    <n v="4"/>
    <x v="19"/>
    <s v="1,00"/>
    <e v="#NAME?"/>
  </r>
  <r>
    <n v="1112"/>
    <m/>
    <x v="0"/>
    <d v="2018-06-04T00:00:00"/>
    <n v="4"/>
    <s v="Familia Ferrer Bahri"/>
    <s v="bahrimariela@hotmail.com"/>
    <s v="Calle Güigüe Nro. 89-83"/>
    <s v="Cancelación Vigilancia, mes de Junio 2018"/>
    <x v="0"/>
    <m/>
    <s v="01112"/>
    <s v="04 de junio de 2018"/>
    <n v="4"/>
    <x v="19"/>
    <s v="4,00"/>
    <e v="#NAME?"/>
  </r>
  <r>
    <n v="1113"/>
    <m/>
    <x v="0"/>
    <d v="2018-06-04T00:00:00"/>
    <n v="4.5999999999999996"/>
    <s v="Familia Rodríguez Aular"/>
    <s v="mvaular@hotmail.com"/>
    <s v="Calle Güigüe Nro. 88-58"/>
    <s v="Colaboración Vigilancia, meses de Marzo, Abril y Mayo 2018"/>
    <x v="0"/>
    <m/>
    <s v="01113"/>
    <s v="04 de junio de 2018"/>
    <n v="4"/>
    <x v="19"/>
    <s v="4,60"/>
    <e v="#NAME?"/>
  </r>
  <r>
    <n v="1114"/>
    <m/>
    <x v="0"/>
    <d v="2018-06-04T00:00:00"/>
    <n v="2"/>
    <s v="Gloria Molina"/>
    <s v="glomola2@yahoo.es"/>
    <s v="Calle Güigüe Nro. 89-71"/>
    <s v="Colaboración Vigilancia, mes de Mayo 2018"/>
    <x v="0"/>
    <m/>
    <s v="01114"/>
    <s v="04 de junio de 2018"/>
    <n v="4"/>
    <x v="19"/>
    <s v="2,00"/>
    <e v="#NAME?"/>
  </r>
  <r>
    <n v="1115"/>
    <m/>
    <x v="0"/>
    <d v="2018-06-04T00:00:00"/>
    <n v="3"/>
    <s v="Gloria Molina"/>
    <s v="glomola2@yahoo.es"/>
    <s v="Calle Güigüe Nro. 89-71"/>
    <s v="Colaboración mantenimiento Caseta de Vigilancia"/>
    <x v="8"/>
    <m/>
    <s v="01115"/>
    <s v="04 de junio de 2018"/>
    <n v="4"/>
    <x v="19"/>
    <s v="3,00"/>
    <e v="#NAME?"/>
  </r>
  <r>
    <n v="1116"/>
    <m/>
    <x v="0"/>
    <d v="2018-06-06T00:00:00"/>
    <n v="8"/>
    <s v="Familia Loponte Arteaga"/>
    <s v="En Físico"/>
    <s v="Calle Güigüe Nro. 88-120"/>
    <s v="Cancelación Vigilancia, meses de Junio y Julio 2018"/>
    <x v="0"/>
    <m/>
    <s v="01116"/>
    <s v="06 de junio de 2018"/>
    <n v="6"/>
    <x v="19"/>
    <s v="8,00"/>
    <e v="#NAME?"/>
  </r>
  <r>
    <n v="1117"/>
    <m/>
    <x v="0"/>
    <d v="2018-06-06T00:00:00"/>
    <n v="3"/>
    <s v="Familia Loponte Arteaga"/>
    <s v="En Físico"/>
    <s v="Calle Güigüe Nro. 88-120"/>
    <s v="Colaboración mantenimiento Caseta de Vigilancia"/>
    <x v="8"/>
    <m/>
    <s v="01117"/>
    <s v="06 de junio de 2018"/>
    <n v="6"/>
    <x v="19"/>
    <s v="3,00"/>
    <e v="#NAME?"/>
  </r>
  <r>
    <n v="1118"/>
    <m/>
    <x v="0"/>
    <d v="2018-06-06T00:00:00"/>
    <n v="4"/>
    <s v="Carmen Moreno"/>
    <s v="carmenemoreno10@gmail.com"/>
    <s v="Calle Güigüe Nro. 89-04"/>
    <s v="Cancelación Vigilancia, mes de Junio 2018"/>
    <x v="0"/>
    <m/>
    <s v="01118"/>
    <s v="06 de junio de 2018"/>
    <n v="6"/>
    <x v="19"/>
    <s v="4,00"/>
    <e v="#NAME?"/>
  </r>
  <r>
    <n v="1119"/>
    <m/>
    <x v="0"/>
    <d v="2018-06-06T00:00:00"/>
    <n v="4"/>
    <s v="Familia Milanés Carmona"/>
    <s v="yndira11m@gmail.com"/>
    <s v="Calle Güigüe Nro. 89-65"/>
    <s v="Cancelación Vigilancia, mes de Junio 2018"/>
    <x v="0"/>
    <m/>
    <s v="01119"/>
    <s v="06 de junio de 2018"/>
    <n v="6"/>
    <x v="19"/>
    <s v="4,00"/>
    <e v="#NAME?"/>
  </r>
  <r>
    <n v="1120"/>
    <m/>
    <x v="0"/>
    <d v="2018-06-06T00:00:00"/>
    <n v="4"/>
    <s v="Familia Del Negro Palermo"/>
    <s v="vdelnegro@gmail.com"/>
    <s v="Calle Guacara Nro. 88-45"/>
    <s v="Cancelación Vigilancia, mes de Junio 2018 (saldo a favor: Bs. 4.720.000)"/>
    <x v="0"/>
    <m/>
    <s v="01120"/>
    <s v="06 de junio de 2018"/>
    <n v="6"/>
    <x v="19"/>
    <s v="4,00"/>
    <e v="#NAME?"/>
  </r>
  <r>
    <n v="1121"/>
    <m/>
    <x v="0"/>
    <d v="2018-06-06T00:00:00"/>
    <n v="4"/>
    <s v="Ely Saúl Rivero Gómez"/>
    <s v="hhs.admon@gmail.com"/>
    <s v="Av. &quot;Ñ&quot; Nro. 145-25"/>
    <s v="Cancelación Vigilancia, mes de Junio 2018 (saldo a favor: Bs. 3.435.000)"/>
    <x v="0"/>
    <m/>
    <s v="01121"/>
    <s v="06 de junio de 2018"/>
    <n v="6"/>
    <x v="19"/>
    <s v="4,00"/>
    <e v="#NAME?"/>
  </r>
  <r>
    <n v="1122"/>
    <m/>
    <x v="0"/>
    <d v="2018-06-06T00:00:00"/>
    <n v="4"/>
    <s v="Familia Arcia Polanco"/>
    <s v="misipo29@gmail.com"/>
    <s v="Calle Guacara Nro. 89-20"/>
    <s v="Cancelación Vigilancia, mes de Junio 2018"/>
    <x v="0"/>
    <m/>
    <s v="01122"/>
    <s v="06 de junio de 2018"/>
    <n v="6"/>
    <x v="19"/>
    <s v="4,00"/>
    <e v="#NAME?"/>
  </r>
  <r>
    <n v="1123"/>
    <m/>
    <x v="0"/>
    <d v="2018-06-06T00:00:00"/>
    <n v="4"/>
    <s v="Familia Jiménez Salvatierra"/>
    <s v="En Físico"/>
    <s v="Calle Güigüe Nro. 89-45"/>
    <s v="Cancelación Vigilancia, mes de Junio 2018 (saldo a favor: Bs. 1.593.000)"/>
    <x v="0"/>
    <m/>
    <s v="01123"/>
    <s v="06 de junio de 2018"/>
    <n v="6"/>
    <x v="19"/>
    <s v="4,00"/>
    <e v="#NAME?"/>
  </r>
  <r>
    <n v="1124"/>
    <m/>
    <x v="0"/>
    <d v="2018-06-06T00:00:00"/>
    <n v="4"/>
    <s v="Familia Fermín Rivas"/>
    <s v="angelferminb@gmail.com"/>
    <s v="Calle Güigüe Nro. 89-55"/>
    <s v="Cancelación Vigilancia, mes de Junio 2018 (saldo a favor: Bs. 660.000)"/>
    <x v="0"/>
    <m/>
    <s v="01124"/>
    <s v="06 de junio de 2018"/>
    <n v="6"/>
    <x v="19"/>
    <s v="4,00"/>
    <e v="#NAME?"/>
  </r>
  <r>
    <n v="1125"/>
    <m/>
    <x v="0"/>
    <d v="2018-06-07T00:00:00"/>
    <n v="4"/>
    <s v="Familia Puerta Burguillos"/>
    <s v="namaricakes@gmail.com"/>
    <s v="Calle Guacara Nro. 87-100"/>
    <s v="Cancelación Vigilancia, mes de Junio 2018"/>
    <x v="0"/>
    <m/>
    <s v="01125"/>
    <s v="07 de junio de 2018"/>
    <n v="7"/>
    <x v="19"/>
    <s v="4,00"/>
    <e v="#NAME?"/>
  </r>
  <r>
    <n v="1126"/>
    <m/>
    <x v="0"/>
    <d v="2018-06-07T00:00:00"/>
    <n v="4"/>
    <s v="Familia Colosso Delgado"/>
    <s v="mcolosso@gmail.com"/>
    <s v="Calle Güigüe Nro. 88-44"/>
    <s v="Cancelación Vigilancia, mes de Junio 2018"/>
    <x v="0"/>
    <m/>
    <s v="01126"/>
    <s v="07 de junio de 2018"/>
    <n v="7"/>
    <x v="19"/>
    <s v="4,00"/>
    <e v="#NAME?"/>
  </r>
  <r>
    <n v="1127"/>
    <m/>
    <x v="0"/>
    <d v="2018-06-07T00:00:00"/>
    <n v="4"/>
    <s v="Familia Nava Gordon"/>
    <s v="maru_19_66@hotmail.com"/>
    <s v="Calle Guacara Nro. 89-78"/>
    <s v="Cancelación Vigilancia, mes de Junio 2018"/>
    <x v="0"/>
    <m/>
    <s v="01127"/>
    <s v="07 de junio de 2018"/>
    <n v="7"/>
    <x v="19"/>
    <s v="4,00"/>
    <e v="#NAME?"/>
  </r>
  <r>
    <n v="1128"/>
    <m/>
    <x v="0"/>
    <d v="2018-06-08T00:00:00"/>
    <n v="1"/>
    <s v="Familia Triana González"/>
    <s v="En Físico"/>
    <s v="Calle Guacara Nro. 90-61"/>
    <s v="Colaboración Vigilancia, mes de Mayo 2018"/>
    <x v="0"/>
    <m/>
    <s v="01128"/>
    <s v="08 de junio de 2018"/>
    <n v="8"/>
    <x v="19"/>
    <s v="1,00"/>
    <e v="#NAME?"/>
  </r>
  <r>
    <n v="1129"/>
    <m/>
    <x v="0"/>
    <d v="2018-06-08T00:00:00"/>
    <n v="4"/>
    <s v="Dra. Lilia Magallanes"/>
    <s v="liliamagallanes2010@gmail.com"/>
    <s v="Calle Güigüe Nro. 88-51"/>
    <s v="Cancelación Vigilancia, mes de Mayo 2018"/>
    <x v="0"/>
    <m/>
    <s v="01129"/>
    <s v="08 de junio de 2018"/>
    <n v="8"/>
    <x v="19"/>
    <s v="4,00"/>
    <e v="#NAME?"/>
  </r>
  <r>
    <n v="1130"/>
    <m/>
    <x v="0"/>
    <d v="2018-06-08T00:00:00"/>
    <n v="3.5"/>
    <s v="Familia Barreto Pérez"/>
    <s v="bbetsa19@hotmail.com"/>
    <s v="Av. &quot;M&quot; Nro. 146-15"/>
    <s v="Colaboración mantenimiento Caseta de Vigilancia"/>
    <x v="8"/>
    <m/>
    <s v="01130"/>
    <s v="08 de junio de 2018"/>
    <n v="8"/>
    <x v="19"/>
    <s v="3,50"/>
    <e v="#NAME?"/>
  </r>
  <r>
    <n v="1131"/>
    <m/>
    <x v="0"/>
    <d v="2018-06-09T00:00:00"/>
    <n v="1"/>
    <s v="Familia Chávez Hernández"/>
    <s v="mercedesch23@hotmail.com"/>
    <s v="Calle Güigüe Nro. 88-20"/>
    <s v="Colaboración Vigilancia, meses de Mayo y Junio 2018"/>
    <x v="0"/>
    <m/>
    <s v="01131"/>
    <s v="09 de junio de 2018"/>
    <n v="9"/>
    <x v="19"/>
    <s v="1,00"/>
    <e v="#NAME?"/>
  </r>
  <r>
    <n v="1132"/>
    <m/>
    <x v="0"/>
    <d v="2018-06-09T00:00:00"/>
    <n v="10.8"/>
    <s v="Familia Leung"/>
    <s v="En Físico"/>
    <s v="Calle Guacara Nro. 88-55"/>
    <s v="Cancelación Vigilancia, meses de Marzo, Abril, Mayo y Junio 2018"/>
    <x v="0"/>
    <m/>
    <s v="01132"/>
    <s v="09 de junio de 2018"/>
    <n v="9"/>
    <x v="19"/>
    <s v="10,80"/>
    <e v="#NAME?"/>
  </r>
  <r>
    <n v="1133"/>
    <m/>
    <x v="0"/>
    <d v="2018-06-10T00:00:00"/>
    <n v="4"/>
    <s v="Héctor Hernández"/>
    <s v="eof64@hotmail.com"/>
    <s v="Calle Guacara Nro. 89-94"/>
    <s v="Cancelación Vigilancia, mes de Junio 2018"/>
    <x v="0"/>
    <m/>
    <s v="01133"/>
    <s v="10 de junio de 2018"/>
    <n v="10"/>
    <x v="19"/>
    <s v="4,00"/>
    <e v="#NAME?"/>
  </r>
  <r>
    <n v="1134"/>
    <m/>
    <x v="0"/>
    <d v="2018-06-10T00:00:00"/>
    <n v="4"/>
    <s v="Victoria Francischiello"/>
    <s v="victoriafrancischiello@hotmail.com"/>
    <s v="Calle Guacara Nro. 88-25"/>
    <s v="Colaboración Vigilancia, mes de Junio 2018"/>
    <x v="0"/>
    <m/>
    <s v="01134"/>
    <s v="10 de junio de 2018"/>
    <n v="10"/>
    <x v="19"/>
    <s v="4,00"/>
    <e v="#NAME?"/>
  </r>
  <r>
    <n v="1135"/>
    <m/>
    <x v="0"/>
    <d v="2018-06-10T00:00:00"/>
    <n v="3.5"/>
    <s v="Victoria Francischiello"/>
    <s v="victoriafrancischiello@hotmail.com"/>
    <s v="Calle Guacara Nro. 88-25"/>
    <s v="Colaboración mantenimiento Caseta de Vigilancia"/>
    <x v="8"/>
    <m/>
    <s v="01135"/>
    <s v="10 de junio de 2018"/>
    <n v="10"/>
    <x v="19"/>
    <s v="3,50"/>
    <e v="#NAME?"/>
  </r>
  <r>
    <n v="1136"/>
    <m/>
    <x v="0"/>
    <d v="2018-06-11T00:00:00"/>
    <n v="4"/>
    <s v="Familia Barreto Pérez"/>
    <s v="bbetsa19@hotmail.com"/>
    <s v="Av. &quot;M&quot; Nro. 146-15"/>
    <s v="Cancelación Vigilancia, mes de Junio 2018"/>
    <x v="0"/>
    <m/>
    <s v="01136"/>
    <s v="11 de junio de 2018"/>
    <n v="11"/>
    <x v="19"/>
    <s v="4,00"/>
    <e v="#NAME?"/>
  </r>
  <r>
    <n v="1137"/>
    <m/>
    <x v="0"/>
    <d v="2018-06-11T00:00:00"/>
    <n v="4"/>
    <s v="Familia Delgado Hidalgo"/>
    <s v="ardh@hotmail.com"/>
    <s v="Calle Güigüe Nro. 88-10"/>
    <s v="Cancelación Vigilancia, mes de Junio 2018"/>
    <x v="0"/>
    <m/>
    <s v="01137"/>
    <s v="11 de junio de 2018"/>
    <n v="11"/>
    <x v="19"/>
    <s v="4,00"/>
    <e v="#NAME?"/>
  </r>
  <r>
    <n v="1138"/>
    <m/>
    <x v="0"/>
    <d v="2018-06-13T00:00:00"/>
    <n v="2"/>
    <s v="Familia Rodríguez Landaeta"/>
    <s v="mrl58@hotmail.com"/>
    <s v="Calle Güigüe Nro. 89-29"/>
    <s v="Colaboración Vigilancia, mes de Junio 2018"/>
    <x v="0"/>
    <m/>
    <s v="01138"/>
    <s v="13 de junio de 2018"/>
    <n v="13"/>
    <x v="19"/>
    <s v="2,00"/>
    <e v="#NAME?"/>
  </r>
  <r>
    <n v="1139"/>
    <m/>
    <x v="0"/>
    <d v="2018-06-12T00:00:00"/>
    <n v="4"/>
    <s v="Ma. de Jesus Alonso"/>
    <s v="alonsojg@gmail.com"/>
    <s v="Calle Güigüe Nro. 88-30"/>
    <s v="Cancelación Vigilancia, mes de Junio 2018"/>
    <x v="0"/>
    <m/>
    <s v="01139"/>
    <s v="12 de junio de 2018"/>
    <n v="12"/>
    <x v="19"/>
    <s v="4,00"/>
    <e v="#NAME?"/>
  </r>
  <r>
    <n v="1140"/>
    <m/>
    <x v="0"/>
    <d v="2018-06-13T00:00:00"/>
    <n v="21"/>
    <s v="Zoraida Khair"/>
    <s v="zorakhair@hotmail.com"/>
    <s v="Calle Güigüe Nro. 88-80"/>
    <s v="Cancelación Vigilancia, meses de Abril, Mayo, Junio, Julio, Agosto y Septiembre 2017"/>
    <x v="0"/>
    <m/>
    <s v="01140"/>
    <s v="13 de junio de 2018"/>
    <n v="13"/>
    <x v="19"/>
    <s v="21,00"/>
    <e v="#NAME?"/>
  </r>
  <r>
    <n v="1141"/>
    <m/>
    <x v="0"/>
    <d v="2018-06-14T00:00:00"/>
    <n v="8"/>
    <s v="Familia Hatem Medina"/>
    <s v="hhatem1@hotmail.com"/>
    <s v="Calle Guacara Nro. 88-51"/>
    <s v="Cancelación Vigilancia, meses de Junio y Julio 2018"/>
    <x v="0"/>
    <m/>
    <s v="01141"/>
    <s v="14 de junio de 2018"/>
    <n v="14"/>
    <x v="19"/>
    <s v="8,00"/>
    <e v="#NAME?"/>
  </r>
  <r>
    <n v="1142"/>
    <m/>
    <x v="0"/>
    <d v="2018-06-15T00:00:00"/>
    <n v="4"/>
    <s v="Familia Kablan Sarmiento"/>
    <s v="norisjsb56@hotmail.com"/>
    <s v="Calle Güigüe Nro. 89-80"/>
    <s v="Cancelación Vigilancia, mes de Junio 2018"/>
    <x v="0"/>
    <m/>
    <s v="01142"/>
    <s v="15 de junio de 2018"/>
    <n v="15"/>
    <x v="19"/>
    <s v="4,00"/>
    <e v="#NAME?"/>
  </r>
  <r>
    <n v="1143"/>
    <m/>
    <x v="0"/>
    <d v="2018-06-15T00:00:00"/>
    <n v="4"/>
    <s v="Familia Scabuzzo Gómez"/>
    <s v="sfscabuzzo@msn.com"/>
    <s v="Av. &quot;I&quot; Nro. 146-20"/>
    <s v="Cancelación Vigilancia, mes de Junio 2018"/>
    <x v="0"/>
    <m/>
    <s v="01143"/>
    <s v="15 de junio de 2018"/>
    <n v="15"/>
    <x v="19"/>
    <s v="4,00"/>
    <e v="#NAME?"/>
  </r>
  <r>
    <n v="1144"/>
    <m/>
    <x v="0"/>
    <d v="2018-06-15T00:00:00"/>
    <n v="4"/>
    <s v="Familia Scabuzzo Gómez"/>
    <s v="sfscabuzzo@msn.com"/>
    <s v="Av. &quot;I&quot; Nro. 146-20"/>
    <s v="Colaboración mantenimiento Caseta de Vigilancia"/>
    <x v="8"/>
    <m/>
    <s v="01144"/>
    <s v="15 de junio de 2018"/>
    <n v="15"/>
    <x v="19"/>
    <s v="4,00"/>
    <e v="#NAME?"/>
  </r>
  <r>
    <n v="1145"/>
    <m/>
    <x v="0"/>
    <d v="2018-06-18T00:00:00"/>
    <n v="4"/>
    <s v="Beatriz Lara"/>
    <s v="valentina.gutierrez@hotmail.com"/>
    <s v="Calle Guacara Nro. 89-130"/>
    <s v="Cancelación Vigilancia, mes de Junio 2018"/>
    <x v="0"/>
    <m/>
    <s v="01145"/>
    <s v="18 de junio de 2018"/>
    <n v="18"/>
    <x v="19"/>
    <s v="4,00"/>
    <e v="#NAME?"/>
  </r>
  <r>
    <n v="1146"/>
    <m/>
    <x v="0"/>
    <d v="2018-06-18T00:00:00"/>
    <n v="4"/>
    <s v="Familia Hurtado"/>
    <s v="En Físico"/>
    <s v="Av. &quot;O&quot; Nro. 146-11"/>
    <s v="Cancelación Vigilancia, mes de Junio 2018"/>
    <x v="0"/>
    <m/>
    <s v="01146"/>
    <s v="18 de junio de 2018"/>
    <n v="18"/>
    <x v="19"/>
    <s v="4,00"/>
    <e v="#NAME?"/>
  </r>
  <r>
    <n v="1147"/>
    <m/>
    <x v="0"/>
    <d v="2018-06-18T00:00:00"/>
    <n v="6"/>
    <s v="Wu Hung Fung"/>
    <s v="carolinahung24@gmail.com"/>
    <s v="Calle Guacara Nro. 90-81"/>
    <s v="Cancelación Vigilancia, mes de Junio y anticipo Julio 2018"/>
    <x v="0"/>
    <m/>
    <s v="01147"/>
    <s v="18 de junio de 2018"/>
    <n v="18"/>
    <x v="19"/>
    <s v="6,00"/>
    <e v="#NAME?"/>
  </r>
  <r>
    <n v="1148"/>
    <m/>
    <x v="0"/>
    <d v="2018-06-18T00:00:00"/>
    <n v="4"/>
    <s v="Familia Montilla García"/>
    <s v="dairy252525@hotmail.com"/>
    <s v="Calle Güigüe Nro. 89-90"/>
    <s v="Cancelación Vigilancia, mes de Junio 2018"/>
    <x v="0"/>
    <m/>
    <s v="01148"/>
    <s v="18 de junio de 2018"/>
    <n v="18"/>
    <x v="19"/>
    <s v="4,00"/>
    <e v="#NAME?"/>
  </r>
  <r>
    <n v="1149"/>
    <m/>
    <x v="0"/>
    <d v="2018-06-19T00:00:00"/>
    <n v="4"/>
    <s v="Familia Navarro Assing"/>
    <s v="liliaassing@gmail.com"/>
    <s v="Calle Güigüe Nro. 88-54"/>
    <s v="Cancelación Vigilancia, mes de Junio 2018"/>
    <x v="0"/>
    <m/>
    <s v="01149"/>
    <s v="19 de junio de 2018"/>
    <n v="19"/>
    <x v="19"/>
    <s v="4,00"/>
    <e v="#NAME?"/>
  </r>
  <r>
    <n v="1150"/>
    <m/>
    <x v="0"/>
    <d v="2018-06-19T00:00:00"/>
    <n v="4"/>
    <s v="Familia Rodríguez Aular"/>
    <s v="mvaular@hotmail.com"/>
    <s v="Calle Güigüe Nro. 88-58"/>
    <s v="Cancelación Vigilancia, mes de Junio 2018"/>
    <x v="0"/>
    <m/>
    <s v="01150"/>
    <s v="19 de junio de 2018"/>
    <n v="19"/>
    <x v="19"/>
    <s v="4,00"/>
    <e v="#NAME?"/>
  </r>
  <r>
    <n v="1151"/>
    <m/>
    <x v="0"/>
    <d v="2018-06-21T00:00:00"/>
    <n v="4"/>
    <s v="Familia Castro Jiménez"/>
    <s v="aurycastrojimenez@gmail.com"/>
    <s v="Calle Guacara Nro. 90-51"/>
    <s v="Cancelación Vigilancia, mes de Junio 2018"/>
    <x v="0"/>
    <m/>
    <s v="01151"/>
    <s v="21 de junio de 2018"/>
    <n v="21"/>
    <x v="19"/>
    <s v="4,00"/>
    <e v="#NAME?"/>
  </r>
  <r>
    <n v="1152"/>
    <m/>
    <x v="0"/>
    <d v="2018-06-21T00:00:00"/>
    <n v="1"/>
    <s v="Familia Castro Jiménez"/>
    <s v="aurycastrojimenez@gmail.com"/>
    <s v="Calle Guacara Nro. 90-51"/>
    <s v="Colaboración para comida de vigilantes"/>
    <x v="9"/>
    <m/>
    <s v="01152"/>
    <s v="21 de junio de 2018"/>
    <n v="21"/>
    <x v="19"/>
    <s v="1,00"/>
    <e v="#NAME?"/>
  </r>
  <r>
    <n v="1153"/>
    <m/>
    <x v="0"/>
    <d v="2018-06-21T00:00:00"/>
    <n v="10"/>
    <s v="Familia Ozar Rivero"/>
    <s v="vanessarivero81@hotmail.com"/>
    <s v="Calle Güigüe Nro. 88-06"/>
    <s v="Cancelación Vigilancia, meses de Mayo y Junio y anticipo mes de Julio 2018"/>
    <x v="0"/>
    <m/>
    <s v="01153"/>
    <s v="21 de junio de 2018"/>
    <n v="21"/>
    <x v="19"/>
    <s v="10,00"/>
    <e v="#NAME?"/>
  </r>
  <r>
    <n v="1154"/>
    <m/>
    <x v="0"/>
    <d v="2018-06-26T00:00:00"/>
    <n v="25.5"/>
    <s v="Familia Ochoa Mendoza"/>
    <s v="marisoljudithm@hotmail.com"/>
    <s v="Calle Güigüe Nro. 89-105"/>
    <s v="Cancelación Vigilancia, meses de Junio, Julio y Agosto, y anticipo Septiembre 2018"/>
    <x v="0"/>
    <m/>
    <s v="01154"/>
    <s v="26 de junio de 2018"/>
    <n v="26"/>
    <x v="19"/>
    <s v="25,50"/>
    <e v="#NAME?"/>
  </r>
  <r>
    <n v="1155"/>
    <m/>
    <x v="0"/>
    <d v="2018-06-26T00:00:00"/>
    <n v="4"/>
    <s v="Familia Costermani Terrer"/>
    <s v="claudiacostermani@hotmail.com"/>
    <s v="Calle Güigüe Nro. 88-11"/>
    <s v="Cancelación Vigilancia, mes de Junio 2018"/>
    <x v="0"/>
    <m/>
    <s v="01155"/>
    <s v="26 de junio de 2018"/>
    <n v="26"/>
    <x v="19"/>
    <s v="4,00"/>
    <e v="#NAME?"/>
  </r>
  <r>
    <n v="1156"/>
    <m/>
    <x v="0"/>
    <d v="2018-06-26T00:00:00"/>
    <n v="0.4"/>
    <s v="Familia Rivero"/>
    <s v="En Físico"/>
    <s v="Calle Güigüe Nro. 88-40"/>
    <s v="Colaboración Vigilancia, mes de Junio 2018"/>
    <x v="0"/>
    <m/>
    <s v="01156"/>
    <s v="26 de junio de 2018"/>
    <n v="26"/>
    <x v="19"/>
    <s v="0,40"/>
    <e v="#NAME?"/>
  </r>
  <r>
    <n v="1157"/>
    <m/>
    <x v="0"/>
    <d v="2018-06-26T00:00:00"/>
    <n v="3.4"/>
    <s v="Familia Zavarce Barón"/>
    <s v="alexanderzavarce@gmail.com"/>
    <s v="Calle Guacara Nro. 88-91"/>
    <s v="Cancelación Vigilancia, saldo mes de Mayo 2018"/>
    <x v="0"/>
    <m/>
    <s v="01157"/>
    <s v="26 de junio de 2018"/>
    <n v="26"/>
    <x v="19"/>
    <s v="3,40"/>
    <e v="#NAME?"/>
  </r>
  <r>
    <n v="1158"/>
    <m/>
    <x v="0"/>
    <d v="2018-06-26T00:00:00"/>
    <n v="3.5"/>
    <s v="Familia Zavarce Barón"/>
    <s v="alexanderzavarce@gmail.com"/>
    <s v="Calle Guacara Nro. 88-91"/>
    <s v="Colaboración mantenimiento Caseta de Vigilancia"/>
    <x v="8"/>
    <m/>
    <s v="01158"/>
    <s v="26 de junio de 2018"/>
    <n v="26"/>
    <x v="19"/>
    <s v="3,50"/>
    <e v="#NAME?"/>
  </r>
  <r>
    <n v="1159"/>
    <m/>
    <x v="0"/>
    <d v="2018-06-28T00:00:00"/>
    <n v="10.75"/>
    <s v="Familia Alonso Rojas"/>
    <s v="redjc01@gmail.com"/>
    <s v="Calle Güigüe Nro. 89-54"/>
    <s v="Cancelación Vigilancia, ajuste mes de Junio y cancelación mes de Julio 2018"/>
    <x v="0"/>
    <m/>
    <s v="01159"/>
    <s v="28 de junio de 2018"/>
    <n v="28"/>
    <x v="19"/>
    <s v="10,75"/>
    <e v="#NAME?"/>
  </r>
  <r>
    <n v="1160"/>
    <m/>
    <x v="0"/>
    <d v="2018-06-28T00:00:00"/>
    <n v="4"/>
    <s v="Familia Guerra Miret"/>
    <s v="antoniojguerrag@hotmail.com"/>
    <s v="Calle Güigüe Nro. 89-40"/>
    <s v="Cancelación Vigilancia, anticipo mes de Junio 2018"/>
    <x v="0"/>
    <m/>
    <s v="01160"/>
    <s v="28 de junio de 2018"/>
    <n v="28"/>
    <x v="19"/>
    <s v="4,00"/>
    <e v="#NAME?"/>
  </r>
  <r>
    <n v="1161"/>
    <m/>
    <x v="0"/>
    <d v="2018-06-28T00:00:00"/>
    <n v="2.25"/>
    <s v="Familia Fermín Rivas"/>
    <s v="angelferminb@gmail.com"/>
    <s v="Calle Güigüe Nro. 89-55"/>
    <s v="Cancelación Vigilancia, ajuste mes de Junio 2018 (saldo a favor: Bs. 435.000)"/>
    <x v="0"/>
    <m/>
    <s v="01161"/>
    <s v="28 de junio de 2018"/>
    <n v="28"/>
    <x v="19"/>
    <s v="2,25"/>
    <e v="#NAME?"/>
  </r>
  <r>
    <n v="1162"/>
    <m/>
    <x v="0"/>
    <d v="2018-06-28T00:00:00"/>
    <n v="2.25"/>
    <s v="Familia Del Negro Palermo"/>
    <s v="vdelnegro@gmail.com"/>
    <s v="Calle Guacara Nro. 88-45"/>
    <s v="Cancelación Vigilancia, ajuste mes de Junio 2018 (saldo a favor: Bs. 4.495.000)"/>
    <x v="0"/>
    <m/>
    <s v="01162"/>
    <s v="28 de junio de 2018"/>
    <n v="28"/>
    <x v="19"/>
    <s v="2,25"/>
    <e v="#NAME?"/>
  </r>
  <r>
    <n v="1163"/>
    <m/>
    <x v="0"/>
    <d v="2018-06-28T00:00:00"/>
    <n v="2.25"/>
    <s v="Ely Saúl Rivero Gómez"/>
    <s v="hhs.admon@gmail.com"/>
    <s v="Av. &quot;Ñ&quot; Nro. 145-25"/>
    <s v="Cancelación Vigilancia, ajuste mes de Junio 2018 (saldo a favor: Bs. 3.210.000)"/>
    <x v="0"/>
    <m/>
    <s v="01163"/>
    <s v="28 de junio de 2018"/>
    <n v="28"/>
    <x v="19"/>
    <s v="2,25"/>
    <e v="#NAME?"/>
  </r>
  <r>
    <n v="1164"/>
    <m/>
    <x v="0"/>
    <d v="2018-06-28T00:00:00"/>
    <n v="2.25"/>
    <s v="Familia Jiménez Salvatierra"/>
    <s v="En Físico"/>
    <s v="Calle Güigüe Nro. 89-45"/>
    <s v="Cancelación Vigilancia, ajuste mes de Junio 2018 (saldo a favor: Bs. 1.368.000)"/>
    <x v="0"/>
    <m/>
    <s v="01164"/>
    <s v="28 de junio de 2018"/>
    <n v="28"/>
    <x v="19"/>
    <s v="2,25"/>
    <e v="#NAME?"/>
  </r>
  <r>
    <n v="1165"/>
    <m/>
    <x v="0"/>
    <d v="2018-06-28T00:00:00"/>
    <n v="2.25"/>
    <s v="Familia Arcia Polanco"/>
    <s v="misipo29@gmail.com"/>
    <s v="Calle Guacara Nro. 89-20"/>
    <s v="Cancelación Vigilancia, ajuste mes de Junio 2018"/>
    <x v="0"/>
    <m/>
    <s v="01165"/>
    <s v="28 de junio de 2018"/>
    <n v="28"/>
    <x v="19"/>
    <s v="2,25"/>
    <e v="#NAME?"/>
  </r>
  <r>
    <n v="1166"/>
    <m/>
    <x v="0"/>
    <d v="2018-06-28T00:00:00"/>
    <n v="10.75"/>
    <s v="Familia Milanés Carmona"/>
    <s v="yndira11m@gmail.com"/>
    <s v="Calle Güigüe Nro. 89-65"/>
    <s v="Cancelación Vigilancia, ajuste mes de Junio y cancelación mes de Julio 2018"/>
    <x v="0"/>
    <m/>
    <s v="01166"/>
    <s v="28 de junio de 2018"/>
    <n v="28"/>
    <x v="19"/>
    <s v="10,75"/>
    <e v="#NAME?"/>
  </r>
  <r>
    <n v="1167"/>
    <m/>
    <x v="0"/>
    <d v="2018-06-28T00:00:00"/>
    <n v="10.75"/>
    <s v="Chin Chun Ya (Goya)"/>
    <s v="uc2721@gmail.com"/>
    <s v="Calle Guacara Nro. 87-86"/>
    <s v="Cancelación Vigilancia, ajuste mes de Junio y cancelación mes de Julio 2018"/>
    <x v="0"/>
    <m/>
    <s v="01167"/>
    <s v="28 de junio de 2018"/>
    <n v="28"/>
    <x v="19"/>
    <s v="10,75"/>
    <e v="#NAME?"/>
  </r>
  <r>
    <n v="1168"/>
    <m/>
    <x v="0"/>
    <d v="2018-06-28T00:00:00"/>
    <n v="10.75"/>
    <s v="Familia González Arévalo"/>
    <s v="feryenis@hotmail.com"/>
    <s v="Calle Guacara Nro. 89-86"/>
    <s v="Cancelación Vigilancia, ajuste mes de Junio y cancelación mes de Julio 2018"/>
    <x v="0"/>
    <m/>
    <s v="01168"/>
    <s v="28 de junio de 2018"/>
    <n v="28"/>
    <x v="19"/>
    <s v="10,75"/>
    <e v="#NAME?"/>
  </r>
  <r>
    <n v="1169"/>
    <m/>
    <x v="0"/>
    <d v="2018-06-28T00:00:00"/>
    <n v="2.25"/>
    <s v="Carmen Moreno"/>
    <s v="carmenemoreno10@gmail.com"/>
    <s v="Calle Güigüe Nro. 89-04"/>
    <s v="Cancelación Vigilancia, ajuste mes de Junio 2018"/>
    <x v="0"/>
    <m/>
    <s v="01169"/>
    <s v="28 de junio de 2018"/>
    <n v="28"/>
    <x v="19"/>
    <s v="2,25"/>
    <e v="#NAME?"/>
  </r>
  <r>
    <n v="1170"/>
    <m/>
    <x v="0"/>
    <d v="2018-06-28T00:00:00"/>
    <n v="4"/>
    <s v="Amarilis Guerra"/>
    <s v="amarilisguerra1@yahoo.com"/>
    <s v="Calle Güigüe Nro. 89-96"/>
    <s v="Cancelación Vigilancia, anticipo mes de Junio 2018"/>
    <x v="0"/>
    <m/>
    <s v="01170"/>
    <s v="28 de junio de 2018"/>
    <n v="28"/>
    <x v="19"/>
    <s v="4,00"/>
    <e v="#NAME?"/>
  </r>
  <r>
    <n v="1171"/>
    <m/>
    <x v="0"/>
    <d v="2018-06-29T00:00:00"/>
    <n v="6.75"/>
    <s v="Familia Kattar González"/>
    <s v="jagiak123@yahoo.es"/>
    <s v="Calle Güigüe Nro. 89-95"/>
    <s v="Cancelación Vigilancia, ajuste mes de Junio, y saldo mes de Junio 2018"/>
    <x v="0"/>
    <m/>
    <s v="01171"/>
    <s v="29 de junio de 2018"/>
    <n v="29"/>
    <x v="19"/>
    <s v="6,75"/>
    <e v="#NAME?"/>
  </r>
  <r>
    <n v="1172"/>
    <m/>
    <x v="0"/>
    <d v="2018-06-29T00:00:00"/>
    <n v="10.75"/>
    <s v="Familia Puerta Burguillos"/>
    <s v="namaricakes@gmail.com"/>
    <s v="Calle Guacara Nro. 87-100"/>
    <s v="Cancelación Vigilancia, ajuste mes de Junio y cancelación mes de Julio 2018"/>
    <x v="0"/>
    <m/>
    <s v="01172"/>
    <s v="29 de junio de 2018"/>
    <n v="29"/>
    <x v="19"/>
    <s v="10,75"/>
    <e v="#NAME?"/>
  </r>
  <r>
    <n v="1173"/>
    <m/>
    <x v="0"/>
    <d v="2018-06-29T00:00:00"/>
    <n v="9.25"/>
    <s v="Familia Puerta Burguillos"/>
    <s v="namaricakes@gmail.com"/>
    <s v="Calle Guacara Nro. 87-100"/>
    <s v="Colaboración reparación portón principal"/>
    <x v="10"/>
    <m/>
    <s v="01173"/>
    <s v="29 de junio de 2018"/>
    <n v="29"/>
    <x v="19"/>
    <s v="9,25"/>
    <e v="#NAME?"/>
  </r>
  <r>
    <n v="1174"/>
    <m/>
    <x v="0"/>
    <d v="2018-06-29T00:00:00"/>
    <n v="2.25"/>
    <s v="Familia Hatem Medina"/>
    <s v="hhatem1@hotmail.com"/>
    <s v="Calle Guacara Nro. 88-51"/>
    <s v="Cancelación Vigilancia, ajuste mes de Junio 2018"/>
    <x v="0"/>
    <m/>
    <s v="01174"/>
    <s v="29 de junio de 2018"/>
    <n v="29"/>
    <x v="19"/>
    <s v="2,25"/>
    <e v="#NAME?"/>
  </r>
  <r>
    <n v="1175"/>
    <m/>
    <x v="0"/>
    <d v="2018-06-29T00:00:00"/>
    <n v="6.25"/>
    <s v="Familia Gascón Domínguez"/>
    <s v="vrgascon@gmail.com"/>
    <s v="Calle Güigüe Nro. 88-70"/>
    <s v="Cancelación Vigilancia, mes de Junio 2018"/>
    <x v="0"/>
    <m/>
    <s v="01175"/>
    <s v="29 de junio de 2018"/>
    <n v="29"/>
    <x v="19"/>
    <s v="6,25"/>
    <e v="#NAME?"/>
  </r>
  <r>
    <n v="1176"/>
    <m/>
    <x v="0"/>
    <d v="2018-06-30T00:00:00"/>
    <n v="10.75"/>
    <s v="Isbeth Palacios"/>
    <s v="ispalparcpc@gmail.com"/>
    <s v="Calle Guacara Nro. 88-75"/>
    <s v="Cancelación Vigilancia, ajuste mes de Junio y cancelación mes de Julio 2018"/>
    <x v="0"/>
    <m/>
    <s v="01176"/>
    <s v="30 de junio de 2018"/>
    <n v="30"/>
    <x v="19"/>
    <s v="10,75"/>
    <e v="#NAME?"/>
  </r>
  <r>
    <n v="1177"/>
    <m/>
    <x v="0"/>
    <d v="2018-06-30T00:00:00"/>
    <n v="2.25"/>
    <s v="Anahiz Seijas"/>
    <s v="anahiz_2@hotmail.es"/>
    <s v="Calle Güigüe Nro. 89-106"/>
    <s v="Cancelación Vigilancia, ajuste mes de Junio 2018"/>
    <x v="0"/>
    <m/>
    <s v="01177"/>
    <s v="30 de junio de 2018"/>
    <n v="30"/>
    <x v="19"/>
    <s v="2,25"/>
    <e v="#NAME?"/>
  </r>
  <r>
    <n v="1178"/>
    <m/>
    <x v="0"/>
    <d v="2018-06-30T00:00:00"/>
    <n v="10.75"/>
    <s v="Familia Nava Gordon"/>
    <s v="maru_19_66@hotmail.com"/>
    <s v="Calle Guacara Nro. 89-78"/>
    <s v="Cancelación Vigilancia, ajuste mes de Junio y cancelación mes de Julio 2018"/>
    <x v="0"/>
    <m/>
    <s v="01178"/>
    <s v="30 de junio de 2018"/>
    <n v="30"/>
    <x v="19"/>
    <s v="10,75"/>
    <e v="#NAME?"/>
  </r>
  <r>
    <n v="1179"/>
    <m/>
    <x v="0"/>
    <d v="2018-06-30T00:00:00"/>
    <n v="4.5"/>
    <s v="Familia Hatem Medina"/>
    <s v="hhatem1@hotmail.com"/>
    <s v="Calle Guacara Nro. 88-51"/>
    <s v="Cancelación Vigilancia, saldo mes de Julio 2018"/>
    <x v="0"/>
    <m/>
    <s v="01179"/>
    <s v="30 de junio de 2018"/>
    <n v="30"/>
    <x v="19"/>
    <s v="4,50"/>
    <e v="#NAME?"/>
  </r>
  <r>
    <n v="1180"/>
    <m/>
    <x v="0"/>
    <d v="2018-06-30T00:00:00"/>
    <n v="10.75"/>
    <s v="Familia Colosso Delgado"/>
    <s v="mcolosso@gmail.com"/>
    <s v="Calle Güigüe Nro. 88-44"/>
    <s v="Cancelación Vigilancia, ajuste mes de Junio y cancelación mes de Julio 2018"/>
    <x v="0"/>
    <m/>
    <s v="01180"/>
    <s v="30 de junio de 2018"/>
    <n v="30"/>
    <x v="19"/>
    <s v="10,75"/>
    <e v="#NAME?"/>
  </r>
  <r>
    <n v="1181"/>
    <m/>
    <x v="0"/>
    <d v="2018-06-30T00:00:00"/>
    <n v="10.25"/>
    <s v="Familia Ozar Rivero"/>
    <s v="vanessarivero81@hotmail.com"/>
    <s v="Calle Güigüe Nro. 88-06"/>
    <s v="Cancelación Vigilancia, ajuste mes de Junio, saldo mes de Julio 2018"/>
    <x v="0"/>
    <m/>
    <s v="01181"/>
    <s v="30 de junio de 2018"/>
    <n v="30"/>
    <x v="19"/>
    <s v="10,25"/>
    <e v="#NAME?"/>
  </r>
  <r>
    <n v="1182"/>
    <m/>
    <x v="0"/>
    <d v="2018-06-30T00:00:00"/>
    <n v="10.75"/>
    <s v="Wu Hung Fung"/>
    <s v="carolinahung24@gmail.com"/>
    <s v="Calle Guacara Nro. 90-81"/>
    <s v="Cancelación Vigilancia, ajuste mes de Junio, saldo mes de Julio y anticipo mes de Agosto 2018"/>
    <x v="0"/>
    <m/>
    <s v="01182"/>
    <s v="30 de junio de 2018"/>
    <n v="30"/>
    <x v="19"/>
    <s v="10,75"/>
    <e v="#NAME?"/>
  </r>
  <r>
    <n v="1183"/>
    <m/>
    <x v="0"/>
    <d v="2018-07-01T00:00:00"/>
    <n v="10.75"/>
    <s v="Familia Delgado Hidalgo"/>
    <s v="ardh@hotmail.com"/>
    <s v="Calle Güigüe Nro. 88-10"/>
    <s v="Cancelación Vigilancia, ajuste mes de Junio y cancelación mes de Julio 2018"/>
    <x v="0"/>
    <m/>
    <s v="01183"/>
    <s v="01 de julio de 2018"/>
    <n v="1"/>
    <x v="20"/>
    <s v="10,75"/>
    <e v="#NAME?"/>
  </r>
  <r>
    <n v="1184"/>
    <m/>
    <x v="0"/>
    <d v="2018-07-01T00:00:00"/>
    <n v="10.75"/>
    <s v="Familia Ferrer Bahri"/>
    <s v="bahrimariela@hotmail.com"/>
    <s v="Calle Güigüe Nro. 89-83"/>
    <s v="Cancelación Vigilancia, ajuste mes de Junio y cancelación mes de Julio 2018"/>
    <x v="0"/>
    <m/>
    <s v="01184"/>
    <s v="01 de julio de 2018"/>
    <n v="1"/>
    <x v="20"/>
    <s v="10,75"/>
    <e v="#NAME?"/>
  </r>
  <r>
    <n v="1185"/>
    <m/>
    <x v="0"/>
    <d v="2018-07-01T00:00:00"/>
    <n v="4"/>
    <s v="Gloria Molina"/>
    <s v="glomola2@yahoo.es"/>
    <s v="Calle Güigüe Nro. 89-71"/>
    <s v="Colaboración Vigilancia, mes de Junio 2017"/>
    <x v="0"/>
    <m/>
    <s v="01185"/>
    <s v="01 de julio de 2018"/>
    <n v="1"/>
    <x v="20"/>
    <s v="4,00"/>
    <e v="#NAME?"/>
  </r>
  <r>
    <n v="1186"/>
    <m/>
    <x v="0"/>
    <d v="2018-07-01T00:00:00"/>
    <n v="2.5"/>
    <s v="Familia Navarro Assing"/>
    <s v="liliaassing@gmail.com"/>
    <s v="Calle Güigüe Nro. 88-54"/>
    <s v="Cancelación Vigilancia, ajuste mes de Junio 2018, más adicional de Bs. 25.000"/>
    <x v="0"/>
    <m/>
    <s v="01186"/>
    <s v="01 de julio de 2018"/>
    <n v="1"/>
    <x v="20"/>
    <s v="2,50"/>
    <e v="#NAME?"/>
  </r>
  <r>
    <n v="1187"/>
    <m/>
    <x v="0"/>
    <d v="2018-07-01T00:00:00"/>
    <n v="2.25"/>
    <s v="Héctor Hernández"/>
    <s v="eof64@hotmail.com"/>
    <s v="Calle Guacara Nro. 89-94"/>
    <s v="Cancelación Vigilancia, ajuste mes de Junio 2018"/>
    <x v="0"/>
    <m/>
    <s v="01187"/>
    <s v="01 de julio de 2018"/>
    <n v="1"/>
    <x v="20"/>
    <s v="2,25"/>
    <e v="#NAME?"/>
  </r>
  <r>
    <n v="1188"/>
    <m/>
    <x v="0"/>
    <d v="2018-07-01T00:00:00"/>
    <n v="10.75"/>
    <s v="Familia Narváez Caldera"/>
    <s v="jeannette_nc@yahoo.com"/>
    <s v="Calle Güigüe Nro. 87-A-11"/>
    <s v="Cancelación Vigilancia, ajuste mes de Junio y cancelación mes de Julio 2018"/>
    <x v="0"/>
    <m/>
    <s v="01188"/>
    <s v="01 de julio de 2018"/>
    <n v="1"/>
    <x v="20"/>
    <s v="10,75"/>
    <e v="#NAME?"/>
  </r>
  <r>
    <n v="1189"/>
    <m/>
    <x v="0"/>
    <d v="2018-07-02T00:00:00"/>
    <n v="2.25"/>
    <s v="Familia Kablan Sarmiento"/>
    <s v="norisjsb56@hotmail.com"/>
    <s v="Calle Güigüe Nro. 89-80"/>
    <s v="Cancelación Vigilancia, ajuste mes de Junio 2018"/>
    <x v="0"/>
    <m/>
    <s v="01189"/>
    <s v="02 de julio de 2018"/>
    <n v="2"/>
    <x v="20"/>
    <s v="2,25"/>
    <e v="#NAME?"/>
  </r>
  <r>
    <n v="1190"/>
    <m/>
    <x v="0"/>
    <d v="2018-07-02T00:00:00"/>
    <n v="8.5"/>
    <s v="Carmen Moreno"/>
    <s v="carmenemoreno10@gmail.com"/>
    <s v="Calle Güigüe Nro. 89-04"/>
    <s v="Cancelación Vigilancia, mes de Julio 2018"/>
    <x v="0"/>
    <m/>
    <s v="01190"/>
    <s v="02 de julio de 2018"/>
    <n v="2"/>
    <x v="20"/>
    <s v="8,50"/>
    <e v="#NAME?"/>
  </r>
  <r>
    <n v="1191"/>
    <m/>
    <x v="0"/>
    <d v="2018-07-02T00:00:00"/>
    <n v="23.25"/>
    <s v="Familia Cegarra Villamizar"/>
    <s v="jesus.villamizar.ra@gmail.com"/>
    <s v="Calle Guacara Nro. 88-35"/>
    <s v="Cancelación Vigilancia, meses de Junio, Julio y Agosto 2018"/>
    <x v="0"/>
    <m/>
    <s v="01191"/>
    <s v="02 de julio de 2018"/>
    <n v="2"/>
    <x v="20"/>
    <s v="23,25"/>
    <e v="#NAME?"/>
  </r>
  <r>
    <n v="1192"/>
    <m/>
    <x v="0"/>
    <d v="2018-07-02T00:00:00"/>
    <n v="6.25"/>
    <s v="Familia Zavarce Pérez"/>
    <s v="En Físico"/>
    <s v="Calle Guacara Nro. 90-35"/>
    <s v="Cancelación Vigilancia, mes de Junio 2018"/>
    <x v="0"/>
    <m/>
    <s v="01192"/>
    <s v="02 de julio de 2018"/>
    <n v="2"/>
    <x v="20"/>
    <s v="6,25"/>
    <e v="#NAME?"/>
  </r>
  <r>
    <n v="1193"/>
    <m/>
    <x v="0"/>
    <d v="2018-07-02T00:00:00"/>
    <n v="10"/>
    <s v="Familia Lomeña Agudo"/>
    <s v="claudialomena@hotmail.com"/>
    <s v="Calle Guacara Nro. 89-30"/>
    <s v="Cancelación Vigilancia, mes de Julio 2018"/>
    <x v="0"/>
    <m/>
    <s v="01193"/>
    <s v="02 de julio de 2018"/>
    <n v="2"/>
    <x v="20"/>
    <s v="10,00"/>
    <e v="#NAME?"/>
  </r>
  <r>
    <n v="1194"/>
    <m/>
    <x v="0"/>
    <d v="2018-07-02T00:00:00"/>
    <n v="8.5"/>
    <s v="Familia Romero"/>
    <s v="autoescuela21@gmail.com"/>
    <s v="Calle Guacara Nro. 89-50"/>
    <s v="Cancelación Vigilancia, anticipo mes de Julio 2018"/>
    <x v="0"/>
    <m/>
    <s v="01194"/>
    <s v="02 de julio de 2018"/>
    <n v="2"/>
    <x v="20"/>
    <s v="8,50"/>
    <e v="#NAME?"/>
  </r>
  <r>
    <n v="1195"/>
    <m/>
    <x v="0"/>
    <d v="2018-07-03T00:00:00"/>
    <n v="16.25"/>
    <s v="Familia López Hermoso"/>
    <s v="lopez.humberto14@yahoo.com.ve"/>
    <s v="Calle Güigüe Nro. 89-79"/>
    <s v="Cancelación Vigilancia, meses de Junio y Julio 2018 (saldo a favor: Bs. 3.535.000)"/>
    <x v="0"/>
    <m/>
    <s v="01195"/>
    <s v="03 de julio de 2018"/>
    <n v="3"/>
    <x v="20"/>
    <s v="16,25"/>
    <e v="#NAME?"/>
  </r>
  <r>
    <n v="1196"/>
    <m/>
    <x v="0"/>
    <d v="2018-07-03T00:00:00"/>
    <n v="6.5"/>
    <s v="Familia Lomeña Agudo"/>
    <s v="claudialomena@hotmail.com"/>
    <s v="Calle Guacara Nro. 89-30"/>
    <s v="Cancelación Vigilancia, mes de Junio 2018"/>
    <x v="0"/>
    <m/>
    <s v="01196"/>
    <s v="03 de julio de 2018"/>
    <n v="3"/>
    <x v="20"/>
    <s v="6,50"/>
    <e v="#NAME?"/>
  </r>
  <r>
    <n v="1197"/>
    <m/>
    <x v="0"/>
    <d v="2018-07-03T00:00:00"/>
    <n v="12.25"/>
    <s v="Familia Scabuzzo Gómez"/>
    <s v="sfscabuzzo@msn.com"/>
    <s v="Av. &quot;I&quot; Nro. 146-20"/>
    <s v="Cancelación Vigilancia, ajuste mes de Junio y cancelación mes de Julio 2018"/>
    <x v="0"/>
    <m/>
    <s v="01197"/>
    <s v="03 de julio de 2018"/>
    <n v="3"/>
    <x v="20"/>
    <s v="12,25"/>
    <e v="#NAME?"/>
  </r>
  <r>
    <n v="1198"/>
    <m/>
    <x v="0"/>
    <d v="2018-07-03T00:00:00"/>
    <n v="12.25"/>
    <s v="Familia Castro Jiménez"/>
    <s v="aurycastrojimenez@gmail.com"/>
    <s v="Calle Guacara Nro. 90-51"/>
    <s v="Cancelación Vigilancia, ajuste mes de Junio y cancelación mes de Julio 2018"/>
    <x v="0"/>
    <m/>
    <s v="01198"/>
    <s v="03 de julio de 2018"/>
    <n v="3"/>
    <x v="20"/>
    <s v="12,25"/>
    <e v="#NAME?"/>
  </r>
  <r>
    <n v="1199"/>
    <m/>
    <x v="0"/>
    <d v="2018-07-03T00:00:00"/>
    <n v="0.5"/>
    <s v="Familia Castro Jiménez"/>
    <s v="aurycastrojimenez@gmail.com"/>
    <s v="Calle Guacara Nro. 90-51"/>
    <s v="Colaboración para comida de vigilantes"/>
    <x v="9"/>
    <m/>
    <s v="01199"/>
    <s v="03 de julio de 2018"/>
    <n v="3"/>
    <x v="20"/>
    <s v="0,50"/>
    <e v="#NAME?"/>
  </r>
  <r>
    <n v="1200"/>
    <m/>
    <x v="0"/>
    <d v="2018-07-03T00:00:00"/>
    <n v="4"/>
    <s v="Familia Romero"/>
    <s v="autoescuela21@gmail.com"/>
    <s v="Calle Guacara Nro. 89-50"/>
    <s v="Cancelación Vigilancia, anticipo mes de Junio 2018"/>
    <x v="0"/>
    <m/>
    <s v="01200"/>
    <s v="03 de julio de 2018"/>
    <n v="3"/>
    <x v="20"/>
    <s v="4,00"/>
    <e v="#NAME?"/>
  </r>
  <r>
    <n v="1201"/>
    <m/>
    <x v="0"/>
    <d v="2018-07-03T00:00:00"/>
    <n v="3.5"/>
    <s v="Familia Romero"/>
    <s v="autoescuela21@gmail.com"/>
    <s v="Calle Guacara Nro. 89-50"/>
    <s v="Colaboración mantenimiento Caseta de Vigilancia"/>
    <x v="8"/>
    <m/>
    <s v="01201"/>
    <s v="03 de julio de 2018"/>
    <n v="3"/>
    <x v="20"/>
    <s v="3,50"/>
    <e v="#NAME?"/>
  </r>
  <r>
    <n v="1202"/>
    <m/>
    <x v="0"/>
    <d v="2018-07-03T00:00:00"/>
    <n v="14.75"/>
    <s v="Familia Zavarce Barón"/>
    <s v="alexanderzavarce@gmail.com"/>
    <s v="Calle Guacara Nro. 88-91"/>
    <s v="Cancelación Vigilancia, mes de Junio y anticipo Julio 2018"/>
    <x v="0"/>
    <m/>
    <s v="01202"/>
    <s v="03 de julio de 2018"/>
    <n v="3"/>
    <x v="20"/>
    <s v="14,75"/>
    <e v="#NAME?"/>
  </r>
  <r>
    <n v="1203"/>
    <m/>
    <x v="0"/>
    <d v="2018-07-03T00:00:00"/>
    <n v="1.5"/>
    <s v="Familia Colosso Delgado"/>
    <s v="mcolosso@gmail.com"/>
    <s v="Calle Güigüe Nro. 88-44"/>
    <s v="Cancelación Vigilancia, ajuste mes de Julio 2018"/>
    <x v="0"/>
    <m/>
    <s v="01203"/>
    <s v="03 de julio de 2018"/>
    <n v="3"/>
    <x v="20"/>
    <s v="1,50"/>
    <e v="#NAME?"/>
  </r>
  <r>
    <n v="1204"/>
    <m/>
    <x v="0"/>
    <d v="2018-07-03T00:00:00"/>
    <n v="23.55"/>
    <s v="Colegio El Trigal"/>
    <s v="En Físico"/>
    <s v="Calle Güigüe Nros. 88-71 y 88-81"/>
    <s v="Cancelación Vigilancia, meses de Junio y Julio 2018"/>
    <x v="0"/>
    <m/>
    <s v="01204"/>
    <s v="03 de julio de 2018"/>
    <n v="3"/>
    <x v="20"/>
    <s v="23,55"/>
    <e v="#NAME?"/>
  </r>
  <r>
    <n v="1205"/>
    <m/>
    <x v="0"/>
    <d v="2018-07-03T00:00:00"/>
    <n v="1.5"/>
    <s v="Familia Alonso Rojas"/>
    <s v="redjc01@gmail.com"/>
    <s v="Calle Güigüe Nro. 89-54"/>
    <s v="Cancelación Vigilancia, ajuste mes de Julio 2018"/>
    <x v="0"/>
    <m/>
    <s v="01205"/>
    <s v="03 de julio de 2018"/>
    <n v="3"/>
    <x v="20"/>
    <s v="1,50"/>
    <e v="#NAME?"/>
  </r>
  <r>
    <n v="1206"/>
    <m/>
    <x v="0"/>
    <d v="2018-07-03T00:00:00"/>
    <n v="1.5"/>
    <s v="Familia Narváez Caldera"/>
    <s v="jeannette_nc@yahoo.com"/>
    <s v="Calle Güigüe Nro. 87-A-11"/>
    <s v="Cancelación Vigilancia, ajuste mes de Julio 2018"/>
    <x v="0"/>
    <m/>
    <s v="01206"/>
    <s v="03 de julio de 2018"/>
    <n v="3"/>
    <x v="20"/>
    <s v="1,50"/>
    <e v="#NAME?"/>
  </r>
  <r>
    <n v="1207"/>
    <m/>
    <x v="0"/>
    <d v="2018-07-04T00:00:00"/>
    <n v="8.25"/>
    <s v="Familia Loponte Arteaga"/>
    <s v="En Físico"/>
    <s v="Calle Güigüe Nro. 88-120"/>
    <s v="Cancelación Vigilancia, ajuste meses de Junio y Julio 2018"/>
    <x v="0"/>
    <m/>
    <s v="01207"/>
    <s v="04 de julio de 2018"/>
    <n v="4"/>
    <x v="20"/>
    <s v="8,25"/>
    <e v="#NAME?"/>
  </r>
  <r>
    <n v="1208"/>
    <m/>
    <x v="0"/>
    <d v="2018-07-04T00:00:00"/>
    <n v="10"/>
    <s v="Ely Saúl Rivero Gómez"/>
    <s v="hhs.admon@gmail.com"/>
    <s v="Av. &quot;Ñ&quot; Nro. 145-25"/>
    <s v="Cancelación Vigilancia, mes de Julio 2018 (saldo a favor: Bs. 2.210.000)"/>
    <x v="0"/>
    <m/>
    <s v="01208"/>
    <s v="04 de julio de 2018"/>
    <n v="4"/>
    <x v="20"/>
    <s v="10,00"/>
    <e v="#NAME?"/>
  </r>
  <r>
    <n v="1209"/>
    <m/>
    <x v="0"/>
    <d v="2018-07-04T00:00:00"/>
    <n v="10"/>
    <s v="Familia Jiménez Salvatierra"/>
    <s v="En Físico"/>
    <s v="Calle Güigüe Nro. 89-45"/>
    <s v="Cancelación Vigilancia, mes de Julio 2018 (saldo a favor: Bs. 1.518.000)"/>
    <x v="0"/>
    <m/>
    <s v="01209"/>
    <s v="04 de julio de 2018"/>
    <n v="4"/>
    <x v="20"/>
    <s v="10,00"/>
    <e v="#NAME?"/>
  </r>
  <r>
    <n v="1210"/>
    <m/>
    <x v="0"/>
    <d v="2018-07-04T00:00:00"/>
    <n v="10"/>
    <s v="Familia Del Negro Palermo"/>
    <s v="vdelnegro@gmail.com"/>
    <s v="Calle Guacara Nro. 88-45"/>
    <s v="Cancelación Vigilancia, mes de Julio 2018 (saldo a favor: Bs. 3.495.000)"/>
    <x v="0"/>
    <m/>
    <s v="01210"/>
    <s v="04 de julio de 2018"/>
    <n v="4"/>
    <x v="20"/>
    <s v="10,00"/>
    <e v="#NAME?"/>
  </r>
  <r>
    <n v="1211"/>
    <m/>
    <x v="0"/>
    <d v="2018-05-08T00:00:00"/>
    <n v="14.75"/>
    <s v="Familia Matta Palomino"/>
    <s v="En Físico"/>
    <s v="Calle Güigüe Nro. 88-90"/>
    <s v="Cancelación Vigilancia, mes de Junio y anticipo mes de Julio 2018"/>
    <x v="0"/>
    <m/>
    <s v="01211"/>
    <s v="08 de mayo de 2018"/>
    <n v="8"/>
    <x v="18"/>
    <s v="14,75"/>
    <e v="#NAME?"/>
  </r>
  <r>
    <n v="1212"/>
    <m/>
    <x v="0"/>
    <d v="2018-07-04T00:00:00"/>
    <n v="5"/>
    <s v="Familia Sirit Palencia"/>
    <s v="irasirit@gmail.com"/>
    <s v="Calle Güigüe Nro. 89-35"/>
    <s v="Colaboración Vigilancia, mes de Julio 2018"/>
    <x v="0"/>
    <m/>
    <s v="01212"/>
    <s v="04 de julio de 2018"/>
    <n v="4"/>
    <x v="20"/>
    <s v="5,00"/>
    <e v="#NAME?"/>
  </r>
  <r>
    <n v="1213"/>
    <m/>
    <x v="0"/>
    <d v="2018-07-04T00:00:00"/>
    <n v="10"/>
    <s v="Familia Zavarce Pérez"/>
    <s v="En Físico"/>
    <s v="Calle Guacara Nro. 90-35"/>
    <s v="Cancelación Vigilancia, mes de Julio 2018"/>
    <x v="0"/>
    <m/>
    <s v="01213"/>
    <s v="04 de julio de 2018"/>
    <n v="4"/>
    <x v="20"/>
    <s v="10,00"/>
    <e v="#NAME?"/>
  </r>
  <r>
    <n v="1214"/>
    <m/>
    <x v="0"/>
    <d v="2018-07-04T00:00:00"/>
    <n v="10"/>
    <s v="Familia Flores Montagne"/>
    <s v="martaflores@gmail.com"/>
    <s v="Av. &quot;M&quot; Nro. 146-20"/>
    <s v="Cancelación Vigilancia, mes de Julio 2018"/>
    <x v="0"/>
    <m/>
    <s v="01214"/>
    <s v="04 de julio de 2018"/>
    <n v="4"/>
    <x v="20"/>
    <s v="10,00"/>
    <e v="#NAME?"/>
  </r>
  <r>
    <n v="1215"/>
    <m/>
    <x v="0"/>
    <d v="2018-07-05T00:00:00"/>
    <n v="12.25"/>
    <s v="Familia Barreto Pérez"/>
    <s v="bbetsa19@hotmail.com"/>
    <s v="Av. &quot;M&quot; Nro. 146-15"/>
    <s v="Cancelación Vigilancia, ajuste mes de Junio y cancelación mes de Julio 2018"/>
    <x v="0"/>
    <m/>
    <s v="01215"/>
    <s v="05 de julio de 2018"/>
    <n v="5"/>
    <x v="20"/>
    <s v="12,25"/>
    <e v="#NAME?"/>
  </r>
  <r>
    <n v="1216"/>
    <m/>
    <x v="0"/>
    <d v="2018-07-05T00:00:00"/>
    <n v="6"/>
    <s v="Familia Méndez Parra"/>
    <s v="briceidademendez@gmail.com"/>
    <s v="Calle Guacara Nro. 88-19"/>
    <s v="Colaboración Vigilancia, mes de Junio 2018"/>
    <x v="0"/>
    <m/>
    <s v="01216"/>
    <s v="05 de julio de 2018"/>
    <n v="5"/>
    <x v="20"/>
    <s v="6,00"/>
    <e v="#NAME?"/>
  </r>
  <r>
    <n v="1217"/>
    <m/>
    <x v="0"/>
    <d v="2018-07-05T00:00:00"/>
    <n v="1"/>
    <s v="Familia Morales Sesar"/>
    <s v="moralesesar@gmail.com"/>
    <s v="Calle Güigüe Nro. 89-120"/>
    <s v="Colaboración Vigilancia, mes de Junio 2018"/>
    <x v="0"/>
    <m/>
    <s v="01217"/>
    <s v="05 de julio de 2018"/>
    <n v="5"/>
    <x v="20"/>
    <s v="1,00"/>
    <e v="#NAME?"/>
  </r>
  <r>
    <n v="1218"/>
    <m/>
    <x v="0"/>
    <d v="2018-07-05T00:00:00"/>
    <n v="1.5"/>
    <s v="Familia Ferrer Bahri"/>
    <s v="bahrimariela@hotmail.com"/>
    <s v="Calle Güigüe Nro. 89-83"/>
    <s v="Cancelación Vigilancia, ajuste mes de Julio 2018"/>
    <x v="0"/>
    <m/>
    <s v="01218"/>
    <s v="05 de julio de 2018"/>
    <n v="5"/>
    <x v="20"/>
    <s v="1,50"/>
    <e v="#NAME?"/>
  </r>
  <r>
    <n v="1219"/>
    <m/>
    <x v="0"/>
    <d v="2018-07-06T00:00:00"/>
    <n v="2.25"/>
    <s v="Amarilis Guerra"/>
    <s v="amarilisguerra1@yahoo.com"/>
    <s v="Calle Güigüe Nro. 89-96"/>
    <s v="Cancelación Vigilancia, ajuste mes de Junio 2018"/>
    <x v="0"/>
    <m/>
    <s v="01219"/>
    <s v="06 de julio de 2018"/>
    <n v="6"/>
    <x v="20"/>
    <s v="2,25"/>
    <e v="#NAME?"/>
  </r>
  <r>
    <n v="1220"/>
    <m/>
    <x v="0"/>
    <d v="2018-07-07T00:00:00"/>
    <n v="10"/>
    <s v="Amparo Acosta"/>
    <s v="amparonatividad@hotmail.com"/>
    <s v="Calle Guacara Nro. 88-65"/>
    <s v="Cancelación Vigilancia, mes de Julio 2018"/>
    <x v="0"/>
    <m/>
    <s v="01220"/>
    <s v="07 de julio de 2018"/>
    <n v="7"/>
    <x v="20"/>
    <s v="10,00"/>
    <e v="#NAME?"/>
  </r>
  <r>
    <n v="1221"/>
    <m/>
    <x v="0"/>
    <d v="2018-07-07T00:00:00"/>
    <n v="4"/>
    <s v="Familia Narváez Caldera"/>
    <s v="jeannette_nc@yahoo.com"/>
    <s v="Calle Güigüe Nro. 87-A-11"/>
    <s v="Cancelación Vigilancia, saldo mes de Junio 2018"/>
    <x v="0"/>
    <m/>
    <s v="01221"/>
    <s v="07 de julio de 2018"/>
    <n v="7"/>
    <x v="20"/>
    <s v="4,00"/>
    <e v="#NAME?"/>
  </r>
  <r>
    <n v="1222"/>
    <m/>
    <x v="0"/>
    <d v="2018-07-07T00:00:00"/>
    <n v="12.4"/>
    <s v="Familia Durvelle Serrano"/>
    <s v="sdurvelle@hotmail.com"/>
    <s v="Calle Guacara Nro. 89-60"/>
    <s v="Cancelación Vigilancia, ajuste mes de Junio, cancelación mes de Julio y anticipo mes de Agosto 2018"/>
    <x v="0"/>
    <m/>
    <s v="01222"/>
    <s v="07 de julio de 2018"/>
    <n v="7"/>
    <x v="20"/>
    <s v="12,40"/>
    <e v="#NAME?"/>
  </r>
  <r>
    <n v="1223"/>
    <m/>
    <x v="0"/>
    <d v="2018-07-01T00:00:00"/>
    <n v="6.25"/>
    <s v="Familia Franco Gómez"/>
    <s v="eof64@hotmail.com"/>
    <s v="Calle Guacara Nro. 87-07"/>
    <s v="Cancelación Vigilancia, mes de Junio 2018"/>
    <x v="0"/>
    <m/>
    <s v="01223"/>
    <s v="01 de julio de 2018"/>
    <n v="1"/>
    <x v="20"/>
    <s v="6,25"/>
    <e v="#NAME?"/>
  </r>
  <r>
    <n v="1224"/>
    <m/>
    <x v="0"/>
    <d v="2018-07-08T00:00:00"/>
    <n v="6.5"/>
    <s v="Familia Manrique Riera"/>
    <s v="patriciamanrique@gmail.com"/>
    <s v="Calle Guacara Nro. 89-40"/>
    <s v="Cancelación Vigilancia, mes de Junio 2018"/>
    <x v="0"/>
    <m/>
    <s v="01224"/>
    <s v="08 de julio de 2018"/>
    <n v="8"/>
    <x v="20"/>
    <s v="6,50"/>
    <e v="#NAME?"/>
  </r>
  <r>
    <n v="1225"/>
    <m/>
    <x v="0"/>
    <d v="2018-07-08T00:00:00"/>
    <n v="10"/>
    <s v="Victoria Francischiello"/>
    <s v="victoriafrancischiello@hotmail.com"/>
    <s v="Calle Guacara Nro. 88-25"/>
    <s v="Cancelación Vigilancia, mes de Julio 2018"/>
    <x v="0"/>
    <m/>
    <s v="01225"/>
    <s v="08 de julio de 2018"/>
    <n v="8"/>
    <x v="20"/>
    <s v="10,00"/>
    <e v="#NAME?"/>
  </r>
  <r>
    <n v="1226"/>
    <m/>
    <x v="0"/>
    <d v="2018-07-08T00:00:00"/>
    <n v="1.5"/>
    <s v="Familia Milanés Carmona"/>
    <s v="yndira11m@gmail.com"/>
    <s v="Calle Güigüe Nro. 89-65"/>
    <s v="Cancelación Vigilancia, ajuste mes de Julio 2018"/>
    <x v="0"/>
    <m/>
    <s v="01226"/>
    <s v="08 de julio de 2018"/>
    <n v="8"/>
    <x v="20"/>
    <s v="1,50"/>
    <e v="#NAME?"/>
  </r>
  <r>
    <n v="1227"/>
    <m/>
    <x v="0"/>
    <d v="2018-07-09T00:00:00"/>
    <n v="12.25"/>
    <s v="Sra. Reina Meléndez"/>
    <s v="olgajipe@gmail.com"/>
    <s v="Av. &quot;M&quot; Nro. 145-10"/>
    <s v="Cancelación Vigilancia, ajuste mes de Junio y mes de Julio 2018"/>
    <x v="0"/>
    <m/>
    <s v="01227"/>
    <s v="09 de julio de 2018"/>
    <n v="9"/>
    <x v="20"/>
    <s v="12,25"/>
    <e v="#NAME?"/>
  </r>
  <r>
    <n v="1228"/>
    <m/>
    <x v="0"/>
    <d v="2018-07-09T00:00:00"/>
    <n v="3.5"/>
    <s v="Sra. Reina Meléndez"/>
    <s v="olgajipe@gmail.com"/>
    <s v="Av. &quot;M&quot; Nro. 145-10"/>
    <s v="Colaboración mantenimiento Caseta de Vigilancia"/>
    <x v="8"/>
    <m/>
    <s v="01228"/>
    <s v="09 de julio de 2018"/>
    <n v="9"/>
    <x v="20"/>
    <s v="3,50"/>
    <e v="#NAME?"/>
  </r>
  <r>
    <n v="1229"/>
    <m/>
    <x v="0"/>
    <d v="2018-07-09T00:00:00"/>
    <n v="10"/>
    <s v="Héctor Hernández"/>
    <s v="eof64@hotmail.com"/>
    <s v="Calle Guacara Nro. 89-94"/>
    <s v="Cancelación Vigilancia, mes de Julio 2018"/>
    <x v="0"/>
    <m/>
    <s v="01229"/>
    <s v="09 de julio de 2018"/>
    <n v="9"/>
    <x v="20"/>
    <s v="10,00"/>
    <e v="#NAME?"/>
  </r>
  <r>
    <n v="1230"/>
    <m/>
    <x v="0"/>
    <d v="2018-07-09T00:00:00"/>
    <n v="12.5"/>
    <s v="Familia Costermani Terrer"/>
    <s v="claudiacostermani@hotmail.com"/>
    <s v="Calle Güigüe Nro. 88-11"/>
    <s v="Cancelación Vigilancia, ajuste mes de Junio y mes de Julio 2018"/>
    <x v="0"/>
    <m/>
    <s v="01230"/>
    <s v="09 de julio de 2018"/>
    <n v="9"/>
    <x v="20"/>
    <s v="12,50"/>
    <e v="#NAME?"/>
  </r>
  <r>
    <n v="1231"/>
    <m/>
    <x v="0"/>
    <d v="2018-07-09T00:00:00"/>
    <n v="2.5"/>
    <s v="Beatriz Lara"/>
    <s v="valentina.gutierrez@hotmail.com"/>
    <s v="Calle Guacara Nro. 89-130"/>
    <s v="Cancelación Vigilancia, ajuste mes de Junio 2018"/>
    <x v="0"/>
    <m/>
    <s v="01231"/>
    <s v="09 de julio de 2018"/>
    <n v="9"/>
    <x v="20"/>
    <s v="2,50"/>
    <e v="#NAME?"/>
  </r>
  <r>
    <n v="1232"/>
    <m/>
    <x v="0"/>
    <d v="2018-07-09T00:00:00"/>
    <n v="12.2"/>
    <s v="Familia Alonso Rojas"/>
    <s v="redjc01@gmail.com"/>
    <s v="Calle Güigüe Nro. 89-54"/>
    <s v="Colaboración reparación portón principal"/>
    <x v="10"/>
    <m/>
    <s v="01232"/>
    <s v="09 de julio de 2018"/>
    <n v="9"/>
    <x v="20"/>
    <s v="12,20"/>
    <e v="#NAME?"/>
  </r>
  <r>
    <n v="1233"/>
    <m/>
    <x v="0"/>
    <d v="2018-07-09T00:00:00"/>
    <n v="17.899999999999999"/>
    <s v="La Casita Encantada"/>
    <s v="En Físico"/>
    <s v="Av. &quot;M&quot; Nro. 146-30"/>
    <s v="Cancelación Vigilancia, meses de Junio y Julio 2018"/>
    <x v="0"/>
    <m/>
    <s v="01233"/>
    <s v="09 de julio de 2018"/>
    <n v="9"/>
    <x v="20"/>
    <s v="17,90"/>
    <e v="#NAME?"/>
  </r>
  <r>
    <n v="1234"/>
    <m/>
    <x v="0"/>
    <d v="2018-07-09T00:00:00"/>
    <n v="10"/>
    <s v="Familia Arcia Polanco"/>
    <s v="misipo29@gmail.com"/>
    <s v="Calle Guacara Nro. 89-20"/>
    <s v="Cancelación Vigilancia, mes de Julio 2018"/>
    <x v="0"/>
    <m/>
    <s v="01234"/>
    <s v="09 de julio de 2018"/>
    <n v="9"/>
    <x v="20"/>
    <s v="10,00"/>
    <e v="#NAME?"/>
  </r>
  <r>
    <n v="1235"/>
    <m/>
    <x v="0"/>
    <d v="2018-07-09T00:00:00"/>
    <n v="12.2"/>
    <s v="Chin Chun Ya (Goya)"/>
    <s v="uc2721@gmail.com"/>
    <s v="Calle Guacara Nro. 87-86"/>
    <s v="Colaboración reparación portón principal"/>
    <x v="10"/>
    <m/>
    <s v="01235"/>
    <s v="09 de julio de 2018"/>
    <n v="9"/>
    <x v="20"/>
    <s v="12,20"/>
    <e v="#NAME?"/>
  </r>
  <r>
    <n v="1236"/>
    <m/>
    <x v="0"/>
    <d v="2018-07-09T00:00:00"/>
    <n v="1.5"/>
    <s v="Chin Chun Ya (Goya)"/>
    <s v="uc2721@gmail.com"/>
    <s v="Calle Guacara Nro. 87-86"/>
    <s v="Cancelación Vigilancia, ajuste mes de Julio 2018"/>
    <x v="0"/>
    <m/>
    <s v="01236"/>
    <s v="09 de julio de 2018"/>
    <n v="9"/>
    <x v="20"/>
    <s v="1,50"/>
    <e v="#NAME?"/>
  </r>
  <r>
    <n v="1237"/>
    <m/>
    <x v="0"/>
    <d v="2018-07-09T00:00:00"/>
    <n v="10"/>
    <s v="Familia Acosta Carpio"/>
    <s v="pablo962@hotmail.com"/>
    <s v="Calle Güigüe Nro. 89-10"/>
    <s v="Cancelación Vigilancia, mes de Junio y anticipo mes de Julio 2018"/>
    <x v="0"/>
    <m/>
    <s v="01237"/>
    <s v="09 de julio de 2018"/>
    <n v="9"/>
    <x v="20"/>
    <s v="10,00"/>
    <e v="#NAME?"/>
  </r>
  <r>
    <n v="1238"/>
    <m/>
    <x v="0"/>
    <d v="2018-07-09T00:00:00"/>
    <n v="6"/>
    <s v="Familia Rodríguez Landaeta"/>
    <s v="mrl58@hotmail.com"/>
    <s v="Calle Güigüe Nro. 89-29"/>
    <s v="Colaboración Vigilancia, ajuste mes de Junio y mes de Julio 2018"/>
    <x v="0"/>
    <m/>
    <s v="01238"/>
    <s v="09 de julio de 2018"/>
    <n v="9"/>
    <x v="20"/>
    <s v="6,00"/>
    <e v="#NAME?"/>
  </r>
  <r>
    <n v="1239"/>
    <m/>
    <x v="0"/>
    <d v="2018-07-09T00:00:00"/>
    <n v="12.2"/>
    <s v="Familia Jiménez Salvatierra"/>
    <s v="En Físico"/>
    <s v="Calle Güigüe Nro. 89-45"/>
    <s v="Colaboración reparación portón principal (saldo a favor Bs. 2.298.000)"/>
    <x v="10"/>
    <m/>
    <s v="01239"/>
    <s v="09 de julio de 2018"/>
    <n v="9"/>
    <x v="20"/>
    <s v="12,20"/>
    <e v="#NAME?"/>
  </r>
  <r>
    <n v="1240"/>
    <m/>
    <x v="0"/>
    <d v="2018-07-09T00:00:00"/>
    <n v="6.3"/>
    <s v="Dra. Lilia Magallanes"/>
    <s v="liliamagallanes2010@gmail.com"/>
    <s v="Calle Güigüe Nro. 88-51"/>
    <s v="Cancelación Vigilancia, mes de Junio y anticipo mes de Julio 2018"/>
    <x v="0"/>
    <m/>
    <s v="01240"/>
    <s v="09 de julio de 2018"/>
    <n v="9"/>
    <x v="20"/>
    <s v="6,30"/>
    <e v="#NAME?"/>
  </r>
  <r>
    <n v="1241"/>
    <m/>
    <x v="0"/>
    <d v="2018-07-10T00:00:00"/>
    <n v="12.2"/>
    <s v="Familia Costermani Terrer"/>
    <s v="claudiacostermani@hotmail.com"/>
    <s v="Calle Güigüe Nro. 88-11"/>
    <s v="Colaboración reparación portón principal"/>
    <x v="10"/>
    <m/>
    <s v="01241"/>
    <s v="10 de julio de 2018"/>
    <n v="10"/>
    <x v="20"/>
    <s v="12,20"/>
    <e v="#NAME?"/>
  </r>
  <r>
    <n v="1242"/>
    <m/>
    <x v="0"/>
    <d v="2018-07-10T00:00:00"/>
    <n v="12.2"/>
    <s v="Familia López Hermoso"/>
    <s v="lopez.humberto14@yahoo.com.ve"/>
    <s v="Calle Güigüe Nro. 89-79"/>
    <s v="Colaboración reparación portón principal (saldo a favor Bs. 2.315.000)"/>
    <x v="10"/>
    <m/>
    <s v="01242"/>
    <s v="10 de julio de 2018"/>
    <n v="10"/>
    <x v="20"/>
    <s v="12,20"/>
    <e v="#NAME?"/>
  </r>
  <r>
    <n v="1243"/>
    <m/>
    <x v="0"/>
    <d v="2018-07-10T00:00:00"/>
    <n v="1.5"/>
    <s v="Familia Delgado Hidalgo"/>
    <s v="ardh@hotmail.com"/>
    <s v="Calle Güigüe Nro. 88-10"/>
    <s v="Cancelación Vigilancia, ajuste mes de Julio 2018"/>
    <x v="0"/>
    <m/>
    <s v="01243"/>
    <s v="10 de julio de 2018"/>
    <n v="10"/>
    <x v="20"/>
    <s v="1,50"/>
    <e v="#NAME?"/>
  </r>
  <r>
    <n v="1244"/>
    <m/>
    <x v="0"/>
    <d v="2018-07-10T00:00:00"/>
    <n v="12.2"/>
    <s v="Familia Delgado Hidalgo"/>
    <s v="ardh@hotmail.com"/>
    <s v="Calle Güigüe Nro. 88-10"/>
    <s v="Colaboración reparación portón principal"/>
    <x v="10"/>
    <m/>
    <s v="01244"/>
    <s v="10 de julio de 2018"/>
    <n v="10"/>
    <x v="20"/>
    <s v="12,20"/>
    <e v="#NAME?"/>
  </r>
  <r>
    <n v="1245"/>
    <m/>
    <x v="0"/>
    <d v="2018-07-10T00:00:00"/>
    <n v="12.2"/>
    <s v="Ely Saúl Rivero Gómez"/>
    <s v="hhs.admon@gmail.com"/>
    <s v="Av. &quot;Ñ&quot; Nro. 145-25"/>
    <s v="Colaboración reparación portón principal (saldo a favor Bs. 990.000)"/>
    <x v="10"/>
    <m/>
    <s v="01245"/>
    <s v="10 de julio de 2018"/>
    <n v="10"/>
    <x v="20"/>
    <s v="12,20"/>
    <e v="#NAME?"/>
  </r>
  <r>
    <n v="1246"/>
    <m/>
    <x v="0"/>
    <d v="2018-07-10T00:00:00"/>
    <n v="12.2"/>
    <s v="Familia Kattar González"/>
    <s v="jagiak123@yahoo.es"/>
    <s v="Calle Güigüe Nro. 89-95"/>
    <s v="Colaboración reparación portón principal"/>
    <x v="10"/>
    <m/>
    <s v="01246"/>
    <s v="10 de julio de 2018"/>
    <n v="10"/>
    <x v="20"/>
    <s v="12,20"/>
    <e v="#NAME?"/>
  </r>
  <r>
    <n v="1247"/>
    <m/>
    <x v="0"/>
    <d v="2018-07-10T00:00:00"/>
    <n v="16.25"/>
    <s v="Ana de González"/>
    <s v="mikelnowak25@gmail.com"/>
    <s v="Av. &quot;O&quot; Nro. 146-17"/>
    <s v="Cancelación Vigilancia, meses de Junio y Julio 2018"/>
    <x v="0"/>
    <m/>
    <s v="01247"/>
    <s v="10 de julio de 2018"/>
    <n v="10"/>
    <x v="20"/>
    <s v="16,25"/>
    <e v="#NAME?"/>
  </r>
  <r>
    <n v="1248"/>
    <m/>
    <x v="0"/>
    <d v="2018-07-10T00:00:00"/>
    <n v="12.2"/>
    <s v="Familia Lomeña Agudo"/>
    <s v="claudialomena@hotmail.com"/>
    <s v="Calle Guacara Nro. 89-30"/>
    <s v="Colaboración reparación portón principal"/>
    <x v="10"/>
    <m/>
    <s v="01248"/>
    <s v="10 de julio de 2018"/>
    <n v="10"/>
    <x v="20"/>
    <s v="12,20"/>
    <e v="#NAME?"/>
  </r>
  <r>
    <n v="1249"/>
    <m/>
    <x v="0"/>
    <d v="2018-07-10T00:00:00"/>
    <n v="10"/>
    <s v="Familia Fermín Rivas"/>
    <s v="angelferminb@gmail.com"/>
    <s v="Calle Güigüe Nro. 89-55"/>
    <s v="Cancelación Vigilancia, mes de Julio 2018"/>
    <x v="0"/>
    <m/>
    <s v="01249"/>
    <s v="10 de julio de 2018"/>
    <n v="10"/>
    <x v="20"/>
    <s v="10,00"/>
    <e v="#NAME?"/>
  </r>
  <r>
    <n v="1250"/>
    <m/>
    <x v="0"/>
    <d v="2018-07-10T00:00:00"/>
    <n v="12.2"/>
    <s v="Familia Fermín Rivas"/>
    <s v="angelferminb@gmail.com"/>
    <s v="Calle Güigüe Nro. 89-55"/>
    <s v="Colaboración reparación portón principal"/>
    <x v="10"/>
    <m/>
    <s v="01250"/>
    <s v="10 de julio de 2018"/>
    <n v="10"/>
    <x v="20"/>
    <s v="12,20"/>
    <e v="#NAME?"/>
  </r>
  <r>
    <n v="1251"/>
    <m/>
    <x v="0"/>
    <d v="2018-07-10T00:00:00"/>
    <n v="1.5"/>
    <s v="Familia Nava Gordon"/>
    <s v="maru_19_66@hotmail.com"/>
    <s v="Calle Guacara Nro. 89-78"/>
    <s v="Cancelación Vigilancia, ajuste mes de Julio 2018"/>
    <x v="0"/>
    <m/>
    <s v="01251"/>
    <s v="10 de julio de 2018"/>
    <n v="10"/>
    <x v="20"/>
    <s v="1,50"/>
    <e v="#NAME?"/>
  </r>
  <r>
    <n v="1252"/>
    <m/>
    <x v="0"/>
    <d v="2018-07-10T00:00:00"/>
    <n v="11.5"/>
    <s v="Familia Romero"/>
    <s v="autoescuela21@gmail.com"/>
    <s v="Calle Guacara Nro. 89-50"/>
    <s v="Cancelación Vigilancia, ajuste mes de Julio y Agosto 2018"/>
    <x v="0"/>
    <m/>
    <s v="01252"/>
    <s v="10 de julio de 2018"/>
    <n v="10"/>
    <x v="20"/>
    <s v="11,50"/>
    <e v="#NAME?"/>
  </r>
  <r>
    <n v="1253"/>
    <m/>
    <x v="0"/>
    <d v="2018-07-10T00:00:00"/>
    <n v="12.2"/>
    <s v="Familia Colosso Delgado"/>
    <s v="mcolosso@gmail.com"/>
    <s v="Calle Güigüe Nro. 88-44"/>
    <s v="Colaboración reparación portón principal"/>
    <x v="10"/>
    <m/>
    <s v="01253"/>
    <s v="10 de julio de 2018"/>
    <n v="10"/>
    <x v="20"/>
    <s v="12,20"/>
    <e v="#NAME?"/>
  </r>
  <r>
    <n v="1254"/>
    <m/>
    <x v="0"/>
    <d v="2018-07-10T00:00:00"/>
    <n v="12.2"/>
    <s v="Familia Montilla García"/>
    <s v="dairy252525@hotmail.com"/>
    <s v="Calle Güigüe Nro. 89-90"/>
    <s v="Colaboración reparación portón principal"/>
    <x v="10"/>
    <m/>
    <s v="01254"/>
    <s v="10 de julio de 2018"/>
    <n v="10"/>
    <x v="20"/>
    <s v="12,20"/>
    <e v="#NAME?"/>
  </r>
  <r>
    <n v="1255"/>
    <m/>
    <x v="0"/>
    <d v="2018-07-10T00:00:00"/>
    <n v="10.3"/>
    <s v="Familia Montilla García"/>
    <s v="dairy252525@hotmail.com"/>
    <s v="Calle Güigüe Nro. 89-90"/>
    <s v="Cancelación Vigilancia, ajuste mes de Junio y anticipo mes de Julio 2018"/>
    <x v="0"/>
    <m/>
    <s v="01255"/>
    <s v="10 de julio de 2018"/>
    <n v="10"/>
    <x v="20"/>
    <s v="10,30"/>
    <e v="#NAME?"/>
  </r>
  <r>
    <n v="1256"/>
    <m/>
    <x v="0"/>
    <d v="2018-07-11T00:00:00"/>
    <n v="12.2"/>
    <s v="La Casita Encantada"/>
    <s v="En Físico"/>
    <s v="Av. &quot;M&quot; Nro. 146-30"/>
    <s v="Colaboración reparación portón principal"/>
    <x v="10"/>
    <m/>
    <s v="01256"/>
    <s v="11 de julio de 2018"/>
    <n v="11"/>
    <x v="20"/>
    <s v="12,20"/>
    <e v="#NAME?"/>
  </r>
  <r>
    <n v="1257"/>
    <m/>
    <x v="0"/>
    <d v="2018-07-11T00:00:00"/>
    <n v="1.5"/>
    <s v="Carmen Moreno"/>
    <s v="carmenemoreno10@gmail.com"/>
    <s v="Calle Güigüe Nro. 89-04"/>
    <s v="Cancelación Vigilancia, ajuste mes de Julio 2018"/>
    <x v="0"/>
    <m/>
    <s v="01257"/>
    <s v="11 de julio de 2018"/>
    <n v="11"/>
    <x v="20"/>
    <s v="1,50"/>
    <e v="#NAME?"/>
  </r>
  <r>
    <n v="1258"/>
    <m/>
    <x v="0"/>
    <d v="2018-07-11T00:00:00"/>
    <n v="16.25"/>
    <s v="Familia Díaz González"/>
    <s v="luisrdt57@gmail.com"/>
    <s v="Calle Güigüe Nro. 88-116"/>
    <s v="Cancelación Vigilancia, meses de Junio y Julio 2018"/>
    <x v="0"/>
    <m/>
    <s v="01258"/>
    <s v="11 de julio de 2018"/>
    <n v="11"/>
    <x v="20"/>
    <s v="16,25"/>
    <e v="#NAME?"/>
  </r>
  <r>
    <n v="1259"/>
    <m/>
    <x v="0"/>
    <d v="2018-07-11T00:00:00"/>
    <n v="1.95"/>
    <s v="Familia Montilla García"/>
    <s v="dairy252525@hotmail.com"/>
    <s v="Calle Güigüe Nro. 89-90"/>
    <s v="Cancelación Vigilancia, ajuste mes de Julio 2018"/>
    <x v="0"/>
    <m/>
    <s v="01259"/>
    <s v="11 de julio de 2018"/>
    <n v="11"/>
    <x v="20"/>
    <s v="1,95"/>
    <e v="#NAME?"/>
  </r>
  <r>
    <n v="1260"/>
    <m/>
    <x v="0"/>
    <d v="2018-07-12T00:00:00"/>
    <n v="10"/>
    <s v="Familia Wu Acevedo"/>
    <s v="rudyacevedo90@gmail.com"/>
    <s v="Calle Guacara Nro. 88-A-10"/>
    <s v="Cancelación Vigilancia, mes de Julio 2018"/>
    <x v="0"/>
    <m/>
    <s v="01260"/>
    <s v="12 de julio de 2018"/>
    <n v="12"/>
    <x v="20"/>
    <s v="10,00"/>
    <e v="#NAME?"/>
  </r>
  <r>
    <n v="1261"/>
    <m/>
    <x v="0"/>
    <d v="2018-07-12T00:00:00"/>
    <n v="12.2"/>
    <s v="Familia Wu Acevedo"/>
    <s v="rudyacevedo90@gmail.com"/>
    <s v="Calle Guacara Nro. 88-A-10"/>
    <s v="Colaboración reparación portón principal"/>
    <x v="10"/>
    <m/>
    <s v="01261"/>
    <s v="12 de julio de 2018"/>
    <n v="12"/>
    <x v="20"/>
    <s v="12,20"/>
    <e v="#NAME?"/>
  </r>
  <r>
    <n v="1262"/>
    <m/>
    <x v="0"/>
    <d v="2018-07-12T00:00:00"/>
    <n v="10.75"/>
    <s v="Familia Castillo Mena"/>
    <s v="emmecas@hotmail.com"/>
    <s v="Calle Güigüe Nro. 88-101"/>
    <s v="Cancelación Vigilancia, mes de junio y anticipo mes de Julio 2018"/>
    <x v="0"/>
    <m/>
    <s v="01262"/>
    <s v="12 de julio de 2018"/>
    <n v="12"/>
    <x v="20"/>
    <s v="10,75"/>
    <e v="#NAME?"/>
  </r>
  <r>
    <n v="1263"/>
    <m/>
    <x v="0"/>
    <d v="2018-07-12T00:00:00"/>
    <n v="2.25"/>
    <s v="Familia Guerra Miret"/>
    <s v="antoniojguerrag@hotmail.com"/>
    <s v="Calle Güigüe Nro. 89-40"/>
    <s v="Cancelación Vigilancia, saldo mes de Junio 2018"/>
    <x v="0"/>
    <m/>
    <s v="01263"/>
    <s v="12 de julio de 2018"/>
    <n v="12"/>
    <x v="20"/>
    <s v="2,25"/>
    <e v="#NAME?"/>
  </r>
  <r>
    <n v="1264"/>
    <m/>
    <x v="0"/>
    <d v="2018-07-12T00:00:00"/>
    <n v="6.25"/>
    <s v="Familia Flores Montagne"/>
    <s v="martaflores@gmail.com"/>
    <s v="Av. &quot;M&quot; Nro. 146-20"/>
    <s v="Cancelación Vigilancia, mes de Junio 2018"/>
    <x v="0"/>
    <m/>
    <s v="01264"/>
    <s v="12 de julio de 2018"/>
    <n v="12"/>
    <x v="20"/>
    <s v="6,25"/>
    <e v="#NAME?"/>
  </r>
  <r>
    <n v="1265"/>
    <m/>
    <x v="0"/>
    <d v="2018-07-12T00:00:00"/>
    <n v="16.25"/>
    <s v="Familia Piñero Padilla"/>
    <s v="achepaul2005@hotmail.com"/>
    <s v="Calle Güigüe Nro. 89-21"/>
    <s v="Cancelación Vigilancia, meses de Junio y Julio 2018"/>
    <x v="0"/>
    <m/>
    <s v="01265"/>
    <s v="12 de julio de 2018"/>
    <n v="12"/>
    <x v="20"/>
    <s v="16,25"/>
    <e v="#NAME?"/>
  </r>
  <r>
    <n v="1266"/>
    <m/>
    <x v="0"/>
    <d v="2018-07-12T00:00:00"/>
    <n v="12.2"/>
    <s v="Familia Piñero Padilla"/>
    <s v="achepaul2005@hotmail.com"/>
    <s v="Calle Güigüe Nro. 89-21"/>
    <s v="Colaboración reparación portón principal"/>
    <x v="10"/>
    <m/>
    <s v="01266"/>
    <s v="12 de julio de 2018"/>
    <n v="12"/>
    <x v="20"/>
    <s v="12,20"/>
    <e v="#NAME?"/>
  </r>
  <r>
    <n v="1267"/>
    <m/>
    <x v="0"/>
    <d v="2018-07-12T00:00:00"/>
    <n v="20"/>
    <s v="Familia Jiménez Navarro"/>
    <s v="joyasonline2012@gmail.com"/>
    <s v="Calle Güigüe Nro. 88-50"/>
    <s v="Cancelación Vigilancia, meses de Junio y Julio 2018"/>
    <x v="0"/>
    <m/>
    <s v="01267"/>
    <s v="12 de julio de 2018"/>
    <n v="12"/>
    <x v="20"/>
    <s v="20,00"/>
    <e v="#NAME?"/>
  </r>
  <r>
    <n v="1268"/>
    <m/>
    <x v="0"/>
    <d v="2018-07-12T00:00:00"/>
    <n v="15"/>
    <s v="Familia Jiménez Navarro"/>
    <s v="joyasonline2012@gmail.com"/>
    <s v="Calle Güigüe Nro. 88-50"/>
    <s v="Colaboración reparación portón principal"/>
    <x v="10"/>
    <m/>
    <s v="01268"/>
    <s v="12 de julio de 2018"/>
    <n v="12"/>
    <x v="20"/>
    <s v="15,00"/>
    <e v="#NAME?"/>
  </r>
  <r>
    <n v="1269"/>
    <m/>
    <x v="0"/>
    <d v="2018-07-12T00:00:00"/>
    <n v="13"/>
    <s v="Familia Ferrer Bahri"/>
    <s v="bahrimariela@hotmail.com"/>
    <s v="Calle Güigüe Nro. 89-83"/>
    <s v="Colaboración reparación portón principal"/>
    <x v="10"/>
    <m/>
    <s v="01269"/>
    <s v="12 de julio de 2018"/>
    <n v="12"/>
    <x v="20"/>
    <s v="13,00"/>
    <e v="#NAME?"/>
  </r>
  <r>
    <n v="1270"/>
    <m/>
    <x v="0"/>
    <d v="2018-07-12T00:00:00"/>
    <n v="12.2"/>
    <s v="Familia Guerra Miret"/>
    <s v="antoniojguerrag@hotmail.com"/>
    <s v="Calle Güigüe Nro. 89-40"/>
    <s v="Colaboración reparación portón principal"/>
    <x v="10"/>
    <m/>
    <s v="01270"/>
    <s v="12 de julio de 2018"/>
    <n v="12"/>
    <x v="20"/>
    <s v="12,20"/>
    <e v="#NAME?"/>
  </r>
  <r>
    <n v="1271"/>
    <m/>
    <x v="0"/>
    <d v="2018-07-12T00:00:00"/>
    <n v="12.2"/>
    <s v="Familia Romero"/>
    <s v="autoescuela21@gmail.com"/>
    <s v="Calle Guacara Nro. 89-50"/>
    <s v="Colaboración reparación portón principal"/>
    <x v="10"/>
    <m/>
    <s v="01271"/>
    <s v="12 de julio de 2018"/>
    <n v="12"/>
    <x v="20"/>
    <s v="12,20"/>
    <e v="#NAME?"/>
  </r>
  <r>
    <n v="1272"/>
    <m/>
    <x v="0"/>
    <d v="2018-07-12T00:00:00"/>
    <n v="12.2"/>
    <s v="Familia Ozar Rivero"/>
    <s v="vanessarivero81@hotmail.com"/>
    <s v="Calle Güigüe Nro. 88-06"/>
    <s v="Colaboración reparación portón principal (saldo a favor Bs. 3.255.000)"/>
    <x v="10"/>
    <m/>
    <s v="01272"/>
    <s v="12 de julio de 2018"/>
    <n v="12"/>
    <x v="20"/>
    <s v="12,20"/>
    <e v="#NAME?"/>
  </r>
  <r>
    <n v="1273"/>
    <m/>
    <x v="0"/>
    <d v="2018-06-12T00:00:00"/>
    <n v="12.25"/>
    <s v="Ma. de Jesus Alonso"/>
    <s v="alonsojg@gmail.com"/>
    <s v="Calle Güigüe Nro. 88-30"/>
    <s v="Cancelación Vigilancia, ajuste mes de Junio y cancelación mes de Julio 2018"/>
    <x v="0"/>
    <m/>
    <s v="01273"/>
    <s v="12 de junio de 2018"/>
    <n v="12"/>
    <x v="19"/>
    <s v="12,25"/>
    <e v="#NAME?"/>
  </r>
  <r>
    <n v="1274"/>
    <m/>
    <x v="0"/>
    <d v="2018-07-13T00:00:00"/>
    <n v="10"/>
    <s v="Familia Kablan Sarmiento"/>
    <s v="norisjsb56@hotmail.com"/>
    <s v="Calle Güigüe Nro. 89-80"/>
    <s v="Cancelación Vigilancia, mes de Julio 2018"/>
    <x v="0"/>
    <m/>
    <s v="01274"/>
    <s v="13 de julio de 2018"/>
    <n v="13"/>
    <x v="20"/>
    <s v="10,00"/>
    <e v="#NAME?"/>
  </r>
  <r>
    <n v="1275"/>
    <m/>
    <x v="0"/>
    <d v="2018-07-13T00:00:00"/>
    <n v="12.2"/>
    <s v="Familia Kablan Sarmiento"/>
    <s v="norisjsb56@hotmail.com"/>
    <s v="Calle Güigüe Nro. 89-80"/>
    <s v="Colaboración reparación portón principal"/>
    <x v="10"/>
    <m/>
    <s v="01275"/>
    <s v="13 de julio de 2018"/>
    <n v="13"/>
    <x v="20"/>
    <s v="12,20"/>
    <e v="#NAME?"/>
  </r>
  <r>
    <n v="1276"/>
    <m/>
    <x v="0"/>
    <d v="2018-07-14T00:00:00"/>
    <n v="10"/>
    <s v="Familia Guerra Miret"/>
    <s v="antoniojguerrag@hotmail.com"/>
    <s v="Calle Güigüe Nro. 89-40"/>
    <s v="Cancelación Vigilancia, mes de Julio 2018"/>
    <x v="0"/>
    <m/>
    <s v="01276"/>
    <s v="14 de julio de 2018"/>
    <n v="14"/>
    <x v="20"/>
    <s v="10,00"/>
    <e v="#NAME?"/>
  </r>
  <r>
    <n v="1277"/>
    <m/>
    <x v="0"/>
    <d v="2018-07-14T00:00:00"/>
    <n v="1.5"/>
    <s v="Familia Hatem Medina"/>
    <s v="hhatem1@hotmail.com"/>
    <s v="Calle Guacara Nro. 88-51"/>
    <s v="Cancelación Vigilancia, saldo mes de Julio 2018"/>
    <x v="0"/>
    <m/>
    <s v="01277"/>
    <s v="14 de julio de 2018"/>
    <n v="14"/>
    <x v="20"/>
    <s v="1,50"/>
    <e v="#NAME?"/>
  </r>
  <r>
    <n v="1278"/>
    <m/>
    <x v="0"/>
    <d v="2018-07-14T00:00:00"/>
    <n v="8.5"/>
    <s v="Familia Hatem Medina"/>
    <s v="hhatem1@hotmail.com"/>
    <s v="Calle Guacara Nro. 88-51"/>
    <s v="Colaboración reparación portón principal"/>
    <x v="10"/>
    <m/>
    <s v="01278"/>
    <s v="14 de julio de 2018"/>
    <n v="14"/>
    <x v="20"/>
    <s v="8,50"/>
    <e v="#NAME?"/>
  </r>
  <r>
    <n v="1279"/>
    <m/>
    <x v="0"/>
    <d v="2018-07-14T00:00:00"/>
    <n v="12.2"/>
    <s v="Amparo Acosta"/>
    <s v="amparonatividad@hotmail.com"/>
    <s v="Calle Guacara Nro. 88-65"/>
    <s v="Colaboración reparación portón principal"/>
    <x v="10"/>
    <m/>
    <s v="01279"/>
    <s v="14 de julio de 2018"/>
    <n v="14"/>
    <x v="20"/>
    <s v="12,20"/>
    <e v="#NAME?"/>
  </r>
  <r>
    <n v="1280"/>
    <m/>
    <x v="0"/>
    <d v="2018-07-16T00:00:00"/>
    <n v="8.25"/>
    <s v="Familia Machado Stoppa"/>
    <s v="machadoru@hotmail.com"/>
    <s v="Calle Guacara Nro. 88-85"/>
    <s v="Cancelación Vigilancia, ajuste mes de Junio y diferencia mes de Julio 2018"/>
    <x v="0"/>
    <m/>
    <s v="01280"/>
    <s v="16 de julio de 2018"/>
    <n v="16"/>
    <x v="20"/>
    <s v="8,25"/>
    <e v="#NAME?"/>
  </r>
  <r>
    <n v="1281"/>
    <m/>
    <x v="0"/>
    <d v="2018-07-16T00:00:00"/>
    <n v="12.2"/>
    <s v="Familia Machado Stoppa"/>
    <s v="machadoru@hotmail.com"/>
    <s v="Calle Guacara Nro. 88-85"/>
    <s v="Colaboración reparación portón principal"/>
    <x v="10"/>
    <m/>
    <s v="01281"/>
    <s v="16 de julio de 2018"/>
    <n v="16"/>
    <x v="20"/>
    <s v="12,20"/>
    <e v="#NAME?"/>
  </r>
  <r>
    <n v="1282"/>
    <m/>
    <x v="0"/>
    <d v="2018-07-16T00:00:00"/>
    <n v="22.25"/>
    <s v="Familia Hurtado"/>
    <s v="En Físico"/>
    <s v="Av. &quot;O&quot; Nro. 146-11"/>
    <s v="Cancelación Vigilancia, ajuste mes de Junio y cancelación meses de Julio y Agosto 2018"/>
    <x v="0"/>
    <m/>
    <s v="01282"/>
    <s v="16 de julio de 2018"/>
    <n v="16"/>
    <x v="20"/>
    <s v="22,25"/>
    <e v="#NAME?"/>
  </r>
  <r>
    <n v="1283"/>
    <m/>
    <x v="0"/>
    <d v="2018-07-17T00:00:00"/>
    <n v="8"/>
    <s v="Familia Navarrete Medina"/>
    <s v="juanin1919@yahoo.com"/>
    <s v="Calle Güigüe Nro. 89-22"/>
    <s v="Cancelación Vigilancia, mes de Junio y anticipo mes de Julio 2018"/>
    <x v="0"/>
    <m/>
    <s v="01283"/>
    <s v="17 de julio de 2018"/>
    <n v="17"/>
    <x v="20"/>
    <s v="8,00"/>
    <e v="#NAME?"/>
  </r>
  <r>
    <n v="1284"/>
    <m/>
    <x v="0"/>
    <d v="2018-07-17T00:00:00"/>
    <n v="10"/>
    <s v="Familia Rodríguez Aular"/>
    <s v="mvaular@hotmail.com"/>
    <s v="Calle Güigüe Nro. 88-58"/>
    <s v="Cancelación Vigilancia, mes de Julio 2018"/>
    <x v="0"/>
    <m/>
    <s v="01284"/>
    <s v="17 de julio de 2018"/>
    <n v="17"/>
    <x v="20"/>
    <s v="10,00"/>
    <e v="#NAME?"/>
  </r>
  <r>
    <n v="1285"/>
    <m/>
    <x v="0"/>
    <d v="2018-07-18T00:00:00"/>
    <n v="10"/>
    <s v="Beatriz Lara"/>
    <s v="valentina.gutierrez@hotmail.com"/>
    <s v="Calle Guacara Nro. 89-130"/>
    <s v="Cancelación Vigilancia, mes de Julio 2018"/>
    <x v="0"/>
    <m/>
    <s v="01285"/>
    <s v="18 de julio de 2018"/>
    <n v="18"/>
    <x v="20"/>
    <s v="10,00"/>
    <e v="#NAME?"/>
  </r>
  <r>
    <n v="1286"/>
    <m/>
    <x v="0"/>
    <d v="2018-07-18T00:00:00"/>
    <n v="12.2"/>
    <s v="Beatriz Lara"/>
    <s v="valentina.gutierrez@hotmail.com"/>
    <s v="Calle Guacara Nro. 89-130"/>
    <s v="Colaboración reparación portón principal"/>
    <x v="10"/>
    <m/>
    <s v="01286"/>
    <s v="18 de julio de 2018"/>
    <n v="18"/>
    <x v="20"/>
    <s v="12,20"/>
    <e v="#NAME?"/>
  </r>
  <r>
    <n v="1287"/>
    <m/>
    <x v="0"/>
    <d v="2018-07-18T00:00:00"/>
    <n v="12"/>
    <s v="Familia Martínez Boada"/>
    <s v="florcitakmz@gmail.com"/>
    <s v="Calle Güigüe Nro. 88-62"/>
    <s v="Colaboración Vigilancia, meses de Junio y Julio 2018"/>
    <x v="0"/>
    <m/>
    <s v="01287"/>
    <s v="18 de julio de 2018"/>
    <n v="18"/>
    <x v="20"/>
    <s v="12,00"/>
    <e v="#NAME?"/>
  </r>
  <r>
    <n v="1288"/>
    <m/>
    <x v="0"/>
    <d v="2018-07-20T00:00:00"/>
    <n v="12.2"/>
    <s v="Familia Arcia Polanco"/>
    <s v="misipo29@gmail.com"/>
    <s v="Calle Guacara Nro. 89-20"/>
    <s v="Colaboración reparación portón principal"/>
    <x v="10"/>
    <m/>
    <s v="01288"/>
    <s v="20 de julio de 2018"/>
    <n v="20"/>
    <x v="20"/>
    <s v="12,20"/>
    <e v="#NAME?"/>
  </r>
  <r>
    <n v="1289"/>
    <m/>
    <x v="0"/>
    <d v="2018-07-20T00:00:00"/>
    <n v="5.5"/>
    <s v="Familia Castillo Mena"/>
    <s v="emmecas@hotmail.com"/>
    <s v="Calle Güigüe Nro. 88-101"/>
    <s v="Cancelación Vigilancia, saldo mes de Julio 2018"/>
    <x v="0"/>
    <m/>
    <s v="01289"/>
    <s v="20 de julio de 2018"/>
    <n v="20"/>
    <x v="20"/>
    <s v="5,50"/>
    <e v="#NAME?"/>
  </r>
  <r>
    <n v="1290"/>
    <m/>
    <x v="0"/>
    <d v="2018-07-21T00:00:00"/>
    <n v="1"/>
    <s v="Familia Triana González"/>
    <s v="En Físico"/>
    <s v="Calle Guacara Nro. 90-61"/>
    <s v="Colaboración Vigilancia, mes de Junio 2018"/>
    <x v="0"/>
    <m/>
    <s v="01290"/>
    <s v="21 de julio de 2018"/>
    <n v="21"/>
    <x v="20"/>
    <s v="1,00"/>
    <e v="#NAME?"/>
  </r>
  <r>
    <n v="1291"/>
    <m/>
    <x v="0"/>
    <d v="2018-07-20T00:00:00"/>
    <n v="10"/>
    <s v="Familia Gascón Domínguez"/>
    <s v="vrgascon@gmail.com"/>
    <s v="Calle Güigüe Nro. 88-70"/>
    <s v="Cancelación Vigilancia, mes de Julio 2018"/>
    <x v="0"/>
    <m/>
    <s v="01291"/>
    <s v="20 de julio de 2018"/>
    <n v="20"/>
    <x v="20"/>
    <s v="10,00"/>
    <e v="#NAME?"/>
  </r>
  <r>
    <n v="1292"/>
    <m/>
    <x v="0"/>
    <d v="2018-07-20T00:00:00"/>
    <n v="13"/>
    <s v="Familia Gascón Domínguez"/>
    <s v="vrgascon@gmail.com"/>
    <s v="Calle Güigüe Nro. 88-70"/>
    <s v="Colaboración reparación portón principal"/>
    <x v="10"/>
    <m/>
    <s v="01292"/>
    <s v="20 de julio de 2018"/>
    <n v="20"/>
    <x v="20"/>
    <s v="13,00"/>
    <e v="#NAME?"/>
  </r>
  <r>
    <n v="1293"/>
    <m/>
    <x v="0"/>
    <d v="2018-07-20T00:00:00"/>
    <n v="30"/>
    <s v="Familia Gascón Domínguez"/>
    <s v="vrgascon@gmail.com"/>
    <s v="Calle Güigüe Nro. 88-70"/>
    <s v="Donativo para los vigilantes"/>
    <x v="7"/>
    <m/>
    <s v="01293"/>
    <s v="20 de julio de 2018"/>
    <n v="20"/>
    <x v="20"/>
    <s v="30,00"/>
    <e v="#NAME?"/>
  </r>
  <r>
    <n v="1294"/>
    <m/>
    <x v="0"/>
    <d v="2018-07-23T00:00:00"/>
    <n v="12.2"/>
    <s v="Familia Nava Gordon"/>
    <s v="maru_19_66@hotmail.com"/>
    <s v="Calle Guacara Nro. 89-78"/>
    <s v="Colaboración reparación portón principal"/>
    <x v="10"/>
    <m/>
    <s v="01294"/>
    <s v="23 de julio de 2018"/>
    <n v="23"/>
    <x v="20"/>
    <s v="12,20"/>
    <e v="#NAME?"/>
  </r>
  <r>
    <n v="1295"/>
    <m/>
    <x v="0"/>
    <d v="2018-07-20T00:00:00"/>
    <n v="12.2"/>
    <s v="Familia Narváez Caldera"/>
    <s v="jeannette_nc@yahoo.com"/>
    <s v="Calle Güigüe Nro. 87-A-11"/>
    <s v="Colaboración reparación portón principal"/>
    <x v="10"/>
    <m/>
    <s v="01295"/>
    <s v="20 de julio de 2018"/>
    <n v="20"/>
    <x v="20"/>
    <s v="12,20"/>
    <e v="#NAME?"/>
  </r>
  <r>
    <n v="1296"/>
    <m/>
    <x v="0"/>
    <d v="2018-07-23T00:00:00"/>
    <n v="10"/>
    <s v="Familia Navarro Assing"/>
    <s v="liliaassing@gmail.com"/>
    <s v="Calle Güigüe Nro. 88-54"/>
    <s v="Cancelación Vigilancia, ajuste mes de Junio 2018, más adicional de Bs. 25.000"/>
    <x v="0"/>
    <m/>
    <s v="01296"/>
    <s v="23 de julio de 2018"/>
    <n v="23"/>
    <x v="20"/>
    <s v="10,00"/>
    <e v="#NAME?"/>
  </r>
  <r>
    <n v="1297"/>
    <m/>
    <x v="0"/>
    <d v="2018-07-23T00:00:00"/>
    <n v="12"/>
    <s v="Familia Navarro Assing"/>
    <s v="liliaassing@gmail.com"/>
    <s v="Calle Güigüe Nro. 88-54"/>
    <s v="Colaboración reparación portón principal"/>
    <x v="10"/>
    <m/>
    <s v="01297"/>
    <s v="23 de julio de 2018"/>
    <n v="23"/>
    <x v="20"/>
    <s v="12,00"/>
    <e v="#NAME?"/>
  </r>
  <r>
    <n v="1298"/>
    <m/>
    <x v="0"/>
    <d v="2018-07-23T00:00:00"/>
    <n v="1.5"/>
    <s v="Familia Puerta Burguillos"/>
    <s v="namaricakes@gmail.com"/>
    <s v="Calle Guacara Nro. 87-100"/>
    <s v="Cancelación Vigilancia, ajuste mes de Julio 2018"/>
    <x v="0"/>
    <m/>
    <s v="01298"/>
    <s v="23 de julio de 2018"/>
    <n v="23"/>
    <x v="20"/>
    <s v="1,50"/>
    <e v="#NAME?"/>
  </r>
  <r>
    <n v="1299"/>
    <m/>
    <x v="0"/>
    <d v="2018-07-23T00:00:00"/>
    <n v="2.95"/>
    <s v="Familia Puerta Burguillos"/>
    <s v="namaricakes@gmail.com"/>
    <s v="Calle Guacara Nro. 87-100"/>
    <s v="Colaboración reparación portón principal"/>
    <x v="10"/>
    <m/>
    <s v="01299"/>
    <s v="23 de julio de 2018"/>
    <n v="23"/>
    <x v="20"/>
    <s v="2,95"/>
    <e v="#NAME?"/>
  </r>
  <r>
    <n v="1300"/>
    <m/>
    <x v="0"/>
    <d v="2018-07-23T00:00:00"/>
    <n v="2.25"/>
    <s v="Zoraida Khair"/>
    <s v="zorakhair@hotmail.com"/>
    <s v="Calle Güigüe Nro. 88-80"/>
    <s v="Cancelación Vigilancia, ajuste mes de Junio 2018 (saldo a favor Bs. 2.775.000)"/>
    <x v="0"/>
    <m/>
    <s v="01300"/>
    <s v="23 de julio de 2018"/>
    <n v="23"/>
    <x v="20"/>
    <s v="2,25"/>
    <e v="#NAME?"/>
  </r>
  <r>
    <n v="1301"/>
    <m/>
    <x v="0"/>
    <d v="2018-07-23T00:00:00"/>
    <n v="6"/>
    <s v="Zoraida Khair"/>
    <s v="zorakhair@hotmail.com"/>
    <s v="Calle Güigüe Nro. 88-80"/>
    <s v="Cancelación Vigilancia, saldo mes de Julio 2018 (saldo a favor Bs. 2.175.000)"/>
    <x v="0"/>
    <m/>
    <s v="01301"/>
    <s v="23 de julio de 2018"/>
    <n v="23"/>
    <x v="20"/>
    <s v="6,00"/>
    <e v="#NAME?"/>
  </r>
  <r>
    <n v="1302"/>
    <m/>
    <x v="0"/>
    <d v="2018-07-23T00:00:00"/>
    <n v="12.2"/>
    <s v="Zoraida Khair"/>
    <s v="zorakhair@hotmail.com"/>
    <s v="Calle Güigüe Nro. 88-80"/>
    <s v="Colaboración reparación portón principal (saldo a favor Bs. 995.000)"/>
    <x v="10"/>
    <m/>
    <s v="01302"/>
    <s v="23 de julio de 2018"/>
    <n v="23"/>
    <x v="20"/>
    <s v="12,20"/>
    <e v="#NAME?"/>
  </r>
  <r>
    <n v="1303"/>
    <m/>
    <x v="0"/>
    <d v="2018-07-23T00:00:00"/>
    <n v="20"/>
    <s v="Anahiz Seijas"/>
    <s v="anahiz_2@hotmail.es"/>
    <s v="Calle Güigüe Nro. 89-106"/>
    <s v="Cancelación Vigilancia, meses de Julio y Agosto 2018"/>
    <x v="0"/>
    <m/>
    <s v="01303"/>
    <s v="23 de julio de 2018"/>
    <n v="23"/>
    <x v="20"/>
    <s v="20,00"/>
    <e v="#NAME?"/>
  </r>
  <r>
    <n v="1304"/>
    <m/>
    <x v="0"/>
    <d v="2018-07-26T00:00:00"/>
    <n v="1.5"/>
    <s v="Familia Zavarce Barón"/>
    <s v="alexanderzavarce@gmail.com"/>
    <s v="Calle Guacara Nro. 88-91"/>
    <s v="Cancelación Vigilancia, mes de Junio y anticipo Julio 2018"/>
    <x v="0"/>
    <m/>
    <s v="01304"/>
    <s v="26 de julio de 2018"/>
    <n v="26"/>
    <x v="20"/>
    <s v="1,50"/>
    <e v="#NAME?"/>
  </r>
  <r>
    <n v="1305"/>
    <m/>
    <x v="0"/>
    <d v="2018-07-26T00:00:00"/>
    <n v="12"/>
    <s v="Familia Zavarce Barón"/>
    <s v="alexanderzavarce@gmail.com"/>
    <s v="Calle Guacara Nro. 88-91"/>
    <s v="Colaboración reparación portón principal"/>
    <x v="10"/>
    <m/>
    <s v="01305"/>
    <s v="26 de julio de 2018"/>
    <n v="26"/>
    <x v="20"/>
    <s v="12,00"/>
    <e v="#NAME?"/>
  </r>
  <r>
    <n v="1306"/>
    <m/>
    <x v="0"/>
    <d v="2018-07-26T00:00:00"/>
    <n v="6.25"/>
    <s v="Familia Acosta Carpio"/>
    <s v="pablo962@hotmail.com"/>
    <s v="Calle Güigüe Nro. 89-10"/>
    <s v="Cancelación Vigilancia, saldo mes de Julio 2018"/>
    <x v="0"/>
    <m/>
    <s v="01306"/>
    <s v="26 de julio de 2018"/>
    <n v="26"/>
    <x v="20"/>
    <s v="6,25"/>
    <e v="#NAME?"/>
  </r>
  <r>
    <n v="1307"/>
    <m/>
    <x v="0"/>
    <d v="2018-07-26T00:00:00"/>
    <n v="12.2"/>
    <s v="Familia Acosta Carpio"/>
    <s v="pablo962@hotmail.com"/>
    <s v="Calle Güigüe Nro. 89-10"/>
    <s v="Colaboración reparación portón principal"/>
    <x v="10"/>
    <m/>
    <s v="01307"/>
    <s v="26 de julio de 2018"/>
    <n v="26"/>
    <x v="20"/>
    <s v="12,20"/>
    <e v="#NAME?"/>
  </r>
  <r>
    <n v="1308"/>
    <m/>
    <x v="0"/>
    <d v="2018-07-26T00:00:00"/>
    <n v="19.850000000000001"/>
    <s v="Silvia Power"/>
    <s v="spowermeneses@gmail.com"/>
    <s v="Calle Güigüe Nro. 89-16"/>
    <s v="Cancelación Vigilancia, meses de Febrero, Marzo, Abril, Mayo, Junio y Julio 2018"/>
    <x v="0"/>
    <m/>
    <s v="01308"/>
    <s v="26 de julio de 2018"/>
    <n v="26"/>
    <x v="20"/>
    <s v="19,85"/>
    <e v="#NAME?"/>
  </r>
  <r>
    <n v="1309"/>
    <m/>
    <x v="0"/>
    <d v="2018-07-26T00:00:00"/>
    <n v="12.2"/>
    <s v="Silvia Power"/>
    <s v="spowermeneses@gmail.com"/>
    <s v="Calle Güigüe Nro. 89-16"/>
    <s v="Colaboración reparación portón principal"/>
    <x v="10"/>
    <m/>
    <s v="01309"/>
    <s v="26 de julio de 2018"/>
    <n v="26"/>
    <x v="20"/>
    <s v="12,20"/>
    <e v="#NAME?"/>
  </r>
  <r>
    <n v="1310"/>
    <m/>
    <x v="0"/>
    <d v="2018-07-27T00:00:00"/>
    <n v="1.5"/>
    <s v="Familia González Arévalo"/>
    <s v="feryenis@hotmail.com"/>
    <s v="Calle Guacara Nro. 89-86"/>
    <s v="Cancelación Vigilancia, ajuste mes de Julio 2018"/>
    <x v="0"/>
    <m/>
    <s v="01310"/>
    <s v="27 de julio de 2018"/>
    <n v="27"/>
    <x v="20"/>
    <s v="1,50"/>
    <e v="#NAME?"/>
  </r>
  <r>
    <n v="1311"/>
    <m/>
    <x v="0"/>
    <d v="2018-06-28T00:00:00"/>
    <n v="12.2"/>
    <s v="Familia González Arévalo"/>
    <s v="feryenis@hotmail.com"/>
    <s v="Calle Guacara Nro. 89-86"/>
    <s v="Colaboración reparación portón principal"/>
    <x v="10"/>
    <m/>
    <s v="01311"/>
    <s v="28 de junio de 2018"/>
    <n v="28"/>
    <x v="19"/>
    <s v="12,20"/>
    <e v="#NAME?"/>
  </r>
  <r>
    <n v="1312"/>
    <m/>
    <x v="0"/>
    <d v="2018-07-27T00:00:00"/>
    <n v="12.5"/>
    <s v="Familia Castro Jiménez"/>
    <s v="aurycastrojimenez@gmail.com"/>
    <s v="Calle Guacara Nro. 90-51"/>
    <s v="Colaboración reparación portón principal"/>
    <x v="10"/>
    <m/>
    <s v="01312"/>
    <s v="27 de julio de 2018"/>
    <n v="27"/>
    <x v="20"/>
    <s v="12,50"/>
    <e v="#NAME?"/>
  </r>
  <r>
    <n v="1313"/>
    <m/>
    <x v="0"/>
    <d v="2018-07-27T00:00:00"/>
    <n v="10"/>
    <s v="Amarilis Guerra"/>
    <s v="amarilisguerra1@yahoo.com"/>
    <s v="Calle Güigüe Nro. 89-96"/>
    <s v="Cancelación Vigilancia, mes de Julio 2018"/>
    <x v="0"/>
    <m/>
    <s v="01313"/>
    <s v="27 de julio de 2018"/>
    <n v="27"/>
    <x v="20"/>
    <s v="10,00"/>
    <e v="#NAME?"/>
  </r>
  <r>
    <n v="1314"/>
    <m/>
    <x v="0"/>
    <d v="2018-07-28T00:00:00"/>
    <n v="12.25"/>
    <s v="Wilson Escamilla"/>
    <s v="wilsonescamilla45@gmail.com"/>
    <s v="Calle Güigüe Nro. 89-89"/>
    <s v="Cancelación Vigilancia, ajuste mes de Junio y cancelación mes de Julio 2018"/>
    <x v="0"/>
    <m/>
    <s v="01314"/>
    <s v="28 de julio de 2018"/>
    <n v="28"/>
    <x v="20"/>
    <s v="12,25"/>
    <e v="#NAME?"/>
  </r>
  <r>
    <n v="1315"/>
    <m/>
    <x v="0"/>
    <d v="2018-07-28T00:00:00"/>
    <n v="12.2"/>
    <s v="Wilson Escamilla"/>
    <s v="wilsonescamilla45@gmail.com"/>
    <s v="Calle Güigüe Nro. 89-89"/>
    <s v="Colaboración reparación portón principal"/>
    <x v="10"/>
    <m/>
    <s v="01315"/>
    <s v="28 de julio de 2018"/>
    <n v="28"/>
    <x v="20"/>
    <s v="12,20"/>
    <e v="#NAME?"/>
  </r>
  <r>
    <n v="1316"/>
    <m/>
    <x v="0"/>
    <d v="2018-07-29T00:00:00"/>
    <n v="10"/>
    <s v="Familia Loponte Arteaga"/>
    <s v="En Físico"/>
    <s v="Calle Güigüe Nro. 88-120"/>
    <s v="Cancelación Vigilancia, mes de Agosto 2018"/>
    <x v="0"/>
    <m/>
    <s v="01316"/>
    <s v="29 de julio de 2018"/>
    <n v="29"/>
    <x v="20"/>
    <s v="10,00"/>
    <e v="#NAME?"/>
  </r>
  <r>
    <n v="1317"/>
    <m/>
    <x v="0"/>
    <d v="2018-07-29T00:00:00"/>
    <n v="12.2"/>
    <s v="Familia Loponte Arteaga"/>
    <s v="En Físico"/>
    <s v="Calle Güigüe Nro. 88-120"/>
    <s v="Colaboración reparación portón principal"/>
    <x v="10"/>
    <m/>
    <s v="01317"/>
    <s v="29 de julio de 2018"/>
    <n v="29"/>
    <x v="20"/>
    <s v="12,20"/>
    <e v="#NAME?"/>
  </r>
  <r>
    <n v="1318"/>
    <m/>
    <x v="0"/>
    <d v="2018-07-29T00:00:00"/>
    <n v="5"/>
    <s v="Gloria Molina"/>
    <s v="glomola2@yahoo.es"/>
    <s v="Calle Güigüe Nro. 89-71"/>
    <s v="Colaboración Vigilancia, mes de Junio 2017"/>
    <x v="0"/>
    <m/>
    <s v="01318"/>
    <s v="29 de julio de 2018"/>
    <n v="29"/>
    <x v="20"/>
    <s v="5,00"/>
    <e v="#NAME?"/>
  </r>
  <r>
    <n v="1319"/>
    <m/>
    <x v="0"/>
    <d v="2018-07-29T00:00:00"/>
    <n v="5"/>
    <s v="Gloria Molina"/>
    <s v="glomola2@yahoo.es"/>
    <s v="Calle Güigüe Nro. 89-71"/>
    <s v="Colaboración reparación portón principal"/>
    <x v="10"/>
    <m/>
    <s v="01319"/>
    <s v="29 de julio de 2018"/>
    <n v="29"/>
    <x v="20"/>
    <s v="5,00"/>
    <e v="#NAME?"/>
  </r>
  <r>
    <n v="1320"/>
    <m/>
    <x v="0"/>
    <d v="2018-07-31T00:00:00"/>
    <n v="10"/>
    <s v="Dra. Lilia Magallanes"/>
    <s v="liliamagallanes2010@gmail.com"/>
    <s v="Calle Güigüe Nro. 88-51"/>
    <s v="Cancelación Vigilancia, mes de Julio 2018"/>
    <x v="0"/>
    <m/>
    <s v="01320"/>
    <s v="31 de julio de 2018"/>
    <n v="31"/>
    <x v="20"/>
    <s v="10,00"/>
    <e v="#NAME?"/>
  </r>
  <r>
    <n v="1321"/>
    <m/>
    <x v="0"/>
    <d v="2018-07-31T00:00:00"/>
    <n v="2"/>
    <s v="Familia Triana González"/>
    <s v="En Físico"/>
    <s v="Calle Guacara Nro. 90-61"/>
    <s v="Colaboración Vigilancia, mes de Julio 2018"/>
    <x v="0"/>
    <m/>
    <s v="01321"/>
    <s v="31 de julio de 2018"/>
    <n v="31"/>
    <x v="20"/>
    <s v="2,00"/>
    <e v="#NAME?"/>
  </r>
  <r>
    <n v="1322"/>
    <m/>
    <x v="0"/>
    <d v="2018-07-31T00:00:00"/>
    <n v="12"/>
    <s v="Familia Narváez Caldera"/>
    <s v="jeannette_nc@yahoo.com"/>
    <s v="Calle Güigüe Nro. 87-A-11"/>
    <s v="Cancelación Vigilancia, saldo mes de Agosto 2018"/>
    <x v="0"/>
    <m/>
    <s v="01322"/>
    <s v="31 de julio de 2018"/>
    <n v="31"/>
    <x v="20"/>
    <s v="12,00"/>
    <e v="#NAME?"/>
  </r>
  <r>
    <n v="1323"/>
    <m/>
    <x v="0"/>
    <d v="2018-07-31T00:00:00"/>
    <n v="12.2"/>
    <s v="Familia Lomeña Agudo"/>
    <s v="claudialomena@hotmail.com"/>
    <s v="Calle Guacara Nro. 89-30"/>
    <s v="Cancelación Vigilancia, mes de Agosto 2018"/>
    <x v="0"/>
    <m/>
    <s v="01323"/>
    <s v="31 de julio de 2018"/>
    <n v="31"/>
    <x v="20"/>
    <s v="12,20"/>
    <e v="#NAME?"/>
  </r>
  <r>
    <n v="1324"/>
    <m/>
    <x v="0"/>
    <d v="2018-08-01T00:00:00"/>
    <n v="13.5"/>
    <s v="Isbeth Palacios"/>
    <s v="ispalparcpc@gmail.com"/>
    <s v="Calle Guacara Nro. 88-75"/>
    <s v="Cancelación Vigilancia, ajuste mes de Julio y cancelación mes de Agosto 2018"/>
    <x v="0"/>
    <m/>
    <s v="01324"/>
    <s v="01 de agosto de 2018"/>
    <n v="1"/>
    <x v="21"/>
    <s v="13,50"/>
    <e v="#NAME?"/>
  </r>
  <r>
    <n v="1325"/>
    <m/>
    <x v="0"/>
    <d v="2018-08-01T00:00:00"/>
    <n v="12.2"/>
    <s v="Isbeth Palacios"/>
    <s v="ispalparcpc@gmail.com"/>
    <s v="Calle Guacara Nro. 88-75"/>
    <s v="Colaboración reparación portón principal"/>
    <x v="10"/>
    <m/>
    <s v="01325"/>
    <s v="01 de agosto de 2018"/>
    <n v="1"/>
    <x v="21"/>
    <s v="12,20"/>
    <e v="#NAME?"/>
  </r>
  <r>
    <n v="1326"/>
    <m/>
    <x v="0"/>
    <d v="2018-08-01T00:00:00"/>
    <n v="12"/>
    <s v="Carmen Moreno"/>
    <s v="carmenemoreno10@gmail.com"/>
    <s v="Calle Güigüe Nro. 89-04"/>
    <s v="Cancelación Vigilancia, mes de Agosto 2018"/>
    <x v="0"/>
    <m/>
    <s v="01326"/>
    <s v="01 de agosto de 2018"/>
    <n v="1"/>
    <x v="21"/>
    <s v="12,00"/>
    <e v="#NAME?"/>
  </r>
  <r>
    <n v="1327"/>
    <m/>
    <x v="0"/>
    <d v="2018-08-01T00:00:00"/>
    <n v="12.2"/>
    <s v="Carmen Moreno"/>
    <s v="carmenemoreno10@gmail.com"/>
    <s v="Calle Güigüe Nro. 89-04"/>
    <s v="Colaboración reparación portón principal"/>
    <x v="10"/>
    <m/>
    <s v="01327"/>
    <s v="01 de agosto de 2018"/>
    <n v="1"/>
    <x v="21"/>
    <s v="12,20"/>
    <e v="#NAME?"/>
  </r>
  <r>
    <n v="1328"/>
    <m/>
    <x v="0"/>
    <d v="2018-08-01T00:00:00"/>
    <n v="22"/>
    <s v="Familia Franco Gómez"/>
    <s v="eof64@hotmail.com"/>
    <s v="Calle Guacara Nro. 87-07"/>
    <s v="Cancelación Vigilancia, meses de Julio y Agosto 2018"/>
    <x v="0"/>
    <m/>
    <s v="01328"/>
    <s v="01 de agosto de 2018"/>
    <n v="1"/>
    <x v="21"/>
    <s v="22,00"/>
    <e v="#NAME?"/>
  </r>
  <r>
    <n v="1329"/>
    <m/>
    <x v="0"/>
    <d v="2018-08-01T00:00:00"/>
    <n v="12.2"/>
    <s v="Familia Franco Gómez"/>
    <s v="eof64@hotmail.com"/>
    <s v="Calle Guacara Nro. 87-07"/>
    <s v="Colaboración reparación portón principal"/>
    <x v="10"/>
    <m/>
    <s v="01329"/>
    <s v="01 de agosto de 2018"/>
    <n v="1"/>
    <x v="21"/>
    <s v="12,20"/>
    <e v="#NAME?"/>
  </r>
  <r>
    <n v="1330"/>
    <m/>
    <x v="0"/>
    <d v="2018-08-01T00:00:00"/>
    <n v="12"/>
    <s v="Héctor Hernández"/>
    <s v="eof64@hotmail.com"/>
    <s v="Calle Guacara Nro. 89-94"/>
    <s v="Cancelación Vigilancia, mes de Agosto 2018"/>
    <x v="0"/>
    <m/>
    <s v="01330"/>
    <s v="01 de agosto de 2018"/>
    <n v="1"/>
    <x v="21"/>
    <s v="12,00"/>
    <e v="#NAME?"/>
  </r>
  <r>
    <n v="1331"/>
    <m/>
    <x v="0"/>
    <d v="2018-08-01T00:00:00"/>
    <n v="12.2"/>
    <s v="Héctor Hernández"/>
    <s v="eof64@hotmail.com"/>
    <s v="Calle Guacara Nro. 89-94"/>
    <s v="Colaboración reparación portón principal"/>
    <x v="10"/>
    <m/>
    <s v="01331"/>
    <s v="01 de agosto de 2018"/>
    <n v="1"/>
    <x v="21"/>
    <s v="12,20"/>
    <e v="#NAME?"/>
  </r>
  <r>
    <n v="1332"/>
    <m/>
    <x v="0"/>
    <d v="2018-08-01T00:00:00"/>
    <n v="25"/>
    <s v="Familia Milanés Carmona"/>
    <s v="yndira11m@gmail.com"/>
    <s v="Calle Güigüe Nro. 89-65"/>
    <s v="Cancelación Vigilancia, mes de Agosto y anticipo Septiembre 2018"/>
    <x v="0"/>
    <m/>
    <s v="01332"/>
    <s v="01 de agosto de 2018"/>
    <n v="1"/>
    <x v="21"/>
    <s v="25,00"/>
    <e v="#NAME?"/>
  </r>
  <r>
    <n v="1333"/>
    <m/>
    <x v="0"/>
    <d v="2018-08-01T00:00:00"/>
    <n v="12"/>
    <s v="Chin Chun Ya (Goya)"/>
    <s v="uc2721@gmail.com"/>
    <s v="Calle Guacara Nro. 87-86"/>
    <s v="Cancelación Vigilancia, mes de Agosto 2018"/>
    <x v="0"/>
    <m/>
    <s v="01333"/>
    <s v="01 de agosto de 2018"/>
    <n v="1"/>
    <x v="21"/>
    <s v="12,00"/>
    <e v="#NAME?"/>
  </r>
  <r>
    <n v="1334"/>
    <m/>
    <x v="0"/>
    <d v="2018-08-01T00:00:00"/>
    <n v="12"/>
    <s v="Familia Guerra Miret"/>
    <s v="antoniojguerrag@hotmail.com"/>
    <s v="Calle Güigüe Nro. 89-40"/>
    <s v="Cancelación Vigilancia, mes de Agosto 2018"/>
    <x v="0"/>
    <m/>
    <s v="01334"/>
    <s v="01 de agosto de 2018"/>
    <n v="1"/>
    <x v="21"/>
    <s v="12,00"/>
    <e v="#NAME?"/>
  </r>
  <r>
    <n v="1335"/>
    <m/>
    <x v="0"/>
    <d v="2018-08-01T00:00:00"/>
    <n v="12"/>
    <s v="Familia Jiménez Salvatierra"/>
    <s v="En Físico"/>
    <s v="Calle Güigüe Nro. 89-45"/>
    <s v="Cancelación Vigilancia, mes de Agosto 2018 (saldo a favor: Bs. 3.598.000)"/>
    <x v="0"/>
    <m/>
    <s v="01335"/>
    <s v="01 de agosto de 2018"/>
    <n v="1"/>
    <x v="21"/>
    <s v="12,00"/>
    <e v="#NAME?"/>
  </r>
  <r>
    <n v="1336"/>
    <m/>
    <x v="0"/>
    <d v="2018-08-01T00:00:00"/>
    <n v="17.399999999999999"/>
    <s v="Colegio El Trigal"/>
    <s v="En Físico"/>
    <s v="Calle Güigüe Nros. 88-71 y 88-81"/>
    <s v="Cancelación Vigilancia, mes de Agosto 2018"/>
    <x v="0"/>
    <m/>
    <s v="01336"/>
    <s v="01 de agosto de 2018"/>
    <n v="1"/>
    <x v="21"/>
    <s v="17,40"/>
    <e v="#NAME?"/>
  </r>
  <r>
    <n v="1337"/>
    <m/>
    <x v="0"/>
    <d v="2018-08-01T00:00:00"/>
    <n v="12"/>
    <s v="Familia Ozar Rivero"/>
    <s v="vanessarivero81@hotmail.com"/>
    <s v="Calle Güigüe Nro. 88-06"/>
    <s v="Cancelación Vigilancia, mes de Agosto 2018 (saldo a favor: Bs. 2.055.000)"/>
    <x v="0"/>
    <m/>
    <s v="01337"/>
    <s v="01 de agosto de 2018"/>
    <n v="1"/>
    <x v="21"/>
    <s v="12,00"/>
    <e v="#NAME?"/>
  </r>
  <r>
    <n v="1338"/>
    <m/>
    <x v="0"/>
    <d v="2018-08-01T00:00:00"/>
    <n v="12"/>
    <s v="Familia López Hermoso"/>
    <s v="lopez.humberto14@yahoo.com.ve"/>
    <s v="Calle Güigüe Nro. 89-79"/>
    <s v="Cancelación Vigilancia, mes de Agosto 2018 (saldo a favor: Bs. 1.155.000)"/>
    <x v="0"/>
    <m/>
    <s v="01338"/>
    <s v="01 de agosto de 2018"/>
    <n v="1"/>
    <x v="21"/>
    <s v="12,00"/>
    <e v="#NAME?"/>
  </r>
  <r>
    <n v="1339"/>
    <m/>
    <x v="0"/>
    <d v="2018-08-01T00:00:00"/>
    <n v="12"/>
    <s v="Familia Wu Acevedo"/>
    <s v="rudyacevedo90@gmail.com"/>
    <s v="Calle Guacara Nro. 88-A-10"/>
    <s v="Cancelación Vigilancia, mes de Agosto 2018 (saldo a favor: Bs. 580.000)"/>
    <x v="0"/>
    <m/>
    <s v="01339"/>
    <s v="01 de agosto de 2018"/>
    <n v="1"/>
    <x v="21"/>
    <s v="12,00"/>
    <e v="#NAME?"/>
  </r>
  <r>
    <n v="1340"/>
    <m/>
    <x v="0"/>
    <d v="2018-08-01T00:00:00"/>
    <n v="12"/>
    <s v="Familia Del Negro Palermo"/>
    <s v="vdelnegro@gmail.com"/>
    <s v="Calle Guacara Nro. 88-45"/>
    <s v="Cancelación Vigilancia, mes de Agosto 2018 (saldo a favor: Bs. 2.295.000)"/>
    <x v="0"/>
    <m/>
    <s v="01340"/>
    <s v="01 de agosto de 2018"/>
    <n v="1"/>
    <x v="21"/>
    <s v="12,00"/>
    <e v="#NAME?"/>
  </r>
  <r>
    <n v="1341"/>
    <m/>
    <x v="0"/>
    <d v="2018-08-01T00:00:00"/>
    <n v="9.9"/>
    <s v="Ely Saúl Rivero Gómez"/>
    <s v="hhs.admon@gmail.com"/>
    <s v="Av. &quot;Ñ&quot; Nro. 145-25"/>
    <s v="Anticipo Vigilancia, mes de Agosto 2018 (saldo pendiente: Bs. 210.000)"/>
    <x v="0"/>
    <m/>
    <s v="01341"/>
    <s v="01 de agosto de 2018"/>
    <n v="1"/>
    <x v="21"/>
    <s v="9,90"/>
    <e v="#NAME?"/>
  </r>
  <r>
    <n v="1342"/>
    <m/>
    <x v="0"/>
    <d v="2018-08-02T00:00:00"/>
    <n v="2.0999999999999996"/>
    <s v="Ely Saúl Rivero Gómez"/>
    <s v="hhs.admon@gmail.com"/>
    <s v="Av. &quot;Ñ&quot; Nro. 145-25"/>
    <s v="Cancelación Vigilancia, saldo mes de Agosto 2018 (saldo a favor: Bs. 7.200.000)"/>
    <x v="0"/>
    <m/>
    <s v="01342"/>
    <s v="02 de agosto de 2018"/>
    <n v="2"/>
    <x v="21"/>
    <s v="2,10"/>
    <e v="#NAME?"/>
  </r>
  <r>
    <n v="1343"/>
    <m/>
    <x v="0"/>
    <d v="2018-08-02T00:00:00"/>
    <n v="12"/>
    <s v="Familia Costermani Terrer"/>
    <s v="claudiacostermani@hotmail.com"/>
    <s v="Calle Güigüe Nro. 88-11"/>
    <s v="Cancelación Vigilancia, mes de Agosto 2018"/>
    <x v="0"/>
    <m/>
    <s v="01343"/>
    <s v="02 de agosto de 2018"/>
    <n v="2"/>
    <x v="21"/>
    <s v="12,00"/>
    <e v="#NAME?"/>
  </r>
  <r>
    <n v="1344"/>
    <m/>
    <x v="0"/>
    <d v="2018-07-30T00:00:00"/>
    <n v="10"/>
    <s v="Familia Manrique Riera"/>
    <s v="patriciamanrique@gmail.com"/>
    <s v="Calle Guacara Nro. 89-40"/>
    <s v="Cancelación Vigilancia, mes de Julio 2018"/>
    <x v="0"/>
    <m/>
    <s v="01344"/>
    <s v="30 de julio de 2018"/>
    <n v="30"/>
    <x v="20"/>
    <s v="10,00"/>
    <e v="#NAME?"/>
  </r>
  <r>
    <n v="1345"/>
    <m/>
    <x v="0"/>
    <d v="2018-08-03T00:00:00"/>
    <n v="6"/>
    <s v="Familia Méndez Parra"/>
    <s v="briceidademendez@gmail.com"/>
    <s v="Calle Guacara Nro. 88-19"/>
    <s v="Colaboración Vigilancia, mes de Julio 2018"/>
    <x v="0"/>
    <m/>
    <s v="01345"/>
    <s v="03 de agosto de 2018"/>
    <n v="3"/>
    <x v="21"/>
    <s v="6,00"/>
    <e v="#NAME?"/>
  </r>
  <r>
    <n v="1346"/>
    <m/>
    <x v="0"/>
    <d v="2018-08-03T00:00:00"/>
    <n v="12"/>
    <s v="Familia Méndez Parra"/>
    <s v="briceidademendez@gmail.com"/>
    <s v="Calle Guacara Nro. 88-19"/>
    <s v="Colaboración reparación portón principal"/>
    <x v="10"/>
    <m/>
    <s v="01346"/>
    <s v="03 de agosto de 2018"/>
    <n v="3"/>
    <x v="21"/>
    <s v="12,00"/>
    <e v="#NAME?"/>
  </r>
  <r>
    <n v="1347"/>
    <m/>
    <x v="0"/>
    <d v="2018-08-04T00:00:00"/>
    <n v="6"/>
    <s v="Amarilis Guerra"/>
    <s v="amarilisguerra1@yahoo.com"/>
    <s v="Calle Güigüe Nro. 89-96"/>
    <s v="Colaboración reparación portón principal"/>
    <x v="10"/>
    <m/>
    <s v="01347"/>
    <s v="04 de agosto de 2018"/>
    <n v="4"/>
    <x v="21"/>
    <s v="6,00"/>
    <e v="#NAME?"/>
  </r>
  <r>
    <n v="1348"/>
    <m/>
    <x v="0"/>
    <d v="2018-08-06T00:00:00"/>
    <n v="8.75"/>
    <s v="Familia Navarrete Medina"/>
    <s v="juanin1919@yahoo.com"/>
    <s v="Calle Güigüe Nro. 89-22"/>
    <s v="Cancelación Vigilancia, saldo mes de Julio y anticipo mes de Agosto 2018"/>
    <x v="0"/>
    <m/>
    <s v="01348"/>
    <s v="06 de agosto de 2018"/>
    <n v="6"/>
    <x v="21"/>
    <s v="8,75"/>
    <e v="#NAME?"/>
  </r>
  <r>
    <n v="1349"/>
    <m/>
    <x v="0"/>
    <d v="2018-08-06T00:00:00"/>
    <n v="12.2"/>
    <s v="Sra. Reina Meléndez"/>
    <s v="olgajipe@gmail.com"/>
    <s v="Av. &quot;M&quot; Nro. 145-10"/>
    <s v="Colaboración reparación portón principal"/>
    <x v="10"/>
    <m/>
    <s v="01349"/>
    <s v="06 de agosto de 2018"/>
    <n v="6"/>
    <x v="21"/>
    <s v="12,20"/>
    <e v="#NAME?"/>
  </r>
  <r>
    <n v="1350"/>
    <m/>
    <x v="0"/>
    <d v="2018-08-06T00:00:00"/>
    <n v="22"/>
    <s v="Yuraima Rodríguez"/>
    <s v="En Físico"/>
    <s v="Calle Guacara Nro. 89-70"/>
    <s v="Cancelación Vigilancia, meses de Julio y Agosto 2018"/>
    <x v="0"/>
    <m/>
    <s v="01350"/>
    <s v="06 de agosto de 2018"/>
    <n v="6"/>
    <x v="21"/>
    <s v="22,00"/>
    <e v="#NAME?"/>
  </r>
  <r>
    <n v="1351"/>
    <m/>
    <x v="0"/>
    <d v="2018-08-06T00:00:00"/>
    <n v="10"/>
    <s v="Familia Il Grande Franceschi"/>
    <s v="arcifran75@hotmail.com"/>
    <s v="Av. &quot;I&quot; Nro. 146-40"/>
    <s v="Cancelación Vigilancia, mes de Julio 2018"/>
    <x v="0"/>
    <m/>
    <s v="01351"/>
    <s v="06 de agosto de 2018"/>
    <n v="6"/>
    <x v="21"/>
    <s v="10,00"/>
    <e v="#NAME?"/>
  </r>
  <r>
    <n v="1352"/>
    <m/>
    <x v="0"/>
    <d v="2018-08-06T00:00:00"/>
    <n v="14.25"/>
    <s v="Familia Il Grande Franceschi"/>
    <s v="arcifran75@hotmail.com"/>
    <s v="Av. &quot;I&quot; Nro. 146-40"/>
    <s v="Cancelación Vigilancia, ajuste mes de Junio y cancelación mes de Agosto 2018"/>
    <x v="0"/>
    <m/>
    <s v="01352"/>
    <s v="06 de agosto de 2018"/>
    <n v="6"/>
    <x v="21"/>
    <s v="14,25"/>
    <e v="#NAME?"/>
  </r>
  <r>
    <n v="1353"/>
    <m/>
    <x v="0"/>
    <d v="2018-08-06T00:00:00"/>
    <n v="12"/>
    <s v="Familia Ferrer Bahri"/>
    <s v="bahrimariela@hotmail.com"/>
    <s v="Calle Güigüe Nro. 89-83"/>
    <s v="Cancelación Vigilancia, mes de Agosto 2018"/>
    <x v="0"/>
    <m/>
    <s v="01353"/>
    <s v="06 de agosto de 2018"/>
    <n v="6"/>
    <x v="21"/>
    <s v="12,00"/>
    <e v="#NAME?"/>
  </r>
  <r>
    <n v="1354"/>
    <m/>
    <x v="0"/>
    <d v="2018-08-07T00:00:00"/>
    <n v="14"/>
    <s v="Familia Loponte Arteaga"/>
    <s v="En Físico"/>
    <s v="Calle Güigüe Nro. 88-120"/>
    <s v="Cancelación Vigilancia, saldo mes de Agosto y anticipo mes de Septiembre 2018"/>
    <x v="0"/>
    <m/>
    <s v="01354"/>
    <s v="07 de agosto de 2018"/>
    <n v="7"/>
    <x v="21"/>
    <s v="14,00"/>
    <e v="#NAME?"/>
  </r>
  <r>
    <n v="1355"/>
    <m/>
    <x v="0"/>
    <d v="2018-08-07T00:00:00"/>
    <n v="8"/>
    <s v="Zoraida Khair"/>
    <s v="zorakhair@hotmail.com"/>
    <s v="Calle Güigüe Nro. 88-80"/>
    <s v="Cancelación Vigilancia, saldo mes de Agosto 2018 (saldo a favor Bs. 10.155.000)"/>
    <x v="0"/>
    <m/>
    <s v="01355"/>
    <s v="07 de agosto de 2018"/>
    <n v="7"/>
    <x v="21"/>
    <s v="8,00"/>
    <e v="#NAME?"/>
  </r>
  <r>
    <n v="1356"/>
    <m/>
    <x v="0"/>
    <d v="2018-08-06T00:00:00"/>
    <n v="15"/>
    <s v="Familia Durvelle Serrano"/>
    <s v="sdurvelle@hotmail.com"/>
    <s v="Calle Guacara Nro. 89-60"/>
    <s v="Cancelación Vigilancia, mes de Agosto y anticipo mes de Septiembre 2018"/>
    <x v="0"/>
    <m/>
    <s v="01356"/>
    <s v="06 de agosto de 2018"/>
    <n v="6"/>
    <x v="21"/>
    <s v="15,00"/>
    <e v="#NAME?"/>
  </r>
  <r>
    <n v="1357"/>
    <m/>
    <x v="0"/>
    <d v="2018-08-07T00:00:00"/>
    <n v="12"/>
    <s v="Familia Colosso Delgado"/>
    <s v="mcolosso@gmail.com"/>
    <s v="Calle Güigüe Nro. 88-44"/>
    <s v="Cancelación Vigilancia, mes de Agosto 2018"/>
    <x v="0"/>
    <m/>
    <s v="01357"/>
    <s v="07 de agosto de 2018"/>
    <n v="7"/>
    <x v="21"/>
    <s v="12,00"/>
    <e v="#NAME?"/>
  </r>
  <r>
    <n v="1358"/>
    <m/>
    <x v="0"/>
    <d v="2018-08-08T00:00:00"/>
    <n v="12"/>
    <s v="Familia Delgado Hidalgo"/>
    <s v="ardh@hotmail.com"/>
    <s v="Calle Güigüe Nro. 88-10"/>
    <s v="Cancelación Vigilancia, mes de Agosto 2018"/>
    <x v="0"/>
    <m/>
    <s v="01358"/>
    <s v="08 de agosto de 2018"/>
    <n v="8"/>
    <x v="21"/>
    <s v="12,00"/>
    <e v="#NAME?"/>
  </r>
  <r>
    <n v="1359"/>
    <m/>
    <x v="0"/>
    <d v="2018-08-10T00:00:00"/>
    <n v="1"/>
    <s v="Familia Chávez Hernández"/>
    <s v="mercedesch23@hotmail.com"/>
    <s v="Calle Güigüe Nro. 88-20"/>
    <s v="Colaboración Vigilancia, mes de Julio 2018"/>
    <x v="0"/>
    <m/>
    <s v="01359"/>
    <s v="10 de agosto de 2018"/>
    <n v="10"/>
    <x v="21"/>
    <s v="1,00"/>
    <e v="#NAME?"/>
  </r>
  <r>
    <n v="1360"/>
    <m/>
    <x v="0"/>
    <d v="2018-08-12T00:00:00"/>
    <n v="12"/>
    <s v="Familia Fermín Rivas"/>
    <s v="angelferminb@gmail.com"/>
    <s v="Calle Güigüe Nro. 89-55"/>
    <s v="Cancelación Vigilancia, mes de Agosto 2018"/>
    <x v="0"/>
    <m/>
    <s v="01360"/>
    <s v="12 de agosto de 2018"/>
    <n v="12"/>
    <x v="21"/>
    <s v="12,00"/>
    <e v="#NAME?"/>
  </r>
  <r>
    <n v="1361"/>
    <m/>
    <x v="0"/>
    <d v="2018-08-12T00:00:00"/>
    <n v="12"/>
    <s v="Familia Acosta Carpio"/>
    <s v="pablo962@hotmail.com"/>
    <s v="Calle Güigüe Nro. 89-10"/>
    <s v="Cancelación Vigilancia, mes de Agosto 2018"/>
    <x v="0"/>
    <m/>
    <s v="01361"/>
    <s v="12 de agosto de 2018"/>
    <n v="12"/>
    <x v="21"/>
    <s v="12,00"/>
    <e v="#NAME?"/>
  </r>
  <r>
    <n v="1362"/>
    <m/>
    <x v="0"/>
    <d v="2018-08-12T00:00:00"/>
    <n v="12"/>
    <s v="Familia Arcia Polanco"/>
    <s v="misipo29@gmail.com"/>
    <s v="Calle Guacara Nro. 89-20"/>
    <s v="Cancelación Vigilancia, mes de Agosto 2018"/>
    <x v="0"/>
    <m/>
    <s v="01362"/>
    <s v="12 de agosto de 2018"/>
    <n v="12"/>
    <x v="21"/>
    <s v="12,00"/>
    <e v="#NAME?"/>
  </r>
  <r>
    <n v="1363"/>
    <m/>
    <x v="0"/>
    <d v="2018-08-12T00:00:00"/>
    <n v="12"/>
    <s v="Familia Flores Montagne"/>
    <s v="martaflores@gmail.com"/>
    <s v="Av. &quot;M&quot; Nro. 146-20"/>
    <s v="Cancelación Vigilancia, mes de Agosto 2018"/>
    <x v="0"/>
    <m/>
    <s v="01363"/>
    <s v="12 de agosto de 2018"/>
    <n v="12"/>
    <x v="21"/>
    <s v="12,00"/>
    <e v="#NAME?"/>
  </r>
  <r>
    <n v="1364"/>
    <m/>
    <x v="0"/>
    <d v="2018-08-13T00:00:00"/>
    <n v="12"/>
    <s v="Sra. Reina Meléndez"/>
    <s v="olgajipe@gmail.com"/>
    <s v="Av. &quot;M&quot; Nro. 145-10"/>
    <s v="Cancelación Vigilancia, mes de Agosto 2018"/>
    <x v="0"/>
    <m/>
    <s v="01364"/>
    <s v="13 de agosto de 2018"/>
    <n v="13"/>
    <x v="21"/>
    <s v="12,00"/>
    <e v="#NAME?"/>
  </r>
  <r>
    <n v="1365"/>
    <m/>
    <x v="0"/>
    <d v="2018-08-13T00:00:00"/>
    <n v="12"/>
    <s v="Familia Montilla García"/>
    <s v="dairy252525@hotmail.com"/>
    <s v="Calle Güigüe Nro. 89-90"/>
    <s v="Cancelación Vigilancia, mes de Agosto 2018"/>
    <x v="0"/>
    <m/>
    <s v="01365"/>
    <s v="13 de agosto de 2018"/>
    <n v="13"/>
    <x v="21"/>
    <s v="12,00"/>
    <e v="#NAME?"/>
  </r>
  <r>
    <n v="1366"/>
    <m/>
    <x v="0"/>
    <d v="2018-08-13T00:00:00"/>
    <n v="12"/>
    <s v="Familia Scabuzzo Gómez"/>
    <s v="sfscabuzzo@msn.com"/>
    <s v="Av. &quot;I&quot; Nro. 146-20"/>
    <s v="Cancelación Vigilancia, mes de Agosto 2018"/>
    <x v="0"/>
    <m/>
    <s v="01366"/>
    <s v="13 de agosto de 2018"/>
    <n v="13"/>
    <x v="21"/>
    <s v="12,00"/>
    <e v="#NAME?"/>
  </r>
  <r>
    <n v="1367"/>
    <m/>
    <x v="0"/>
    <d v="2018-08-14T00:00:00"/>
    <n v="12"/>
    <s v="Familia Kablan Sarmiento"/>
    <s v="norisjsb56@hotmail.com"/>
    <s v="Calle Güigüe Nro. 89-80"/>
    <s v="Cancelación Vigilancia, mes de Agosto 2018"/>
    <x v="0"/>
    <m/>
    <s v="01367"/>
    <s v="14 de agosto de 2018"/>
    <n v="14"/>
    <x v="21"/>
    <s v="12,00"/>
    <e v="#NAME?"/>
  </r>
  <r>
    <n v="1368"/>
    <m/>
    <x v="0"/>
    <d v="2018-08-15T00:00:00"/>
    <n v="4"/>
    <s v="Familia Astor Zamora"/>
    <s v="imzastor@gmail.com"/>
    <s v="Calle Güigüe Nro. 88-111"/>
    <s v="Cancelación Vigilancia, mes de Mayo 2018"/>
    <x v="0"/>
    <m/>
    <s v="01368"/>
    <s v="15 de agosto de 2018"/>
    <n v="15"/>
    <x v="21"/>
    <s v="4,00"/>
    <e v="#NAME?"/>
  </r>
  <r>
    <n v="1369"/>
    <m/>
    <x v="0"/>
    <d v="2018-08-15T00:00:00"/>
    <n v="9.5"/>
    <s v="Familia Kattar González"/>
    <s v="jagiak123@yahoo.es"/>
    <s v="Calle Güigüe Nro. 89-95"/>
    <s v="Cancelación Vigilancia, saldo meses de Julio y Agosto 2018"/>
    <x v="0"/>
    <m/>
    <s v="01369"/>
    <s v="15 de agosto de 2018"/>
    <n v="15"/>
    <x v="21"/>
    <s v="9,50"/>
    <e v="#NAME?"/>
  </r>
  <r>
    <n v="1370"/>
    <m/>
    <x v="0"/>
    <d v="2018-08-15T00:00:00"/>
    <n v="30.5"/>
    <s v="Familia Kattar González"/>
    <s v="jagiak123@yahoo.es"/>
    <s v="Calle Güigüe Nro. 89-95"/>
    <s v="Donación para vigilante Ana María Mogollón"/>
    <x v="7"/>
    <m/>
    <s v="01370"/>
    <s v="15 de agosto de 2018"/>
    <n v="15"/>
    <x v="21"/>
    <s v="30,50"/>
    <e v="#NAME?"/>
  </r>
  <r>
    <n v="1371"/>
    <m/>
    <x v="0"/>
    <d v="2018-08-15T00:00:00"/>
    <n v="8"/>
    <s v="Familia Machado Stoppa"/>
    <s v="machadoru@hotmail.com"/>
    <s v="Calle Guacara Nro. 88-85"/>
    <s v="Cancelación Vigilancia, saldo mes de Agosto 2018"/>
    <x v="0"/>
    <m/>
    <s v="01371"/>
    <s v="15 de agosto de 2018"/>
    <n v="15"/>
    <x v="21"/>
    <s v="8,00"/>
    <e v="#NAME?"/>
  </r>
  <r>
    <n v="1372"/>
    <m/>
    <x v="0"/>
    <d v="2018-08-15T00:00:00"/>
    <n v="12"/>
    <s v="Familia Barreto Pérez"/>
    <s v="bbetsa19@hotmail.com"/>
    <s v="Av. &quot;M&quot; Nro. 146-15"/>
    <s v="Cancelación Vigilancia, mes de Agosto 2018"/>
    <x v="0"/>
    <m/>
    <s v="01372"/>
    <s v="15 de agosto de 2018"/>
    <n v="15"/>
    <x v="21"/>
    <s v="12,00"/>
    <e v="#NAME?"/>
  </r>
  <r>
    <n v="1373"/>
    <m/>
    <x v="0"/>
    <d v="2018-08-16T00:00:00"/>
    <n v="12"/>
    <s v="Familia Nava Gordon"/>
    <s v="maru_19_66@hotmail.com"/>
    <s v="Calle Guacara Nro. 89-78"/>
    <s v="Cancelación Vigilancia, mes de Agosto 2018"/>
    <x v="0"/>
    <m/>
    <s v="01373"/>
    <s v="16 de agosto de 2018"/>
    <n v="16"/>
    <x v="21"/>
    <s v="12,00"/>
    <e v="#NAME?"/>
  </r>
  <r>
    <n v="1374"/>
    <m/>
    <x v="0"/>
    <d v="2018-08-16T00:00:00"/>
    <n v="12"/>
    <s v="Beatriz Lara"/>
    <s v="valentina.gutierrez@hotmail.com"/>
    <s v="Calle Guacara Nro. 89-130"/>
    <s v="Cancelación Vigilancia, mes de Agosto 2018"/>
    <x v="0"/>
    <m/>
    <s v="01374"/>
    <s v="16 de agosto de 2018"/>
    <n v="16"/>
    <x v="21"/>
    <s v="12,00"/>
    <e v="#NAME?"/>
  </r>
  <r>
    <n v="1375"/>
    <m/>
    <x v="0"/>
    <d v="2018-08-16T00:00:00"/>
    <n v="12"/>
    <s v="Familia Díaz González"/>
    <s v="luisrdt57@gmail.com"/>
    <s v="Calle Güigüe Nro. 88-116"/>
    <s v="Cancelación Vigilancia, mes de Agosto 2018"/>
    <x v="0"/>
    <m/>
    <s v="01375"/>
    <s v="16 de agosto de 2018"/>
    <n v="16"/>
    <x v="21"/>
    <s v="12,00"/>
    <e v="#NAME?"/>
  </r>
  <r>
    <n v="1376"/>
    <m/>
    <x v="0"/>
    <d v="2018-08-16T00:00:00"/>
    <n v="13.5"/>
    <s v="Familia Matta Palomino"/>
    <s v="En Físico"/>
    <s v="Calle Güigüe Nro. 88-90"/>
    <s v="Cancelación Vigilancia, saldo mes de Julio y cancelación mes de Agosto 2018"/>
    <x v="0"/>
    <m/>
    <s v="01376"/>
    <s v="16 de agosto de 2018"/>
    <n v="16"/>
    <x v="21"/>
    <s v="13,50"/>
    <e v="#NAME?"/>
  </r>
  <r>
    <n v="1377"/>
    <m/>
    <x v="0"/>
    <d v="2018-08-18T00:00:00"/>
    <n v="11"/>
    <s v="La Casita Encantada"/>
    <s v="En Físico"/>
    <s v="Av. &quot;M&quot; Nro. 146-30"/>
    <s v="Cancelación Vigilancia, anticipo mes de Agosto 2018"/>
    <x v="0"/>
    <m/>
    <s v="01377"/>
    <s v="18 de agosto de 2018"/>
    <n v="18"/>
    <x v="21"/>
    <s v="11,00"/>
    <e v="#NAME?"/>
  </r>
  <r>
    <n v="1378"/>
    <m/>
    <x v="0"/>
    <d v="2018-08-19T00:00:00"/>
    <n v="12"/>
    <s v="Amarilis Guerra"/>
    <s v="amarilisguerra1@yahoo.com"/>
    <s v="Calle Güigüe Nro. 89-96"/>
    <s v="Cancelación Vigilancia, mes de Agosto 2018"/>
    <x v="0"/>
    <m/>
    <s v="01378"/>
    <s v="19 de agosto de 2018"/>
    <n v="19"/>
    <x v="21"/>
    <s v="12,00"/>
    <e v="#NAME?"/>
  </r>
  <r>
    <n v="1379"/>
    <m/>
    <x v="0"/>
    <d v="2018-08-19T00:00:00"/>
    <n v="6"/>
    <s v="Amarilis Guerra"/>
    <s v="amarilisguerra1@yahoo.com"/>
    <s v="Calle Güigüe Nro. 89-96"/>
    <s v="Colaboración reparación portón principal"/>
    <x v="10"/>
    <m/>
    <s v="01379"/>
    <s v="19 de agosto de 2018"/>
    <n v="19"/>
    <x v="21"/>
    <s v="6,00"/>
    <e v="#NAME?"/>
  </r>
  <r>
    <n v="1380"/>
    <m/>
    <x v="0"/>
    <d v="2018-08-22T00:00:00"/>
    <n v="12"/>
    <s v="Familia Navarro Assing"/>
    <s v="liliaassing@gmail.com"/>
    <s v="Calle Güigüe Nro. 88-54"/>
    <s v="Cancelación Vigilancia, mes de Agosto 2018"/>
    <x v="0"/>
    <m/>
    <s v="01380"/>
    <s v="22 de agosto de 2018"/>
    <n v="22"/>
    <x v="21"/>
    <s v="12,00"/>
    <e v="#NAME?"/>
  </r>
  <r>
    <n v="1381"/>
    <m/>
    <x v="0"/>
    <d v="2018-08-23T00:00:00"/>
    <n v="12"/>
    <s v="Familia Piñero Padilla"/>
    <s v="achepaul2005@hotmail.com"/>
    <s v="Calle Güigüe Nro. 89-21"/>
    <s v="Cancelación Vigilancia, mes de Agosto 2018"/>
    <x v="0"/>
    <m/>
    <s v="01381"/>
    <s v="23 de agosto de 2018"/>
    <n v="23"/>
    <x v="21"/>
    <s v="12,00"/>
    <e v="#NAME?"/>
  </r>
  <r>
    <n v="1382"/>
    <m/>
    <x v="0"/>
    <d v="2018-08-23T00:00:00"/>
    <n v="11.5"/>
    <s v="Familia Navarrete Medina"/>
    <s v="juanin1919@yahoo.com"/>
    <s v="Calle Güigüe Nro. 89-22"/>
    <s v="Cancelación Vigilancia, saldo mes de Agosto 2018"/>
    <x v="0"/>
    <m/>
    <s v="01382"/>
    <s v="23 de agosto de 2018"/>
    <n v="23"/>
    <x v="21"/>
    <s v="11,50"/>
    <e v="#NAME?"/>
  </r>
  <r>
    <n v="1383"/>
    <m/>
    <x v="0"/>
    <d v="2018-08-23T00:00:00"/>
    <n v="12"/>
    <s v="Familia Castro Jiménez"/>
    <s v="aurycastrojimenez@gmail.com"/>
    <s v="Calle Guacara Nro. 90-51"/>
    <s v="Cancelación Vigilancia, mes de Agosto 2018"/>
    <x v="0"/>
    <m/>
    <s v="01383"/>
    <s v="23 de agosto de 2018"/>
    <n v="23"/>
    <x v="21"/>
    <s v="12,00"/>
    <e v="#NAME?"/>
  </r>
  <r>
    <n v="1384"/>
    <m/>
    <x v="0"/>
    <d v="2018-08-23T00:00:00"/>
    <n v="2"/>
    <s v="Familia Castro Jiménez"/>
    <s v="aurycastrojimenez@gmail.com"/>
    <s v="Calle Guacara Nro. 90-51"/>
    <s v="Colaboración para comida de vigilantes"/>
    <x v="9"/>
    <m/>
    <s v="01384"/>
    <s v="23 de agosto de 2018"/>
    <n v="23"/>
    <x v="21"/>
    <s v="2,00"/>
    <e v="#NAME?"/>
  </r>
  <r>
    <n v="1385"/>
    <m/>
    <x v="0"/>
    <d v="2018-08-23T00:00:00"/>
    <n v="24"/>
    <s v="Familia Hatem Medina"/>
    <s v="hhatem1@hotmail.com"/>
    <s v="Calle Guacara Nro. 88-51"/>
    <s v="Cancelación Vigilancia, mes de Agosto y anticipo mes de Septiembre 2018"/>
    <x v="0"/>
    <m/>
    <s v="01385"/>
    <s v="23 de agosto de 2018"/>
    <n v="23"/>
    <x v="21"/>
    <s v="24,00"/>
    <e v="#NAME?"/>
  </r>
  <r>
    <n v="1386"/>
    <m/>
    <x v="0"/>
    <d v="2018-08-23T00:00:00"/>
    <n v="12"/>
    <s v="Familia González Arévalo"/>
    <s v="feryenis@hotmail.com"/>
    <s v="Calle Guacara Nro. 89-86"/>
    <s v="Cancelación Vigilancia, mes de Agosto 2018"/>
    <x v="0"/>
    <m/>
    <s v="01386"/>
    <s v="23 de agosto de 2018"/>
    <n v="23"/>
    <x v="21"/>
    <s v="12,00"/>
    <e v="#NAME?"/>
  </r>
  <r>
    <n v="1387"/>
    <m/>
    <x v="0"/>
    <d v="2018-08-23T00:00:00"/>
    <n v="12"/>
    <s v="Familia Rodríguez Landaeta"/>
    <s v="mrl58@hotmail.com"/>
    <s v="Calle Güigüe Nro. 89-29"/>
    <s v="Cancelación Vigilancia, mes de Agosto 2018"/>
    <x v="0"/>
    <m/>
    <s v="01387"/>
    <s v="23 de agosto de 2018"/>
    <n v="23"/>
    <x v="21"/>
    <s v="12,00"/>
    <e v="#NAME?"/>
  </r>
  <r>
    <n v="1388"/>
    <m/>
    <x v="0"/>
    <d v="2018-08-23T00:00:00"/>
    <n v="12"/>
    <s v="Familia Manrique Riera"/>
    <s v="patriciamanrique@gmail.com"/>
    <s v="Calle Guacara Nro. 89-40"/>
    <s v="Cancelación Vigilancia, mes de Agosto 2018"/>
    <x v="0"/>
    <m/>
    <s v="01388"/>
    <s v="23 de agosto de 2018"/>
    <n v="23"/>
    <x v="21"/>
    <s v="12,00"/>
    <e v="#NAME?"/>
  </r>
  <r>
    <n v="1389"/>
    <m/>
    <x v="0"/>
    <d v="2018-08-23T00:00:00"/>
    <n v="12"/>
    <s v="Familia Puerta Burguillos"/>
    <s v="namaricakes@gmail.com"/>
    <s v="Calle Guacara Nro. 87-100"/>
    <s v="Cancelación Vigilancia, mes de Agosto 2018"/>
    <x v="0"/>
    <m/>
    <s v="01389"/>
    <s v="23 de agosto de 2018"/>
    <n v="23"/>
    <x v="21"/>
    <s v="12,00"/>
    <e v="#NAME?"/>
  </r>
  <r>
    <n v="1390"/>
    <m/>
    <x v="0"/>
    <d v="2018-08-24T00:00:00"/>
    <n v="12"/>
    <s v="Familia Rodríguez Aular"/>
    <s v="mvaular@hotmail.com"/>
    <s v="Calle Güigüe Nro. 88-58"/>
    <s v="Cancelación Vigilancia, mes de Agosto 2018"/>
    <x v="0"/>
    <m/>
    <s v="01390"/>
    <s v="24 de agosto de 2018"/>
    <n v="24"/>
    <x v="21"/>
    <s v="12,00"/>
    <e v="#NAME?"/>
  </r>
  <r>
    <n v="1391"/>
    <m/>
    <x v="0"/>
    <d v="2018-08-25T00:00:00"/>
    <n v="12"/>
    <s v="Dra. Lilia Magallanes"/>
    <s v="liliamagallanes2010@gmail.com"/>
    <s v="Calle Güigüe Nro. 88-51"/>
    <s v="Cancelación Vigilancia, mes de Agosto 2018"/>
    <x v="0"/>
    <m/>
    <s v="01391"/>
    <s v="25 de agosto de 2018"/>
    <n v="25"/>
    <x v="21"/>
    <s v="12,00"/>
    <e v="#NAME?"/>
  </r>
  <r>
    <n v="1392"/>
    <m/>
    <x v="0"/>
    <d v="2018-08-27T00:00:00"/>
    <n v="2.2000000000000002"/>
    <s v="La Casita Encantada"/>
    <s v="En Físico"/>
    <s v="Av. &quot;M&quot; Nro. 146-30"/>
    <s v="Cancelación Vigilancia, saldo mes de Agosto 2018"/>
    <x v="0"/>
    <m/>
    <s v="01392"/>
    <s v="27 de agosto de 2018"/>
    <n v="27"/>
    <x v="21"/>
    <s v="2,20"/>
    <e v="#NAME?"/>
  </r>
  <r>
    <n v="1393"/>
    <m/>
    <x v="0"/>
    <d v="2018-08-27T00:00:00"/>
    <n v="12"/>
    <s v="Familia Castillo Mena"/>
    <s v="emmecas@hotmail.com"/>
    <s v="Calle Güigüe Nro. 88-101"/>
    <s v="Cancelación Vigilancia, mes de Agosto 2018"/>
    <x v="0"/>
    <m/>
    <s v="01393"/>
    <s v="27 de agosto de 2018"/>
    <n v="27"/>
    <x v="21"/>
    <s v="12,00"/>
    <e v="#NAME?"/>
  </r>
  <r>
    <n v="1394"/>
    <m/>
    <x v="0"/>
    <d v="2018-08-27T00:00:00"/>
    <n v="12"/>
    <s v="Familia Triana González"/>
    <s v="En Físico"/>
    <s v="Calle Guacara Nro. 90-61"/>
    <s v="Cancelación Vigilancia, mes de Agosto 2018"/>
    <x v="0"/>
    <m/>
    <s v="01394"/>
    <s v="27 de agosto de 2018"/>
    <n v="27"/>
    <x v="21"/>
    <s v="12,00"/>
    <e v="#NAME?"/>
  </r>
  <r>
    <n v="1395"/>
    <m/>
    <x v="0"/>
    <d v="2018-08-27T00:00:00"/>
    <n v="15"/>
    <s v="Familia Alonso Rojas"/>
    <s v="redjc01@gmail.com"/>
    <s v="Calle Güigüe Nro. 89-54"/>
    <s v="Cancelación Vigilancia, mes de Agosto 2018"/>
    <x v="0"/>
    <m/>
    <s v="01395"/>
    <s v="27 de agosto de 2018"/>
    <n v="27"/>
    <x v="21"/>
    <s v="15,00"/>
    <e v="#NAME?"/>
  </r>
  <r>
    <n v="1396"/>
    <m/>
    <x v="0"/>
    <d v="2018-08-27T00:00:00"/>
    <n v="12"/>
    <s v="Familia Zavarce Pérez"/>
    <s v="En Físico"/>
    <s v="Calle Guacara Nro. 90-35"/>
    <s v="Cancelación Vigilancia, mes de Agosto 2018"/>
    <x v="0"/>
    <m/>
    <s v="01396"/>
    <s v="27 de agosto de 2018"/>
    <n v="27"/>
    <x v="21"/>
    <s v="12,00"/>
    <e v="#NAME?"/>
  </r>
  <r>
    <n v="1397"/>
    <m/>
    <x v="0"/>
    <d v="2018-08-27T00:00:00"/>
    <n v="12"/>
    <s v="Familia Jiménez Navarro"/>
    <s v="joyasonline2012@gmail.com"/>
    <s v="Calle Güigüe Nro. 88-50"/>
    <s v="Cancelación Vigilancia, mes de Agosto 2018"/>
    <x v="0"/>
    <m/>
    <s v="01397"/>
    <s v="27 de agosto de 2018"/>
    <n v="27"/>
    <x v="21"/>
    <s v="12,00"/>
    <e v="#NAME?"/>
  </r>
  <r>
    <n v="1398"/>
    <m/>
    <x v="0"/>
    <d v="2018-08-29T00:00:00"/>
    <n v="12"/>
    <s v="Familia Zavarce Barón"/>
    <s v="alexanderzavarce@gmail.com"/>
    <s v="Calle Guacara Nro. 88-91"/>
    <s v="Cancelación Vigilancia, mes de Agosto 2018"/>
    <x v="0"/>
    <m/>
    <s v="01398"/>
    <s v="29 de agosto de 2018"/>
    <n v="29"/>
    <x v="21"/>
    <s v="12,00"/>
    <e v="#NAME?"/>
  </r>
  <r>
    <n v="1399"/>
    <m/>
    <x v="0"/>
    <d v="2018-08-29T00:00:00"/>
    <n v="12"/>
    <s v="Wilson Escamilla"/>
    <s v="wilsonescamilla45@gmail.com"/>
    <s v="Calle Güigüe Nro. 89-89"/>
    <s v="Cancelación Vigilancia, mes de Agosto 2018"/>
    <x v="0"/>
    <m/>
    <s v="01399"/>
    <s v="29 de agosto de 2018"/>
    <n v="29"/>
    <x v="21"/>
    <s v="12,00"/>
    <e v="#NAME?"/>
  </r>
  <r>
    <n v="1400"/>
    <m/>
    <x v="0"/>
    <d v="2018-08-12T00:00:00"/>
    <n v="12"/>
    <s v="Amparo Acosta"/>
    <s v="amparonatividad@hotmail.com"/>
    <s v="Calle Guacara Nro. 88-65"/>
    <s v="Cancelación Vigilancia, mes de Agosto 2018"/>
    <x v="0"/>
    <m/>
    <s v="01400"/>
    <s v="12 de agosto de 2018"/>
    <n v="12"/>
    <x v="21"/>
    <s v="12,00"/>
    <e v="#NAME?"/>
  </r>
  <r>
    <n v="1401"/>
    <m/>
    <x v="0"/>
    <d v="2018-08-31T00:00:00"/>
    <n v="8"/>
    <s v="Familia Méndez Parra"/>
    <s v="briceidademendez@gmail.com"/>
    <s v="Calle Guacara Nro. 88-19"/>
    <s v="Colaboración Vigilancia, mes de Agosto 2018"/>
    <x v="0"/>
    <m/>
    <s v="01401"/>
    <s v="31 de agosto de 2018"/>
    <n v="31"/>
    <x v="21"/>
    <s v="8,00"/>
    <e v="#NAME?"/>
  </r>
  <r>
    <n v="1402"/>
    <m/>
    <x v="0"/>
    <d v="2018-09-01T00:00:00"/>
    <n v="370"/>
    <s v="Carmen Moreno"/>
    <s v="carmenemoreno10@gmail.com"/>
    <s v="Calle Güigüe Nro. 89-04"/>
    <s v="Cancelación Vigilancia, mes de Septiembre y anticipo mes de Octubre 2018"/>
    <x v="0"/>
    <m/>
    <s v="01402"/>
    <s v="01 de septiembre de 2018"/>
    <n v="1"/>
    <x v="22"/>
    <s v="370,00"/>
    <e v="#NAME?"/>
  </r>
  <r>
    <n v="1403"/>
    <m/>
    <x v="0"/>
    <d v="2018-09-01T00:00:00"/>
    <n v="12"/>
    <s v="Ma. de Jesus Alonso"/>
    <s v="alonsojg@gmail.com"/>
    <s v="Calle Güigüe Nro. 88-30"/>
    <s v="Cancelación Vigilancia, mes de Agosto 2018"/>
    <x v="0"/>
    <m/>
    <s v="01403"/>
    <s v="01 de septiembre de 2018"/>
    <n v="1"/>
    <x v="22"/>
    <s v="12,00"/>
    <e v="#NAME?"/>
  </r>
  <r>
    <n v="1404"/>
    <m/>
    <x v="0"/>
    <d v="2018-09-02T00:00:00"/>
    <n v="27"/>
    <s v="Familia Loponte Arteaga"/>
    <s v="En Físico"/>
    <s v="Calle Güigüe Nro. 88-120"/>
    <s v="Cancelación Vigilancia, anticipo mes de Septiembre 2018"/>
    <x v="0"/>
    <m/>
    <s v="01404"/>
    <s v="02 de septiembre de 2018"/>
    <n v="2"/>
    <x v="22"/>
    <s v="27,00"/>
    <e v="#NAME?"/>
  </r>
  <r>
    <n v="1405"/>
    <m/>
    <x v="0"/>
    <d v="2018-09-02T00:00:00"/>
    <n v="12"/>
    <s v="Victoria Francischiello"/>
    <s v="victoriafrancischiello@hotmail.com"/>
    <s v="Calle Guacara Nro. 88-25"/>
    <s v="Cancelación Vigilancia, mes de Agosto 2018"/>
    <x v="0"/>
    <m/>
    <s v="01405"/>
    <s v="02 de septiembre de 2018"/>
    <n v="2"/>
    <x v="22"/>
    <s v="12,00"/>
    <e v="#NAME?"/>
  </r>
  <r>
    <n v="1406"/>
    <m/>
    <x v="0"/>
    <d v="2018-09-03T00:00:00"/>
    <n v="10"/>
    <s v="Gloria Molina"/>
    <s v="glomola2@yahoo.es"/>
    <s v="Calle Güigüe Nro. 89-71"/>
    <s v="Colaboración Vigilancia, mes de Agosto 2018"/>
    <x v="0"/>
    <m/>
    <s v="01406"/>
    <s v="03 de septiembre de 2018"/>
    <n v="3"/>
    <x v="22"/>
    <s v="10,00"/>
    <e v="#NAME?"/>
  </r>
  <r>
    <n v="1407"/>
    <m/>
    <x v="0"/>
    <d v="2018-09-03T00:00:00"/>
    <n v="12"/>
    <s v="Familia Gascón Domínguez"/>
    <s v="vrgascon@gmail.com"/>
    <s v="Calle Güigüe Nro. 88-70"/>
    <s v="Cancelación Vigilancia, mes de Agosto 2018"/>
    <x v="0"/>
    <m/>
    <s v="01407"/>
    <s v="03 de septiembre de 2018"/>
    <n v="3"/>
    <x v="22"/>
    <s v="12,00"/>
    <e v="#NAME?"/>
  </r>
  <r>
    <n v="1408"/>
    <m/>
    <x v="0"/>
    <d v="2018-09-05T00:00:00"/>
    <n v="320"/>
    <s v="Familia Ferrer Bahri"/>
    <s v="bahrimariela@hotmail.com"/>
    <s v="Calle Güigüe Nro. 89-83"/>
    <s v="Cancelación Vigilancia, mes de Septiembre 2018"/>
    <x v="0"/>
    <m/>
    <s v="01408"/>
    <s v="05 de septiembre de 2018"/>
    <n v="5"/>
    <x v="22"/>
    <s v="320,00"/>
    <e v="#NAME?"/>
  </r>
  <r>
    <n v="1409"/>
    <m/>
    <x v="0"/>
    <d v="2018-09-05T00:00:00"/>
    <n v="320"/>
    <s v="Familia Arcia Polanco"/>
    <s v="misipo29@gmail.com"/>
    <s v="Calle Guacara Nro. 89-20"/>
    <s v="Cancelación Vigilancia, mes de Septiembre 2018"/>
    <x v="0"/>
    <m/>
    <s v="01409"/>
    <s v="05 de septiembre de 2018"/>
    <n v="5"/>
    <x v="22"/>
    <s v="320,00"/>
    <e v="#NAME?"/>
  </r>
  <r>
    <n v="1410"/>
    <m/>
    <x v="0"/>
    <d v="2018-09-05T00:00:00"/>
    <n v="320"/>
    <s v="Familia Machado Stoppa"/>
    <s v="machadoru@hotmail.com"/>
    <s v="Calle Guacara Nro. 88-85"/>
    <s v="Cancelación Vigilancia, mes de Septiembre 2018"/>
    <x v="0"/>
    <m/>
    <s v="01410"/>
    <s v="05 de septiembre de 2018"/>
    <n v="5"/>
    <x v="22"/>
    <s v="320,00"/>
    <e v="#NAME?"/>
  </r>
  <r>
    <n v="1411"/>
    <m/>
    <x v="0"/>
    <d v="2018-09-05T00:00:00"/>
    <n v="320"/>
    <s v="Chin Chun Ya (Goya)"/>
    <s v="uc2721@gmail.com"/>
    <s v="Calle Guacara Nro. 87-86"/>
    <s v="Cancelación Vigilancia, mes de Septiembre 2018"/>
    <x v="0"/>
    <m/>
    <s v="01411"/>
    <s v="05 de septiembre de 2018"/>
    <n v="5"/>
    <x v="22"/>
    <s v="320,00"/>
    <e v="#NAME?"/>
  </r>
  <r>
    <n v="1412"/>
    <m/>
    <x v="0"/>
    <d v="2018-09-05T00:00:00"/>
    <n v="320"/>
    <s v="Familia González Arévalo"/>
    <s v="feryenis@hotmail.com"/>
    <s v="Calle Guacara Nro. 89-86"/>
    <s v="Cancelación Vigilancia, mes de Septiembre 2018"/>
    <x v="0"/>
    <m/>
    <s v="01412"/>
    <s v="05 de septiembre de 2018"/>
    <n v="5"/>
    <x v="22"/>
    <s v="320,00"/>
    <e v="#NAME?"/>
  </r>
  <r>
    <n v="1413"/>
    <m/>
    <x v="0"/>
    <d v="2018-09-05T00:00:00"/>
    <n v="320"/>
    <s v="Familia Colosso Delgado"/>
    <s v="mcolosso@gmail.com"/>
    <s v="Calle Güigüe Nro. 88-44"/>
    <s v="Cancelación Vigilancia, mes de Septiembre 2018"/>
    <x v="0"/>
    <m/>
    <s v="01413"/>
    <s v="05 de septiembre de 2018"/>
    <n v="5"/>
    <x v="22"/>
    <s v="320,00"/>
    <e v="#NAME?"/>
  </r>
  <r>
    <n v="1414"/>
    <m/>
    <x v="0"/>
    <d v="2018-09-05T00:00:00"/>
    <n v="400"/>
    <s v="Familia Durvelle Serrano"/>
    <s v="sdurvelle@hotmail.com"/>
    <s v="Calle Guacara Nro. 89-60"/>
    <s v="Cancelación Vigilancia, mes de Septiembre 2018 más aporte"/>
    <x v="0"/>
    <m/>
    <s v="01414"/>
    <s v="05 de septiembre de 2018"/>
    <n v="5"/>
    <x v="22"/>
    <s v="400,00"/>
    <e v="#NAME?"/>
  </r>
  <r>
    <n v="1415"/>
    <m/>
    <x v="0"/>
    <d v="2018-09-05T00:00:00"/>
    <n v="320"/>
    <s v="Familia Fermín Rivas"/>
    <s v="angelferminb@gmail.com"/>
    <s v="Calle Güigüe Nro. 89-55"/>
    <s v="Cancelación Vigilancia, mes de Septiembre 2018"/>
    <x v="0"/>
    <m/>
    <s v="01415"/>
    <s v="05 de septiembre de 2018"/>
    <n v="5"/>
    <x v="22"/>
    <s v="320,00"/>
    <e v="#NAME?"/>
  </r>
  <r>
    <n v="1416"/>
    <m/>
    <x v="0"/>
    <d v="2018-09-06T00:00:00"/>
    <n v="320"/>
    <s v="Familia Nava Gordon"/>
    <s v="maru_19_66@hotmail.com"/>
    <s v="Calle Guacara Nro. 89-78"/>
    <s v="Cancelación Vigilancia, mes de Septiembre 2018"/>
    <x v="0"/>
    <m/>
    <s v="01416"/>
    <s v="06 de septiembre de 2018"/>
    <n v="6"/>
    <x v="22"/>
    <s v="320,00"/>
    <e v="#NAME?"/>
  </r>
  <r>
    <n v="1417"/>
    <m/>
    <x v="0"/>
    <d v="2018-09-06T00:00:00"/>
    <n v="320"/>
    <s v="Familia Milanés Carmona"/>
    <s v="yndira11m@gmail.com"/>
    <s v="Calle Güigüe Nro. 89-65"/>
    <s v="Cancelación Vigilancia, mes de Septiembre 2018"/>
    <x v="0"/>
    <m/>
    <s v="01417"/>
    <s v="06 de septiembre de 2018"/>
    <n v="6"/>
    <x v="22"/>
    <s v="320,00"/>
    <e v="#NAME?"/>
  </r>
  <r>
    <n v="1418"/>
    <m/>
    <x v="0"/>
    <d v="2018-09-06T00:00:00"/>
    <n v="350"/>
    <s v="Familia Lomeña Agudo"/>
    <s v="claudialomena@hotmail.com"/>
    <s v="Calle Guacara Nro. 89-30"/>
    <s v="Cancelación Vigilancia, mes de Septiembre 2018 más aporte"/>
    <x v="0"/>
    <m/>
    <s v="01418"/>
    <s v="06 de septiembre de 2018"/>
    <n v="6"/>
    <x v="22"/>
    <s v="350,00"/>
    <e v="#NAME?"/>
  </r>
  <r>
    <n v="1419"/>
    <m/>
    <x v="0"/>
    <d v="2018-09-06T00:00:00"/>
    <n v="320"/>
    <s v="Sra. Reina Meléndez"/>
    <s v="olgajipe@gmail.com"/>
    <s v="Av. &quot;M&quot; Nro. 145-10"/>
    <s v="Cancelación Vigilancia, mes de Septiembre 2018"/>
    <x v="0"/>
    <m/>
    <s v="01419"/>
    <s v="06 de septiembre de 2018"/>
    <n v="6"/>
    <x v="22"/>
    <s v="320,00"/>
    <e v="#NAME?"/>
  </r>
  <r>
    <n v="1420"/>
    <m/>
    <x v="0"/>
    <d v="2018-09-06T00:00:00"/>
    <n v="320"/>
    <s v="Familia Guerra Miret"/>
    <s v="antoniojguerrag@hotmail.com"/>
    <s v="Calle Güigüe Nro. 89-40"/>
    <s v="Cancelación Vigilancia, mes de Septiembre 2018"/>
    <x v="0"/>
    <m/>
    <s v="01420"/>
    <s v="06 de septiembre de 2018"/>
    <n v="6"/>
    <x v="22"/>
    <s v="320,00"/>
    <e v="#NAME?"/>
  </r>
  <r>
    <n v="1421"/>
    <m/>
    <x v="0"/>
    <d v="2018-09-07T00:00:00"/>
    <n v="320"/>
    <s v="Familia Navarro Assing"/>
    <s v="liliaassing@gmail.com"/>
    <s v="Calle Güigüe Nro. 88-54"/>
    <s v="Cancelación Vigilancia, mes de Septiembre 2018"/>
    <x v="0"/>
    <m/>
    <s v="01421"/>
    <s v="07 de septiembre de 2018"/>
    <n v="7"/>
    <x v="22"/>
    <s v="320,00"/>
    <e v="#NAME?"/>
  </r>
  <r>
    <n v="1422"/>
    <m/>
    <x v="0"/>
    <d v="2018-09-07T00:00:00"/>
    <n v="320"/>
    <s v="Familia Wu Acevedo"/>
    <s v="rudyacevedo90@gmail.com"/>
    <s v="Calle Guacara Nro. 88-A-10"/>
    <s v="Cancelación Vigilancia, mes de Septiembre 2018 (saldo a favor: Bs. 5,80)"/>
    <x v="0"/>
    <m/>
    <s v="01422"/>
    <s v="07 de septiembre de 2018"/>
    <n v="7"/>
    <x v="22"/>
    <s v="320,00"/>
    <e v="#NAME?"/>
  </r>
  <r>
    <n v="1423"/>
    <m/>
    <x v="0"/>
    <d v="2018-09-07T00:00:00"/>
    <n v="320"/>
    <s v="Amparo Acosta"/>
    <s v="amparonatividad@hotmail.com"/>
    <s v="Calle Guacara Nro. 88-65"/>
    <s v="Cancelación Vigilancia, mes de Septiembre 2018"/>
    <x v="0"/>
    <m/>
    <s v="01423"/>
    <s v="07 de septiembre de 2018"/>
    <n v="7"/>
    <x v="22"/>
    <s v="320,00"/>
    <e v="#NAME?"/>
  </r>
  <r>
    <n v="1424"/>
    <m/>
    <x v="0"/>
    <d v="2018-09-09T00:00:00"/>
    <n v="320"/>
    <s v="Familia Delgado Hidalgo"/>
    <s v="ardh@hotmail.com"/>
    <s v="Calle Güigüe Nro. 88-10"/>
    <s v="Cancelación Vigilancia, mes de Septiembre 2018"/>
    <x v="0"/>
    <m/>
    <s v="01424"/>
    <s v="09 de septiembre de 2018"/>
    <n v="9"/>
    <x v="22"/>
    <s v="320,00"/>
    <e v="#NAME?"/>
  </r>
  <r>
    <n v="1425"/>
    <m/>
    <x v="0"/>
    <d v="2018-09-11T00:00:00"/>
    <n v="320"/>
    <s v="Familia Zavarce Pérez"/>
    <s v="En Físico"/>
    <s v="Calle Guacara Nro. 90-35"/>
    <s v="Cancelación Vigilancia, mes de Septiembre 2018"/>
    <x v="0"/>
    <m/>
    <s v="01425"/>
    <s v="11 de septiembre de 2018"/>
    <n v="11"/>
    <x v="22"/>
    <s v="320,00"/>
    <e v="#NAME?"/>
  </r>
  <r>
    <n v="1426"/>
    <m/>
    <x v="0"/>
    <d v="2018-09-11T00:00:00"/>
    <n v="320"/>
    <s v="La Casita Encantada"/>
    <s v="En Físico"/>
    <s v="Av. &quot;M&quot; Nro. 146-30"/>
    <s v="Cancelación Vigilancia, mes de Septiembre 2018"/>
    <x v="0"/>
    <m/>
    <s v="01426"/>
    <s v="11 de septiembre de 2018"/>
    <n v="11"/>
    <x v="22"/>
    <s v="320,00"/>
    <e v="#NAME?"/>
  </r>
  <r>
    <n v="1427"/>
    <m/>
    <x v="0"/>
    <d v="2018-09-12T00:00:00"/>
    <n v="320"/>
    <s v="Familia Ozar Rivero"/>
    <s v="vanessarivero81@hotmail.com"/>
    <s v="Calle Güigüe Nro. 88-06"/>
    <s v="Cancelación Vigilancia, mes de Septiembre 2018 (saldo a favor: Bs.S. 0,00)"/>
    <x v="0"/>
    <m/>
    <s v="01427"/>
    <s v="12 de septiembre de 2018"/>
    <n v="12"/>
    <x v="22"/>
    <s v="320,00"/>
    <e v="#NAME?"/>
  </r>
  <r>
    <n v="1428"/>
    <m/>
    <x v="0"/>
    <d v="2018-09-12T00:00:00"/>
    <n v="320"/>
    <s v="Familia Puerta Burguillos"/>
    <s v="namaricakes@gmail.com"/>
    <s v="Calle Guacara Nro. 87-100"/>
    <s v="Cancelación Vigilancia, mes de Septiembre 2018"/>
    <x v="0"/>
    <m/>
    <s v="01428"/>
    <s v="12 de septiembre de 2018"/>
    <n v="12"/>
    <x v="22"/>
    <s v="320,00"/>
    <e v="#NAME?"/>
  </r>
  <r>
    <n v="1429"/>
    <m/>
    <x v="0"/>
    <d v="2018-09-12T00:00:00"/>
    <n v="320"/>
    <s v="Familia Flores Montagne"/>
    <s v="martaflores@gmail.com"/>
    <s v="Av. &quot;M&quot; Nro. 146-20"/>
    <s v="Cancelación Vigilancia, mes de Septiembre 2018"/>
    <x v="0"/>
    <m/>
    <s v="01429"/>
    <s v="12 de septiembre de 2018"/>
    <n v="12"/>
    <x v="22"/>
    <s v="320,00"/>
    <e v="#NAME?"/>
  </r>
  <r>
    <n v="1430"/>
    <m/>
    <x v="0"/>
    <d v="2018-09-12T00:00:00"/>
    <n v="12"/>
    <s v="Familia Chávez Hernández"/>
    <s v="mercedesch23@hotmail.com"/>
    <s v="Calle Güigüe Nro. 88-20"/>
    <s v="Colaboración Vigilancia, mes de Agosto 2018"/>
    <x v="0"/>
    <m/>
    <s v="01430"/>
    <s v="12 de septiembre de 2018"/>
    <n v="12"/>
    <x v="22"/>
    <s v="12,00"/>
    <e v="#NAME?"/>
  </r>
  <r>
    <n v="1431"/>
    <m/>
    <x v="0"/>
    <d v="2018-09-12T00:00:00"/>
    <n v="320"/>
    <s v="Familia Del Negro Palermo"/>
    <s v="vdelnegro@gmail.com"/>
    <s v="Calle Guacara Nro. 88-45"/>
    <s v="Cancelación Vigilancia, mes de Septiembre 2018 (saldo a favor: Bs. 1.302,95)"/>
    <x v="0"/>
    <m/>
    <s v="01431"/>
    <s v="12 de septiembre de 2018"/>
    <n v="12"/>
    <x v="22"/>
    <s v="320,00"/>
    <e v="#NAME?"/>
  </r>
  <r>
    <n v="1432"/>
    <m/>
    <x v="0"/>
    <d v="2018-09-13T00:00:00"/>
    <n v="320"/>
    <s v="Familia Díaz González"/>
    <s v="luisrdt57@gmail.com"/>
    <s v="Calle Güigüe Nro. 88-116"/>
    <s v="Cancelación Vigilancia, mes de Septiembre 2018"/>
    <x v="0"/>
    <m/>
    <s v="01432"/>
    <s v="13 de septiembre de 2018"/>
    <n v="13"/>
    <x v="22"/>
    <s v="320,00"/>
    <e v="#NAME?"/>
  </r>
  <r>
    <n v="1433"/>
    <m/>
    <x v="0"/>
    <d v="2018-09-14T00:00:00"/>
    <n v="500"/>
    <s v="Wu Hung Fung"/>
    <s v="carolinahung24@gmail.com"/>
    <s v="Calle Guacara Nro. 90-81"/>
    <s v="Cancelación Vigilancia, saldo mes de Agosto, cancelación mes de Septiembre y anticipo mes de Octubre 2018 (Bs.S 168,50)"/>
    <x v="0"/>
    <m/>
    <s v="01433"/>
    <s v="14 de septiembre de 2018"/>
    <n v="14"/>
    <x v="22"/>
    <s v="500,00"/>
    <e v="#NAME?"/>
  </r>
  <r>
    <n v="1434"/>
    <m/>
    <x v="0"/>
    <d v="2018-09-14T00:00:00"/>
    <n v="320"/>
    <s v="Familia Zavarce Barón"/>
    <s v="alexanderzavarce@gmail.com"/>
    <s v="Calle Guacara Nro. 88-91"/>
    <s v="Cancelación Vigilancia, mes de Septiembre 2018"/>
    <x v="0"/>
    <m/>
    <s v="01434"/>
    <s v="14 de septiembre de 2018"/>
    <n v="14"/>
    <x v="22"/>
    <s v="320,00"/>
    <e v="#NAME?"/>
  </r>
  <r>
    <n v="1435"/>
    <m/>
    <x v="0"/>
    <d v="2018-09-15T00:00:00"/>
    <n v="320"/>
    <s v="Familia Manrique Riera"/>
    <s v="patriciamanrique@gmail.com"/>
    <s v="Calle Guacara Nro. 89-40"/>
    <s v="Cancelación Vigilancia, mes de Septiembre 2018"/>
    <x v="0"/>
    <m/>
    <s v="01435"/>
    <s v="15 de septiembre de 2018"/>
    <n v="15"/>
    <x v="22"/>
    <s v="320,00"/>
    <e v="#NAME?"/>
  </r>
  <r>
    <n v="1436"/>
    <m/>
    <x v="0"/>
    <d v="2018-09-16T00:00:00"/>
    <n v="350"/>
    <s v="Familia Scabuzzo Gómez"/>
    <s v="sfscabuzzo@msn.com"/>
    <s v="Av. &quot;I&quot; Nro. 146-20"/>
    <s v="Cancelación Vigilancia, mes de Septiembre y anticipo de Octubre 2018"/>
    <x v="0"/>
    <m/>
    <s v="01436"/>
    <s v="16 de septiembre de 2018"/>
    <n v="16"/>
    <x v="22"/>
    <s v="350,00"/>
    <e v="#NAME?"/>
  </r>
  <r>
    <n v="1437"/>
    <m/>
    <x v="0"/>
    <d v="2018-09-17T00:00:00"/>
    <n v="320"/>
    <s v="Wilson Escamilla"/>
    <s v="wilsonescamilla45@gmail.com"/>
    <s v="Calle Güigüe Nro. 89-89"/>
    <s v="Cancelación Vigilancia, mes de Septiembre 2018"/>
    <x v="0"/>
    <m/>
    <s v="01437"/>
    <s v="17 de septiembre de 2018"/>
    <n v="17"/>
    <x v="22"/>
    <s v="320,00"/>
    <e v="#NAME?"/>
  </r>
  <r>
    <n v="1438"/>
    <m/>
    <x v="0"/>
    <d v="2018-09-18T00:00:00"/>
    <n v="342"/>
    <s v="Familia Leung"/>
    <s v="En Físico"/>
    <s v="Calle Guacara Nro. 88-55"/>
    <s v="Cancelación Vigilancia, meses de Julio, Agosto y Septiembre 2018"/>
    <x v="0"/>
    <m/>
    <s v="01438"/>
    <s v="18 de septiembre de 2018"/>
    <n v="18"/>
    <x v="22"/>
    <s v="342,00"/>
    <e v="#NAME?"/>
  </r>
  <r>
    <n v="1439"/>
    <m/>
    <x v="0"/>
    <d v="2018-09-18T00:00:00"/>
    <n v="320"/>
    <s v="Familia Montilla García"/>
    <s v="dairy252525@hotmail.com"/>
    <s v="Calle Güigüe Nro. 89-90"/>
    <s v="Cancelación Vigilancia, mes de Septiembre 2018"/>
    <x v="0"/>
    <m/>
    <s v="01439"/>
    <s v="18 de septiembre de 2018"/>
    <n v="18"/>
    <x v="22"/>
    <s v="320,00"/>
    <e v="#NAME?"/>
  </r>
  <r>
    <n v="1440"/>
    <m/>
    <x v="0"/>
    <d v="2018-09-17T00:00:00"/>
    <n v="320"/>
    <s v="Familia Acosta Carpio"/>
    <s v="pablo962@hotmail.com"/>
    <s v="Calle Güigüe Nro. 89-10"/>
    <s v="Cancelación Vigilancia, mes de Septiembre 2018"/>
    <x v="0"/>
    <m/>
    <s v="01440"/>
    <s v="17 de septiembre de 2018"/>
    <n v="17"/>
    <x v="22"/>
    <s v="320,00"/>
    <e v="#NAME?"/>
  </r>
  <r>
    <n v="1441"/>
    <m/>
    <x v="0"/>
    <d v="2018-09-18T00:00:00"/>
    <n v="320"/>
    <s v="Amarilis Guerra"/>
    <s v="amarilisguerra1@yahoo.com"/>
    <s v="Calle Güigüe Nro. 89-96"/>
    <s v="Cancelación Vigilancia, mes de Septiembre 2018"/>
    <x v="0"/>
    <m/>
    <s v="01441"/>
    <s v="18 de septiembre de 2018"/>
    <n v="18"/>
    <x v="22"/>
    <s v="320,00"/>
    <e v="#NAME?"/>
  </r>
  <r>
    <n v="1442"/>
    <m/>
    <x v="0"/>
    <d v="2018-09-18T00:00:00"/>
    <n v="345.25"/>
    <s v="Familia Astor Zamora"/>
    <s v="imzastor@gmail.com"/>
    <s v="Calle Güigüe Nro. 88-111"/>
    <s v="Cancelación Vigilancia, meses de Junio, Julio, Agosto y Septiembre 2018"/>
    <x v="0"/>
    <m/>
    <s v="01442"/>
    <s v="18 de septiembre de 2018"/>
    <n v="18"/>
    <x v="22"/>
    <s v="345,25"/>
    <e v="#NAME?"/>
  </r>
  <r>
    <n v="1443"/>
    <m/>
    <x v="0"/>
    <d v="2018-09-18T00:00:00"/>
    <n v="601"/>
    <s v="Familia Loponte Arteaga"/>
    <s v="En Físico"/>
    <s v="Calle Güigüe Nro. 88-120"/>
    <s v="Cancelación Vigilancia, saldo mes de Septiembre y cancelación mes de Octubre 2018"/>
    <x v="0"/>
    <m/>
    <s v="01443"/>
    <s v="18 de septiembre de 2018"/>
    <n v="18"/>
    <x v="22"/>
    <s v="601,00"/>
    <e v="#NAME?"/>
  </r>
  <r>
    <n v="1444"/>
    <m/>
    <x v="0"/>
    <d v="2018-09-19T00:00:00"/>
    <n v="465"/>
    <s v="Colegio El Trigal"/>
    <s v="En Físico"/>
    <s v="Calle Güigüe Nros. 88-71 y 88-81"/>
    <s v="Cancelación Vigilancia, mes de Septiembre 2018"/>
    <x v="0"/>
    <m/>
    <s v="01444"/>
    <s v="19 de septiembre de 2018"/>
    <n v="19"/>
    <x v="22"/>
    <s v="465,00"/>
    <e v="#NAME?"/>
  </r>
  <r>
    <n v="1445"/>
    <m/>
    <x v="0"/>
    <d v="2018-09-19T00:00:00"/>
    <n v="320"/>
    <s v="Familia Costermani Terrer"/>
    <s v="claudiacostermani@hotmail.com"/>
    <s v="Calle Güigüe Nro. 88-11"/>
    <s v="Cancelación Vigilancia, mes de Septiembre 2018"/>
    <x v="0"/>
    <m/>
    <s v="01445"/>
    <s v="19 de septiembre de 2018"/>
    <n v="19"/>
    <x v="22"/>
    <s v="320,00"/>
    <e v="#NAME?"/>
  </r>
  <r>
    <n v="1446"/>
    <m/>
    <x v="0"/>
    <d v="2018-09-21T00:00:00"/>
    <n v="320"/>
    <s v="Héctor Hernández"/>
    <s v="eof64@hotmail.com"/>
    <s v="Calle Guacara Nro. 89-94"/>
    <s v="Cancelación Vigilancia, mes de Septiembre 2018"/>
    <x v="0"/>
    <m/>
    <s v="01446"/>
    <s v="21 de septiembre de 2018"/>
    <n v="21"/>
    <x v="22"/>
    <s v="320,00"/>
    <e v="#NAME?"/>
  </r>
  <r>
    <n v="1447"/>
    <m/>
    <x v="0"/>
    <d v="2018-09-21T00:00:00"/>
    <n v="160"/>
    <s v="Familia Franco Gómez"/>
    <s v="eof64@hotmail.com"/>
    <s v="Calle Guacara Nro. 87-07"/>
    <s v="Anticipo Vigilancia, mes de Septiembre 2018"/>
    <x v="0"/>
    <m/>
    <s v="01447"/>
    <s v="21 de septiembre de 2018"/>
    <n v="21"/>
    <x v="22"/>
    <s v="160,00"/>
    <e v="#NAME?"/>
  </r>
  <r>
    <n v="1448"/>
    <m/>
    <x v="0"/>
    <d v="2018-09-22T00:00:00"/>
    <n v="320"/>
    <s v="Beatriz Lara"/>
    <s v="valentina.gutierrez@hotmail.com"/>
    <s v="Calle Guacara Nro. 89-130"/>
    <s v="Cancelación Vigilancia, mes de Septiembre 2018"/>
    <x v="0"/>
    <m/>
    <s v="01448"/>
    <s v="22 de septiembre de 2018"/>
    <n v="22"/>
    <x v="22"/>
    <s v="320,00"/>
    <e v="#NAME?"/>
  </r>
  <r>
    <n v="1449"/>
    <m/>
    <x v="0"/>
    <d v="2018-09-24T00:00:00"/>
    <n v="320"/>
    <s v="Familia Navarrete Medina"/>
    <s v="juanin1919@yahoo.com"/>
    <s v="Calle Güigüe Nro. 89-22"/>
    <s v="Cancelación Vigilancia, mes de Septiembre 2018"/>
    <x v="0"/>
    <m/>
    <s v="01449"/>
    <s v="24 de septiembre de 2018"/>
    <n v="24"/>
    <x v="22"/>
    <s v="320,00"/>
    <e v="#NAME?"/>
  </r>
  <r>
    <n v="1450"/>
    <m/>
    <x v="0"/>
    <d v="2018-08-29T00:00:00"/>
    <n v="12"/>
    <s v="Ana de González"/>
    <s v="mikelnowak25@gmail.com"/>
    <s v="Av. &quot;O&quot; Nro. 146-17"/>
    <s v="Cancelación Vigilancia, mes de Agosto 2018"/>
    <x v="0"/>
    <m/>
    <s v="01450"/>
    <s v="29 de agosto de 2018"/>
    <n v="29"/>
    <x v="21"/>
    <s v="12,00"/>
    <e v="#NAME?"/>
  </r>
  <r>
    <n v="1451"/>
    <m/>
    <x v="0"/>
    <d v="2018-09-25T00:00:00"/>
    <n v="320"/>
    <s v="Ana de González"/>
    <s v="mikelnowak25@gmail.com"/>
    <s v="Av. &quot;O&quot; Nro. 146-17"/>
    <s v="Cancelación Vigilancia, mes de Septiembre 2018"/>
    <x v="0"/>
    <m/>
    <s v="01451"/>
    <s v="25 de septiembre de 2018"/>
    <n v="25"/>
    <x v="22"/>
    <s v="320,00"/>
    <e v="#NAME?"/>
  </r>
  <r>
    <n v="1452"/>
    <m/>
    <x v="0"/>
    <d v="2018-09-25T00:00:00"/>
    <n v="320"/>
    <s v="Ma. de Jesus Alonso"/>
    <s v="alonsojg@gmail.com"/>
    <s v="Calle Güigüe Nro. 88-30"/>
    <s v="Cancelación Vigilancia, mes de Septiembre 2018"/>
    <x v="0"/>
    <m/>
    <s v="01452"/>
    <s v="25 de septiembre de 2018"/>
    <n v="25"/>
    <x v="22"/>
    <s v="320,00"/>
    <e v="#NAME?"/>
  </r>
  <r>
    <n v="1453"/>
    <m/>
    <x v="0"/>
    <d v="2018-09-25T00:00:00"/>
    <n v="320"/>
    <s v="Familia López Hermoso"/>
    <s v="lopez.humberto14@yahoo.com.ve"/>
    <s v="Calle Güigüe Nro. 89-79"/>
    <s v="Cancelación Vigilancia, mes de Septiembre 2018 (saldo a favor: Bs. 11,15)"/>
    <x v="0"/>
    <m/>
    <s v="01453"/>
    <s v="25 de septiembre de 2018"/>
    <n v="25"/>
    <x v="22"/>
    <s v="320,00"/>
    <e v="#NAME?"/>
  </r>
  <r>
    <n v="1454"/>
    <m/>
    <x v="0"/>
    <d v="2018-09-25T00:00:00"/>
    <n v="320"/>
    <s v="Familia Narváez Caldera"/>
    <s v="jeannette_nc@yahoo.com"/>
    <s v="Calle Güigüe Nro. 87-A-11"/>
    <s v="Cancelación Vigilancia, mes de Septiembre 2018"/>
    <x v="0"/>
    <m/>
    <s v="01454"/>
    <s v="25 de septiembre de 2018"/>
    <n v="25"/>
    <x v="22"/>
    <s v="320,00"/>
    <e v="#NAME?"/>
  </r>
  <r>
    <n v="1455"/>
    <m/>
    <x v="0"/>
    <d v="2018-09-25T00:00:00"/>
    <n v="320"/>
    <s v="Dra. Lilia Magallanes"/>
    <s v="liliamagallanes2010@gmail.com"/>
    <s v="Calle Güigüe Nro. 88-51"/>
    <s v="Cancelación Vigilancia, mes de Septiembre 2018"/>
    <x v="0"/>
    <m/>
    <s v="01455"/>
    <s v="25 de septiembre de 2018"/>
    <n v="25"/>
    <x v="22"/>
    <s v="320,00"/>
    <e v="#NAME?"/>
  </r>
  <r>
    <n v="1456"/>
    <m/>
    <x v="0"/>
    <d v="2018-06-25T00:00:00"/>
    <n v="320"/>
    <s v="Familia Matta Palomino"/>
    <s v="En Físico"/>
    <s v="Calle Güigüe Nro. 88-90"/>
    <s v="Cancelación Vigilancia, mes de Septiembre 2018"/>
    <x v="0"/>
    <m/>
    <s v="01456"/>
    <s v="25 de junio de 2018"/>
    <n v="25"/>
    <x v="19"/>
    <s v="320,00"/>
    <e v="#NAME?"/>
  </r>
  <r>
    <n v="1457"/>
    <m/>
    <x v="0"/>
    <d v="2018-09-27T00:00:00"/>
    <n v="320"/>
    <s v="Familia Kablan Sarmiento"/>
    <s v="norisjsb56@hotmail.com"/>
    <s v="Calle Güigüe Nro. 89-80"/>
    <s v="Cancelación Vigilancia, mes de Septiembre 2018"/>
    <x v="0"/>
    <m/>
    <s v="01457"/>
    <s v="27 de septiembre de 2018"/>
    <n v="27"/>
    <x v="22"/>
    <s v="320,00"/>
    <e v="#NAME?"/>
  </r>
  <r>
    <n v="1458"/>
    <m/>
    <x v="0"/>
    <d v="2018-09-27T00:00:00"/>
    <n v="320"/>
    <s v="Familia Alonso Rojas"/>
    <s v="redjc01@gmail.com"/>
    <s v="Calle Güigüe Nro. 89-54"/>
    <s v="Cancelación Vigilancia, mes de Septiembre 2018"/>
    <x v="0"/>
    <m/>
    <s v="01458"/>
    <s v="27 de septiembre de 2018"/>
    <n v="27"/>
    <x v="22"/>
    <s v="320,00"/>
    <e v="#NAME?"/>
  </r>
  <r>
    <n v="1459"/>
    <m/>
    <x v="0"/>
    <d v="2018-09-27T00:00:00"/>
    <n v="320"/>
    <s v="Familia Castillo Mena"/>
    <s v="emmecas@hotmail.com"/>
    <s v="Calle Güigüe Nro. 88-101"/>
    <s v="Cancelación Vigilancia, mes de Septiembre 2018"/>
    <x v="0"/>
    <m/>
    <s v="01459"/>
    <s v="27 de septiembre de 2018"/>
    <n v="27"/>
    <x v="22"/>
    <s v="320,00"/>
    <e v="#NAME?"/>
  </r>
  <r>
    <n v="1460"/>
    <m/>
    <x v="0"/>
    <d v="2018-09-27T00:00:00"/>
    <n v="320"/>
    <s v="Familia Il Grande Franceschi"/>
    <s v="arcifran75@hotmail.com"/>
    <s v="Av. &quot;I&quot; Nro. 146-40"/>
    <s v="Cancelación Vigilancia, mes de Septiembre 2018"/>
    <x v="0"/>
    <m/>
    <s v="01460"/>
    <s v="27 de septiembre de 2018"/>
    <n v="27"/>
    <x v="22"/>
    <s v="320,00"/>
    <e v="#NAME?"/>
  </r>
  <r>
    <n v="1461"/>
    <m/>
    <x v="0"/>
    <d v="2018-09-29T00:00:00"/>
    <n v="320"/>
    <s v="Familia Rodríguez Landaeta"/>
    <s v="mrl58@hotmail.com"/>
    <s v="Calle Güigüe Nro. 89-29"/>
    <s v="Cancelación Vigilancia, mes de Septiembre 2018"/>
    <x v="0"/>
    <m/>
    <s v="01461"/>
    <s v="29 de septiembre de 2018"/>
    <n v="29"/>
    <x v="22"/>
    <s v="320,00"/>
    <e v="#NAME?"/>
  </r>
  <r>
    <n v="1462"/>
    <m/>
    <x v="0"/>
    <d v="2018-09-30T00:00:00"/>
    <n v="100"/>
    <s v="Familia Chávez Hernández"/>
    <s v="mercedesch23@hotmail.com"/>
    <s v="Calle Güigüe Nro. 88-20"/>
    <s v="Colaboración Vigilancia, mes de Septiembre 2018"/>
    <x v="0"/>
    <m/>
    <s v="01462"/>
    <s v="30 de septiembre de 2018"/>
    <n v="30"/>
    <x v="22"/>
    <s v="100,00"/>
    <e v="#NAME?"/>
  </r>
  <r>
    <n v="1463"/>
    <m/>
    <x v="0"/>
    <d v="2018-10-02T00:00:00"/>
    <n v="270"/>
    <s v="Familia Méndez Parra"/>
    <s v="briceidademendez@gmail.com"/>
    <s v="Calle Guacara Nro. 88-19"/>
    <s v="Colaboración Vigilancia, mes de Septiembre 2018"/>
    <x v="0"/>
    <m/>
    <s v="01463"/>
    <s v="02 de octubre de 2018"/>
    <n v="2"/>
    <x v="23"/>
    <s v="270,00"/>
    <e v="#NAME?"/>
  </r>
  <r>
    <n v="1464"/>
    <m/>
    <x v="0"/>
    <d v="2018-10-03T00:00:00"/>
    <n v="320"/>
    <s v="Chin Chun Ya (Goya)"/>
    <s v="uc2721@gmail.com"/>
    <s v="Calle Guacara Nro. 87-86"/>
    <s v="Cancelación Vigilancia, mes de Octubre 2018"/>
    <x v="0"/>
    <m/>
    <s v="01464"/>
    <s v="03 de octubre de 2018"/>
    <n v="3"/>
    <x v="23"/>
    <s v="320,00"/>
    <e v="#NAME?"/>
  </r>
  <r>
    <n v="1465"/>
    <m/>
    <x v="0"/>
    <d v="2018-10-03T00:00:00"/>
    <n v="320"/>
    <s v="Anahiz Seijas"/>
    <s v="anahiz_2@hotmail.es"/>
    <s v="Calle Güigüe Nro. 89-106"/>
    <s v="Cancelación Vigilancia, mes de Septiembre 2018"/>
    <x v="0"/>
    <m/>
    <s v="01465"/>
    <s v="03 de octubre de 2018"/>
    <n v="3"/>
    <x v="23"/>
    <s v="320,00"/>
    <e v="#NAME?"/>
  </r>
  <r>
    <n v="1466"/>
    <m/>
    <x v="0"/>
    <d v="2018-10-03T00:00:00"/>
    <n v="350"/>
    <s v="Familia Martínez Boada"/>
    <s v="florcitakmz@gmail.com"/>
    <s v="Calle Güigüe Nro. 88-62"/>
    <s v="Cancelación Vigilancia, meses de Agosto y Septiembre, y anticipo mes de Octubre 2018"/>
    <x v="0"/>
    <m/>
    <s v="01466"/>
    <s v="03 de octubre de 2018"/>
    <n v="3"/>
    <x v="23"/>
    <s v="350,00"/>
    <e v="#NAME?"/>
  </r>
  <r>
    <n v="1467"/>
    <m/>
    <x v="0"/>
    <d v="2018-10-03T00:00:00"/>
    <n v="320"/>
    <s v="Familia Guerra Miret"/>
    <s v="antoniojguerrag@hotmail.com"/>
    <s v="Calle Güigüe Nro. 89-40"/>
    <s v="Cancelación Vigilancia, mes de Octubre 2018"/>
    <x v="0"/>
    <m/>
    <s v="01467"/>
    <s v="03 de octubre de 2018"/>
    <n v="3"/>
    <x v="23"/>
    <s v="320,00"/>
    <e v="#NAME?"/>
  </r>
  <r>
    <n v="1468"/>
    <m/>
    <x v="0"/>
    <d v="2018-10-03T00:00:00"/>
    <n v="320"/>
    <s v="Familia Castro Jiménez"/>
    <s v="aurycastrojimenez@gmail.com"/>
    <s v="Calle Guacara Nro. 90-51"/>
    <s v="Cancelación Vigilancia, mes de Septiembre 2018"/>
    <x v="0"/>
    <m/>
    <s v="01468"/>
    <s v="03 de octubre de 2018"/>
    <n v="3"/>
    <x v="23"/>
    <s v="320,00"/>
    <e v="#NAME?"/>
  </r>
  <r>
    <n v="1469"/>
    <m/>
    <x v="0"/>
    <d v="2018-10-02T00:00:00"/>
    <n v="500"/>
    <s v="Familia Durvelle Serrano"/>
    <s v="sdurvelle@hotmail.com"/>
    <s v="Calle Guacara Nro. 89-60"/>
    <s v="Cancelación Vigilancia, mes de Octubre 2018 más aporte"/>
    <x v="0"/>
    <m/>
    <s v="01469"/>
    <s v="02 de octubre de 2018"/>
    <n v="2"/>
    <x v="23"/>
    <s v="500,00"/>
    <e v="#NAME?"/>
  </r>
  <r>
    <n v="1470"/>
    <m/>
    <x v="0"/>
    <d v="2018-10-04T00:00:00"/>
    <n v="320"/>
    <s v="Familia Milanés Carmona"/>
    <s v="yndira11m@gmail.com"/>
    <s v="Calle Güigüe Nro. 89-65"/>
    <s v="Cancelación Vigilancia, mes de Octubre 2018"/>
    <x v="0"/>
    <m/>
    <s v="01470"/>
    <s v="04 de octubre de 2018"/>
    <n v="4"/>
    <x v="23"/>
    <s v="320,00"/>
    <e v="#NAME?"/>
  </r>
  <r>
    <n v="1471"/>
    <m/>
    <x v="0"/>
    <d v="2018-10-04T00:00:00"/>
    <n v="10"/>
    <s v="Familia Arcia Polanco"/>
    <s v="misipo29@gmail.com"/>
    <s v="Calle Guacara Nro. 89-20"/>
    <s v="Colaboración reparación del portón principal"/>
    <x v="11"/>
    <m/>
    <s v="01471"/>
    <s v="04 de octubre de 2018"/>
    <n v="4"/>
    <x v="23"/>
    <s v="10,00"/>
    <e v="#NAME?"/>
  </r>
  <r>
    <n v="1472"/>
    <m/>
    <x v="0"/>
    <d v="2018-10-04T00:00:00"/>
    <n v="320"/>
    <s v="Familia Arcia Polanco"/>
    <s v="misipo29@gmail.com"/>
    <s v="Calle Guacara Nro. 89-20"/>
    <s v="Cancelación Vigilancia, mes de Octubre 2018"/>
    <x v="0"/>
    <m/>
    <s v="01472"/>
    <s v="04 de octubre de 2018"/>
    <n v="4"/>
    <x v="23"/>
    <s v="320,00"/>
    <e v="#NAME?"/>
  </r>
  <r>
    <n v="1473"/>
    <m/>
    <x v="0"/>
    <d v="2018-10-04T00:00:00"/>
    <n v="50"/>
    <s v="Familia Alonso Rojas"/>
    <s v="redjc01@gmail.com"/>
    <s v="Calle Güigüe Nro. 89-54"/>
    <s v="Colaboración reparación del portón principal"/>
    <x v="11"/>
    <m/>
    <s v="01473"/>
    <s v="04 de octubre de 2018"/>
    <n v="4"/>
    <x v="23"/>
    <s v="50,00"/>
    <e v="#NAME?"/>
  </r>
  <r>
    <n v="1474"/>
    <m/>
    <x v="0"/>
    <d v="2018-10-04T00:00:00"/>
    <n v="10"/>
    <s v="Familia Navarrete Medina"/>
    <s v="juanin1919@yahoo.com"/>
    <s v="Calle Güigüe Nro. 89-22"/>
    <s v="Colaboración reparación del portón principal"/>
    <x v="11"/>
    <m/>
    <s v="01474"/>
    <s v="04 de octubre de 2018"/>
    <n v="4"/>
    <x v="23"/>
    <s v="10,00"/>
    <e v="#NAME?"/>
  </r>
  <r>
    <n v="1475"/>
    <m/>
    <x v="0"/>
    <d v="2018-10-04T00:00:00"/>
    <n v="320"/>
    <s v="Familia Colosso Delgado"/>
    <s v="mcolosso@gmail.com"/>
    <s v="Calle Güigüe Nro. 88-44"/>
    <s v="Cancelación Vigilancia, mes de Octubre 2018"/>
    <x v="0"/>
    <m/>
    <s v="01475"/>
    <s v="04 de octubre de 2018"/>
    <n v="4"/>
    <x v="23"/>
    <s v="320,00"/>
    <e v="#NAME?"/>
  </r>
  <r>
    <n v="1476"/>
    <m/>
    <x v="0"/>
    <d v="2018-10-04T00:00:00"/>
    <n v="10"/>
    <s v="Familia Colosso Delgado"/>
    <s v="mcolosso@gmail.com"/>
    <s v="Calle Güigüe Nro. 88-44"/>
    <s v="Colaboración reparación del portón principal"/>
    <x v="11"/>
    <m/>
    <s v="01476"/>
    <s v="04 de octubre de 2018"/>
    <n v="4"/>
    <x v="23"/>
    <s v="10,00"/>
    <e v="#NAME?"/>
  </r>
  <r>
    <n v="1477"/>
    <m/>
    <x v="0"/>
    <d v="2018-10-04T00:00:00"/>
    <n v="50"/>
    <s v="Familia Durvelle Serrano"/>
    <s v="sdurvelle@hotmail.com"/>
    <s v="Calle Guacara Nro. 89-60"/>
    <s v="Colaboración reparación del portón principal"/>
    <x v="11"/>
    <m/>
    <s v="01477"/>
    <s v="04 de octubre de 2018"/>
    <n v="4"/>
    <x v="23"/>
    <s v="50,00"/>
    <e v="#NAME?"/>
  </r>
  <r>
    <n v="1478"/>
    <m/>
    <x v="0"/>
    <d v="2018-10-05T00:00:00"/>
    <n v="628"/>
    <s v="Familia Hatem Medina"/>
    <s v="hhatem1@hotmail.com"/>
    <s v="Calle Guacara Nro. 88-51"/>
    <s v="Cancelación Vigilancia, saldo mes de Septiembre y cancelación mes de Octubre 2018"/>
    <x v="0"/>
    <m/>
    <s v="01478"/>
    <s v="05 de octubre de 2018"/>
    <n v="5"/>
    <x v="23"/>
    <s v="628,00"/>
    <e v="#NAME?"/>
  </r>
  <r>
    <n v="1479"/>
    <m/>
    <x v="0"/>
    <d v="2018-10-05T00:00:00"/>
    <n v="72"/>
    <s v="Familia Hatem Medina"/>
    <s v="hhatem1@hotmail.com"/>
    <s v="Calle Guacara Nro. 88-51"/>
    <s v="Colaboración reparación del portón principal"/>
    <x v="11"/>
    <m/>
    <s v="01479"/>
    <s v="05 de octubre de 2018"/>
    <n v="5"/>
    <x v="23"/>
    <s v="72,00"/>
    <e v="#NAME?"/>
  </r>
  <r>
    <n v="1480"/>
    <m/>
    <x v="0"/>
    <d v="2018-10-05T00:00:00"/>
    <n v="320"/>
    <s v="Familia Fermín Rivas"/>
    <s v="angelferminb@gmail.com"/>
    <s v="Calle Güigüe Nro. 89-55"/>
    <s v="Cancelación Vigilancia, mes de Octubre 2018"/>
    <x v="0"/>
    <m/>
    <s v="01480"/>
    <s v="05 de octubre de 2018"/>
    <n v="5"/>
    <x v="23"/>
    <s v="320,00"/>
    <e v="#NAME?"/>
  </r>
  <r>
    <n v="1481"/>
    <m/>
    <x v="0"/>
    <d v="2018-10-05T00:00:00"/>
    <n v="10"/>
    <s v="Familia Fermín Rivas"/>
    <s v="angelferminb@gmail.com"/>
    <s v="Calle Güigüe Nro. 89-55"/>
    <s v="Colaboración reparación del portón principal"/>
    <x v="11"/>
    <m/>
    <s v="01481"/>
    <s v="05 de octubre de 2018"/>
    <n v="5"/>
    <x v="23"/>
    <s v="10,00"/>
    <e v="#NAME?"/>
  </r>
  <r>
    <n v="1482"/>
    <m/>
    <x v="0"/>
    <d v="2018-10-05T00:00:00"/>
    <n v="10"/>
    <s v="Familia Machado Stoppa"/>
    <s v="machadoru@hotmail.com"/>
    <s v="Calle Guacara Nro. 88-85"/>
    <s v="Colaboración reparación del portón principal"/>
    <x v="11"/>
    <m/>
    <s v="01482"/>
    <s v="05 de octubre de 2018"/>
    <n v="5"/>
    <x v="23"/>
    <s v="10,00"/>
    <e v="#NAME?"/>
  </r>
  <r>
    <n v="1483"/>
    <m/>
    <x v="0"/>
    <d v="2018-10-05T00:00:00"/>
    <n v="270"/>
    <s v="Carmen Moreno"/>
    <s v="carmenemoreno10@gmail.com"/>
    <s v="Calle Güigüe Nro. 89-04"/>
    <s v="Cancelación Vigilancia, saldo mes de Octubre 2018"/>
    <x v="0"/>
    <m/>
    <s v="01483"/>
    <s v="05 de octubre de 2018"/>
    <n v="5"/>
    <x v="23"/>
    <s v="270,00"/>
    <e v="#NAME?"/>
  </r>
  <r>
    <n v="1484"/>
    <m/>
    <x v="0"/>
    <d v="2018-10-05T00:00:00"/>
    <n v="10"/>
    <s v="Carmen Moreno"/>
    <s v="carmenemoreno10@gmail.com"/>
    <s v="Calle Güigüe Nro. 89-04"/>
    <s v="Colaboración reparación del portón principal"/>
    <x v="11"/>
    <m/>
    <s v="01484"/>
    <s v="05 de octubre de 2018"/>
    <n v="5"/>
    <x v="23"/>
    <s v="10,00"/>
    <e v="#NAME?"/>
  </r>
  <r>
    <n v="1485"/>
    <m/>
    <x v="0"/>
    <d v="2018-10-05T00:00:00"/>
    <n v="10"/>
    <s v="Beatriz Lara"/>
    <s v="valentina.gutierrez@hotmail.com"/>
    <s v="Calle Guacara Nro. 89-130"/>
    <s v="Colaboración reparación del portón principal"/>
    <x v="11"/>
    <m/>
    <s v="01485"/>
    <s v="05 de octubre de 2018"/>
    <n v="5"/>
    <x v="23"/>
    <s v="10,00"/>
    <e v="#NAME?"/>
  </r>
  <r>
    <n v="1486"/>
    <m/>
    <x v="0"/>
    <d v="2018-09-29T00:00:00"/>
    <n v="322"/>
    <s v="Familia Hurtado"/>
    <s v="En Físico"/>
    <s v="Av. &quot;O&quot; Nro. 146-11"/>
    <s v="Cancelación Vigilancia, saldo mes de Agosto y cancelación mes de Septiembre 2018"/>
    <x v="0"/>
    <m/>
    <s v="01486"/>
    <s v="29 de septiembre de 2018"/>
    <n v="29"/>
    <x v="22"/>
    <s v="322,00"/>
    <e v="#NAME?"/>
  </r>
  <r>
    <n v="1487"/>
    <m/>
    <x v="0"/>
    <d v="2018-10-05T00:00:00"/>
    <n v="10"/>
    <s v="Amarilis Guerra"/>
    <s v="amarilisguerra1@yahoo.com"/>
    <s v="Calle Güigüe Nro. 89-96"/>
    <s v="Colaboración reparación del portón principal"/>
    <x v="11"/>
    <m/>
    <s v="01487"/>
    <s v="05 de octubre de 2018"/>
    <n v="5"/>
    <x v="23"/>
    <s v="10,00"/>
    <e v="#NAME?"/>
  </r>
  <r>
    <n v="1488"/>
    <m/>
    <x v="0"/>
    <d v="2018-10-05T00:00:00"/>
    <n v="10"/>
    <s v="Familia Nava Gordon"/>
    <s v="maru_19_66@hotmail.com"/>
    <s v="Calle Guacara Nro. 89-78"/>
    <s v="Colaboración reparación del portón principal"/>
    <x v="11"/>
    <m/>
    <s v="01488"/>
    <s v="05 de octubre de 2018"/>
    <n v="5"/>
    <x v="23"/>
    <s v="10,00"/>
    <e v="#NAME?"/>
  </r>
  <r>
    <n v="1489"/>
    <m/>
    <x v="0"/>
    <d v="2018-10-05T00:00:00"/>
    <n v="10"/>
    <s v="Judith Lazo"/>
    <s v="0414-412.3763"/>
    <s v="Av. &quot;M&quot; Nro. 146-25"/>
    <s v="Colaboración reparación del portón principal"/>
    <x v="11"/>
    <m/>
    <s v="01489"/>
    <s v="05 de octubre de 2018"/>
    <n v="5"/>
    <x v="23"/>
    <s v="10,00"/>
    <e v="#NAME?"/>
  </r>
  <r>
    <n v="1490"/>
    <m/>
    <x v="0"/>
    <d v="2018-10-05T00:00:00"/>
    <n v="10"/>
    <s v="Familia Narváez Caldera"/>
    <s v="jeannette_nc@yahoo.com"/>
    <s v="Calle Güigüe Nro. 87-A-11"/>
    <s v="Colaboración reparación del portón principal"/>
    <x v="11"/>
    <m/>
    <s v="01490"/>
    <s v="05 de octubre de 2018"/>
    <n v="5"/>
    <x v="23"/>
    <s v="10,00"/>
    <e v="#NAME?"/>
  </r>
  <r>
    <n v="1491"/>
    <m/>
    <x v="0"/>
    <d v="2018-10-05T00:00:00"/>
    <n v="15"/>
    <s v="Wu Hung Fung"/>
    <s v="carolinahung24@gmail.com"/>
    <s v="Calle Guacara Nro. 90-81"/>
    <s v="Colaboración reparación del portón principal"/>
    <x v="11"/>
    <m/>
    <s v="01491"/>
    <s v="05 de octubre de 2018"/>
    <n v="5"/>
    <x v="23"/>
    <s v="15,00"/>
    <e v="#NAME?"/>
  </r>
  <r>
    <n v="1492"/>
    <m/>
    <x v="0"/>
    <d v="2018-10-05T00:00:00"/>
    <n v="10"/>
    <s v="Chin Chun Ya (Goya)"/>
    <s v="uc2721@gmail.com"/>
    <s v="Calle Guacara Nro. 87-86"/>
    <s v="Colaboración reparación del portón principal"/>
    <x v="11"/>
    <m/>
    <s v="01492"/>
    <s v="05 de octubre de 2018"/>
    <n v="5"/>
    <x v="23"/>
    <s v="10,00"/>
    <e v="#NAME?"/>
  </r>
  <r>
    <n v="1493"/>
    <m/>
    <x v="0"/>
    <d v="2018-10-05T00:00:00"/>
    <n v="10"/>
    <s v="Familia Castillo Mena"/>
    <s v="emmecas@hotmail.com"/>
    <s v="Calle Güigüe Nro. 88-101"/>
    <s v="Colaboración reparación del portón principal"/>
    <x v="11"/>
    <m/>
    <s v="01493"/>
    <s v="05 de octubre de 2018"/>
    <n v="5"/>
    <x v="23"/>
    <s v="10,00"/>
    <e v="#NAME?"/>
  </r>
  <r>
    <n v="1494"/>
    <m/>
    <x v="0"/>
    <d v="2018-10-06T00:00:00"/>
    <n v="100"/>
    <s v="Familia Rivero"/>
    <s v="En Físico"/>
    <s v="Calle Güigüe Nro. 88-40"/>
    <s v="Colaboración Vigilancia, meses de Julio, Agosto y Septiembre 2018"/>
    <x v="0"/>
    <m/>
    <s v="01494"/>
    <s v="06 de octubre de 2018"/>
    <n v="6"/>
    <x v="23"/>
    <s v="100,00"/>
    <e v="#NAME?"/>
  </r>
  <r>
    <n v="1495"/>
    <m/>
    <x v="0"/>
    <d v="2018-10-06T00:00:00"/>
    <n v="10"/>
    <s v="Familia Franco Gómez"/>
    <s v="eof64@hotmail.com"/>
    <s v="Calle Guacara Nro. 87-07"/>
    <s v="Colaboración reparación del portón principal"/>
    <x v="11"/>
    <m/>
    <s v="01495"/>
    <s v="06 de octubre de 2018"/>
    <n v="6"/>
    <x v="23"/>
    <s v="10,00"/>
    <e v="#NAME?"/>
  </r>
  <r>
    <n v="1496"/>
    <m/>
    <x v="0"/>
    <d v="2018-10-06T00:00:00"/>
    <n v="320"/>
    <s v="Héctor Hernández"/>
    <s v="eof64@hotmail.com"/>
    <s v="Calle Guacara Nro. 89-94"/>
    <s v="Cancelación Vigilancia, mes de Octubre 2018"/>
    <x v="0"/>
    <m/>
    <s v="01496"/>
    <s v="06 de octubre de 2018"/>
    <n v="6"/>
    <x v="23"/>
    <s v="320,00"/>
    <e v="#NAME?"/>
  </r>
  <r>
    <n v="1497"/>
    <m/>
    <x v="0"/>
    <d v="2018-10-06T00:00:00"/>
    <n v="10"/>
    <s v="Héctor Hernández"/>
    <s v="eof64@hotmail.com"/>
    <s v="Calle Guacara Nro. 89-94"/>
    <s v="Colaboración reparación del portón principal"/>
    <x v="11"/>
    <m/>
    <s v="01497"/>
    <s v="06 de octubre de 2018"/>
    <n v="6"/>
    <x v="23"/>
    <s v="10,00"/>
    <e v="#NAME?"/>
  </r>
  <r>
    <n v="1498"/>
    <m/>
    <x v="0"/>
    <d v="2018-10-07T00:00:00"/>
    <n v="320"/>
    <s v="Familia Lomeña Agudo"/>
    <s v="claudialomena@hotmail.com"/>
    <s v="Calle Guacara Nro. 89-30"/>
    <s v="Cancelación Vigilancia, mes de Octubre 2018"/>
    <x v="0"/>
    <m/>
    <s v="01498"/>
    <s v="07 de octubre de 2018"/>
    <n v="7"/>
    <x v="23"/>
    <s v="320,00"/>
    <e v="#NAME?"/>
  </r>
  <r>
    <n v="1499"/>
    <m/>
    <x v="0"/>
    <d v="2018-10-07T00:00:00"/>
    <n v="10"/>
    <s v="Familia Lomeña Agudo"/>
    <s v="claudialomena@hotmail.com"/>
    <s v="Calle Guacara Nro. 89-30"/>
    <s v="Colaboración reparación del portón principal"/>
    <x v="11"/>
    <m/>
    <s v="01499"/>
    <s v="07 de octubre de 2018"/>
    <n v="7"/>
    <x v="23"/>
    <s v="10,00"/>
    <e v="#NAME?"/>
  </r>
  <r>
    <n v="1500"/>
    <m/>
    <x v="0"/>
    <d v="2018-10-07T00:00:00"/>
    <n v="320"/>
    <s v="Familia Flores Montagne"/>
    <s v="martaflores@gmail.com"/>
    <s v="Av. &quot;M&quot; Nro. 146-20"/>
    <s v="Cancelación Vigilancia, mes de Octubre 2018"/>
    <x v="0"/>
    <m/>
    <s v="01500"/>
    <s v="07 de octubre de 2018"/>
    <n v="7"/>
    <x v="23"/>
    <s v="320,00"/>
    <e v="#NAME?"/>
  </r>
  <r>
    <n v="1501"/>
    <m/>
    <x v="0"/>
    <d v="2018-10-07T00:00:00"/>
    <n v="10"/>
    <s v="Familia Flores Montagne"/>
    <s v="martaflores@gmail.com"/>
    <s v="Av. &quot;M&quot; Nro. 146-20"/>
    <s v="Colaboración reparación del portón principal"/>
    <x v="11"/>
    <m/>
    <s v="01501"/>
    <s v="07 de octubre de 2018"/>
    <n v="7"/>
    <x v="23"/>
    <s v="10,00"/>
    <e v="#NAME?"/>
  </r>
  <r>
    <n v="1502"/>
    <m/>
    <x v="0"/>
    <d v="2018-10-07T00:00:00"/>
    <n v="322"/>
    <s v="Familia Ochoa Mendoza"/>
    <s v="marisoljudithm@hotmail.com"/>
    <s v="Calle Güigüe Nro. 89-105"/>
    <s v="Cancelación Vigilancia, saldo mes de Agosto y cancelación mes de Septiembre 2018"/>
    <x v="0"/>
    <m/>
    <s v="01502"/>
    <s v="07 de octubre de 2018"/>
    <n v="7"/>
    <x v="23"/>
    <s v="322,00"/>
    <e v="#NAME?"/>
  </r>
  <r>
    <n v="1503"/>
    <m/>
    <x v="0"/>
    <d v="2018-10-07T00:00:00"/>
    <n v="10"/>
    <s v="Familia Ochoa Mendoza"/>
    <s v="marisoljudithm@hotmail.com"/>
    <s v="Calle Güigüe Nro. 89-105"/>
    <s v="Colaboración reparación del portón principal"/>
    <x v="11"/>
    <m/>
    <s v="01503"/>
    <s v="07 de octubre de 2018"/>
    <n v="7"/>
    <x v="23"/>
    <s v="10,00"/>
    <e v="#NAME?"/>
  </r>
  <r>
    <n v="1504"/>
    <m/>
    <x v="0"/>
    <d v="2018-10-07T00:00:00"/>
    <n v="320"/>
    <s v="Familia Ochoa Mendoza"/>
    <s v="marisoljudithm@hotmail.com"/>
    <s v="Calle Guacara Nro. 89-130"/>
    <s v="Cancelación Vigilancia, mes de Octubre 2018"/>
    <x v="0"/>
    <m/>
    <s v="01504"/>
    <s v="07 de octubre de 2018"/>
    <n v="7"/>
    <x v="23"/>
    <s v="320,00"/>
    <e v="#NAME?"/>
  </r>
  <r>
    <n v="1505"/>
    <m/>
    <x v="0"/>
    <d v="2018-10-07T00:00:00"/>
    <n v="320"/>
    <s v="Familia Montilla García"/>
    <s v="dairy252525@hotmail.com"/>
    <s v="Calle Güigüe Nro. 89-90"/>
    <s v="Cancelación Vigilancia, mes de Octubre 2018"/>
    <x v="0"/>
    <m/>
    <s v="01505"/>
    <s v="07 de octubre de 2018"/>
    <n v="7"/>
    <x v="23"/>
    <s v="320,00"/>
    <e v="#NAME?"/>
  </r>
  <r>
    <n v="1506"/>
    <m/>
    <x v="0"/>
    <d v="2018-10-07T00:00:00"/>
    <n v="30"/>
    <s v="Familia Montilla García"/>
    <s v="dairy252525@hotmail.com"/>
    <s v="Calle Güigüe Nro. 89-90"/>
    <s v="Colaboración reparación del portón principal"/>
    <x v="11"/>
    <m/>
    <s v="01506"/>
    <s v="07 de octubre de 2018"/>
    <n v="7"/>
    <x v="23"/>
    <s v="30,00"/>
    <e v="#NAME?"/>
  </r>
  <r>
    <n v="1507"/>
    <m/>
    <x v="0"/>
    <d v="2018-10-08T00:00:00"/>
    <n v="320"/>
    <s v="Familia Navarro Assing"/>
    <s v="liliaassing@gmail.com"/>
    <s v="Calle Güigüe Nro. 88-54"/>
    <s v="Cancelación Vigilancia, mes de Octubre 2018"/>
    <x v="0"/>
    <m/>
    <s v="01507"/>
    <s v="08 de octubre de 2018"/>
    <n v="8"/>
    <x v="23"/>
    <s v="320,00"/>
    <e v="#NAME?"/>
  </r>
  <r>
    <n v="1508"/>
    <m/>
    <x v="0"/>
    <d v="2018-10-08T00:00:00"/>
    <n v="10"/>
    <s v="Familia Navarro Assing"/>
    <s v="liliaassing@gmail.com"/>
    <s v="Calle Güigüe Nro. 88-54"/>
    <s v="Colaboración reparación del portón principal"/>
    <x v="11"/>
    <m/>
    <s v="01508"/>
    <s v="08 de octubre de 2018"/>
    <n v="8"/>
    <x v="23"/>
    <s v="10,00"/>
    <e v="#NAME?"/>
  </r>
  <r>
    <n v="1509"/>
    <m/>
    <x v="0"/>
    <d v="2018-10-08T00:00:00"/>
    <n v="320"/>
    <s v="Sra. Reina Meléndez"/>
    <s v="olgajipe@gmail.com"/>
    <s v="Av. &quot;M&quot; Nro. 145-10"/>
    <s v="Cancelación Vigilancia, mes de Octubre 2018"/>
    <x v="0"/>
    <m/>
    <s v="01509"/>
    <s v="08 de octubre de 2018"/>
    <n v="8"/>
    <x v="23"/>
    <s v="320,00"/>
    <e v="#NAME?"/>
  </r>
  <r>
    <n v="1510"/>
    <m/>
    <x v="0"/>
    <d v="2018-10-08T00:00:00"/>
    <n v="10"/>
    <s v="Sra. Reina Meléndez"/>
    <s v="olgajipe@gmail.com"/>
    <s v="Av. &quot;M&quot; Nro. 145-10"/>
    <s v="Colaboración reparación del portón principal"/>
    <x v="11"/>
    <m/>
    <s v="01510"/>
    <s v="08 de octubre de 2018"/>
    <n v="8"/>
    <x v="23"/>
    <s v="10,00"/>
    <e v="#NAME?"/>
  </r>
  <r>
    <n v="1511"/>
    <m/>
    <x v="0"/>
    <d v="2018-10-08T00:00:00"/>
    <n v="320"/>
    <s v="Familia Scabuzzo Gómez"/>
    <s v="sfscabuzzo@msn.com"/>
    <s v="Av. &quot;I&quot; Nro. 146-20"/>
    <s v="Cancelación Vigilancia, saldo mes de Octubre y anticipo mes de Noviembre 2018"/>
    <x v="0"/>
    <m/>
    <s v="01511"/>
    <s v="08 de octubre de 2018"/>
    <n v="8"/>
    <x v="23"/>
    <s v="320,00"/>
    <e v="#NAME?"/>
  </r>
  <r>
    <n v="1512"/>
    <m/>
    <x v="0"/>
    <d v="2018-10-08T00:00:00"/>
    <n v="10"/>
    <s v="Familia Scabuzzo Gómez"/>
    <s v="sfscabuzzo@msn.com"/>
    <s v="Av. &quot;I&quot; Nro. 146-20"/>
    <s v="Colaboración reparación del portón principal"/>
    <x v="11"/>
    <m/>
    <s v="01512"/>
    <s v="08 de octubre de 2018"/>
    <n v="8"/>
    <x v="23"/>
    <s v="10,00"/>
    <e v="#NAME?"/>
  </r>
  <r>
    <n v="1513"/>
    <m/>
    <x v="0"/>
    <d v="2018-10-08T00:00:00"/>
    <n v="320"/>
    <s v="Familia Ferrer Bahri"/>
    <s v="bahrimariela@hotmail.com"/>
    <s v="Calle Güigüe Nro. 89-83"/>
    <s v="Cancelación Vigilancia, mes de Octubre 2018"/>
    <x v="0"/>
    <m/>
    <s v="01513"/>
    <s v="08 de octubre de 2018"/>
    <n v="8"/>
    <x v="23"/>
    <s v="320,00"/>
    <e v="#NAME?"/>
  </r>
  <r>
    <n v="1514"/>
    <m/>
    <x v="0"/>
    <d v="2018-10-08T00:00:00"/>
    <n v="10"/>
    <s v="Familia Ferrer Bahri"/>
    <s v="bahrimariela@hotmail.com"/>
    <s v="Calle Güigüe Nro. 89-83"/>
    <s v="Colaboración reparación del portón principal"/>
    <x v="11"/>
    <m/>
    <s v="01514"/>
    <s v="08 de octubre de 2018"/>
    <n v="8"/>
    <x v="23"/>
    <s v="10,00"/>
    <e v="#NAME?"/>
  </r>
  <r>
    <n v="1515"/>
    <m/>
    <x v="0"/>
    <d v="2018-10-08T00:00:00"/>
    <n v="320"/>
    <s v="Victoria Francischiello"/>
    <s v="victoriafrancischiello@hotmail.com"/>
    <s v="Calle Guacara Nro. 88-25"/>
    <s v="Cancelación Vigilancia, mes de Septiembre 2018"/>
    <x v="0"/>
    <m/>
    <s v="01515"/>
    <s v="08 de octubre de 2018"/>
    <n v="8"/>
    <x v="23"/>
    <s v="320,00"/>
    <e v="#NAME?"/>
  </r>
  <r>
    <n v="1516"/>
    <m/>
    <x v="0"/>
    <d v="2018-10-08T00:00:00"/>
    <n v="10"/>
    <s v="Victoria Francischiello"/>
    <s v="victoriafrancischiello@hotmail.com"/>
    <s v="Calle Guacara Nro. 88-25"/>
    <s v="Colaboración reparación del portón principal"/>
    <x v="11"/>
    <m/>
    <s v="01516"/>
    <s v="08 de octubre de 2018"/>
    <n v="8"/>
    <x v="23"/>
    <s v="10,00"/>
    <e v="#NAME?"/>
  </r>
  <r>
    <n v="1517"/>
    <m/>
    <x v="0"/>
    <d v="2018-10-09T00:00:00"/>
    <n v="10"/>
    <s v="Familia Hurtado"/>
    <s v="En Físico"/>
    <s v="Av. &quot;O&quot; Nro. 146-11"/>
    <s v="Colaboración reparación del portón principal"/>
    <x v="11"/>
    <m/>
    <s v="01517"/>
    <s v="09 de octubre de 2018"/>
    <n v="9"/>
    <x v="23"/>
    <s v="10,00"/>
    <e v="#NAME?"/>
  </r>
  <r>
    <n v="1518"/>
    <m/>
    <x v="0"/>
    <d v="2018-10-10T00:00:00"/>
    <n v="320"/>
    <s v="Familia Costermani Terrer"/>
    <s v="claudiacostermani@hotmail.com"/>
    <s v="Calle Güigüe Nro. 88-11"/>
    <s v="Cancelación Vigilancia, mes de Octubre 2018"/>
    <x v="0"/>
    <m/>
    <s v="01518"/>
    <s v="10 de octubre de 2018"/>
    <n v="10"/>
    <x v="23"/>
    <s v="320,00"/>
    <e v="#NAME?"/>
  </r>
  <r>
    <n v="1519"/>
    <m/>
    <x v="0"/>
    <d v="2018-10-11T00:00:00"/>
    <n v="320"/>
    <s v="Familia Puerta Burguillos"/>
    <s v="namaricakes@gmail.com"/>
    <s v="Calle Guacara Nro. 87-100"/>
    <s v="Cancelación Vigilancia, mes de Octubre 2018"/>
    <x v="0"/>
    <m/>
    <s v="01519"/>
    <s v="11 de octubre de 2018"/>
    <n v="11"/>
    <x v="23"/>
    <s v="320,00"/>
    <e v="#NAME?"/>
  </r>
  <r>
    <n v="1520"/>
    <m/>
    <x v="0"/>
    <d v="2018-10-11T00:00:00"/>
    <n v="10"/>
    <s v="Familia Puerta Burguillos"/>
    <s v="namaricakes@gmail.com"/>
    <s v="Calle Guacara Nro. 87-100"/>
    <s v="Colaboración reparación del portón principal"/>
    <x v="11"/>
    <m/>
    <s v="01520"/>
    <s v="11 de octubre de 2018"/>
    <n v="11"/>
    <x v="23"/>
    <s v="10,00"/>
    <e v="#NAME?"/>
  </r>
  <r>
    <n v="1521"/>
    <m/>
    <x v="0"/>
    <d v="2018-10-09T00:00:00"/>
    <n v="640"/>
    <s v="Familia Jiménez Navarro"/>
    <s v="joyasonline2012@gmail.com"/>
    <s v="Calle Güigüe Nro. 88-50"/>
    <s v="Cancelación Vigilancia, meses de Septiembre y Octubre 2018"/>
    <x v="0"/>
    <m/>
    <s v="01521"/>
    <s v="09 de octubre de 2018"/>
    <n v="9"/>
    <x v="23"/>
    <s v="640,00"/>
    <e v="#NAME?"/>
  </r>
  <r>
    <n v="1522"/>
    <m/>
    <x v="0"/>
    <d v="2018-10-09T00:00:00"/>
    <n v="10"/>
    <s v="Familia Jiménez Navarro"/>
    <s v="joyasonline2012@gmail.com"/>
    <s v="Calle Güigüe Nro. 88-50"/>
    <s v="Colaboración reparación del portón principal"/>
    <x v="11"/>
    <m/>
    <s v="01522"/>
    <s v="09 de octubre de 2018"/>
    <n v="9"/>
    <x v="23"/>
    <s v="10,00"/>
    <e v="#NAME?"/>
  </r>
  <r>
    <n v="1523"/>
    <m/>
    <x v="0"/>
    <d v="2018-10-04T00:00:00"/>
    <n v="10"/>
    <s v="Familia Costermani Terrer"/>
    <s v="claudiacostermani@hotmail.com"/>
    <s v="Calle Güigüe Nro. 88-11"/>
    <s v="Colaboración reparación del portón principal"/>
    <x v="11"/>
    <m/>
    <s v="01523"/>
    <s v="04 de octubre de 2018"/>
    <n v="4"/>
    <x v="23"/>
    <s v="10,00"/>
    <e v="#NAME?"/>
  </r>
  <r>
    <n v="1524"/>
    <m/>
    <x v="0"/>
    <d v="2018-10-11T00:00:00"/>
    <n v="320"/>
    <s v="Familia Del Negro Palermo"/>
    <s v="vdelnegro@gmail.com"/>
    <s v="Calle Guacara Nro. 88-45"/>
    <s v="Cancelación Vigilancia, mes de Octubre 2018 (saldo a favor: Bs. 982,95)"/>
    <x v="0"/>
    <m/>
    <s v="01524"/>
    <s v="11 de octubre de 2018"/>
    <n v="11"/>
    <x v="23"/>
    <s v="320,00"/>
    <e v="#NAME?"/>
  </r>
  <r>
    <n v="1525"/>
    <m/>
    <x v="0"/>
    <d v="2018-10-08T00:00:00"/>
    <n v="320"/>
    <s v="Familia Gascón Domínguez"/>
    <s v="vrgascon@gmail.com"/>
    <s v="Calle Güigüe Nro. 88-70"/>
    <s v="Cancelación Vigilancia, mes de Septiembre 2018"/>
    <x v="0"/>
    <m/>
    <s v="01525"/>
    <s v="08 de octubre de 2018"/>
    <n v="8"/>
    <x v="23"/>
    <s v="320,00"/>
    <e v="#NAME?"/>
  </r>
  <r>
    <n v="1526"/>
    <m/>
    <x v="0"/>
    <d v="2018-10-08T00:00:00"/>
    <n v="10"/>
    <s v="Familia Gascón Domínguez"/>
    <s v="vrgascon@gmail.com"/>
    <s v="Calle Güigüe Nro. 88-70"/>
    <s v="Colaboración reparación del portón principal"/>
    <x v="11"/>
    <m/>
    <s v="01526"/>
    <s v="08 de octubre de 2018"/>
    <n v="8"/>
    <x v="23"/>
    <s v="10,00"/>
    <e v="#NAME?"/>
  </r>
  <r>
    <n v="1527"/>
    <m/>
    <x v="0"/>
    <d v="2018-10-12T00:00:00"/>
    <n v="320"/>
    <s v="Familia Barreto Pérez"/>
    <s v="bbetsa19@hotmail.com"/>
    <s v="Av. &quot;M&quot; Nro. 146-15"/>
    <s v="Cancelación Vigilancia, mes de Septiembre 2018"/>
    <x v="0"/>
    <m/>
    <s v="01527"/>
    <s v="12 de octubre de 2018"/>
    <n v="12"/>
    <x v="23"/>
    <s v="320,00"/>
    <e v="#NAME?"/>
  </r>
  <r>
    <n v="1528"/>
    <m/>
    <x v="0"/>
    <d v="2018-10-12T00:00:00"/>
    <n v="10"/>
    <s v="Familia Barreto Pérez"/>
    <s v="bbetsa19@hotmail.com"/>
    <s v="Av. &quot;M&quot; Nro. 146-15"/>
    <s v="Colaboración reparación del portón principal"/>
    <x v="11"/>
    <m/>
    <s v="01528"/>
    <s v="12 de octubre de 2018"/>
    <n v="12"/>
    <x v="23"/>
    <s v="10,00"/>
    <e v="#NAME?"/>
  </r>
  <r>
    <n v="1529"/>
    <m/>
    <x v="0"/>
    <d v="2018-10-12T00:00:00"/>
    <n v="320"/>
    <s v="Familia Zavarce Barón"/>
    <s v="alexanderzavarce@gmail.com"/>
    <s v="Calle Guacara Nro. 88-91"/>
    <s v="Cancelación Vigilancia, mes de Octubre 2018"/>
    <x v="0"/>
    <m/>
    <s v="01529"/>
    <s v="12 de octubre de 2018"/>
    <n v="12"/>
    <x v="23"/>
    <s v="320,00"/>
    <e v="#NAME?"/>
  </r>
  <r>
    <n v="1530"/>
    <m/>
    <x v="0"/>
    <d v="2018-10-12T00:00:00"/>
    <n v="10"/>
    <s v="Familia Zavarce Barón"/>
    <s v="alexanderzavarce@gmail.com"/>
    <s v="Calle Guacara Nro. 88-91"/>
    <s v="Colaboración reparación del portón principal"/>
    <x v="11"/>
    <m/>
    <s v="01530"/>
    <s v="12 de octubre de 2018"/>
    <n v="12"/>
    <x v="23"/>
    <s v="10,00"/>
    <e v="#NAME?"/>
  </r>
  <r>
    <n v="1531"/>
    <m/>
    <x v="0"/>
    <d v="2018-10-12T00:00:00"/>
    <n v="320"/>
    <s v="Familia Wu Acevedo"/>
    <s v="rudyacevedo90@gmail.com"/>
    <s v="Calle Guacara Nro. 88-A-10"/>
    <s v="Cancelación Vigilancia, mes de Octubre 2018"/>
    <x v="0"/>
    <m/>
    <s v="01531"/>
    <s v="12 de octubre de 2018"/>
    <n v="12"/>
    <x v="23"/>
    <s v="320,00"/>
    <e v="#NAME?"/>
  </r>
  <r>
    <n v="1532"/>
    <m/>
    <x v="0"/>
    <d v="2018-10-12T00:00:00"/>
    <n v="10"/>
    <s v="Familia Wu Acevedo"/>
    <s v="rudyacevedo90@gmail.com"/>
    <s v="Calle Guacara Nro. 88-A-10"/>
    <s v="Colaboración reparación del portón principal"/>
    <x v="11"/>
    <m/>
    <s v="01532"/>
    <s v="12 de octubre de 2018"/>
    <n v="12"/>
    <x v="23"/>
    <s v="10,00"/>
    <e v="#NAME?"/>
  </r>
  <r>
    <n v="1533"/>
    <m/>
    <x v="0"/>
    <d v="2018-10-12T00:00:00"/>
    <n v="320"/>
    <s v="Familia Delgado Hidalgo"/>
    <s v="ardh@hotmail.com"/>
    <s v="Calle Güigüe Nro. 88-10"/>
    <s v="Cancelación Vigilancia, mes de Octubre 2018"/>
    <x v="0"/>
    <m/>
    <s v="01533"/>
    <s v="12 de octubre de 2018"/>
    <n v="12"/>
    <x v="23"/>
    <s v="320,00"/>
    <e v="#NAME?"/>
  </r>
  <r>
    <n v="1534"/>
    <m/>
    <x v="0"/>
    <d v="2018-10-12T00:00:00"/>
    <n v="10"/>
    <s v="Familia Delgado Hidalgo"/>
    <s v="ardh@hotmail.com"/>
    <s v="Calle Güigüe Nro. 88-10"/>
    <s v="Colaboración reparación del portón principal"/>
    <x v="11"/>
    <m/>
    <s v="01534"/>
    <s v="12 de octubre de 2018"/>
    <n v="12"/>
    <x v="23"/>
    <s v="10,00"/>
    <e v="#NAME?"/>
  </r>
  <r>
    <n v="1535"/>
    <m/>
    <x v="0"/>
    <d v="2018-10-13T00:00:00"/>
    <n v="320"/>
    <s v="Amparo Acosta"/>
    <s v="amparonatividad@hotmail.com"/>
    <s v="Calle Guacara Nro. 88-65"/>
    <s v="Cancelación Vigilancia, mes de Octubre 2018"/>
    <x v="0"/>
    <m/>
    <s v="01535"/>
    <s v="13 de octubre de 2018"/>
    <n v="13"/>
    <x v="23"/>
    <s v="320,00"/>
    <e v="#NAME?"/>
  </r>
  <r>
    <n v="1536"/>
    <m/>
    <x v="0"/>
    <d v="2018-10-13T00:00:00"/>
    <n v="10"/>
    <s v="Amparo Acosta"/>
    <s v="amparonatividad@hotmail.com"/>
    <s v="Calle Guacara Nro. 88-65"/>
    <s v="Colaboración reparación del portón principal"/>
    <x v="11"/>
    <m/>
    <s v="01536"/>
    <s v="13 de octubre de 2018"/>
    <n v="13"/>
    <x v="23"/>
    <s v="10,00"/>
    <e v="#NAME?"/>
  </r>
  <r>
    <n v="1537"/>
    <m/>
    <x v="0"/>
    <d v="2018-10-14T00:00:00"/>
    <n v="960"/>
    <s v="Familia González Arévalo"/>
    <s v="feryenis@hotmail.com"/>
    <s v="Calle Guacara Nro. 89-86"/>
    <s v="Cancelación Vigilancia, mes de Octubre y anticipo meses de Noviembre y Diciembre 2018"/>
    <x v="0"/>
    <m/>
    <s v="01537"/>
    <s v="14 de octubre de 2018"/>
    <n v="14"/>
    <x v="23"/>
    <s v="960,00"/>
    <e v="#NAME?"/>
  </r>
  <r>
    <n v="1538"/>
    <m/>
    <x v="0"/>
    <d v="2018-10-14T00:00:00"/>
    <n v="10"/>
    <s v="Familia González Arévalo"/>
    <s v="feryenis@hotmail.com"/>
    <s v="Calle Guacara Nro. 89-86"/>
    <s v="Colaboración reparación del portón principal"/>
    <x v="11"/>
    <m/>
    <s v="01538"/>
    <s v="14 de octubre de 2018"/>
    <n v="14"/>
    <x v="23"/>
    <s v="10,00"/>
    <e v="#NAME?"/>
  </r>
  <r>
    <n v="1539"/>
    <m/>
    <x v="0"/>
    <d v="2018-10-17T00:00:00"/>
    <n v="320"/>
    <s v="Familia Díaz González"/>
    <s v="luisrdt57@gmail.com"/>
    <s v="Calle Güigüe Nro. 88-116"/>
    <s v="Cancelación Vigilancia, mes de Octubre 2018"/>
    <x v="0"/>
    <m/>
    <s v="01539"/>
    <s v="17 de octubre de 2018"/>
    <n v="17"/>
    <x v="23"/>
    <s v="320,00"/>
    <e v="#NAME?"/>
  </r>
  <r>
    <n v="1540"/>
    <m/>
    <x v="0"/>
    <d v="2018-10-21T00:00:00"/>
    <n v="360"/>
    <s v="Familia Nava Gordon"/>
    <s v="maru_19_66@hotmail.com"/>
    <s v="Calle Guacara Nro. 89-78"/>
    <s v="Cancelación Vigilancia, mes de Octubre y anticipo mes de Noviembre 2018"/>
    <x v="0"/>
    <m/>
    <s v="01540"/>
    <s v="21 de octubre de 2018"/>
    <n v="21"/>
    <x v="23"/>
    <s v="360,00"/>
    <e v="#NAME?"/>
  </r>
  <r>
    <n v="1541"/>
    <m/>
    <x v="0"/>
    <d v="2018-10-21T00:00:00"/>
    <n v="320"/>
    <s v="Dra. Lilia Magallanes"/>
    <s v="liliamagallanes2010@gmail.com"/>
    <s v="Calle Güigüe Nro. 88-51"/>
    <s v="Cancelación Vigilancia, mes de Octubre 2018"/>
    <x v="0"/>
    <m/>
    <s v="01541"/>
    <s v="21 de octubre de 2018"/>
    <n v="21"/>
    <x v="23"/>
    <s v="320,00"/>
    <e v="#NAME?"/>
  </r>
  <r>
    <n v="1542"/>
    <m/>
    <x v="0"/>
    <d v="2018-10-24T00:00:00"/>
    <n v="320"/>
    <s v="Familia Kablan Sarmiento"/>
    <s v="norisjsb56@hotmail.com"/>
    <s v="Calle Güigüe Nro. 89-80"/>
    <s v="Cancelación Vigilancia, mes de Octubre 2018"/>
    <x v="0"/>
    <m/>
    <s v="01542"/>
    <s v="24 de octubre de 2018"/>
    <n v="24"/>
    <x v="23"/>
    <s v="320,00"/>
    <e v="#NAME?"/>
  </r>
  <r>
    <n v="1543"/>
    <m/>
    <x v="0"/>
    <d v="2018-10-24T00:00:00"/>
    <n v="10"/>
    <s v="Familia Kablan Sarmiento"/>
    <s v="norisjsb56@hotmail.com"/>
    <s v="Calle Güigüe Nro. 89-80"/>
    <s v="Colaboración reparación del portón principal"/>
    <x v="11"/>
    <m/>
    <s v="01543"/>
    <s v="24 de octubre de 2018"/>
    <n v="24"/>
    <x v="23"/>
    <s v="10,00"/>
    <e v="#NAME?"/>
  </r>
  <r>
    <n v="1544"/>
    <m/>
    <x v="0"/>
    <d v="2018-10-24T00:00:00"/>
    <n v="465"/>
    <s v="Colegio El Trigal"/>
    <s v="En Físico"/>
    <s v="Calle Güigüe Nros. 88-71 y 88-81"/>
    <s v="Cancelación Vigilancia, mes de Octubre 2018"/>
    <x v="0"/>
    <m/>
    <s v="01544"/>
    <s v="24 de octubre de 2018"/>
    <n v="24"/>
    <x v="23"/>
    <s v="465,00"/>
    <e v="#NAME?"/>
  </r>
  <r>
    <n v="1545"/>
    <m/>
    <x v="0"/>
    <d v="2018-10-25T00:00:00"/>
    <n v="320"/>
    <s v="Amarilis Guerra"/>
    <s v="amarilisguerra1@yahoo.com"/>
    <s v="Calle Güigüe Nro. 89-96"/>
    <s v="Cancelación Vigilancia, mes de Octubre 2018"/>
    <x v="0"/>
    <m/>
    <s v="01545"/>
    <s v="25 de octubre de 2018"/>
    <n v="25"/>
    <x v="23"/>
    <s v="320,00"/>
    <e v="#NAME?"/>
  </r>
  <r>
    <n v="1546"/>
    <m/>
    <x v="0"/>
    <d v="2018-10-25T00:00:00"/>
    <n v="320"/>
    <s v="Familia Alonso Rojas"/>
    <s v="redjc01@gmail.com"/>
    <s v="Calle Güigüe Nro. 89-54"/>
    <s v="Cancelación Vigilancia, mes de Octubre 2018"/>
    <x v="0"/>
    <m/>
    <s v="01546"/>
    <s v="25 de octubre de 2018"/>
    <n v="25"/>
    <x v="23"/>
    <s v="320,00"/>
    <e v="#NAME?"/>
  </r>
  <r>
    <n v="1547"/>
    <m/>
    <x v="0"/>
    <d v="2018-10-25T00:00:00"/>
    <n v="320"/>
    <s v="Beatriz Lara"/>
    <s v="valentina.gutierrez@hotmail.com"/>
    <s v="Calle Guacara Nro. 89-130"/>
    <s v="Cancelación Vigilancia, mes de Octubre 2018"/>
    <x v="0"/>
    <m/>
    <s v="01547"/>
    <s v="25 de octubre de 2018"/>
    <n v="25"/>
    <x v="23"/>
    <s v="320,00"/>
    <e v="#NAME?"/>
  </r>
  <r>
    <n v="1548"/>
    <m/>
    <x v="0"/>
    <d v="2018-10-25T00:00:00"/>
    <n v="320"/>
    <s v="Familia Narváez Caldera"/>
    <s v="jeannette_nc@yahoo.com"/>
    <s v="Calle Güigüe Nro. 87-A-11"/>
    <s v="Cancelación Vigilancia, mes de Octubre 2018"/>
    <x v="0"/>
    <m/>
    <s v="01548"/>
    <s v="25 de octubre de 2018"/>
    <n v="25"/>
    <x v="23"/>
    <s v="320,00"/>
    <e v="#NAME?"/>
  </r>
  <r>
    <n v="1549"/>
    <m/>
    <x v="0"/>
    <d v="2018-10-25T00:00:00"/>
    <n v="355"/>
    <s v="La Casita Encantada"/>
    <s v="En Físico"/>
    <s v="Av. &quot;M&quot; Nro. 146-30"/>
    <s v="Cancelación Vigilancia, mes de Octubre 2018"/>
    <x v="0"/>
    <m/>
    <s v="01549"/>
    <s v="25 de octubre de 2018"/>
    <n v="25"/>
    <x v="23"/>
    <s v="355,00"/>
    <e v="#NAME?"/>
  </r>
  <r>
    <n v="1550"/>
    <m/>
    <x v="0"/>
    <d v="2018-10-25T00:00:00"/>
    <n v="300"/>
    <s v="Gloria Molina"/>
    <s v="glomola2@yahoo.es"/>
    <s v="Calle Güigüe Nro. 89-71"/>
    <s v="Colaboración Vigilancia, mes de Septiembre 2017"/>
    <x v="0"/>
    <m/>
    <s v="01550"/>
    <s v="25 de octubre de 2018"/>
    <n v="25"/>
    <x v="23"/>
    <s v="300,00"/>
    <e v="#NAME?"/>
  </r>
  <r>
    <n v="1551"/>
    <m/>
    <x v="0"/>
    <d v="2018-10-26T00:00:00"/>
    <n v="320"/>
    <s v="Familia Zavarce Pérez"/>
    <s v="En Físico"/>
    <s v="Calle Guacara Nro. 90-35"/>
    <s v="Cancelación Vigilancia, mes de Octubre 2018"/>
    <x v="0"/>
    <m/>
    <s v="01551"/>
    <s v="26 de octubre de 2018"/>
    <n v="26"/>
    <x v="23"/>
    <s v="320,00"/>
    <e v="#NAME?"/>
  </r>
  <r>
    <n v="1552"/>
    <m/>
    <x v="0"/>
    <d v="2018-10-25T00:00:00"/>
    <n v="250"/>
    <s v="Familia Rodríguez Landaeta"/>
    <s v="mrl58@hotmail.com"/>
    <s v="Calle Güigüe Nro. 89-29"/>
    <s v="Colaboración Vigilancia, mes de Octubre 2018"/>
    <x v="0"/>
    <m/>
    <s v="01552"/>
    <s v="25 de octubre de 2018"/>
    <n v="25"/>
    <x v="23"/>
    <s v="250,00"/>
    <e v="#NAME?"/>
  </r>
  <r>
    <n v="1553"/>
    <m/>
    <x v="0"/>
    <d v="2018-10-29T00:00:00"/>
    <n v="320"/>
    <s v="Familia Gascón Domínguez"/>
    <s v="vrgascon@gmail.com"/>
    <s v="Calle Güigüe Nro. 88-70"/>
    <s v="Cancelación Vigilancia, mes de Octubre 2018"/>
    <x v="0"/>
    <m/>
    <s v="01553"/>
    <s v="29 de octubre de 2018"/>
    <n v="29"/>
    <x v="23"/>
    <s v="320,00"/>
    <e v="#NAME?"/>
  </r>
  <r>
    <n v="1554"/>
    <m/>
    <x v="0"/>
    <d v="2018-10-30T00:00:00"/>
    <n v="10"/>
    <s v="Ely Saúl Rivero Gómez"/>
    <s v="hhs.admon@gmail.com"/>
    <s v="Av. &quot;Ñ&quot; Nro. 145-25"/>
    <s v="Colaboración reparación del portón principal (saldo a favor: Bs. 3.272)"/>
    <x v="11"/>
    <m/>
    <s v="01554"/>
    <s v="30 de octubre de 2018"/>
    <n v="30"/>
    <x v="23"/>
    <s v="10,00"/>
    <e v="#NAME?"/>
  </r>
  <r>
    <n v="1555"/>
    <m/>
    <x v="0"/>
    <d v="2018-10-30T00:00:00"/>
    <n v="320"/>
    <s v="Familia Rodríguez Aular"/>
    <s v="mvaular@hotmail.com"/>
    <s v="Calle Güigüe Nro. 88-58"/>
    <s v="Cancelación Vigilancia, mes de Octubre 2018"/>
    <x v="0"/>
    <m/>
    <s v="01555"/>
    <s v="30 de octubre de 2018"/>
    <n v="30"/>
    <x v="23"/>
    <s v="320,00"/>
    <e v="#NAME?"/>
  </r>
  <r>
    <n v="1556"/>
    <m/>
    <x v="0"/>
    <d v="2018-10-30T00:00:00"/>
    <n v="640"/>
    <s v="Ely Saúl Rivero Gómez"/>
    <s v="hhs.admon@gmail.com"/>
    <s v="Av. &quot;Ñ&quot; Nro. 145-25"/>
    <s v="Cancelación Vigilancia meses de Septiembre y Octubre 2018 (saldo a favor: Bs. 3.272)"/>
    <x v="0"/>
    <m/>
    <s v="01556"/>
    <s v="30 de octubre de 2018"/>
    <n v="30"/>
    <x v="23"/>
    <s v="640,00"/>
    <e v="#NAME?"/>
  </r>
  <r>
    <n v="1557"/>
    <m/>
    <x v="0"/>
    <d v="2018-10-30T00:00:00"/>
    <n v="645"/>
    <s v="Familia Cegarra Villamizar"/>
    <s v="jesus.villamizar.ra@gmail.com"/>
    <s v="Calle Guacara Nro. 88-35"/>
    <s v="Cancelación Vigilancia, saldo meses de Julio y Agosto, y cancelación meses de Septiembre y Octubre 2018"/>
    <x v="0"/>
    <m/>
    <s v="01557"/>
    <s v="30 de octubre de 2018"/>
    <n v="30"/>
    <x v="23"/>
    <s v="645,00"/>
    <e v="#NAME?"/>
  </r>
  <r>
    <n v="1558"/>
    <m/>
    <x v="0"/>
    <d v="2018-10-30T00:00:00"/>
    <n v="320"/>
    <s v="Familia Abbinante Pinto"/>
    <s v="abbinante47@gmail.com"/>
    <s v="Calle Güigüe Nro. 89-120"/>
    <s v="Cancelación Vigilancia, mes de Octubre 2018"/>
    <x v="0"/>
    <m/>
    <s v="01558"/>
    <s v="30 de octubre de 2018"/>
    <n v="30"/>
    <x v="23"/>
    <s v="320,00"/>
    <e v="#NAME?"/>
  </r>
  <r>
    <n v="1559"/>
    <m/>
    <x v="0"/>
    <d v="2018-10-30T00:00:00"/>
    <n v="10"/>
    <s v="Familia Abbinante Pinto"/>
    <s v="abbinante47@gmail.com"/>
    <s v="Calle Güigüe Nro. 89-120"/>
    <s v="Colaboración reparación del portón principal (saldo a favor: Bs. 3.272)"/>
    <x v="11"/>
    <m/>
    <s v="01559"/>
    <s v="30 de octubre de 2018"/>
    <n v="30"/>
    <x v="23"/>
    <s v="10,00"/>
    <e v="#NAME?"/>
  </r>
  <r>
    <n v="1560"/>
    <m/>
    <x v="0"/>
    <d v="2018-10-23T00:00:00"/>
    <n v="320"/>
    <s v="Familia Romero"/>
    <s v="autoescuela21@gmail.com"/>
    <s v="Calle Guacara Nro. 89-50"/>
    <s v="Colaboración Vigilancia, meses de Septiembre y Octubre 2018"/>
    <x v="0"/>
    <m/>
    <s v="01560"/>
    <s v="23 de octubre de 2018"/>
    <n v="23"/>
    <x v="23"/>
    <s v="320,00"/>
    <e v="#NAME?"/>
  </r>
  <r>
    <n v="1561"/>
    <m/>
    <x v="0"/>
    <d v="2018-10-30T00:00:00"/>
    <n v="320"/>
    <s v="Familia Matta Palomino"/>
    <s v="En Físico"/>
    <s v="Calle Güigüe Nro. 88-90"/>
    <s v="Cancelación Vigilancia, mes de Octubre 2018"/>
    <x v="0"/>
    <m/>
    <s v="01561"/>
    <s v="30 de octubre de 2018"/>
    <n v="30"/>
    <x v="23"/>
    <s v="320,00"/>
    <e v="#NAME?"/>
  </r>
  <r>
    <n v="1562"/>
    <m/>
    <x v="0"/>
    <d v="2018-10-31T00:00:00"/>
    <n v="320"/>
    <s v="Familia Castillo Mena"/>
    <s v="emmecas@hotmail.com"/>
    <s v="Calle Güigüe Nro. 88-101"/>
    <s v="Cancelación Vigilancia, mes de Octubre 2018"/>
    <x v="0"/>
    <m/>
    <s v="01562"/>
    <s v="31 de octubre de 2018"/>
    <n v="31"/>
    <x v="23"/>
    <s v="320,00"/>
    <e v="#NAME?"/>
  </r>
  <r>
    <n v="1563"/>
    <m/>
    <x v="0"/>
    <d v="2018-11-01T00:00:00"/>
    <n v="320"/>
    <s v="Familia Navarrete Medina"/>
    <s v="juanin1919@yahoo.com"/>
    <s v="Calle Güigüe Nro. 89-22"/>
    <s v="Cancelación Vigilancia, mes de Octubre 2018"/>
    <x v="0"/>
    <m/>
    <s v="01563"/>
    <s v="01 de noviembre de 2018"/>
    <n v="1"/>
    <x v="24"/>
    <s v="320,00"/>
    <e v="#NAME?"/>
  </r>
  <r>
    <n v="1564"/>
    <m/>
    <x v="0"/>
    <d v="2018-11-01T00:00:00"/>
    <n v="640"/>
    <s v="Wilson Escamilla"/>
    <s v="wilsonescamilla45@gmail.com"/>
    <s v="Calle Güigüe Nro. 89-89"/>
    <s v="Cancelación Vigilancia, meses de Octubre y Noviembre 2018"/>
    <x v="0"/>
    <m/>
    <s v="01564"/>
    <s v="01 de noviembre de 2018"/>
    <n v="1"/>
    <x v="24"/>
    <s v="640,00"/>
    <e v="#NAME?"/>
  </r>
  <r>
    <n v="1565"/>
    <m/>
    <x v="0"/>
    <d v="2018-10-31T00:00:00"/>
    <n v="320"/>
    <s v="Familia Piñero Padilla"/>
    <s v="achepaul2005@hotmail.com"/>
    <s v="Calle Güigüe Nro. 89-21"/>
    <s v="Cancelación Vigilancia, mes de Septiembre 2018"/>
    <x v="0"/>
    <m/>
    <s v="01565"/>
    <s v="31 de octubre de 2018"/>
    <n v="31"/>
    <x v="23"/>
    <s v="320,00"/>
    <e v="#NAME?"/>
  </r>
  <r>
    <n v="1566"/>
    <m/>
    <x v="0"/>
    <d v="2018-10-31T00:00:00"/>
    <n v="10"/>
    <s v="Familia Piñero Padilla"/>
    <s v="achepaul2005@hotmail.com"/>
    <s v="Calle Güigüe Nro. 89-21"/>
    <s v="Colaboración reparación del portón principal"/>
    <x v="11"/>
    <m/>
    <s v="01566"/>
    <s v="31 de octubre de 2018"/>
    <n v="31"/>
    <x v="23"/>
    <s v="10,00"/>
    <e v="#NAME?"/>
  </r>
  <r>
    <n v="1567"/>
    <m/>
    <x v="0"/>
    <d v="2018-11-01T00:00:00"/>
    <n v="960"/>
    <s v="Anahiz Seijas"/>
    <s v="anahiz_2@hotmail.es"/>
    <s v="Calle Güigüe Nro. 89-106"/>
    <s v="Cancelación Vigilancia, meses de Octubre, Noviembre y Diciembre 2018"/>
    <x v="0"/>
    <m/>
    <s v="01567"/>
    <s v="01 de noviembre de 2018"/>
    <n v="1"/>
    <x v="24"/>
    <s v="960,00"/>
    <e v="#NAME?"/>
  </r>
  <r>
    <n v="1568"/>
    <m/>
    <x v="0"/>
    <d v="2018-11-01T00:00:00"/>
    <n v="100"/>
    <s v="Familia Chávez Hernández"/>
    <s v="mercedesch23@hotmail.com"/>
    <s v="Calle Güigüe Nro. 88-20"/>
    <s v="Colaboración Vigilancia, mes de Octubre 2018"/>
    <x v="0"/>
    <m/>
    <s v="01568"/>
    <s v="01 de noviembre de 2018"/>
    <n v="1"/>
    <x v="24"/>
    <s v="100,00"/>
    <e v="#NAME?"/>
  </r>
  <r>
    <n v="1569"/>
    <m/>
    <x v="0"/>
    <d v="2018-11-01T00:00:00"/>
    <n v="320"/>
    <s v="Familia Ferrer Bahri"/>
    <s v="bahrimariela@hotmail.com"/>
    <s v="Calle Güigüe Nro. 89-83"/>
    <s v="Cancelación Vigilancia, mes de Noviembre 2018"/>
    <x v="0"/>
    <m/>
    <s v="01569"/>
    <s v="01 de noviembre de 2018"/>
    <n v="1"/>
    <x v="24"/>
    <s v="320,00"/>
    <e v="#NAME?"/>
  </r>
  <r>
    <n v="1570"/>
    <m/>
    <x v="0"/>
    <d v="2018-11-02T00:00:00"/>
    <n v="320"/>
    <s v="Familia Milanés Carmona"/>
    <s v="yndira11m@gmail.com"/>
    <s v="Calle Güigüe Nro. 89-65"/>
    <s v="Cancelación Vigilancia, mes de Noviembre 2018"/>
    <x v="0"/>
    <m/>
    <s v="01570"/>
    <s v="02 de noviembre de 2018"/>
    <n v="2"/>
    <x v="24"/>
    <s v="320,00"/>
    <e v="#NAME?"/>
  </r>
  <r>
    <n v="1571"/>
    <m/>
    <x v="0"/>
    <d v="2018-11-02T00:00:00"/>
    <n v="320"/>
    <s v="Familia Alonso Rojas"/>
    <s v="redjc01@gmail.com"/>
    <s v="Calle Güigüe Nro. 89-54"/>
    <s v="Cancelación Vigilancia, mes de Noviembre 2018"/>
    <x v="0"/>
    <m/>
    <s v="01571"/>
    <s v="02 de noviembre de 2018"/>
    <n v="2"/>
    <x v="24"/>
    <s v="320,00"/>
    <e v="#NAME?"/>
  </r>
  <r>
    <n v="1572"/>
    <m/>
    <x v="0"/>
    <d v="2018-11-02T00:00:00"/>
    <n v="320"/>
    <s v="Familia Navarro Assing"/>
    <s v="liliaassing@gmail.com"/>
    <s v="Calle Güigüe Nro. 88-54"/>
    <s v="Cancelación Vigilancia, mes de Noviembre 2018"/>
    <x v="0"/>
    <m/>
    <s v="01572"/>
    <s v="02 de noviembre de 2018"/>
    <n v="2"/>
    <x v="24"/>
    <s v="320,00"/>
    <e v="#NAME?"/>
  </r>
  <r>
    <n v="1573"/>
    <m/>
    <x v="0"/>
    <d v="2018-11-02T00:00:00"/>
    <n v="640"/>
    <s v="Familia Franco Gómez"/>
    <s v="eof64@hotmail.com"/>
    <s v="Calle Guacara Nro. 87-07"/>
    <s v="Cancelación Vigilancia, meses de Octubre y Noviembre 2018"/>
    <x v="0"/>
    <m/>
    <s v="01573"/>
    <s v="02 de noviembre de 2018"/>
    <n v="2"/>
    <x v="24"/>
    <s v="640,00"/>
    <e v="#NAME?"/>
  </r>
  <r>
    <n v="1574"/>
    <m/>
    <x v="0"/>
    <d v="2018-11-02T00:00:00"/>
    <n v="320"/>
    <s v="Familia López Hermoso"/>
    <s v="lopez.humberto14@yahoo.com.ve"/>
    <s v="Calle Güigüe Nro. 89-79"/>
    <s v="Cancelación Vigilancia, mes de Octubre 2018 (saldo a favor: Bs. 11,15)"/>
    <x v="0"/>
    <m/>
    <s v="01574"/>
    <s v="02 de noviembre de 2018"/>
    <n v="2"/>
    <x v="24"/>
    <s v="320,00"/>
    <e v="#NAME?"/>
  </r>
  <r>
    <n v="1575"/>
    <m/>
    <x v="0"/>
    <d v="2018-11-03T00:00:00"/>
    <n v="320"/>
    <s v="Familia Loponte Arteaga"/>
    <s v="En Físico"/>
    <s v="Calle Güigüe Nro. 88-120"/>
    <s v="Cancelación Vigilancia, mes de Noviembre 2018"/>
    <x v="0"/>
    <m/>
    <s v="01575"/>
    <s v="03 de noviembre de 2018"/>
    <n v="3"/>
    <x v="24"/>
    <s v="320,00"/>
    <e v="#NAME?"/>
  </r>
  <r>
    <n v="1576"/>
    <m/>
    <x v="0"/>
    <d v="2018-11-03T00:00:00"/>
    <n v="320"/>
    <s v="Chin Chun Ya (Goya)"/>
    <s v="uc2721@gmail.com"/>
    <s v="Calle Guacara Nro. 87-86"/>
    <s v="Cancelación Vigilancia, mes de Noviembre 2018"/>
    <x v="0"/>
    <m/>
    <s v="01576"/>
    <s v="03 de noviembre de 2018"/>
    <n v="3"/>
    <x v="24"/>
    <s v="320,00"/>
    <e v="#NAME?"/>
  </r>
  <r>
    <n v="1577"/>
    <m/>
    <x v="0"/>
    <d v="2018-11-04T00:00:00"/>
    <n v="320"/>
    <s v="Familia Guerra Miret"/>
    <s v="antoniojguerrag@hotmail.com"/>
    <s v="Calle Güigüe Nro. 89-40"/>
    <s v="Cancelación Vigilancia, mes de Noviembre 2018"/>
    <x v="0"/>
    <m/>
    <s v="01577"/>
    <s v="04 de noviembre de 2018"/>
    <n v="4"/>
    <x v="24"/>
    <s v="320,00"/>
    <e v="#NAME?"/>
  </r>
  <r>
    <n v="1578"/>
    <m/>
    <x v="0"/>
    <d v="2018-11-04T00:00:00"/>
    <n v="520"/>
    <s v="Familia Méndez Parra"/>
    <s v="briceidademendez@gmail.com"/>
    <s v="Calle Guacara Nro. 88-19"/>
    <s v="Colaboración Vigilancia, meses de Octubre y Noviembre 2018"/>
    <x v="0"/>
    <m/>
    <s v="01578"/>
    <s v="04 de noviembre de 2018"/>
    <n v="4"/>
    <x v="24"/>
    <s v="520,00"/>
    <e v="#NAME?"/>
  </r>
  <r>
    <n v="1579"/>
    <m/>
    <x v="0"/>
    <d v="2018-11-04T00:00:00"/>
    <n v="320"/>
    <s v="Victoria Francischiello"/>
    <s v="victoriafrancischiello@hotmail.com"/>
    <s v="Calle Guacara Nro. 88-25"/>
    <s v="Cancelación Vigilancia, mes de Octubre 2018"/>
    <x v="0"/>
    <m/>
    <s v="01579"/>
    <s v="04 de noviembre de 2018"/>
    <n v="4"/>
    <x v="24"/>
    <s v="320,00"/>
    <e v="#NAME?"/>
  </r>
  <r>
    <n v="1580"/>
    <m/>
    <x v="0"/>
    <d v="2018-11-04T00:00:00"/>
    <n v="320"/>
    <s v="Sra. Reina Meléndez"/>
    <s v="olgajipe@gmail.com"/>
    <s v="Av. &quot;M&quot; Nro. 145-10"/>
    <s v="Cancelación Vigilancia, mes de Noviembre 2018"/>
    <x v="0"/>
    <m/>
    <s v="01580"/>
    <s v="04 de noviembre de 2018"/>
    <n v="4"/>
    <x v="24"/>
    <s v="320,00"/>
    <e v="#NAME?"/>
  </r>
  <r>
    <n v="1581"/>
    <m/>
    <x v="0"/>
    <d v="2018-11-05T00:00:00"/>
    <n v="640"/>
    <s v="Familia Colosso Delgado"/>
    <s v="mcolosso@gmail.com"/>
    <s v="Calle Güigüe Nro. 88-44"/>
    <s v="Cancelación Vigilancia, meses de Noviembre y Diciembre 2018"/>
    <x v="0"/>
    <m/>
    <s v="01581"/>
    <s v="05 de noviembre de 2018"/>
    <n v="5"/>
    <x v="24"/>
    <s v="640,00"/>
    <e v="#NAME?"/>
  </r>
  <r>
    <n v="1582"/>
    <m/>
    <x v="0"/>
    <d v="2018-11-05T00:00:00"/>
    <n v="320"/>
    <s v="Familia Castro Jiménez"/>
    <s v="aurycastrojimenez@gmail.com"/>
    <s v="Calle Guacara Nro. 90-51"/>
    <s v="Cancelación Vigilancia, mes de Octubre 2018"/>
    <x v="0"/>
    <m/>
    <s v="01582"/>
    <s v="05 de noviembre de 2018"/>
    <n v="5"/>
    <x v="24"/>
    <s v="320,00"/>
    <e v="#NAME?"/>
  </r>
  <r>
    <n v="1583"/>
    <m/>
    <x v="0"/>
    <d v="2018-11-05T00:00:00"/>
    <n v="320"/>
    <s v="Carmen Moreno"/>
    <s v="carmenemoreno10@gmail.com"/>
    <s v="Calle Güigüe Nro. 89-04"/>
    <s v="Cancelación Vigilancia, mes de Noviembre 2018"/>
    <x v="0"/>
    <m/>
    <s v="01583"/>
    <s v="05 de noviembre de 2018"/>
    <n v="5"/>
    <x v="24"/>
    <s v="320,00"/>
    <e v="#NAME?"/>
  </r>
  <r>
    <n v="1584"/>
    <m/>
    <x v="0"/>
    <d v="2018-11-06T00:00:00"/>
    <n v="350"/>
    <s v="Familia Machado Stoppa"/>
    <s v="machadoru@hotmail.com"/>
    <s v="Calle Guacara Nro. 88-85"/>
    <s v="Cancelación Vigilancia, mes de Octubre 2018"/>
    <x v="0"/>
    <m/>
    <s v="01584"/>
    <s v="06 de noviembre de 2018"/>
    <n v="6"/>
    <x v="24"/>
    <s v="350,00"/>
    <e v="#NAME?"/>
  </r>
  <r>
    <n v="1585"/>
    <m/>
    <x v="0"/>
    <d v="2018-11-06T00:00:00"/>
    <n v="350"/>
    <s v="Familia Lomeña Agudo"/>
    <s v="claudialomena@hotmail.com"/>
    <s v="Calle Guacara Nro. 89-30"/>
    <s v="Cancelación Vigilancia, mes de Noviembre 2018"/>
    <x v="0"/>
    <m/>
    <s v="01585"/>
    <s v="06 de noviembre de 2018"/>
    <n v="6"/>
    <x v="24"/>
    <s v="350,00"/>
    <e v="#NAME?"/>
  </r>
  <r>
    <n v="1586"/>
    <m/>
    <x v="0"/>
    <d v="2018-11-06T00:00:00"/>
    <n v="320"/>
    <s v="Familia Arcia Polanco"/>
    <s v="misipo29@gmail.com"/>
    <s v="Calle Guacara Nro. 89-20"/>
    <s v="Cancelación Vigilancia, mes de Noviembre 2018"/>
    <x v="0"/>
    <m/>
    <s v="01586"/>
    <s v="06 de noviembre de 2018"/>
    <n v="6"/>
    <x v="24"/>
    <s v="320,00"/>
    <e v="#NAME?"/>
  </r>
  <r>
    <n v="1587"/>
    <m/>
    <x v="0"/>
    <d v="2018-11-06T00:00:00"/>
    <n v="320"/>
    <s v="Amarilis Guerra"/>
    <s v="amarilisguerra1@yahoo.com"/>
    <s v="Calle Güigüe Nro. 89-96"/>
    <s v="Cancelación Vigilancia, mes de Noviembre 2018"/>
    <x v="0"/>
    <m/>
    <s v="01587"/>
    <s v="06 de noviembre de 2018"/>
    <n v="6"/>
    <x v="24"/>
    <s v="320,00"/>
    <e v="#NAME?"/>
  </r>
  <r>
    <n v="1588"/>
    <m/>
    <x v="0"/>
    <d v="2018-11-07T00:00:00"/>
    <n v="320"/>
    <s v="Familia Abbinante Pinto"/>
    <s v="abbinante47@gmail.com"/>
    <s v="Calle Güigüe Nro. 89-120"/>
    <s v="Cancelación Vigilancia, mes de Noviembre 2018"/>
    <x v="0"/>
    <m/>
    <s v="01588"/>
    <s v="07 de noviembre de 2018"/>
    <n v="7"/>
    <x v="24"/>
    <s v="320,00"/>
    <e v="#NAME?"/>
  </r>
  <r>
    <n v="1589"/>
    <m/>
    <x v="0"/>
    <d v="2018-11-08T00:00:00"/>
    <n v="1000"/>
    <s v="Familia Kattar González"/>
    <s v="jagiak123@yahoo.es"/>
    <s v="Calle Güigüe Nro. 89-95"/>
    <s v="Cancelación Vigilancia, saldo meses de Septiembre y Octubre, cancelación mes de Noviembre y anticipo mes de Diciembre 2018"/>
    <x v="0"/>
    <m/>
    <s v="01589"/>
    <s v="08 de noviembre de 2018"/>
    <n v="8"/>
    <x v="24"/>
    <s v="1.000,00"/>
    <e v="#NAME?"/>
  </r>
  <r>
    <n v="1590"/>
    <m/>
    <x v="0"/>
    <d v="2018-11-08T00:00:00"/>
    <n v="320"/>
    <s v="Familia Del Negro Palermo"/>
    <s v="vdelnegro@gmail.com"/>
    <s v="Calle Guacara Nro. 88-45"/>
    <s v="Cancelación Vigilancia, mes de Noviembre 2018 (saldo a favor: Bs. 662,95)"/>
    <x v="0"/>
    <m/>
    <s v="01590"/>
    <s v="08 de noviembre de 2018"/>
    <n v="8"/>
    <x v="24"/>
    <s v="320,00"/>
    <e v="#NAME?"/>
  </r>
  <r>
    <n v="1591"/>
    <m/>
    <x v="0"/>
    <d v="2018-11-08T00:00:00"/>
    <n v="320"/>
    <s v="Ely Saúl Rivero Gómez"/>
    <s v="hhs.admon@gmail.com"/>
    <s v="Av. &quot;Ñ&quot; Nro. 145-25"/>
    <s v="Cancelación Vigilancia, mes de Noviembre 2018 (saldo a favor: Bs. 2.952,00)"/>
    <x v="0"/>
    <m/>
    <s v="01591"/>
    <s v="08 de noviembre de 2018"/>
    <n v="8"/>
    <x v="24"/>
    <s v="320,00"/>
    <e v="#NAME?"/>
  </r>
  <r>
    <n v="1592"/>
    <m/>
    <x v="0"/>
    <d v="2018-11-08T00:00:00"/>
    <n v="500"/>
    <s v="Familia Durvelle Serrano"/>
    <s v="sdurvelle@hotmail.com"/>
    <s v="Calle Guacara Nro. 89-60"/>
    <s v="Cancelación Vigilancia, mes de Noviembre 2018 más aporte"/>
    <x v="0"/>
    <m/>
    <s v="01592"/>
    <s v="08 de noviembre de 2018"/>
    <n v="8"/>
    <x v="24"/>
    <s v="500,00"/>
    <e v="#NAME?"/>
  </r>
  <r>
    <n v="1593"/>
    <m/>
    <x v="0"/>
    <d v="2018-11-08T00:00:00"/>
    <n v="640"/>
    <s v="Familia Manrique Riera"/>
    <s v="patriciamanrique@gmail.com"/>
    <s v="Calle Guacara Nro. 89-40"/>
    <s v="Cancelación Vigilancia, meses de Octubre y Noviembre 2018"/>
    <x v="0"/>
    <m/>
    <s v="01593"/>
    <s v="08 de noviembre de 2018"/>
    <n v="8"/>
    <x v="24"/>
    <s v="640,00"/>
    <e v="#NAME?"/>
  </r>
  <r>
    <n v="1594"/>
    <m/>
    <x v="0"/>
    <d v="2018-11-09T00:00:00"/>
    <n v="320"/>
    <s v="Familia Acosta Carpio"/>
    <s v="pablo962@hotmail.com"/>
    <s v="Calle Güigüe Nro. 89-10"/>
    <s v="Cancelación Vigilancia, mes de Octubre 2018"/>
    <x v="0"/>
    <m/>
    <s v="01594"/>
    <s v="09 de noviembre de 2018"/>
    <n v="9"/>
    <x v="24"/>
    <s v="320,00"/>
    <e v="#NAME?"/>
  </r>
  <r>
    <n v="1595"/>
    <m/>
    <x v="0"/>
    <d v="2018-11-10T00:00:00"/>
    <n v="320"/>
    <s v="Familia Barreto Pérez"/>
    <s v="bbetsa19@hotmail.com"/>
    <s v="Av. &quot;M&quot; Nro. 146-15"/>
    <s v="Cancelación Vigilancia, mes de Octubre 2018"/>
    <x v="0"/>
    <m/>
    <s v="01595"/>
    <s v="10 de noviembre de 2018"/>
    <n v="10"/>
    <x v="24"/>
    <s v="320,00"/>
    <e v="#NAME?"/>
  </r>
  <r>
    <n v="1596"/>
    <m/>
    <x v="0"/>
    <d v="2018-11-11T00:00:00"/>
    <n v="1350"/>
    <s v="Familia Jiménez de Avila"/>
    <s v="meji2333@gmail.com"/>
    <s v="Calle Güigüe Nro. 89-116"/>
    <s v="Colaboración Vigilancia, meses de Diciembre 2017, Enero a Diciembre 2018 y Enero a Junio 2019"/>
    <x v="0"/>
    <m/>
    <s v="01596"/>
    <s v="11 de noviembre de 2018"/>
    <n v="11"/>
    <x v="24"/>
    <s v="1.350,00"/>
    <e v="#NAME?"/>
  </r>
  <r>
    <n v="1597"/>
    <m/>
    <x v="0"/>
    <d v="2018-11-12T00:00:00"/>
    <n v="320"/>
    <s v="Familia Astor Zamora"/>
    <s v="imzastor@gmail.com"/>
    <s v="Calle Güigüe Nro. 88-111"/>
    <s v="Cancelación Vigilancia, mes de Octubre 2018"/>
    <x v="0"/>
    <m/>
    <s v="01597"/>
    <s v="12 de noviembre de 2018"/>
    <n v="12"/>
    <x v="24"/>
    <s v="320,00"/>
    <e v="#NAME?"/>
  </r>
  <r>
    <n v="1598"/>
    <m/>
    <x v="0"/>
    <d v="2018-11-13T00:00:00"/>
    <n v="320"/>
    <s v="Familia Flores Montagne"/>
    <s v="martaflores@gmail.com"/>
    <s v="Av. &quot;M&quot; Nro. 146-20"/>
    <s v="Cancelación Vigilancia, mes de Noviembre 2018"/>
    <x v="0"/>
    <m/>
    <s v="01598"/>
    <s v="13 de noviembre de 2018"/>
    <n v="13"/>
    <x v="24"/>
    <s v="320,00"/>
    <e v="#NAME?"/>
  </r>
  <r>
    <n v="1599"/>
    <m/>
    <x v="0"/>
    <d v="2018-11-14T00:00:00"/>
    <n v="320"/>
    <s v="Familia Nava Gordon"/>
    <s v="maru_19_66@hotmail.com"/>
    <s v="Calle Guacara Nro. 89-78"/>
    <s v="Cancelación Vigilancia, saldo mes de Noviembre y anticipo mes de Diciembre 2018"/>
    <x v="0"/>
    <m/>
    <s v="01599"/>
    <s v="14 de noviembre de 2018"/>
    <n v="14"/>
    <x v="24"/>
    <s v="320,00"/>
    <e v="#NAME?"/>
  </r>
  <r>
    <n v="1600"/>
    <m/>
    <x v="0"/>
    <d v="2018-10-14T00:00:00"/>
    <n v="320"/>
    <s v="Familia Wu Acevedo"/>
    <s v="rudyacevedo90@gmail.com"/>
    <s v="Calle Guacara Nro. 88-A-10"/>
    <s v="Cancelación Vigilancia, mes de Noviembre 2018"/>
    <x v="0"/>
    <m/>
    <s v="01600"/>
    <s v="14 de octubre de 2018"/>
    <n v="14"/>
    <x v="23"/>
    <s v="320,00"/>
    <e v="#NAME?"/>
  </r>
  <r>
    <n v="1601"/>
    <m/>
    <x v="0"/>
    <d v="2018-10-14T00:00:00"/>
    <n v="320"/>
    <s v="Familia Castro Jiménez"/>
    <s v="aurycastrojimenez@gmail.com"/>
    <s v="Calle Guacara Nro. 90-51"/>
    <s v="Cancelación Vigilancia, mes de Noviembre 2018"/>
    <x v="0"/>
    <m/>
    <s v="01601"/>
    <s v="14 de octubre de 2018"/>
    <n v="14"/>
    <x v="23"/>
    <s v="320,00"/>
    <e v="#NAME?"/>
  </r>
  <r>
    <n v="1602"/>
    <m/>
    <x v="0"/>
    <d v="2018-11-15T00:00:00"/>
    <n v="320"/>
    <s v="Familia Díaz González"/>
    <s v="luisrdt57@gmail.com"/>
    <s v="Calle Güigüe Nro. 88-116"/>
    <s v="Cancelación Vigilancia, mes de Noviembre 2018"/>
    <x v="0"/>
    <m/>
    <s v="01602"/>
    <s v="15 de noviembre de 2018"/>
    <n v="15"/>
    <x v="24"/>
    <s v="320,00"/>
    <e v="#NAME?"/>
  </r>
  <r>
    <n v="1603"/>
    <m/>
    <x v="0"/>
    <d v="2018-11-17T00:00:00"/>
    <n v="320"/>
    <s v="Familia Barreto Pérez"/>
    <s v="bbetsa19@hotmail.com"/>
    <s v="Av. &quot;M&quot; Nro. 146-15"/>
    <s v="Cancelación Vigilancia, mes de Noviembre 2018"/>
    <x v="0"/>
    <m/>
    <s v="01603"/>
    <s v="17 de noviembre de 2018"/>
    <n v="17"/>
    <x v="24"/>
    <s v="320,00"/>
    <e v="#NAME?"/>
  </r>
  <r>
    <n v="1604"/>
    <m/>
    <x v="0"/>
    <d v="2018-11-20T00:00:00"/>
    <n v="250"/>
    <s v="Familia Martínez Boada"/>
    <s v="florcitakmz@gmail.com"/>
    <s v="Calle Güigüe Nro. 88-62"/>
    <s v="Colaboración Vigilancia, mes de Octubre 2018"/>
    <x v="0"/>
    <m/>
    <s v="01604"/>
    <s v="20 de noviembre de 2018"/>
    <n v="20"/>
    <x v="24"/>
    <s v="250,00"/>
    <e v="#NAME?"/>
  </r>
  <r>
    <n v="1605"/>
    <m/>
    <x v="0"/>
    <d v="2018-11-20T00:00:00"/>
    <n v="320"/>
    <s v="Dra. Lilia Magallanes"/>
    <s v="liliamagallanes2010@gmail.com"/>
    <s v="Calle Güigüe Nro. 88-51"/>
    <s v="Cancelación Vigilancia, mes de Noviembre 2018"/>
    <x v="0"/>
    <m/>
    <s v="01605"/>
    <s v="20 de noviembre de 2018"/>
    <n v="20"/>
    <x v="24"/>
    <s v="320,00"/>
    <e v="#NAME?"/>
  </r>
  <r>
    <n v="1606"/>
    <m/>
    <x v="0"/>
    <d v="2018-11-20T00:00:00"/>
    <n v="320"/>
    <s v="Familia Costermani Terrer"/>
    <s v="claudiacostermani@hotmail.com"/>
    <s v="Calle Güigüe Nro. 88-11"/>
    <s v="Cancelación Vigilancia, mes de Noviembre 2018"/>
    <x v="0"/>
    <m/>
    <s v="01606"/>
    <s v="20 de noviembre de 2018"/>
    <n v="20"/>
    <x v="24"/>
    <s v="320,00"/>
    <e v="#NAME?"/>
  </r>
  <r>
    <n v="1607"/>
    <m/>
    <x v="0"/>
    <d v="2018-11-21T00:00:00"/>
    <n v="200"/>
    <s v="Familia Triana González"/>
    <s v="En Físico"/>
    <s v="Calle Guacara Nro. 90-61"/>
    <s v="Colaboración Vigilancia, meses de Septiembre y Octubre 2018"/>
    <x v="0"/>
    <m/>
    <s v="01607"/>
    <s v="21 de noviembre de 2018"/>
    <n v="21"/>
    <x v="24"/>
    <s v="200,00"/>
    <e v="#NAME?"/>
  </r>
  <r>
    <n v="1608"/>
    <m/>
    <x v="0"/>
    <d v="2018-11-21T00:00:00"/>
    <n v="320"/>
    <s v="Familia Piñero Padilla"/>
    <s v="achepaul2005@hotmail.com"/>
    <s v="Calle Güigüe Nro. 89-21"/>
    <s v="Cancelación Vigilancia, mes de Octubre 2018"/>
    <x v="0"/>
    <m/>
    <s v="01608"/>
    <s v="21 de noviembre de 2018"/>
    <n v="21"/>
    <x v="24"/>
    <s v="320,00"/>
    <e v="#NAME?"/>
  </r>
  <r>
    <n v="1609"/>
    <m/>
    <x v="0"/>
    <d v="2018-11-21T00:00:00"/>
    <n v="640"/>
    <s v="Familia Hatem Medina"/>
    <s v="hhatem1@hotmail.com"/>
    <s v="Calle Guacara Nro. 88-51"/>
    <s v="Cancelación Vigilancia, meses de Noviembre y Diciembre 2018"/>
    <x v="0"/>
    <m/>
    <s v="01609"/>
    <s v="21 de noviembre de 2018"/>
    <n v="21"/>
    <x v="24"/>
    <s v="640,00"/>
    <e v="#NAME?"/>
  </r>
  <r>
    <n v="1610"/>
    <m/>
    <x v="0"/>
    <d v="2018-11-22T00:00:00"/>
    <n v="320"/>
    <s v="Familia Fermín Rivas"/>
    <s v="angelferminb@gmail.com"/>
    <s v="Calle Güigüe Nro. 89-55"/>
    <s v="Cancelación Vigilancia, mes de Noviembre 2018"/>
    <x v="0"/>
    <m/>
    <s v="01610"/>
    <s v="22 de noviembre de 2018"/>
    <n v="22"/>
    <x v="24"/>
    <s v="320,00"/>
    <e v="#NAME?"/>
  </r>
  <r>
    <n v="1611"/>
    <m/>
    <x v="0"/>
    <d v="2018-11-10T00:00:00"/>
    <n v="640"/>
    <s v="Familia Il Grande Franceschi"/>
    <s v="arcifran75@hotmail.com"/>
    <s v="Av. &quot;I&quot; Nro. 146-40"/>
    <s v="Cancelación Vigilancia, meses de Octubre y Noviembre 2018"/>
    <x v="0"/>
    <m/>
    <s v="01611"/>
    <s v="10 de noviembre de 2018"/>
    <n v="10"/>
    <x v="24"/>
    <s v="640,00"/>
    <e v="#NAME?"/>
  </r>
  <r>
    <n v="1612"/>
    <m/>
    <x v="0"/>
    <d v="2018-11-22T00:00:00"/>
    <n v="320"/>
    <s v="Ana de González"/>
    <s v="mikelnowak25@gmail.com"/>
    <s v="Av. &quot;O&quot; Nro. 146-17"/>
    <s v="Cancelación Vigilancia, mes de Octubre 2018"/>
    <x v="0"/>
    <m/>
    <s v="01612"/>
    <s v="22 de noviembre de 2018"/>
    <n v="22"/>
    <x v="24"/>
    <s v="320,00"/>
    <e v="#NAME?"/>
  </r>
  <r>
    <n v="1613"/>
    <m/>
    <x v="0"/>
    <d v="2018-11-23T00:00:00"/>
    <n v="250"/>
    <s v="Familia Rodríguez Landaeta"/>
    <s v="mrl58@hotmail.com"/>
    <s v="Calle Güigüe Nro. 89-29"/>
    <s v="Colaboración Vigilancia, mes de Noviembre 2018"/>
    <x v="0"/>
    <m/>
    <s v="01613"/>
    <s v="23 de noviembre de 2018"/>
    <n v="23"/>
    <x v="24"/>
    <s v="250,00"/>
    <e v="#NAME?"/>
  </r>
  <r>
    <n v="1614"/>
    <m/>
    <x v="0"/>
    <d v="2018-11-23T00:00:00"/>
    <n v="620"/>
    <s v="Familia Puerta Burguillos"/>
    <s v="namaricakes@gmail.com"/>
    <s v="Calle Guacara Nro. 87-100"/>
    <s v="Cancelación Vigilancia, mes de Noviembre y anticipo mes de Diciembre 2018"/>
    <x v="0"/>
    <m/>
    <s v="01614"/>
    <s v="23 de noviembre de 2018"/>
    <n v="23"/>
    <x v="24"/>
    <s v="620,00"/>
    <e v="#NAME?"/>
  </r>
  <r>
    <n v="1615"/>
    <m/>
    <x v="0"/>
    <d v="2018-11-20T00:00:00"/>
    <n v="640"/>
    <s v="Familia Ferrer Bahri"/>
    <s v="bahrimariela@hotmail.com"/>
    <s v="Calle Güigüe Nro. 89-83"/>
    <s v="Cancelación Vigilancia, mes de Diciembre 2018 y Enero 2019"/>
    <x v="0"/>
    <m/>
    <s v="01615"/>
    <s v="20 de noviembre de 2018"/>
    <n v="20"/>
    <x v="24"/>
    <s v="640,00"/>
    <e v="#NAME?"/>
  </r>
  <r>
    <n v="1616"/>
    <m/>
    <x v="0"/>
    <d v="2018-11-24T00:00:00"/>
    <n v="320"/>
    <s v="Familia Guerra Miret"/>
    <s v="antoniojguerrag@hotmail.com"/>
    <s v="Calle Güigüe Nro. 89-40"/>
    <s v="Cancelación Vigilancia, mes de Diciembre 2018"/>
    <x v="0"/>
    <m/>
    <s v="01616"/>
    <s v="24 de noviembre de 2018"/>
    <n v="24"/>
    <x v="24"/>
    <s v="320,00"/>
    <e v="#NAME?"/>
  </r>
  <r>
    <n v="1617"/>
    <m/>
    <x v="0"/>
    <d v="2018-11-26T00:00:00"/>
    <n v="320"/>
    <s v="Familia Kablan Sarmiento"/>
    <s v="norisjsb56@hotmail.com"/>
    <s v="Calle Güigüe Nro. 89-80"/>
    <s v="Cancelación Vigilancia, mes de Noviembre 2018"/>
    <x v="0"/>
    <m/>
    <s v="01617"/>
    <s v="26 de noviembre de 2018"/>
    <n v="26"/>
    <x v="24"/>
    <s v="320,00"/>
    <e v="#NAME?"/>
  </r>
  <r>
    <n v="1618"/>
    <m/>
    <x v="0"/>
    <d v="2018-11-26T00:00:00"/>
    <n v="320"/>
    <s v="Familia Castillo Mena"/>
    <s v="emmecas@hotmail.com"/>
    <s v="Calle Güigüe Nro. 88-101"/>
    <s v="Cancelación Vigilancia, mes de Noviembre 2018"/>
    <x v="0"/>
    <m/>
    <s v="01618"/>
    <s v="26 de noviembre de 2018"/>
    <n v="26"/>
    <x v="24"/>
    <s v="320,00"/>
    <e v="#NAME?"/>
  </r>
  <r>
    <n v="1619"/>
    <m/>
    <x v="0"/>
    <d v="2018-11-26T00:00:00"/>
    <n v="350"/>
    <s v="Familia Scabuzzo Gómez"/>
    <s v="sfscabuzzo@msn.com"/>
    <s v="Av. &quot;I&quot; Nro. 146-20"/>
    <s v="Cancelación Vigilancia, saldo mes de Noviembre y anticipo mes de Diciembre 2018"/>
    <x v="0"/>
    <m/>
    <s v="01619"/>
    <s v="26 de noviembre de 2018"/>
    <n v="26"/>
    <x v="24"/>
    <s v="350,00"/>
    <e v="#NAME?"/>
  </r>
  <r>
    <n v="1620"/>
    <m/>
    <x v="0"/>
    <d v="2018-11-26T00:00:00"/>
    <n v="320"/>
    <s v="Familia Zavarce Pérez"/>
    <s v="En Físico"/>
    <s v="Calle Guacara Nro. 90-35"/>
    <s v="Cancelación Vigilancia, mes de Noviembre 2018"/>
    <x v="0"/>
    <m/>
    <s v="01620"/>
    <s v="26 de noviembre de 2018"/>
    <n v="26"/>
    <x v="24"/>
    <s v="320,00"/>
    <e v="#NAME?"/>
  </r>
  <r>
    <n v="1621"/>
    <m/>
    <x v="0"/>
    <d v="2018-11-29T00:00:00"/>
    <n v="330"/>
    <s v="Amparo Acosta"/>
    <s v="amparonatividad@hotmail.com"/>
    <s v="Calle Guacara Nro. 88-65"/>
    <s v="Cancelación Vigilancia, mes de Noviembre 2018"/>
    <x v="0"/>
    <m/>
    <s v="01621"/>
    <s v="29 de noviembre de 2018"/>
    <n v="29"/>
    <x v="24"/>
    <s v="330,00"/>
    <e v="#NAME?"/>
  </r>
  <r>
    <n v="1622"/>
    <m/>
    <x v="0"/>
    <d v="2018-12-02T00:00:00"/>
    <n v="500"/>
    <s v="Familia Alonso Rojas"/>
    <s v="redjc01@gmail.com"/>
    <s v="Calle Güigüe Nro. 89-54"/>
    <s v="Anticipo Vigilancia, mes de Diciembre 2018"/>
    <x v="0"/>
    <m/>
    <s v="01622"/>
    <s v="02 de diciembre de 2018"/>
    <n v="2"/>
    <x v="25"/>
    <s v="500,00"/>
    <e v="#NAME?"/>
  </r>
  <r>
    <n v="1623"/>
    <m/>
    <x v="0"/>
    <d v="2018-12-02T00:00:00"/>
    <n v="320"/>
    <s v="Familia Milanés Carmona"/>
    <s v="yndira11m@gmail.com"/>
    <s v="Calle Güigüe Nro. 89-65"/>
    <s v="Anticipo Vigilancia, mes de Diciembre 2018"/>
    <x v="0"/>
    <m/>
    <s v="01623"/>
    <s v="02 de diciembre de 2018"/>
    <n v="2"/>
    <x v="25"/>
    <s v="320,00"/>
    <e v="#NAME?"/>
  </r>
  <r>
    <n v="1624"/>
    <m/>
    <x v="0"/>
    <d v="2018-12-03T00:00:00"/>
    <n v="240"/>
    <s v="Familia Fermín Rivas"/>
    <s v="angelferminb@gmail.com"/>
    <s v="Calle Güigüe Nro. 89-55"/>
    <s v="Anticipo Vigilancia, mes de Diciembre 2018"/>
    <x v="0"/>
    <m/>
    <s v="01624"/>
    <s v="03 de diciembre de 2018"/>
    <n v="3"/>
    <x v="25"/>
    <s v="240,00"/>
    <e v="#NAME?"/>
  </r>
  <r>
    <n v="1625"/>
    <m/>
    <x v="0"/>
    <d v="2018-12-03T00:00:00"/>
    <n v="320"/>
    <s v="Familia Loponte Arteaga"/>
    <s v="En Físico"/>
    <s v="Calle Güigüe Nro. 88-120"/>
    <s v="Anticipo Vigilancia, mes de Diciembre 2018"/>
    <x v="0"/>
    <m/>
    <s v="01625"/>
    <s v="03 de diciembre de 2018"/>
    <n v="3"/>
    <x v="25"/>
    <s v="320,00"/>
    <e v="#NAME?"/>
  </r>
  <r>
    <n v="1626"/>
    <m/>
    <x v="0"/>
    <d v="2018-12-03T00:00:00"/>
    <n v="800"/>
    <s v="Familia Arcia Polanco"/>
    <s v="misipo29@gmail.com"/>
    <s v="Calle Guacara Nro. 89-20"/>
    <s v="Cancelación Vigilancia, mes de Diciembre 2018"/>
    <x v="0"/>
    <m/>
    <s v="01626"/>
    <s v="03 de diciembre de 2018"/>
    <n v="3"/>
    <x v="25"/>
    <s v="800,00"/>
    <e v="#NAME?"/>
  </r>
  <r>
    <n v="1627"/>
    <m/>
    <x v="0"/>
    <d v="2018-12-03T00:00:00"/>
    <n v="800"/>
    <s v="Familia Montilla García"/>
    <s v="dairy252525@hotmail.com"/>
    <s v="Calle Güigüe Nro. 89-90"/>
    <s v="Cancelación Vigilancia, mes de Diciembre 2018"/>
    <x v="0"/>
    <m/>
    <s v="01627"/>
    <s v="03 de diciembre de 2018"/>
    <n v="3"/>
    <x v="25"/>
    <s v="800,00"/>
    <e v="#NAME?"/>
  </r>
  <r>
    <n v="1628"/>
    <m/>
    <x v="0"/>
    <d v="2018-12-03T00:00:00"/>
    <n v="800"/>
    <s v="Wu Hung Fung"/>
    <s v="carolinahung24@gmail.com"/>
    <s v="Calle Guacara Nro. 90-81"/>
    <s v="Cancelación Vigilancia, mes de Diciembre 2018"/>
    <x v="0"/>
    <m/>
    <s v="01628"/>
    <s v="03 de diciembre de 2018"/>
    <n v="3"/>
    <x v="25"/>
    <s v="800,00"/>
    <e v="#NAME?"/>
  </r>
  <r>
    <n v="1629"/>
    <m/>
    <x v="0"/>
    <d v="2018-12-04T00:00:00"/>
    <n v="800"/>
    <s v="Familia Lomeña Agudo"/>
    <s v="claudialomena@hotmail.com"/>
    <s v="Calle Guacara Nro. 89-30"/>
    <s v="Cancelación Vigilancia, mes de Diciembre 2018"/>
    <x v="0"/>
    <m/>
    <s v="01629"/>
    <s v="04 de diciembre de 2018"/>
    <n v="4"/>
    <x v="25"/>
    <s v="800,00"/>
    <e v="#NAME?"/>
  </r>
  <r>
    <n v="1630"/>
    <m/>
    <x v="0"/>
    <d v="2018-12-04T00:00:00"/>
    <n v="320"/>
    <s v="Familia Montilla García"/>
    <s v="dairy252525@hotmail.com"/>
    <s v="Calle Güigüe Nro. 89-90"/>
    <s v="Cancelación Vigilancia, mes de Noviembre 2018"/>
    <x v="0"/>
    <m/>
    <s v="01630"/>
    <s v="04 de diciembre de 2018"/>
    <n v="4"/>
    <x v="25"/>
    <s v="320,00"/>
    <e v="#NAME?"/>
  </r>
  <r>
    <n v="1631"/>
    <m/>
    <x v="0"/>
    <d v="2018-12-04T00:00:00"/>
    <n v="1625"/>
    <s v="Colegio El Trigal"/>
    <s v="En Físico"/>
    <s v="Calle Güigüe Nros. 88-71 y 88-81"/>
    <s v="Cancelación Vigilancia, meses de Noviembre y Diciembre 2018"/>
    <x v="0"/>
    <m/>
    <s v="01631"/>
    <s v="04 de diciembre de 2018"/>
    <n v="4"/>
    <x v="25"/>
    <s v="1.625,00"/>
    <e v="#NAME?"/>
  </r>
  <r>
    <n v="1632"/>
    <m/>
    <x v="0"/>
    <d v="2018-12-04T00:00:00"/>
    <n v="320"/>
    <s v="Victoria Francischiello"/>
    <s v="victoriafrancischiello@hotmail.com"/>
    <s v="Calle Guacara Nro. 88-25"/>
    <s v="Cancelación Vigilancia, mes de Noviembre 2018"/>
    <x v="0"/>
    <m/>
    <s v="01632"/>
    <s v="04 de diciembre de 2018"/>
    <n v="4"/>
    <x v="25"/>
    <s v="320,00"/>
    <e v="#NAME?"/>
  </r>
  <r>
    <n v="1633"/>
    <m/>
    <x v="0"/>
    <d v="2018-12-04T00:00:00"/>
    <n v="800"/>
    <s v="Chin Chun Ya (Goya)"/>
    <s v="uc2721@gmail.com"/>
    <s v="Calle Guacara Nro. 87-86"/>
    <s v="Cancelación Vigilancia, mes de Diciembre 2018"/>
    <x v="0"/>
    <m/>
    <s v="01633"/>
    <s v="04 de diciembre de 2018"/>
    <n v="4"/>
    <x v="25"/>
    <s v="800,00"/>
    <e v="#NAME?"/>
  </r>
  <r>
    <n v="1634"/>
    <m/>
    <x v="0"/>
    <d v="2018-12-05T00:00:00"/>
    <n v="480"/>
    <s v="Familia Milanés Carmona"/>
    <s v="yndira11m@gmail.com"/>
    <s v="Calle Güigüe Nro. 89-65"/>
    <s v="Cancelación Vigilancia, saldo mes de Diciembre 2018"/>
    <x v="0"/>
    <m/>
    <s v="01634"/>
    <s v="05 de diciembre de 2018"/>
    <n v="5"/>
    <x v="25"/>
    <s v="480,00"/>
    <e v="#NAME?"/>
  </r>
  <r>
    <n v="1635"/>
    <m/>
    <x v="0"/>
    <d v="2018-12-05T00:00:00"/>
    <n v="960"/>
    <s v="Familia Ferrer Bahri"/>
    <s v="bahrimariela@hotmail.com"/>
    <s v="Calle Güigüe Nro. 89-83"/>
    <s v="Vigilancia: cancelación saldo mes de Diciembre 2018 y mes de Enero 2019"/>
    <x v="0"/>
    <m/>
    <s v="01635"/>
    <s v="05 de diciembre de 2018"/>
    <n v="5"/>
    <x v="25"/>
    <s v="960,00"/>
    <e v="#NAME?"/>
  </r>
  <r>
    <n v="1636"/>
    <m/>
    <x v="0"/>
    <d v="2018-12-05T00:00:00"/>
    <n v="1000"/>
    <s v="Familia Durvelle Serrano"/>
    <s v="sdurvelle@hotmail.com"/>
    <s v="Calle Guacara Nro. 89-60"/>
    <s v="Cancelación Vigilancia, mes de Diciembre 2018 más aporte"/>
    <x v="0"/>
    <m/>
    <s v="01636"/>
    <s v="05 de diciembre de 2018"/>
    <n v="5"/>
    <x v="25"/>
    <s v="1.000,00"/>
    <e v="#NAME?"/>
  </r>
  <r>
    <n v="1637"/>
    <m/>
    <x v="0"/>
    <d v="2018-12-05T00:00:00"/>
    <n v="662.95"/>
    <s v="Familia Del Negro Palermo"/>
    <s v="vdelnegro@gmail.com"/>
    <s v="Calle Guacara Nro. 88-45"/>
    <s v="Cancelación Vigilancia, mes de Diciembre 2018 (saldo a favor: Bs. 0,00)"/>
    <x v="0"/>
    <m/>
    <s v="01637"/>
    <s v="05 de diciembre de 2018"/>
    <n v="5"/>
    <x v="25"/>
    <s v="662,95"/>
    <e v="#NAME?"/>
  </r>
  <r>
    <n v="1638"/>
    <m/>
    <x v="0"/>
    <d v="2018-12-05T00:00:00"/>
    <n v="800"/>
    <s v="Ely Saúl Rivero Gómez"/>
    <s v="hhs.admon@gmail.com"/>
    <s v="Av. &quot;Ñ&quot; Nro. 145-25"/>
    <s v="Cancelación Vigilancia, mes de Diciembre 2018 (saldo a favor: Bs. 2.152,00)"/>
    <x v="0"/>
    <m/>
    <s v="01638"/>
    <s v="05 de diciembre de 2018"/>
    <n v="5"/>
    <x v="25"/>
    <s v="800,00"/>
    <e v="#NAME?"/>
  </r>
  <r>
    <n v="1639"/>
    <m/>
    <x v="0"/>
    <d v="2018-11-01T00:00:00"/>
    <n v="320"/>
    <s v="Familia Hurtado"/>
    <s v="En Físico"/>
    <s v="Av. &quot;O&quot; Nro. 146-11"/>
    <s v="Cancelación Vigilancia, mes de Octubre 2018"/>
    <x v="0"/>
    <m/>
    <s v="01639"/>
    <s v="01 de noviembre de 2018"/>
    <n v="1"/>
    <x v="24"/>
    <s v="320,00"/>
    <e v="#NAME?"/>
  </r>
  <r>
    <n v="1640"/>
    <m/>
    <x v="0"/>
    <d v="2018-11-30T00:00:00"/>
    <n v="320"/>
    <s v="Familia Hurtado"/>
    <s v="En Físico"/>
    <s v="Av. &quot;O&quot; Nro. 146-11"/>
    <s v="Cancelación Vigilancia, mes de Noviembre 2018"/>
    <x v="0"/>
    <m/>
    <s v="01640"/>
    <s v="30 de noviembre de 2018"/>
    <n v="30"/>
    <x v="24"/>
    <s v="320,00"/>
    <e v="#NAME?"/>
  </r>
  <r>
    <n v="1641"/>
    <m/>
    <x v="0"/>
    <d v="2018-12-05T00:00:00"/>
    <n v="480"/>
    <s v="Familia Colosso Delgado"/>
    <s v="mcolosso@gmail.com"/>
    <s v="Calle Güigüe Nro. 88-44"/>
    <s v="Cancelación Vigilancia, saldo mes de Diciembre 2018"/>
    <x v="0"/>
    <m/>
    <s v="01641"/>
    <s v="05 de diciembre de 2018"/>
    <n v="5"/>
    <x v="25"/>
    <s v="480,00"/>
    <e v="#NAME?"/>
  </r>
  <r>
    <n v="1642"/>
    <m/>
    <x v="0"/>
    <d v="2018-11-05T00:00:00"/>
    <n v="560"/>
    <s v="Familia Fermín Rivas"/>
    <s v="angelferminb@gmail.com"/>
    <s v="Calle Güigüe Nro. 89-55"/>
    <s v="Cancelación Vigilancia, saldo mes de Diciembre 2018"/>
    <x v="0"/>
    <m/>
    <s v="01642"/>
    <s v="05 de noviembre de 2018"/>
    <n v="5"/>
    <x v="24"/>
    <s v="560,00"/>
    <e v="#NAME?"/>
  </r>
  <r>
    <n v="1643"/>
    <m/>
    <x v="0"/>
    <d v="2018-12-06T00:00:00"/>
    <n v="800"/>
    <s v="Familia Navarrete Medina"/>
    <s v="juanin1919@yahoo.com"/>
    <s v="Calle Güigüe Nro. 89-22"/>
    <s v="Cancelación Vigilancia, mes de Diciembre 2018"/>
    <x v="0"/>
    <m/>
    <s v="01643"/>
    <s v="06 de diciembre de 2018"/>
    <n v="6"/>
    <x v="25"/>
    <s v="800,00"/>
    <e v="#NAME?"/>
  </r>
  <r>
    <n v="1644"/>
    <m/>
    <x v="0"/>
    <d v="2018-12-06T00:00:00"/>
    <n v="800"/>
    <s v="Familia Costermani Terrer"/>
    <s v="claudiacostermani@hotmail.com"/>
    <s v="Calle Güigüe Nro. 88-11"/>
    <s v="Cancelación Vigilancia, mes de Diciembre 2018"/>
    <x v="0"/>
    <m/>
    <s v="01644"/>
    <s v="06 de diciembre de 2018"/>
    <n v="6"/>
    <x v="25"/>
    <s v="800,00"/>
    <e v="#NAME?"/>
  </r>
  <r>
    <n v="1645"/>
    <m/>
    <x v="0"/>
    <d v="2018-12-06T00:00:00"/>
    <n v="800"/>
    <s v="Dra. Lilia Magallanes"/>
    <s v="liliamagallanes2010@gmail.com"/>
    <s v="Calle Güigüe Nro. 88-51"/>
    <s v="Cancelación Vigilancia, mes de Diciembre 2018"/>
    <x v="0"/>
    <m/>
    <s v="01645"/>
    <s v="06 de diciembre de 2018"/>
    <n v="6"/>
    <x v="25"/>
    <s v="800,00"/>
    <e v="#NAME?"/>
  </r>
  <r>
    <n v="1646"/>
    <m/>
    <x v="0"/>
    <d v="2018-12-06T00:00:00"/>
    <n v="800"/>
    <s v="Familia Navarro Assing"/>
    <s v="liliaassing@gmail.com"/>
    <s v="Calle Güigüe Nro. 88-54"/>
    <s v="Cancelación Vigilancia, mes de Diciembre 2018"/>
    <x v="0"/>
    <m/>
    <s v="01646"/>
    <s v="06 de diciembre de 2018"/>
    <n v="6"/>
    <x v="25"/>
    <s v="800,00"/>
    <e v="#NAME?"/>
  </r>
  <r>
    <n v="1647"/>
    <m/>
    <x v="0"/>
    <d v="2018-12-06T00:00:00"/>
    <n v="320"/>
    <s v="Familia Machado Stoppa"/>
    <s v="machadoru@hotmail.com"/>
    <s v="Calle Guacara Nro. 88-85"/>
    <s v="Cancelación Vigilancia, mes de Noviembre 2018"/>
    <x v="0"/>
    <m/>
    <s v="01647"/>
    <s v="06 de diciembre de 2018"/>
    <n v="6"/>
    <x v="25"/>
    <s v="320,00"/>
    <e v="#NAME?"/>
  </r>
  <r>
    <n v="1648"/>
    <m/>
    <x v="0"/>
    <d v="2018-12-07T00:00:00"/>
    <n v="800"/>
    <s v="Familia Castro Jiménez"/>
    <s v="aurycastrojimenez@gmail.com"/>
    <s v="Calle Guacara Nro. 90-51"/>
    <s v="Cancelación Vigilancia, mes de Diciembre 2018"/>
    <x v="0"/>
    <m/>
    <s v="01648"/>
    <s v="07 de diciembre de 2018"/>
    <n v="7"/>
    <x v="25"/>
    <s v="800,00"/>
    <e v="#NAME?"/>
  </r>
  <r>
    <n v="1649"/>
    <m/>
    <x v="0"/>
    <d v="2018-12-08T00:00:00"/>
    <n v="1000"/>
    <s v="Wu Hung Fung"/>
    <s v="carolinahung24@gmail.com"/>
    <s v="Calle Guacara Nro. 90-81"/>
    <s v="Vigilancia: saldo mes de Octubre 2018, cancelación Noviembre 2018 y anticipo Enero 2019"/>
    <x v="0"/>
    <m/>
    <s v="01649"/>
    <s v="08 de diciembre de 2018"/>
    <n v="8"/>
    <x v="25"/>
    <s v="1.000,00"/>
    <e v="#NAME?"/>
  </r>
  <r>
    <n v="1650"/>
    <m/>
    <x v="0"/>
    <d v="2018-12-08T00:00:00"/>
    <n v="400"/>
    <s v="Gloria Molina"/>
    <s v="glomola2@yahoo.es"/>
    <s v="Calle Güigüe Nro. 89-71"/>
    <s v="Colaboración Vigilancia, meses de Octubre y Noviembre 2018"/>
    <x v="0"/>
    <m/>
    <s v="01650"/>
    <s v="08 de diciembre de 2018"/>
    <n v="8"/>
    <x v="25"/>
    <s v="400,00"/>
    <e v="#NAME?"/>
  </r>
  <r>
    <n v="1651"/>
    <m/>
    <x v="0"/>
    <d v="2018-12-08T00:00:00"/>
    <n v="800"/>
    <s v="Amparo Acosta"/>
    <s v="amparonatividad@hotmail.com"/>
    <s v="Calle Guacara Nro. 88-65"/>
    <s v="Cancelación Vigilancia, mes de Diciembre 2018"/>
    <x v="0"/>
    <m/>
    <s v="01651"/>
    <s v="08 de diciembre de 2018"/>
    <n v="8"/>
    <x v="25"/>
    <s v="800,00"/>
    <e v="#NAME?"/>
  </r>
  <r>
    <n v="1652"/>
    <m/>
    <x v="0"/>
    <d v="2018-12-08T00:00:00"/>
    <n v="800"/>
    <s v="Carmen Moreno"/>
    <s v="carmenemoreno10@gmail.com"/>
    <s v="Calle Güigüe Nro. 89-04"/>
    <s v="Cancelación Vigilancia, mes de Diciembre 2018"/>
    <x v="0"/>
    <m/>
    <s v="01652"/>
    <s v="08 de diciembre de 2018"/>
    <n v="8"/>
    <x v="25"/>
    <s v="800,00"/>
    <e v="#NAME?"/>
  </r>
  <r>
    <n v="1653"/>
    <m/>
    <x v="0"/>
    <d v="2018-12-09T00:00:00"/>
    <n v="320"/>
    <s v="Héctor Hernández"/>
    <s v="eof64@hotmail.com"/>
    <s v="Calle Guacara Nro. 89-94"/>
    <s v="Cancelación Vigilancia, mes de Noviembre 2018"/>
    <x v="0"/>
    <m/>
    <s v="01653"/>
    <s v="09 de diciembre de 2018"/>
    <n v="9"/>
    <x v="25"/>
    <s v="320,00"/>
    <e v="#NAME?"/>
  </r>
  <r>
    <n v="1654"/>
    <m/>
    <x v="0"/>
    <d v="2018-12-09T00:00:00"/>
    <n v="800"/>
    <s v="Familia Franco Gómez"/>
    <s v="eof64@hotmail.com"/>
    <s v="Calle Guacara Nro. 87-07"/>
    <s v="Cancelación Vigilancia, mes de Diciembre 2018"/>
    <x v="0"/>
    <m/>
    <s v="01654"/>
    <s v="09 de diciembre de 2018"/>
    <n v="9"/>
    <x v="25"/>
    <s v="800,00"/>
    <e v="#NAME?"/>
  </r>
  <r>
    <n v="1655"/>
    <m/>
    <x v="0"/>
    <d v="2018-12-09T00:00:00"/>
    <n v="800"/>
    <s v="Familia Machado Stoppa"/>
    <s v="machadoru@hotmail.com"/>
    <s v="Calle Guacara Nro. 88-85"/>
    <s v="Cancelación Vigilancia, mes de Diciembre 2018"/>
    <x v="0"/>
    <m/>
    <s v="01655"/>
    <s v="09 de diciembre de 2018"/>
    <n v="9"/>
    <x v="25"/>
    <s v="800,00"/>
    <e v="#NAME?"/>
  </r>
  <r>
    <n v="1656"/>
    <m/>
    <x v="0"/>
    <d v="2018-12-09T00:00:00"/>
    <n v="800"/>
    <s v="Héctor Hernández"/>
    <s v="eof64@hotmail.com"/>
    <s v="Calle Guacara Nro. 89-94"/>
    <s v="Cancelación Vigilancia, mes de Diciembre 2018"/>
    <x v="0"/>
    <m/>
    <s v="01656"/>
    <s v="09 de diciembre de 2018"/>
    <n v="9"/>
    <x v="25"/>
    <s v="800,00"/>
    <e v="#NAME?"/>
  </r>
  <r>
    <n v="1657"/>
    <m/>
    <x v="0"/>
    <d v="2018-10-31T00:00:00"/>
    <n v="320"/>
    <s v="Ma. de Jesus Alonso"/>
    <s v="alonsojg@gmail.com"/>
    <s v="Calle Güigüe Nro. 88-30"/>
    <s v="Cancelación Vigilancia, mes de Octubre 2018"/>
    <x v="0"/>
    <m/>
    <s v="01657"/>
    <s v="31 de octubre de 2018"/>
    <n v="31"/>
    <x v="23"/>
    <s v="320,00"/>
    <e v="#NAME?"/>
  </r>
  <r>
    <n v="1658"/>
    <m/>
    <x v="0"/>
    <d v="2018-12-07T00:00:00"/>
    <n v="800"/>
    <s v="Familia Kablan Sarmiento"/>
    <s v="norisjsb56@hotmail.com"/>
    <s v="Calle Güigüe Nro. 89-80"/>
    <s v="Cancelación Vigilancia, mes de Diciembre 2018"/>
    <x v="0"/>
    <m/>
    <s v="01658"/>
    <s v="07 de diciembre de 2018"/>
    <n v="7"/>
    <x v="25"/>
    <s v="800,00"/>
    <e v="#NAME?"/>
  </r>
  <r>
    <n v="1659"/>
    <m/>
    <x v="0"/>
    <d v="2018-12-10T00:00:00"/>
    <n v="800"/>
    <s v="Sra. Reina Meléndez"/>
    <s v="olgajipe@gmail.com"/>
    <s v="Av. &quot;M&quot; Nro. 145-10"/>
    <s v="Cancelación Vigilancia, mes de Diciembre 2018"/>
    <x v="0"/>
    <m/>
    <s v="01659"/>
    <s v="10 de diciembre de 2018"/>
    <n v="10"/>
    <x v="25"/>
    <s v="800,00"/>
    <e v="#NAME?"/>
  </r>
  <r>
    <n v="1660"/>
    <m/>
    <x v="0"/>
    <d v="2018-12-11T00:00:00"/>
    <n v="800"/>
    <s v="Familia Manrique Riera"/>
    <s v="patriciamanrique@gmail.com"/>
    <s v="Calle Guacara Nro. 89-40"/>
    <s v="Cancelación Vigilancia, mes de Diciembre 2018"/>
    <x v="0"/>
    <m/>
    <s v="01660"/>
    <s v="11 de diciembre de 2018"/>
    <n v="11"/>
    <x v="25"/>
    <s v="800,00"/>
    <e v="#NAME?"/>
  </r>
  <r>
    <n v="1661"/>
    <m/>
    <x v="0"/>
    <d v="2018-12-11T00:00:00"/>
    <n v="800"/>
    <s v="Familia Gascón Domínguez"/>
    <s v="vrgascon@gmail.com"/>
    <s v="Calle Güigüe Nro. 88-70"/>
    <s v="Cancelación Vigilancia, mes de Diciembre 2018"/>
    <x v="0"/>
    <m/>
    <s v="01661"/>
    <s v="11 de diciembre de 2018"/>
    <n v="11"/>
    <x v="25"/>
    <s v="800,00"/>
    <e v="#NAME?"/>
  </r>
  <r>
    <n v="1662"/>
    <m/>
    <x v="0"/>
    <d v="2018-11-19T00:00:00"/>
    <n v="320"/>
    <s v="Familia Delgado Hidalgo"/>
    <s v="ardh@hotmail.com"/>
    <s v="Calle Güigüe Nro. 88-10"/>
    <s v="Cancelación Vigilancia, mes de Noviembre 2018"/>
    <x v="0"/>
    <m/>
    <s v="01662"/>
    <s v="19 de noviembre de 2018"/>
    <n v="19"/>
    <x v="24"/>
    <s v="320,00"/>
    <e v="#NAME?"/>
  </r>
  <r>
    <n v="1663"/>
    <m/>
    <x v="0"/>
    <d v="2018-12-13T00:00:00"/>
    <n v="800"/>
    <s v="Familia Delgado Hidalgo"/>
    <s v="ardh@hotmail.com"/>
    <s v="Calle Güigüe Nro. 88-10"/>
    <s v="Cancelación Vigilancia, mes de Diciembre 2018"/>
    <x v="0"/>
    <m/>
    <s v="01663"/>
    <s v="13 de diciembre de 2018"/>
    <n v="13"/>
    <x v="25"/>
    <s v="800,00"/>
    <e v="#NAME?"/>
  </r>
  <r>
    <n v="1664"/>
    <m/>
    <x v="0"/>
    <d v="2018-12-13T00:00:00"/>
    <n v="800"/>
    <s v="Familia Kattar González"/>
    <s v="jagiak123@yahoo.es"/>
    <s v="Calle Güigüe Nro. 89-95"/>
    <s v="Cancelación Vigilancia, saldo mes de Diciembre 2018 y anticipo mes de Enero 2019"/>
    <x v="0"/>
    <m/>
    <s v="01664"/>
    <s v="13 de diciembre de 2018"/>
    <n v="13"/>
    <x v="25"/>
    <s v="800,00"/>
    <e v="#NAME?"/>
  </r>
  <r>
    <n v="1665"/>
    <m/>
    <x v="0"/>
    <d v="2018-11-11T00:00:00"/>
    <n v="320"/>
    <s v="Beatriz Lara"/>
    <s v="valentina.gutierrez@hotmail.com"/>
    <s v="Calle Guacara Nro. 89-130"/>
    <s v="Cancelación Vigilancia, mes de Noviembre 2018"/>
    <x v="0"/>
    <m/>
    <s v="01665"/>
    <s v="11 de noviembre de 2018"/>
    <n v="11"/>
    <x v="24"/>
    <s v="320,00"/>
    <e v="#NAME?"/>
  </r>
  <r>
    <n v="1666"/>
    <m/>
    <x v="0"/>
    <d v="2018-12-13T00:00:00"/>
    <n v="1131.1500000000001"/>
    <s v="Familia López Hermoso"/>
    <s v="lopez.humberto14@yahoo.com.ve"/>
    <s v="Calle Güigüe Nro. 89-79"/>
    <s v="Cancelación Vigilancia, meses de Noviembre y Diciembre 2018 (saldo a favor: Bs. 11,15)"/>
    <x v="0"/>
    <m/>
    <s v="01666"/>
    <s v="13 de diciembre de 2018"/>
    <n v="13"/>
    <x v="25"/>
    <s v="1.131,15"/>
    <e v="#NAME?"/>
  </r>
  <r>
    <n v="1667"/>
    <m/>
    <x v="0"/>
    <d v="2018-12-13T00:00:00"/>
    <n v="320"/>
    <s v="Familia Piñero Padilla"/>
    <s v="achepaul2005@hotmail.com"/>
    <s v="Calle Güigüe Nro. 89-21"/>
    <s v="Cancelación Vigilancia, mes de Noviembre 2018"/>
    <x v="0"/>
    <m/>
    <s v="01667"/>
    <s v="13 de diciembre de 2018"/>
    <n v="13"/>
    <x v="25"/>
    <s v="320,00"/>
    <e v="#NAME?"/>
  </r>
  <r>
    <n v="1668"/>
    <m/>
    <x v="0"/>
    <d v="2018-12-14T00:00:00"/>
    <n v="320"/>
    <s v="Familia Navarrete Medina"/>
    <s v="juanin1919@yahoo.com"/>
    <s v="Calle Güigüe Nro. 89-22"/>
    <s v="Cancelación Vigilancia, mes de Noviembre 2018"/>
    <x v="0"/>
    <m/>
    <s v="01668"/>
    <s v="14 de diciembre de 2018"/>
    <n v="14"/>
    <x v="25"/>
    <s v="320,00"/>
    <e v="#NAME?"/>
  </r>
  <r>
    <n v="1669"/>
    <m/>
    <x v="0"/>
    <d v="2018-12-14T00:00:00"/>
    <n v="320"/>
    <s v="Familia Matta Palomino"/>
    <s v="En Físico"/>
    <s v="Calle Güigüe Nro. 88-90"/>
    <s v="Cancelación Vigilancia, mes de Noviembre 2018"/>
    <x v="0"/>
    <m/>
    <s v="01669"/>
    <s v="14 de diciembre de 2018"/>
    <n v="14"/>
    <x v="25"/>
    <s v="320,00"/>
    <e v="#NAME?"/>
  </r>
  <r>
    <n v="1670"/>
    <m/>
    <x v="0"/>
    <d v="2018-12-14T00:00:00"/>
    <n v="3000"/>
    <s v="Familia Ozar Rivero"/>
    <s v="vanessarivero81@hotmail.com"/>
    <s v="Calle Güigüe Nro. 88-06"/>
    <s v="Vigilancia: Cancelación meses de Octubre, Noviembre y Diciembre 2018 y anticipo mes de Enero 2019"/>
    <x v="0"/>
    <m/>
    <s v="01670"/>
    <s v="14 de diciembre de 2018"/>
    <n v="14"/>
    <x v="25"/>
    <s v="3.000,00"/>
    <e v="#NAME?"/>
  </r>
  <r>
    <n v="1671"/>
    <m/>
    <x v="0"/>
    <d v="2018-12-14T00:00:00"/>
    <n v="1760"/>
    <s v="Yuraima Rodríguez"/>
    <s v="En Físico"/>
    <s v="Calle Guacara Nro. 89-70"/>
    <s v="Cancelación Vigilancia, meses de Septiembre, Octubre, Noviembre y Diciembre 2018"/>
    <x v="0"/>
    <m/>
    <s v="01671"/>
    <s v="14 de diciembre de 2018"/>
    <n v="14"/>
    <x v="25"/>
    <s v="1.760,00"/>
    <e v="#NAME?"/>
  </r>
  <r>
    <n v="1672"/>
    <m/>
    <x v="0"/>
    <d v="2018-12-15T00:00:00"/>
    <n v="800"/>
    <s v="Beatriz Lara"/>
    <s v="valentina.gutierrez@hotmail.com"/>
    <s v="Calle Guacara Nro. 89-130"/>
    <s v="Cancelación Vigilancia, mes de Diciembre 2018"/>
    <x v="0"/>
    <m/>
    <s v="01672"/>
    <s v="15 de diciembre de 2018"/>
    <n v="15"/>
    <x v="25"/>
    <s v="800,00"/>
    <e v="#NAME?"/>
  </r>
  <r>
    <n v="1673"/>
    <m/>
    <x v="0"/>
    <d v="2018-12-16T00:00:00"/>
    <n v="355"/>
    <s v="La Casita Encantada"/>
    <s v="En Físico"/>
    <s v="Av. &quot;M&quot; Nro. 146-30"/>
    <s v="Cancelación Vigilancia, mes de Noviembre 2018"/>
    <x v="0"/>
    <m/>
    <s v="01673"/>
    <s v="16 de diciembre de 2018"/>
    <n v="16"/>
    <x v="25"/>
    <s v="355,00"/>
    <e v="#NAME?"/>
  </r>
  <r>
    <n v="1674"/>
    <m/>
    <x v="0"/>
    <d v="2018-12-16T00:00:00"/>
    <n v="200"/>
    <s v="Familia Chávez Hernández"/>
    <s v="mercedesch23@hotmail.com"/>
    <s v="Calle Güigüe Nro. 88-20"/>
    <s v="Colaboración Vigilancia, meses de Noviembre y Diciembre 2018"/>
    <x v="0"/>
    <m/>
    <s v="01674"/>
    <s v="16 de diciembre de 2018"/>
    <n v="16"/>
    <x v="25"/>
    <s v="200,00"/>
    <e v="#NAME?"/>
  </r>
  <r>
    <n v="1675"/>
    <m/>
    <x v="0"/>
    <d v="2018-12-17T00:00:00"/>
    <n v="1600"/>
    <s v="Familia Sirit Palencia"/>
    <s v="irasirit@gmail.com"/>
    <s v="Calle Güigüe Nro. 89-35"/>
    <s v="Cancelación Vigilancia, meses de Octubre, Noviembre y Diciembre 2018, y adelanto mes de Enero 2019"/>
    <x v="0"/>
    <m/>
    <s v="01675"/>
    <s v="17 de diciembre de 2018"/>
    <n v="17"/>
    <x v="25"/>
    <s v="1.600,00"/>
    <e v="#NAME?"/>
  </r>
  <r>
    <n v="1676"/>
    <m/>
    <x v="0"/>
    <d v="2018-12-17T00:00:00"/>
    <n v="1120"/>
    <s v="Familia Rodríguez Aular"/>
    <s v="mvaular@hotmail.com"/>
    <s v="Calle Güigüe Nro. 88-58"/>
    <s v="Cancelación Vigilancia, meses de Noviembre y Diciembre 2018"/>
    <x v="0"/>
    <m/>
    <s v="01676"/>
    <s v="17 de diciembre de 2018"/>
    <n v="17"/>
    <x v="25"/>
    <s v="1.120,00"/>
    <e v="#NAME?"/>
  </r>
  <r>
    <n v="1677"/>
    <m/>
    <x v="0"/>
    <d v="2018-12-17T00:00:00"/>
    <n v="320"/>
    <s v="Familia Astor Zamora"/>
    <s v="imzastor@gmail.com"/>
    <s v="Calle Güigüe Nro. 88-111"/>
    <s v="Cancelación Vigilancia, mes de Noviembre 2018"/>
    <x v="0"/>
    <m/>
    <s v="01677"/>
    <s v="17 de diciembre de 2018"/>
    <n v="17"/>
    <x v="25"/>
    <s v="320,00"/>
    <e v="#NAME?"/>
  </r>
  <r>
    <n v="1678"/>
    <m/>
    <x v="0"/>
    <d v="2018-12-18T00:00:00"/>
    <n v="1000"/>
    <s v="Familia Wu Acevedo"/>
    <s v="rudyacevedo90@gmail.com"/>
    <s v="Calle Guacara Nro. 88-A-10"/>
    <s v="Cancelación Vigilancia, mes de Diciembre 2018"/>
    <x v="0"/>
    <m/>
    <s v="01678"/>
    <s v="18 de diciembre de 2018"/>
    <n v="18"/>
    <x v="25"/>
    <s v="1.000,00"/>
    <e v="#NAME?"/>
  </r>
  <r>
    <n v="1679"/>
    <m/>
    <x v="0"/>
    <d v="2018-12-18T00:00:00"/>
    <n v="1950"/>
    <s v="Familia Ochoa Mendoza"/>
    <s v="marisoljudithm@hotmail.com"/>
    <s v="Calle Guacara Nro. 89-130"/>
    <s v="Cancelación Vigilancia, meses de Noviembre y Diciembre 2018, y Enero 2019"/>
    <x v="0"/>
    <m/>
    <s v="01679"/>
    <s v="18 de diciembre de 2018"/>
    <n v="18"/>
    <x v="25"/>
    <s v="1.950,00"/>
    <e v="#NAME?"/>
  </r>
  <r>
    <n v="1680"/>
    <m/>
    <x v="0"/>
    <d v="2018-12-19T00:00:00"/>
    <n v="980"/>
    <s v="Familia Loponte Arteaga"/>
    <s v="En Físico"/>
    <s v="Calle Güigüe Nro. 88-120"/>
    <s v="Contribución Vigilancia, mes de Diciembre 2018 y cancelación mes de Enero 2019"/>
    <x v="0"/>
    <m/>
    <s v="01680"/>
    <s v="19 de diciembre de 2018"/>
    <n v="19"/>
    <x v="25"/>
    <s v="980,00"/>
    <e v="#NAME?"/>
  </r>
  <r>
    <n v="1681"/>
    <m/>
    <x v="0"/>
    <d v="2018-12-22T00:00:00"/>
    <n v="800"/>
    <s v="Familia Acosta Carpio"/>
    <s v="pablo962@hotmail.com"/>
    <s v="Calle Güigüe Nro. 89-10"/>
    <s v="Cancelación Vigilancia, mes de Diciembre 2018"/>
    <x v="0"/>
    <m/>
    <s v="01681"/>
    <s v="22 de diciembre de 2018"/>
    <n v="22"/>
    <x v="25"/>
    <s v="800,00"/>
    <e v="#NAME?"/>
  </r>
  <r>
    <n v="1682"/>
    <m/>
    <x v="0"/>
    <d v="2018-12-23T00:00:00"/>
    <n v="480"/>
    <s v="Anahiz Seijas"/>
    <s v="anahiz_2@hotmail.es"/>
    <s v="Calle Güigüe Nro. 89-106"/>
    <s v="Cancelación Vigilancia, saldo mes de Diciembre 2018"/>
    <x v="0"/>
    <m/>
    <s v="01682"/>
    <s v="23 de diciembre de 2018"/>
    <n v="23"/>
    <x v="25"/>
    <s v="480,00"/>
    <e v="#NAME?"/>
  </r>
  <r>
    <n v="1683"/>
    <m/>
    <x v="0"/>
    <d v="2018-12-25T00:00:00"/>
    <n v="1450"/>
    <s v="Familia Leung"/>
    <s v="En Físico"/>
    <s v="Calle Guacara Nro. 88-55"/>
    <s v="Cancelación Vigilancia, meses de Octubre, Noviembre y Diciembre 2018, y anticipo mes de Enero 2019"/>
    <x v="0"/>
    <m/>
    <s v="01683"/>
    <s v="25 de diciembre de 2018"/>
    <n v="25"/>
    <x v="25"/>
    <s v="1.450,00"/>
    <e v="#NAME?"/>
  </r>
  <r>
    <n v="1684"/>
    <m/>
    <x v="0"/>
    <d v="2018-12-25T00:00:00"/>
    <n v="500"/>
    <s v="Gloria Molina"/>
    <s v="glomola2@yahoo.es"/>
    <s v="Calle Güigüe Nro. 89-71"/>
    <s v="Colaboración Vigilancia, mes de Diciembre 2018"/>
    <x v="0"/>
    <m/>
    <s v="01684"/>
    <s v="25 de diciembre de 2018"/>
    <n v="25"/>
    <x v="25"/>
    <s v="500,00"/>
    <e v="#NAME?"/>
  </r>
  <r>
    <n v="1685"/>
    <m/>
    <x v="0"/>
    <d v="2018-12-26T00:00:00"/>
    <n v="800"/>
    <s v="La Casita Encantada"/>
    <s v="En Físico"/>
    <s v="Av. &quot;M&quot; Nro. 146-30"/>
    <s v="Cancelación Vigilancia, mes de Diciembre 2018"/>
    <x v="0"/>
    <m/>
    <s v="01685"/>
    <s v="26 de diciembre de 2018"/>
    <n v="26"/>
    <x v="25"/>
    <s v="800,00"/>
    <e v="#NAME?"/>
  </r>
  <r>
    <n v="1686"/>
    <m/>
    <x v="0"/>
    <d v="2018-12-26T00:00:00"/>
    <n v="1000"/>
    <s v="Familia Martínez Boada"/>
    <s v="florcitakmz@gmail.com"/>
    <s v="Calle Güigüe Nro. 88-62"/>
    <s v="Colaboración Vigilancia, meses de Noviembre y Diciembre 2018"/>
    <x v="0"/>
    <m/>
    <s v="01686"/>
    <s v="26 de diciembre de 2018"/>
    <n v="26"/>
    <x v="25"/>
    <s v="1.000,00"/>
    <e v="#NAME?"/>
  </r>
  <r>
    <n v="1687"/>
    <m/>
    <x v="0"/>
    <d v="2018-12-28T00:00:00"/>
    <n v="800"/>
    <s v="Familia Díaz González"/>
    <s v="luisrdt57@gmail.com"/>
    <s v="Calle Güigüe Nro. 88-116"/>
    <s v="Cancelación Vigilancia, mes de Diciembre 2018"/>
    <x v="0"/>
    <m/>
    <s v="01687"/>
    <s v="28 de diciembre de 2018"/>
    <n v="28"/>
    <x v="25"/>
    <s v="800,00"/>
    <e v="#NAME?"/>
  </r>
  <r>
    <n v="1688"/>
    <m/>
    <x v="0"/>
    <d v="2018-12-29T00:00:00"/>
    <n v="1600"/>
    <s v="Familia Piñero Padilla"/>
    <s v="achepaul2005@hotmail.com"/>
    <s v="Calle Güigüe Nro. 89-21"/>
    <s v="Cancelación Vigilancia, meses de Diciembre 2018 y Enero 2019"/>
    <x v="0"/>
    <m/>
    <s v="01688"/>
    <s v="29 de diciembre de 2018"/>
    <n v="29"/>
    <x v="25"/>
    <s v="1.600,00"/>
    <e v="#NAME?"/>
  </r>
  <r>
    <n v="1689"/>
    <m/>
    <x v="0"/>
    <d v="2019-01-02T00:00:00"/>
    <n v="1200"/>
    <s v="Ma. de Jesus Alonso"/>
    <s v="alonsojg@gmail.com"/>
    <s v="Calle Güigüe Nro. 88-30"/>
    <s v="Cancelación Vigilancia, meses de Noviembre y Diciembre 2018"/>
    <x v="0"/>
    <m/>
    <s v="01689"/>
    <s v="02 de enero de 2019"/>
    <n v="2"/>
    <x v="26"/>
    <s v="1.200,00"/>
    <e v="#NAME?"/>
  </r>
  <r>
    <n v="1690"/>
    <m/>
    <x v="0"/>
    <d v="2019-01-03T00:00:00"/>
    <n v="400"/>
    <s v="Familia Rodríguez Landaeta"/>
    <s v="mrl58@hotmail.com"/>
    <s v="Calle Güigüe Nro. 89-29"/>
    <s v="Colaboración Vigilancia, mes de Diciembre 2018"/>
    <x v="0"/>
    <m/>
    <s v="01690"/>
    <s v="03 de enero de 2019"/>
    <n v="3"/>
    <x v="26"/>
    <s v="400,00"/>
    <e v="#NAME?"/>
  </r>
  <r>
    <n v="1691"/>
    <m/>
    <x v="0"/>
    <d v="2019-01-03T00:00:00"/>
    <n v="800"/>
    <s v="Familia Kattar González"/>
    <s v="jagiak123@yahoo.es"/>
    <s v="Calle Güigüe Nro. 89-95"/>
    <s v="Vigilancia: Anticipo meses de Enero y Febrero 2019"/>
    <x v="0"/>
    <m/>
    <s v="01691"/>
    <s v="03 de enero de 2019"/>
    <n v="3"/>
    <x v="26"/>
    <s v="800,00"/>
    <e v="#NAME?"/>
  </r>
  <r>
    <n v="1692"/>
    <m/>
    <x v="0"/>
    <d v="2019-01-03T00:00:00"/>
    <n v="1600"/>
    <s v="Familia Zavarce Pérez"/>
    <s v="En Físico"/>
    <s v="Calle Guacara Nro. 90-35"/>
    <s v="Cancelación Vigilancia, meses de Diciembre 2018 y Enero 2019"/>
    <x v="0"/>
    <m/>
    <s v="01692"/>
    <s v="03 de enero de 2019"/>
    <n v="3"/>
    <x v="26"/>
    <s v="1.600,00"/>
    <e v="#NAME?"/>
  </r>
  <r>
    <n v="1693"/>
    <m/>
    <x v="0"/>
    <d v="2019-01-05T00:00:00"/>
    <n v="1800"/>
    <s v="Familia Fermín Rivas"/>
    <s v="angelferminb@gmail.com"/>
    <s v="Calle Güigüe Nro. 89-55"/>
    <s v="Vigilancia: Anticipo mes de Enero 2019"/>
    <x v="0"/>
    <m/>
    <s v="01693"/>
    <s v="05 de enero de 2019"/>
    <n v="5"/>
    <x v="26"/>
    <s v="1.800,00"/>
    <e v="#NAME?"/>
  </r>
  <r>
    <n v="1694"/>
    <m/>
    <x v="0"/>
    <d v="2019-01-06T00:00:00"/>
    <n v="770"/>
    <s v="Familia Scabuzzo Gómez"/>
    <s v="sfscabuzzo@msn.com"/>
    <s v="Av. &quot;I&quot; Nro. 146-20"/>
    <s v="Cancelación Vigilancia, saldo mes de Diciembre 2018 y anticipo mes de Enero 2019"/>
    <x v="0"/>
    <m/>
    <s v="01694"/>
    <s v="06 de enero de 2019"/>
    <n v="6"/>
    <x v="26"/>
    <s v="770,00"/>
    <e v="#NAME?"/>
  </r>
  <r>
    <n v="1695"/>
    <m/>
    <x v="0"/>
    <d v="2019-01-06T00:00:00"/>
    <n v="800"/>
    <s v="Familia Scabuzzo Gómez"/>
    <s v="sfscabuzzo@msn.com"/>
    <s v="Av. &quot;I&quot; Nro. 146-20"/>
    <s v="Vigilancia: Anticipo mes de Enero 2019"/>
    <x v="0"/>
    <m/>
    <s v="01695"/>
    <s v="06 de enero de 2019"/>
    <n v="6"/>
    <x v="26"/>
    <s v="800,00"/>
    <e v="#NAME?"/>
  </r>
  <r>
    <n v="1696"/>
    <m/>
    <x v="0"/>
    <d v="2019-01-07T00:00:00"/>
    <n v="800"/>
    <s v="Carmen Moreno"/>
    <s v="carmenemoreno10@gmail.com"/>
    <s v="Calle Güigüe Nro. 89-04"/>
    <s v="Vigilancia: Anticipo mes de Enero 2019"/>
    <x v="0"/>
    <m/>
    <s v="01696"/>
    <s v="07 de enero de 2019"/>
    <n v="7"/>
    <x v="26"/>
    <s v="800,00"/>
    <e v="#NAME?"/>
  </r>
  <r>
    <n v="1697"/>
    <m/>
    <x v="0"/>
    <d v="2019-01-07T00:00:00"/>
    <n v="320"/>
    <s v="Ana de González"/>
    <s v="mikelnowak25@gmail.com"/>
    <s v="Av. &quot;O&quot; Nro. 146-17"/>
    <s v="Cancelación Vigilancia, mes de Noviembre 2018"/>
    <x v="0"/>
    <m/>
    <s v="01697"/>
    <s v="07 de enero de 2019"/>
    <n v="7"/>
    <x v="26"/>
    <s v="320,00"/>
    <e v="#NAME?"/>
  </r>
  <r>
    <n v="1698"/>
    <m/>
    <x v="0"/>
    <d v="2019-01-07T00:00:00"/>
    <n v="800"/>
    <s v="Ana de González"/>
    <s v="mikelnowak25@gmail.com"/>
    <s v="Av. &quot;O&quot; Nro. 146-17"/>
    <s v="Cancelación Vigilancia, mes de Diciembre 2018"/>
    <x v="0"/>
    <m/>
    <s v="01698"/>
    <s v="07 de enero de 2019"/>
    <n v="7"/>
    <x v="26"/>
    <s v="800,00"/>
    <e v="#NAME?"/>
  </r>
  <r>
    <n v="1699"/>
    <m/>
    <x v="0"/>
    <d v="2019-01-07T00:00:00"/>
    <n v="800"/>
    <s v="Victoria Francischiello"/>
    <s v="victoriafrancischiello@hotmail.com"/>
    <s v="Calle Guacara Nro. 88-25"/>
    <s v="Cancelación Vigilancia, mes de Diciembre 2018"/>
    <x v="0"/>
    <m/>
    <s v="01699"/>
    <s v="07 de enero de 2019"/>
    <n v="7"/>
    <x v="26"/>
    <s v="800,00"/>
    <e v="#NAME?"/>
  </r>
  <r>
    <n v="1700"/>
    <m/>
    <x v="0"/>
    <d v="2019-01-08T00:00:00"/>
    <n v="937.05"/>
    <s v="Familia Del Negro Palermo"/>
    <s v="vdelnegro@gmail.com"/>
    <s v="Calle Guacara Nro. 88-45"/>
    <s v="Vigilancia: Cancelación saldo mes de Diciembre 2018 y anticipo mes de Enero 2019 (saldo a favor: Bs. 9.062,95)"/>
    <x v="0"/>
    <m/>
    <s v="01700"/>
    <s v="08 de enero de 2019"/>
    <n v="8"/>
    <x v="26"/>
    <s v="937,05"/>
    <e v="#NAME?"/>
  </r>
  <r>
    <n v="1701"/>
    <m/>
    <x v="0"/>
    <d v="2019-01-08T00:00:00"/>
    <n v="800"/>
    <s v="Familia Lomeña Agudo"/>
    <s v="claudialomena@hotmail.com"/>
    <s v="Calle Guacara Nro. 89-30"/>
    <s v="Vigilancia: Anticipo mes de Enero 2019"/>
    <x v="0"/>
    <m/>
    <s v="01701"/>
    <s v="08 de enero de 2019"/>
    <n v="8"/>
    <x v="26"/>
    <s v="800,00"/>
    <e v="#NAME?"/>
  </r>
  <r>
    <n v="1702"/>
    <m/>
    <x v="0"/>
    <d v="2019-01-08T00:00:00"/>
    <n v="800"/>
    <s v="Chin Chun Ya (Goya)"/>
    <s v="uc2721@gmail.com"/>
    <s v="Calle Guacara Nro. 87-86"/>
    <s v="Vigilancia: Anticipo mes de Enero 2019"/>
    <x v="0"/>
    <m/>
    <s v="01702"/>
    <s v="08 de enero de 2019"/>
    <n v="8"/>
    <x v="26"/>
    <s v="800,00"/>
    <e v="#NAME?"/>
  </r>
  <r>
    <n v="1703"/>
    <m/>
    <x v="0"/>
    <d v="2019-01-08T00:00:00"/>
    <n v="1280"/>
    <s v="Familia Guerra Miret"/>
    <s v="antoniojguerrag@hotmail.com"/>
    <s v="Calle Güigüe Nro. 89-40"/>
    <s v="Vigilancia: cancelación saldo mes de Diciembre 2018 y mes de Enero 2019"/>
    <x v="0"/>
    <m/>
    <s v="01703"/>
    <s v="08 de enero de 2019"/>
    <n v="8"/>
    <x v="26"/>
    <s v="1.280,00"/>
    <e v="#NAME?"/>
  </r>
  <r>
    <n v="1704"/>
    <m/>
    <x v="0"/>
    <d v="2019-01-08T00:00:00"/>
    <n v="800"/>
    <s v="Héctor Hernández"/>
    <s v="eof64@hotmail.com"/>
    <s v="Calle Guacara Nro. 89-94"/>
    <s v="Vigilancia: Anticipo mes de Enero 2019"/>
    <x v="0"/>
    <m/>
    <s v="01704"/>
    <s v="08 de enero de 2019"/>
    <n v="8"/>
    <x v="26"/>
    <s v="800,00"/>
    <e v="#NAME?"/>
  </r>
  <r>
    <n v="1705"/>
    <m/>
    <x v="0"/>
    <d v="2019-01-08T00:00:00"/>
    <n v="800"/>
    <s v="Familia Franco Gómez"/>
    <s v="eof64@hotmail.com"/>
    <s v="Calle Guacara Nro. 87-07"/>
    <s v="Vigilancia: Anticipo mes de Enero 2019"/>
    <x v="0"/>
    <m/>
    <s v="01705"/>
    <s v="08 de enero de 2019"/>
    <n v="8"/>
    <x v="26"/>
    <s v="800,00"/>
    <e v="#NAME?"/>
  </r>
  <r>
    <n v="1706"/>
    <m/>
    <x v="0"/>
    <d v="2019-01-09T00:00:00"/>
    <n v="800"/>
    <s v="Familia Arcia Polanco"/>
    <s v="misipo29@gmail.com"/>
    <s v="Calle Guacara Nro. 89-20"/>
    <s v="Vigilancia: Anticipo mes de Enero 2019"/>
    <x v="0"/>
    <m/>
    <s v="01706"/>
    <s v="09 de enero de 2019"/>
    <n v="9"/>
    <x v="26"/>
    <s v="800,00"/>
    <e v="#NAME?"/>
  </r>
  <r>
    <n v="1707"/>
    <m/>
    <x v="0"/>
    <d v="2019-01-10T00:00:00"/>
    <n v="800"/>
    <s v="Familia Milanés Carmona"/>
    <s v="yndira11m@gmail.com"/>
    <s v="Calle Güigüe Nro. 89-65"/>
    <s v="Vigilancia: Anticipo mes de Enero 2019"/>
    <x v="0"/>
    <m/>
    <s v="01707"/>
    <s v="10 de enero de 2019"/>
    <n v="10"/>
    <x v="26"/>
    <s v="800,00"/>
    <e v="#NAME?"/>
  </r>
  <r>
    <n v="1708"/>
    <m/>
    <x v="0"/>
    <d v="2019-01-10T00:00:00"/>
    <n v="1600"/>
    <s v="Wilson Escamilla"/>
    <s v="wilsonescamilla45@gmail.com"/>
    <s v="Calle Güigüe Nro. 89-89"/>
    <s v="Vigilancia: Cancelación mes de Diciembre 2018 y anticipo mes de Enero 2019"/>
    <x v="0"/>
    <m/>
    <s v="01708"/>
    <s v="10 de enero de 2019"/>
    <n v="10"/>
    <x v="26"/>
    <s v="1.600,00"/>
    <e v="#NAME?"/>
  </r>
  <r>
    <n v="1709"/>
    <m/>
    <x v="0"/>
    <d v="2019-01-10T00:00:00"/>
    <n v="1000"/>
    <s v="Familia Castro Jiménez"/>
    <s v="aurycastrojimenez@gmail.com"/>
    <s v="Calle Guacara Nro. 90-51"/>
    <s v="Vigilancia: Anticipo mes de Enero 2019"/>
    <x v="0"/>
    <m/>
    <s v="01709"/>
    <s v="10 de enero de 2019"/>
    <n v="10"/>
    <x v="26"/>
    <s v="1.000,00"/>
    <e v="#NAME?"/>
  </r>
  <r>
    <n v="1710"/>
    <m/>
    <x v="0"/>
    <d v="2019-01-10T00:00:00"/>
    <n v="800"/>
    <s v="Familia Delgado Hidalgo"/>
    <s v="ardh@hotmail.com"/>
    <s v="Calle Güigüe Nro. 88-10"/>
    <s v="Vigilancia: Anticipo mes de Enero 2019"/>
    <x v="0"/>
    <m/>
    <s v="01710"/>
    <s v="10 de enero de 2019"/>
    <n v="10"/>
    <x v="26"/>
    <s v="800,00"/>
    <e v="#NAME?"/>
  </r>
  <r>
    <n v="1711"/>
    <m/>
    <x v="0"/>
    <d v="2019-01-10T00:00:00"/>
    <n v="1500"/>
    <s v="Wu Hung Fung"/>
    <s v="carolinahung24@gmail.com"/>
    <s v="Calle Guacara Nro. 90-81"/>
    <s v="Vigilancia: Anticipo mes de Enero 2019"/>
    <x v="0"/>
    <m/>
    <s v="01711"/>
    <s v="10 de enero de 2019"/>
    <n v="10"/>
    <x v="26"/>
    <s v="1.500,00"/>
    <e v="#NAME?"/>
  </r>
  <r>
    <n v="1712"/>
    <m/>
    <x v="0"/>
    <d v="2019-01-11T00:00:00"/>
    <n v="800"/>
    <s v="Ely Saúl Rivero Gómez"/>
    <s v="hhs.admon@gmail.com"/>
    <s v="Av. &quot;Ñ&quot; Nro. 145-25"/>
    <s v="Vigilancia: Anticipo mes de Enero 2019 (saldo a favor: Bs. 1.352,00)"/>
    <x v="0"/>
    <m/>
    <s v="01712"/>
    <s v="11 de enero de 2019"/>
    <n v="11"/>
    <x v="26"/>
    <s v="800,00"/>
    <e v="#NAME?"/>
  </r>
  <r>
    <n v="1713"/>
    <m/>
    <x v="0"/>
    <d v="2019-01-11T00:00:00"/>
    <n v="1000"/>
    <s v="Familia Durvelle Serrano"/>
    <s v="sdurvelle@hotmail.com"/>
    <s v="Calle Guacara Nro. 89-60"/>
    <s v="Vigilancia: Anticipo mes de Enero 2019"/>
    <x v="0"/>
    <m/>
    <s v="01713"/>
    <s v="11 de enero de 2019"/>
    <n v="11"/>
    <x v="26"/>
    <s v="1.000,00"/>
    <e v="#NAME?"/>
  </r>
  <r>
    <n v="1714"/>
    <m/>
    <x v="0"/>
    <d v="2019-01-11T00:00:00"/>
    <n v="800"/>
    <s v="Familia Navarro Assing"/>
    <s v="liliaassing@gmail.com"/>
    <s v="Calle Güigüe Nro. 88-54"/>
    <s v="Vigilancia: Anticipo mes de Enero 2019"/>
    <x v="0"/>
    <m/>
    <s v="01714"/>
    <s v="11 de enero de 2019"/>
    <n v="11"/>
    <x v="26"/>
    <s v="800,00"/>
    <e v="#NAME?"/>
  </r>
  <r>
    <n v="1715"/>
    <m/>
    <x v="0"/>
    <d v="2019-01-11T00:00:00"/>
    <n v="800"/>
    <s v="Amparo Acosta"/>
    <s v="amparonatividad@hotmail.com"/>
    <s v="Calle Guacara Nro. 88-65"/>
    <s v="Vigilancia: Anticipo mes de Enero 2019"/>
    <x v="0"/>
    <m/>
    <s v="01715"/>
    <s v="11 de enero de 2019"/>
    <n v="11"/>
    <x v="26"/>
    <s v="800,00"/>
    <e v="#NAME?"/>
  </r>
  <r>
    <n v="1716"/>
    <m/>
    <x v="0"/>
    <d v="2019-01-11T00:00:00"/>
    <n v="800"/>
    <s v="Familia Colosso Delgado"/>
    <s v="mcolosso@gmail.com"/>
    <s v="Calle Güigüe Nro. 88-44"/>
    <s v="Vigilancia: Anticipo mes de Enero 2019"/>
    <x v="0"/>
    <m/>
    <s v="01716"/>
    <s v="11 de enero de 2019"/>
    <n v="11"/>
    <x v="26"/>
    <s v="800,00"/>
    <e v="#NAME?"/>
  </r>
  <r>
    <n v="1717"/>
    <m/>
    <x v="0"/>
    <d v="2019-01-13T00:00:00"/>
    <n v="850"/>
    <s v="Familia Alonso Rojas"/>
    <s v="redjc01@gmail.com"/>
    <s v="Calle Güigüe Nro. 89-54"/>
    <s v="Vigilancia: Anticipo mes de Enero 2019"/>
    <x v="0"/>
    <m/>
    <s v="01717"/>
    <s v="13 de enero de 2019"/>
    <n v="13"/>
    <x v="26"/>
    <s v="850,00"/>
    <e v="#NAME?"/>
  </r>
  <r>
    <n v="1718"/>
    <m/>
    <x v="0"/>
    <d v="2019-01-13T00:00:00"/>
    <n v="1120"/>
    <s v="Familia Zavarce Barón"/>
    <s v="alexanderzavarce@gmail.com"/>
    <s v="Calle Guacara Nro. 88-91"/>
    <s v="Cancelación Vigilancia, meses de Noviembre y Diciembre 2018"/>
    <x v="0"/>
    <m/>
    <s v="01718"/>
    <s v="13 de enero de 2019"/>
    <n v="13"/>
    <x v="26"/>
    <s v="1.120,00"/>
    <e v="#NAME?"/>
  </r>
  <r>
    <n v="1719"/>
    <m/>
    <x v="0"/>
    <d v="2019-01-13T00:00:00"/>
    <n v="1600"/>
    <s v="Familia Franco Gómez"/>
    <s v="eof64@hotmail.com"/>
    <s v="Calle Guacara Nro. 87-07"/>
    <s v="Vigilancia: Anticipo mes de Enero 2019"/>
    <x v="0"/>
    <m/>
    <s v="01719"/>
    <s v="13 de enero de 2019"/>
    <n v="13"/>
    <x v="26"/>
    <s v="1.600,00"/>
    <e v="#NAME?"/>
  </r>
  <r>
    <n v="1720"/>
    <m/>
    <x v="0"/>
    <d v="2019-01-14T00:00:00"/>
    <n v="800"/>
    <s v="Beatriz Lara"/>
    <s v="valentina.gutierrez@hotmail.com"/>
    <s v="Calle Guacara Nro. 89-130"/>
    <s v="Vigilancia: Anticipo mes de Enero 2019"/>
    <x v="0"/>
    <m/>
    <s v="01720"/>
    <s v="14 de enero de 2019"/>
    <n v="14"/>
    <x v="26"/>
    <s v="800,00"/>
    <e v="#NAME?"/>
  </r>
  <r>
    <n v="1721"/>
    <m/>
    <x v="0"/>
    <d v="2019-01-13T00:00:00"/>
    <n v="1160"/>
    <s v="Colegio El Trigal"/>
    <s v="En Físico"/>
    <s v="Calle Güigüe Nros. 88-71 y 88-81"/>
    <s v="Vigilancia: Anticipo mes de Enero 2019"/>
    <x v="0"/>
    <m/>
    <s v="01721"/>
    <s v="13 de enero de 2019"/>
    <n v="13"/>
    <x v="26"/>
    <s v="1.160,00"/>
    <e v="#NAME?"/>
  </r>
  <r>
    <n v="1722"/>
    <m/>
    <x v="0"/>
    <d v="2019-01-14T00:00:00"/>
    <n v="800"/>
    <s v="Familia Sirit Palencia"/>
    <s v="irasirit@gmail.com"/>
    <s v="Calle Güigüe Nro. 89-35"/>
    <s v="Vigilancia: Anticipo mes de Enero 2019"/>
    <x v="0"/>
    <m/>
    <s v="01722"/>
    <s v="14 de enero de 2019"/>
    <n v="14"/>
    <x v="26"/>
    <s v="800,00"/>
    <e v="#NAME?"/>
  </r>
  <r>
    <n v="1723"/>
    <m/>
    <x v="0"/>
    <d v="2019-01-15T00:00:00"/>
    <n v="800"/>
    <s v="Familia Rodríguez Aular"/>
    <s v="mvaular@hotmail.com"/>
    <s v="Calle Güigüe Nro. 88-58"/>
    <s v="Vigilancia: Anticipo mes de Enero 2019"/>
    <x v="0"/>
    <m/>
    <s v="01723"/>
    <s v="15 de enero de 2019"/>
    <n v="15"/>
    <x v="26"/>
    <s v="800,00"/>
    <e v="#NAME?"/>
  </r>
  <r>
    <n v="1724"/>
    <m/>
    <x v="0"/>
    <d v="2019-01-14T00:00:00"/>
    <n v="2000"/>
    <s v="Familia Hatem Medina"/>
    <s v="hhatem1@hotmail.com"/>
    <s v="Calle Guacara Nro. 88-51"/>
    <s v="Vigilancia: Anticipo mes de Enero 2019"/>
    <x v="0"/>
    <m/>
    <s v="01724"/>
    <s v="14 de enero de 2019"/>
    <n v="14"/>
    <x v="26"/>
    <s v="2.000,00"/>
    <e v="#NAME?"/>
  </r>
  <r>
    <n v="1725"/>
    <m/>
    <x v="0"/>
    <d v="2019-01-15T00:00:00"/>
    <n v="800"/>
    <s v="Familia Machado Stoppa"/>
    <s v="machadoru@hotmail.com"/>
    <s v="Calle Guacara Nro. 88-85"/>
    <s v="Vigilancia: Anticipo mes de Enero 2019"/>
    <x v="0"/>
    <m/>
    <s v="01725"/>
    <s v="15 de enero de 2019"/>
    <n v="15"/>
    <x v="26"/>
    <s v="800,00"/>
    <e v="#NAME?"/>
  </r>
  <r>
    <n v="1726"/>
    <m/>
    <x v="0"/>
    <d v="2019-01-15T00:00:00"/>
    <n v="1250"/>
    <s v="Familia González Arévalo"/>
    <s v="feryenis@hotmail.com"/>
    <s v="Calle Guacara Nro. 89-86"/>
    <s v="Vigilancia: Cancelación saldo mes de Diciembre 2018 y anticipo mes de Enero 2019"/>
    <x v="0"/>
    <m/>
    <s v="01726"/>
    <s v="15 de enero de 2019"/>
    <n v="15"/>
    <x v="26"/>
    <s v="1.250,00"/>
    <e v="#NAME?"/>
  </r>
  <r>
    <n v="1727"/>
    <m/>
    <x v="0"/>
    <d v="2019-01-15T00:00:00"/>
    <n v="800"/>
    <s v="Familia Manrique Riera"/>
    <s v="patriciamanrique@gmail.com"/>
    <s v="Calle Guacara Nro. 89-40"/>
    <s v="Vigilancia: Anticipo mes de Enero 2019"/>
    <x v="0"/>
    <m/>
    <s v="01727"/>
    <s v="15 de enero de 2019"/>
    <n v="15"/>
    <x v="26"/>
    <s v="800,00"/>
    <e v="#NAME?"/>
  </r>
  <r>
    <n v="1728"/>
    <m/>
    <x v="0"/>
    <d v="2019-01-16T00:00:00"/>
    <n v="800"/>
    <s v="Familia Barreto Pérez"/>
    <s v="bbetsa19@hotmail.com"/>
    <s v="Av. &quot;M&quot; Nro. 146-15"/>
    <s v="Cancelación Vigilancia, mes de Diciembre 2018"/>
    <x v="0"/>
    <m/>
    <s v="01728"/>
    <s v="16 de enero de 2019"/>
    <n v="16"/>
    <x v="26"/>
    <s v="800,00"/>
    <e v="#NAME?"/>
  </r>
  <r>
    <n v="1729"/>
    <m/>
    <x v="0"/>
    <d v="2019-01-16T00:00:00"/>
    <n v="2200"/>
    <s v="Carmen Moreno"/>
    <s v="carmenemoreno10@gmail.com"/>
    <s v="Calle Güigüe Nro. 89-04"/>
    <s v="Vigilancia: Cancelación saldo mes de Enero 2019"/>
    <x v="0"/>
    <m/>
    <s v="01729"/>
    <s v="16 de enero de 2019"/>
    <n v="16"/>
    <x v="26"/>
    <s v="2.200,00"/>
    <e v="#NAME?"/>
  </r>
  <r>
    <n v="1730"/>
    <m/>
    <x v="0"/>
    <d v="2019-01-16T00:00:00"/>
    <n v="3000"/>
    <s v="Familia Narváez Caldera"/>
    <s v="jeannette_nc@yahoo.com"/>
    <s v="Calle Güigüe Nro. 87-A-11"/>
    <s v="Cancelación Vigilancia, mes de Enero 2019"/>
    <x v="0"/>
    <m/>
    <s v="01730"/>
    <s v="16 de enero de 2019"/>
    <n v="16"/>
    <x v="26"/>
    <s v="3.000,00"/>
    <e v="#NAME?"/>
  </r>
  <r>
    <n v="1731"/>
    <m/>
    <x v="0"/>
    <d v="2019-01-16T00:00:00"/>
    <n v="1120"/>
    <s v="Familia Narváez Caldera"/>
    <s v="jeannette_nc@yahoo.com"/>
    <s v="Calle Güigüe Nro. 87-A-11"/>
    <s v="Cancelación Vigilancia, meses de Noviembre y Diciembre 2018"/>
    <x v="0"/>
    <m/>
    <s v="01731"/>
    <s v="16 de enero de 2019"/>
    <n v="16"/>
    <x v="26"/>
    <s v="1.120,00"/>
    <e v="#NAME?"/>
  </r>
  <r>
    <n v="1732"/>
    <m/>
    <x v="0"/>
    <d v="2019-01-16T00:00:00"/>
    <n v="2200"/>
    <s v="Familia Del Negro Palermo"/>
    <s v="vdelnegro@gmail.com"/>
    <s v="Calle Guacara Nro. 88-45"/>
    <s v="Vigilancia: Cancelación saldo mes de Enero 2019 (saldo a favor: Bs. 6.862,95)"/>
    <x v="0"/>
    <m/>
    <s v="01732"/>
    <s v="16 de enero de 2019"/>
    <n v="16"/>
    <x v="26"/>
    <s v="2.200,00"/>
    <e v="#NAME?"/>
  </r>
  <r>
    <n v="1733"/>
    <m/>
    <x v="0"/>
    <d v="2019-01-16T00:00:00"/>
    <n v="2200"/>
    <s v="Familia Manrique Riera"/>
    <s v="patriciamanrique@gmail.com"/>
    <s v="Calle Guacara Nro. 89-40"/>
    <s v="Vigilancia: Cancelación saldo mes de Enero 2019"/>
    <x v="0"/>
    <m/>
    <s v="01733"/>
    <s v="16 de enero de 2019"/>
    <n v="16"/>
    <x v="26"/>
    <s v="2.200,00"/>
    <e v="#NAME?"/>
  </r>
  <r>
    <n v="1734"/>
    <m/>
    <x v="0"/>
    <d v="2019-01-16T00:00:00"/>
    <n v="972"/>
    <s v="Wu Hung Fung"/>
    <s v="carolinahung24@gmail.com"/>
    <s v="Calle Guacara Nro. 90-81"/>
    <s v="Vigilancia: Cancelación saldo mes de Enero 2019"/>
    <x v="0"/>
    <m/>
    <s v="01734"/>
    <s v="16 de enero de 2019"/>
    <n v="16"/>
    <x v="26"/>
    <s v="972,00"/>
    <e v="#NAME?"/>
  </r>
  <r>
    <n v="1735"/>
    <m/>
    <x v="0"/>
    <d v="2019-01-16T00:00:00"/>
    <n v="800"/>
    <s v="Familia Castillo Mena"/>
    <s v="emmecas@hotmail.com"/>
    <s v="Calle Güigüe Nro. 88-101"/>
    <s v="Cancelación Vigilancia, mes de Diciembre 2018"/>
    <x v="0"/>
    <m/>
    <s v="01735"/>
    <s v="16 de enero de 2019"/>
    <n v="16"/>
    <x v="26"/>
    <s v="800,00"/>
    <e v="#NAME?"/>
  </r>
  <r>
    <n v="1736"/>
    <m/>
    <x v="0"/>
    <d v="2019-01-16T00:00:00"/>
    <n v="2200"/>
    <s v="Familia Colosso Delgado"/>
    <s v="mcolosso@gmail.com"/>
    <s v="Calle Güigüe Nro. 88-44"/>
    <s v="Vigilancia: Cancelación saldo mes de Enero 2019"/>
    <x v="0"/>
    <m/>
    <s v="01736"/>
    <s v="16 de enero de 2019"/>
    <n v="16"/>
    <x v="26"/>
    <s v="2.200,00"/>
    <e v="#NAME?"/>
  </r>
  <r>
    <n v="1737"/>
    <m/>
    <x v="0"/>
    <d v="2019-01-17T00:00:00"/>
    <n v="2200"/>
    <s v="Héctor Hernández"/>
    <s v="eof64@hotmail.com"/>
    <s v="Calle Guacara Nro. 89-94"/>
    <s v="Vigilancia: Cancelación saldo mes de Enero 2019"/>
    <x v="0"/>
    <m/>
    <s v="01737"/>
    <s v="17 de enero de 2019"/>
    <n v="17"/>
    <x v="26"/>
    <s v="2.200,00"/>
    <e v="#NAME?"/>
  </r>
  <r>
    <n v="1738"/>
    <m/>
    <x v="0"/>
    <d v="2019-01-17T00:00:00"/>
    <n v="3800"/>
    <s v="Familia Il Grande Franceschi"/>
    <s v="arcifran75@hotmail.com"/>
    <s v="Av. &quot;I&quot; Nro. 146-40"/>
    <s v="Cancelación Vigilancia, meses de Diciembre 2018 y Enero 2019"/>
    <x v="0"/>
    <m/>
    <s v="01738"/>
    <s v="17 de enero de 2019"/>
    <n v="17"/>
    <x v="26"/>
    <s v="3.800,00"/>
    <e v="#NAME?"/>
  </r>
  <r>
    <n v="1739"/>
    <m/>
    <x v="0"/>
    <d v="2019-01-17T00:00:00"/>
    <n v="600"/>
    <s v="Familia Franco Gómez"/>
    <s v="eof64@hotmail.com"/>
    <s v="Calle Guacara Nro. 87-07"/>
    <s v="Vigilancia: Cancelación saldo mes de Enero 2019"/>
    <x v="0"/>
    <m/>
    <s v="01739"/>
    <s v="17 de enero de 2019"/>
    <n v="17"/>
    <x v="26"/>
    <s v="600,00"/>
    <e v="#NAME?"/>
  </r>
  <r>
    <n v="1740"/>
    <m/>
    <x v="0"/>
    <d v="2019-01-17T00:00:00"/>
    <n v="800"/>
    <s v="Familia Matta Palomino"/>
    <s v="En Físico"/>
    <s v="Calle Güigüe Nro. 88-90"/>
    <s v="Cancelación Vigilancia, mes de Diciembre 2018"/>
    <x v="0"/>
    <m/>
    <s v="01740"/>
    <s v="17 de enero de 2019"/>
    <n v="17"/>
    <x v="26"/>
    <s v="800,00"/>
    <e v="#NAME?"/>
  </r>
  <r>
    <n v="1741"/>
    <m/>
    <x v="0"/>
    <d v="2019-01-17T00:00:00"/>
    <n v="2200"/>
    <s v="Familia Kattar González"/>
    <s v="jagiak123@yahoo.es"/>
    <s v="Calle Güigüe Nro. 89-95"/>
    <s v="Vigilancia: Cancelación saldo mes de Enero 2019"/>
    <x v="0"/>
    <m/>
    <s v="01741"/>
    <s v="17 de enero de 2019"/>
    <n v="17"/>
    <x v="26"/>
    <s v="2.200,00"/>
    <e v="#NAME?"/>
  </r>
  <r>
    <n v="1742"/>
    <m/>
    <x v="0"/>
    <d v="2019-01-17T00:00:00"/>
    <n v="2200"/>
    <s v="Familia Navarro Assing"/>
    <s v="liliaassing@gmail.com"/>
    <s v="Calle Güigüe Nro. 88-54"/>
    <s v="Vigilancia: Cancelación saldo mes de Enero 2019"/>
    <x v="0"/>
    <m/>
    <s v="01742"/>
    <s v="17 de enero de 2019"/>
    <n v="17"/>
    <x v="26"/>
    <s v="2.200,00"/>
    <e v="#NAME?"/>
  </r>
  <r>
    <n v="1743"/>
    <m/>
    <x v="0"/>
    <d v="2019-01-17T00:00:00"/>
    <n v="2200"/>
    <s v="Amparo Acosta"/>
    <s v="amparonatividad@hotmail.com"/>
    <s v="Calle Guacara Nro. 88-65"/>
    <s v="Vigilancia: Cancelación saldo mes de Enero 2019"/>
    <x v="0"/>
    <m/>
    <s v="01743"/>
    <s v="17 de enero de 2019"/>
    <n v="17"/>
    <x v="26"/>
    <s v="2.200,00"/>
    <e v="#NAME?"/>
  </r>
  <r>
    <n v="1744"/>
    <m/>
    <x v="0"/>
    <d v="2019-01-17T00:00:00"/>
    <n v="2200"/>
    <s v="Familia Lomeña Agudo"/>
    <s v="claudialomena@hotmail.com"/>
    <s v="Calle Guacara Nro. 89-30"/>
    <s v="Vigilancia: Cancelación saldo mes de Enero 2019"/>
    <x v="0"/>
    <m/>
    <s v="01744"/>
    <s v="17 de enero de 2019"/>
    <n v="17"/>
    <x v="26"/>
    <s v="2.200,00"/>
    <e v="#NAME?"/>
  </r>
  <r>
    <n v="1745"/>
    <m/>
    <x v="0"/>
    <d v="2019-01-17T00:00:00"/>
    <n v="3000"/>
    <s v="Familia Durvelle Serrano"/>
    <s v="sdurvelle@hotmail.com"/>
    <s v="Calle Guacara Nro. 89-60"/>
    <s v="Vigilancia: Cancelación saldo mes de Enero 2019"/>
    <x v="0"/>
    <m/>
    <s v="01745"/>
    <s v="17 de enero de 2019"/>
    <n v="17"/>
    <x v="26"/>
    <s v="3.000,00"/>
    <e v="#NAME?"/>
  </r>
  <r>
    <n v="1746"/>
    <m/>
    <x v="0"/>
    <d v="2019-01-17T00:00:00"/>
    <n v="800"/>
    <s v="Amarilis Guerra"/>
    <s v="amarilisguerra1@yahoo.com"/>
    <s v="Calle Güigüe Nro. 89-96"/>
    <s v="Vigilancia: Anticipo mes de Enero 2019"/>
    <x v="0"/>
    <m/>
    <s v="01746"/>
    <s v="17 de enero de 2019"/>
    <n v="17"/>
    <x v="26"/>
    <s v="800,00"/>
    <e v="#NAME?"/>
  </r>
  <r>
    <n v="1747"/>
    <m/>
    <x v="0"/>
    <d v="2019-01-18T00:00:00"/>
    <n v="1200"/>
    <s v="Familia Fermín Rivas"/>
    <s v="angelferminb@gmail.com"/>
    <s v="Calle Güigüe Nro. 89-55"/>
    <s v="Vigilancia: Cancelación saldo mes de Enero 2019"/>
    <x v="0"/>
    <m/>
    <s v="01747"/>
    <s v="18 de enero de 2019"/>
    <n v="18"/>
    <x v="26"/>
    <s v="1.200,00"/>
    <e v="#NAME?"/>
  </r>
  <r>
    <n v="1748"/>
    <m/>
    <x v="0"/>
    <d v="2018-12-07T00:00:00"/>
    <n v="800"/>
    <s v="Amarilis Guerra"/>
    <s v="amarilisguerra1@yahoo.com"/>
    <s v="Calle Güigüe Nro. 89-96"/>
    <s v="Cancelación Vigilancia, mes de Diciembre 2018"/>
    <x v="0"/>
    <m/>
    <s v="01748"/>
    <s v="07 de diciembre de 2018"/>
    <n v="7"/>
    <x v="25"/>
    <s v="800,00"/>
    <e v="#NAME?"/>
  </r>
  <r>
    <n v="1749"/>
    <m/>
    <x v="0"/>
    <d v="2019-01-18T00:00:00"/>
    <n v="4120"/>
    <s v="Familia Jiménez Navarro"/>
    <s v="joyasonline2012@gmail.com"/>
    <s v="Calle Güigüe Nro. 88-50"/>
    <s v="Cancelación Vigilancia, meses de Noviembre y Diciembre 2018 y Enero 2019"/>
    <x v="0"/>
    <m/>
    <s v="01749"/>
    <s v="18 de enero de 2019"/>
    <n v="18"/>
    <x v="26"/>
    <s v="4.120,00"/>
    <e v="#NAME?"/>
  </r>
  <r>
    <n v="1750"/>
    <m/>
    <x v="0"/>
    <d v="2019-01-19T00:00:00"/>
    <n v="2200"/>
    <s v="Familia Machado Stoppa"/>
    <s v="machadoru@hotmail.com"/>
    <s v="Calle Guacara Nro. 88-85"/>
    <s v="Vigilancia: Cancelación saldo mes de Enero 2019"/>
    <x v="0"/>
    <m/>
    <s v="01750"/>
    <s v="19 de enero de 2019"/>
    <n v="19"/>
    <x v="26"/>
    <s v="2.200,00"/>
    <e v="#NAME?"/>
  </r>
  <r>
    <n v="1751"/>
    <m/>
    <x v="0"/>
    <d v="2019-01-19T00:00:00"/>
    <n v="2200"/>
    <s v="Familia Flores Montagne"/>
    <s v="martaflores@gmail.com"/>
    <s v="Av. &quot;M&quot; Nro. 146-20"/>
    <s v="Vigilancia: Anticipo mes de Enero 2019"/>
    <x v="0"/>
    <m/>
    <s v="01751"/>
    <s v="19 de enero de 2019"/>
    <n v="19"/>
    <x v="26"/>
    <s v="2.200,00"/>
    <e v="#NAME?"/>
  </r>
  <r>
    <n v="1752"/>
    <m/>
    <x v="0"/>
    <d v="2019-01-20T00:00:00"/>
    <n v="3800"/>
    <s v="Familia Nava Gordon"/>
    <s v="maru_19_66@hotmail.com"/>
    <s v="Calle Guacara Nro. 89-78"/>
    <s v="Vigilancia: Cancelación saldo mes de Diciembre 2018, mes de Enero y anticipo mes de Febrero 2019"/>
    <x v="0"/>
    <m/>
    <s v="01752"/>
    <s v="20 de enero de 2019"/>
    <n v="20"/>
    <x v="26"/>
    <s v="3.800,00"/>
    <e v="#NAME?"/>
  </r>
  <r>
    <n v="1753"/>
    <m/>
    <x v="0"/>
    <d v="2019-01-20T00:00:00"/>
    <n v="3000"/>
    <s v="Dra. Lilia Magallanes"/>
    <s v="liliamagallanes2010@gmail.com"/>
    <s v="Calle Güigüe Nro. 88-51"/>
    <s v="Cancelación Vigilancia, mes de Enero 2019"/>
    <x v="0"/>
    <m/>
    <s v="01753"/>
    <s v="20 de enero de 2019"/>
    <n v="20"/>
    <x v="26"/>
    <s v="3.000,00"/>
    <e v="#NAME?"/>
  </r>
  <r>
    <n v="1754"/>
    <m/>
    <x v="0"/>
    <d v="2019-01-22T00:00:00"/>
    <n v="2200"/>
    <s v="Familia Arcia Polanco"/>
    <s v="misipo29@gmail.com"/>
    <s v="Calle Guacara Nro. 89-20"/>
    <s v="Vigilancia: Cancelación saldo mes de Enero 2019"/>
    <x v="0"/>
    <m/>
    <s v="01754"/>
    <s v="22 de enero de 2019"/>
    <n v="22"/>
    <x v="26"/>
    <s v="2.200,00"/>
    <e v="#NAME?"/>
  </r>
  <r>
    <n v="1755"/>
    <m/>
    <x v="0"/>
    <d v="2019-01-23T00:00:00"/>
    <n v="2200"/>
    <s v="Familia Milanés Carmona"/>
    <s v="yndira11m@gmail.com"/>
    <s v="Calle Güigüe Nro. 89-65"/>
    <s v="Vigilancia: Cancelación saldo mes de Enero 2019"/>
    <x v="0"/>
    <m/>
    <s v="01755"/>
    <s v="23 de enero de 2019"/>
    <n v="23"/>
    <x v="26"/>
    <s v="2.200,00"/>
    <e v="#NAME?"/>
  </r>
  <r>
    <n v="1756"/>
    <m/>
    <x v="0"/>
    <d v="2019-01-23T00:00:00"/>
    <n v="3000"/>
    <s v="Familia Kablan Sarmiento"/>
    <s v="norisjsb56@hotmail.com"/>
    <s v="Calle Güigüe Nro. 89-80"/>
    <s v="Cancelación Vigilancia, mes de Enero 2019"/>
    <x v="0"/>
    <m/>
    <s v="01756"/>
    <s v="23 de enero de 2019"/>
    <n v="23"/>
    <x v="26"/>
    <s v="3.000,00"/>
    <e v="#NAME?"/>
  </r>
  <r>
    <n v="1757"/>
    <m/>
    <x v="0"/>
    <d v="2019-01-23T00:00:00"/>
    <n v="3000"/>
    <s v="Familia Castillo Mena"/>
    <s v="emmecas@hotmail.com"/>
    <s v="Calle Güigüe Nro. 88-101"/>
    <s v="Cancelación Vigilancia, mes de Enero 2019"/>
    <x v="0"/>
    <m/>
    <s v="01757"/>
    <s v="23 de enero de 2019"/>
    <n v="23"/>
    <x v="26"/>
    <s v="3.000,00"/>
    <e v="#NAME?"/>
  </r>
  <r>
    <n v="1758"/>
    <m/>
    <x v="0"/>
    <d v="2019-01-23T00:00:00"/>
    <n v="2200"/>
    <s v="Familia Guerra Miret"/>
    <s v="antoniojguerrag@hotmail.com"/>
    <s v="Calle Güigüe Nro. 89-40"/>
    <s v="Vigilancia: Cancelación saldo mes de Enero 2019"/>
    <x v="0"/>
    <m/>
    <s v="01758"/>
    <s v="23 de enero de 2019"/>
    <n v="23"/>
    <x v="26"/>
    <s v="2.200,00"/>
    <e v="#NAME?"/>
  </r>
  <r>
    <n v="1759"/>
    <m/>
    <x v="0"/>
    <d v="2019-01-24T00:00:00"/>
    <n v="3000"/>
    <s v="Familia Montilla García"/>
    <s v="dairy252525@hotmail.com"/>
    <s v="Calle Güigüe Nro. 89-90"/>
    <s v="Cancelación Vigilancia, mes de Enero 2019"/>
    <x v="0"/>
    <m/>
    <s v="01759"/>
    <s v="24 de enero de 2019"/>
    <n v="24"/>
    <x v="26"/>
    <s v="3.000,00"/>
    <e v="#NAME?"/>
  </r>
  <r>
    <n v="1760"/>
    <m/>
    <x v="0"/>
    <d v="2019-01-25T00:00:00"/>
    <n v="3000"/>
    <s v="Familia Costermani Terrer"/>
    <s v="claudiacostermani@hotmail.com"/>
    <s v="Calle Güigüe Nro. 88-11"/>
    <s v="Cancelación Vigilancia, mes de Enero 2019"/>
    <x v="0"/>
    <m/>
    <s v="01760"/>
    <s v="25 de enero de 2019"/>
    <n v="25"/>
    <x v="26"/>
    <s v="3.000,00"/>
    <e v="#NAME?"/>
  </r>
  <r>
    <n v="1761"/>
    <m/>
    <x v="0"/>
    <d v="2019-01-25T00:00:00"/>
    <n v="3000"/>
    <s v="Familia Wu Acevedo"/>
    <s v="rudyacevedo90@gmail.com"/>
    <s v="Calle Guacara Nro. 88-A-10"/>
    <s v="Cancelación Vigilancia, mes de Enero 2019 (saldo a favor: Bs. 17.005,80)"/>
    <x v="0"/>
    <m/>
    <s v="01761"/>
    <s v="25 de enero de 2019"/>
    <n v="25"/>
    <x v="26"/>
    <s v="3.000,00"/>
    <e v="#NAME?"/>
  </r>
  <r>
    <n v="1762"/>
    <m/>
    <x v="0"/>
    <d v="2019-01-29T00:00:00"/>
    <n v="3000"/>
    <s v="Familia Gascón Domínguez"/>
    <s v="vrgascon@gmail.com"/>
    <s v="Calle Güigüe Nro. 88-70"/>
    <s v="Cancelación Vigilancia, mes de Enero 2019"/>
    <x v="0"/>
    <m/>
    <s v="01762"/>
    <s v="29 de enero de 2019"/>
    <n v="29"/>
    <x v="26"/>
    <s v="3.000,00"/>
    <e v="#NAME?"/>
  </r>
  <r>
    <n v="1763"/>
    <m/>
    <x v="0"/>
    <d v="2019-01-29T00:00:00"/>
    <n v="6500"/>
    <s v="Familia Puerta Burguillos"/>
    <s v="namaricakes@gmail.com"/>
    <s v="Calle Guacara Nro. 87-100"/>
    <s v="Vigilancia: Cancelación saldo mes de Diciembre 2018, mes de Enero y anticipo mes de Febrero 2019"/>
    <x v="0"/>
    <m/>
    <s v="01763"/>
    <s v="29 de enero de 2019"/>
    <n v="29"/>
    <x v="26"/>
    <s v="6.500,00"/>
    <e v="#NAME?"/>
  </r>
  <r>
    <n v="1764"/>
    <m/>
    <x v="0"/>
    <d v="2019-01-30T00:00:00"/>
    <n v="2200"/>
    <s v="Familia Scabuzzo Gómez"/>
    <s v="sfscabuzzo@msn.com"/>
    <s v="Av. &quot;I&quot; Nro. 146-20"/>
    <s v="Vigilancia: Cancelación saldo mes de Enero 2019"/>
    <x v="0"/>
    <m/>
    <s v="01764"/>
    <s v="30 de enero de 2019"/>
    <n v="30"/>
    <x v="26"/>
    <s v="2.200,00"/>
    <e v="#NAME?"/>
  </r>
  <r>
    <n v="1765"/>
    <m/>
    <x v="0"/>
    <d v="2019-01-30T00:00:00"/>
    <n v="2200"/>
    <s v="Familia Ochoa Mendoza"/>
    <s v="marisoljudithm@hotmail.com"/>
    <s v="Calle Guacara Nro. 89-130"/>
    <s v="Vigilancia: Cancelación saldo mes de Enero 2019"/>
    <x v="0"/>
    <m/>
    <s v="01765"/>
    <s v="30 de enero de 2019"/>
    <n v="30"/>
    <x v="26"/>
    <s v="2.200,00"/>
    <e v="#NAME?"/>
  </r>
  <r>
    <n v="1766"/>
    <m/>
    <x v="0"/>
    <d v="2019-01-30T00:00:00"/>
    <n v="500"/>
    <s v="Familia Hatem Medina"/>
    <s v="hhatem1@hotmail.com"/>
    <s v="Calle Guacara Nro. 88-51"/>
    <s v="Vigilancia: Anticipo mes de Enero 2019"/>
    <x v="0"/>
    <m/>
    <s v="01766"/>
    <s v="30 de enero de 2019"/>
    <n v="30"/>
    <x v="26"/>
    <s v="500,00"/>
    <e v="#NAME?"/>
  </r>
  <r>
    <n v="1767"/>
    <m/>
    <x v="0"/>
    <d v="2019-01-30T00:00:00"/>
    <n v="2200"/>
    <s v="Amarilis Guerra"/>
    <s v="amarilisguerra1@yahoo.com"/>
    <s v="Calle Güigüe Nro. 89-96"/>
    <s v="Vigilancia: Cancelación saldo mes de Enero 2019"/>
    <x v="0"/>
    <m/>
    <s v="01767"/>
    <s v="30 de enero de 2019"/>
    <n v="30"/>
    <x v="26"/>
    <s v="2.200,00"/>
    <e v="#NAME?"/>
  </r>
  <r>
    <n v="1768"/>
    <m/>
    <x v="0"/>
    <d v="2019-01-30T00:00:00"/>
    <n v="2200"/>
    <s v="Chin Chun Ya (Goya)"/>
    <s v="uc2721@gmail.com"/>
    <s v="Calle Guacara Nro. 87-86"/>
    <s v="Vigilancia: Cancelación saldo mes de Enero 2019"/>
    <x v="0"/>
    <m/>
    <s v="01768"/>
    <s v="30 de enero de 2019"/>
    <n v="30"/>
    <x v="26"/>
    <s v="2.200,00"/>
    <e v="#NAME?"/>
  </r>
  <r>
    <n v="1769"/>
    <m/>
    <x v="0"/>
    <d v="2019-01-30T00:00:00"/>
    <n v="3000"/>
    <s v="Familia Navarrete Medina"/>
    <s v="juanin1919@yahoo.com"/>
    <s v="Calle Güigüe Nro. 89-22"/>
    <s v="Cancelación Vigilancia, mes de Enero 2019"/>
    <x v="0"/>
    <m/>
    <s v="01769"/>
    <s v="30 de enero de 2019"/>
    <n v="30"/>
    <x v="26"/>
    <s v="3.000,00"/>
    <e v="#NAME?"/>
  </r>
  <r>
    <n v="1770"/>
    <m/>
    <x v="0"/>
    <d v="2019-01-30T00:00:00"/>
    <n v="2200"/>
    <s v="Familia Ferrer Bahri"/>
    <s v="bahrimariela@hotmail.com"/>
    <s v="Calle Güigüe Nro. 89-83"/>
    <s v="Vigilancia: Cancelación saldo mes de Enero 2019"/>
    <x v="0"/>
    <m/>
    <s v="01770"/>
    <s v="30 de enero de 2019"/>
    <n v="30"/>
    <x v="26"/>
    <s v="2.200,00"/>
    <e v="#NAME?"/>
  </r>
  <r>
    <n v="1771"/>
    <m/>
    <x v="0"/>
    <d v="2019-01-30T00:00:00"/>
    <n v="2000"/>
    <s v="Familia Castro Jiménez"/>
    <s v="aurycastrojimenez@gmail.com"/>
    <s v="Calle Guacara Nro. 90-51"/>
    <s v="Vigilancia: Cancelación saldo mes de Enero 2019"/>
    <x v="0"/>
    <m/>
    <s v="01771"/>
    <s v="30 de enero de 2019"/>
    <n v="30"/>
    <x v="26"/>
    <s v="2.000,00"/>
    <e v="#NAME?"/>
  </r>
  <r>
    <n v="1772"/>
    <m/>
    <x v="0"/>
    <d v="2019-01-30T00:00:00"/>
    <n v="3800"/>
    <s v="Familia Abbinante Pinto"/>
    <s v="abbinante47@gmail.com"/>
    <s v="Calle Güigüe Nro. 89-120"/>
    <s v="Cancelación Vigilancia, meses de Diciembre 2018 y Enero 2019"/>
    <x v="0"/>
    <m/>
    <s v="01772"/>
    <s v="30 de enero de 2019"/>
    <n v="30"/>
    <x v="26"/>
    <s v="3.800,00"/>
    <e v="#NAME?"/>
  </r>
  <r>
    <n v="1773"/>
    <m/>
    <x v="0"/>
    <d v="2019-01-30T00:00:00"/>
    <n v="3000"/>
    <s v="Sra. Reina Meléndez"/>
    <s v="olgajipe@gmail.com"/>
    <s v="Av. &quot;M&quot; Nro. 145-10"/>
    <s v="Cancelación Vigilancia, mes de Enero 2019"/>
    <x v="0"/>
    <m/>
    <s v="01773"/>
    <s v="30 de enero de 2019"/>
    <n v="30"/>
    <x v="26"/>
    <s v="3.000,00"/>
    <e v="#NAME?"/>
  </r>
  <r>
    <n v="1774"/>
    <m/>
    <x v="0"/>
    <d v="2019-01-30T00:00:00"/>
    <n v="3000"/>
    <s v="Familia Díaz González"/>
    <s v="luisrdt57@gmail.com"/>
    <s v="Calle Güigüe Nro. 88-116"/>
    <s v="Cancelación Vigilancia, mes de Enero 2019"/>
    <x v="0"/>
    <m/>
    <s v="01774"/>
    <s v="30 de enero de 2019"/>
    <n v="30"/>
    <x v="26"/>
    <s v="3.000,00"/>
    <e v="#NAME?"/>
  </r>
  <r>
    <n v="1775"/>
    <m/>
    <x v="0"/>
    <d v="2019-01-31T00:00:00"/>
    <n v="3000"/>
    <s v="Familia Calzadilla Trujillo"/>
    <s v="calzadilla40@hotmail.com"/>
    <s v="Av. &quot;M&quot; Nro. 146-30"/>
    <s v="Cancelación Vigilancia, mes de Enero 2019"/>
    <x v="0"/>
    <m/>
    <s v="01775"/>
    <s v="31 de enero de 2019"/>
    <n v="31"/>
    <x v="26"/>
    <s v="3.000,00"/>
    <e v="#NAME?"/>
  </r>
  <r>
    <n v="1776"/>
    <m/>
    <x v="0"/>
    <d v="2019-01-31T00:00:00"/>
    <n v="3190"/>
    <s v="Colegio El Trigal"/>
    <s v="En Físico"/>
    <s v="Calle Güigüe Nros. 88-71 y 88-81"/>
    <s v="Vigilancia: Cancelación saldo mes de Enero 2019"/>
    <x v="0"/>
    <m/>
    <s v="01776"/>
    <s v="31 de enero de 2019"/>
    <n v="31"/>
    <x v="26"/>
    <s v="3.190,00"/>
    <e v="#NAME?"/>
  </r>
  <r>
    <n v="1777"/>
    <m/>
    <x v="0"/>
    <d v="2019-01-31T00:00:00"/>
    <n v="1500"/>
    <s v="Familia Hatem Medina"/>
    <s v="hhatem1@hotmail.com"/>
    <s v="Calle Guacara Nro. 88-51"/>
    <s v="Vigilancia: Cancelación saldo mes de Enero y anticipo mes de Febrero 2019"/>
    <x v="0"/>
    <m/>
    <s v="01777"/>
    <s v="31 de enero de 2019"/>
    <n v="31"/>
    <x v="26"/>
    <s v="1.500,00"/>
    <e v="#NAME?"/>
  </r>
  <r>
    <n v="1778"/>
    <m/>
    <x v="0"/>
    <d v="2019-01-31T00:00:00"/>
    <n v="2200"/>
    <s v="Beatriz Lara"/>
    <s v="valentina.gutierrez@hotmail.com"/>
    <s v="Calle Guacara Nro. 89-130"/>
    <s v="Vigilancia: Cancelación saldo mes de Enero 2019"/>
    <x v="0"/>
    <m/>
    <s v="01778"/>
    <s v="31 de enero de 2019"/>
    <n v="31"/>
    <x v="26"/>
    <s v="2.200,00"/>
    <e v="#NAME?"/>
  </r>
  <r>
    <n v="1779"/>
    <m/>
    <x v="0"/>
    <d v="2019-01-31T00:00:00"/>
    <n v="2200"/>
    <s v="Familia Rodríguez Aular"/>
    <s v="mvaular@hotmail.com"/>
    <s v="Calle Güigüe Nro. 88-58"/>
    <s v="Vigilancia: Cancelación saldo mes de Enero 2019"/>
    <x v="0"/>
    <m/>
    <s v="01779"/>
    <s v="31 de enero de 2019"/>
    <n v="31"/>
    <x v="26"/>
    <s v="2.200,00"/>
    <e v="#NAME?"/>
  </r>
  <r>
    <n v="1780"/>
    <m/>
    <x v="0"/>
    <d v="2019-01-31T00:00:00"/>
    <n v="3000"/>
    <s v="Familia Barreto Pérez"/>
    <s v="bbetsa19@hotmail.com"/>
    <s v="Av. &quot;M&quot; Nro. 146-15"/>
    <s v="Cancelación Vigilancia, mes de Enero 2019"/>
    <x v="0"/>
    <m/>
    <s v="01780"/>
    <s v="31 de enero de 2019"/>
    <n v="31"/>
    <x v="26"/>
    <s v="3.000,00"/>
    <e v="#NAME?"/>
  </r>
  <r>
    <n v="1781"/>
    <m/>
    <x v="0"/>
    <d v="2019-02-01T00:00:00"/>
    <n v="2200"/>
    <s v="Familia Zavarce Pérez"/>
    <s v="En Físico"/>
    <s v="Calle Guacara Nro. 90-35"/>
    <s v="Vigilancia: Cancelación saldo mes de Enero 2019"/>
    <x v="0"/>
    <m/>
    <s v="01781"/>
    <s v="01 de febrero de 2019"/>
    <n v="1"/>
    <x v="27"/>
    <s v="2.200,00"/>
    <e v="#NAME?"/>
  </r>
  <r>
    <n v="1782"/>
    <m/>
    <x v="0"/>
    <d v="2019-01-21T00:00:00"/>
    <n v="5200"/>
    <s v="Familia González Arévalo"/>
    <s v="feryenis@hotmail.com"/>
    <s v="Calle Guacara Nro. 89-86"/>
    <s v="Vigilancia: Cancelación saldo mes de Enero y mes de Febrero 2019"/>
    <x v="0"/>
    <m/>
    <s v="01782"/>
    <s v="21 de enero de 2019"/>
    <n v="21"/>
    <x v="26"/>
    <s v="5.200,00"/>
    <e v="#NAME?"/>
  </r>
  <r>
    <n v="1783"/>
    <m/>
    <x v="0"/>
    <d v="2019-01-30T00:00:00"/>
    <n v="1425"/>
    <s v="Familia Fermín Rivas"/>
    <s v="angelferminb@gmail.com"/>
    <s v="Calle Güigüe Nro. 89-55"/>
    <s v="Vigilancia: Anticipo mes de Febrero 2019 (contra factura)"/>
    <x v="0"/>
    <m/>
    <s v="01783"/>
    <s v="30 de enero de 2019"/>
    <n v="30"/>
    <x v="26"/>
    <s v="1.425,00"/>
    <e v="#NAME?"/>
  </r>
  <r>
    <n v="1784"/>
    <m/>
    <x v="0"/>
    <d v="2019-02-02T00:00:00"/>
    <n v="4000"/>
    <s v="Familia Durvelle Serrano"/>
    <s v="sdurvelle@hotmail.com"/>
    <s v="Calle Guacara Nro. 89-60"/>
    <s v="Cancelación Vigilancia, mes de Febrero 2019"/>
    <x v="0"/>
    <m/>
    <s v="01784"/>
    <s v="02 de febrero de 2019"/>
    <n v="2"/>
    <x v="27"/>
    <s v="4.000,00"/>
    <e v="#NAME?"/>
  </r>
  <r>
    <n v="1785"/>
    <m/>
    <x v="0"/>
    <d v="2019-02-04T00:00:00"/>
    <n v="800"/>
    <s v="Familia Flores Montagne"/>
    <s v="martaflores@gmail.com"/>
    <s v="Av. &quot;M&quot; Nro. 146-20"/>
    <s v="Cancelación Vigilancia, mes de Diciembre 2018"/>
    <x v="0"/>
    <m/>
    <s v="01785"/>
    <s v="04 de febrero de 2019"/>
    <n v="4"/>
    <x v="27"/>
    <s v="800,00"/>
    <e v="#NAME?"/>
  </r>
  <r>
    <n v="1786"/>
    <m/>
    <x v="0"/>
    <d v="2019-02-04T00:00:00"/>
    <n v="5200"/>
    <s v="Familia Piñero Padilla"/>
    <s v="achepaul2005@hotmail.com"/>
    <s v="Calle Güigüe Nro. 89-21"/>
    <s v="Vigilancia: Cancelación saldo mes de Enero y mes de Febrero 2019"/>
    <x v="0"/>
    <m/>
    <s v="01786"/>
    <s v="04 de febrero de 2019"/>
    <n v="4"/>
    <x v="27"/>
    <s v="5.200,00"/>
    <e v="#NAME?"/>
  </r>
  <r>
    <n v="1787"/>
    <m/>
    <x v="0"/>
    <d v="2019-02-04T00:00:00"/>
    <n v="3000"/>
    <s v="Familia Zavarce Barón"/>
    <s v="alexanderzavarce@gmail.com"/>
    <s v="Calle Guacara Nro. 88-91"/>
    <s v="Cancelación Vigilancia, mes de Enero 2019"/>
    <x v="0"/>
    <m/>
    <s v="01787"/>
    <s v="04 de febrero de 2019"/>
    <n v="4"/>
    <x v="27"/>
    <s v="3.000,00"/>
    <e v="#NAME?"/>
  </r>
  <r>
    <n v="1788"/>
    <m/>
    <x v="0"/>
    <d v="2019-02-04T00:00:00"/>
    <n v="300"/>
    <s v="Familia Loponte Arteaga"/>
    <s v="En Físico"/>
    <s v="Calle Güigüe Nro. 88-120"/>
    <s v="Vigilancia: Anticipo mes de Febrero 2019"/>
    <x v="0"/>
    <m/>
    <s v="01788"/>
    <s v="04 de febrero de 2019"/>
    <n v="4"/>
    <x v="27"/>
    <s v="300,00"/>
    <e v="#NAME?"/>
  </r>
  <r>
    <n v="1789"/>
    <m/>
    <x v="0"/>
    <d v="2019-02-04T00:00:00"/>
    <n v="5700"/>
    <s v="Familia Loponte Arteaga"/>
    <s v="En Físico"/>
    <s v="Calle Güigüe Nro. 88-120"/>
    <s v="Vigilancia: Cancelación saldo meses de Enero y Febrero y anticipo mes de Marzo 2019"/>
    <x v="0"/>
    <m/>
    <s v="01789"/>
    <s v="04 de febrero de 2019"/>
    <n v="4"/>
    <x v="27"/>
    <s v="5.700,00"/>
    <e v="#NAME?"/>
  </r>
  <r>
    <n v="1790"/>
    <m/>
    <x v="0"/>
    <d v="2019-02-07T00:00:00"/>
    <n v="600"/>
    <s v="Familia Méndez Parra"/>
    <s v="briceidademendez@gmail.com"/>
    <s v="Calle Guacara Nro. 88-19"/>
    <s v="Colaboración Vigilancia, mes de Enero 2019"/>
    <x v="0"/>
    <m/>
    <s v="01790"/>
    <s v="07 de febrero de 2019"/>
    <n v="7"/>
    <x v="27"/>
    <s v="600,00"/>
    <e v="#NAME?"/>
  </r>
  <r>
    <n v="1791"/>
    <m/>
    <x v="0"/>
    <d v="2019-02-04T00:00:00"/>
    <n v="3000"/>
    <s v="Familia Colosso Delgado"/>
    <s v="mcolosso@gmail.com"/>
    <s v="Calle Güigüe Nro. 88-44"/>
    <s v="Cancelación Vigilancia, mes de Febrero 2019"/>
    <x v="0"/>
    <m/>
    <s v="01791"/>
    <s v="04 de febrero de 2019"/>
    <n v="4"/>
    <x v="27"/>
    <s v="3.000,00"/>
    <e v="#NAME?"/>
  </r>
  <r>
    <n v="1792"/>
    <m/>
    <x v="0"/>
    <d v="2019-02-06T00:00:00"/>
    <n v="3000"/>
    <s v="Familia Matta Palomino"/>
    <s v="En Físico"/>
    <s v="Calle Güigüe Nro. 88-90"/>
    <s v="Cancelación Vigilancia, mes de Enero 2019"/>
    <x v="0"/>
    <m/>
    <s v="01792"/>
    <s v="06 de febrero de 2019"/>
    <n v="6"/>
    <x v="27"/>
    <s v="3.000,00"/>
    <e v="#NAME?"/>
  </r>
  <r>
    <n v="1793"/>
    <m/>
    <x v="0"/>
    <d v="2019-02-06T00:00:00"/>
    <n v="3000"/>
    <s v="Carmen Moreno"/>
    <s v="carmenemoreno10@gmail.com"/>
    <s v="Calle Güigüe Nro. 89-04"/>
    <s v="Cancelación Vigilancia, mes de Febrero 2019"/>
    <x v="0"/>
    <m/>
    <s v="01793"/>
    <s v="06 de febrero de 2019"/>
    <n v="6"/>
    <x v="27"/>
    <s v="3.000,00"/>
    <e v="#NAME?"/>
  </r>
  <r>
    <n v="1794"/>
    <m/>
    <x v="0"/>
    <d v="2019-02-06T00:00:00"/>
    <n v="300"/>
    <s v="Familia Chávez Hernández"/>
    <s v="mercedesch23@hotmail.com"/>
    <s v="Calle Güigüe Nro. 88-20"/>
    <s v="Colaboración Vigilancia, mes de Enero 2019"/>
    <x v="0"/>
    <m/>
    <s v="01794"/>
    <s v="06 de febrero de 2019"/>
    <n v="6"/>
    <x v="27"/>
    <s v="300,00"/>
    <e v="#NAME?"/>
  </r>
  <r>
    <n v="1795"/>
    <m/>
    <x v="0"/>
    <d v="2019-02-06T00:00:00"/>
    <n v="2300"/>
    <s v="Familia Méndez Parra"/>
    <s v="briceidademendez@gmail.com"/>
    <s v="Calle Guacara Nro. 88-19"/>
    <s v="Colaboración Vigilancia, mes de Febrero 2019"/>
    <x v="0"/>
    <m/>
    <s v="01795"/>
    <s v="06 de febrero de 2019"/>
    <n v="6"/>
    <x v="27"/>
    <s v="2.300,00"/>
    <e v="#NAME?"/>
  </r>
  <r>
    <n v="1796"/>
    <m/>
    <x v="0"/>
    <d v="2019-02-06T00:00:00"/>
    <n v="320"/>
    <s v="Familia Gascón Domínguez"/>
    <s v="vrgascon@gmail.com"/>
    <s v="Calle Güigüe Nro. 88-70"/>
    <s v="Cancelación Vigilancia, mes de Noviembre 2018"/>
    <x v="0"/>
    <m/>
    <s v="01796"/>
    <s v="06 de febrero de 2019"/>
    <n v="6"/>
    <x v="27"/>
    <s v="320,00"/>
    <e v="#NAME?"/>
  </r>
  <r>
    <n v="1797"/>
    <m/>
    <x v="0"/>
    <d v="2019-02-07T00:00:00"/>
    <n v="5200"/>
    <s v="Ely Saúl Rivero Gómez"/>
    <s v="hhs.admon@gmail.com"/>
    <s v="Av. &quot;Ñ&quot; Nro. 145-25"/>
    <s v="Vigilancia: Cancelación saldo mes de Enero y mes de Febrero 2019 (saldo a favor: Bs. 31.352,00)"/>
    <x v="0"/>
    <m/>
    <s v="01797"/>
    <s v="07 de febrero de 2019"/>
    <n v="7"/>
    <x v="27"/>
    <s v="5.200,00"/>
    <e v="#NAME?"/>
  </r>
  <r>
    <n v="1798"/>
    <m/>
    <x v="0"/>
    <d v="2019-02-08T00:00:00"/>
    <n v="3000"/>
    <s v="Familia Milanés Carmona"/>
    <s v="yndira11m@gmail.com"/>
    <s v="Calle Güigüe Nro. 89-65"/>
    <s v="Cancelación Vigilancia, mes de Febrero 2019"/>
    <x v="0"/>
    <m/>
    <s v="01798"/>
    <s v="08 de febrero de 2019"/>
    <n v="8"/>
    <x v="27"/>
    <s v="3.000,00"/>
    <e v="#NAME?"/>
  </r>
  <r>
    <n v="1799"/>
    <m/>
    <x v="0"/>
    <d v="2019-02-09T00:00:00"/>
    <n v="3000"/>
    <s v="Familia Guerra Miret"/>
    <s v="antoniojguerrag@hotmail.com"/>
    <s v="Calle Güigüe Nro. 89-40"/>
    <s v="Cancelación Vigilancia, mes de Febrero 2019"/>
    <x v="0"/>
    <m/>
    <s v="01799"/>
    <s v="09 de febrero de 2019"/>
    <n v="9"/>
    <x v="27"/>
    <s v="3.000,00"/>
    <e v="#NAME?"/>
  </r>
  <r>
    <n v="1800"/>
    <m/>
    <x v="0"/>
    <d v="2019-02-09T00:00:00"/>
    <n v="1500"/>
    <s v="Gloria Molina"/>
    <s v="glomola2@yahoo.es"/>
    <s v="Calle Güigüe Nro. 89-71"/>
    <s v="Colaboración Vigilancia, mes de Enero 2019"/>
    <x v="0"/>
    <m/>
    <s v="01800"/>
    <s v="09 de febrero de 2019"/>
    <n v="9"/>
    <x v="27"/>
    <s v="1.500,00"/>
    <e v="#NAME?"/>
  </r>
  <r>
    <n v="1801"/>
    <m/>
    <x v="0"/>
    <d v="2019-02-09T00:00:00"/>
    <n v="3000"/>
    <s v="Chin Chun Ya (Goya)"/>
    <s v="uc2721@gmail.com"/>
    <s v="Calle Guacara Nro. 87-86"/>
    <s v="Cancelación Vigilancia, mes de Febrero 2019"/>
    <x v="0"/>
    <m/>
    <s v="01801"/>
    <s v="09 de febrero de 2019"/>
    <n v="9"/>
    <x v="27"/>
    <s v="3.000,00"/>
    <e v="#NAME?"/>
  </r>
  <r>
    <n v="1802"/>
    <m/>
    <x v="0"/>
    <d v="2019-02-09T00:00:00"/>
    <n v="3000"/>
    <s v="Familia Lomeña Agudo"/>
    <s v="claudialomena@hotmail.com"/>
    <s v="Calle Guacara Nro. 89-30"/>
    <s v="Cancelación Vigilancia, mes de Febrero 2019"/>
    <x v="0"/>
    <m/>
    <s v="01802"/>
    <s v="09 de febrero de 2019"/>
    <n v="9"/>
    <x v="27"/>
    <s v="3.000,00"/>
    <e v="#NAME?"/>
  </r>
  <r>
    <n v="1803"/>
    <m/>
    <x v="0"/>
    <d v="2019-02-09T00:00:00"/>
    <n v="3000"/>
    <s v="Familia Machado Stoppa"/>
    <s v="machadoru@hotmail.com"/>
    <s v="Calle Guacara Nro. 88-85"/>
    <s v="Cancelación Vigilancia, mes de Febrero 2019"/>
    <x v="0"/>
    <m/>
    <s v="01803"/>
    <s v="09 de febrero de 2019"/>
    <n v="9"/>
    <x v="27"/>
    <s v="3.000,00"/>
    <e v="#NAME?"/>
  </r>
  <r>
    <n v="1804"/>
    <m/>
    <x v="0"/>
    <d v="2019-02-09T00:00:00"/>
    <n v="3000"/>
    <s v="Familia Arcia Polanco"/>
    <s v="misipo29@gmail.com"/>
    <s v="Calle Guacara Nro. 89-20"/>
    <s v="Cancelación Vigilancia, mes de Febrero 2019"/>
    <x v="0"/>
    <m/>
    <s v="01804"/>
    <s v="09 de febrero de 2019"/>
    <n v="9"/>
    <x v="27"/>
    <s v="3.000,00"/>
    <e v="#NAME?"/>
  </r>
  <r>
    <n v="1805"/>
    <m/>
    <x v="0"/>
    <d v="2019-02-11T00:00:00"/>
    <n v="3000"/>
    <s v="Sra. Reina Meléndez"/>
    <s v="olgajipe@gmail.com"/>
    <s v="Av. &quot;M&quot; Nro. 145-10"/>
    <s v="Cancelación Vigilancia, mes de Febrero 2019"/>
    <x v="0"/>
    <m/>
    <s v="01805"/>
    <s v="11 de febrero de 2019"/>
    <n v="11"/>
    <x v="27"/>
    <s v="3.000,00"/>
    <e v="#NAME?"/>
  </r>
  <r>
    <n v="1806"/>
    <m/>
    <x v="0"/>
    <d v="2019-02-12T00:00:00"/>
    <n v="6000"/>
    <s v="Anahiz Seijas"/>
    <s v="anahiz_2@hotmail.es"/>
    <s v="Calle Güigüe Nro. 89-106"/>
    <s v="Cancelación Vigilancia, meses de Enero y Febrero 2019"/>
    <x v="0"/>
    <m/>
    <s v="01806"/>
    <s v="12 de febrero de 2019"/>
    <n v="12"/>
    <x v="27"/>
    <s v="6.000,00"/>
    <e v="#NAME?"/>
  </r>
  <r>
    <n v="1807"/>
    <m/>
    <x v="0"/>
    <d v="2019-02-13T00:00:00"/>
    <n v="5200"/>
    <s v="Familia Delgado Hidalgo"/>
    <s v="ardh@hotmail.com"/>
    <s v="Calle Güigüe Nro. 88-10"/>
    <s v="Vigilancia: Cancelación saldo mes de Enero y mes de Febrero 2019"/>
    <x v="0"/>
    <m/>
    <s v="01807"/>
    <s v="13 de febrero de 2019"/>
    <n v="13"/>
    <x v="27"/>
    <s v="5.200,00"/>
    <e v="#NAME?"/>
  </r>
  <r>
    <n v="1808"/>
    <m/>
    <x v="0"/>
    <d v="2019-02-13T00:00:00"/>
    <n v="3000"/>
    <s v="Familia Del Negro Palermo"/>
    <s v="vdelnegro@gmail.com"/>
    <s v="Calle Guacara Nro. 88-45"/>
    <s v="Vigilancia: Cancelación saldo mes de Febrero 2019 (saldo a favor: Bs. 3.862,95)"/>
    <x v="0"/>
    <m/>
    <s v="01808"/>
    <s v="13 de febrero de 2019"/>
    <n v="13"/>
    <x v="27"/>
    <s v="3.000,00"/>
    <e v="#NAME?"/>
  </r>
  <r>
    <n v="1809"/>
    <m/>
    <x v="0"/>
    <d v="2019-02-14T00:00:00"/>
    <n v="2200"/>
    <s v="Familia Loponte Arteaga"/>
    <s v="En Físico"/>
    <s v="Calle Güigüe Nro. 88-120"/>
    <s v="Vigilancia: Cancelación saldo mes de Marzo 2019"/>
    <x v="0"/>
    <m/>
    <s v="01809"/>
    <s v="14 de febrero de 2019"/>
    <n v="14"/>
    <x v="27"/>
    <s v="2.200,00"/>
    <e v="#NAME?"/>
  </r>
  <r>
    <n v="1810"/>
    <m/>
    <x v="0"/>
    <d v="2019-02-14T00:00:00"/>
    <n v="3000"/>
    <s v="Victoria Francischiello"/>
    <s v="victoriafrancischiello@hotmail.com"/>
    <s v="Calle Guacara Nro. 88-25"/>
    <s v="Cancelación Vigilancia, mes de Enero 2019"/>
    <x v="0"/>
    <m/>
    <s v="01810"/>
    <s v="14 de febrero de 2019"/>
    <n v="14"/>
    <x v="27"/>
    <s v="3.000,00"/>
    <e v="#NAME?"/>
  </r>
  <r>
    <n v="1811"/>
    <m/>
    <x v="0"/>
    <d v="2019-02-14T00:00:00"/>
    <n v="3000"/>
    <s v="Familia Wu Acevedo"/>
    <s v="rudyacevedo90@gmail.com"/>
    <s v="Calle Guacara Nro. 88-A-10"/>
    <s v="Cancelación Vigilancia, mes de Febrero 2019 (saldo a favor: Bs. 14.005,80)"/>
    <x v="0"/>
    <m/>
    <s v="01811"/>
    <s v="14 de febrero de 2019"/>
    <n v="14"/>
    <x v="27"/>
    <s v="3.000,00"/>
    <e v="#NAME?"/>
  </r>
  <r>
    <n v="1812"/>
    <m/>
    <x v="0"/>
    <d v="2019-02-13T00:00:00"/>
    <n v="1500"/>
    <s v="Familia Sirit Palencia"/>
    <s v="irasirit@gmail.com"/>
    <s v="Calle Güigüe Nro. 89-35"/>
    <s v="Colaboración Vigilancia, mes de Febrero 2019"/>
    <x v="0"/>
    <m/>
    <s v="01812"/>
    <s v="13 de febrero de 2019"/>
    <n v="13"/>
    <x v="27"/>
    <s v="1.500,00"/>
    <e v="#NAME?"/>
  </r>
  <r>
    <n v="1813"/>
    <m/>
    <x v="0"/>
    <d v="2019-02-15T00:00:00"/>
    <n v="3000"/>
    <s v="Familia Rodríguez Aular"/>
    <s v="mvaular@hotmail.com"/>
    <s v="Calle Güigüe Nro. 88-58"/>
    <s v="Cancelación Vigilancia, mes de Febrero 2019"/>
    <x v="0"/>
    <m/>
    <s v="01813"/>
    <s v="15 de febrero de 2019"/>
    <n v="15"/>
    <x v="27"/>
    <s v="3.000,00"/>
    <e v="#NAME?"/>
  </r>
  <r>
    <n v="1814"/>
    <m/>
    <x v="0"/>
    <d v="2019-02-17T00:00:00"/>
    <n v="3000"/>
    <s v="Dra. Lilia Magallanes"/>
    <s v="liliamagallanes2010@gmail.com"/>
    <s v="Calle Güigüe Nro. 88-51"/>
    <s v="Cancelación Vigilancia, mes de Febrero 2019"/>
    <x v="0"/>
    <m/>
    <s v="01814"/>
    <s v="17 de febrero de 2019"/>
    <n v="17"/>
    <x v="27"/>
    <s v="3.000,00"/>
    <e v="#NAME?"/>
  </r>
  <r>
    <n v="1815"/>
    <m/>
    <x v="1"/>
    <d v="2019-02-17T00:00:00"/>
    <n v="3000"/>
    <s v="Familia Il Grande Franceschi"/>
    <s v="arcifran75@hotmail.com"/>
    <s v="Av. &quot;I&quot; Nro. 146-40"/>
    <s v="ANULADO; Cancelación Vigilancia, mes de Febrero 2019"/>
    <x v="3"/>
    <m/>
    <s v="01815"/>
    <s v="17 de febrero de 2019"/>
    <n v="17"/>
    <x v="27"/>
    <s v="3.000,00"/>
    <e v="#NAME?"/>
  </r>
  <r>
    <n v="1816"/>
    <m/>
    <x v="0"/>
    <d v="2019-02-18T00:00:00"/>
    <n v="3000"/>
    <s v="Familia Castro Jiménez"/>
    <s v="aurycastrojimenez@gmail.com"/>
    <s v="Calle Guacara Nro. 90-51"/>
    <s v="Cancelación Vigilancia, mes de Febrero 2019"/>
    <x v="0"/>
    <m/>
    <s v="01816"/>
    <s v="18 de febrero de 2019"/>
    <n v="18"/>
    <x v="27"/>
    <s v="3.000,00"/>
    <e v="#NAME?"/>
  </r>
  <r>
    <n v="1817"/>
    <m/>
    <x v="0"/>
    <d v="2019-02-19T00:00:00"/>
    <n v="1575"/>
    <s v="Familia Fermín Rivas"/>
    <s v="angelferminb@gmail.com"/>
    <s v="Calle Güigüe Nro. 89-55"/>
    <s v="Vigilancia: Cancelación saldo mes de Febrero 2019"/>
    <x v="0"/>
    <m/>
    <s v="01817"/>
    <s v="19 de febrero de 2019"/>
    <n v="19"/>
    <x v="27"/>
    <s v="1.575,00"/>
    <e v="#NAME?"/>
  </r>
  <r>
    <n v="1818"/>
    <m/>
    <x v="0"/>
    <d v="2019-02-20T00:00:00"/>
    <n v="3000"/>
    <s v="Familia Costermani Terrer"/>
    <s v="claudiacostermani@hotmail.com"/>
    <s v="Calle Güigüe Nro. 88-11"/>
    <s v="Cancelación Vigilancia, mes de Febrero 2019"/>
    <x v="0"/>
    <m/>
    <s v="01818"/>
    <s v="20 de febrero de 2019"/>
    <n v="20"/>
    <x v="27"/>
    <s v="3.000,00"/>
    <e v="#NAME?"/>
  </r>
  <r>
    <n v="1819"/>
    <m/>
    <x v="0"/>
    <d v="2019-02-22T00:00:00"/>
    <n v="600"/>
    <s v="Familia Rodríguez Landaeta"/>
    <s v="mrl58@hotmail.com"/>
    <s v="Calle Güigüe Nro. 89-29"/>
    <s v="Colaboración Vigilancia, mes de Enero 2019"/>
    <x v="0"/>
    <m/>
    <s v="01819"/>
    <s v="22 de febrero de 2019"/>
    <n v="22"/>
    <x v="27"/>
    <s v="600,00"/>
    <e v="#NAME?"/>
  </r>
  <r>
    <n v="1820"/>
    <m/>
    <x v="0"/>
    <d v="2019-02-22T00:00:00"/>
    <n v="3000"/>
    <s v="Héctor Hernández"/>
    <s v="eof64@hotmail.com"/>
    <s v="Calle Guacara Nro. 89-94"/>
    <s v="Cancelación Vigilancia, mes de Febrero 2019"/>
    <x v="0"/>
    <m/>
    <s v="01820"/>
    <s v="22 de febrero de 2019"/>
    <n v="22"/>
    <x v="27"/>
    <s v="3.000,00"/>
    <e v="#NAME?"/>
  </r>
  <r>
    <n v="1821"/>
    <m/>
    <x v="0"/>
    <d v="2019-02-24T00:00:00"/>
    <n v="3000"/>
    <s v="Familia Puerta Burguillos"/>
    <s v="namaricakes@gmail.com"/>
    <s v="Calle Guacara Nro. 87-100"/>
    <s v="Cancelación Vigilancia, mes de Marzo 2019"/>
    <x v="0"/>
    <m/>
    <s v="01821"/>
    <s v="24 de febrero de 2019"/>
    <n v="24"/>
    <x v="27"/>
    <s v="3.000,00"/>
    <e v="#NAME?"/>
  </r>
  <r>
    <n v="1822"/>
    <m/>
    <x v="0"/>
    <d v="2019-02-25T00:00:00"/>
    <n v="6000"/>
    <s v="Familia Ozar Rivero"/>
    <s v="vanessarivero81@hotmail.com"/>
    <s v="Calle Güigüe Nro. 88-06"/>
    <s v="Vigilancia: Cancelación saldo mes de Enero, mes de Febrero y anticipo mes de Marzo 2019"/>
    <x v="0"/>
    <m/>
    <s v="01822"/>
    <s v="25 de febrero de 2019"/>
    <n v="25"/>
    <x v="27"/>
    <s v="6.000,00"/>
    <e v="#NAME?"/>
  </r>
  <r>
    <n v="1823"/>
    <m/>
    <x v="0"/>
    <d v="2019-02-25T00:00:00"/>
    <n v="3000"/>
    <s v="Familia Kablan Sarmiento"/>
    <s v="norisjsb56@hotmail.com"/>
    <s v="Calle Güigüe Nro. 89-80"/>
    <s v="Cancelación Vigilancia, mes de Febrero 2019"/>
    <x v="0"/>
    <m/>
    <s v="01823"/>
    <s v="25 de febrero de 2019"/>
    <n v="25"/>
    <x v="27"/>
    <s v="3.000,00"/>
    <e v="#NAME?"/>
  </r>
  <r>
    <n v="1824"/>
    <m/>
    <x v="0"/>
    <d v="2019-02-25T00:00:00"/>
    <n v="3000"/>
    <s v="Familia Zavarce Pérez"/>
    <s v="En Físico"/>
    <s v="Calle Guacara Nro. 90-35"/>
    <s v="Cancelación Vigilancia, mes de Febrero 2019"/>
    <x v="0"/>
    <m/>
    <s v="01824"/>
    <s v="25 de febrero de 2019"/>
    <n v="25"/>
    <x v="27"/>
    <s v="3.000,00"/>
    <e v="#NAME?"/>
  </r>
  <r>
    <n v="1825"/>
    <m/>
    <x v="0"/>
    <d v="2019-02-25T00:00:00"/>
    <n v="3000"/>
    <s v="Familia Díaz González"/>
    <s v="luisrdt57@gmail.com"/>
    <s v="Calle Güigüe Nro. 88-116"/>
    <s v="Cancelación Vigilancia, mes de Febrero 2019"/>
    <x v="0"/>
    <m/>
    <s v="01825"/>
    <s v="25 de febrero de 2019"/>
    <n v="25"/>
    <x v="27"/>
    <s v="3.000,00"/>
    <e v="#NAME?"/>
  </r>
  <r>
    <n v="1826"/>
    <m/>
    <x v="0"/>
    <d v="2019-02-25T00:00:00"/>
    <n v="3000"/>
    <s v="Amparo Acosta"/>
    <s v="amparonatividad@hotmail.com"/>
    <s v="Calle Guacara Nro. 88-65"/>
    <s v="Cancelación Vigilancia, mes de Febrero 2019"/>
    <x v="0"/>
    <m/>
    <s v="01826"/>
    <s v="25 de febrero de 2019"/>
    <n v="25"/>
    <x v="27"/>
    <s v="3.000,00"/>
    <e v="#NAME?"/>
  </r>
  <r>
    <n v="1827"/>
    <m/>
    <x v="0"/>
    <d v="2019-02-25T00:00:00"/>
    <n v="3000"/>
    <s v="Familia Montilla García"/>
    <s v="dairy252525@hotmail.com"/>
    <s v="Calle Güigüe Nro. 89-90"/>
    <s v="Cancelación Vigilancia, mes de Febrero 2019"/>
    <x v="0"/>
    <m/>
    <s v="01827"/>
    <s v="25 de febrero de 2019"/>
    <n v="25"/>
    <x v="27"/>
    <s v="3.000,00"/>
    <e v="#NAME?"/>
  </r>
  <r>
    <n v="1828"/>
    <m/>
    <x v="0"/>
    <d v="2019-02-25T00:00:00"/>
    <n v="1500"/>
    <s v="Familia Rodríguez Landaeta"/>
    <s v="mrl58@hotmail.com"/>
    <s v="Calle Güigüe Nro. 89-29"/>
    <s v="Colaboración Vigilancia, mes de Febrero 2019"/>
    <x v="0"/>
    <m/>
    <s v="01828"/>
    <s v="25 de febrero de 2019"/>
    <n v="25"/>
    <x v="27"/>
    <s v="1.500,00"/>
    <e v="#NAME?"/>
  </r>
  <r>
    <n v="1829"/>
    <m/>
    <x v="0"/>
    <d v="2019-02-26T00:00:00"/>
    <n v="3000"/>
    <s v="Familia Gascón Domínguez"/>
    <s v="vrgascon@gmail.com"/>
    <s v="Calle Güigüe Nro. 88-70"/>
    <s v="Cancelación Vigilancia, mes de Febrero 2019"/>
    <x v="0"/>
    <m/>
    <s v="01829"/>
    <s v="26 de febrero de 2019"/>
    <n v="26"/>
    <x v="27"/>
    <s v="3.000,00"/>
    <e v="#NAME?"/>
  </r>
  <r>
    <n v="1830"/>
    <m/>
    <x v="0"/>
    <d v="2019-02-17T00:00:00"/>
    <n v="3000"/>
    <s v="Familia Franco Gómez"/>
    <s v="eof64@hotmail.com"/>
    <s v="Calle Guacara Nro. 87-07"/>
    <s v="Cancelación Vigilancia, mes de Febrero 2019"/>
    <x v="0"/>
    <m/>
    <s v="01830"/>
    <s v="17 de febrero de 2019"/>
    <n v="17"/>
    <x v="27"/>
    <s v="3.000,00"/>
    <e v="#NAME?"/>
  </r>
  <r>
    <n v="1831"/>
    <m/>
    <x v="0"/>
    <d v="2019-02-26T00:00:00"/>
    <n v="3000"/>
    <s v="Familia Navarrete Medina"/>
    <s v="juanin1919@yahoo.com"/>
    <s v="Calle Güigüe Nro. 89-22"/>
    <s v="Cancelación Vigilancia, mes de Febrero 2019"/>
    <x v="0"/>
    <m/>
    <s v="01831"/>
    <s v="26 de febrero de 2019"/>
    <n v="26"/>
    <x v="27"/>
    <s v="3.000,00"/>
    <e v="#NAME?"/>
  </r>
  <r>
    <n v="1832"/>
    <m/>
    <x v="0"/>
    <d v="2019-02-27T00:00:00"/>
    <n v="3000"/>
    <s v="Familia Manrique Riera"/>
    <s v="patriciamanrique@gmail.com"/>
    <s v="Calle Guacara Nro. 89-40"/>
    <s v="Cancelación Vigilancia, mes de Febrero 2019"/>
    <x v="0"/>
    <m/>
    <s v="01832"/>
    <s v="27 de febrero de 2019"/>
    <n v="27"/>
    <x v="27"/>
    <s v="3.000,00"/>
    <e v="#NAME?"/>
  </r>
  <r>
    <n v="1833"/>
    <m/>
    <x v="0"/>
    <d v="2019-02-26T00:00:00"/>
    <n v="3000"/>
    <s v="Familia Zavarce Barón"/>
    <s v="alexanderzavarce@gmail.com"/>
    <s v="Calle Guacara Nro. 88-91"/>
    <s v="Cancelación Vigilancia, mes de Febrero 2019"/>
    <x v="0"/>
    <m/>
    <s v="01833"/>
    <s v="26 de febrero de 2019"/>
    <n v="26"/>
    <x v="27"/>
    <s v="3.000,00"/>
    <e v="#NAME?"/>
  </r>
  <r>
    <n v="1834"/>
    <m/>
    <x v="0"/>
    <d v="2019-02-27T00:00:00"/>
    <n v="3000"/>
    <s v="Familia Guerra Miret"/>
    <s v="antoniojguerrag@hotmail.com"/>
    <s v="Calle Güigüe Nro. 89-40"/>
    <s v="Cancelación Vigilancia, mes de Marzo 2019"/>
    <x v="0"/>
    <m/>
    <s v="01834"/>
    <s v="27 de febrero de 2019"/>
    <n v="27"/>
    <x v="27"/>
    <s v="3.000,00"/>
    <e v="#NAME?"/>
  </r>
  <r>
    <n v="1835"/>
    <m/>
    <x v="0"/>
    <d v="2019-02-27T00:00:00"/>
    <n v="6000"/>
    <s v="Familia Durvelle Serrano"/>
    <s v="sdurvelle@hotmail.com"/>
    <s v="Calle Guacara Nro. 89-60"/>
    <s v="Cancelación Vigilancia, mes de Marzo 2019 y aporte especial"/>
    <x v="0"/>
    <m/>
    <s v="01835"/>
    <s v="27 de febrero de 2019"/>
    <n v="27"/>
    <x v="27"/>
    <s v="6.000,00"/>
    <e v="#NAME?"/>
  </r>
  <r>
    <n v="1836"/>
    <m/>
    <x v="0"/>
    <d v="2019-02-27T00:00:00"/>
    <n v="6000"/>
    <s v="Familia Narváez Caldera"/>
    <s v="jeannette_nc@yahoo.com"/>
    <s v="Calle Güigüe Nro. 87-A-11"/>
    <s v="Cancelación Vigilancia, meses de Febrero y Marzo 2019"/>
    <x v="0"/>
    <m/>
    <s v="01836"/>
    <s v="27 de febrero de 2019"/>
    <n v="27"/>
    <x v="27"/>
    <s v="6.000,00"/>
    <e v="#NAME?"/>
  </r>
  <r>
    <n v="1837"/>
    <m/>
    <x v="0"/>
    <d v="2019-02-27T00:00:00"/>
    <n v="3000"/>
    <s v="Familia Matta Palomino"/>
    <s v="En Físico"/>
    <s v="Calle Güigüe Nro. 88-90"/>
    <s v="Cancelación Vigilancia, mes de Febrero 2019"/>
    <x v="0"/>
    <m/>
    <s v="01837"/>
    <s v="27 de febrero de 2019"/>
    <n v="27"/>
    <x v="27"/>
    <s v="3.000,00"/>
    <e v="#NAME?"/>
  </r>
  <r>
    <n v="1838"/>
    <m/>
    <x v="0"/>
    <d v="2019-02-27T00:00:00"/>
    <n v="5000"/>
    <s v="Wu Hung Fung"/>
    <s v="carolinahung24@gmail.com"/>
    <s v="Calle Guacara Nro. 90-81"/>
    <s v="Cancelación Vigilancia, mes de Febrero 2019 y aporte especial"/>
    <x v="0"/>
    <m/>
    <s v="01838"/>
    <s v="27 de febrero de 2019"/>
    <n v="27"/>
    <x v="27"/>
    <s v="5.000,00"/>
    <e v="#NAME?"/>
  </r>
  <r>
    <n v="1839"/>
    <m/>
    <x v="0"/>
    <d v="2019-02-27T00:00:00"/>
    <n v="9000"/>
    <s v="Familia Hatem Medina"/>
    <s v="hhatem1@hotmail.com"/>
    <s v="Calle Guacara Nro. 88-51"/>
    <s v="Cancelación Vigilancia, meses de Febrero, Marzo y Abril 2019"/>
    <x v="0"/>
    <m/>
    <s v="01839"/>
    <s v="27 de febrero de 2019"/>
    <n v="27"/>
    <x v="27"/>
    <s v="9.000,00"/>
    <e v="#NAME?"/>
  </r>
  <r>
    <n v="1840"/>
    <m/>
    <x v="0"/>
    <d v="2019-02-27T00:00:00"/>
    <n v="4000"/>
    <s v="Familia Martínez Boada"/>
    <s v="florcitakmz@gmail.com"/>
    <s v="Calle Güigüe Nro. 88-62"/>
    <s v="Colaboración Vigilancia, meses de Enero y Febrero 2019"/>
    <x v="0"/>
    <m/>
    <s v="01840"/>
    <s v="27 de febrero de 2019"/>
    <n v="27"/>
    <x v="27"/>
    <s v="4.000,00"/>
    <e v="#NAME?"/>
  </r>
  <r>
    <n v="1841"/>
    <m/>
    <x v="0"/>
    <d v="2019-02-27T00:00:00"/>
    <n v="3000"/>
    <s v="Familia Castillo Mena"/>
    <s v="emmecas@hotmail.com"/>
    <s v="Calle Güigüe Nro. 88-101"/>
    <s v="Cancelación Vigilancia, mes de Febrero 2019"/>
    <x v="0"/>
    <m/>
    <s v="01841"/>
    <s v="27 de febrero de 2019"/>
    <n v="27"/>
    <x v="27"/>
    <s v="3.000,00"/>
    <e v="#NAME?"/>
  </r>
  <r>
    <n v="1842"/>
    <m/>
    <x v="0"/>
    <d v="2019-02-27T00:00:00"/>
    <n v="3000"/>
    <s v="Beatriz Lara"/>
    <s v="valentina.gutierrez@hotmail.com"/>
    <s v="Calle Guacara Nro. 89-130"/>
    <s v="Cancelación Vigilancia, mes de Febrero 2019"/>
    <x v="0"/>
    <m/>
    <s v="01842"/>
    <s v="27 de febrero de 2019"/>
    <n v="27"/>
    <x v="27"/>
    <s v="3.000,00"/>
    <e v="#NAME?"/>
  </r>
  <r>
    <n v="1843"/>
    <m/>
    <x v="0"/>
    <d v="2019-02-27T00:00:00"/>
    <n v="3000"/>
    <s v="Familia Scabuzzo Gómez"/>
    <s v="sfscabuzzo@msn.com"/>
    <s v="Av. &quot;I&quot; Nro. 146-20"/>
    <s v="Cancelación Vigilancia, mes de Febrero 2019"/>
    <x v="0"/>
    <m/>
    <s v="01843"/>
    <s v="27 de febrero de 2019"/>
    <n v="27"/>
    <x v="27"/>
    <s v="3.000,00"/>
    <e v="#NAME?"/>
  </r>
  <r>
    <n v="1844"/>
    <m/>
    <x v="0"/>
    <d v="2019-02-27T00:00:00"/>
    <n v="6000"/>
    <s v="Familia Kattar González"/>
    <s v="jagiak123@yahoo.es"/>
    <s v="Calle Güigüe Nro. 89-95"/>
    <s v="Cancelación Vigilancia, meses de Febrero y Marzo 2019"/>
    <x v="0"/>
    <m/>
    <s v="01844"/>
    <s v="27 de febrero de 2019"/>
    <n v="27"/>
    <x v="27"/>
    <s v="6.000,00"/>
    <e v="#NAME?"/>
  </r>
  <r>
    <n v="1845"/>
    <m/>
    <x v="0"/>
    <d v="2019-02-27T00:00:00"/>
    <n v="6000"/>
    <s v="Familia Ferrer Bahri"/>
    <s v="bahrimariela@hotmail.com"/>
    <s v="Calle Güigüe Nro. 89-83"/>
    <s v="Cancelación Vigilancia, mes de Marzo 2019"/>
    <x v="0"/>
    <m/>
    <s v="01845"/>
    <s v="27 de febrero de 2019"/>
    <n v="27"/>
    <x v="27"/>
    <s v="6.000,00"/>
    <e v="#NAME?"/>
  </r>
  <r>
    <n v="1846"/>
    <m/>
    <x v="0"/>
    <d v="2019-02-27T00:00:00"/>
    <n v="3000"/>
    <s v="Amarilis Guerra"/>
    <s v="amarilisguerra1@yahoo.com"/>
    <s v="Calle Güigüe Nro. 89-96"/>
    <s v="Cancelación Vigilancia, mes de Febrero 2019"/>
    <x v="0"/>
    <m/>
    <s v="01846"/>
    <s v="27 de febrero de 2019"/>
    <n v="27"/>
    <x v="27"/>
    <s v="3.000,00"/>
    <e v="#NAME?"/>
  </r>
  <r>
    <n v="1847"/>
    <m/>
    <x v="0"/>
    <d v="2019-02-27T00:00:00"/>
    <n v="3000"/>
    <s v="Familia Nava Gordon"/>
    <s v="maru_19_66@hotmail.com"/>
    <s v="Calle Guacara Nro. 89-78"/>
    <s v="Cancelación Vigilancia, mes de Febrero 2019"/>
    <x v="0"/>
    <m/>
    <s v="01847"/>
    <s v="27 de febrero de 2019"/>
    <n v="27"/>
    <x v="27"/>
    <s v="3.000,00"/>
    <e v="#NAME?"/>
  </r>
  <r>
    <n v="1848"/>
    <m/>
    <x v="0"/>
    <d v="2019-02-04T00:00:00"/>
    <n v="3000"/>
    <s v="Familia Ferrer Bahri"/>
    <s v="bahrimariela@hotmail.com"/>
    <s v="Calle Güigüe Nro. 89-83"/>
    <s v="Cancelación Vigilancia, mes de Febrero 2019"/>
    <x v="0"/>
    <m/>
    <s v="01848"/>
    <s v="04 de febrero de 2019"/>
    <n v="4"/>
    <x v="27"/>
    <s v="3.000,00"/>
    <e v="#NAME?"/>
  </r>
  <r>
    <n v="1849"/>
    <m/>
    <x v="0"/>
    <d v="2019-02-28T00:00:00"/>
    <n v="6000"/>
    <s v="Familia Ochoa Mendoza"/>
    <s v="marisoljudithm@hotmail.com"/>
    <s v="Calle Guacara Nro. 89-130"/>
    <s v="Cancelación Vigilancia, meses de Febrero y Marzo 2019"/>
    <x v="0"/>
    <m/>
    <s v="01849"/>
    <s v="28 de febrero de 2019"/>
    <n v="28"/>
    <x v="27"/>
    <s v="6.000,00"/>
    <e v="#NAME?"/>
  </r>
  <r>
    <n v="1850"/>
    <m/>
    <x v="0"/>
    <d v="2019-02-28T00:00:00"/>
    <n v="8000"/>
    <s v="Wilson Escamilla"/>
    <s v="wilsonescamilla45@gmail.com"/>
    <s v="Calle Güigüe Nro. 89-89"/>
    <s v="Vigilancia: Aporte saldo mes de Enero y cancelación meses de Febrero y Marzo 2019"/>
    <x v="0"/>
    <m/>
    <s v="01850"/>
    <s v="28 de febrero de 2019"/>
    <n v="28"/>
    <x v="27"/>
    <s v="8.000,00"/>
    <e v="#NAME?"/>
  </r>
  <r>
    <n v="1851"/>
    <m/>
    <x v="0"/>
    <d v="2019-02-28T00:00:00"/>
    <n v="3000"/>
    <s v="Familia Franco Gómez"/>
    <s v="eof64@hotmail.com"/>
    <s v="Calle Guacara Nro. 87-07"/>
    <s v="Cancelación Vigilancia, mes de Marzo 2019"/>
    <x v="0"/>
    <m/>
    <s v="01851"/>
    <s v="28 de febrero de 2019"/>
    <n v="28"/>
    <x v="27"/>
    <s v="3.000,00"/>
    <e v="#NAME?"/>
  </r>
  <r>
    <n v="1852"/>
    <m/>
    <x v="0"/>
    <d v="2019-02-28T00:00:00"/>
    <n v="3000"/>
    <s v="Héctor Hernández"/>
    <s v="eof64@hotmail.com"/>
    <s v="Calle Guacara Nro. 89-94"/>
    <s v="Cancelación Vigilancia, mes de Marzo 2019"/>
    <x v="0"/>
    <m/>
    <s v="01852"/>
    <s v="28 de febrero de 2019"/>
    <n v="28"/>
    <x v="27"/>
    <s v="3.000,00"/>
    <e v="#NAME?"/>
  </r>
  <r>
    <n v="1853"/>
    <m/>
    <x v="0"/>
    <d v="2019-03-01T00:00:00"/>
    <n v="3000"/>
    <s v="Familia Barreto Pérez"/>
    <s v="bbetsa19@hotmail.com"/>
    <s v="Av. &quot;M&quot; Nro. 146-15"/>
    <s v="Cancelación Vigilancia, mes de Febrero 2019"/>
    <x v="0"/>
    <m/>
    <s v="01853"/>
    <s v="01 de marzo de 2019"/>
    <n v="1"/>
    <x v="28"/>
    <s v="3.000,00"/>
    <e v="#NAME?"/>
  </r>
  <r>
    <n v="1854"/>
    <m/>
    <x v="0"/>
    <d v="2019-03-06T00:00:00"/>
    <n v="3000"/>
    <s v="Familia Arcia Polanco"/>
    <s v="misipo29@gmail.com"/>
    <s v="Calle Guacara Nro. 89-20"/>
    <s v="Cancelación Vigilancia, mes de Marzo 2019"/>
    <x v="0"/>
    <m/>
    <s v="01854"/>
    <s v="06 de marzo de 2019"/>
    <n v="6"/>
    <x v="28"/>
    <s v="3.000,00"/>
    <e v="#NAME?"/>
  </r>
  <r>
    <n v="1855"/>
    <m/>
    <x v="0"/>
    <d v="2019-03-06T00:00:00"/>
    <n v="4500"/>
    <s v="Familia Lomeña Agudo"/>
    <s v="claudialomena@hotmail.com"/>
    <s v="Calle Guacara Nro. 89-30"/>
    <s v="Cancelación Vigilancia, mes de Marzo 2019"/>
    <x v="0"/>
    <m/>
    <s v="01855"/>
    <s v="06 de marzo de 2019"/>
    <n v="6"/>
    <x v="28"/>
    <s v="4.500,00"/>
    <e v="#NAME?"/>
  </r>
  <r>
    <n v="1856"/>
    <m/>
    <x v="0"/>
    <d v="2019-03-06T00:00:00"/>
    <n v="3000"/>
    <s v="Familia Puerta Burguillos"/>
    <s v="namaricakes@gmail.com"/>
    <s v="Calle Guacara Nro. 87-100"/>
    <s v="Cancelación Vigilancia, mes de Abril 2019"/>
    <x v="0"/>
    <m/>
    <s v="01856"/>
    <s v="06 de marzo de 2019"/>
    <n v="6"/>
    <x v="28"/>
    <s v="3.000,00"/>
    <e v="#NAME?"/>
  </r>
  <r>
    <n v="1857"/>
    <m/>
    <x v="0"/>
    <d v="2019-03-06T00:00:00"/>
    <n v="3000"/>
    <s v="Familia Milanés Carmona"/>
    <s v="yndira11m@gmail.com"/>
    <s v="Calle Güigüe Nro. 89-65"/>
    <s v="Cancelación Vigilancia, mes de Marzo 2019"/>
    <x v="0"/>
    <m/>
    <s v="01857"/>
    <s v="06 de marzo de 2019"/>
    <n v="6"/>
    <x v="28"/>
    <s v="3.000,00"/>
    <e v="#NAME?"/>
  </r>
  <r>
    <n v="1858"/>
    <m/>
    <x v="0"/>
    <d v="2019-03-06T00:00:00"/>
    <n v="3000"/>
    <s v="Familia Jiménez Navarro"/>
    <s v="joyasonline2012@gmail.com"/>
    <s v="Calle Güigüe Nro. 88-50"/>
    <s v="Cancelación Vigilancia, mes de Febrero 2019"/>
    <x v="0"/>
    <m/>
    <s v="01858"/>
    <s v="06 de marzo de 2019"/>
    <n v="6"/>
    <x v="28"/>
    <s v="3.000,00"/>
    <e v="#NAME?"/>
  </r>
  <r>
    <n v="1859"/>
    <m/>
    <x v="0"/>
    <d v="2019-03-06T00:00:00"/>
    <n v="3000"/>
    <s v="Victoria Francischiello"/>
    <s v="victoriafrancischiello@hotmail.com"/>
    <s v="Calle Guacara Nro. 88-25"/>
    <s v="Cancelación Vigilancia, mes de Febrero 2019"/>
    <x v="0"/>
    <m/>
    <s v="01859"/>
    <s v="06 de marzo de 2019"/>
    <n v="6"/>
    <x v="28"/>
    <s v="3.000,00"/>
    <e v="#NAME?"/>
  </r>
  <r>
    <n v="1860"/>
    <m/>
    <x v="0"/>
    <d v="2019-03-07T00:00:00"/>
    <n v="3000"/>
    <s v="Familia Machado Stoppa"/>
    <s v="machadoru@hotmail.com"/>
    <s v="Calle Guacara Nro. 88-85"/>
    <s v="Cancelación Vigilancia, mes de Marzo 2019"/>
    <x v="0"/>
    <m/>
    <s v="01860"/>
    <s v="07 de marzo de 2019"/>
    <n v="7"/>
    <x v="28"/>
    <s v="3.000,00"/>
    <e v="#NAME?"/>
  </r>
  <r>
    <n v="1861"/>
    <m/>
    <x v="0"/>
    <d v="2019-02-27T00:00:00"/>
    <n v="3000"/>
    <s v="Familia Abbinante Pinto"/>
    <s v="abbinante47@gmail.com"/>
    <s v="Calle Güigüe Nro. 89-120"/>
    <s v="Cancelación Vigilancia, mes de Febrero 2019"/>
    <x v="0"/>
    <m/>
    <s v="01861"/>
    <s v="27 de febrero de 2019"/>
    <n v="27"/>
    <x v="27"/>
    <s v="3.000,00"/>
    <e v="#NAME?"/>
  </r>
  <r>
    <n v="1862"/>
    <m/>
    <x v="0"/>
    <d v="2019-03-07T00:00:00"/>
    <n v="3000"/>
    <s v="Carmen Moreno"/>
    <s v="carmenemoreno10@gmail.com"/>
    <s v="Calle Güigüe Nro. 89-04"/>
    <s v="Cancelación Vigilancia, mes de Marzo 2019"/>
    <x v="0"/>
    <m/>
    <s v="01862"/>
    <s v="07 de marzo de 2019"/>
    <n v="7"/>
    <x v="28"/>
    <s v="3.000,00"/>
    <e v="#NAME?"/>
  </r>
  <r>
    <n v="1863"/>
    <m/>
    <x v="0"/>
    <d v="2019-03-07T00:00:00"/>
    <n v="3000"/>
    <s v="Familia Castro Jiménez"/>
    <s v="aurycastrojimenez@gmail.com"/>
    <s v="Calle Guacara Nro. 90-51"/>
    <s v="Cancelación Vigilancia, mes de Marzo 2019"/>
    <x v="0"/>
    <m/>
    <s v="01863"/>
    <s v="07 de marzo de 2019"/>
    <n v="7"/>
    <x v="28"/>
    <s v="3.000,00"/>
    <e v="#NAME?"/>
  </r>
  <r>
    <n v="1864"/>
    <m/>
    <x v="0"/>
    <d v="2019-03-08T00:00:00"/>
    <n v="1500"/>
    <s v="Gloria Molina"/>
    <s v="glomola2@yahoo.es"/>
    <s v="Calle Güigüe Nro. 89-71"/>
    <s v="Colaboración Vigilancia, mes de Febrero 2019"/>
    <x v="0"/>
    <m/>
    <s v="01864"/>
    <s v="08 de marzo de 2019"/>
    <n v="8"/>
    <x v="28"/>
    <s v="1.500,00"/>
    <e v="#NAME?"/>
  </r>
  <r>
    <n v="1865"/>
    <m/>
    <x v="0"/>
    <d v="2019-03-11T00:00:00"/>
    <n v="3000"/>
    <s v="Chin Chun Ya (Goya)"/>
    <s v="uc2721@gmail.com"/>
    <s v="Calle Guacara Nro. 87-86"/>
    <s v="Cancelación Vigilancia, mes de Marzo 2019"/>
    <x v="0"/>
    <m/>
    <s v="01865"/>
    <s v="11 de marzo de 2019"/>
    <n v="11"/>
    <x v="28"/>
    <s v="3.000,00"/>
    <e v="#NAME?"/>
  </r>
  <r>
    <n v="1866"/>
    <m/>
    <x v="0"/>
    <d v="2019-03-09T00:00:00"/>
    <n v="3000"/>
    <s v="Familia Montilla García"/>
    <s v="dairy252525@hotmail.com"/>
    <s v="Calle Güigüe Nro. 89-90"/>
    <s v="Cancelación Vigilancia, mes de Marzo 2019"/>
    <x v="0"/>
    <m/>
    <s v="01866"/>
    <s v="09 de marzo de 2019"/>
    <n v="9"/>
    <x v="28"/>
    <s v="3.000,00"/>
    <e v="#NAME?"/>
  </r>
  <r>
    <n v="1867"/>
    <m/>
    <x v="0"/>
    <d v="2019-03-11T00:00:00"/>
    <n v="6000"/>
    <s v="Familia González Arévalo"/>
    <s v="feryenis@hotmail.com"/>
    <s v="Calle Guacara Nro. 89-86"/>
    <s v="Cancelación Vigilancia, meses de Marzo y Abril 2019"/>
    <x v="0"/>
    <m/>
    <s v="01867"/>
    <s v="11 de marzo de 2019"/>
    <n v="11"/>
    <x v="28"/>
    <s v="6.000,00"/>
    <e v="#NAME?"/>
  </r>
  <r>
    <n v="1868"/>
    <m/>
    <x v="0"/>
    <d v="2019-03-11T00:00:00"/>
    <n v="3000"/>
    <s v="Familia Colosso Delgado"/>
    <s v="mcolosso@gmail.com"/>
    <s v="Calle Güigüe Nro. 88-44"/>
    <s v="Cancelación Vigilancia, mes de Marzo 2019"/>
    <x v="0"/>
    <m/>
    <s v="01868"/>
    <s v="11 de marzo de 2019"/>
    <n v="11"/>
    <x v="28"/>
    <s v="3.000,00"/>
    <e v="#NAME?"/>
  </r>
  <r>
    <n v="1869"/>
    <m/>
    <x v="0"/>
    <d v="2019-03-12T00:00:00"/>
    <n v="9000"/>
    <s v="Familia López Hermoso"/>
    <s v="lopez.humberto14@yahoo.com.ve"/>
    <s v="Calle Güigüe Nro. 89-79"/>
    <s v="Cancelación Vigilancia, meses de Enero, Febrero y Marzo 2018 (saldo a favor: Bs. 11.000,00)"/>
    <x v="0"/>
    <m/>
    <s v="01869"/>
    <s v="12 de marzo de 2019"/>
    <n v="12"/>
    <x v="28"/>
    <s v="9.000,00"/>
    <e v="#NAME?"/>
  </r>
  <r>
    <n v="1870"/>
    <m/>
    <x v="0"/>
    <d v="2019-03-12T00:00:00"/>
    <n v="3000"/>
    <s v="Familia Del Negro Palermo"/>
    <s v="vdelnegro@gmail.com"/>
    <s v="Calle Guacara Nro. 88-45"/>
    <s v="Cancelación Vigilancia, mes de Marzo 2019 (saldo a favor: Bs. 862,95)"/>
    <x v="0"/>
    <m/>
    <s v="01870"/>
    <s v="12 de marzo de 2019"/>
    <n v="12"/>
    <x v="28"/>
    <s v="3.000,00"/>
    <e v="#NAME?"/>
  </r>
  <r>
    <n v="1871"/>
    <m/>
    <x v="0"/>
    <d v="2019-03-12T00:00:00"/>
    <n v="3000"/>
    <s v="Familia Wu Acevedo"/>
    <s v="rudyacevedo90@gmail.com"/>
    <s v="Calle Guacara Nro. 88-A-10"/>
    <s v="Cancelación Vigilancia, mes de Marzo 2019 (saldo a favor: Bs. 11.005,80)"/>
    <x v="0"/>
    <m/>
    <s v="01871"/>
    <s v="12 de marzo de 2019"/>
    <n v="12"/>
    <x v="28"/>
    <s v="3.000,00"/>
    <e v="#NAME?"/>
  </r>
  <r>
    <n v="1872"/>
    <m/>
    <x v="0"/>
    <d v="2019-03-12T00:00:00"/>
    <n v="3000"/>
    <s v="Ely Saúl Rivero Gómez"/>
    <s v="hhs.admon@gmail.com"/>
    <s v="Av. &quot;Ñ&quot; Nro. 145-25"/>
    <s v="Cancelación Vigilancia, mes de Marzo 2019 (saldo a favor: Bs. 28.352,00)"/>
    <x v="0"/>
    <m/>
    <s v="01872"/>
    <s v="12 de marzo de 2019"/>
    <n v="12"/>
    <x v="28"/>
    <s v="3.000,00"/>
    <e v="#NAME?"/>
  </r>
  <r>
    <n v="1873"/>
    <m/>
    <x v="0"/>
    <d v="2019-03-12T00:00:00"/>
    <n v="3500"/>
    <s v="Familia Navarro Assing"/>
    <s v="liliaassing@gmail.com"/>
    <s v="Calle Güigüe Nro. 88-54"/>
    <s v="Vigilancia: Cancelación mes de Marzo y anticipo Abril 2019"/>
    <x v="0"/>
    <m/>
    <s v="01873"/>
    <s v="12 de marzo de 2019"/>
    <n v="12"/>
    <x v="28"/>
    <s v="3.500,00"/>
    <e v="#NAME?"/>
  </r>
  <r>
    <n v="1874"/>
    <m/>
    <x v="0"/>
    <d v="2019-03-13T00:00:00"/>
    <n v="3000"/>
    <s v="Familia Kablan Sarmiento"/>
    <s v="norisjsb56@hotmail.com"/>
    <s v="Calle Güigüe Nro. 89-80"/>
    <s v="Cancelación Vigilancia, mes de Marzo 2019"/>
    <x v="0"/>
    <m/>
    <s v="01874"/>
    <s v="13 de marzo de 2019"/>
    <n v="13"/>
    <x v="28"/>
    <s v="3.000,00"/>
    <e v="#NAME?"/>
  </r>
  <r>
    <n v="1875"/>
    <m/>
    <x v="0"/>
    <d v="2019-03-13T00:00:00"/>
    <n v="3000"/>
    <s v="Familia Fermín Rivas"/>
    <s v="angelferminb@gmail.com"/>
    <s v="Calle Güigüe Nro. 89-55"/>
    <s v="Cancelación Vigilancia, mes de Marzo 2019"/>
    <x v="0"/>
    <m/>
    <s v="01875"/>
    <s v="13 de marzo de 2019"/>
    <n v="13"/>
    <x v="28"/>
    <s v="3.000,00"/>
    <e v="#NAME?"/>
  </r>
  <r>
    <n v="1876"/>
    <m/>
    <x v="0"/>
    <d v="2019-03-13T00:00:00"/>
    <n v="3000"/>
    <s v="Familia Castillo Mena"/>
    <s v="emmecas@hotmail.com"/>
    <s v="Calle Güigüe Nro. 88-101"/>
    <s v="Cancelación Vigilancia, mes de Marzo 2019"/>
    <x v="0"/>
    <m/>
    <s v="01876"/>
    <s v="13 de marzo de 2019"/>
    <n v="13"/>
    <x v="28"/>
    <s v="3.000,00"/>
    <e v="#NAME?"/>
  </r>
  <r>
    <n v="1877"/>
    <m/>
    <x v="0"/>
    <d v="2019-03-14T00:00:00"/>
    <n v="6000"/>
    <s v="Anahiz Seijas"/>
    <s v="anahiz_2@hotmail.es"/>
    <s v="Calle Güigüe Nro. 89-106"/>
    <s v="Cancelación Vigilancia, meses de Marzo y Abril 2019"/>
    <x v="0"/>
    <m/>
    <s v="01877"/>
    <s v="14 de marzo de 2019"/>
    <n v="14"/>
    <x v="28"/>
    <s v="6.000,00"/>
    <e v="#NAME?"/>
  </r>
  <r>
    <n v="1878"/>
    <m/>
    <x v="0"/>
    <d v="2019-03-14T00:00:00"/>
    <n v="3000"/>
    <s v="Amparo Acosta"/>
    <s v="amparonatividad@hotmail.com"/>
    <s v="Calle Guacara Nro. 88-65"/>
    <s v="Cancelación Vigilancia, mes de Marzo 2019"/>
    <x v="0"/>
    <m/>
    <s v="01878"/>
    <s v="14 de marzo de 2019"/>
    <n v="14"/>
    <x v="28"/>
    <s v="3.000,00"/>
    <e v="#NAME?"/>
  </r>
  <r>
    <n v="1879"/>
    <m/>
    <x v="0"/>
    <d v="2019-03-15T00:00:00"/>
    <n v="4756"/>
    <s v="Zoraida Khair"/>
    <s v="zorakhair@hotmail.com"/>
    <s v="Calle Güigüe Nro. 88-80"/>
    <s v="Vigilancia: Cancelación meses de Septiembre, Octubre, Noviembre y Diciembre 2018 y Enero 2019 (saldo a favor Bs. 1.345,55)"/>
    <x v="0"/>
    <m/>
    <s v="01879"/>
    <s v="15 de marzo de 2019"/>
    <n v="15"/>
    <x v="28"/>
    <s v="4.756,00"/>
    <e v="#NAME?"/>
  </r>
  <r>
    <n v="1880"/>
    <m/>
    <x v="0"/>
    <d v="2019-03-15T00:00:00"/>
    <n v="3000"/>
    <s v="Familia Rodríguez Aular"/>
    <s v="mvaular@hotmail.com"/>
    <s v="Calle Güigüe Nro. 88-58"/>
    <s v="Cancelación Vigilancia, mes de Marzo 2019"/>
    <x v="0"/>
    <m/>
    <s v="01880"/>
    <s v="15 de marzo de 2019"/>
    <n v="15"/>
    <x v="28"/>
    <s v="3.000,00"/>
    <e v="#NAME?"/>
  </r>
  <r>
    <n v="1881"/>
    <m/>
    <x v="0"/>
    <d v="2019-03-15T00:00:00"/>
    <n v="6000"/>
    <s v="Familia Loponte Arteaga"/>
    <s v="En Físico"/>
    <s v="Calle Güigüe Nro. 88-120"/>
    <s v="Cancelación Vigilancia, meses de Abril y Mayo 2019"/>
    <x v="0"/>
    <m/>
    <s v="01881"/>
    <s v="15 de marzo de 2019"/>
    <n v="15"/>
    <x v="28"/>
    <s v="6.000,00"/>
    <e v="#NAME?"/>
  </r>
  <r>
    <n v="1882"/>
    <m/>
    <x v="0"/>
    <d v="2019-03-18T00:00:00"/>
    <n v="3000"/>
    <s v="Familia Nava Gordon"/>
    <s v="maru_19_66@hotmail.com"/>
    <s v="Calle Guacara Nro. 89-78"/>
    <s v="Cancelación Vigilancia, mes de Marzo 2019"/>
    <x v="0"/>
    <m/>
    <s v="01882"/>
    <s v="18 de marzo de 2019"/>
    <n v="18"/>
    <x v="28"/>
    <s v="3.000,00"/>
    <e v="#NAME?"/>
  </r>
  <r>
    <n v="1883"/>
    <m/>
    <x v="0"/>
    <d v="2019-03-19T00:00:00"/>
    <n v="8700"/>
    <s v="Colegio El Trigal"/>
    <s v="En Físico"/>
    <s v="Calle Güigüe Nros. 88-71 y 88-81"/>
    <s v="Cancelación Vigilancia, meses de Febrero y Marzo 2019"/>
    <x v="0"/>
    <m/>
    <s v="01883"/>
    <s v="19 de marzo de 2019"/>
    <n v="19"/>
    <x v="28"/>
    <s v="8.700,00"/>
    <e v="#NAME?"/>
  </r>
  <r>
    <n v="1884"/>
    <m/>
    <x v="0"/>
    <d v="2019-02-16T00:00:00"/>
    <n v="3000"/>
    <s v="Familia Navarro Assing"/>
    <s v="liliaassing@gmail.com"/>
    <s v="Calle Güigüe Nro. 88-54"/>
    <s v="Cancelación Vigilancia, mes de Febrero 2019"/>
    <x v="0"/>
    <m/>
    <s v="01884"/>
    <s v="16 de febrero de 2019"/>
    <n v="16"/>
    <x v="27"/>
    <s v="3.000,00"/>
    <e v="#NAME?"/>
  </r>
  <r>
    <n v="1885"/>
    <m/>
    <x v="0"/>
    <d v="2018-12-21T00:00:00"/>
    <n v="800"/>
    <s v="Familia Romero"/>
    <s v="autoescuela21@gmail.com"/>
    <s v="Calle Guacara Nro. 89-50"/>
    <s v="Cancelación Vigilancia, mes de Diciembre 2018"/>
    <x v="0"/>
    <m/>
    <s v="01885"/>
    <s v="21 de diciembre de 2018"/>
    <n v="21"/>
    <x v="25"/>
    <s v="800,00"/>
    <e v="#NAME?"/>
  </r>
  <r>
    <n v="1886"/>
    <m/>
    <x v="0"/>
    <d v="2019-03-20T00:00:00"/>
    <n v="3000"/>
    <s v="Amarilis Guerra"/>
    <s v="amarilisguerra1@yahoo.com"/>
    <s v="Calle Güigüe Nro. 89-96"/>
    <s v="Cancelación Vigilancia, mes de Marzo 2019"/>
    <x v="0"/>
    <m/>
    <s v="01886"/>
    <s v="20 de marzo de 2019"/>
    <n v="20"/>
    <x v="28"/>
    <s v="3.000,00"/>
    <e v="#NAME?"/>
  </r>
  <r>
    <n v="1887"/>
    <m/>
    <x v="0"/>
    <d v="2019-03-14T00:00:00"/>
    <n v="5000"/>
    <s v="Familia Alonso Rojas"/>
    <s v="redjc01@gmail.com"/>
    <s v="Calle Güigüe Nro. 89-54"/>
    <s v="Vigilancia: Cancelación saldo mes de Enero y anticipo mes de Febrero 2019"/>
    <x v="0"/>
    <m/>
    <s v="01887"/>
    <s v="14 de marzo de 2019"/>
    <n v="14"/>
    <x v="28"/>
    <s v="5.000,00"/>
    <e v="#NAME?"/>
  </r>
  <r>
    <n v="1888"/>
    <m/>
    <x v="0"/>
    <d v="2019-03-21T00:00:00"/>
    <n v="3150"/>
    <s v="Familia Alonso Rojas"/>
    <s v="redjc01@gmail.com"/>
    <s v="Calle Güigüe Nro. 89-54"/>
    <s v="Vigilancia: Cancelación saldo mes de Febrero y cancelación mes de Marzo 2019"/>
    <x v="0"/>
    <m/>
    <s v="01888"/>
    <s v="21 de marzo de 2019"/>
    <n v="21"/>
    <x v="28"/>
    <s v="3.150,00"/>
    <e v="#NAME?"/>
  </r>
  <r>
    <n v="1889"/>
    <m/>
    <x v="0"/>
    <d v="2019-03-21T00:00:00"/>
    <n v="3000"/>
    <s v="Familia Costermani Terrer"/>
    <s v="claudiacostermani@hotmail.com"/>
    <s v="Calle Güigüe Nro. 88-11"/>
    <s v="Cancelación Vigilancia, mes de Marzo 2019"/>
    <x v="0"/>
    <m/>
    <s v="01889"/>
    <s v="21 de marzo de 2019"/>
    <n v="21"/>
    <x v="28"/>
    <s v="3.000,00"/>
    <e v="#NAME?"/>
  </r>
  <r>
    <n v="1890"/>
    <m/>
    <x v="0"/>
    <d v="2019-03-22T00:00:00"/>
    <n v="3000"/>
    <s v="Beatriz Lara"/>
    <s v="valentina.gutierrez@hotmail.com"/>
    <s v="Calle Guacara Nro. 89-130"/>
    <s v="Cancelación Vigilancia, mes de Marzo 2019"/>
    <x v="0"/>
    <m/>
    <s v="01890"/>
    <s v="22 de marzo de 2019"/>
    <n v="22"/>
    <x v="28"/>
    <s v="3.000,00"/>
    <e v="#NAME?"/>
  </r>
  <r>
    <n v="1891"/>
    <m/>
    <x v="0"/>
    <d v="2019-03-23T00:00:00"/>
    <n v="3000"/>
    <s v="Familia Delgado Hidalgo"/>
    <s v="ardh@hotmail.com"/>
    <s v="Calle Güigüe Nro. 88-10"/>
    <s v="Cancelación Vigilancia, mes de Marzo 2019"/>
    <x v="0"/>
    <m/>
    <s v="01891"/>
    <s v="23 de marzo de 2019"/>
    <n v="23"/>
    <x v="28"/>
    <s v="3.000,00"/>
    <e v="#NAME?"/>
  </r>
  <r>
    <n v="1892"/>
    <m/>
    <x v="0"/>
    <d v="2019-03-28T00:00:00"/>
    <n v="3000"/>
    <s v="Dra. Lilia Magallanes"/>
    <s v="liliamagallanes2010@gmail.com"/>
    <s v="Calle Güigüe Nro. 88-51"/>
    <s v="Cancelación Vigilancia, mes de Marzo 2019"/>
    <x v="0"/>
    <m/>
    <s v="01892"/>
    <s v="28 de marzo de 2019"/>
    <n v="28"/>
    <x v="28"/>
    <s v="3.000,00"/>
    <e v="#NAME?"/>
  </r>
  <r>
    <n v="1893"/>
    <m/>
    <x v="0"/>
    <d v="2019-03-28T00:00:00"/>
    <n v="3000"/>
    <s v="Victoria Francischiello"/>
    <s v="victoriafrancischiello@hotmail.com"/>
    <s v="Calle Guacara Nro. 88-25"/>
    <s v="Cancelación Vigilancia, mes de Marzo 2019"/>
    <x v="0"/>
    <m/>
    <s v="01893"/>
    <s v="28 de marzo de 2019"/>
    <n v="28"/>
    <x v="28"/>
    <s v="3.000,00"/>
    <e v="#NAME?"/>
  </r>
  <r>
    <n v="1894"/>
    <m/>
    <x v="0"/>
    <d v="2019-03-30T00:00:00"/>
    <n v="3000"/>
    <s v="Sra. Reina Meléndez"/>
    <s v="olgajipe@gmail.com"/>
    <s v="Av. &quot;M&quot; Nro. 145-10"/>
    <s v="Cancelación Vigilancia, mes de Marzo 2019"/>
    <x v="0"/>
    <m/>
    <s v="01894"/>
    <s v="30 de marzo de 2019"/>
    <n v="30"/>
    <x v="28"/>
    <s v="3.000,00"/>
    <e v="#NAME?"/>
  </r>
  <r>
    <n v="1895"/>
    <m/>
    <x v="0"/>
    <d v="2019-03-30T00:00:00"/>
    <n v="3000"/>
    <s v="Familia Guerra Miret"/>
    <s v="antoniojguerrag@hotmail.com"/>
    <s v="Calle Güigüe Nro. 89-40"/>
    <s v="Cancelación Vigilancia, mes de Abril 2019"/>
    <x v="0"/>
    <m/>
    <s v="01895"/>
    <s v="30 de marzo de 2019"/>
    <n v="30"/>
    <x v="28"/>
    <s v="3.000,00"/>
    <e v="#NAME?"/>
  </r>
  <r>
    <n v="1896"/>
    <m/>
    <x v="0"/>
    <d v="2019-03-30T00:00:00"/>
    <n v="3000"/>
    <s v="Familia Zavarce Pérez"/>
    <s v="En Físico"/>
    <s v="Calle Guacara Nro. 90-35"/>
    <s v="Cancelación Vigilancia, mes de Marzo 2019"/>
    <x v="0"/>
    <m/>
    <s v="01896"/>
    <s v="30 de marzo de 2019"/>
    <n v="30"/>
    <x v="28"/>
    <s v="3.000,00"/>
    <e v="#NAME?"/>
  </r>
  <r>
    <n v="1897"/>
    <m/>
    <x v="0"/>
    <d v="2019-02-27T00:00:00"/>
    <n v="6000"/>
    <s v="Familia Acosta Carpio"/>
    <s v="pablo962@hotmail.com"/>
    <s v="Calle Güigüe Nro. 89-10"/>
    <s v="Cancelación Vigilancia, meses de Enero y Febrero 2019"/>
    <x v="0"/>
    <m/>
    <s v="01897"/>
    <s v="27 de febrero de 2019"/>
    <n v="27"/>
    <x v="27"/>
    <s v="6.000,00"/>
    <e v="#NAME?"/>
  </r>
  <r>
    <n v="1898"/>
    <m/>
    <x v="0"/>
    <d v="2019-04-02T00:00:00"/>
    <n v="9000"/>
    <s v="Yuraima Rodríguez"/>
    <s v="En Físico"/>
    <s v="Calle Guacara Nro. 89-70"/>
    <s v="Cancelación Vigilancia, meses de Enero, Febrero y Marzo 2019"/>
    <x v="0"/>
    <m/>
    <s v="01898"/>
    <s v="02 de abril de 2019"/>
    <n v="2"/>
    <x v="29"/>
    <s v="9.000,00"/>
    <e v="#NAME?"/>
  </r>
  <r>
    <n v="1899"/>
    <m/>
    <x v="0"/>
    <d v="2019-04-02T00:00:00"/>
    <n v="6000"/>
    <s v="Familia Calzadilla Trujillo"/>
    <s v="calzadilla40@hotmail.com"/>
    <s v="Av. &quot;M&quot; Nro. 146-30"/>
    <s v="Cancelación Vigilancia, meses de Febrero y Marzo 2019"/>
    <x v="0"/>
    <m/>
    <s v="01899"/>
    <s v="02 de abril de 2019"/>
    <n v="2"/>
    <x v="29"/>
    <s v="6.000,00"/>
    <e v="#NAME?"/>
  </r>
  <r>
    <n v="1900"/>
    <m/>
    <x v="0"/>
    <d v="2019-04-03T00:00:00"/>
    <n v="3000"/>
    <s v="Familia Zavarce Barón"/>
    <s v="alexanderzavarce@gmail.com"/>
    <s v="Calle Guacara Nro. 88-91"/>
    <s v="Cancelación Vigilancia, mes de Marzo 2019"/>
    <x v="0"/>
    <m/>
    <s v="01900"/>
    <s v="03 de abril de 2019"/>
    <n v="3"/>
    <x v="29"/>
    <s v="3.000,00"/>
    <e v="#NAME?"/>
  </r>
  <r>
    <n v="1901"/>
    <m/>
    <x v="0"/>
    <d v="2019-03-16T00:00:00"/>
    <n v="3000"/>
    <s v="Familia Abbinante Pinto"/>
    <s v="abbinante47@gmail.com"/>
    <s v="Calle Güigüe Nro. 89-120"/>
    <s v="Cancelación Vigilancia, mes de Marzo 2019"/>
    <x v="0"/>
    <m/>
    <s v="01901"/>
    <s v="16 de marzo de 2019"/>
    <n v="16"/>
    <x v="28"/>
    <s v="3.000,00"/>
    <e v="#NAME?"/>
  </r>
  <r>
    <n v="1902"/>
    <m/>
    <x v="0"/>
    <d v="2019-04-03T00:00:00"/>
    <n v="3000"/>
    <s v="Amarilis Guerra"/>
    <s v="amarilisguerra1@yahoo.com"/>
    <s v="Calle Güigüe Nro. 89-96"/>
    <s v="Cancelación Vigilancia, mes de Abril 2019"/>
    <x v="0"/>
    <m/>
    <s v="01902"/>
    <s v="03 de abril de 2019"/>
    <n v="3"/>
    <x v="29"/>
    <s v="3.000,00"/>
    <e v="#NAME?"/>
  </r>
  <r>
    <n v="1903"/>
    <m/>
    <x v="0"/>
    <d v="2019-04-04T00:00:00"/>
    <n v="6000"/>
    <s v="Familia Scabuzzo Gómez"/>
    <s v="sfscabuzzo@msn.com"/>
    <s v="Av. &quot;I&quot; Nro. 146-20"/>
    <s v="Cancelación Vigilancia, meses de Marzo y Abril 2019"/>
    <x v="0"/>
    <m/>
    <s v="01903"/>
    <s v="04 de abril de 2019"/>
    <n v="4"/>
    <x v="29"/>
    <s v="6.000,00"/>
    <e v="#NAME?"/>
  </r>
  <r>
    <n v="1904"/>
    <m/>
    <x v="0"/>
    <d v="2019-04-05T00:00:00"/>
    <n v="3000"/>
    <s v="Héctor Hernández"/>
    <s v="eof64@hotmail.com"/>
    <s v="Calle Guacara Nro. 89-94"/>
    <s v="Cancelación Vigilancia, mes de Abril 2019"/>
    <x v="0"/>
    <m/>
    <s v="01904"/>
    <s v="05 de abril de 2019"/>
    <n v="5"/>
    <x v="29"/>
    <s v="3.000,00"/>
    <e v="#NAME?"/>
  </r>
  <r>
    <n v="1905"/>
    <m/>
    <x v="0"/>
    <d v="2019-04-05T00:00:00"/>
    <n v="3000"/>
    <s v="Familia Franco Gómez"/>
    <s v="eof64@hotmail.com"/>
    <s v="Calle Guacara Nro. 87-07"/>
    <s v="Cancelación Vigilancia, mes de Abril 2019"/>
    <x v="0"/>
    <m/>
    <s v="01905"/>
    <s v="05 de abril de 2019"/>
    <n v="5"/>
    <x v="29"/>
    <s v="3.000,00"/>
    <e v="#NAME?"/>
  </r>
  <r>
    <n v="1906"/>
    <m/>
    <x v="0"/>
    <d v="2019-03-22T00:00:00"/>
    <n v="3000"/>
    <s v="Familia Gascón Domínguez"/>
    <s v="vrgascon@gmail.com"/>
    <s v="Calle Güigüe Nro. 88-70"/>
    <s v="Cancelación Vigilancia, mes de Marzo 2019"/>
    <x v="0"/>
    <m/>
    <s v="01906"/>
    <s v="22 de marzo de 2019"/>
    <n v="22"/>
    <x v="28"/>
    <s v="3.000,00"/>
    <e v="#NAME?"/>
  </r>
  <r>
    <n v="1907"/>
    <m/>
    <x v="0"/>
    <d v="2019-03-27T00:00:00"/>
    <n v="2200"/>
    <s v="Familia Méndez Parra"/>
    <s v="briceidademendez@gmail.com"/>
    <s v="Calle Guacara Nro. 88-19"/>
    <s v="Colaboración Vigilancia, mes de Marzo 2019"/>
    <x v="0"/>
    <m/>
    <s v="01907"/>
    <s v="27 de marzo de 2019"/>
    <n v="27"/>
    <x v="28"/>
    <s v="2.200,00"/>
    <e v="#NAME?"/>
  </r>
  <r>
    <n v="1908"/>
    <m/>
    <x v="0"/>
    <d v="2019-04-05T00:00:00"/>
    <n v="3000"/>
    <s v="Familia Fermín Rivas"/>
    <s v="angelferminb@gmail.com"/>
    <s v="Calle Güigüe Nro. 89-55"/>
    <s v="Cancelación Vigilancia, mes de Abril 2019"/>
    <x v="0"/>
    <m/>
    <s v="01908"/>
    <s v="05 de abril de 2019"/>
    <n v="5"/>
    <x v="29"/>
    <s v="3.000,00"/>
    <e v="#NAME?"/>
  </r>
  <r>
    <n v="1909"/>
    <m/>
    <x v="0"/>
    <d v="2019-04-06T00:00:00"/>
    <n v="10000"/>
    <s v="Wu Hung Fung"/>
    <s v="carolinahung24@gmail.com"/>
    <s v="Calle Guacara Nro. 90-81"/>
    <s v="Cancelación Vigilancia, meses de Marzo y Abril 2019 y aporte especial"/>
    <x v="0"/>
    <m/>
    <s v="01909"/>
    <s v="06 de abril de 2019"/>
    <n v="6"/>
    <x v="29"/>
    <s v="10.000,00"/>
    <e v="#NAME?"/>
  </r>
  <r>
    <n v="1910"/>
    <m/>
    <x v="0"/>
    <d v="2019-04-06T00:00:00"/>
    <n v="5000"/>
    <s v="Familia Milanés Carmona"/>
    <s v="yndira11m@gmail.com"/>
    <s v="Calle Güigüe Nro. 89-65"/>
    <s v="Cancelación Vigilancia, mes de Abril 2019 y aporte especial"/>
    <x v="0"/>
    <m/>
    <s v="01910"/>
    <s v="06 de abril de 2019"/>
    <n v="6"/>
    <x v="29"/>
    <s v="5.000,00"/>
    <e v="#NAME?"/>
  </r>
  <r>
    <n v="1911"/>
    <m/>
    <x v="0"/>
    <d v="2019-04-07T00:00:00"/>
    <n v="3000"/>
    <s v="Familia Barreto Pérez"/>
    <s v="bbetsa19@hotmail.com"/>
    <s v="Av. &quot;M&quot; Nro. 146-15"/>
    <s v="Cancelación Vigilancia, mes de Marzo 2019"/>
    <x v="0"/>
    <m/>
    <s v="01911"/>
    <s v="07 de abril de 2019"/>
    <n v="7"/>
    <x v="29"/>
    <s v="3.000,00"/>
    <e v="#NAME?"/>
  </r>
  <r>
    <n v="1912"/>
    <m/>
    <x v="1"/>
    <d v="2019-04-07T00:00:00"/>
    <n v="4000"/>
    <s v="Familia Lomeña Agudo"/>
    <s v="claudialomena@hotmail.com"/>
    <s v="Calle Guacara Nro. 89-30"/>
    <s v="REVERTIDO: Cancelación Vigilancia, mes de Abril 2019"/>
    <x v="12"/>
    <m/>
    <s v="01912"/>
    <s v="07 de abril de 2019"/>
    <n v="7"/>
    <x v="29"/>
    <s v="4.000,00"/>
    <e v="#NAME?"/>
  </r>
  <r>
    <n v="1913"/>
    <m/>
    <x v="0"/>
    <d v="2019-04-07T00:00:00"/>
    <n v="6000"/>
    <s v="Gloria Molina"/>
    <s v="glomola2@yahoo.es"/>
    <s v="Calle Güigüe Nro. 89-71"/>
    <s v="Colaboración Vigilancia, meses de Marzo y Abril 2019"/>
    <x v="0"/>
    <m/>
    <s v="01913"/>
    <s v="07 de abril de 2019"/>
    <n v="7"/>
    <x v="29"/>
    <s v="6.000,00"/>
    <e v="#NAME?"/>
  </r>
  <r>
    <n v="1914"/>
    <m/>
    <x v="0"/>
    <d v="2019-04-08T00:00:00"/>
    <n v="6000"/>
    <s v="Familia Ferrer Bahri"/>
    <s v="bahrimariela@hotmail.com"/>
    <s v="Calle Güigüe Nro. 89-83"/>
    <s v="Cancelación Vigilancia, mes de Abril 2019"/>
    <x v="0"/>
    <m/>
    <s v="01914"/>
    <s v="08 de abril de 2019"/>
    <n v="8"/>
    <x v="29"/>
    <s v="6.000,00"/>
    <e v="#NAME?"/>
  </r>
  <r>
    <n v="1915"/>
    <m/>
    <x v="0"/>
    <d v="2019-04-08T00:00:00"/>
    <n v="4350"/>
    <s v="Colegio El Trigal"/>
    <s v="En Físico"/>
    <s v="Calle Güigüe Nros. 88-71 y 88-81"/>
    <s v="Cancelación Vigilancia, anticipo mes de Abril 2019"/>
    <x v="0"/>
    <m/>
    <s v="01915"/>
    <s v="08 de abril de 2019"/>
    <n v="8"/>
    <x v="29"/>
    <s v="4.350,00"/>
    <e v="#NAME?"/>
  </r>
  <r>
    <n v="1916"/>
    <m/>
    <x v="0"/>
    <d v="2019-04-08T00:00:00"/>
    <n v="3000"/>
    <s v="Carmen Moreno"/>
    <s v="carmenemoreno10@gmail.com"/>
    <s v="Calle Güigüe Nro. 89-04"/>
    <s v="Cancelación Vigilancia, mes de Abril 2019"/>
    <x v="0"/>
    <m/>
    <s v="01916"/>
    <s v="08 de abril de 2019"/>
    <n v="8"/>
    <x v="29"/>
    <s v="3.000,00"/>
    <e v="#NAME?"/>
  </r>
  <r>
    <n v="1917"/>
    <m/>
    <x v="0"/>
    <d v="2019-04-08T00:00:00"/>
    <n v="3000"/>
    <s v="Familia Matta Palomino"/>
    <s v="En Físico"/>
    <s v="Calle Güigüe Nro. 88-90"/>
    <s v="Cancelación Vigilancia, mes de Marzo 2019"/>
    <x v="0"/>
    <m/>
    <s v="01917"/>
    <s v="08 de abril de 2019"/>
    <n v="8"/>
    <x v="29"/>
    <s v="3.000,00"/>
    <e v="#NAME?"/>
  </r>
  <r>
    <n v="1918"/>
    <m/>
    <x v="0"/>
    <d v="2019-04-08T00:00:00"/>
    <n v="3000"/>
    <s v="Familia Colosso Delgado"/>
    <s v="mcolosso@gmail.com"/>
    <s v="Calle Güigüe Nro. 88-44"/>
    <s v="Cancelación Vigilancia, mes de Abril 2019"/>
    <x v="0"/>
    <m/>
    <s v="01918"/>
    <s v="08 de abril de 2019"/>
    <n v="8"/>
    <x v="29"/>
    <s v="3.000,00"/>
    <e v="#NAME?"/>
  </r>
  <r>
    <n v="1919"/>
    <m/>
    <x v="0"/>
    <d v="2019-04-08T00:00:00"/>
    <n v="3000"/>
    <s v="Chin Chun Ya (Goya)"/>
    <s v="uc2721@gmail.com"/>
    <s v="Calle Guacara Nro. 87-86"/>
    <s v="Cancelación Vigilancia, mes de Abril 2019"/>
    <x v="0"/>
    <m/>
    <s v="01919"/>
    <s v="08 de abril de 2019"/>
    <n v="8"/>
    <x v="29"/>
    <s v="3.000,00"/>
    <e v="#NAME?"/>
  </r>
  <r>
    <n v="1920"/>
    <m/>
    <x v="0"/>
    <d v="2019-04-08T00:00:00"/>
    <n v="3000"/>
    <s v="Familia Arcia Polanco"/>
    <s v="misipo29@gmail.com"/>
    <s v="Calle Guacara Nro. 89-20"/>
    <s v="Cancelación Vigilancia, mes de Abril 2019"/>
    <x v="0"/>
    <m/>
    <s v="01920"/>
    <s v="08 de abril de 2019"/>
    <n v="8"/>
    <x v="29"/>
    <s v="3.000,00"/>
    <e v="#NAME?"/>
  </r>
  <r>
    <n v="1921"/>
    <m/>
    <x v="0"/>
    <d v="2019-04-08T00:00:00"/>
    <n v="6000"/>
    <s v="Andrea Valor"/>
    <s v="aavp992@gmail.com"/>
    <s v="Calle Guacara Nro. 88-75"/>
    <s v="Cancelación Vigilancia, meses de Marzo y Abril 2019"/>
    <x v="0"/>
    <m/>
    <s v="01921"/>
    <s v="08 de abril de 2019"/>
    <n v="8"/>
    <x v="29"/>
    <s v="6.000,00"/>
    <e v="#NAME?"/>
  </r>
  <r>
    <n v="1922"/>
    <m/>
    <x v="0"/>
    <d v="2019-04-08T00:00:00"/>
    <n v="3000"/>
    <s v="Familia Navarrete Medina"/>
    <s v="juanin1919@yahoo.com"/>
    <s v="Calle Güigüe Nro. 89-22"/>
    <s v="Cancelación Vigilancia, mes de Marzo 2019"/>
    <x v="0"/>
    <m/>
    <s v="01922"/>
    <s v="08 de abril de 2019"/>
    <n v="8"/>
    <x v="29"/>
    <s v="3.000,00"/>
    <e v="#NAME?"/>
  </r>
  <r>
    <n v="1923"/>
    <m/>
    <x v="0"/>
    <d v="2019-04-08T00:00:00"/>
    <n v="3000"/>
    <s v="Familia Piñero Padilla"/>
    <s v="achepaul2005@hotmail.com"/>
    <s v="Calle Güigüe Nro. 89-21"/>
    <s v="Cancelación Vigilancia, mes de Marzo 2019"/>
    <x v="0"/>
    <m/>
    <s v="01923"/>
    <s v="08 de abril de 2019"/>
    <n v="8"/>
    <x v="29"/>
    <s v="3.000,00"/>
    <e v="#NAME?"/>
  </r>
  <r>
    <n v="1924"/>
    <m/>
    <x v="0"/>
    <d v="2019-04-08T00:00:00"/>
    <n v="2200"/>
    <s v="Familia Méndez Parra"/>
    <s v="briceidademendez@gmail.com"/>
    <s v="Calle Guacara Nro. 88-19"/>
    <s v="Colaboración Vigilancia, mes de Abril 2019"/>
    <x v="0"/>
    <m/>
    <s v="01924"/>
    <s v="08 de abril de 2019"/>
    <n v="8"/>
    <x v="29"/>
    <s v="2.200,00"/>
    <e v="#NAME?"/>
  </r>
  <r>
    <n v="1925"/>
    <m/>
    <x v="0"/>
    <d v="2019-04-08T00:00:00"/>
    <n v="3000"/>
    <s v="Amparo Acosta"/>
    <s v="amparonatividad@hotmail.com"/>
    <s v="Calle Guacara Nro. 88-65"/>
    <s v="Colaboración Vigilancia, mes de Abril 2019"/>
    <x v="0"/>
    <m/>
    <s v="01925"/>
    <s v="08 de abril de 2019"/>
    <n v="8"/>
    <x v="29"/>
    <s v="3.000,00"/>
    <e v="#NAME?"/>
  </r>
  <r>
    <n v="1926"/>
    <m/>
    <x v="0"/>
    <d v="2019-04-08T00:00:00"/>
    <n v="3000"/>
    <s v="Familia Acosta Carpio"/>
    <s v="pablo962@hotmail.com"/>
    <s v="Calle Güigüe Nro. 89-10"/>
    <s v="Cancelación Vigilancia, mes de Marzo 2019"/>
    <x v="0"/>
    <m/>
    <s v="01926"/>
    <s v="08 de abril de 2019"/>
    <n v="8"/>
    <x v="29"/>
    <s v="3.000,00"/>
    <e v="#NAME?"/>
  </r>
  <r>
    <n v="1927"/>
    <m/>
    <x v="0"/>
    <d v="2019-04-09T00:00:00"/>
    <n v="3000"/>
    <s v="Familia Montilla García"/>
    <s v="dairy252525@hotmail.com"/>
    <s v="Calle Güigüe Nro. 89-90"/>
    <s v="Cancelación Vigilancia, anticipo mes de Abril 2019"/>
    <x v="0"/>
    <m/>
    <s v="01927"/>
    <s v="09 de abril de 2019"/>
    <n v="9"/>
    <x v="29"/>
    <s v="3.000,00"/>
    <e v="#NAME?"/>
  </r>
  <r>
    <n v="1928"/>
    <m/>
    <x v="0"/>
    <d v="2019-04-09T00:00:00"/>
    <n v="3000"/>
    <s v="Familia Machado Stoppa"/>
    <s v="machadoru@hotmail.com"/>
    <s v="Calle Guacara Nro. 88-85"/>
    <s v="Colaboración Vigilancia, mes de Abril 2019"/>
    <x v="0"/>
    <m/>
    <s v="01928"/>
    <s v="09 de abril de 2019"/>
    <n v="9"/>
    <x v="29"/>
    <s v="3.000,00"/>
    <e v="#NAME?"/>
  </r>
  <r>
    <n v="1929"/>
    <m/>
    <x v="0"/>
    <d v="2019-03-22T00:00:00"/>
    <n v="3000"/>
    <s v="Familia Díaz González"/>
    <s v="luisrdt57@gmail.com"/>
    <s v="Calle Güigüe Nro. 88-116"/>
    <s v="Cancelación Vigilancia, mes de Marzo 2019"/>
    <x v="0"/>
    <m/>
    <s v="01929"/>
    <s v="22 de marzo de 2019"/>
    <n v="22"/>
    <x v="28"/>
    <s v="3.000,00"/>
    <e v="#NAME?"/>
  </r>
  <r>
    <n v="1930"/>
    <m/>
    <x v="0"/>
    <d v="2019-04-10T00:00:00"/>
    <n v="12000"/>
    <s v="Familia Romero"/>
    <s v="autoescuela21@gmail.com"/>
    <s v="Calle Guacara Nro. 89-50"/>
    <s v="Cancelación Vigilancia, meses de Enero, Febrero, Marzo y Abril 2019"/>
    <x v="0"/>
    <m/>
    <s v="01930"/>
    <s v="10 de abril de 2019"/>
    <n v="10"/>
    <x v="29"/>
    <s v="12.000,00"/>
    <e v="#NAME?"/>
  </r>
  <r>
    <n v="1931"/>
    <m/>
    <x v="0"/>
    <d v="2019-04-10T00:00:00"/>
    <n v="15000"/>
    <s v="Familia Cegarra Villamizar"/>
    <s v="jesus.villamizar.ra@gmail.com"/>
    <s v="Calle Guacara Nro. 88-35"/>
    <s v="Cancelación Vigilancia, meses de Noviembre y Diciembre 2018, de Enero a Abril 2019, y anticipo de Mayo 2019"/>
    <x v="0"/>
    <m/>
    <s v="01931"/>
    <s v="10 de abril de 2019"/>
    <n v="10"/>
    <x v="29"/>
    <s v="15.000,00"/>
    <e v="#NAME?"/>
  </r>
  <r>
    <n v="1932"/>
    <m/>
    <x v="0"/>
    <d v="2019-04-11T00:00:00"/>
    <n v="12000"/>
    <s v="Familia Il Grande Franceschi"/>
    <s v="arcifran75@hotmail.com"/>
    <s v="Av. &quot;I&quot; Nro. 146-40"/>
    <s v="Cancelación Vigilancia, meses de Febrero, Marzo y  Abril, y anticipo del  mes de Mayo 2019"/>
    <x v="0"/>
    <m/>
    <s v="01932"/>
    <s v="11 de abril de 2019"/>
    <n v="11"/>
    <x v="29"/>
    <s v="12.000,00"/>
    <e v="#NAME?"/>
  </r>
  <r>
    <n v="1933"/>
    <m/>
    <x v="0"/>
    <d v="2018-12-20T00:00:00"/>
    <n v="800"/>
    <s v="Familia Hurtado"/>
    <s v="hurtadomilena@gmail.com"/>
    <s v="Av. &quot;O&quot; Nro. 146-11"/>
    <s v="Cancelación Vigilancia, mes de Diciembre 2018. Transferencia Banesco nro. 10643789740"/>
    <x v="0"/>
    <m/>
    <s v="01933"/>
    <s v="20 de diciembre de 2018"/>
    <n v="20"/>
    <x v="25"/>
    <s v="800,00"/>
    <e v="#NAME?"/>
  </r>
  <r>
    <n v="1934"/>
    <m/>
    <x v="0"/>
    <d v="2019-02-04T00:00:00"/>
    <n v="3000"/>
    <s v="Familia Hurtado"/>
    <s v="hurtadomilena@gmail.com"/>
    <s v="Av. &quot;O&quot; Nro. 146-11"/>
    <s v="Cancelación Vigilancia, mes de Enero 2019. Transferencia Banesco nro. 10824360060"/>
    <x v="0"/>
    <m/>
    <s v="01934"/>
    <s v="04 de febrero de 2019"/>
    <n v="4"/>
    <x v="27"/>
    <s v="3.000,00"/>
    <e v="#NAME?"/>
  </r>
  <r>
    <n v="1935"/>
    <m/>
    <x v="0"/>
    <d v="2019-03-03T00:00:00"/>
    <n v="3000"/>
    <s v="Familia Hurtado"/>
    <s v="hurtadomilena@gmail.com"/>
    <s v="Av. &quot;O&quot; Nro. 146-11"/>
    <s v="Cancelación Vigilancia, mes de Febrero 2019. Transferencia Banesco nro. 10936247652"/>
    <x v="0"/>
    <m/>
    <s v="01935"/>
    <s v="03 de marzo de 2019"/>
    <n v="3"/>
    <x v="28"/>
    <s v="3.000,00"/>
    <e v="#NAME?"/>
  </r>
  <r>
    <n v="1936"/>
    <m/>
    <x v="0"/>
    <d v="2019-04-01T00:00:00"/>
    <n v="3000"/>
    <s v="Familia Hurtado"/>
    <s v="hurtadomilena@gmail.com"/>
    <s v="Av. &quot;O&quot; Nro. 146-11"/>
    <s v="Cancelación Vigilancia, mes de Marzo 2019. Transferencia Banesco nro. 11022452320"/>
    <x v="0"/>
    <m/>
    <s v="01936"/>
    <s v="01 de abril de 2019"/>
    <n v="1"/>
    <x v="29"/>
    <s v="3.000,00"/>
    <e v="#NAME?"/>
  </r>
  <r>
    <n v="1937"/>
    <m/>
    <x v="0"/>
    <d v="2019-04-10T00:00:00"/>
    <n v="3000"/>
    <s v="Familia Hurtado"/>
    <s v="hurtadomilena@gmail.com"/>
    <s v="Av. &quot;O&quot; Nro. 146-11"/>
    <s v="Cancelación Vigilancia, mes de Abril 2019. Transferencia Banesco nro. 11051108616"/>
    <x v="0"/>
    <m/>
    <s v="01937"/>
    <s v="10 de abril de 2019"/>
    <n v="10"/>
    <x v="29"/>
    <s v="3.000,00"/>
    <e v="#NAME?"/>
  </r>
  <r>
    <n v="1938"/>
    <m/>
    <x v="0"/>
    <d v="2019-04-11T00:00:00"/>
    <n v="6000"/>
    <s v="Familia Sirit Palencia"/>
    <s v="irasirit@gmail.com"/>
    <s v="Calle Güigüe Nro. 89-35"/>
    <s v="Cancelación Vigilancia, meses de Marzo y Abril 2019"/>
    <x v="0"/>
    <m/>
    <s v="01938"/>
    <s v="11 de abril de 2019"/>
    <n v="11"/>
    <x v="29"/>
    <s v="6.000,00"/>
    <e v="#NAME?"/>
  </r>
  <r>
    <n v="1939"/>
    <m/>
    <x v="0"/>
    <d v="2019-04-12T00:00:00"/>
    <n v="10000"/>
    <s v="Familia Soto Urdaneta"/>
    <s v="esotom61@gmail.com"/>
    <s v="Calle Guacara Nro. 89-102"/>
    <s v="Cancelación Vigilancia, meses de Enero, Febrero y Marzo 2019"/>
    <x v="0"/>
    <m/>
    <s v="01939"/>
    <s v="12 de abril de 2019"/>
    <n v="12"/>
    <x v="29"/>
    <s v="10.000,00"/>
    <e v="#NAME?"/>
  </r>
  <r>
    <n v="1940"/>
    <m/>
    <x v="0"/>
    <d v="2019-04-12T00:00:00"/>
    <n v="2000"/>
    <s v="Familia Arcia Polanco"/>
    <s v="misipo29@gmail.com"/>
    <s v="Calle Guacara Nro. 89-20"/>
    <s v="Cancelación Vigilancia, saldo mes de Abril 2019"/>
    <x v="0"/>
    <m/>
    <s v="01940"/>
    <s v="12 de abril de 2019"/>
    <n v="12"/>
    <x v="29"/>
    <s v="2.000,00"/>
    <e v="#NAME?"/>
  </r>
  <r>
    <n v="1941"/>
    <m/>
    <x v="0"/>
    <d v="2019-04-12T00:00:00"/>
    <n v="12000"/>
    <s v="Ana de González"/>
    <s v="mikelnowak25@gmail.com"/>
    <s v="Av. &quot;O&quot; Nro. 146-17"/>
    <s v="Cancelación Vigilancia, meses de Enero, Febrero, Marzo y Abril 2019"/>
    <x v="0"/>
    <m/>
    <s v="01941"/>
    <s v="12 de abril de 2019"/>
    <n v="12"/>
    <x v="29"/>
    <s v="12.000,00"/>
    <e v="#NAME?"/>
  </r>
  <r>
    <n v="1942"/>
    <m/>
    <x v="0"/>
    <d v="2019-04-12T00:00:00"/>
    <n v="2000"/>
    <s v="Amarilis Guerra"/>
    <s v="amarilisguerra1@yahoo.com"/>
    <s v="Calle Güigüe Nro. 89-96"/>
    <s v="Cancelación Vigilancia, saldo mes de Abril 2019"/>
    <x v="0"/>
    <m/>
    <s v="01942"/>
    <s v="12 de abril de 2019"/>
    <n v="12"/>
    <x v="29"/>
    <s v="2.000,00"/>
    <e v="#NAME?"/>
  </r>
  <r>
    <n v="1943"/>
    <m/>
    <x v="0"/>
    <d v="2019-04-12T00:00:00"/>
    <n v="2000"/>
    <s v="Familia Guerra Miret"/>
    <s v="antoniojguerrag@hotmail.com"/>
    <s v="Calle Güigüe Nro. 89-40"/>
    <s v="Cancelación Vigilancia, saldo mes de Abril 2019"/>
    <x v="0"/>
    <m/>
    <s v="01943"/>
    <s v="12 de abril de 2019"/>
    <n v="12"/>
    <x v="29"/>
    <s v="2.000,00"/>
    <e v="#NAME?"/>
  </r>
  <r>
    <n v="1944"/>
    <m/>
    <x v="0"/>
    <d v="2019-04-12T00:00:00"/>
    <n v="2000"/>
    <s v="Familia Sirit Palencia"/>
    <s v="irasirit@gmail.com"/>
    <s v="Calle Güigüe Nro. 89-35"/>
    <s v="Cancelación Vigilancia, saldo mes de Abril 2019"/>
    <x v="0"/>
    <m/>
    <s v="01944"/>
    <s v="12 de abril de 2019"/>
    <n v="12"/>
    <x v="29"/>
    <s v="2.000,00"/>
    <e v="#NAME?"/>
  </r>
  <r>
    <n v="1945"/>
    <m/>
    <x v="0"/>
    <d v="2019-04-13T00:00:00"/>
    <n v="5000"/>
    <s v="Familia Fermín Rivas"/>
    <s v="angelferminb@gmail.com"/>
    <s v="Calle Güigüe Nro. 89-55"/>
    <s v="Cancelación Vigilancia, saldo mes de Abril 2019 y aporte especial"/>
    <x v="0"/>
    <m/>
    <s v="01945"/>
    <s v="13 de abril de 2019"/>
    <n v="13"/>
    <x v="29"/>
    <s v="5.000,00"/>
    <e v="#NAME?"/>
  </r>
  <r>
    <n v="1946"/>
    <m/>
    <x v="0"/>
    <d v="2019-04-13T00:00:00"/>
    <n v="13000"/>
    <s v="Familia Jiménez Navarro"/>
    <s v="joyasonline2012@gmail.com"/>
    <s v="Calle Güigüe Nro. 88-50"/>
    <s v="Vigilancia: Cancelación meses de Marzo y Abril 2019, y anticipo mes de Mayo 2019"/>
    <x v="0"/>
    <m/>
    <s v="01946"/>
    <s v="13 de abril de 2019"/>
    <n v="13"/>
    <x v="29"/>
    <s v="13.000,00"/>
    <e v="#NAME?"/>
  </r>
  <r>
    <n v="1947"/>
    <m/>
    <x v="0"/>
    <d v="2019-04-14T00:00:00"/>
    <n v="900"/>
    <s v="Familia Chávez Hernández"/>
    <s v="mercedesch23@hotmail.com"/>
    <s v="Calle Güigüe Nro. 88-20"/>
    <s v="Colaboración Vigilancia, meses de Febrero, Marzo y Abril 2019"/>
    <x v="0"/>
    <m/>
    <s v="01947"/>
    <s v="14 de abril de 2019"/>
    <n v="14"/>
    <x v="29"/>
    <s v="900,00"/>
    <e v="#NAME?"/>
  </r>
  <r>
    <n v="1948"/>
    <m/>
    <x v="0"/>
    <d v="2019-04-14T00:00:00"/>
    <n v="2000"/>
    <s v="Familia Colosso Delgado"/>
    <s v="mcolosso@gmail.com"/>
    <s v="Calle Güigüe Nro. 88-44"/>
    <s v="Cancelación Vigilancia, saldo mes de Abril 2019"/>
    <x v="0"/>
    <m/>
    <s v="01948"/>
    <s v="14 de abril de 2019"/>
    <n v="14"/>
    <x v="29"/>
    <s v="2.000,00"/>
    <e v="#NAME?"/>
  </r>
  <r>
    <n v="1949"/>
    <m/>
    <x v="0"/>
    <d v="2019-04-16T00:00:00"/>
    <n v="5000"/>
    <s v="Ely Saúl Rivero Gómez"/>
    <s v="hhs.admon@gmail.com"/>
    <s v="Av. &quot;Ñ&quot; Nro. 145-25"/>
    <s v="Cancelación Vigilancia, mes de Abril 2019 (saldo a favor: Bs. 23.352,00)"/>
    <x v="0"/>
    <m/>
    <s v="01949"/>
    <s v="16 de abril de 2019"/>
    <n v="16"/>
    <x v="29"/>
    <s v="5.000,00"/>
    <e v="#NAME?"/>
  </r>
  <r>
    <n v="1950"/>
    <m/>
    <x v="0"/>
    <d v="2019-04-16T00:00:00"/>
    <n v="5000"/>
    <s v="Familia Wu Acevedo"/>
    <s v="rudyacevedo90@gmail.com"/>
    <s v="Calle Guacara Nro. 88-A-10"/>
    <s v="Cancelación Vigilancia, mes de Abril 2019 (saldo a favor: Bs. 6.005,80)"/>
    <x v="0"/>
    <m/>
    <s v="01950"/>
    <s v="16 de abril de 2019"/>
    <n v="16"/>
    <x v="29"/>
    <s v="5.000,00"/>
    <e v="#NAME?"/>
  </r>
  <r>
    <n v="1951"/>
    <m/>
    <x v="0"/>
    <d v="2019-04-16T00:00:00"/>
    <n v="5000"/>
    <s v="Familia López Hermoso"/>
    <s v="lopez.humberto14@yahoo.com.ve"/>
    <s v="Calle Güigüe Nro. 89-79"/>
    <s v="Cancelación Vigilancia, mes de Abril 2019 (saldo a favor: Bs. 6.000,00)"/>
    <x v="0"/>
    <m/>
    <s v="01951"/>
    <s v="16 de abril de 2019"/>
    <n v="16"/>
    <x v="29"/>
    <s v="5.000,00"/>
    <e v="#NAME?"/>
  </r>
  <r>
    <n v="1952"/>
    <m/>
    <x v="0"/>
    <d v="2019-04-16T00:00:00"/>
    <n v="5000"/>
    <s v="Familia Costermani Terrer"/>
    <s v="claudiacostermani@hotmail.com"/>
    <s v="Calle Güigüe Nro. 88-11"/>
    <s v="Cancelación Vigilancia, mes de Abril 2019"/>
    <x v="0"/>
    <m/>
    <s v="01952"/>
    <s v="16 de abril de 2019"/>
    <n v="16"/>
    <x v="29"/>
    <s v="5.000,00"/>
    <e v="#NAME?"/>
  </r>
  <r>
    <n v="1953"/>
    <m/>
    <x v="0"/>
    <d v="2019-04-16T00:00:00"/>
    <n v="5000"/>
    <s v="Familia Del Negro Palermo"/>
    <s v="vdelnegro@gmail.com"/>
    <s v="Calle Guacara Nro. 88-45"/>
    <s v="Cancelación Vigilancia, mes de Abril 2019 (saldo a favor: Bs. 95.862,95)"/>
    <x v="0"/>
    <m/>
    <s v="01953"/>
    <s v="16 de abril de 2019"/>
    <n v="16"/>
    <x v="29"/>
    <s v="5.000,00"/>
    <e v="#NAME?"/>
  </r>
  <r>
    <n v="1954"/>
    <m/>
    <x v="0"/>
    <d v="2019-04-16T00:00:00"/>
    <n v="9000"/>
    <s v="Ma. de Jesus Alonso"/>
    <s v="alonsojg@gmail.com"/>
    <s v="Calle Güigüe Nro. 88-30"/>
    <s v="Cancelación Vigilancia, meses de Enero, Febrero y Marzo 2019"/>
    <x v="0"/>
    <m/>
    <s v="01954"/>
    <s v="16 de abril de 2019"/>
    <n v="16"/>
    <x v="29"/>
    <s v="9.000,00"/>
    <e v="#NAME?"/>
  </r>
  <r>
    <n v="1955"/>
    <m/>
    <x v="0"/>
    <d v="2019-04-17T00:00:00"/>
    <n v="2000"/>
    <s v="Carmen Moreno"/>
    <s v="carmenemoreno10@gmail.com"/>
    <s v="Calle Güigüe Nro. 89-04"/>
    <s v="Cancelación Vigilancia, saldo mes de Abril 2019"/>
    <x v="0"/>
    <m/>
    <s v="01955"/>
    <s v="17 de abril de 2019"/>
    <n v="17"/>
    <x v="29"/>
    <s v="2.000,00"/>
    <e v="#NAME?"/>
  </r>
  <r>
    <n v="1956"/>
    <m/>
    <x v="0"/>
    <d v="2019-04-18T00:00:00"/>
    <n v="3000"/>
    <s v="Zoraida Khair"/>
    <s v="zorakhair@hotmail.com | lbracamonte@netuno.net"/>
    <s v="Calle Güigüe Nro. 88-80"/>
    <s v="Cancelación Vigilancia, mes de Febrero 2019 (saldo a favor Bs. 345,55)"/>
    <x v="0"/>
    <m/>
    <s v="01956"/>
    <s v="18 de abril de 2019"/>
    <n v="18"/>
    <x v="29"/>
    <s v="3.000,00"/>
    <e v="#NAME?"/>
  </r>
  <r>
    <n v="1957"/>
    <m/>
    <x v="0"/>
    <d v="2019-04-18T00:00:00"/>
    <n v="5000"/>
    <s v="Familia Alonso Rojas"/>
    <s v="redjc01@gmail.com"/>
    <s v="Calle Güigüe Nro. 89-54"/>
    <s v="Cancelación Vigilancia, mes de Abril 2019"/>
    <x v="0"/>
    <m/>
    <s v="01957"/>
    <s v="18 de abril de 2019"/>
    <n v="18"/>
    <x v="29"/>
    <s v="5.000,00"/>
    <e v="#NAME?"/>
  </r>
  <r>
    <n v="1958"/>
    <m/>
    <x v="0"/>
    <d v="2019-04-18T00:00:00"/>
    <n v="2000"/>
    <s v="Chin Chun Ya (Goya)"/>
    <s v="uc2721@gmail.com"/>
    <s v="Calle Guacara Nro. 87-86"/>
    <s v="Cancelación Vigilancia, saldo mes de Abril 2019"/>
    <x v="0"/>
    <m/>
    <s v="01958"/>
    <s v="18 de abril de 2019"/>
    <n v="18"/>
    <x v="29"/>
    <s v="2.000,00"/>
    <e v="#NAME?"/>
  </r>
  <r>
    <n v="1959"/>
    <m/>
    <x v="0"/>
    <d v="2019-04-18T00:00:00"/>
    <n v="5000"/>
    <s v="Familia Kablan Sarmiento"/>
    <s v="norisjsb56@hotmail.com"/>
    <s v="Calle Güigüe Nro. 89-80"/>
    <s v="Cancelación Vigilancia, mes de Abril 2019"/>
    <x v="0"/>
    <m/>
    <s v="01959"/>
    <s v="18 de abril de 2019"/>
    <n v="18"/>
    <x v="29"/>
    <s v="5.000,00"/>
    <e v="#NAME?"/>
  </r>
  <r>
    <n v="1960"/>
    <m/>
    <x v="0"/>
    <d v="2019-04-19T00:00:00"/>
    <n v="5000"/>
    <s v="Familia Soto Urdaneta"/>
    <s v="esotom61@gmail.com"/>
    <s v="Calle Guacara Nro. 89-102"/>
    <s v="Cancelación Vigilancia, mes de Abril 2019"/>
    <x v="0"/>
    <m/>
    <s v="01960"/>
    <s v="19 de abril de 2019"/>
    <n v="19"/>
    <x v="29"/>
    <s v="5.000,00"/>
    <e v="#NAME?"/>
  </r>
  <r>
    <n v="1961"/>
    <m/>
    <x v="0"/>
    <d v="2019-04-19T00:00:00"/>
    <n v="2000"/>
    <s v="Héctor Hernández"/>
    <s v="eof64@hotmail.com"/>
    <s v="Calle Guacara Nro. 89-94"/>
    <s v="Cancelación Vigilancia, saldo mes de Abril 2019"/>
    <x v="0"/>
    <m/>
    <s v="01961"/>
    <s v="19 de abril de 2019"/>
    <n v="19"/>
    <x v="29"/>
    <s v="2.000,00"/>
    <e v="#NAME?"/>
  </r>
  <r>
    <n v="1962"/>
    <m/>
    <x v="0"/>
    <d v="2019-04-19T00:00:00"/>
    <n v="2000"/>
    <s v="Familia Franco Gómez"/>
    <s v="eof64@hotmail.com"/>
    <s v="Calle Guacara Nro. 87-07"/>
    <s v="Cancelación Vigilancia, saldo mes de Abril 2019"/>
    <x v="0"/>
    <m/>
    <s v="01962"/>
    <s v="19 de abril de 2019"/>
    <n v="19"/>
    <x v="29"/>
    <s v="2.000,00"/>
    <e v="#NAME?"/>
  </r>
  <r>
    <n v="1963"/>
    <m/>
    <x v="0"/>
    <d v="2019-04-19T00:00:00"/>
    <n v="7000"/>
    <s v="Familia González Arévalo"/>
    <s v="feryenis@hotmail.com"/>
    <s v="Calle Guacara Nro. 89-86"/>
    <s v="Vigilancia: Cancelación saldo mes de Abril y anticipo mes de Mayo 2019"/>
    <x v="0"/>
    <m/>
    <s v="01963"/>
    <s v="19 de abril de 2019"/>
    <n v="19"/>
    <x v="29"/>
    <s v="7.000,00"/>
    <e v="#NAME?"/>
  </r>
  <r>
    <n v="1964"/>
    <m/>
    <x v="0"/>
    <d v="2019-04-21T00:00:00"/>
    <n v="5000"/>
    <s v="Familia Abbinante Pinto"/>
    <s v="abbinante47@gmail.com"/>
    <s v="Calle Güigüe Nro. 89-120"/>
    <s v="Cancelación Vigilancia, mes de Abril 2019"/>
    <x v="0"/>
    <m/>
    <s v="01964"/>
    <s v="21 de abril de 2019"/>
    <n v="21"/>
    <x v="29"/>
    <s v="5.000,00"/>
    <e v="#NAME?"/>
  </r>
  <r>
    <n v="1965"/>
    <m/>
    <x v="0"/>
    <d v="2019-04-22T00:00:00"/>
    <n v="5000"/>
    <s v="Familia Rodríguez Aular"/>
    <s v="mvaular@hotmail.com"/>
    <s v="Calle Güigüe Nro. 88-58"/>
    <s v="Cancelación Vigilancia, mes de Abril 2019"/>
    <x v="0"/>
    <m/>
    <s v="01965"/>
    <s v="22 de abril de 2019"/>
    <n v="22"/>
    <x v="29"/>
    <s v="5.000,00"/>
    <e v="#NAME?"/>
  </r>
  <r>
    <n v="1966"/>
    <m/>
    <x v="0"/>
    <d v="2019-04-22T00:00:00"/>
    <n v="5000"/>
    <s v="Familia Zavarce Barón"/>
    <s v="alexanderzavarce@gmail.com"/>
    <s v="Calle Guacara Nro. 88-91"/>
    <s v="Cancelación Vigilancia, mes de Abril 2019"/>
    <x v="0"/>
    <m/>
    <s v="01966"/>
    <s v="22 de abril de 2019"/>
    <n v="22"/>
    <x v="29"/>
    <s v="5.000,00"/>
    <e v="#NAME?"/>
  </r>
  <r>
    <n v="1967"/>
    <m/>
    <x v="0"/>
    <d v="2019-04-22T00:00:00"/>
    <n v="2365.5500000000002"/>
    <s v="Zoraida Khair"/>
    <s v="zorakhair@hotmail.com | lbracamonte@netuno.net"/>
    <s v="Calle Güigüe Nro. 88-80"/>
    <s v="Colaboración Vigilancia, mes de Marzo 2019"/>
    <x v="0"/>
    <m/>
    <s v="01967"/>
    <s v="22 de abril de 2019"/>
    <n v="22"/>
    <x v="29"/>
    <s v="2.365,55"/>
    <e v="#NAME?"/>
  </r>
  <r>
    <n v="1968"/>
    <m/>
    <x v="0"/>
    <d v="2019-04-22T00:00:00"/>
    <n v="5000"/>
    <s v="Familia Castro Jiménez"/>
    <s v="aurycastrojimenez@gmail.com"/>
    <s v="Calle Guacara Nro. 90-51"/>
    <s v="Cancelación Vigilancia, mes de Abril 2019"/>
    <x v="0"/>
    <m/>
    <s v="01968"/>
    <s v="22 de abril de 2019"/>
    <n v="22"/>
    <x v="29"/>
    <s v="5.000,00"/>
    <e v="#NAME?"/>
  </r>
  <r>
    <n v="1969"/>
    <m/>
    <x v="0"/>
    <d v="2019-04-22T00:00:00"/>
    <n v="1440"/>
    <s v="Familia Ozar Rivero"/>
    <s v="vanessarivero81@hotmail.com"/>
    <s v="Calle Güigüe Nro. 88-06"/>
    <s v="Cancelación Vigilancia: saldo mes de Marzo 2019"/>
    <x v="0"/>
    <m/>
    <s v="01969"/>
    <s v="22 de abril de 2019"/>
    <n v="22"/>
    <x v="29"/>
    <s v="1.440,00"/>
    <e v="#NAME?"/>
  </r>
  <r>
    <n v="1970"/>
    <m/>
    <x v="0"/>
    <d v="2019-04-22T00:00:00"/>
    <n v="5000"/>
    <s v="Familia Ozar Rivero"/>
    <s v="vanessarivero81@hotmail.com"/>
    <s v="Calle Güigüe Nro. 88-06"/>
    <s v="Cancelación Vigilancia, mes de Abril 2019"/>
    <x v="0"/>
    <m/>
    <s v="01970"/>
    <s v="22 de abril de 2019"/>
    <n v="22"/>
    <x v="29"/>
    <s v="5.000,00"/>
    <e v="#NAME?"/>
  </r>
  <r>
    <n v="1971"/>
    <m/>
    <x v="0"/>
    <d v="2019-04-22T00:00:00"/>
    <n v="2000"/>
    <s v="Familia Machado Stoppa"/>
    <s v="machadoru@hotmail.com"/>
    <s v="Calle Guacara Nro. 88-85"/>
    <s v="Cancelación Vigilancia, saldo mes de Abril 2019"/>
    <x v="0"/>
    <m/>
    <s v="01971"/>
    <s v="22 de abril de 2019"/>
    <n v="22"/>
    <x v="29"/>
    <s v="2.000,00"/>
    <e v="#NAME?"/>
  </r>
  <r>
    <n v="1972"/>
    <m/>
    <x v="0"/>
    <d v="2019-04-23T00:00:00"/>
    <n v="5000"/>
    <s v="Familia Delgado Hidalgo"/>
    <s v="ardh@hotmail.com"/>
    <s v="Calle Güigüe Nro. 88-10"/>
    <s v="Cancelación Vigilancia, mes de Abril 2019"/>
    <x v="0"/>
    <m/>
    <s v="01972"/>
    <s v="23 de abril de 2019"/>
    <n v="23"/>
    <x v="29"/>
    <s v="5.000,00"/>
    <e v="#NAME?"/>
  </r>
  <r>
    <n v="1973"/>
    <m/>
    <x v="0"/>
    <d v="2019-04-23T00:00:00"/>
    <n v="5000"/>
    <s v="Familia Gascón Domínguez"/>
    <s v="vrgascon@gmail.com"/>
    <s v="Calle Güigüe Nro. 88-70"/>
    <s v="Cancelación Vigilancia, mes de Abril 2019"/>
    <x v="0"/>
    <m/>
    <s v="01973"/>
    <s v="23 de abril de 2019"/>
    <n v="23"/>
    <x v="29"/>
    <s v="5.000,00"/>
    <e v="#NAME?"/>
  </r>
  <r>
    <n v="1974"/>
    <m/>
    <x v="0"/>
    <d v="2019-04-24T00:00:00"/>
    <n v="5000"/>
    <s v="Familia Navarro Assing"/>
    <s v="liliaassing@gmail.com"/>
    <s v="Calle Güigüe Nro. 88-54"/>
    <s v="Cancelación Vigilancia, mes de Abril 2019"/>
    <x v="0"/>
    <m/>
    <s v="01974"/>
    <s v="24 de abril de 2019"/>
    <n v="24"/>
    <x v="29"/>
    <s v="5.000,00"/>
    <e v="#NAME?"/>
  </r>
  <r>
    <n v="1975"/>
    <m/>
    <x v="0"/>
    <d v="2019-04-25T00:00:00"/>
    <n v="9000"/>
    <s v="Familia Loponte Arteaga"/>
    <s v="En Físico"/>
    <s v="Calle Güigüe Nro. 88-120"/>
    <s v="Vigilancia: Saldo meses de Abril y Mayo y cancelación mes de Junio 2019"/>
    <x v="0"/>
    <m/>
    <s v="01975"/>
    <s v="25 de abril de 2019"/>
    <n v="25"/>
    <x v="29"/>
    <s v="9.000,00"/>
    <e v="#NAME?"/>
  </r>
  <r>
    <n v="1976"/>
    <m/>
    <x v="0"/>
    <d v="2019-04-27T00:00:00"/>
    <n v="6000"/>
    <s v="Familia Calzadilla Trujillo"/>
    <s v="calzadilla40@hotmail.com"/>
    <s v="Av. &quot;M&quot; Nro. 146-30"/>
    <s v="Vigilancia: Cancelación mes de Abril y anticipo mes de Mayo 2019"/>
    <x v="0"/>
    <m/>
    <s v="01976"/>
    <s v="27 de abril de 2019"/>
    <n v="27"/>
    <x v="29"/>
    <s v="6.000,00"/>
    <e v="#NAME?"/>
  </r>
  <r>
    <n v="1977"/>
    <m/>
    <x v="0"/>
    <d v="2019-04-28T00:00:00"/>
    <n v="5000"/>
    <s v="Familia Lomeña Agudo"/>
    <s v="claudialomena@hotmail.com"/>
    <s v="Calle Guacara Nro. 89-30"/>
    <s v="Cancelación Vigilancia, mes de Abril 2019"/>
    <x v="0"/>
    <m/>
    <s v="01977"/>
    <s v="28 de abril de 2019"/>
    <n v="28"/>
    <x v="29"/>
    <s v="5.000,00"/>
    <e v="#NAME?"/>
  </r>
  <r>
    <n v="1978"/>
    <m/>
    <x v="0"/>
    <d v="2019-04-28T00:00:00"/>
    <n v="10000"/>
    <s v="Familia Durvelle Serrano"/>
    <s v="sdurvelle@hotmail.com"/>
    <s v="Calle Guacara Nro. 89-60"/>
    <s v="Vigilancia: Cancelación mes de Abril y anticipo del mes de Mayo 2019"/>
    <x v="0"/>
    <m/>
    <s v="01978"/>
    <s v="28 de abril de 2019"/>
    <n v="28"/>
    <x v="29"/>
    <s v="10.000,00"/>
    <e v="#NAME?"/>
  </r>
  <r>
    <n v="1979"/>
    <m/>
    <x v="0"/>
    <d v="2019-04-28T00:00:00"/>
    <n v="5000"/>
    <s v="Familia Narváez Caldera"/>
    <s v="jeannette_nc@yahoo.com"/>
    <s v="Calle Güigüe Nro. 87-A-11"/>
    <s v="Cancelación Vigilancia, mes de Abril 2019"/>
    <x v="0"/>
    <m/>
    <s v="01979"/>
    <s v="28 de abril de 2019"/>
    <n v="28"/>
    <x v="29"/>
    <s v="5.000,00"/>
    <e v="#NAME?"/>
  </r>
  <r>
    <n v="1980"/>
    <m/>
    <x v="0"/>
    <d v="2019-04-28T00:00:00"/>
    <n v="5000"/>
    <s v="Familia Nava Gordon"/>
    <s v="maru_19_66@hotmail.com"/>
    <s v="Calle Guacara Nro. 89-78"/>
    <s v="Cancelación Vigilancia, mes de Abril 2019"/>
    <x v="0"/>
    <m/>
    <s v="01980"/>
    <s v="28 de abril de 2019"/>
    <n v="28"/>
    <x v="29"/>
    <s v="5.000,00"/>
    <e v="#NAME?"/>
  </r>
  <r>
    <n v="1981"/>
    <m/>
    <x v="0"/>
    <d v="2019-04-28T00:00:00"/>
    <n v="5000"/>
    <s v="Familia Kattar González"/>
    <s v="jagiak123@yahoo.es"/>
    <s v="Calle Güigüe Nro. 89-95"/>
    <s v="Cancelación Vigilancia, mes de Abril 2019"/>
    <x v="0"/>
    <m/>
    <s v="01981"/>
    <s v="28 de abril de 2019"/>
    <n v="28"/>
    <x v="29"/>
    <s v="5.000,00"/>
    <e v="#NAME?"/>
  </r>
  <r>
    <n v="1982"/>
    <m/>
    <x v="0"/>
    <d v="2019-04-28T00:00:00"/>
    <n v="5000"/>
    <s v="Zoraida Khair"/>
    <s v="zorakhair@hotmail.com | lbracamonte@netuno.net"/>
    <s v="Calle Güigüe Nro. 88-80"/>
    <s v="Cancelación Vigilancia, mes de Abril 2019"/>
    <x v="0"/>
    <m/>
    <s v="01982"/>
    <s v="28 de abril de 2019"/>
    <n v="28"/>
    <x v="29"/>
    <s v="5.000,00"/>
    <e v="#NAME?"/>
  </r>
  <r>
    <n v="1983"/>
    <m/>
    <x v="0"/>
    <d v="2019-04-29T00:00:00"/>
    <n v="7000"/>
    <s v="Familia Puerta Burguillos"/>
    <s v="namaricakes@gmail.com"/>
    <s v="Calle Guacara Nro. 87-100"/>
    <s v="Vigilancia: Cancelación saldo mes de Abril y anticipo mes de Mayo 2019"/>
    <x v="0"/>
    <m/>
    <s v="01983"/>
    <s v="29 de abril de 2019"/>
    <n v="29"/>
    <x v="29"/>
    <s v="7.000,00"/>
    <e v="#NAME?"/>
  </r>
  <r>
    <n v="1984"/>
    <m/>
    <x v="0"/>
    <d v="2019-03-29T00:00:00"/>
    <n v="5000"/>
    <s v="Familia Díaz González"/>
    <s v="luisrdt57@gmail.com"/>
    <s v="Calle Güigüe Nro. 88-116"/>
    <s v="Cancelación Vigilancia, mes de Abril 2019"/>
    <x v="0"/>
    <m/>
    <s v="01984"/>
    <s v="29 de marzo de 2019"/>
    <n v="29"/>
    <x v="28"/>
    <s v="5.000,00"/>
    <e v="#NAME?"/>
  </r>
  <r>
    <n v="1985"/>
    <m/>
    <x v="0"/>
    <d v="2019-03-29T00:00:00"/>
    <n v="8000"/>
    <s v="Familia Manrique Riera"/>
    <s v="patriciamanrique@gmail.com"/>
    <s v="Calle Guacara Nro. 89-40"/>
    <s v="Cancelación Vigilancia, meses de Marzo y Abril 2019"/>
    <x v="0"/>
    <m/>
    <s v="01985"/>
    <s v="29 de marzo de 2019"/>
    <n v="29"/>
    <x v="28"/>
    <s v="8.000,00"/>
    <e v="#NAME?"/>
  </r>
  <r>
    <n v="1986"/>
    <m/>
    <x v="0"/>
    <d v="2019-04-30T00:00:00"/>
    <n v="7000"/>
    <s v="Amparo Acosta"/>
    <s v="amparonatividad@hotmail.com"/>
    <s v="Calle Guacara Nro. 88-65"/>
    <s v="Vigilancia: Cancelación saldo mes de Abril y anticipo mes de Mayo 2019"/>
    <x v="0"/>
    <m/>
    <s v="01986"/>
    <s v="30 de abril de 2019"/>
    <n v="30"/>
    <x v="29"/>
    <s v="7.000,00"/>
    <e v="#NAME?"/>
  </r>
  <r>
    <n v="1987"/>
    <m/>
    <x v="0"/>
    <d v="2019-04-30T00:00:00"/>
    <n v="4000"/>
    <s v="Familia Il Grande Franceschi"/>
    <s v="arcifran75@hotmail.com"/>
    <s v="Av. &quot;I&quot; Nro. 146-40"/>
    <s v="Vigilancia: Anticipo mes de Mayo 2019"/>
    <x v="0"/>
    <m/>
    <s v="01987"/>
    <s v="30 de abril de 2019"/>
    <n v="30"/>
    <x v="29"/>
    <s v="4.000,00"/>
    <e v="#NAME?"/>
  </r>
  <r>
    <n v="1988"/>
    <m/>
    <x v="0"/>
    <d v="2019-04-28T00:00:00"/>
    <n v="2000"/>
    <s v="Andrea Valor"/>
    <s v="aavp992@gmail.com"/>
    <s v="Calle Guacara Nro. 88-75"/>
    <s v="Cancelación Vigilancia, saldo mes de Abril 2019"/>
    <x v="0"/>
    <m/>
    <s v="01988"/>
    <s v="28 de abril de 2019"/>
    <n v="28"/>
    <x v="29"/>
    <s v="2.000,00"/>
    <e v="#NAME?"/>
  </r>
  <r>
    <n v="1989"/>
    <m/>
    <x v="0"/>
    <d v="2019-05-01T00:00:00"/>
    <n v="5000"/>
    <s v="Dra. Lilia Magallanes"/>
    <s v="liliamagallanes2010@gmail.com"/>
    <s v="Calle Güigüe Nro. 88-51"/>
    <s v="Cancelación Vigilancia, mes de Abril 2019"/>
    <x v="0"/>
    <m/>
    <s v="01989"/>
    <s v="01 de mayo de 2019"/>
    <n v="1"/>
    <x v="30"/>
    <s v="5.000,00"/>
    <e v="#NAME?"/>
  </r>
  <r>
    <n v="1990"/>
    <m/>
    <x v="0"/>
    <d v="2019-05-02T00:00:00"/>
    <n v="10000"/>
    <s v="Beatriz Lara"/>
    <s v="valentina.gutierrez@hotmail.com"/>
    <s v="Calle Guacara Nro. 89-130"/>
    <s v="Vigilancia: Cancelación saldo mes de Abril y anticipo mes de Mayo 2019"/>
    <x v="0"/>
    <m/>
    <s v="01990"/>
    <s v="02 de mayo de 2019"/>
    <n v="2"/>
    <x v="30"/>
    <s v="10.000,00"/>
    <e v="#NAME?"/>
  </r>
  <r>
    <n v="1991"/>
    <m/>
    <x v="0"/>
    <d v="2019-05-02T00:00:00"/>
    <n v="5000"/>
    <s v="Familia Castillo Mena"/>
    <s v="emmecas@hotmail.com"/>
    <s v="Calle Güigüe Nro. 88-101"/>
    <s v="Cancelación Vigilancia, mes de Abril 2019"/>
    <x v="0"/>
    <m/>
    <s v="01991"/>
    <s v="02 de mayo de 2019"/>
    <n v="2"/>
    <x v="30"/>
    <s v="5.000,00"/>
    <e v="#NAME?"/>
  </r>
  <r>
    <n v="1992"/>
    <m/>
    <x v="0"/>
    <d v="2019-05-02T00:00:00"/>
    <n v="5000"/>
    <s v="Héctor Hernández"/>
    <s v="eof64@hotmail.com"/>
    <s v="Calle Guacara Nro. 89-94"/>
    <s v="Vigilancia: Anticipo mes de Mayo 2019"/>
    <x v="0"/>
    <m/>
    <s v="01992"/>
    <s v="02 de mayo de 2019"/>
    <n v="2"/>
    <x v="30"/>
    <s v="5.000,00"/>
    <e v="#NAME?"/>
  </r>
  <r>
    <n v="1993"/>
    <m/>
    <x v="0"/>
    <d v="2019-05-02T00:00:00"/>
    <n v="5000"/>
    <s v="Familia Franco Gómez"/>
    <s v="eof64@hotmail.com"/>
    <s v="Calle Guacara Nro. 87-07"/>
    <s v="Vigilancia: Anticipo mes de Mayo 2019"/>
    <x v="0"/>
    <m/>
    <s v="01993"/>
    <s v="02 de mayo de 2019"/>
    <n v="2"/>
    <x v="30"/>
    <s v="5.000,00"/>
    <e v="#NAME?"/>
  </r>
  <r>
    <n v="1994"/>
    <m/>
    <x v="0"/>
    <d v="2019-05-02T00:00:00"/>
    <n v="5000"/>
    <s v="Victoria Francischiello"/>
    <s v="victoriafrancischiello@hotmail.com"/>
    <s v="Calle Guacara Nro. 88-25"/>
    <s v="Cancelación Vigilancia, mes de Abril 2019"/>
    <x v="0"/>
    <m/>
    <s v="01994"/>
    <s v="02 de mayo de 2019"/>
    <n v="2"/>
    <x v="30"/>
    <s v="5.000,00"/>
    <e v="#NAME?"/>
  </r>
  <r>
    <n v="1995"/>
    <m/>
    <x v="0"/>
    <d v="2019-05-03T00:00:00"/>
    <n v="5000"/>
    <s v="Familia Guerra Miret"/>
    <s v="antoniojguerrag@hotmail.com"/>
    <s v="Calle Güigüe Nro. 89-40"/>
    <s v="Cancelación Vigilancia, anticipo mes de Mayo 2019"/>
    <x v="0"/>
    <m/>
    <s v="01995"/>
    <s v="03 de mayo de 2019"/>
    <n v="3"/>
    <x v="30"/>
    <s v="5.000,00"/>
    <e v="#NAME?"/>
  </r>
  <r>
    <n v="1996"/>
    <m/>
    <x v="0"/>
    <d v="2019-05-02T00:00:00"/>
    <n v="10000"/>
    <s v="Ma. de Jesus Alonso"/>
    <s v="alonsojg@gmail.com"/>
    <s v="Calle Güigüe Nro. 88-30"/>
    <s v="Cancelación Vigilancia, mes de Abril y anticipo mes de Mayo 2019"/>
    <x v="0"/>
    <m/>
    <s v="01996"/>
    <s v="02 de mayo de 2019"/>
    <n v="2"/>
    <x v="30"/>
    <s v="10.000,00"/>
    <e v="#NAME?"/>
  </r>
  <r>
    <n v="1997"/>
    <m/>
    <x v="0"/>
    <d v="2019-05-03T00:00:00"/>
    <n v="10000"/>
    <s v="Familia Ochoa Mendoza"/>
    <s v="marisoljudithm@hotmail.com"/>
    <s v="Calle Guacara Nro. 89-130"/>
    <s v="Cancelación Vigilancia, mes de Abril y anticipo mes de Mayo 2019"/>
    <x v="0"/>
    <m/>
    <s v="01997"/>
    <s v="03 de mayo de 2019"/>
    <n v="3"/>
    <x v="30"/>
    <s v="10.000,00"/>
    <e v="#NAME?"/>
  </r>
  <r>
    <n v="1998"/>
    <m/>
    <x v="0"/>
    <d v="2019-05-03T00:00:00"/>
    <n v="5000"/>
    <s v="Sra. Reina Meléndez"/>
    <s v="olgajipe@gmail.com"/>
    <s v="Av. &quot;M&quot; Nro. 145-10"/>
    <s v="Cancelación Vigilancia, mes de Abril 2019"/>
    <x v="0"/>
    <m/>
    <s v="01998"/>
    <s v="03 de mayo de 2019"/>
    <n v="3"/>
    <x v="30"/>
    <s v="5.000,00"/>
    <e v="#NAME?"/>
  </r>
  <r>
    <n v="1999"/>
    <m/>
    <x v="0"/>
    <d v="2019-05-04T00:00:00"/>
    <n v="6000"/>
    <s v="Familia Martínez Boada"/>
    <s v="florcitakmz@gmail.com"/>
    <s v="Calle Güigüe Nro. 88-62"/>
    <s v="Colaboración Vigilancia, meses de Marzo y Abril 2019"/>
    <x v="0"/>
    <m/>
    <s v="01999"/>
    <s v="04 de mayo de 2019"/>
    <n v="4"/>
    <x v="30"/>
    <s v="6.000,00"/>
    <e v="#NAME?"/>
  </r>
  <r>
    <n v="2000"/>
    <m/>
    <x v="0"/>
    <d v="2019-05-04T00:00:00"/>
    <n v="4500"/>
    <s v="Familia Rodríguez Landaeta"/>
    <s v="mrl58@hotmail.com"/>
    <s v="Calle Güigüe Nro. 89-29"/>
    <s v="Colaboración Vigilancia, meses de Marzo y Abril 2019"/>
    <x v="0"/>
    <m/>
    <s v="02000"/>
    <s v="04 de mayo de 2019"/>
    <n v="4"/>
    <x v="30"/>
    <s v="4.500,00"/>
    <e v="#NAME?"/>
  </r>
  <r>
    <n v="2001"/>
    <m/>
    <x v="0"/>
    <d v="2019-05-04T00:00:00"/>
    <n v="5000"/>
    <s v="Familia Delgado Hidalgo"/>
    <s v="ardh@hotmail.com"/>
    <s v="Calle Güigüe Nro. 88-10"/>
    <s v="Cancelación Vigilancia, anticipo mes de Mayo 2019"/>
    <x v="0"/>
    <m/>
    <s v="02001"/>
    <s v="04 de mayo de 2019"/>
    <n v="4"/>
    <x v="30"/>
    <s v="5.000,00"/>
    <e v="#NAME?"/>
  </r>
  <r>
    <n v="2002"/>
    <m/>
    <x v="0"/>
    <d v="2019-05-04T00:00:00"/>
    <n v="2500"/>
    <s v="Familia Rodríguez Landaeta"/>
    <s v="mrl58@hotmail.com"/>
    <s v="Calle Güigüe Nro. 89-29"/>
    <s v="Colaboración Vigilancia, mes de Mayo 2019"/>
    <x v="0"/>
    <m/>
    <s v="02002"/>
    <s v="04 de mayo de 2019"/>
    <n v="4"/>
    <x v="30"/>
    <s v="2.500,00"/>
    <e v="#NAME?"/>
  </r>
  <r>
    <n v="2003"/>
    <m/>
    <x v="0"/>
    <d v="2019-05-05T00:00:00"/>
    <n v="14000"/>
    <s v="Familia Leung"/>
    <s v="En Físico"/>
    <s v="Calle Guacara Nro. 88-55"/>
    <s v="Cancelación Vigilancia, meses de Enero, Febrero, Marzo y Abril 2019"/>
    <x v="0"/>
    <m/>
    <s v="02003"/>
    <s v="05 de mayo de 2019"/>
    <n v="5"/>
    <x v="30"/>
    <s v="14.000,00"/>
    <e v="#NAME?"/>
  </r>
  <r>
    <n v="2004"/>
    <m/>
    <x v="0"/>
    <d v="2019-05-05T00:00:00"/>
    <n v="5000"/>
    <s v="Familia Arcia Polanco"/>
    <s v="misipo29@gmail.com"/>
    <s v="Calle Guacara Nro. 89-20"/>
    <s v="Cancelación Vigilancia, anticipo mes de Mayo 2019"/>
    <x v="0"/>
    <m/>
    <s v="02004"/>
    <s v="05 de mayo de 2019"/>
    <n v="5"/>
    <x v="30"/>
    <s v="5.000,00"/>
    <e v="#NAME?"/>
  </r>
  <r>
    <n v="2005"/>
    <m/>
    <x v="0"/>
    <d v="2019-05-05T00:00:00"/>
    <n v="11666"/>
    <s v="Familia Fermín Rivas"/>
    <s v="angelferminb@gmail.com"/>
    <s v="Calle Güigüe Nro. 89-55"/>
    <s v="Cancelación Vigilancia, saldo mes de Abril 2019 y aporte especial"/>
    <x v="0"/>
    <m/>
    <s v="02005"/>
    <s v="05 de mayo de 2019"/>
    <n v="5"/>
    <x v="30"/>
    <s v="11.666,00"/>
    <e v="#NAME?"/>
  </r>
  <r>
    <n v="2006"/>
    <m/>
    <x v="0"/>
    <d v="2019-05-05T00:00:00"/>
    <n v="3000"/>
    <s v="Familia Guerra Miret"/>
    <s v="antoniojguerrag@hotmail.com"/>
    <s v="Calle Güigüe Nro. 89-40"/>
    <s v="Cancelación Vigilancia, saldo mes de Mayo 2019"/>
    <x v="0"/>
    <m/>
    <s v="02006"/>
    <s v="05 de mayo de 2019"/>
    <n v="5"/>
    <x v="30"/>
    <s v="3.000,00"/>
    <e v="#NAME?"/>
  </r>
  <r>
    <n v="2007"/>
    <m/>
    <x v="0"/>
    <d v="2019-05-05T00:00:00"/>
    <n v="8000"/>
    <s v="Familia Alonso Rojas"/>
    <s v="redjc01@gmail.com"/>
    <s v="Calle Güigüe Nro. 89-54"/>
    <s v="Cancelación Vigilancia, mes de Mayo 2019"/>
    <x v="0"/>
    <m/>
    <s v="02007"/>
    <s v="05 de mayo de 2019"/>
    <n v="5"/>
    <x v="30"/>
    <s v="8.000,00"/>
    <e v="#NAME?"/>
  </r>
  <r>
    <n v="2008"/>
    <m/>
    <x v="0"/>
    <d v="2019-05-04T00:00:00"/>
    <n v="5000"/>
    <s v="Amarilis Guerra"/>
    <s v="amarilisguerra1@yahoo.com"/>
    <s v="Calle Güigüe Nro. 89-96"/>
    <s v="Cancelación Vigilancia, anticipo mes de Mayo 2019"/>
    <x v="0"/>
    <m/>
    <s v="02008"/>
    <s v="04 de mayo de 2019"/>
    <n v="4"/>
    <x v="30"/>
    <s v="5.000,00"/>
    <e v="#NAME?"/>
  </r>
  <r>
    <n v="2009"/>
    <m/>
    <x v="0"/>
    <d v="2019-05-05T00:00:00"/>
    <n v="5000"/>
    <s v="Familia Zavarce Pérez"/>
    <s v="En Físico"/>
    <s v="Calle Guacara Nro. 90-35"/>
    <s v="Cancelación Vigilancia, mes de Abril 2019"/>
    <x v="0"/>
    <m/>
    <s v="02009"/>
    <s v="05 de mayo de 2019"/>
    <n v="5"/>
    <x v="30"/>
    <s v="5.000,00"/>
    <e v="#NAME?"/>
  </r>
  <r>
    <n v="2010"/>
    <m/>
    <x v="0"/>
    <d v="2019-05-05T00:00:00"/>
    <n v="8000"/>
    <s v="Familia Lomeña Agudo"/>
    <s v="claudialomena@hotmail.com"/>
    <s v="Calle Guacara Nro. 89-30"/>
    <s v="Cancelación Vigilancia, mes de Mayo 2019"/>
    <x v="0"/>
    <m/>
    <s v="02010"/>
    <s v="05 de mayo de 2019"/>
    <n v="5"/>
    <x v="30"/>
    <s v="8.000,00"/>
    <e v="#NAME?"/>
  </r>
  <r>
    <n v="2011"/>
    <m/>
    <x v="0"/>
    <d v="2019-05-06T00:00:00"/>
    <n v="3000"/>
    <s v="Familia Arcia Polanco"/>
    <s v="misipo29@gmail.com"/>
    <s v="Calle Guacara Nro. 89-20"/>
    <s v="Cancelación Vigilancia, saldo mes de Mayo 2019"/>
    <x v="0"/>
    <m/>
    <s v="02011"/>
    <s v="06 de mayo de 2019"/>
    <n v="6"/>
    <x v="30"/>
    <s v="3.000,00"/>
    <e v="#NAME?"/>
  </r>
  <r>
    <n v="2012"/>
    <m/>
    <x v="0"/>
    <d v="2019-05-06T00:00:00"/>
    <n v="2900"/>
    <s v="Colegio El Trigal"/>
    <s v="En Físico"/>
    <s v="Calle Güigüe Nros. 88-71 y 88-81"/>
    <s v="Cancelación Vigilancia, saldo mes de Abril 2019"/>
    <x v="0"/>
    <m/>
    <s v="02012"/>
    <s v="06 de mayo de 2019"/>
    <n v="6"/>
    <x v="30"/>
    <s v="2.900,00"/>
    <e v="#NAME?"/>
  </r>
  <r>
    <n v="2013"/>
    <m/>
    <x v="0"/>
    <d v="2019-05-06T00:00:00"/>
    <n v="10000"/>
    <s v="Familia Montilla García"/>
    <s v="dairy252525@hotmail.com"/>
    <s v="Calle Güigüe Nro. 89-90"/>
    <s v="Cancelación Vigilancia, saldo mes de Abril y mes de Mayo 2019"/>
    <x v="0"/>
    <m/>
    <s v="02013"/>
    <s v="06 de mayo de 2019"/>
    <n v="6"/>
    <x v="30"/>
    <s v="10.000,00"/>
    <e v="#NAME?"/>
  </r>
  <r>
    <n v="2014"/>
    <m/>
    <x v="0"/>
    <d v="2019-05-06T00:00:00"/>
    <n v="8000"/>
    <s v="Familia Costermani Terrer"/>
    <s v="claudiacostermani@hotmail.com"/>
    <s v="Calle Güigüe Nro. 88-11"/>
    <s v="Cancelación Vigilancia, mes de Mayo 2019"/>
    <x v="0"/>
    <m/>
    <s v="02014"/>
    <s v="06 de mayo de 2019"/>
    <n v="6"/>
    <x v="30"/>
    <s v="8.000,00"/>
    <e v="#NAME?"/>
  </r>
  <r>
    <n v="2015"/>
    <m/>
    <x v="0"/>
    <d v="2019-05-06T00:00:00"/>
    <n v="7000"/>
    <s v="Anahiz Seijas"/>
    <s v="anahiz_2@hotmail.es"/>
    <s v="Calle Güigüe Nro. 89-106"/>
    <s v="Cancelación Vigilancia, saldo mes de Abril y anticipo mes de Mayo 2019"/>
    <x v="0"/>
    <m/>
    <s v="02015"/>
    <s v="06 de mayo de 2019"/>
    <n v="6"/>
    <x v="30"/>
    <s v="7.000,00"/>
    <e v="#NAME?"/>
  </r>
  <r>
    <n v="2016"/>
    <m/>
    <x v="0"/>
    <d v="2019-05-06T00:00:00"/>
    <n v="8000"/>
    <s v="Familia Colosso Delgado"/>
    <s v="mcolosso@gmail.com"/>
    <s v="Calle Güigüe Nro. 88-44"/>
    <s v="Cancelación Vigilancia, mes de Mayo 2019"/>
    <x v="0"/>
    <m/>
    <s v="02016"/>
    <s v="06 de mayo de 2019"/>
    <n v="6"/>
    <x v="30"/>
    <s v="8.000,00"/>
    <e v="#NAME?"/>
  </r>
  <r>
    <n v="2017"/>
    <m/>
    <x v="0"/>
    <d v="2019-05-08T00:00:00"/>
    <n v="3000"/>
    <s v="Anahiz Seijas"/>
    <s v="anahiz_2@hotmail.es"/>
    <s v="Calle Güigüe Nro. 89-106"/>
    <s v="Cancelación Vigilancia, saldo mes de Mayo 2019"/>
    <x v="0"/>
    <m/>
    <s v="02017"/>
    <s v="08 de mayo de 2019"/>
    <n v="8"/>
    <x v="30"/>
    <s v="3.000,00"/>
    <e v="#NAME?"/>
  </r>
  <r>
    <n v="2018"/>
    <m/>
    <x v="0"/>
    <d v="2019-05-08T00:00:00"/>
    <n v="8000"/>
    <s v="Familia Milanés Carmona"/>
    <s v="yndira11m@gmail.com"/>
    <s v="Calle Güigüe Nro. 89-65"/>
    <s v="Cancelación Vigilancia, mes de Mayo 2019"/>
    <x v="0"/>
    <m/>
    <s v="02018"/>
    <s v="08 de mayo de 2019"/>
    <n v="8"/>
    <x v="30"/>
    <s v="8.000,00"/>
    <e v="#NAME?"/>
  </r>
  <r>
    <n v="2019"/>
    <m/>
    <x v="0"/>
    <d v="2019-05-07T00:00:00"/>
    <n v="8000"/>
    <s v="Familia Gascón Domínguez"/>
    <s v="vrgascon@gmail.com"/>
    <s v="Calle Güigüe Nro. 88-70"/>
    <s v="Cancelación Vigilancia, mes de Mayo 2019"/>
    <x v="0"/>
    <m/>
    <s v="02019"/>
    <s v="07 de mayo de 2019"/>
    <n v="7"/>
    <x v="30"/>
    <s v="8.000,00"/>
    <e v="#NAME?"/>
  </r>
  <r>
    <n v="2020"/>
    <m/>
    <x v="0"/>
    <d v="2019-05-08T00:00:00"/>
    <n v="5000"/>
    <s v="Silvia Power"/>
    <s v="spowermeneses@gmail.com"/>
    <s v="Calle Güigüe Nro. 89-16"/>
    <s v="Cancelación Vigilancia, mes de Abril 2019"/>
    <x v="0"/>
    <m/>
    <s v="02020"/>
    <s v="08 de mayo de 2019"/>
    <n v="8"/>
    <x v="30"/>
    <s v="5.000,00"/>
    <e v="#NAME?"/>
  </r>
  <r>
    <n v="2021"/>
    <m/>
    <x v="0"/>
    <d v="2019-05-08T00:00:00"/>
    <n v="12000"/>
    <s v="Familia Ferrer Bahri"/>
    <s v="bahrimariela@hotmail.com"/>
    <s v="Calle Güigüe Nro. 89-83"/>
    <s v="Cancelación Vigilancia, mes de Mayo 2019"/>
    <x v="0"/>
    <m/>
    <s v="02021"/>
    <s v="08 de mayo de 2019"/>
    <n v="8"/>
    <x v="30"/>
    <s v="12.000,00"/>
    <e v="#NAME?"/>
  </r>
  <r>
    <n v="2022"/>
    <m/>
    <x v="0"/>
    <d v="2019-05-09T00:00:00"/>
    <n v="13000"/>
    <s v="Familia Acosta Carpio"/>
    <s v="pablo962@hotmail.com"/>
    <s v="Calle Güigüe Nro. 89-10"/>
    <s v="Cancelación Vigilancia, meses de Abril y Mayo 2019"/>
    <x v="0"/>
    <m/>
    <s v="02022"/>
    <s v="09 de mayo de 2019"/>
    <n v="9"/>
    <x v="30"/>
    <s v="13.000,00"/>
    <e v="#NAME?"/>
  </r>
  <r>
    <n v="2023"/>
    <m/>
    <x v="0"/>
    <d v="2019-05-09T00:00:00"/>
    <n v="8000"/>
    <s v="Familia Zavarce Pérez"/>
    <s v="En Físico"/>
    <s v="Calle Guacara Nro. 90-35"/>
    <s v="Cancelación Vigilancia, mes de Mayo 2019"/>
    <x v="0"/>
    <m/>
    <s v="02023"/>
    <s v="09 de mayo de 2019"/>
    <n v="9"/>
    <x v="30"/>
    <s v="8.000,00"/>
    <e v="#NAME?"/>
  </r>
  <r>
    <n v="2024"/>
    <m/>
    <x v="0"/>
    <d v="2019-05-09T00:00:00"/>
    <n v="5000"/>
    <s v="Familia Méndez Parra"/>
    <s v="briceidademendez@gmail.com"/>
    <s v="Calle Guacara Nro. 88-19"/>
    <s v="Colaboración Vigilancia, mes de Mayo 2019"/>
    <x v="0"/>
    <m/>
    <s v="02024"/>
    <s v="09 de mayo de 2019"/>
    <n v="9"/>
    <x v="30"/>
    <s v="5.000,00"/>
    <e v="#NAME?"/>
  </r>
  <r>
    <n v="2025"/>
    <m/>
    <x v="0"/>
    <d v="2019-05-11T00:00:00"/>
    <n v="8000"/>
    <s v="Familia Kattar González"/>
    <s v="jagiak123@yahoo.es"/>
    <s v="Calle Güigüe Nro. 89-95"/>
    <s v="Cancelación Vigilancia, mes de Mayo 2019"/>
    <x v="0"/>
    <m/>
    <s v="02025"/>
    <s v="11 de mayo de 2019"/>
    <n v="11"/>
    <x v="30"/>
    <s v="8.000,00"/>
    <e v="#NAME?"/>
  </r>
  <r>
    <n v="2026"/>
    <m/>
    <x v="0"/>
    <d v="2019-05-13T00:00:00"/>
    <n v="8000"/>
    <s v="Familia Soto Urdaneta"/>
    <s v="esotom61@gmail.com"/>
    <s v="Calle Guacara Nro. 89-102"/>
    <s v="Cancelación Vigilancia, mes de Mayo 2019"/>
    <x v="0"/>
    <m/>
    <s v="02026"/>
    <s v="13 de mayo de 2019"/>
    <n v="13"/>
    <x v="30"/>
    <s v="8.000,00"/>
    <e v="#NAME?"/>
  </r>
  <r>
    <n v="2027"/>
    <m/>
    <x v="0"/>
    <d v="2019-05-13T00:00:00"/>
    <n v="8000"/>
    <s v="Familia Del Negro Palermo"/>
    <s v="vdelnegro@gmail.com"/>
    <s v="Calle Guacara Nro. 88-45"/>
    <s v="Cancelación Vigilancia, mes de Mayo 2019 (saldo a favor: Bs. 87.862,95)"/>
    <x v="0"/>
    <m/>
    <s v="02027"/>
    <s v="13 de mayo de 2019"/>
    <n v="13"/>
    <x v="30"/>
    <s v="8.000,00"/>
    <e v="#NAME?"/>
  </r>
  <r>
    <n v="2028"/>
    <m/>
    <x v="0"/>
    <d v="2019-05-13T00:00:00"/>
    <n v="8000"/>
    <s v="Ely Saúl Rivero Gómez"/>
    <s v="hhs.admon@gmail.com"/>
    <s v="Av. &quot;Ñ&quot; Nro. 145-25"/>
    <s v="Cancelación Vigilancia, mes de Mayo 2019 (saldo a favor: Bs. 15.352,00)"/>
    <x v="0"/>
    <m/>
    <s v="02028"/>
    <s v="13 de mayo de 2019"/>
    <n v="13"/>
    <x v="30"/>
    <s v="8.000,00"/>
    <e v="#NAME?"/>
  </r>
  <r>
    <n v="2029"/>
    <m/>
    <x v="0"/>
    <d v="2019-05-14T00:00:00"/>
    <n v="19800"/>
    <s v="Familia Flores Montagne"/>
    <s v="martaflores@gmail.com"/>
    <s v="Av. &quot;M&quot; Nro. 146-20"/>
    <s v="Cancelación Vigilancia, saldo mes de Enero y meses de Febrero, Marzo, Abril y Mayo 2019"/>
    <x v="0"/>
    <m/>
    <s v="02029"/>
    <s v="14 de mayo de 2019"/>
    <n v="14"/>
    <x v="30"/>
    <s v="19.800,00"/>
    <e v="#NAME?"/>
  </r>
  <r>
    <n v="2030"/>
    <m/>
    <x v="0"/>
    <d v="2019-05-14T00:00:00"/>
    <n v="8000"/>
    <s v="Familia Machado Stoppa"/>
    <s v="machadoru@hotmail.com"/>
    <s v="Calle Guacara Nro. 88-85"/>
    <s v="Cancelación Vigilancia, mes de Mayo 2019"/>
    <x v="0"/>
    <m/>
    <s v="02030"/>
    <s v="14 de mayo de 2019"/>
    <n v="14"/>
    <x v="30"/>
    <s v="8.000,00"/>
    <e v="#NAME?"/>
  </r>
  <r>
    <n v="2031"/>
    <m/>
    <x v="0"/>
    <d v="2019-05-14T00:00:00"/>
    <n v="8000"/>
    <s v="Carmen Moreno"/>
    <s v="carmenemoreno10@gmail.com"/>
    <s v="Calle Güigüe Nro. 89-04"/>
    <s v="Cancelación Vigilancia, mes de Mayo 2019"/>
    <x v="0"/>
    <m/>
    <s v="02031"/>
    <s v="14 de mayo de 2019"/>
    <n v="14"/>
    <x v="30"/>
    <s v="8.000,00"/>
    <e v="#NAME?"/>
  </r>
  <r>
    <n v="2032"/>
    <m/>
    <x v="0"/>
    <d v="2019-05-14T00:00:00"/>
    <n v="8000"/>
    <s v="Familia Sirit Palencia"/>
    <s v="irasirit@gmail.com"/>
    <s v="Calle Güigüe Nro. 89-35"/>
    <s v="Cancelación Vigilancia, mes de Mayo 2019"/>
    <x v="0"/>
    <m/>
    <s v="02032"/>
    <s v="14 de mayo de 2019"/>
    <n v="14"/>
    <x v="30"/>
    <s v="8.000,00"/>
    <e v="#NAME?"/>
  </r>
  <r>
    <n v="2033"/>
    <m/>
    <x v="0"/>
    <d v="2019-05-14T00:00:00"/>
    <n v="13000"/>
    <s v="Familia Piñero Padilla"/>
    <s v="achepaul2005@hotmail.com"/>
    <s v="Calle Güigüe Nro. 89-21"/>
    <s v="Cancelación Vigilancia, meses de Abril y Mayo 2019"/>
    <x v="0"/>
    <m/>
    <s v="02033"/>
    <s v="14 de mayo de 2019"/>
    <n v="14"/>
    <x v="30"/>
    <s v="13.000,00"/>
    <e v="#NAME?"/>
  </r>
  <r>
    <n v="2034"/>
    <m/>
    <x v="0"/>
    <d v="2019-05-15T00:00:00"/>
    <n v="8000"/>
    <s v="Familia Castro Jiménez"/>
    <s v="aurycastrojimenez@gmail.com"/>
    <s v="Calle Guacara Nro. 90-51"/>
    <s v="Cancelación Vigilancia, mes de Mayo 2019"/>
    <x v="0"/>
    <m/>
    <s v="02034"/>
    <s v="15 de mayo de 2019"/>
    <n v="15"/>
    <x v="30"/>
    <s v="8.000,00"/>
    <e v="#NAME?"/>
  </r>
  <r>
    <n v="2035"/>
    <m/>
    <x v="0"/>
    <d v="2019-05-15T00:00:00"/>
    <n v="8000"/>
    <s v="Zoraida Khair"/>
    <s v="zorakhair@hotmail.com | lbracamonte@netuno.net"/>
    <s v="Calle Güigüe Nro. 88-80"/>
    <s v="Cancelación Vigilancia, mes de Mayo 2019"/>
    <x v="0"/>
    <m/>
    <s v="02035"/>
    <s v="15 de mayo de 2019"/>
    <n v="15"/>
    <x v="30"/>
    <s v="8.000,00"/>
    <e v="#NAME?"/>
  </r>
  <r>
    <n v="2036"/>
    <m/>
    <x v="0"/>
    <d v="2019-05-15T00:00:00"/>
    <n v="8000"/>
    <s v="Familia Nava Gordon"/>
    <s v="maru_19_66@hotmail.com"/>
    <s v="Calle Guacara Nro. 89-78"/>
    <s v="Cancelación Vigilancia, mes de Mayo 2019"/>
    <x v="0"/>
    <m/>
    <s v="02036"/>
    <s v="15 de mayo de 2019"/>
    <n v="15"/>
    <x v="30"/>
    <s v="8.000,00"/>
    <e v="#NAME?"/>
  </r>
  <r>
    <n v="2037"/>
    <m/>
    <x v="0"/>
    <d v="2019-05-16T00:00:00"/>
    <n v="8000"/>
    <s v="Wilson Escamilla"/>
    <s v="wilsonescamilla45@gmail.com"/>
    <s v="Calle Güigüe Nro. 89-89"/>
    <s v="Cancelación Vigilancia, mes de Abril y anticipo mes de Mayo 2019"/>
    <x v="0"/>
    <m/>
    <s v="02037"/>
    <s v="16 de mayo de 2019"/>
    <n v="16"/>
    <x v="30"/>
    <s v="8.000,00"/>
    <e v="#NAME?"/>
  </r>
  <r>
    <n v="2038"/>
    <m/>
    <x v="0"/>
    <d v="2019-05-16T00:00:00"/>
    <n v="8000"/>
    <s v="Familia Kablan Sarmiento"/>
    <s v="norisjsb56@hotmail.com"/>
    <s v="Calle Güigüe Nro. 89-80"/>
    <s v="Cancelación Vigilancia, mes de Mayo 2019"/>
    <x v="0"/>
    <m/>
    <s v="02038"/>
    <s v="16 de mayo de 2019"/>
    <n v="16"/>
    <x v="30"/>
    <s v="8.000,00"/>
    <e v="#NAME?"/>
  </r>
  <r>
    <n v="2039"/>
    <m/>
    <x v="0"/>
    <d v="2019-05-16T00:00:00"/>
    <n v="20000"/>
    <s v="Familia Triana González"/>
    <s v="En Físico"/>
    <s v="Calle Guacara Nro. 90-61"/>
    <s v="Colaboración Vigilancia, meses de Noviembre y Diciembre 2018, y Enero, Febrero, Marzo, Abril y Mayo 2019"/>
    <x v="0"/>
    <m/>
    <s v="02039"/>
    <s v="16 de mayo de 2019"/>
    <n v="16"/>
    <x v="30"/>
    <s v="20.000,00"/>
    <e v="#NAME?"/>
  </r>
  <r>
    <n v="2040"/>
    <m/>
    <x v="0"/>
    <d v="2019-05-16T00:00:00"/>
    <n v="8000"/>
    <s v="Familia Rodríguez Aular"/>
    <s v="mvaular@hotmail.com"/>
    <s v="Calle Güigüe Nro. 88-58"/>
    <s v="Cancelación Vigilancia, mes de Mayo 2019"/>
    <x v="0"/>
    <m/>
    <s v="02040"/>
    <s v="16 de mayo de 2019"/>
    <n v="16"/>
    <x v="30"/>
    <s v="8.000,00"/>
    <e v="#NAME?"/>
  </r>
  <r>
    <n v="2041"/>
    <m/>
    <x v="0"/>
    <d v="2019-05-16T00:00:00"/>
    <n v="12000"/>
    <s v="Ana de González"/>
    <s v="mikelnowak25@gmail.com"/>
    <s v="Av. &quot;O&quot; Nro. 146-17"/>
    <s v="Cancelación Vigilancia, saldo mes de Abril, mes de Mayo y anticipo mes de Junio 2019"/>
    <x v="0"/>
    <m/>
    <s v="02041"/>
    <s v="16 de mayo de 2019"/>
    <n v="16"/>
    <x v="30"/>
    <s v="12.000,00"/>
    <e v="#NAME?"/>
  </r>
  <r>
    <n v="2042"/>
    <m/>
    <x v="0"/>
    <d v="2019-05-17T00:00:00"/>
    <n v="5000"/>
    <s v="Familia Barreto Pérez"/>
    <s v="bbetsa19@hotmail.com"/>
    <s v="Av. &quot;M&quot; Nro. 146-15"/>
    <s v="Cancelación Vigilancia, mes de Abril 2019"/>
    <x v="0"/>
    <m/>
    <s v="02042"/>
    <s v="17 de mayo de 2019"/>
    <n v="17"/>
    <x v="30"/>
    <s v="5.000,00"/>
    <e v="#NAME?"/>
  </r>
  <r>
    <n v="2043"/>
    <m/>
    <x v="0"/>
    <d v="2019-05-17T00:00:00"/>
    <n v="8000"/>
    <s v="Familia Díaz González"/>
    <s v="luisrdt57@gmail.com"/>
    <s v="Calle Güigüe Nro. 88-116"/>
    <s v="Cancelación Vigilancia, mes de Mayo 2019"/>
    <x v="0"/>
    <m/>
    <s v="02043"/>
    <s v="17 de mayo de 2019"/>
    <n v="17"/>
    <x v="30"/>
    <s v="8.000,00"/>
    <e v="#NAME?"/>
  </r>
  <r>
    <n v="2044"/>
    <m/>
    <x v="0"/>
    <d v="2019-05-16T00:00:00"/>
    <n v="13000"/>
    <s v="Familia Navarrete Medina"/>
    <s v="juanin1919@yahoo.com"/>
    <s v="Calle Güigüe Nro. 89-22"/>
    <s v="Cancelación Vigilancia, meses de Abril y Mayo 2019"/>
    <x v="0"/>
    <m/>
    <s v="02044"/>
    <s v="16 de mayo de 2019"/>
    <n v="16"/>
    <x v="30"/>
    <s v="13.000,00"/>
    <e v="#NAME?"/>
  </r>
  <r>
    <n v="2045"/>
    <m/>
    <x v="0"/>
    <d v="2019-05-19T00:00:00"/>
    <n v="8000"/>
    <s v="Dra. Lilia Magallanes"/>
    <s v="liliamagallanes2010@gmail.com"/>
    <s v="Calle Güigüe Nro. 88-51"/>
    <s v="Cancelación Vigilancia, mes de Mayo 2019"/>
    <x v="0"/>
    <m/>
    <s v="02045"/>
    <s v="19 de mayo de 2019"/>
    <n v="19"/>
    <x v="30"/>
    <s v="8.000,00"/>
    <e v="#NAME?"/>
  </r>
  <r>
    <n v="2046"/>
    <m/>
    <x v="0"/>
    <d v="2019-05-19T00:00:00"/>
    <n v="15000"/>
    <s v="Wu Hung Fung"/>
    <s v="carolinahung24@gmail.com | barbarahung15@hotmail.com"/>
    <s v="Calle Guacara Nro. 90-81"/>
    <s v="Vigilancia: mes de Mayo y anticipo Junio 2019"/>
    <x v="0"/>
    <m/>
    <s v="02046"/>
    <s v="19 de mayo de 2019"/>
    <n v="19"/>
    <x v="30"/>
    <s v="15.000,00"/>
    <e v="#NAME?"/>
  </r>
  <r>
    <n v="2047"/>
    <m/>
    <x v="0"/>
    <d v="2019-05-20T00:00:00"/>
    <n v="5000"/>
    <s v="Familia Matta Palomino"/>
    <s v="En Físico"/>
    <s v="Calle Güigüe Nro. 88-90"/>
    <s v="Cancelación Vigilancia, mes de Abril 2019"/>
    <x v="0"/>
    <m/>
    <s v="02047"/>
    <s v="20 de mayo de 2019"/>
    <n v="20"/>
    <x v="30"/>
    <s v="5.000,00"/>
    <e v="#NAME?"/>
  </r>
  <r>
    <n v="2048"/>
    <m/>
    <x v="0"/>
    <d v="2019-05-21T00:00:00"/>
    <n v="5000"/>
    <s v="Chin Chun Ya (Goya)"/>
    <s v="uc2721@gmail.com"/>
    <s v="Calle Guacara Nro. 87-86"/>
    <s v="Anticipo Vigilancia, mes de Mayo 2019"/>
    <x v="0"/>
    <m/>
    <s v="02048"/>
    <s v="21 de mayo de 2019"/>
    <n v="21"/>
    <x v="30"/>
    <s v="5.000,00"/>
    <e v="#NAME?"/>
  </r>
  <r>
    <n v="2049"/>
    <m/>
    <x v="0"/>
    <d v="2019-05-22T00:00:00"/>
    <n v="3000"/>
    <s v="Amparo Acosta"/>
    <s v="amparonatividad@hotmail.com"/>
    <s v="Calle Guacara Nro. 88-65"/>
    <s v="Cancelación Vigilancia, saldo mes de Mayo 2019"/>
    <x v="0"/>
    <m/>
    <s v="02049"/>
    <s v="22 de mayo de 2019"/>
    <n v="22"/>
    <x v="30"/>
    <s v="3.000,00"/>
    <e v="#NAME?"/>
  </r>
  <r>
    <n v="2050"/>
    <m/>
    <x v="0"/>
    <d v="2019-05-23T00:00:00"/>
    <n v="8000"/>
    <s v="Familia Barreto Pérez"/>
    <s v="bbetsa19@hotmail.com"/>
    <s v="Av. &quot;M&quot; Nro. 146-15"/>
    <s v="Cancelación Vigilancia, mes de Mayo 2019"/>
    <x v="0"/>
    <m/>
    <s v="02050"/>
    <s v="23 de mayo de 2019"/>
    <n v="23"/>
    <x v="30"/>
    <s v="8.000,00"/>
    <e v="#NAME?"/>
  </r>
  <r>
    <n v="2051"/>
    <m/>
    <x v="0"/>
    <d v="2019-05-23T00:00:00"/>
    <n v="5000"/>
    <s v="Sra. Reina Meléndez"/>
    <s v="olgajipe@gmail.com"/>
    <s v="Av. &quot;M&quot; Nro. 145-10"/>
    <s v="Anticipo Vigilancia, mes de Mayo 2019"/>
    <x v="0"/>
    <m/>
    <s v="02051"/>
    <s v="23 de mayo de 2019"/>
    <n v="23"/>
    <x v="30"/>
    <s v="5.000,00"/>
    <e v="#NAME?"/>
  </r>
  <r>
    <n v="2052"/>
    <m/>
    <x v="0"/>
    <d v="2019-05-23T00:00:00"/>
    <n v="5000"/>
    <s v="Silvia Power"/>
    <s v="spowermeneses@gmail.com"/>
    <s v="Calle Güigüe Nro. 89-16"/>
    <s v="Colaboración Vigilancia, mes de Mayo 2019"/>
    <x v="0"/>
    <m/>
    <s v="02052"/>
    <s v="23 de mayo de 2019"/>
    <n v="23"/>
    <x v="30"/>
    <s v="5.000,00"/>
    <e v="#NAME?"/>
  </r>
  <r>
    <n v="2053"/>
    <m/>
    <x v="0"/>
    <d v="2019-05-15T00:00:00"/>
    <n v="3000"/>
    <s v="Beatriz Lara"/>
    <s v="valentina.gutierrez@hotmail.com"/>
    <s v="Calle Guacara Nro. 89-130"/>
    <s v="Cancelación Vigilancia, saldo mes de Mayo 2019"/>
    <x v="0"/>
    <m/>
    <s v="02053"/>
    <s v="15 de mayo de 2019"/>
    <n v="15"/>
    <x v="30"/>
    <s v="3.000,00"/>
    <e v="#NAME?"/>
  </r>
  <r>
    <n v="2054"/>
    <m/>
    <x v="0"/>
    <d v="2019-05-24T00:00:00"/>
    <n v="8000"/>
    <s v="Familia Castillo Mena"/>
    <s v="emmecas@hotmail.com"/>
    <s v="Calle Güigüe Nro. 88-101"/>
    <s v="Cancelación Vigilancia, mes de Mayo 2019"/>
    <x v="0"/>
    <m/>
    <s v="02054"/>
    <s v="24 de mayo de 2019"/>
    <n v="24"/>
    <x v="30"/>
    <s v="8.000,00"/>
    <e v="#NAME?"/>
  </r>
  <r>
    <n v="2055"/>
    <m/>
    <x v="0"/>
    <d v="2019-05-24T00:00:00"/>
    <n v="19800"/>
    <s v="Familia Astor Zamora"/>
    <s v="imzastor@gmail.com"/>
    <s v="Calle Güigüe Nro. 88-111"/>
    <s v="Cancelación Vigilancia, meses de Diciembre 2018, de Enero a Abril 2019 y anticipo Mayo 2019"/>
    <x v="0"/>
    <m/>
    <s v="02055"/>
    <s v="24 de mayo de 2019"/>
    <n v="24"/>
    <x v="30"/>
    <s v="19.800,00"/>
    <e v="#NAME?"/>
  </r>
  <r>
    <n v="2056"/>
    <m/>
    <x v="0"/>
    <d v="2019-05-24T00:00:00"/>
    <n v="3000"/>
    <s v="Familia Navarro Assing"/>
    <s v="liliaassing@gmail.com"/>
    <s v="Calle Güigüe Nro. 88-54"/>
    <s v="Anticipo Vigilancia, mes de Junio 2019 (Bs. 3.500)"/>
    <x v="0"/>
    <m/>
    <s v="02056"/>
    <s v="24 de mayo de 2019"/>
    <n v="24"/>
    <x v="30"/>
    <s v="3.000,00"/>
    <e v="#NAME?"/>
  </r>
  <r>
    <n v="2057"/>
    <m/>
    <x v="0"/>
    <d v="2019-05-24T00:00:00"/>
    <n v="8000"/>
    <s v="Familia Navarro Assing"/>
    <s v="liliaassing@gmail.com"/>
    <s v="Calle Güigüe Nro. 88-54"/>
    <s v="Cancelación Vigilancia, mes de Mayo 2019"/>
    <x v="0"/>
    <m/>
    <s v="02057"/>
    <s v="24 de mayo de 2019"/>
    <n v="24"/>
    <x v="30"/>
    <s v="8.000,00"/>
    <e v="#NAME?"/>
  </r>
  <r>
    <n v="2058"/>
    <m/>
    <x v="0"/>
    <d v="2019-05-25T00:00:00"/>
    <n v="3000"/>
    <s v="Familia Franco Gómez"/>
    <s v="eof64@hotmail.com"/>
    <s v="Calle Guacara Nro. 87-07"/>
    <s v="Cancelación Vigilancia, saldo mes de Mayo 2019"/>
    <x v="0"/>
    <m/>
    <s v="02058"/>
    <s v="25 de mayo de 2019"/>
    <n v="25"/>
    <x v="30"/>
    <s v="3.000,00"/>
    <e v="#NAME?"/>
  </r>
  <r>
    <n v="2059"/>
    <m/>
    <x v="0"/>
    <d v="2019-05-25T00:00:00"/>
    <n v="3000"/>
    <s v="Héctor Hernández"/>
    <s v="eof64@hotmail.com"/>
    <s v="Calle Guacara Nro. 89-94"/>
    <s v="Cancelación Vigilancia, saldo mes de Mayo 2019"/>
    <x v="0"/>
    <m/>
    <s v="02059"/>
    <s v="25 de mayo de 2019"/>
    <n v="25"/>
    <x v="30"/>
    <s v="3.000,00"/>
    <e v="#NAME?"/>
  </r>
  <r>
    <n v="2060"/>
    <m/>
    <x v="0"/>
    <d v="2019-05-25T00:00:00"/>
    <n v="10000"/>
    <s v="Familia Wu Acevedo"/>
    <s v="rudyacevedo90@gmail.com"/>
    <s v="Calle Guacara Nro. 88-A-10"/>
    <s v="Cancelación Vigilancia, mes de Mayo 2019 (saldo a favor: Bs. 46.005,80)"/>
    <x v="0"/>
    <m/>
    <s v="02060"/>
    <s v="25 de mayo de 2019"/>
    <n v="25"/>
    <x v="30"/>
    <s v="10.000,00"/>
    <e v="#NAME?"/>
  </r>
  <r>
    <n v="2061"/>
    <m/>
    <x v="0"/>
    <d v="2019-05-25T00:00:00"/>
    <n v="8000"/>
    <s v="Familia Manrique Riera"/>
    <s v="patriciamanrique@gmail.com"/>
    <s v="Calle Guacara Nro. 89-40"/>
    <s v="Cancelación Vigilancia, mes de Mayo 2019"/>
    <x v="0"/>
    <m/>
    <s v="02061"/>
    <s v="25 de mayo de 2019"/>
    <n v="25"/>
    <x v="30"/>
    <s v="8.000,00"/>
    <e v="#NAME?"/>
  </r>
  <r>
    <n v="2062"/>
    <m/>
    <x v="0"/>
    <d v="2019-05-25T00:00:00"/>
    <n v="8000"/>
    <s v="Familia Scabuzzo Gómez"/>
    <s v="sfscabuzzo@msn.com"/>
    <s v="Av. &quot;I&quot; Nro. 146-20"/>
    <s v="Cancelación Vigilancia, mes de Mayo 2019"/>
    <x v="0"/>
    <m/>
    <s v="02062"/>
    <s v="25 de mayo de 2019"/>
    <n v="25"/>
    <x v="30"/>
    <s v="8.000,00"/>
    <e v="#NAME?"/>
  </r>
  <r>
    <n v="2063"/>
    <m/>
    <x v="0"/>
    <d v="2019-05-26T00:00:00"/>
    <n v="1000"/>
    <s v="Familia Chávez Hernández"/>
    <s v="mercedesch23@hotmail.com"/>
    <s v="Calle Güigüe Nro. 88-20"/>
    <s v="Colaboración Vigilancia, mes de Mayo 2019"/>
    <x v="0"/>
    <m/>
    <s v="02063"/>
    <s v="26 de mayo de 2019"/>
    <n v="26"/>
    <x v="30"/>
    <s v="1.000,00"/>
    <e v="#NAME?"/>
  </r>
  <r>
    <n v="2064"/>
    <m/>
    <x v="0"/>
    <d v="2019-05-02T00:00:00"/>
    <n v="2000"/>
    <s v="Familia Scabuzzo Gómez"/>
    <s v="sfscabuzzo@msn.com"/>
    <s v="Av. &quot;I&quot; Nro. 146-20"/>
    <s v="Cancelación Vigilancia, saldo mes de Abril 2019"/>
    <x v="0"/>
    <m/>
    <s v="02064"/>
    <s v="02 de mayo de 2019"/>
    <n v="2"/>
    <x v="30"/>
    <s v="2.000,00"/>
    <e v="#NAME?"/>
  </r>
  <r>
    <n v="2065"/>
    <m/>
    <x v="0"/>
    <d v="2019-05-28T00:00:00"/>
    <n v="3000"/>
    <s v="Sra. Reina Meléndez"/>
    <s v="olgajipe@gmail.com"/>
    <s v="Av. &quot;M&quot; Nro. 145-10"/>
    <s v="Cancelación Vigilancia, saldo mes de Mayo 2019"/>
    <x v="0"/>
    <m/>
    <s v="02065"/>
    <s v="28 de mayo de 2019"/>
    <n v="28"/>
    <x v="30"/>
    <s v="3.000,00"/>
    <e v="#NAME?"/>
  </r>
  <r>
    <n v="2066"/>
    <m/>
    <x v="0"/>
    <d v="2019-05-28T00:00:00"/>
    <n v="15000"/>
    <s v="Familia Calzadilla Trujillo"/>
    <s v="calzadilla40@hotmail.com"/>
    <s v="Av. &quot;M&quot; Nro. 146-30"/>
    <s v="Cancelación Vigilancia, saldo mes de Mayo y mes de Junio 2019"/>
    <x v="0"/>
    <m/>
    <s v="02066"/>
    <s v="28 de mayo de 2019"/>
    <n v="28"/>
    <x v="30"/>
    <s v="15.000,00"/>
    <e v="#NAME?"/>
  </r>
  <r>
    <n v="2067"/>
    <m/>
    <x v="0"/>
    <d v="2019-05-28T00:00:00"/>
    <n v="8000"/>
    <s v="Andrea Valor"/>
    <s v="aavp992@gmail.com"/>
    <s v="Calle Guacara Nro. 88-75"/>
    <s v="Cancelación Vigilancia, mes de Mayo 2019"/>
    <x v="0"/>
    <m/>
    <s v="02067"/>
    <s v="28 de mayo de 2019"/>
    <n v="28"/>
    <x v="30"/>
    <s v="8.000,00"/>
    <e v="#NAME?"/>
  </r>
  <r>
    <n v="2068"/>
    <m/>
    <x v="0"/>
    <d v="2019-05-28T00:00:00"/>
    <n v="8000"/>
    <s v="Familia López Hermoso"/>
    <s v="lopez.humberto14@yahoo.com.ve"/>
    <s v="Calle Güigüe Nro. 89-79"/>
    <s v="Cancelación Vigilancia, mes de Mayo 2019 (saldo a favor: Bs. 48.000,00)"/>
    <x v="0"/>
    <m/>
    <s v="02068"/>
    <s v="28 de mayo de 2019"/>
    <n v="28"/>
    <x v="30"/>
    <s v="8.000,00"/>
    <e v="#NAME?"/>
  </r>
  <r>
    <n v="2069"/>
    <m/>
    <x v="0"/>
    <d v="2019-05-29T00:00:00"/>
    <n v="8000"/>
    <s v="Zoraida Khair"/>
    <s v="zorakhair@hotmail.com | lbracamonte@netuno.net"/>
    <s v="Calle Güigüe Nro. 88-80"/>
    <s v="Cancelación Vigilancia, mes de Junio 2019"/>
    <x v="0"/>
    <m/>
    <s v="02069"/>
    <s v="29 de mayo de 2019"/>
    <n v="29"/>
    <x v="30"/>
    <s v="8.000,00"/>
    <e v="#NAME?"/>
  </r>
  <r>
    <n v="2070"/>
    <m/>
    <x v="0"/>
    <d v="2019-05-29T00:00:00"/>
    <n v="11600"/>
    <s v="Colegio El Trigal"/>
    <s v="En Físico"/>
    <s v="Calle Güigüe Nros. 88-71 y 88-81"/>
    <s v="Cancelación Vigilancia, mes de Mayo 2019"/>
    <x v="0"/>
    <m/>
    <s v="02070"/>
    <s v="29 de mayo de 2019"/>
    <n v="29"/>
    <x v="30"/>
    <s v="11.600,00"/>
    <e v="#NAME?"/>
  </r>
  <r>
    <n v="2071"/>
    <m/>
    <x v="0"/>
    <d v="2019-05-29T00:00:00"/>
    <n v="11000"/>
    <s v="Familia González Arévalo"/>
    <s v="feryenis@hotmail.com"/>
    <s v="Calle Guacara Nro. 89-86"/>
    <s v="Cancelación Vigilancia, saldo mes de Mayo y mes de Junio 2019"/>
    <x v="0"/>
    <m/>
    <s v="02071"/>
    <s v="29 de mayo de 2019"/>
    <n v="29"/>
    <x v="30"/>
    <s v="11.000,00"/>
    <e v="#NAME?"/>
  </r>
  <r>
    <n v="2072"/>
    <m/>
    <x v="0"/>
    <d v="2019-05-29T00:00:00"/>
    <n v="8000"/>
    <s v="Familia Narváez Caldera"/>
    <s v="jeannette_nc@yahoo.com"/>
    <s v="Calle Güigüe Nro. 87-A-11"/>
    <s v="Cancelación Vigilancia, mes de Mayo 2019"/>
    <x v="0"/>
    <m/>
    <s v="02072"/>
    <s v="29 de mayo de 2019"/>
    <n v="29"/>
    <x v="30"/>
    <s v="8.000,00"/>
    <e v="#NAME?"/>
  </r>
  <r>
    <n v="2073"/>
    <m/>
    <x v="0"/>
    <d v="2019-05-30T00:00:00"/>
    <n v="13000"/>
    <s v="Familia Puerta Burguillos"/>
    <s v="namaricakes@gmail.com"/>
    <s v="Calle Guacara Nro. 87-100"/>
    <s v="Vigilancia: Cancelación saldo mes de Mayo y mes de Junio 2019"/>
    <x v="0"/>
    <m/>
    <s v="02073"/>
    <s v="30 de mayo de 2019"/>
    <n v="30"/>
    <x v="30"/>
    <s v="13.000,00"/>
    <e v="#NAME?"/>
  </r>
  <r>
    <n v="2074"/>
    <m/>
    <x v="0"/>
    <d v="2019-05-30T00:00:00"/>
    <n v="11520"/>
    <s v="Familia Hatem Medina"/>
    <s v="hhatem1@hotmail.com"/>
    <s v="Calle Guacara Nro. 88-51"/>
    <s v="Vigilancia: saldo mes de Abril (Bs. 1.480), cancelación mes de Mayo (Bs. 8.000) y anticipo mes de Junio 2019 (Bs. 2.040)"/>
    <x v="0"/>
    <m/>
    <s v="02074"/>
    <s v="30 de mayo de 2019"/>
    <n v="30"/>
    <x v="30"/>
    <s v="11.520,00"/>
    <e v="#NAME?"/>
  </r>
  <r>
    <n v="2075"/>
    <m/>
    <x v="0"/>
    <d v="2019-05-30T00:00:00"/>
    <n v="8000"/>
    <s v="Familia Ozar Rivero"/>
    <s v="vanessarivero81@hotmail.com"/>
    <s v="Calle Güigüe Nro. 88-06"/>
    <s v="Cancelación Vigilancia, mes de Mayo 2019"/>
    <x v="0"/>
    <m/>
    <s v="02075"/>
    <s v="30 de mayo de 2019"/>
    <n v="30"/>
    <x v="30"/>
    <s v="8.000,00"/>
    <e v="#NAME?"/>
  </r>
  <r>
    <n v="2076"/>
    <m/>
    <x v="0"/>
    <d v="2019-05-30T00:00:00"/>
    <n v="3000"/>
    <s v="Amarilis Guerra"/>
    <s v="amarilisguerra1@yahoo.com"/>
    <s v="Calle Güigüe Nro. 89-96"/>
    <s v="Cancelación Vigilancia, saldo mes de Mayo 2019"/>
    <x v="0"/>
    <m/>
    <s v="02076"/>
    <s v="30 de mayo de 2019"/>
    <n v="30"/>
    <x v="30"/>
    <s v="3.000,00"/>
    <e v="#NAME?"/>
  </r>
  <r>
    <n v="2077"/>
    <m/>
    <x v="0"/>
    <d v="2019-05-30T00:00:00"/>
    <n v="8000"/>
    <s v="Familia Abbinante Pinto"/>
    <s v="abbinante47@gmail.com"/>
    <s v="Calle Güigüe Nro. 89-120"/>
    <s v="Cancelación Vigilancia, mes de Mayo 2019"/>
    <x v="0"/>
    <m/>
    <s v="02077"/>
    <s v="30 de mayo de 2019"/>
    <n v="30"/>
    <x v="30"/>
    <s v="8.000,00"/>
    <e v="#NAME?"/>
  </r>
  <r>
    <n v="2078"/>
    <m/>
    <x v="0"/>
    <d v="2019-05-31T00:00:00"/>
    <n v="8000"/>
    <s v="Familia Zavarce Barón"/>
    <s v="alexanderzavarce@gmail.com"/>
    <s v="Calle Guacara Nro. 88-91"/>
    <s v="Cancelación Vigilancia, mes de Mayo 2019"/>
    <x v="0"/>
    <m/>
    <s v="02078"/>
    <s v="31 de mayo de 2019"/>
    <n v="31"/>
    <x v="30"/>
    <s v="8.000,00"/>
    <e v="#NAME?"/>
  </r>
  <r>
    <n v="2079"/>
    <m/>
    <x v="0"/>
    <d v="2019-05-31T00:00:00"/>
    <n v="8000"/>
    <s v="Familia Guerra Miret"/>
    <s v="antoniojguerrag@hotmail.com"/>
    <s v="Calle Güigüe Nro. 89-40"/>
    <s v="Cancelación Vigilancia, mes de Junio 2019"/>
    <x v="0"/>
    <m/>
    <s v="02079"/>
    <s v="31 de mayo de 2019"/>
    <n v="31"/>
    <x v="30"/>
    <s v="8.000,00"/>
    <e v="#NAME?"/>
  </r>
  <r>
    <n v="2080"/>
    <m/>
    <x v="0"/>
    <d v="2019-05-31T00:00:00"/>
    <n v="11000"/>
    <s v="Familia Durvelle Serrano"/>
    <s v="sdurvelle@hotmail.com"/>
    <s v="Calle Guacara Nro. 89-60"/>
    <s v="Cancelación Vigilancia, saldo mes de Mayo y mes de Junio 2019"/>
    <x v="0"/>
    <m/>
    <s v="02080"/>
    <s v="31 de mayo de 2019"/>
    <n v="31"/>
    <x v="30"/>
    <s v="11.000,00"/>
    <e v="#NAME?"/>
  </r>
  <r>
    <n v="2081"/>
    <m/>
    <x v="0"/>
    <d v="2019-05-31T00:00:00"/>
    <n v="10000"/>
    <s v="Familia Hurtado"/>
    <s v="hurtadomilena@gmail.com"/>
    <s v="Av. &quot;O&quot; Nro. 146-11"/>
    <s v="Cancelación Vigilancia, saldo mes de Abril y mes de Mayo 2019. Transferencia Banesco nro. 11216214961"/>
    <x v="0"/>
    <m/>
    <s v="02081"/>
    <s v="31 de mayo de 2019"/>
    <n v="31"/>
    <x v="30"/>
    <s v="10.000,00"/>
    <e v="#NAME?"/>
  </r>
  <r>
    <n v="2082"/>
    <m/>
    <x v="0"/>
    <d v="2019-06-02T00:00:00"/>
    <n v="8000"/>
    <s v="Familia Milanés Carmona"/>
    <s v="yndira11m@gmail.com"/>
    <s v="Calle Güigüe Nro. 89-65"/>
    <s v="Cancelación Vigilancia, mes de Junio 2019"/>
    <x v="0"/>
    <m/>
    <s v="02082"/>
    <s v="02 de junio de 2019"/>
    <n v="2"/>
    <x v="31"/>
    <s v="8.000,00"/>
    <e v="#NAME?"/>
  </r>
  <r>
    <n v="2083"/>
    <m/>
    <x v="1"/>
    <d v="2019-06-02T00:00:00"/>
    <n v="8000"/>
    <s v="Sra. Reina Meléndez"/>
    <s v="olgajipe@gmail.com"/>
    <s v="Av. &quot;M&quot; Nro. 145-10"/>
    <s v="ANULADO: Cancelación Vigilancia, mes de Junio 2019"/>
    <x v="3"/>
    <m/>
    <s v="02083"/>
    <s v="02 de junio de 2019"/>
    <n v="2"/>
    <x v="31"/>
    <s v="8.000,00"/>
    <e v="#NAME?"/>
  </r>
  <r>
    <n v="2084"/>
    <m/>
    <x v="0"/>
    <d v="2019-06-02T00:00:00"/>
    <n v="8000"/>
    <s v="Gloria Molina"/>
    <s v="glomola2@yahoo.es"/>
    <s v="Calle Güigüe Nro. 89-71"/>
    <s v="Cancelación Vigilancia, mes de Mayo 2019"/>
    <x v="0"/>
    <m/>
    <s v="02084"/>
    <s v="02 de junio de 2019"/>
    <n v="2"/>
    <x v="31"/>
    <s v="8.000,00"/>
    <e v="#NAME?"/>
  </r>
  <r>
    <n v="2085"/>
    <m/>
    <x v="0"/>
    <d v="2019-06-03T00:00:00"/>
    <n v="10000"/>
    <s v="Familia Lomeña Agudo"/>
    <s v="claudialomena@hotmail.com"/>
    <s v="Calle Guacara Nro. 89-30"/>
    <s v="Cancelación Vigilancia, mes de Junio 2019"/>
    <x v="0"/>
    <m/>
    <s v="02085"/>
    <s v="03 de junio de 2019"/>
    <n v="3"/>
    <x v="31"/>
    <s v="10.000,00"/>
    <e v="#NAME?"/>
  </r>
  <r>
    <n v="2086"/>
    <m/>
    <x v="0"/>
    <d v="2019-06-03T00:00:00"/>
    <n v="12000"/>
    <s v="Familia Ferrer Bahri"/>
    <s v="bahrimariela@hotmail.com"/>
    <s v="Calle Güigüe Nro. 89-83"/>
    <s v="Cancelación Vigilancia, mes de Junio 2019"/>
    <x v="0"/>
    <m/>
    <s v="02086"/>
    <s v="03 de junio de 2019"/>
    <n v="3"/>
    <x v="31"/>
    <s v="12.000,00"/>
    <e v="#NAME?"/>
  </r>
  <r>
    <n v="2087"/>
    <m/>
    <x v="0"/>
    <d v="2019-06-03T00:00:00"/>
    <n v="8000"/>
    <s v="Chin Chun Ya (Goya)"/>
    <s v="uc2721@gmail.com"/>
    <s v="Calle Guacara Nro. 87-86"/>
    <s v="Cancelación Vigilancia, mes de Junio 2019"/>
    <x v="0"/>
    <m/>
    <s v="02087"/>
    <s v="03 de junio de 2019"/>
    <n v="3"/>
    <x v="31"/>
    <s v="8.000,00"/>
    <e v="#NAME?"/>
  </r>
  <r>
    <n v="2088"/>
    <m/>
    <x v="0"/>
    <d v="2019-06-03T00:00:00"/>
    <n v="3000"/>
    <s v="Familia Jiménez Navarro"/>
    <s v="joyasonline2012@gmail.com"/>
    <s v="Calle Güigüe Nro. 88-50"/>
    <s v="Cancelación Vigilancia, saldo mes de Mayo 2019"/>
    <x v="0"/>
    <m/>
    <s v="02088"/>
    <s v="03 de junio de 2019"/>
    <n v="3"/>
    <x v="31"/>
    <s v="3.000,00"/>
    <e v="#NAME?"/>
  </r>
  <r>
    <n v="2089"/>
    <m/>
    <x v="0"/>
    <d v="2019-06-03T00:00:00"/>
    <n v="8000"/>
    <s v="Familia Matta Palomino"/>
    <s v="En Físico"/>
    <s v="Calle Güigüe Nro. 88-90"/>
    <s v="Cancelación Vigilancia, mes de Mayo 2019"/>
    <x v="0"/>
    <m/>
    <s v="02089"/>
    <s v="03 de junio de 2019"/>
    <n v="3"/>
    <x v="31"/>
    <s v="8.000,00"/>
    <e v="#NAME?"/>
  </r>
  <r>
    <n v="2090"/>
    <m/>
    <x v="0"/>
    <d v="2019-06-03T00:00:00"/>
    <n v="8000"/>
    <s v="Familia Nava Gordon"/>
    <s v="maru_19_66@hotmail.com"/>
    <s v="Calle Guacara Nro. 89-78"/>
    <s v="Cancelación Vigilancia, mes de Junio 2019"/>
    <x v="0"/>
    <m/>
    <s v="02090"/>
    <s v="03 de junio de 2019"/>
    <n v="3"/>
    <x v="31"/>
    <s v="8.000,00"/>
    <e v="#NAME?"/>
  </r>
  <r>
    <n v="2091"/>
    <m/>
    <x v="0"/>
    <d v="2019-06-03T00:00:00"/>
    <n v="5000"/>
    <s v="Familia Rodríguez Landaeta"/>
    <s v="mrl58@hotmail.com"/>
    <s v="Calle Güigüe Nro. 89-29"/>
    <s v="Colaboración Vigilancia, mes de Junio 2019"/>
    <x v="0"/>
    <m/>
    <s v="02091"/>
    <s v="03 de junio de 2019"/>
    <n v="3"/>
    <x v="31"/>
    <s v="5.000,00"/>
    <e v="#NAME?"/>
  </r>
  <r>
    <n v="2092"/>
    <m/>
    <x v="0"/>
    <d v="2019-06-04T00:00:00"/>
    <n v="11000"/>
    <s v="Familia Delgado Hidalgo"/>
    <s v="ardh@hotmail.com"/>
    <s v="Calle Güigüe Nro. 88-10"/>
    <s v="Cancelación Vigilancia, saldo mes de Mayo y mes de Junio 2019"/>
    <x v="0"/>
    <m/>
    <s v="02092"/>
    <s v="04 de junio de 2019"/>
    <n v="4"/>
    <x v="31"/>
    <s v="11.000,00"/>
    <e v="#NAME?"/>
  </r>
  <r>
    <n v="2093"/>
    <m/>
    <x v="0"/>
    <d v="2019-06-05T00:00:00"/>
    <n v="8000"/>
    <s v="Familia Acosta Carpio"/>
    <s v="pablo962@hotmail.com"/>
    <s v="Calle Güigüe Nro. 89-10"/>
    <s v="Cancelación Vigilancia, mes de Junio 2019"/>
    <x v="0"/>
    <m/>
    <s v="02093"/>
    <s v="05 de junio de 2019"/>
    <n v="5"/>
    <x v="31"/>
    <s v="8.000,00"/>
    <e v="#NAME?"/>
  </r>
  <r>
    <n v="2094"/>
    <m/>
    <x v="0"/>
    <d v="2019-06-05T00:00:00"/>
    <n v="5000"/>
    <s v="Familia Méndez Parra"/>
    <s v="briceidademendez@gmail.com"/>
    <s v="Calle Guacara Nro. 88-19"/>
    <s v="Colaboración Vigilancia, mes de Junio 2019"/>
    <x v="0"/>
    <m/>
    <s v="02094"/>
    <s v="05 de junio de 2019"/>
    <n v="5"/>
    <x v="31"/>
    <s v="5.000,00"/>
    <e v="#NAME?"/>
  </r>
  <r>
    <n v="2095"/>
    <m/>
    <x v="0"/>
    <d v="2019-06-05T00:00:00"/>
    <n v="8000"/>
    <s v="Familia Arcia Polanco"/>
    <s v="misipo29@gmail.com"/>
    <s v="Calle Guacara Nro. 89-20"/>
    <s v="Anticipo Vigilancia, mes de Junio 2019"/>
    <x v="0"/>
    <m/>
    <s v="02095"/>
    <s v="05 de junio de 2019"/>
    <n v="5"/>
    <x v="31"/>
    <s v="8.000,00"/>
    <e v="#NAME?"/>
  </r>
  <r>
    <n v="2096"/>
    <m/>
    <x v="0"/>
    <d v="2019-06-05T00:00:00"/>
    <n v="8000"/>
    <s v="Familia Colosso Delgado"/>
    <s v="mcolosso@gmail.com"/>
    <s v="Calle Güigüe Nro. 88-44"/>
    <s v="Cancelación Vigilancia, mes de Junio 2019"/>
    <x v="0"/>
    <m/>
    <s v="02096"/>
    <s v="05 de junio de 2019"/>
    <n v="5"/>
    <x v="31"/>
    <s v="8.000,00"/>
    <e v="#NAME?"/>
  </r>
  <r>
    <n v="2097"/>
    <m/>
    <x v="0"/>
    <d v="2019-06-05T00:00:00"/>
    <n v="8000"/>
    <s v="Familia Machado Stoppa"/>
    <s v="machadoru@hotmail.com"/>
    <s v="Calle Guacara Nro. 88-85"/>
    <s v="Cancelación Vigilancia, mes de Junio 2019"/>
    <x v="0"/>
    <m/>
    <s v="02097"/>
    <s v="05 de junio de 2019"/>
    <n v="5"/>
    <x v="31"/>
    <s v="8.000,00"/>
    <e v="#NAME?"/>
  </r>
  <r>
    <n v="2098"/>
    <m/>
    <x v="0"/>
    <d v="2019-05-29T00:00:00"/>
    <n v="8000"/>
    <s v="Victoria Francischiello"/>
    <s v="victoriafrancischiello@hotmail.com"/>
    <s v="Calle Guacara Nro. 88-25"/>
    <s v="Cancelación Vigilancia, mes de Mayo 2019"/>
    <x v="0"/>
    <m/>
    <s v="02098"/>
    <s v="29 de mayo de 2019"/>
    <n v="29"/>
    <x v="30"/>
    <s v="8.000,00"/>
    <e v="#NAME?"/>
  </r>
  <r>
    <n v="2099"/>
    <m/>
    <x v="0"/>
    <d v="2019-06-05T00:00:00"/>
    <n v="8000"/>
    <s v="Familia Montilla García"/>
    <s v="dairy252525@hotmail.com"/>
    <s v="Calle Güigüe Nro. 89-90"/>
    <s v="Cancelación Vigilancia, mes de Junio 2019"/>
    <x v="0"/>
    <m/>
    <s v="02099"/>
    <s v="05 de junio de 2019"/>
    <n v="5"/>
    <x v="31"/>
    <s v="8.000,00"/>
    <e v="#NAME?"/>
  </r>
  <r>
    <n v="2100"/>
    <m/>
    <x v="0"/>
    <d v="2019-06-05T00:00:00"/>
    <n v="8000"/>
    <s v="Familia Scabuzzo Gómez"/>
    <s v="sfscabuzzo@msn.com"/>
    <s v="Av. &quot;I&quot; Nro. 146-20"/>
    <s v="Cancelación Vigilancia, mes de Junio 2019"/>
    <x v="0"/>
    <m/>
    <s v="02100"/>
    <s v="05 de junio de 2019"/>
    <n v="5"/>
    <x v="31"/>
    <s v="8.000,00"/>
    <e v="#NAME?"/>
  </r>
  <r>
    <n v="2101"/>
    <m/>
    <x v="0"/>
    <d v="2019-06-06T00:00:00"/>
    <n v="8000"/>
    <s v="Familia Castro Jiménez"/>
    <s v="aurycastrojimenez@gmail.com"/>
    <s v="Calle Guacara Nro. 90-51"/>
    <s v="Cancelación Vigilancia, mes de Junio 2019"/>
    <x v="0"/>
    <m/>
    <s v="02101"/>
    <s v="06 de junio de 2019"/>
    <n v="6"/>
    <x v="31"/>
    <s v="8.000,00"/>
    <e v="#NAME?"/>
  </r>
  <r>
    <n v="2102"/>
    <m/>
    <x v="0"/>
    <d v="2019-06-06T00:00:00"/>
    <n v="15000"/>
    <s v="Familia Fermín Rivas"/>
    <s v="angelferminb@gmail.com"/>
    <s v="Calle Güigüe Nro. 89-55"/>
    <s v="Cancelación Vigilancia, saldo mes de Junio, mes de Julio y anticipo mes de Agosto 2019 (contra factura)"/>
    <x v="0"/>
    <m/>
    <s v="02102"/>
    <s v="06 de junio de 2019"/>
    <n v="6"/>
    <x v="31"/>
    <s v="15.000,00"/>
    <e v="#NAME?"/>
  </r>
  <r>
    <n v="2103"/>
    <m/>
    <x v="0"/>
    <d v="2019-06-07T00:00:00"/>
    <n v="10000"/>
    <s v="Familia Wu Acevedo"/>
    <s v="rudyacevedo90@gmail.com"/>
    <s v="Calle Guacara Nro. 88-A-10"/>
    <s v="Cancelación Vigilancia, mes de Junio 2019 (saldo a favor: Bs. 36.005,80)"/>
    <x v="0"/>
    <m/>
    <s v="02103"/>
    <s v="07 de junio de 2019"/>
    <n v="7"/>
    <x v="31"/>
    <s v="10.000,00"/>
    <e v="#NAME?"/>
  </r>
  <r>
    <n v="2104"/>
    <m/>
    <x v="0"/>
    <d v="2019-06-07T00:00:00"/>
    <n v="8000"/>
    <s v="Familia Del Negro Palermo"/>
    <s v="vdelnegro@gmail.com"/>
    <s v="Calle Guacara Nro. 88-45"/>
    <s v="Cancelación Vigilancia, mes de Junio 2019 (saldo a favor: Bs. 79.862,95)"/>
    <x v="0"/>
    <m/>
    <s v="02104"/>
    <s v="07 de junio de 2019"/>
    <n v="7"/>
    <x v="31"/>
    <s v="8.000,00"/>
    <e v="#NAME?"/>
  </r>
  <r>
    <n v="2105"/>
    <m/>
    <x v="0"/>
    <d v="2019-06-07T00:00:00"/>
    <n v="8000"/>
    <s v="Familia López Hermoso"/>
    <s v="lopez.humberto14@yahoo.com.ve"/>
    <s v="Calle Güigüe Nro. 89-79"/>
    <s v="Cancelación Vigilancia, mes de Junio 2019 (saldo a favor: Bs. 40.000,00)"/>
    <x v="0"/>
    <m/>
    <s v="02105"/>
    <s v="07 de junio de 2019"/>
    <n v="7"/>
    <x v="31"/>
    <s v="8.000,00"/>
    <e v="#NAME?"/>
  </r>
  <r>
    <n v="2106"/>
    <m/>
    <x v="0"/>
    <d v="2019-06-07T00:00:00"/>
    <n v="8000"/>
    <s v="Ely Saúl Rivero Gómez"/>
    <s v="hhs.admon@gmail.com"/>
    <s v="Av. &quot;Ñ&quot; Nro. 145-25"/>
    <s v="Cancelación Vigilancia, mes de Junio 2019 (saldo a favor: Bs. 7.352,00)"/>
    <x v="0"/>
    <m/>
    <s v="02106"/>
    <s v="07 de junio de 2019"/>
    <n v="7"/>
    <x v="31"/>
    <s v="8.000,00"/>
    <e v="#NAME?"/>
  </r>
  <r>
    <n v="2107"/>
    <m/>
    <x v="0"/>
    <d v="2019-06-07T00:00:00"/>
    <n v="8000"/>
    <s v="Carmen Moreno"/>
    <s v="carmenemoreno10@gmail.com"/>
    <s v="Calle Güigüe Nro. 89-04"/>
    <s v="Cancelación Vigilancia, mes de Junio 2019"/>
    <x v="0"/>
    <m/>
    <s v="02107"/>
    <s v="07 de junio de 2019"/>
    <n v="7"/>
    <x v="31"/>
    <s v="8.000,00"/>
    <e v="#NAME?"/>
  </r>
  <r>
    <n v="2108"/>
    <m/>
    <x v="0"/>
    <d v="2019-06-07T00:00:00"/>
    <n v="8000"/>
    <s v="Familia Martínez Boada"/>
    <s v="florcitakmz@gmail.com"/>
    <s v="Calle Güigüe Nro. 88-62"/>
    <s v="Cancelación Vigilancia, mes de Mayo 2019"/>
    <x v="0"/>
    <m/>
    <s v="02108"/>
    <s v="07 de junio de 2019"/>
    <n v="7"/>
    <x v="31"/>
    <s v="8.000,00"/>
    <e v="#NAME?"/>
  </r>
  <r>
    <n v="2109"/>
    <m/>
    <x v="0"/>
    <d v="2019-06-10T00:00:00"/>
    <n v="3000"/>
    <s v="Familia Astor Zamora"/>
    <s v="imzastor@gmail.com"/>
    <s v="Calle Güigüe Nro. 88-111"/>
    <s v="Cancelación Vigilancia, saldo mes de Mayo 2019"/>
    <x v="0"/>
    <m/>
    <s v="02109"/>
    <s v="10 de junio de 2019"/>
    <n v="10"/>
    <x v="31"/>
    <s v="3.000,00"/>
    <e v="#NAME?"/>
  </r>
  <r>
    <n v="2110"/>
    <m/>
    <x v="0"/>
    <d v="2019-06-10T00:00:00"/>
    <n v="16000"/>
    <s v="Jocsan Orta Correa"/>
    <s v="carlos_arturox@hotmail.com"/>
    <s v="Av. &quot;L&quot; anexo de Los Tronquitos"/>
    <s v="Cancelación Vigilancia, meses de Mayo y Junio 2019"/>
    <x v="0"/>
    <m/>
    <s v="02110"/>
    <s v="10 de junio de 2019"/>
    <n v="10"/>
    <x v="31"/>
    <s v="16.000,00"/>
    <e v="#NAME?"/>
  </r>
  <r>
    <n v="2111"/>
    <m/>
    <x v="0"/>
    <d v="2019-06-10T00:00:00"/>
    <n v="10000"/>
    <s v="Familia Romero"/>
    <s v="autoescuela21@gmail.com"/>
    <s v="Calle Guacara Nro. 89-50"/>
    <s v="Cancelación Vigilancia, saldo mes de Abril y mes de Mayo 2019"/>
    <x v="0"/>
    <m/>
    <s v="02111"/>
    <s v="10 de junio de 2019"/>
    <n v="10"/>
    <x v="31"/>
    <s v="10.000,00"/>
    <e v="#NAME?"/>
  </r>
  <r>
    <n v="2112"/>
    <m/>
    <x v="0"/>
    <d v="2019-06-12T00:00:00"/>
    <n v="8000"/>
    <s v="Sra. Reina Meléndez"/>
    <s v="olgajipe@gmail.com"/>
    <s v="Av. &quot;M&quot; Nro. 145-10"/>
    <s v="Cancelación Vigilancia, mes de Junio 2019"/>
    <x v="0"/>
    <m/>
    <s v="02112"/>
    <s v="12 de junio de 2019"/>
    <n v="12"/>
    <x v="31"/>
    <s v="8.000,00"/>
    <e v="#NAME?"/>
  </r>
  <r>
    <n v="2113"/>
    <m/>
    <x v="0"/>
    <d v="2019-06-14T00:00:00"/>
    <n v="8000"/>
    <s v="Familia Kablan Sarmiento"/>
    <s v="norisjsb56@hotmail.com"/>
    <s v="Calle Güigüe Nro. 89-80"/>
    <s v="Cancelación Vigilancia, mes de Junio 2019"/>
    <x v="0"/>
    <m/>
    <s v="02113"/>
    <s v="14 de junio de 2019"/>
    <n v="14"/>
    <x v="31"/>
    <s v="8.000,00"/>
    <e v="#NAME?"/>
  </r>
  <r>
    <n v="2114"/>
    <m/>
    <x v="0"/>
    <d v="2019-06-15T00:00:00"/>
    <n v="8000"/>
    <s v="Familia Ochoa Mendoza"/>
    <s v="marisoljudithm@hotmail.com"/>
    <s v="Calle Guacara Nro. 89-130"/>
    <s v="Cancelación Vigilancia, saldo mes de Mayo y anticipo mes de Junio 2019"/>
    <x v="0"/>
    <m/>
    <s v="02114"/>
    <s v="15 de junio de 2019"/>
    <n v="15"/>
    <x v="31"/>
    <s v="8.000,00"/>
    <e v="#NAME?"/>
  </r>
  <r>
    <n v="2115"/>
    <m/>
    <x v="0"/>
    <d v="2019-06-15T00:00:00"/>
    <n v="8000"/>
    <s v="Beatriz Lara"/>
    <s v="valentina.gutierrez@hotmail.com"/>
    <s v="Calle Guacara Nro. 89-130"/>
    <s v="Cancelación Vigilancia, mes de Junio 2019"/>
    <x v="0"/>
    <m/>
    <s v="02115"/>
    <s v="15 de junio de 2019"/>
    <n v="15"/>
    <x v="31"/>
    <s v="8.000,00"/>
    <e v="#NAME?"/>
  </r>
  <r>
    <n v="2116"/>
    <m/>
    <x v="0"/>
    <d v="2019-06-15T00:00:00"/>
    <n v="8000"/>
    <s v="Dra. Lilia Magallanes"/>
    <s v="liliamagallanes2010@gmail.com"/>
    <s v="Calle Güigüe Nro. 88-51"/>
    <s v="Cancelación Vigilancia, mes de Junio 2019"/>
    <x v="0"/>
    <m/>
    <s v="02116"/>
    <s v="15 de junio de 2019"/>
    <n v="15"/>
    <x v="31"/>
    <s v="8.000,00"/>
    <e v="#NAME?"/>
  </r>
  <r>
    <n v="2117"/>
    <m/>
    <x v="0"/>
    <d v="2019-06-15T00:00:00"/>
    <n v="11000"/>
    <s v="Ma. de Jesus Alonso"/>
    <s v="alonsojg@gmail.com"/>
    <s v="Calle Güigüe Nro. 88-30"/>
    <s v="Cancelación Vigilancia, saldo mes de Mayo y mes de Junio 2019"/>
    <x v="0"/>
    <m/>
    <s v="02117"/>
    <s v="15 de junio de 2019"/>
    <n v="15"/>
    <x v="31"/>
    <s v="11.000,00"/>
    <e v="#NAME?"/>
  </r>
  <r>
    <n v="2118"/>
    <m/>
    <x v="0"/>
    <d v="2019-06-17T00:00:00"/>
    <n v="8000"/>
    <s v="Familia Gascón Domínguez"/>
    <s v="vrgascon@gmail.com"/>
    <s v="Calle Güigüe Nro. 88-70"/>
    <s v="Cancelación Vigilancia, mes de Junio 2019"/>
    <x v="0"/>
    <m/>
    <s v="02118"/>
    <s v="17 de junio de 2019"/>
    <n v="17"/>
    <x v="31"/>
    <s v="8.000,00"/>
    <e v="#NAME?"/>
  </r>
  <r>
    <n v="2119"/>
    <m/>
    <x v="0"/>
    <d v="2019-06-17T00:00:00"/>
    <n v="8000"/>
    <s v="Amparo Acosta"/>
    <s v="amparonatividad@hotmail.com"/>
    <s v="Calle Guacara Nro. 88-65"/>
    <s v="Cancelación Vigilancia, mes de Junio 2019"/>
    <x v="0"/>
    <m/>
    <s v="02119"/>
    <s v="17 de junio de 2019"/>
    <n v="17"/>
    <x v="31"/>
    <s v="8.000,00"/>
    <e v="#NAME?"/>
  </r>
  <r>
    <n v="2120"/>
    <m/>
    <x v="0"/>
    <d v="2019-06-18T00:00:00"/>
    <n v="8000"/>
    <s v="Familia Franco Gómez"/>
    <s v="eof64@hotmail.com"/>
    <s v="Calle Guacara Nro. 87-07"/>
    <s v="Cancelación Vigilancia, mes de Junio 2019"/>
    <x v="0"/>
    <m/>
    <s v="02120"/>
    <s v="18 de junio de 2019"/>
    <n v="18"/>
    <x v="31"/>
    <s v="8.000,00"/>
    <e v="#NAME?"/>
  </r>
  <r>
    <n v="2121"/>
    <m/>
    <x v="0"/>
    <d v="2019-06-18T00:00:00"/>
    <n v="8000"/>
    <s v="Héctor Hernández"/>
    <s v="eof64@hotmail.com"/>
    <s v="Calle Guacara Nro. 89-94"/>
    <s v="Cancelación Vigilancia, mes de Junio 2019"/>
    <x v="0"/>
    <m/>
    <s v="02121"/>
    <s v="18 de junio de 2019"/>
    <n v="18"/>
    <x v="31"/>
    <s v="8.000,00"/>
    <e v="#NAME?"/>
  </r>
  <r>
    <n v="2122"/>
    <m/>
    <x v="0"/>
    <d v="2019-06-20T00:00:00"/>
    <n v="8000"/>
    <s v="Familia Soto Urdaneta"/>
    <s v="esotom61@gmail.com"/>
    <s v="Calle Guacara Nro. 89-102"/>
    <s v="Cancelación Vigilancia, mes de Junio 2019"/>
    <x v="0"/>
    <m/>
    <s v="02122"/>
    <s v="20 de junio de 2019"/>
    <n v="20"/>
    <x v="31"/>
    <s v="8.000,00"/>
    <e v="#NAME?"/>
  </r>
  <r>
    <n v="2123"/>
    <m/>
    <x v="0"/>
    <d v="2019-06-20T00:00:00"/>
    <n v="8000"/>
    <s v="Familia Costermani Terrer"/>
    <s v="claudiacostermani@hotmail.com"/>
    <s v="Calle Güigüe Nro. 88-11"/>
    <s v="Cancelación Vigilancia, mes de Junio 2019"/>
    <x v="0"/>
    <m/>
    <s v="02123"/>
    <s v="20 de junio de 2019"/>
    <n v="20"/>
    <x v="31"/>
    <s v="8.000,00"/>
    <e v="#NAME?"/>
  </r>
  <r>
    <n v="2124"/>
    <m/>
    <x v="0"/>
    <d v="2019-06-21T00:00:00"/>
    <n v="6000"/>
    <s v="Familia Loponte Arteaga"/>
    <s v="En Físico"/>
    <s v="Calle Güigüe Nro. 88-120"/>
    <s v="Cancelación Vigilancia, saldo mes de Junio 2019"/>
    <x v="0"/>
    <m/>
    <s v="02124"/>
    <s v="21 de junio de 2019"/>
    <n v="21"/>
    <x v="31"/>
    <s v="6.000,00"/>
    <e v="#NAME?"/>
  </r>
  <r>
    <n v="2125"/>
    <m/>
    <x v="0"/>
    <d v="2019-06-22T00:00:00"/>
    <n v="8000"/>
    <s v="Familia Jiménez Navarro"/>
    <s v="joyasonline2012@gmail.com"/>
    <s v="Calle Güigüe Nro. 88-50"/>
    <s v="Cancelación Vigilancia, mes de Junio 2019"/>
    <x v="0"/>
    <m/>
    <s v="02125"/>
    <s v="22 de junio de 2019"/>
    <n v="22"/>
    <x v="31"/>
    <s v="8.000,00"/>
    <e v="#NAME?"/>
  </r>
  <r>
    <n v="2126"/>
    <m/>
    <x v="0"/>
    <d v="2019-06-22T00:00:00"/>
    <n v="8000"/>
    <s v="Familia Castillo Mena"/>
    <s v="emmecas@hotmail.com"/>
    <s v="Calle Güigüe Nro. 88-101"/>
    <s v="Cancelación Vigilancia, mes de Junio 2019"/>
    <x v="0"/>
    <m/>
    <s v="02126"/>
    <s v="22 de junio de 2019"/>
    <n v="22"/>
    <x v="31"/>
    <s v="8.000,00"/>
    <e v="#NAME?"/>
  </r>
  <r>
    <n v="2127"/>
    <m/>
    <x v="0"/>
    <d v="2019-06-22T00:00:00"/>
    <n v="8000"/>
    <s v="Familia Díaz González"/>
    <s v="luisrdt57@gmail.com"/>
    <s v="Calle Güigüe Nro. 88-116"/>
    <s v="Cancelación Vigilancia, mes de Junio 2019"/>
    <x v="0"/>
    <m/>
    <s v="02127"/>
    <s v="22 de junio de 2019"/>
    <n v="22"/>
    <x v="31"/>
    <s v="8.000,00"/>
    <e v="#NAME?"/>
  </r>
  <r>
    <n v="2128"/>
    <m/>
    <x v="0"/>
    <d v="2019-06-22T00:00:00"/>
    <n v="8000"/>
    <s v="Familia Rodríguez Girón"/>
    <s v="daniellegt4@gmail.com"/>
    <s v="Calle Güigüe Nro. 89-22"/>
    <s v="Cancelación Vigilancia, mes de Junio 2019"/>
    <x v="0"/>
    <m/>
    <s v="02128"/>
    <s v="22 de junio de 2019"/>
    <n v="22"/>
    <x v="31"/>
    <s v="8.000,00"/>
    <e v="#NAME?"/>
  </r>
  <r>
    <n v="2129"/>
    <m/>
    <x v="0"/>
    <d v="2019-06-23T00:00:00"/>
    <n v="30000"/>
    <s v="Familia Jiménez de Avila"/>
    <s v="meji2333@gmail.com"/>
    <s v="Calle Güigüe Nro. 89-116"/>
    <s v="Colaboración Vigilancia, meses de Julio a Diciembre 2019"/>
    <x v="0"/>
    <m/>
    <s v="02129"/>
    <s v="23 de junio de 2019"/>
    <n v="23"/>
    <x v="31"/>
    <s v="30.000,00"/>
    <e v="#NAME?"/>
  </r>
  <r>
    <n v="2130"/>
    <m/>
    <x v="0"/>
    <d v="2019-06-26T00:00:00"/>
    <n v="8000"/>
    <s v="Familia Delgado Hidalgo"/>
    <s v="ardh@hotmail.com"/>
    <s v="Calle Güigüe Nro. 88-10"/>
    <s v="Cancelación Vigilancia, mes de Julio 2019"/>
    <x v="0"/>
    <m/>
    <s v="02130"/>
    <s v="26 de junio de 2019"/>
    <n v="26"/>
    <x v="31"/>
    <s v="8.000,00"/>
    <e v="#NAME?"/>
  </r>
  <r>
    <n v="2131"/>
    <m/>
    <x v="0"/>
    <d v="2019-06-26T00:00:00"/>
    <n v="8000"/>
    <s v="Amarilis Guerra"/>
    <s v="amarilisguerra1@yahoo.com"/>
    <s v="Calle Güigüe Nro. 89-96"/>
    <s v="Cancelación Vigilancia, mes de Junio 2019"/>
    <x v="0"/>
    <m/>
    <s v="02131"/>
    <s v="26 de junio de 2019"/>
    <n v="26"/>
    <x v="31"/>
    <s v="8.000,00"/>
    <e v="#NAME?"/>
  </r>
  <r>
    <n v="2132"/>
    <m/>
    <x v="0"/>
    <d v="2019-06-26T00:00:00"/>
    <n v="4500"/>
    <s v="Familia Navarro Assing"/>
    <s v="liliaassing@gmail.com"/>
    <s v="Calle Güigüe Nro. 88-54"/>
    <s v="Cancelación Vigilancia, saldo mes de Junio 2019"/>
    <x v="0"/>
    <m/>
    <s v="02132"/>
    <s v="26 de junio de 2019"/>
    <n v="26"/>
    <x v="31"/>
    <s v="4.500,00"/>
    <e v="#NAME?"/>
  </r>
  <r>
    <n v="2133"/>
    <m/>
    <x v="0"/>
    <d v="2019-06-26T00:00:00"/>
    <n v="8000"/>
    <s v="Victoria Francischiello"/>
    <s v="victoriafrancischiello@hotmail.com"/>
    <s v="Calle Guacara Nro. 88-25"/>
    <s v="Cancelación Vigilancia, mes de Junio 2019"/>
    <x v="0"/>
    <m/>
    <s v="02133"/>
    <s v="26 de junio de 2019"/>
    <n v="26"/>
    <x v="31"/>
    <s v="8.000,00"/>
    <e v="#NAME?"/>
  </r>
  <r>
    <n v="2134"/>
    <m/>
    <x v="0"/>
    <d v="2019-06-26T00:00:00"/>
    <n v="11600"/>
    <s v="Colegio El Trigal"/>
    <s v="En Físico"/>
    <s v="Calle Güigüe Nros. 88-71 y 88-81"/>
    <s v="Cancelación Vigilancia, mes de Junio 2019"/>
    <x v="0"/>
    <m/>
    <s v="02134"/>
    <s v="26 de junio de 2019"/>
    <n v="26"/>
    <x v="31"/>
    <s v="11.600,00"/>
    <e v="#NAME?"/>
  </r>
  <r>
    <n v="2135"/>
    <m/>
    <x v="0"/>
    <d v="2019-06-26T00:00:00"/>
    <n v="8000"/>
    <s v="Familia Zavarce Barón"/>
    <s v="alexanderzavarce@gmail.com"/>
    <s v="Calle Guacara Nro. 88-91"/>
    <s v="Cancelación Vigilancia, mes de Junio 2019"/>
    <x v="0"/>
    <m/>
    <s v="02135"/>
    <s v="26 de junio de 2019"/>
    <n v="26"/>
    <x v="31"/>
    <s v="8.000,00"/>
    <e v="#NAME?"/>
  </r>
  <r>
    <n v="2136"/>
    <m/>
    <x v="0"/>
    <d v="2019-06-26T00:00:00"/>
    <n v="8000"/>
    <s v="Familia Sirit Palencia"/>
    <s v="irasirit@gmail.com"/>
    <s v="Calle Güigüe Nro. 89-35"/>
    <s v="Cancelación Vigilancia, mes de Junio 2019"/>
    <x v="0"/>
    <m/>
    <s v="02136"/>
    <s v="26 de junio de 2019"/>
    <n v="26"/>
    <x v="31"/>
    <s v="8.000,00"/>
    <e v="#NAME?"/>
  </r>
  <r>
    <n v="2137"/>
    <m/>
    <x v="0"/>
    <d v="2019-06-27T00:00:00"/>
    <n v="8000"/>
    <s v="Familia Rodríguez Aular"/>
    <s v="mvaular@hotmail.com"/>
    <s v="Calle Güigüe Nro. 88-58"/>
    <s v="Cancelación Vigilancia, mes de Junio 2019"/>
    <x v="0"/>
    <m/>
    <s v="02137"/>
    <s v="27 de junio de 2019"/>
    <n v="27"/>
    <x v="31"/>
    <s v="8.000,00"/>
    <e v="#NAME?"/>
  </r>
  <r>
    <n v="2138"/>
    <m/>
    <x v="0"/>
    <d v="2019-06-27T00:00:00"/>
    <n v="8000"/>
    <s v="Gloria Molina"/>
    <s v="glomola2@yahoo.es"/>
    <s v="Calle Güigüe Nro. 89-71"/>
    <s v="Cancelación Vigilancia, mes de Junio 2019"/>
    <x v="0"/>
    <m/>
    <s v="02138"/>
    <s v="27 de junio de 2019"/>
    <n v="27"/>
    <x v="31"/>
    <s v="8.000,00"/>
    <e v="#NAME?"/>
  </r>
  <r>
    <n v="2139"/>
    <m/>
    <x v="0"/>
    <d v="2019-06-27T00:00:00"/>
    <n v="8000"/>
    <s v="Andrea Valor"/>
    <s v="aavp992@gmail.com"/>
    <s v="Calle Guacara Nro. 88-75"/>
    <s v="Cancelación Vigilancia, mes de Junio 2019"/>
    <x v="0"/>
    <m/>
    <s v="02139"/>
    <s v="27 de junio de 2019"/>
    <n v="27"/>
    <x v="31"/>
    <s v="8.000,00"/>
    <e v="#NAME?"/>
  </r>
  <r>
    <n v="2140"/>
    <m/>
    <x v="0"/>
    <d v="2019-06-27T00:00:00"/>
    <n v="8000"/>
    <s v="Familia Manrique Riera"/>
    <s v="patriciamanrique@gmail.com"/>
    <s v="Calle Guacara Nro. 89-40"/>
    <s v="Cancelación Vigilancia, mes de Junio 2019"/>
    <x v="0"/>
    <m/>
    <s v="02140"/>
    <s v="27 de junio de 2019"/>
    <n v="27"/>
    <x v="31"/>
    <s v="8.000,00"/>
    <e v="#NAME?"/>
  </r>
  <r>
    <n v="2141"/>
    <m/>
    <x v="0"/>
    <d v="2019-06-27T00:00:00"/>
    <n v="3000"/>
    <s v="Familia Ochoa Mendoza"/>
    <s v="marisoljudithm@hotmail.com"/>
    <s v="Calle Guacara Nro. 89-130"/>
    <s v="Cancelación Vigilancia, saldo mes de Junio 2019"/>
    <x v="0"/>
    <m/>
    <s v="02141"/>
    <s v="27 de junio de 2019"/>
    <n v="27"/>
    <x v="31"/>
    <s v="3.000,00"/>
    <e v="#NAME?"/>
  </r>
  <r>
    <n v="2142"/>
    <m/>
    <x v="0"/>
    <d v="2019-06-27T00:00:00"/>
    <n v="8000"/>
    <s v="Familia Narváez Caldera"/>
    <s v="jeannette_nc@yahoo.com"/>
    <s v="Calle Güigüe Nro. 87-A-11"/>
    <s v="Cancelación Vigilancia, mes de Junio 2019"/>
    <x v="0"/>
    <m/>
    <s v="02142"/>
    <s v="27 de junio de 2019"/>
    <n v="27"/>
    <x v="31"/>
    <s v="8.000,00"/>
    <e v="#NAME?"/>
  </r>
  <r>
    <n v="2143"/>
    <m/>
    <x v="0"/>
    <d v="2019-06-27T00:00:00"/>
    <n v="8000"/>
    <s v="Familia Alonso Rojas"/>
    <s v="redjc01@gmail.com"/>
    <s v="Calle Güigüe Nro. 89-54"/>
    <s v="Cancelación Vigilancia, mes de Junio 2019"/>
    <x v="0"/>
    <m/>
    <s v="02143"/>
    <s v="27 de junio de 2019"/>
    <n v="27"/>
    <x v="31"/>
    <s v="8.000,00"/>
    <e v="#NAME?"/>
  </r>
  <r>
    <n v="2144"/>
    <m/>
    <x v="0"/>
    <d v="2019-06-27T00:00:00"/>
    <n v="10000"/>
    <s v="Familia Alonso Rojas"/>
    <s v="redjc01@gmail.com"/>
    <s v="Calle Güigüe Nro. 89-54"/>
    <s v="Cancelación Vigilancia, mes de Julio 2019"/>
    <x v="0"/>
    <m/>
    <s v="02144"/>
    <s v="27 de junio de 2019"/>
    <n v="27"/>
    <x v="31"/>
    <s v="10.000,00"/>
    <e v="#NAME?"/>
  </r>
  <r>
    <n v="2145"/>
    <m/>
    <x v="0"/>
    <d v="2019-06-27T00:00:00"/>
    <n v="15000"/>
    <s v="Familia González Arévalo"/>
    <s v="feryenis@hotmail.com"/>
    <s v="Calle Guacara Nro. 89-86"/>
    <s v="Cancelación Vigilancia, mes de Junio y anticipo mes de Julio 2019"/>
    <x v="0"/>
    <m/>
    <s v="02145"/>
    <s v="27 de junio de 2019"/>
    <n v="27"/>
    <x v="31"/>
    <s v="15.000,00"/>
    <e v="#NAME?"/>
  </r>
  <r>
    <n v="2146"/>
    <m/>
    <x v="0"/>
    <d v="2019-06-27T00:00:00"/>
    <n v="16000"/>
    <s v="Wu Hung Fung"/>
    <s v="carolinahung24@gmail.com | barbarahung15@hotmail.com"/>
    <s v="Calle Guacara Nro. 90-81"/>
    <s v="Cancelación Vigilancia, saldo mes de Junio y mes de  Julio 2019"/>
    <x v="0"/>
    <m/>
    <s v="02146"/>
    <s v="27 de junio de 2019"/>
    <n v="27"/>
    <x v="31"/>
    <s v="16.000,00"/>
    <e v="#NAME?"/>
  </r>
  <r>
    <n v="2147"/>
    <m/>
    <x v="0"/>
    <d v="2019-06-27T00:00:00"/>
    <n v="8000"/>
    <s v="Familia Matta Palomino"/>
    <s v="En Físico"/>
    <s v="Calle Güigüe Nro. 88-90"/>
    <s v="Cancelación Vigilancia, mes de Junio 2019"/>
    <x v="0"/>
    <m/>
    <s v="02147"/>
    <s v="27 de junio de 2019"/>
    <n v="27"/>
    <x v="31"/>
    <s v="8.000,00"/>
    <e v="#NAME?"/>
  </r>
  <r>
    <n v="2148"/>
    <m/>
    <x v="0"/>
    <d v="2019-06-28T00:00:00"/>
    <n v="23000"/>
    <s v="Wilson Escamilla"/>
    <s v="wilsonescamilla45@gmail.com"/>
    <s v="Calle Güigüe Nro. 89-89"/>
    <s v="Cancelación Vigilancia, saldo mes de Mayo y meses de Junio y Julio 2019"/>
    <x v="0"/>
    <m/>
    <s v="02148"/>
    <s v="28 de junio de 2019"/>
    <n v="28"/>
    <x v="31"/>
    <s v="23.000,00"/>
    <e v="#NAME?"/>
  </r>
  <r>
    <n v="2149"/>
    <m/>
    <x v="0"/>
    <d v="2019-06-28T00:00:00"/>
    <n v="10000"/>
    <s v="Familia Nava Gordon"/>
    <s v="maru_19_66@hotmail.com"/>
    <s v="Calle Guacara Nro. 89-78"/>
    <s v="Cancelación Vigilancia, mes de Julio 2019"/>
    <x v="0"/>
    <m/>
    <s v="02149"/>
    <s v="28 de junio de 2019"/>
    <n v="28"/>
    <x v="31"/>
    <s v="10.000,00"/>
    <e v="#NAME?"/>
  </r>
  <r>
    <n v="2150"/>
    <m/>
    <x v="0"/>
    <d v="2019-06-28T00:00:00"/>
    <n v="8000"/>
    <s v="Familia Barreto Pérez"/>
    <s v="bbetsa19@hotmail.com"/>
    <s v="Av. &quot;M&quot; Nro. 146-15"/>
    <s v="Cancelación Vigilancia, mes de Junio 2019"/>
    <x v="0"/>
    <m/>
    <s v="02150"/>
    <s v="28 de junio de 2019"/>
    <n v="28"/>
    <x v="31"/>
    <s v="8.000,00"/>
    <e v="#NAME?"/>
  </r>
  <r>
    <n v="2151"/>
    <m/>
    <x v="0"/>
    <d v="2019-06-28T00:00:00"/>
    <n v="11000"/>
    <s v="Familia Il Grande Franceschi"/>
    <s v="arcifran75@hotmail.com"/>
    <s v="Av. &quot;I&quot; Nro. 146-40"/>
    <s v="Cancelación Vigilancia, saldo mes de Mayo y mes de Junio 2019"/>
    <x v="0"/>
    <m/>
    <s v="02151"/>
    <s v="28 de junio de 2019"/>
    <n v="28"/>
    <x v="31"/>
    <s v="11.000,00"/>
    <e v="#NAME?"/>
  </r>
  <r>
    <n v="2152"/>
    <m/>
    <x v="0"/>
    <d v="2019-06-28T00:00:00"/>
    <n v="30000"/>
    <s v="Familia Hatem Medina"/>
    <s v="hhatem1@hotmail.com"/>
    <s v="Calle Guacara Nro. 88-51"/>
    <s v="Cancelación Vigilancia, meses de Junio, Julio y Agosto 2019"/>
    <x v="0"/>
    <m/>
    <s v="02152"/>
    <s v="28 de junio de 2019"/>
    <n v="28"/>
    <x v="31"/>
    <s v="30.000,00"/>
    <e v="#NAME?"/>
  </r>
  <r>
    <n v="2153"/>
    <m/>
    <x v="0"/>
    <d v="2019-06-28T00:00:00"/>
    <n v="5000"/>
    <s v="Silvia Power"/>
    <s v="spowermeneses@gmail.com"/>
    <s v="Calle Güigüe Nro. 89-16"/>
    <s v="Colaboración Vigilancia, mes de Junio 2019"/>
    <x v="0"/>
    <m/>
    <s v="02153"/>
    <s v="28 de junio de 2019"/>
    <n v="28"/>
    <x v="31"/>
    <s v="5.000,00"/>
    <e v="#NAME?"/>
  </r>
  <r>
    <n v="2154"/>
    <m/>
    <x v="0"/>
    <d v="2019-06-28T00:00:00"/>
    <n v="8000"/>
    <s v="Familia Triana González"/>
    <s v="En Físico"/>
    <s v="Calle Guacara Nro. 90-61"/>
    <s v="Cancelación Vigilancia, mes de Junio 2019"/>
    <x v="0"/>
    <m/>
    <s v="02154"/>
    <s v="28 de junio de 2019"/>
    <n v="28"/>
    <x v="31"/>
    <s v="8.000,00"/>
    <e v="#NAME?"/>
  </r>
  <r>
    <n v="2155"/>
    <m/>
    <x v="0"/>
    <d v="2019-06-30T00:00:00"/>
    <n v="8000"/>
    <s v="Zoraida Khair"/>
    <s v="zorakhair@hotmail.com | lbracamonte@netuno.net"/>
    <s v="Calle Güigüe Nro. 88-80"/>
    <s v="Cancelación Vigilancia, anticipo mes de Julio 2019"/>
    <x v="0"/>
    <m/>
    <s v="02155"/>
    <s v="30 de junio de 2019"/>
    <n v="30"/>
    <x v="31"/>
    <s v="8.000,00"/>
    <e v="#NAME?"/>
  </r>
  <r>
    <n v="2156"/>
    <m/>
    <x v="0"/>
    <d v="2019-06-29T00:00:00"/>
    <n v="16000"/>
    <s v="Familia Abbinante Pinto"/>
    <s v="abbinante47@gmail.com"/>
    <s v="Calle Güigüe Nro. 89-120"/>
    <s v="Cancelación Vigilancia, mes de Junio y anticipo mes de Julio 2019"/>
    <x v="0"/>
    <m/>
    <s v="02156"/>
    <s v="29 de junio de 2019"/>
    <n v="29"/>
    <x v="31"/>
    <s v="16.000,00"/>
    <e v="#NAME?"/>
  </r>
  <r>
    <n v="2157"/>
    <m/>
    <x v="0"/>
    <d v="2019-07-01T00:00:00"/>
    <n v="5000"/>
    <s v="Familia Rodríguez Landaeta"/>
    <s v="mrl58@hotmail.com"/>
    <s v="Calle Güigüe Nro. 89-29"/>
    <s v="Colaboración Vigilancia, mes de Julio 2019"/>
    <x v="0"/>
    <m/>
    <s v="02157"/>
    <s v="01 de julio de 2019"/>
    <n v="1"/>
    <x v="32"/>
    <s v="5.000,00"/>
    <e v="#NAME?"/>
  </r>
  <r>
    <n v="2158"/>
    <m/>
    <x v="0"/>
    <d v="2019-07-01T00:00:00"/>
    <n v="8000"/>
    <s v="Familia Flores Montagne"/>
    <s v="martaflores@gmail.com"/>
    <s v="Av. &quot;M&quot; Nro. 146-20"/>
    <s v="Cancelación Vigilancia, mes de Junio 2019"/>
    <x v="0"/>
    <m/>
    <s v="02158"/>
    <s v="01 de julio de 2019"/>
    <n v="1"/>
    <x v="32"/>
    <s v="8.000,00"/>
    <e v="#NAME?"/>
  </r>
  <r>
    <n v="2159"/>
    <m/>
    <x v="0"/>
    <d v="2019-07-01T00:00:00"/>
    <n v="10000"/>
    <s v="Chin Chun Ya (Goya)"/>
    <s v="uc2721@gmail.com"/>
    <s v="Calle Guacara Nro. 87-86"/>
    <s v="Cancelación Vigilancia, mes de Julio 2019"/>
    <x v="0"/>
    <m/>
    <s v="02159"/>
    <s v="01 de julio de 2019"/>
    <n v="1"/>
    <x v="32"/>
    <s v="10.000,00"/>
    <e v="#NAME?"/>
  </r>
  <r>
    <n v="2160"/>
    <m/>
    <x v="0"/>
    <d v="2019-07-01T00:00:00"/>
    <n v="10000"/>
    <s v="Familia Milanés Carmona"/>
    <s v="yndira11m@gmail.com"/>
    <s v="Calle Güigüe Nro. 89-65"/>
    <s v="Cancelación Vigilancia, mes de Julio 2019"/>
    <x v="0"/>
    <m/>
    <s v="02160"/>
    <s v="01 de julio de 2019"/>
    <n v="1"/>
    <x v="32"/>
    <s v="10.000,00"/>
    <e v="#NAME?"/>
  </r>
  <r>
    <n v="2161"/>
    <m/>
    <x v="0"/>
    <d v="2019-07-01T00:00:00"/>
    <n v="14300"/>
    <s v="Familia Fermín Rivas"/>
    <s v="angelferminb@gmail.com"/>
    <s v="Calle Güigüe Nro. 89-55"/>
    <s v="Cancelación Vigilancia, saldo mes de Julio y anticipo meses de Agosto y Septiembre 2019 (contra factura)"/>
    <x v="0"/>
    <m/>
    <s v="02161"/>
    <s v="01 de julio de 2019"/>
    <n v="1"/>
    <x v="32"/>
    <s v="14.300,00"/>
    <e v="#NAME?"/>
  </r>
  <r>
    <n v="2162"/>
    <m/>
    <x v="0"/>
    <d v="2019-07-02T00:00:00"/>
    <n v="8000"/>
    <s v="Familia Zavarce Pérez"/>
    <s v="En Físico"/>
    <s v="Calle Guacara Nro. 90-35"/>
    <s v="Cancelación Vigilancia, mes de Junio 2019"/>
    <x v="0"/>
    <m/>
    <s v="02162"/>
    <s v="02 de julio de 2019"/>
    <n v="2"/>
    <x v="32"/>
    <s v="8.000,00"/>
    <e v="#NAME?"/>
  </r>
  <r>
    <n v="2163"/>
    <m/>
    <x v="0"/>
    <d v="2019-07-02T00:00:00"/>
    <n v="10000"/>
    <s v="Sra. Reina Meléndez"/>
    <s v="olgajipe@gmail.com"/>
    <s v="Av. &quot;M&quot; Nro. 145-10"/>
    <s v="Cancelación Vigilancia, mes de Julio 2019"/>
    <x v="0"/>
    <m/>
    <s v="02163"/>
    <s v="02 de julio de 2019"/>
    <n v="2"/>
    <x v="32"/>
    <s v="10.000,00"/>
    <e v="#NAME?"/>
  </r>
  <r>
    <n v="2164"/>
    <m/>
    <x v="0"/>
    <d v="2019-07-02T00:00:00"/>
    <n v="10000"/>
    <s v="Familia Castro Jiménez"/>
    <s v="aurycastrojimenez@gmail.com"/>
    <s v="Calle Guacara Nro. 90-51"/>
    <s v="Cancelación Vigilancia, mes de Julio 2019"/>
    <x v="0"/>
    <m/>
    <s v="02164"/>
    <s v="02 de julio de 2019"/>
    <n v="2"/>
    <x v="32"/>
    <s v="10.000,00"/>
    <e v="#NAME?"/>
  </r>
  <r>
    <n v="2165"/>
    <m/>
    <x v="0"/>
    <d v="2019-07-02T00:00:00"/>
    <n v="10000"/>
    <s v="Familia Guerra Miret"/>
    <s v="antoniojguerrag@hotmail.com"/>
    <s v="Calle Güigüe Nro. 89-40"/>
    <s v="Cancelación Vigilancia, mes de Julio 2019"/>
    <x v="0"/>
    <m/>
    <s v="02165"/>
    <s v="02 de julio de 2019"/>
    <n v="2"/>
    <x v="32"/>
    <s v="10.000,00"/>
    <e v="#NAME?"/>
  </r>
  <r>
    <n v="2166"/>
    <m/>
    <x v="0"/>
    <d v="2019-07-03T00:00:00"/>
    <n v="10000"/>
    <s v="Santiago Varela"/>
    <s v="svg0583@gmail.com"/>
    <s v="Av. &quot;M&quot; Nro. 146-30"/>
    <s v="Cancelación Vigilancia, mes de Julio 2019"/>
    <x v="0"/>
    <m/>
    <s v="02166"/>
    <s v="03 de julio de 2019"/>
    <n v="3"/>
    <x v="32"/>
    <s v="10.000,00"/>
    <e v="#NAME?"/>
  </r>
  <r>
    <n v="2167"/>
    <m/>
    <x v="0"/>
    <d v="2019-07-04T00:00:00"/>
    <n v="8000"/>
    <s v="Familia Ozar Rivero"/>
    <s v="vanessarivero81@hotmail.com"/>
    <s v="Calle Güigüe Nro. 88-06"/>
    <s v="Cancelación Vigilancia, mes de Junio 2019"/>
    <x v="0"/>
    <m/>
    <s v="02167"/>
    <s v="04 de julio de 2019"/>
    <n v="4"/>
    <x v="32"/>
    <s v="8.000,00"/>
    <e v="#NAME?"/>
  </r>
  <r>
    <n v="2168"/>
    <m/>
    <x v="0"/>
    <d v="2019-07-04T00:00:00"/>
    <n v="8000"/>
    <s v="Familia Chan García"/>
    <s v="chanalberto10@hotmail.com | endrinagarciah@gmail.com"/>
    <s v="Calle Güigüe Nro. 89-106"/>
    <s v="Cancelación Vigilancia, mes de Junio 2019"/>
    <x v="0"/>
    <m/>
    <s v="02168"/>
    <s v="04 de julio de 2019"/>
    <n v="4"/>
    <x v="32"/>
    <s v="8.000,00"/>
    <e v="#NAME?"/>
  </r>
  <r>
    <n v="2169"/>
    <m/>
    <x v="0"/>
    <d v="2019-07-04T00:00:00"/>
    <n v="3000"/>
    <s v="Familia Chávez Hernández"/>
    <s v="mercedesch23@hotmail.com"/>
    <s v="Calle Güigüe Nro. 88-20"/>
    <s v="Colaboración Vigilancia, mes de Junio 2019"/>
    <x v="0"/>
    <m/>
    <s v="02169"/>
    <s v="04 de julio de 2019"/>
    <n v="4"/>
    <x v="32"/>
    <s v="3.000,00"/>
    <e v="#NAME?"/>
  </r>
  <r>
    <n v="2170"/>
    <m/>
    <x v="0"/>
    <d v="2019-07-07T00:00:00"/>
    <n v="10000"/>
    <s v="Familia Colosso Delgado"/>
    <s v="mcolosso@gmail.com"/>
    <s v="Calle Güigüe Nro. 88-44"/>
    <s v="Cancelación Vigilancia, mes de Julio 2019"/>
    <x v="0"/>
    <m/>
    <s v="02170"/>
    <s v="07 de julio de 2019"/>
    <n v="7"/>
    <x v="32"/>
    <s v="10.000,00"/>
    <e v="#NAME?"/>
  </r>
  <r>
    <n v="2171"/>
    <m/>
    <x v="0"/>
    <d v="2019-07-07T00:00:00"/>
    <n v="10000"/>
    <s v="Familia Arcia Polanco"/>
    <s v="misipo29@gmail.com"/>
    <s v="Calle Guacara Nro. 89-20"/>
    <s v="Cancelación Vigilancia, mes de Julio 2019"/>
    <x v="0"/>
    <m/>
    <s v="02171"/>
    <s v="07 de julio de 2019"/>
    <n v="7"/>
    <x v="32"/>
    <s v="10.000,00"/>
    <e v="#NAME?"/>
  </r>
  <r>
    <n v="2172"/>
    <m/>
    <x v="0"/>
    <d v="2019-07-07T00:00:00"/>
    <n v="10000"/>
    <s v="Amparo Acosta"/>
    <s v="amparonatividad@hotmail.com"/>
    <s v="Calle Guacara Nro. 88-65"/>
    <s v="Cancelación Vigilancia, mes de Julio 2019"/>
    <x v="0"/>
    <m/>
    <s v="02172"/>
    <s v="07 de julio de 2019"/>
    <n v="7"/>
    <x v="32"/>
    <s v="10.000,00"/>
    <e v="#NAME?"/>
  </r>
  <r>
    <n v="2173"/>
    <m/>
    <x v="0"/>
    <d v="2019-07-07T00:00:00"/>
    <n v="8000"/>
    <s v="Familia Piñero Padilla"/>
    <s v="achepaul2005@hotmail.com"/>
    <s v="Calle Güigüe Nro. 89-21"/>
    <s v="Cancelación Vigilancia, mes de Junio 2019"/>
    <x v="0"/>
    <m/>
    <s v="02173"/>
    <s v="07 de julio de 2019"/>
    <n v="7"/>
    <x v="32"/>
    <s v="8.000,00"/>
    <e v="#NAME?"/>
  </r>
  <r>
    <n v="2174"/>
    <m/>
    <x v="0"/>
    <d v="2019-07-07T00:00:00"/>
    <n v="10000"/>
    <s v="Familia Soto Urdaneta"/>
    <s v="esotom61@gmail.com"/>
    <s v="Calle Guacara Nro. 89-102"/>
    <s v="Cancelación Vigilancia, mes de Julio 2019"/>
    <x v="0"/>
    <m/>
    <s v="02174"/>
    <s v="07 de julio de 2019"/>
    <n v="7"/>
    <x v="32"/>
    <s v="10.000,00"/>
    <e v="#NAME?"/>
  </r>
  <r>
    <n v="2175"/>
    <m/>
    <x v="0"/>
    <d v="2019-07-08T00:00:00"/>
    <n v="10000"/>
    <s v="Familia Romero"/>
    <s v="autoescuela21@gmail.com"/>
    <s v="Calle Guacara Nro. 89-50"/>
    <s v="Cancelación Vigilancia, mes de Julio 2019"/>
    <x v="0"/>
    <m/>
    <s v="02175"/>
    <s v="08 de julio de 2019"/>
    <n v="8"/>
    <x v="32"/>
    <s v="10.000,00"/>
    <e v="#NAME?"/>
  </r>
  <r>
    <n v="2176"/>
    <m/>
    <x v="0"/>
    <d v="2019-07-08T00:00:00"/>
    <n v="10000"/>
    <s v="Familia Franco Gómez"/>
    <s v="eof64@hotmail.com"/>
    <s v="Calle Guacara Nro. 87-07"/>
    <s v="Cancelación Vigilancia, mes de Julio 2019"/>
    <x v="0"/>
    <m/>
    <s v="02176"/>
    <s v="08 de julio de 2019"/>
    <n v="8"/>
    <x v="32"/>
    <s v="10.000,00"/>
    <e v="#NAME?"/>
  </r>
  <r>
    <n v="2177"/>
    <m/>
    <x v="0"/>
    <d v="2019-07-08T00:00:00"/>
    <n v="10000"/>
    <s v="Héctor Hernández"/>
    <s v="eof64@hotmail.com"/>
    <s v="Calle Guacara Nro. 89-94"/>
    <s v="Cancelación Vigilancia, mes de Julio 2019"/>
    <x v="0"/>
    <m/>
    <s v="02177"/>
    <s v="08 de julio de 2019"/>
    <n v="8"/>
    <x v="32"/>
    <s v="10.000,00"/>
    <e v="#NAME?"/>
  </r>
  <r>
    <n v="2178"/>
    <m/>
    <x v="0"/>
    <d v="2019-07-09T00:00:00"/>
    <n v="10000"/>
    <s v="Victoria Francischiello"/>
    <s v="victoriafrancischiello@hotmail.com"/>
    <s v="Calle Guacara Nro. 88-25"/>
    <s v="Cancelación Vigilancia, mes de Julio 2019"/>
    <x v="0"/>
    <m/>
    <s v="02178"/>
    <s v="09 de julio de 2019"/>
    <n v="9"/>
    <x v="32"/>
    <s v="10.000,00"/>
    <e v="#NAME?"/>
  </r>
  <r>
    <n v="2179"/>
    <m/>
    <x v="0"/>
    <d v="2019-07-09T00:00:00"/>
    <n v="6000"/>
    <s v="Familia Méndez Parra"/>
    <s v="briceidademendez@gmail.com"/>
    <s v="Calle Guacara Nro. 88-19"/>
    <s v="Colaboración Vigilancia, mes de Julio 2019"/>
    <x v="0"/>
    <m/>
    <s v="02179"/>
    <s v="09 de julio de 2019"/>
    <n v="9"/>
    <x v="32"/>
    <s v="6.000,00"/>
    <e v="#NAME?"/>
  </r>
  <r>
    <n v="2180"/>
    <m/>
    <x v="0"/>
    <d v="2019-07-09T00:00:00"/>
    <n v="24000"/>
    <s v="Familia Cegarra Villamizar"/>
    <s v="jesus.villamizar.ra@gmail.com"/>
    <s v="Calle Guacara Nro. 88-35"/>
    <s v="Cancelación Vigilancia, meses de Mayo y Junio 2019 y anticipo mes de Julio 2019"/>
    <x v="0"/>
    <m/>
    <s v="02180"/>
    <s v="09 de julio de 2019"/>
    <n v="9"/>
    <x v="32"/>
    <s v="24.000,00"/>
    <e v="#NAME?"/>
  </r>
  <r>
    <n v="2181"/>
    <m/>
    <x v="0"/>
    <d v="2019-07-09T00:00:00"/>
    <n v="2000"/>
    <s v="Familia Cegarra Villamizar"/>
    <s v="jesus.villamizar.ra@gmail.com"/>
    <s v="Calle Guacara Nro. 88-35"/>
    <s v="Cancelación Vigilancia, saldo mes de Julio 2019"/>
    <x v="0"/>
    <m/>
    <s v="02181"/>
    <s v="09 de julio de 2019"/>
    <n v="9"/>
    <x v="32"/>
    <s v="2.000,00"/>
    <e v="#NAME?"/>
  </r>
  <r>
    <n v="2182"/>
    <m/>
    <x v="0"/>
    <d v="2019-07-10T00:00:00"/>
    <n v="10000"/>
    <s v="Familia Del Negro Palermo"/>
    <s v="vdelnegro@gmail.com"/>
    <s v="Calle Guacara Nro. 88-45"/>
    <s v="Cancelación Vigilancia, mes de Julio 2019 (saldo a favor: Bs. 69.862,95)"/>
    <x v="0"/>
    <m/>
    <s v="02182"/>
    <s v="10 de julio de 2019"/>
    <n v="10"/>
    <x v="32"/>
    <s v="10.000,00"/>
    <e v="#NAME?"/>
  </r>
  <r>
    <n v="2183"/>
    <m/>
    <x v="0"/>
    <d v="2019-07-10T00:00:00"/>
    <n v="10000"/>
    <s v="Familia Wu Acevedo"/>
    <s v="rudyacevedo90@gmail.com"/>
    <s v="Calle Guacara Nro. 88-A-10"/>
    <s v="Cancelación Vigilancia, mes de Julio 2019 (saldo a favor: Bs. 26.005,80)"/>
    <x v="0"/>
    <m/>
    <s v="02183"/>
    <s v="10 de julio de 2019"/>
    <n v="10"/>
    <x v="32"/>
    <s v="10.000,00"/>
    <e v="#NAME?"/>
  </r>
  <r>
    <n v="2184"/>
    <m/>
    <x v="0"/>
    <d v="2019-07-10T00:00:00"/>
    <n v="10000"/>
    <s v="Familia López Hermoso"/>
    <s v="lopez.humberto14@yahoo.com.ve"/>
    <s v="Calle Güigüe Nro. 89-79"/>
    <s v="Cancelación Vigilancia, mes de Julio 2019 (saldo a favor: Bs. 30.000,00)"/>
    <x v="0"/>
    <m/>
    <s v="02184"/>
    <s v="10 de julio de 2019"/>
    <n v="10"/>
    <x v="32"/>
    <s v="10.000,00"/>
    <e v="#NAME?"/>
  </r>
  <r>
    <n v="2185"/>
    <m/>
    <x v="0"/>
    <d v="2019-07-09T00:00:00"/>
    <n v="10000"/>
    <s v="Ma. de Jesus Alonso"/>
    <s v="alonsojg@gmail.com"/>
    <s v="Calle Güigüe Nro. 88-30"/>
    <s v="Cancelación Vigilancia, mes de Julio 2019"/>
    <x v="0"/>
    <m/>
    <s v="02185"/>
    <s v="09 de julio de 2019"/>
    <n v="9"/>
    <x v="32"/>
    <s v="10.000,00"/>
    <e v="#NAME?"/>
  </r>
  <r>
    <n v="2186"/>
    <m/>
    <x v="0"/>
    <d v="2019-07-10T00:00:00"/>
    <n v="10000"/>
    <s v="Amarilis Guerra"/>
    <s v="amarilisguerra1@yahoo.com"/>
    <s v="Calle Güigüe Nro. 89-96"/>
    <s v="Cancelación Vigilancia, mes de Julio 2019"/>
    <x v="0"/>
    <m/>
    <s v="02186"/>
    <s v="10 de julio de 2019"/>
    <n v="10"/>
    <x v="32"/>
    <s v="10.000,00"/>
    <e v="#NAME?"/>
  </r>
  <r>
    <n v="2187"/>
    <m/>
    <x v="0"/>
    <d v="2019-07-11T00:00:00"/>
    <n v="8000"/>
    <s v="Familia Manrique Riera"/>
    <s v="patriciamanrique@gmail.com"/>
    <s v="Calle Guacara Nro. 89-40"/>
    <s v="Cancelación Vigilancia, anticipo mes de Julio 2019"/>
    <x v="0"/>
    <m/>
    <s v="02187"/>
    <s v="11 de julio de 2019"/>
    <n v="11"/>
    <x v="32"/>
    <s v="8.000,00"/>
    <e v="#NAME?"/>
  </r>
  <r>
    <n v="2188"/>
    <m/>
    <x v="0"/>
    <d v="2019-07-11T00:00:00"/>
    <n v="2000"/>
    <s v="Familia Manrique Riera"/>
    <s v="patriciamanrique@gmail.com"/>
    <s v="Calle Guacara Nro. 89-40"/>
    <s v="Cancelación Vigilancia, saldo mes de Julio 2019"/>
    <x v="0"/>
    <m/>
    <s v="02188"/>
    <s v="11 de julio de 2019"/>
    <n v="11"/>
    <x v="32"/>
    <s v="2.000,00"/>
    <e v="#NAME?"/>
  </r>
  <r>
    <n v="2189"/>
    <m/>
    <x v="0"/>
    <d v="2019-07-11T00:00:00"/>
    <n v="18000"/>
    <s v="Familia Kattar González"/>
    <s v="jagiak123@yahoo.es"/>
    <s v="Calle Güigüe Nro. 89-95"/>
    <s v="Cancelación Vigilancia, meses de Junio y Julio 2019"/>
    <x v="0"/>
    <m/>
    <s v="02189"/>
    <s v="11 de julio de 2019"/>
    <n v="11"/>
    <x v="32"/>
    <s v="18.000,00"/>
    <e v="#NAME?"/>
  </r>
  <r>
    <n v="2190"/>
    <m/>
    <x v="0"/>
    <d v="2019-07-14T00:00:00"/>
    <n v="10000"/>
    <s v="Familia Lomeña Agudo"/>
    <s v="claudialomena@hotmail.com"/>
    <s v="Calle Guacara Nro. 89-30"/>
    <s v="Cancelación Vigilancia, mes de Julio 2019"/>
    <x v="0"/>
    <m/>
    <s v="02190"/>
    <s v="14 de julio de 2019"/>
    <n v="14"/>
    <x v="32"/>
    <s v="10.000,00"/>
    <e v="#NAME?"/>
  </r>
  <r>
    <n v="2191"/>
    <m/>
    <x v="0"/>
    <d v="2019-07-14T00:00:00"/>
    <n v="10000"/>
    <s v="Dra. Lilia Magallanes"/>
    <s v="liliamagallanes2010@gmail.com"/>
    <s v="Calle Güigüe Nro. 88-51"/>
    <s v="Cancelación Vigilancia, mes de Julio 2019"/>
    <x v="0"/>
    <m/>
    <s v="02191"/>
    <s v="14 de julio de 2019"/>
    <n v="14"/>
    <x v="32"/>
    <s v="10.000,00"/>
    <e v="#NAME?"/>
  </r>
  <r>
    <n v="2192"/>
    <m/>
    <x v="0"/>
    <d v="2019-07-15T00:00:00"/>
    <n v="10000"/>
    <s v="Beatriz Lara"/>
    <s v="valentina.gutierrez@hotmail.com"/>
    <s v="Calle Guacara Nro. 89-130"/>
    <s v="Cancelación Vigilancia, mes de Julio 2019"/>
    <x v="0"/>
    <m/>
    <s v="02192"/>
    <s v="15 de julio de 2019"/>
    <n v="15"/>
    <x v="32"/>
    <s v="10.000,00"/>
    <e v="#NAME?"/>
  </r>
  <r>
    <n v="2193"/>
    <m/>
    <x v="0"/>
    <d v="2019-07-15T00:00:00"/>
    <n v="10000"/>
    <s v="Familia Díaz González"/>
    <s v="luisrdt57@gmail.com"/>
    <s v="Calle Güigüe Nro. 88-116"/>
    <s v="Cancelación Vigilancia, mes de Julio 2019"/>
    <x v="0"/>
    <m/>
    <s v="02193"/>
    <s v="15 de julio de 2019"/>
    <n v="15"/>
    <x v="32"/>
    <s v="10.000,00"/>
    <e v="#NAME?"/>
  </r>
  <r>
    <n v="2194"/>
    <m/>
    <x v="0"/>
    <d v="2019-07-15T00:00:00"/>
    <n v="8000"/>
    <s v="Familia Martínez Boada"/>
    <s v="florcitakmz@gmail.com"/>
    <s v="Calle Güigüe Nro. 88-62"/>
    <s v="Cancelación Vigilancia, mes de Junio 2019"/>
    <x v="0"/>
    <m/>
    <s v="02194"/>
    <s v="15 de julio de 2019"/>
    <n v="15"/>
    <x v="32"/>
    <s v="8.000,00"/>
    <e v="#NAME?"/>
  </r>
  <r>
    <n v="2195"/>
    <m/>
    <x v="0"/>
    <d v="2019-07-17T00:00:00"/>
    <n v="10000"/>
    <s v="Familia Acosta Carpio"/>
    <s v="pablo962@hotmail.com"/>
    <s v="Calle Güigüe Nro. 89-10"/>
    <s v="Cancelación Vigilancia, mes de Julio 2019"/>
    <x v="0"/>
    <m/>
    <s v="02195"/>
    <s v="17 de julio de 2019"/>
    <n v="17"/>
    <x v="32"/>
    <s v="10.000,00"/>
    <e v="#NAME?"/>
  </r>
  <r>
    <n v="2196"/>
    <m/>
    <x v="0"/>
    <d v="2019-07-18T00:00:00"/>
    <n v="10000"/>
    <s v="Familia Machado Stoppa"/>
    <s v="machadoru@hotmail.com"/>
    <s v="Calle Guacara Nro. 88-85"/>
    <s v="Cancelación Vigilancia, mes de Julio 2019"/>
    <x v="0"/>
    <m/>
    <s v="02196"/>
    <s v="18 de julio de 2019"/>
    <n v="18"/>
    <x v="32"/>
    <s v="10.000,00"/>
    <e v="#NAME?"/>
  </r>
  <r>
    <n v="2197"/>
    <m/>
    <x v="0"/>
    <d v="2019-07-18T00:00:00"/>
    <n v="10000"/>
    <s v="Familia Costermani Terrer"/>
    <s v="claudiacostermani@hotmail.com"/>
    <s v="Calle Güigüe Nro. 88-11"/>
    <s v="Cancelación Vigilancia, mes de Julio 2019"/>
    <x v="0"/>
    <m/>
    <s v="02197"/>
    <s v="18 de julio de 2019"/>
    <n v="18"/>
    <x v="32"/>
    <s v="10.000,00"/>
    <e v="#NAME?"/>
  </r>
  <r>
    <n v="2198"/>
    <m/>
    <x v="0"/>
    <d v="2019-07-18T00:00:00"/>
    <n v="10000"/>
    <s v="Familia Kablan Sarmiento"/>
    <s v="norisjsb56@hotmail.com"/>
    <s v="Calle Güigüe Nro. 89-80"/>
    <s v="Cancelación Vigilancia, mes de Julio 2019"/>
    <x v="0"/>
    <m/>
    <s v="02198"/>
    <s v="18 de julio de 2019"/>
    <n v="18"/>
    <x v="32"/>
    <s v="10.000,00"/>
    <e v="#NAME?"/>
  </r>
  <r>
    <n v="2199"/>
    <m/>
    <x v="0"/>
    <d v="2019-07-18T00:00:00"/>
    <n v="20000"/>
    <s v="Jocsan Orta Correa"/>
    <s v="carlos_arturox@hotmail.com"/>
    <s v="Av. &quot;L&quot; anexo de Los Tronquitos"/>
    <s v="Cancelación Vigilancia, meses de Julio y Agosto 2019"/>
    <x v="0"/>
    <m/>
    <s v="02199"/>
    <s v="18 de julio de 2019"/>
    <n v="18"/>
    <x v="32"/>
    <s v="20.000,00"/>
    <e v="#NAME?"/>
  </r>
  <r>
    <n v="2200"/>
    <m/>
    <x v="0"/>
    <d v="2019-07-20T00:00:00"/>
    <n v="10000"/>
    <s v="Familia Loponte Arteaga"/>
    <s v="En Físico"/>
    <s v="Calle Güigüe Nro. 88-120"/>
    <s v="Cancelación Vigilancia, mes de Julio 2019"/>
    <x v="0"/>
    <m/>
    <s v="02200"/>
    <s v="20 de julio de 2019"/>
    <n v="20"/>
    <x v="32"/>
    <s v="10.000,00"/>
    <e v="#NAME?"/>
  </r>
  <r>
    <n v="2201"/>
    <m/>
    <x v="0"/>
    <d v="2019-07-21T00:00:00"/>
    <n v="8000"/>
    <s v="Familia Gascón Domínguez"/>
    <s v="vrgascon@gmail.com"/>
    <s v="Calle Güigüe Nro. 88-70"/>
    <s v="Cancelación Vigilancia, anticipo mes de Julio 2019"/>
    <x v="0"/>
    <m/>
    <s v="02201"/>
    <s v="21 de julio de 2019"/>
    <n v="21"/>
    <x v="32"/>
    <s v="8.000,00"/>
    <e v="#NAME?"/>
  </r>
  <r>
    <n v="2202"/>
    <m/>
    <x v="0"/>
    <d v="2019-07-22T00:00:00"/>
    <n v="2000"/>
    <s v="Familia Gascón Domínguez"/>
    <s v="vrgascon@gmail.com"/>
    <s v="Calle Güigüe Nro. 88-70"/>
    <s v="Cancelación Vigilancia, saldo mes de Julio 2019"/>
    <x v="0"/>
    <m/>
    <s v="02202"/>
    <s v="22 de julio de 2019"/>
    <n v="22"/>
    <x v="32"/>
    <s v="2.000,00"/>
    <e v="#NAME?"/>
  </r>
  <r>
    <n v="2203"/>
    <m/>
    <x v="0"/>
    <d v="2019-07-23T00:00:00"/>
    <n v="10000"/>
    <s v="Familia Zavarce Pérez"/>
    <s v="En Físico"/>
    <s v="Calle Guacara Nro. 90-35"/>
    <s v="Cancelación Vigilancia, mes de Julio 2019"/>
    <x v="0"/>
    <m/>
    <s v="02203"/>
    <s v="23 de julio de 2019"/>
    <n v="23"/>
    <x v="32"/>
    <s v="10.000,00"/>
    <e v="#NAME?"/>
  </r>
  <r>
    <n v="2204"/>
    <m/>
    <x v="0"/>
    <d v="2019-07-23T00:00:00"/>
    <n v="10000"/>
    <s v="Familia Rodríguez Girón"/>
    <s v="daniellegt4@gmail.com"/>
    <s v="Calle Güigüe Nro. 89-22"/>
    <s v="Cancelación Vigilancia, mes de Julio 2019"/>
    <x v="0"/>
    <m/>
    <s v="02204"/>
    <s v="23 de julio de 2019"/>
    <n v="23"/>
    <x v="32"/>
    <s v="10.000,00"/>
    <e v="#NAME?"/>
  </r>
  <r>
    <n v="2205"/>
    <m/>
    <x v="0"/>
    <d v="2019-07-24T00:00:00"/>
    <n v="10000"/>
    <s v="Familia Navarro Assing"/>
    <s v="liliaassing@gmail.com"/>
    <s v="Calle Güigüe Nro. 88-54"/>
    <s v="Cancelación Vigilancia, mes de Julio 2019"/>
    <x v="0"/>
    <m/>
    <s v="02205"/>
    <s v="24 de julio de 2019"/>
    <n v="24"/>
    <x v="32"/>
    <s v="10.000,00"/>
    <e v="#NAME?"/>
  </r>
  <r>
    <n v="2206"/>
    <m/>
    <x v="0"/>
    <d v="2019-07-24T00:00:00"/>
    <n v="29000"/>
    <s v="Colegio El Trigal"/>
    <s v="En Físico"/>
    <s v="Calle Güigüe Nros. 88-71 y 88-81"/>
    <s v="Cancelación Vigilancia, meses de Julio y Agosto 2019"/>
    <x v="0"/>
    <m/>
    <s v="02206"/>
    <s v="24 de julio de 2019"/>
    <n v="24"/>
    <x v="32"/>
    <s v="29.000,00"/>
    <e v="#NAME?"/>
  </r>
  <r>
    <n v="2207"/>
    <m/>
    <x v="0"/>
    <d v="2019-07-25T00:00:00"/>
    <n v="8000"/>
    <s v="Familia Romero"/>
    <s v="autoescuela21@gmail.com"/>
    <s v="Calle Guacara Nro. 89-50"/>
    <s v="Cancelación Vigilancia, mes de Junio 2019"/>
    <x v="0"/>
    <m/>
    <s v="02207"/>
    <s v="25 de julio de 2019"/>
    <n v="25"/>
    <x v="32"/>
    <s v="8.000,00"/>
    <e v="#NAME?"/>
  </r>
  <r>
    <n v="2208"/>
    <m/>
    <x v="0"/>
    <d v="2019-07-25T00:00:00"/>
    <n v="10000"/>
    <s v="Familia Matta Palomino"/>
    <s v="En Físico"/>
    <s v="Calle Güigüe Nro. 88-90"/>
    <s v="Cancelación Vigilancia, mes de Julio 2019"/>
    <x v="0"/>
    <m/>
    <s v="02208"/>
    <s v="25 de julio de 2019"/>
    <n v="25"/>
    <x v="32"/>
    <s v="10.000,00"/>
    <e v="#NAME?"/>
  </r>
  <r>
    <n v="2209"/>
    <m/>
    <x v="0"/>
    <d v="2019-07-25T00:00:00"/>
    <n v="10000"/>
    <s v="Familia Narváez Caldera"/>
    <s v="jeannette_nc@yahoo.com"/>
    <s v="Calle Güigüe Nro. 87-A-11"/>
    <s v="Cancelación Vigilancia, mes de Julio 2019"/>
    <x v="0"/>
    <m/>
    <s v="02209"/>
    <s v="25 de julio de 2019"/>
    <n v="25"/>
    <x v="32"/>
    <s v="10.000,00"/>
    <e v="#NAME?"/>
  </r>
  <r>
    <n v="2210"/>
    <m/>
    <x v="0"/>
    <d v="2019-07-25T00:00:00"/>
    <n v="10000"/>
    <s v="Familia Triana González"/>
    <s v="En Físico"/>
    <s v="Calle Guacara Nro. 90-61"/>
    <s v="Cancelación Vigilancia, mes de Julio 2019"/>
    <x v="0"/>
    <m/>
    <s v="02210"/>
    <s v="25 de julio de 2019"/>
    <n v="25"/>
    <x v="32"/>
    <s v="10.000,00"/>
    <e v="#NAME?"/>
  </r>
  <r>
    <n v="2211"/>
    <m/>
    <x v="0"/>
    <d v="2019-07-25T00:00:00"/>
    <n v="20000"/>
    <s v="Familia Ferrer Bahri"/>
    <s v="bahrimariela@hotmail.com"/>
    <s v="Calle Güigüe Nro. 89-83"/>
    <s v="Cancelación Vigilancia, mes de Julio 2019"/>
    <x v="0"/>
    <m/>
    <s v="02211"/>
    <s v="25 de julio de 2019"/>
    <n v="25"/>
    <x v="32"/>
    <s v="20.000,00"/>
    <e v="#NAME?"/>
  </r>
  <r>
    <n v="2212"/>
    <m/>
    <x v="0"/>
    <d v="2019-07-25T00:00:00"/>
    <n v="10000"/>
    <s v="Zoraida Khair"/>
    <s v="zorakhair@hotmail.com | lbracamonte@netuno.net"/>
    <s v="Calle Güigüe Nro. 88-80"/>
    <s v="Cancelación Vigilancia, mes de Agosto 2019"/>
    <x v="0"/>
    <m/>
    <s v="02212"/>
    <s v="25 de julio de 2019"/>
    <n v="25"/>
    <x v="32"/>
    <s v="10.000,00"/>
    <e v="#NAME?"/>
  </r>
  <r>
    <n v="2213"/>
    <m/>
    <x v="0"/>
    <d v="2019-07-03T00:00:00"/>
    <n v="10000"/>
    <s v="Carmen Moreno"/>
    <s v="carmenemoreno10@gmail.com"/>
    <s v="Calle Güigüe Nro. 89-04"/>
    <s v="Cancelación Vigilancia, mes de Julio 2019"/>
    <x v="0"/>
    <m/>
    <s v="02213"/>
    <s v="03 de julio de 2019"/>
    <n v="3"/>
    <x v="32"/>
    <s v="10.000,00"/>
    <e v="#NAME?"/>
  </r>
  <r>
    <n v="2214"/>
    <m/>
    <x v="0"/>
    <d v="2019-07-26T00:00:00"/>
    <n v="10000"/>
    <s v="Familia Jiménez Navarro"/>
    <s v="joyasonline2012@gmail.com"/>
    <s v="Calle Güigüe Nro. 88-50"/>
    <s v="Cancelación Vigilancia, mes de Julio 2019"/>
    <x v="0"/>
    <m/>
    <s v="02214"/>
    <s v="26 de julio de 2019"/>
    <n v="26"/>
    <x v="32"/>
    <s v="10.000,00"/>
    <e v="#NAME?"/>
  </r>
  <r>
    <n v="2215"/>
    <m/>
    <x v="0"/>
    <d v="2019-07-26T00:00:00"/>
    <n v="15000"/>
    <s v="Familia Durvelle Serrano"/>
    <s v="sdurvelle@hotmail.com"/>
    <s v="Calle Guacara Nro. 89-60"/>
    <s v="Cancelación Vigilancia, mes de Julio 2019"/>
    <x v="0"/>
    <m/>
    <s v="02215"/>
    <s v="26 de julio de 2019"/>
    <n v="26"/>
    <x v="32"/>
    <s v="15.000,00"/>
    <e v="#NAME?"/>
  </r>
  <r>
    <n v="2216"/>
    <m/>
    <x v="0"/>
    <d v="2019-07-26T00:00:00"/>
    <n v="3500"/>
    <s v="Silvia Power"/>
    <s v="spowermeneses@gmail.com"/>
    <s v="Calle Güigüe Nro. 89-16"/>
    <s v="Colaboración Vigilancia, mes de Julio 2019"/>
    <x v="0"/>
    <m/>
    <s v="02216"/>
    <s v="26 de julio de 2019"/>
    <n v="26"/>
    <x v="32"/>
    <s v="3.500,00"/>
    <e v="#NAME?"/>
  </r>
  <r>
    <n v="2217"/>
    <m/>
    <x v="0"/>
    <d v="2019-07-26T00:00:00"/>
    <n v="10000"/>
    <s v="Familia Sirit Palencia"/>
    <s v="irasirit@gmail.com"/>
    <s v="Calle Güigüe Nro. 89-35"/>
    <s v="Cancelación Vigilancia, mes de Julio 2019"/>
    <x v="0"/>
    <m/>
    <s v="02217"/>
    <s v="26 de julio de 2019"/>
    <n v="26"/>
    <x v="32"/>
    <s v="10.000,00"/>
    <e v="#NAME?"/>
  </r>
  <r>
    <n v="2218"/>
    <m/>
    <x v="0"/>
    <d v="2019-07-27T00:00:00"/>
    <n v="6000"/>
    <s v="Familia Chávez Hernández"/>
    <s v="mercedesch23@hotmail.com"/>
    <s v="Calle Güigüe Nro. 88-20"/>
    <s v="Colaboración Vigilancia, mes de Julio 2019"/>
    <x v="0"/>
    <m/>
    <s v="02218"/>
    <s v="27 de julio de 2019"/>
    <n v="27"/>
    <x v="32"/>
    <s v="6.000,00"/>
    <e v="#NAME?"/>
  </r>
  <r>
    <n v="2219"/>
    <m/>
    <x v="0"/>
    <d v="2019-07-28T00:00:00"/>
    <n v="20000"/>
    <s v="Familia Montilla García"/>
    <s v="dairy252525@hotmail.com"/>
    <s v="Calle Güigüe Nro. 89-90"/>
    <s v="Cancelación Vigilancia, meses de Julio y Agosto 2019"/>
    <x v="0"/>
    <m/>
    <s v="02219"/>
    <s v="28 de julio de 2019"/>
    <n v="28"/>
    <x v="32"/>
    <s v="20.000,00"/>
    <e v="#NAME?"/>
  </r>
  <r>
    <n v="2220"/>
    <m/>
    <x v="0"/>
    <d v="2019-07-29T00:00:00"/>
    <n v="20000"/>
    <s v="Familia Ochoa Mendoza"/>
    <s v="marisoljudithm@hotmail.com"/>
    <s v="Calle Guacara Nro. 89-130"/>
    <s v="Cancelación Vigilancia, meses de Julio y Agosto 2019"/>
    <x v="0"/>
    <m/>
    <s v="02220"/>
    <s v="29 de julio de 2019"/>
    <n v="29"/>
    <x v="32"/>
    <s v="20.000,00"/>
    <e v="#NAME?"/>
  </r>
  <r>
    <n v="2221"/>
    <m/>
    <x v="0"/>
    <d v="2019-07-29T00:00:00"/>
    <n v="10000"/>
    <s v="Andrea Valor"/>
    <s v="aavp992@gmail.com"/>
    <s v="Calle Guacara Nro. 88-75"/>
    <s v="Cancelación Vigilancia, mes de Julio 2019"/>
    <x v="0"/>
    <m/>
    <s v="02221"/>
    <s v="29 de julio de 2019"/>
    <n v="29"/>
    <x v="32"/>
    <s v="10.000,00"/>
    <e v="#NAME?"/>
  </r>
  <r>
    <n v="2222"/>
    <m/>
    <x v="0"/>
    <d v="2019-07-29T00:00:00"/>
    <n v="10000"/>
    <s v="Familia Castillo Mena"/>
    <s v="emmecas@hotmail.com"/>
    <s v="Calle Güigüe Nro. 88-101"/>
    <s v="Cancelación Vigilancia, mes de Julio 2019"/>
    <x v="0"/>
    <m/>
    <s v="02222"/>
    <s v="29 de julio de 2019"/>
    <n v="29"/>
    <x v="32"/>
    <s v="10.000,00"/>
    <e v="#NAME?"/>
  </r>
  <r>
    <n v="2223"/>
    <m/>
    <x v="0"/>
    <d v="2019-07-17T00:00:00"/>
    <n v="10000"/>
    <s v="Familia Rodríguez Aular"/>
    <s v="mvaular@hotmail.com"/>
    <s v="Calle Güigüe Nro. 88-58"/>
    <s v="Cancelación Vigilancia, mes de Julio 2019"/>
    <x v="0"/>
    <m/>
    <s v="02223"/>
    <s v="17 de julio de 2019"/>
    <n v="17"/>
    <x v="32"/>
    <s v="10.000,00"/>
    <e v="#NAME?"/>
  </r>
  <r>
    <n v="2224"/>
    <m/>
    <x v="0"/>
    <d v="2019-07-30T00:00:00"/>
    <n v="20000"/>
    <s v="Familia Puerta Burguillos"/>
    <s v="namaricakes@gmail.com"/>
    <s v="Calle Guacara Nro. 87-100"/>
    <s v="Cancelación Vigilancia, meses de Julio y Agosto 2019"/>
    <x v="0"/>
    <m/>
    <s v="02224"/>
    <s v="30 de julio de 2019"/>
    <n v="30"/>
    <x v="32"/>
    <s v="20.000,00"/>
    <e v="#NAME?"/>
  </r>
  <r>
    <n v="2225"/>
    <m/>
    <x v="0"/>
    <d v="2019-07-30T00:00:00"/>
    <n v="10000"/>
    <s v="Familia Chan García"/>
    <s v="chanalberto10@hotmail.com | endrinagarciah@gmail.com"/>
    <s v="Calle Güigüe Nro. 89-106"/>
    <s v="Cancelación Vigilancia, mes de Julio 2019"/>
    <x v="0"/>
    <m/>
    <s v="02225"/>
    <s v="30 de julio de 2019"/>
    <n v="30"/>
    <x v="32"/>
    <s v="10.000,00"/>
    <e v="#NAME?"/>
  </r>
  <r>
    <n v="2226"/>
    <m/>
    <x v="0"/>
    <d v="2019-07-30T00:00:00"/>
    <n v="10000"/>
    <s v="Familia Barreto Pérez"/>
    <s v="bbetsa19@hotmail.com"/>
    <s v="Av. &quot;M&quot; Nro. 146-15"/>
    <s v="Cancelación Vigilancia, mes de Julio 2019"/>
    <x v="0"/>
    <m/>
    <s v="02226"/>
    <s v="30 de julio de 2019"/>
    <n v="30"/>
    <x v="32"/>
    <s v="10.000,00"/>
    <e v="#NAME?"/>
  </r>
  <r>
    <n v="2227"/>
    <m/>
    <x v="0"/>
    <d v="2019-07-31T00:00:00"/>
    <n v="18000"/>
    <s v="Familia Astor Zamora"/>
    <s v="imzastor@gmail.com"/>
    <s v="Calle Güigüe Nro. 88-111"/>
    <s v="Cancelación Vigilancia, meses de Junio y Julio 2019"/>
    <x v="0"/>
    <m/>
    <s v="02227"/>
    <s v="31 de julio de 2019"/>
    <n v="31"/>
    <x v="32"/>
    <s v="18.000,00"/>
    <e v="#NAME?"/>
  </r>
  <r>
    <n v="2228"/>
    <m/>
    <x v="0"/>
    <d v="2019-07-31T00:00:00"/>
    <n v="10000"/>
    <s v="Familia Alonso Rojas"/>
    <s v="redjc01@gmail.com"/>
    <s v="Calle Güigüe Nro. 89-54"/>
    <s v="Cancelación Vigilancia, mes de Agosto 2019"/>
    <x v="0"/>
    <m/>
    <s v="02228"/>
    <s v="31 de julio de 2019"/>
    <n v="31"/>
    <x v="32"/>
    <s v="10.000,00"/>
    <e v="#NAME?"/>
  </r>
  <r>
    <n v="2229"/>
    <m/>
    <x v="0"/>
    <d v="2019-08-01T00:00:00"/>
    <n v="10000"/>
    <s v="Familia Colosso Delgado"/>
    <s v="mcolosso@gmail.com"/>
    <s v="Calle Güigüe Nro. 88-44"/>
    <s v="Cancelación Vigilancia, mes de Agosto 2019"/>
    <x v="0"/>
    <m/>
    <s v="02229"/>
    <s v="01 de agosto de 2019"/>
    <n v="1"/>
    <x v="33"/>
    <s v="10.000,00"/>
    <e v="#NAME?"/>
  </r>
  <r>
    <n v="2230"/>
    <m/>
    <x v="0"/>
    <d v="2019-08-01T00:00:00"/>
    <n v="10000"/>
    <s v="Sra. Reina Meléndez"/>
    <s v="olgajipe@gmail.com"/>
    <s v="Av. &quot;M&quot; Nro. 145-10"/>
    <s v="Cancelación Vigilancia, mes de Agosto 2019"/>
    <x v="0"/>
    <m/>
    <s v="02230"/>
    <s v="01 de agosto de 2019"/>
    <n v="1"/>
    <x v="33"/>
    <s v="10.000,00"/>
    <e v="#NAME?"/>
  </r>
  <r>
    <n v="2231"/>
    <m/>
    <x v="0"/>
    <d v="2019-08-01T00:00:00"/>
    <n v="20000"/>
    <s v="Ana de González"/>
    <s v="mikelnowak25@gmail.com"/>
    <s v="Av. &quot;O&quot; Nro. 146-17"/>
    <s v="Cancelación Vigilancia, meses de Julio y Agosto 2019"/>
    <x v="0"/>
    <m/>
    <s v="02231"/>
    <s v="01 de agosto de 2019"/>
    <n v="1"/>
    <x v="33"/>
    <s v="20.000,00"/>
    <e v="#NAME?"/>
  </r>
  <r>
    <n v="2232"/>
    <m/>
    <x v="0"/>
    <d v="2019-08-01T00:00:00"/>
    <n v="15000"/>
    <s v="Familia Nava Gordon"/>
    <s v="maru_19_66@hotmail.com"/>
    <s v="Calle Guacara Nro. 89-78"/>
    <s v="Cancelación Vigilancia, mes de Agosto 2019"/>
    <x v="0"/>
    <m/>
    <s v="02232"/>
    <s v="01 de agosto de 2019"/>
    <n v="1"/>
    <x v="33"/>
    <s v="15.000,00"/>
    <e v="#NAME?"/>
  </r>
  <r>
    <n v="2233"/>
    <m/>
    <x v="0"/>
    <d v="2019-08-02T00:00:00"/>
    <n v="10000"/>
    <s v="Gloria Molina"/>
    <s v="glomola2@yahoo.es"/>
    <s v="Calle Güigüe Nro. 89-71"/>
    <s v="Cancelación Vigilancia, mes de Julio 2019"/>
    <x v="0"/>
    <m/>
    <s v="02233"/>
    <s v="02 de agosto de 2019"/>
    <n v="2"/>
    <x v="33"/>
    <s v="10.000,00"/>
    <e v="#NAME?"/>
  </r>
  <r>
    <n v="2234"/>
    <m/>
    <x v="0"/>
    <d v="2019-07-03T00:00:00"/>
    <n v="10000"/>
    <s v="Familia Guerra Miret"/>
    <s v="antoniojguerrag@hotmail.com"/>
    <s v="Calle Güigüe Nro. 89-40"/>
    <s v="Cancelación Vigilancia, mes de Agosto 2019"/>
    <x v="0"/>
    <m/>
    <s v="02234"/>
    <s v="03 de julio de 2019"/>
    <n v="3"/>
    <x v="32"/>
    <s v="10.000,00"/>
    <e v="#NAME?"/>
  </r>
  <r>
    <n v="2235"/>
    <m/>
    <x v="0"/>
    <d v="2019-08-04T00:00:00"/>
    <n v="6000"/>
    <s v="Familia Méndez Parra"/>
    <s v="briceidademendez@gmail.com"/>
    <s v="Calle Guacara Nro. 88-19"/>
    <s v="Colaboración Vigilancia, mes de Agosto 2019"/>
    <x v="0"/>
    <m/>
    <s v="02235"/>
    <s v="04 de agosto de 2019"/>
    <n v="4"/>
    <x v="33"/>
    <s v="6.000,00"/>
    <e v="#NAME?"/>
  </r>
  <r>
    <n v="2236"/>
    <m/>
    <x v="0"/>
    <d v="2019-08-05T00:00:00"/>
    <n v="10000"/>
    <s v="Familia Franco Gómez"/>
    <s v="eof64@hotmail.com"/>
    <s v="Calle Guacara Nro. 87-07"/>
    <s v="Cancelación Vigilancia, mes de Agosto 2019"/>
    <x v="0"/>
    <m/>
    <s v="02236"/>
    <s v="05 de agosto de 2019"/>
    <n v="5"/>
    <x v="33"/>
    <s v="10.000,00"/>
    <e v="#NAME?"/>
  </r>
  <r>
    <n v="2237"/>
    <m/>
    <x v="0"/>
    <d v="2019-08-05T00:00:00"/>
    <n v="10000"/>
    <s v="Héctor Hernández"/>
    <s v="eof64@hotmail.com"/>
    <s v="Calle Guacara Nro. 89-94"/>
    <s v="Cancelación Vigilancia, mes de Agosto 2019"/>
    <x v="0"/>
    <m/>
    <s v="02237"/>
    <s v="05 de agosto de 2019"/>
    <n v="5"/>
    <x v="33"/>
    <s v="10.000,00"/>
    <e v="#NAME?"/>
  </r>
  <r>
    <n v="2238"/>
    <m/>
    <x v="0"/>
    <d v="2019-08-05T00:00:00"/>
    <n v="10000"/>
    <s v="Chin Chun Ya (Goya)"/>
    <s v="uc2721@gmail.com"/>
    <s v="Calle Guacara Nro. 87-86"/>
    <s v="Cancelación Vigilancia, mes de Agosto 2019"/>
    <x v="0"/>
    <m/>
    <s v="02238"/>
    <s v="05 de agosto de 2019"/>
    <n v="5"/>
    <x v="33"/>
    <s v="10.000,00"/>
    <e v="#NAME?"/>
  </r>
  <r>
    <n v="2239"/>
    <m/>
    <x v="0"/>
    <d v="2019-08-05T00:00:00"/>
    <n v="10000"/>
    <s v="Familia Delgado Hidalgo"/>
    <s v="ardh@hotmail.com"/>
    <s v="Calle Güigüe Nro. 88-10"/>
    <s v="Cancelación Vigilancia, mes de Agosto 2019"/>
    <x v="0"/>
    <m/>
    <s v="02239"/>
    <s v="05 de agosto de 2019"/>
    <n v="5"/>
    <x v="33"/>
    <s v="10.000,00"/>
    <e v="#NAME?"/>
  </r>
  <r>
    <n v="2240"/>
    <m/>
    <x v="0"/>
    <d v="2019-08-05T00:00:00"/>
    <n v="10000"/>
    <s v="Dra. Lilia Magallanes"/>
    <s v="liliamagallanes2010@gmail.com"/>
    <s v="Calle Güigüe Nro. 88-51"/>
    <s v="Cancelación Vigilancia, mes de Agosto 2019"/>
    <x v="0"/>
    <m/>
    <s v="02240"/>
    <s v="05 de agosto de 2019"/>
    <n v="5"/>
    <x v="33"/>
    <s v="10.000,00"/>
    <e v="#NAME?"/>
  </r>
  <r>
    <n v="2241"/>
    <m/>
    <x v="0"/>
    <d v="2019-08-05T00:00:00"/>
    <n v="10000"/>
    <s v="Familia Wu Acevedo"/>
    <s v="rudyacevedo90@gmail.com"/>
    <s v="Calle Guacara Nro. 88-A-10"/>
    <s v="Cancelación Vigilancia, mes de Agosto 2019 (saldo a favor: Bs. 16.005,80)"/>
    <x v="0"/>
    <m/>
    <s v="02241"/>
    <s v="05 de agosto de 2019"/>
    <n v="5"/>
    <x v="33"/>
    <s v="10.000,00"/>
    <e v="#NAME?"/>
  </r>
  <r>
    <n v="2242"/>
    <m/>
    <x v="0"/>
    <d v="2019-08-05T00:00:00"/>
    <n v="10000"/>
    <s v="Familia Del Negro Palermo"/>
    <s v="vdelnegro@gmail.com"/>
    <s v="Calle Guacara Nro. 88-45"/>
    <s v="Cancelación Vigilancia, mes de Agosto 2019 (saldo a favor: Bs. 59.862,95)"/>
    <x v="0"/>
    <m/>
    <s v="02242"/>
    <s v="05 de agosto de 2019"/>
    <n v="5"/>
    <x v="33"/>
    <s v="10.000,00"/>
    <e v="#NAME?"/>
  </r>
  <r>
    <n v="2243"/>
    <m/>
    <x v="0"/>
    <d v="2019-08-05T00:00:00"/>
    <n v="10000"/>
    <s v="Familia López Hermoso"/>
    <s v="lopez.humberto14@yahoo.com.ve"/>
    <s v="Calle Güigüe Nro. 89-79"/>
    <s v="Cancelación Vigilancia, mes de Agosto 2019 (saldo a favor: Bs. 20.000,00)"/>
    <x v="0"/>
    <m/>
    <s v="02243"/>
    <s v="05 de agosto de 2019"/>
    <n v="5"/>
    <x v="33"/>
    <s v="10.000,00"/>
    <e v="#NAME?"/>
  </r>
  <r>
    <n v="2244"/>
    <m/>
    <x v="0"/>
    <d v="2019-08-06T00:00:00"/>
    <n v="40000"/>
    <s v="Familia Ferrer Bahri"/>
    <s v="bahrimariela@hotmail.com"/>
    <s v="Calle Güigüe Nro. 89-83"/>
    <s v="Cancelación Vigilancia, meses de Agosto y Septiembre 2019"/>
    <x v="0"/>
    <m/>
    <s v="02244"/>
    <s v="06 de agosto de 2019"/>
    <n v="6"/>
    <x v="33"/>
    <s v="40.000,00"/>
    <e v="#NAME?"/>
  </r>
  <r>
    <n v="2245"/>
    <m/>
    <x v="0"/>
    <d v="2019-08-06T00:00:00"/>
    <n v="10000"/>
    <s v="Silvia Power"/>
    <s v="spowermeneses@gmail.com"/>
    <s v="Calle Güigüe Nro. 89-16"/>
    <s v="Cancelación Vigilancia, saldo mes de Julio, mes de Agosto y anticipo mes de Septiembre 2019"/>
    <x v="0"/>
    <m/>
    <s v="02245"/>
    <s v="06 de agosto de 2019"/>
    <n v="6"/>
    <x v="33"/>
    <s v="10.000,00"/>
    <e v="#NAME?"/>
  </r>
  <r>
    <n v="2246"/>
    <m/>
    <x v="0"/>
    <d v="2019-08-06T00:00:00"/>
    <n v="20000"/>
    <s v="Ely Saúl Rivero Gómez"/>
    <s v="hhs.admon@gmail.com"/>
    <s v="Av. &quot;Ñ&quot; Nro. 145-25"/>
    <s v="Cancelación Vigilancia, meses de Julio y Agosto 2019 (saldo a favor: Bs.87.352,00)"/>
    <x v="0"/>
    <m/>
    <s v="02246"/>
    <s v="06 de agosto de 2019"/>
    <n v="6"/>
    <x v="33"/>
    <s v="20.000,00"/>
    <e v="#NAME?"/>
  </r>
  <r>
    <n v="2247"/>
    <m/>
    <x v="0"/>
    <d v="2019-07-07T00:00:00"/>
    <n v="20000"/>
    <s v="Familia Loponte Arteaga"/>
    <s v="En Físico"/>
    <s v="Calle Güigüe Nro. 88-120"/>
    <s v="Cancelación Vigilancia, meses de Agosto y Septiembre 2019"/>
    <x v="0"/>
    <m/>
    <s v="02247"/>
    <s v="07 de julio de 2019"/>
    <n v="7"/>
    <x v="32"/>
    <s v="20.000,00"/>
    <e v="#NAME?"/>
  </r>
  <r>
    <n v="2248"/>
    <m/>
    <x v="0"/>
    <d v="2019-07-07T00:00:00"/>
    <n v="10000"/>
    <s v="Familia Díaz González"/>
    <s v="luisrdt57@gmail.com"/>
    <s v="Calle Güigüe Nro. 88-116"/>
    <s v="Cancelación Vigilancia, mes de Agosto 2019"/>
    <x v="0"/>
    <m/>
    <s v="02248"/>
    <s v="07 de julio de 2019"/>
    <n v="7"/>
    <x v="32"/>
    <s v="10.000,00"/>
    <e v="#NAME?"/>
  </r>
  <r>
    <n v="2249"/>
    <m/>
    <x v="0"/>
    <d v="2019-08-08T00:00:00"/>
    <n v="10000"/>
    <s v="Familia Milanés Carmona"/>
    <s v="yndira11m@gmail.com"/>
    <s v="Calle Güigüe Nro. 89-65"/>
    <s v="Cancelación Vigilancia, mes de Agosto 2019"/>
    <x v="0"/>
    <m/>
    <s v="02249"/>
    <s v="08 de agosto de 2019"/>
    <n v="8"/>
    <x v="33"/>
    <s v="10.000,00"/>
    <e v="#NAME?"/>
  </r>
  <r>
    <n v="2250"/>
    <m/>
    <x v="0"/>
    <d v="2019-08-08T00:00:00"/>
    <n v="15000"/>
    <s v="Familia Lomeña Agudo"/>
    <s v="claudialomena@hotmail.com"/>
    <s v="Calle Guacara Nro. 89-30"/>
    <s v="Cancelación Vigilancia, mes de Agosto 2019"/>
    <x v="0"/>
    <m/>
    <s v="02250"/>
    <s v="08 de agosto de 2019"/>
    <n v="8"/>
    <x v="33"/>
    <s v="15.000,00"/>
    <e v="#NAME?"/>
  </r>
  <r>
    <n v="2251"/>
    <m/>
    <x v="0"/>
    <d v="2019-08-08T00:00:00"/>
    <n v="2000"/>
    <s v="Familia Delgado Hidalgo"/>
    <s v="ardh@hotmail.com"/>
    <s v="Calle Güigüe Nro. 88-10"/>
    <s v="Cancelación Vigilancia, saldo mes de Julio 2019"/>
    <x v="0"/>
    <m/>
    <s v="02251"/>
    <s v="08 de agosto de 2019"/>
    <n v="8"/>
    <x v="33"/>
    <s v="2.000,00"/>
    <e v="#NAME?"/>
  </r>
  <r>
    <n v="2252"/>
    <m/>
    <x v="0"/>
    <d v="2019-08-08T00:00:00"/>
    <n v="10000"/>
    <s v="Amarilis Guerra"/>
    <s v="amarilisguerra1@yahoo.com"/>
    <s v="Calle Güigüe Nro. 89-96"/>
    <s v="Cancelación Vigilancia, mes de Agosto 2019"/>
    <x v="0"/>
    <m/>
    <s v="02252"/>
    <s v="08 de agosto de 2019"/>
    <n v="8"/>
    <x v="33"/>
    <s v="10.000,00"/>
    <e v="#NAME?"/>
  </r>
  <r>
    <n v="2253"/>
    <m/>
    <x v="0"/>
    <d v="2019-08-08T00:00:00"/>
    <n v="10000"/>
    <s v="Familia Soto Urdaneta"/>
    <s v="esotom61@gmail.com"/>
    <s v="Calle Guacara Nro. 89-102"/>
    <s v="Cancelación Vigilancia, mes de Agosto 2019"/>
    <x v="0"/>
    <m/>
    <s v="02253"/>
    <s v="08 de agosto de 2019"/>
    <n v="8"/>
    <x v="33"/>
    <s v="10.000,00"/>
    <e v="#NAME?"/>
  </r>
  <r>
    <n v="2254"/>
    <m/>
    <x v="0"/>
    <d v="2019-08-07T00:00:00"/>
    <n v="10000"/>
    <s v="Ma. de Jesus Alonso"/>
    <s v="alonsojg@gmail.com"/>
    <s v="Calle Güigüe Nro. 88-30"/>
    <s v="Cancelación Vigilancia, mes de Agosto 2019"/>
    <x v="0"/>
    <m/>
    <s v="02254"/>
    <s v="07 de agosto de 2019"/>
    <n v="7"/>
    <x v="33"/>
    <s v="10.000,00"/>
    <e v="#NAME?"/>
  </r>
  <r>
    <n v="2255"/>
    <m/>
    <x v="0"/>
    <d v="2019-08-08T00:00:00"/>
    <n v="21000"/>
    <s v="Yuraima Rodríguez"/>
    <s v="En Físico"/>
    <s v="Calle Guacara Nro. 89-70"/>
    <s v="Cancelación Vigilancia, meses de Abril, Mayo y Junio 2019"/>
    <x v="0"/>
    <m/>
    <s v="02255"/>
    <s v="08 de agosto de 2019"/>
    <n v="8"/>
    <x v="33"/>
    <s v="21.000,00"/>
    <e v="#NAME?"/>
  </r>
  <r>
    <n v="2256"/>
    <m/>
    <x v="0"/>
    <d v="2019-08-09T00:00:00"/>
    <n v="10000"/>
    <s v="Familia Ozar Rivero"/>
    <s v="vanessarivero81@hotmail.com"/>
    <s v="Calle Güigüe Nro. 88-06"/>
    <s v="Cancelación Vigilancia, mes de Julio 2019"/>
    <x v="0"/>
    <m/>
    <s v="02256"/>
    <s v="09 de agosto de 2019"/>
    <n v="9"/>
    <x v="33"/>
    <s v="10.000,00"/>
    <e v="#NAME?"/>
  </r>
  <r>
    <n v="2257"/>
    <m/>
    <x v="0"/>
    <d v="2019-08-09T00:00:00"/>
    <n v="15000"/>
    <s v="Familia Lomeña Agudo"/>
    <s v="claudialomena@hotmail.com"/>
    <s v="Calle Guacara Nro. 89-30"/>
    <s v="Cancelación Vigilancia, mes de Septiembre 2019"/>
    <x v="0"/>
    <m/>
    <s v="02257"/>
    <s v="09 de agosto de 2019"/>
    <n v="9"/>
    <x v="33"/>
    <s v="15.000,00"/>
    <e v="#NAME?"/>
  </r>
  <r>
    <n v="2258"/>
    <m/>
    <x v="0"/>
    <d v="2019-08-10T00:00:00"/>
    <n v="10000"/>
    <s v="Carmen Moreno"/>
    <s v="carmenemoreno10@gmail.com"/>
    <s v="Calle Güigüe Nro. 89-04"/>
    <s v="Cancelación Vigilancia, mes de Agosto 2019"/>
    <x v="0"/>
    <m/>
    <s v="02258"/>
    <s v="10 de agosto de 2019"/>
    <n v="10"/>
    <x v="33"/>
    <s v="10.000,00"/>
    <e v="#NAME?"/>
  </r>
  <r>
    <n v="2259"/>
    <m/>
    <x v="0"/>
    <d v="2019-08-11T00:00:00"/>
    <n v="10000"/>
    <s v="Familia Zavarce Pérez"/>
    <s v="En Físico"/>
    <s v="Calle Guacara Nro. 90-35"/>
    <s v="Cancelación Vigilancia, mes de Agosto 2019"/>
    <x v="0"/>
    <m/>
    <s v="02259"/>
    <s v="11 de agosto de 2019"/>
    <n v="11"/>
    <x v="33"/>
    <s v="10.000,00"/>
    <e v="#NAME?"/>
  </r>
  <r>
    <n v="2260"/>
    <m/>
    <x v="0"/>
    <d v="2019-08-12T00:00:00"/>
    <n v="10000"/>
    <s v="Familia Machado Stoppa"/>
    <s v="machadoru@hotmail.com | marisa2710chardan@gmail.com"/>
    <s v="Calle Guacara Nro. 88-85"/>
    <s v="Cancelación Vigilancia, mes de Agosto 2019"/>
    <x v="0"/>
    <m/>
    <s v="02260"/>
    <s v="12 de agosto de 2019"/>
    <n v="12"/>
    <x v="33"/>
    <s v="10.000,00"/>
    <e v="#NAME?"/>
  </r>
  <r>
    <n v="2261"/>
    <m/>
    <x v="0"/>
    <d v="2019-08-12T00:00:00"/>
    <n v="10000"/>
    <s v="Familia Arcia Polanco"/>
    <s v="misipo29@gmail.com"/>
    <s v="Calle Guacara Nro. 89-20"/>
    <s v="Cancelación Vigilancia, mes de Agosto 2019"/>
    <x v="0"/>
    <m/>
    <s v="02261"/>
    <s v="12 de agosto de 2019"/>
    <n v="12"/>
    <x v="33"/>
    <s v="10.000,00"/>
    <e v="#NAME?"/>
  </r>
  <r>
    <n v="2262"/>
    <m/>
    <x v="0"/>
    <d v="2019-08-13T00:00:00"/>
    <n v="10000"/>
    <s v="Familia Kablan Sarmiento"/>
    <s v="norisjsb56@hotmail.com"/>
    <s v="Calle Güigüe Nro. 89-80"/>
    <s v="Cancelación Vigilancia, mes de Agosto 2019"/>
    <x v="0"/>
    <m/>
    <s v="02262"/>
    <s v="13 de agosto de 2019"/>
    <n v="13"/>
    <x v="33"/>
    <s v="10.000,00"/>
    <e v="#NAME?"/>
  </r>
  <r>
    <n v="2263"/>
    <m/>
    <x v="0"/>
    <d v="2019-08-15T00:00:00"/>
    <n v="20000"/>
    <s v="Familia Scabuzzo Gómez"/>
    <s v="sfscabuzzo@msn.com"/>
    <s v="Av. &quot;I&quot; Nro. 146-20"/>
    <s v="Cancelación Vigilancia, meses de Julio y Agosto 2019"/>
    <x v="0"/>
    <m/>
    <s v="02263"/>
    <s v="15 de agosto de 2019"/>
    <n v="15"/>
    <x v="33"/>
    <s v="20.000,00"/>
    <e v="#NAME?"/>
  </r>
  <r>
    <n v="2264"/>
    <m/>
    <x v="0"/>
    <d v="2019-08-15T00:00:00"/>
    <n v="25000"/>
    <s v="Familia González Arévalo"/>
    <s v="feryenis@hotmail.com"/>
    <s v="Calle Guacara Nro. 89-86"/>
    <s v="Cancelación Vigilancia, saldo mes de Agosto y meses de Septiembre y Octubre 2019"/>
    <x v="0"/>
    <m/>
    <s v="02264"/>
    <s v="15 de agosto de 2019"/>
    <n v="15"/>
    <x v="33"/>
    <s v="25.000,00"/>
    <e v="#NAME?"/>
  </r>
  <r>
    <n v="2265"/>
    <m/>
    <x v="0"/>
    <d v="2019-08-15T00:00:00"/>
    <n v="10000"/>
    <s v="Familia Rodríguez Aular"/>
    <s v="mvaular@hotmail.com"/>
    <s v="Calle Güigüe Nro. 88-58"/>
    <s v="Cancelación Vigilancia, mes de Agosto 2019"/>
    <x v="0"/>
    <m/>
    <s v="02265"/>
    <s v="15 de agosto de 2019"/>
    <n v="15"/>
    <x v="33"/>
    <s v="10.000,00"/>
    <e v="#NAME?"/>
  </r>
  <r>
    <n v="2266"/>
    <m/>
    <x v="0"/>
    <d v="2019-08-15T00:00:00"/>
    <n v="20000"/>
    <s v="Familia Piñero Padilla"/>
    <s v="achepaul2005@hotmail.com"/>
    <s v="Calle Güigüe Nro. 89-21"/>
    <s v="Cancelación Vigilancia, meses de Julio y Agosto 2019"/>
    <x v="0"/>
    <m/>
    <s v="02266"/>
    <s v="15 de agosto de 2019"/>
    <n v="15"/>
    <x v="33"/>
    <s v="20.000,00"/>
    <e v="#NAME?"/>
  </r>
  <r>
    <n v="2267"/>
    <m/>
    <x v="0"/>
    <d v="2019-08-15T00:00:00"/>
    <n v="20000"/>
    <s v="Familia Flores Montagne"/>
    <s v="martaflores@gmail.com"/>
    <s v="Av. &quot;M&quot; Nro. 146-20"/>
    <s v="Cancelación Vigilancia, meses de Julio y Agosto 2019"/>
    <x v="0"/>
    <m/>
    <s v="02267"/>
    <s v="15 de agosto de 2019"/>
    <n v="15"/>
    <x v="33"/>
    <s v="20.000,00"/>
    <e v="#NAME?"/>
  </r>
  <r>
    <n v="2268"/>
    <m/>
    <x v="0"/>
    <d v="2019-07-08T00:00:00"/>
    <n v="8000"/>
    <s v="Familia Hurtado"/>
    <s v="hurtadomilena@gmail.com"/>
    <s v="Av. &quot;O&quot; Nro. 146-11"/>
    <s v="Cancelación Vigilancia, mes de Junio 2019. Transferencia Banesco nro. 11316930451"/>
    <x v="0"/>
    <m/>
    <s v="02268"/>
    <s v="08 de julio de 2019"/>
    <n v="8"/>
    <x v="32"/>
    <s v="8.000,00"/>
    <e v="#NAME?"/>
  </r>
  <r>
    <n v="2269"/>
    <m/>
    <x v="0"/>
    <d v="2019-08-12T00:00:00"/>
    <n v="10000"/>
    <s v="Familia Hurtado"/>
    <s v="hurtadomilena@gmail.com"/>
    <s v="Av. &quot;O&quot; Nro. 146-11"/>
    <s v="Cancelación Vigilancia, mes de Julio 2019. Transferencia Banesco nro. 11403142575"/>
    <x v="0"/>
    <m/>
    <s v="02269"/>
    <s v="12 de agosto de 2019"/>
    <n v="12"/>
    <x v="33"/>
    <s v="10.000,00"/>
    <e v="#NAME?"/>
  </r>
  <r>
    <n v="2270"/>
    <m/>
    <x v="0"/>
    <d v="2019-08-20T00:00:00"/>
    <n v="10000"/>
    <s v="Familia Gascón Domínguez"/>
    <s v="vrgascon@gmail.com"/>
    <s v="Calle Güigüe Nro. 88-70"/>
    <s v="Cancelación Vigilancia, mes de Agosto 2019"/>
    <x v="0"/>
    <m/>
    <s v="02270"/>
    <s v="20 de agosto de 2019"/>
    <n v="20"/>
    <x v="33"/>
    <s v="10.000,00"/>
    <e v="#NAME?"/>
  </r>
  <r>
    <n v="2271"/>
    <m/>
    <x v="0"/>
    <d v="2019-08-21T00:00:00"/>
    <n v="10000"/>
    <s v="Familia Martínez Boada"/>
    <s v="florcitakmz@gmail.com"/>
    <s v="Calle Güigüe Nro. 88-62"/>
    <s v="Cancelación Vigilancia, mes de Julio 2019"/>
    <x v="0"/>
    <m/>
    <s v="02271"/>
    <s v="21 de agosto de 2019"/>
    <n v="21"/>
    <x v="33"/>
    <s v="10.000,00"/>
    <e v="#NAME?"/>
  </r>
  <r>
    <n v="2272"/>
    <m/>
    <x v="0"/>
    <d v="2019-08-22T00:00:00"/>
    <n v="10000"/>
    <s v="Familia Costermani Terrer"/>
    <s v="claudiacostermani@hotmail.com"/>
    <s v="Calle Güigüe Nro. 88-11"/>
    <s v="Cancelación Vigilancia, mes de Agosto 2019"/>
    <x v="0"/>
    <m/>
    <s v="02272"/>
    <s v="22 de agosto de 2019"/>
    <n v="22"/>
    <x v="33"/>
    <s v="10.000,00"/>
    <e v="#NAME?"/>
  </r>
  <r>
    <n v="2273"/>
    <m/>
    <x v="0"/>
    <d v="2019-08-22T00:00:00"/>
    <n v="10000"/>
    <s v="Familia Acosta Carpio"/>
    <s v="pablo962@hotmail.com"/>
    <s v="Calle Güigüe Nro. 89-10"/>
    <s v="Cancelación Vigilancia, mes de Agosto 2019"/>
    <x v="0"/>
    <m/>
    <s v="02273"/>
    <s v="22 de agosto de 2019"/>
    <n v="22"/>
    <x v="33"/>
    <s v="10.000,00"/>
    <e v="#NAME?"/>
  </r>
  <r>
    <n v="2274"/>
    <m/>
    <x v="0"/>
    <d v="2019-08-22T00:00:00"/>
    <n v="10000"/>
    <s v="Familia Castillo Mena"/>
    <s v="emmecas@hotmail.com"/>
    <s v="Calle Güigüe Nro. 88-101"/>
    <s v="Cancelación Vigilancia, mes de Agosto 2019"/>
    <x v="0"/>
    <m/>
    <s v="02274"/>
    <s v="22 de agosto de 2019"/>
    <n v="22"/>
    <x v="33"/>
    <s v="10.000,00"/>
    <e v="#NAME?"/>
  </r>
  <r>
    <n v="2275"/>
    <m/>
    <x v="0"/>
    <d v="2019-08-23T00:00:00"/>
    <n v="5000"/>
    <s v="Familia Rodríguez Landaeta"/>
    <s v="mrl58@hotmail.com"/>
    <s v="Calle Güigüe Nro. 89-29"/>
    <s v="Colaboración Vigilancia, mes de Agosto 2019"/>
    <x v="0"/>
    <m/>
    <s v="02275"/>
    <s v="23 de agosto de 2019"/>
    <n v="23"/>
    <x v="33"/>
    <s v="5.000,00"/>
    <e v="#NAME?"/>
  </r>
  <r>
    <n v="2276"/>
    <m/>
    <x v="0"/>
    <d v="2019-08-24T00:00:00"/>
    <n v="10000"/>
    <s v="Familia Navarro Assing"/>
    <s v="liliaassing@gmail.com"/>
    <s v="Calle Güigüe Nro. 88-54"/>
    <s v="Cancelación Vigilancia, mes de Agosto 2019"/>
    <x v="0"/>
    <m/>
    <s v="02276"/>
    <s v="24 de agosto de 2019"/>
    <n v="24"/>
    <x v="33"/>
    <s v="10.000,00"/>
    <e v="#NAME?"/>
  </r>
  <r>
    <n v="2277"/>
    <m/>
    <x v="0"/>
    <d v="2019-08-25T00:00:00"/>
    <n v="20000"/>
    <s v="Familia Il Grande Franceschi"/>
    <s v="arcifran75@hotmail.com"/>
    <s v="Av. &quot;I&quot; Nro. 146-40"/>
    <s v="Cancelación Vigilancia, meses de Julio y Agosto 2019"/>
    <x v="0"/>
    <m/>
    <s v="02277"/>
    <s v="25 de agosto de 2019"/>
    <n v="25"/>
    <x v="33"/>
    <s v="20.000,00"/>
    <e v="#NAME?"/>
  </r>
  <r>
    <n v="2278"/>
    <m/>
    <x v="0"/>
    <d v="2019-08-26T00:00:00"/>
    <n v="10000"/>
    <s v="Santiago Varela"/>
    <s v="svg0583@gmail.com"/>
    <s v="Av. &quot;M&quot; Nro. 146-30"/>
    <s v="Cancelación Vigilancia, mes de Agosto 2019"/>
    <x v="0"/>
    <m/>
    <s v="02278"/>
    <s v="26 de agosto de 2019"/>
    <n v="26"/>
    <x v="33"/>
    <s v="10.000,00"/>
    <e v="#NAME?"/>
  </r>
  <r>
    <n v="2279"/>
    <m/>
    <x v="0"/>
    <d v="2019-08-26T00:00:00"/>
    <n v="20000"/>
    <s v="Familia Castro Jiménez"/>
    <s v="aurycastrojimenez@gmail.com"/>
    <s v="Calle Guacara Nro. 90-51"/>
    <s v="Cancelación Vigilancia, meses de Agosto y Septiembre 2019"/>
    <x v="0"/>
    <m/>
    <s v="02279"/>
    <s v="26 de agosto de 2019"/>
    <n v="26"/>
    <x v="33"/>
    <s v="20.000,00"/>
    <e v="#NAME?"/>
  </r>
  <r>
    <n v="2280"/>
    <m/>
    <x v="0"/>
    <d v="2019-08-26T00:00:00"/>
    <n v="10000"/>
    <s v="Familia Castro Jiménez"/>
    <s v="aurycastrojimenez@gmail.com"/>
    <s v="Calle Guacara Nro. 90-51"/>
    <s v="Colaboración para comida de vigilantes"/>
    <x v="9"/>
    <m/>
    <s v="02280"/>
    <s v="26 de agosto de 2019"/>
    <n v="26"/>
    <x v="33"/>
    <s v="10.000,00"/>
    <e v="#NAME?"/>
  </r>
  <r>
    <n v="2281"/>
    <m/>
    <x v="0"/>
    <d v="2019-08-26T00:00:00"/>
    <n v="10000"/>
    <s v="Andrea Valor"/>
    <s v="aavp992@gmail.com"/>
    <s v="Calle Guacara Nro. 88-75"/>
    <s v="Cancelación Vigilancia, mes de Agosto 2019"/>
    <x v="0"/>
    <m/>
    <s v="02281"/>
    <s v="26 de agosto de 2019"/>
    <n v="26"/>
    <x v="33"/>
    <s v="10.000,00"/>
    <e v="#NAME?"/>
  </r>
  <r>
    <n v="2282"/>
    <m/>
    <x v="0"/>
    <d v="2019-08-27T00:00:00"/>
    <n v="10000"/>
    <s v="Familia Chan García"/>
    <s v="chanalberto10@hotmail.com | endrinagarciah@gmail.com"/>
    <s v="Calle Güigüe Nro. 89-106"/>
    <s v="Cancelación Vigilancia, mes de Agosto 2019"/>
    <x v="0"/>
    <m/>
    <s v="02282"/>
    <s v="27 de agosto de 2019"/>
    <n v="27"/>
    <x v="33"/>
    <s v="10.000,00"/>
    <e v="#NAME?"/>
  </r>
  <r>
    <n v="2283"/>
    <m/>
    <x v="0"/>
    <d v="2019-08-27T00:00:00"/>
    <n v="10000"/>
    <s v="Familia Triana González"/>
    <s v="En Físico"/>
    <s v="Calle Guacara Nro. 90-61"/>
    <s v="Cancelación Vigilancia, mes de Agosto 2019"/>
    <x v="0"/>
    <m/>
    <s v="02283"/>
    <s v="27 de agosto de 2019"/>
    <n v="27"/>
    <x v="33"/>
    <s v="10.000,00"/>
    <e v="#NAME?"/>
  </r>
  <r>
    <n v="2284"/>
    <m/>
    <x v="0"/>
    <d v="2019-08-27T00:00:00"/>
    <n v="10000"/>
    <s v="Familia Barreto Pérez"/>
    <s v="bbetsa19@hotmail.com"/>
    <s v="Av. &quot;M&quot; Nro. 146-15"/>
    <s v="Cancelación Vigilancia, mes de Agosto 2019"/>
    <x v="0"/>
    <m/>
    <s v="02284"/>
    <s v="27 de agosto de 2019"/>
    <n v="27"/>
    <x v="33"/>
    <s v="10.000,00"/>
    <e v="#NAME?"/>
  </r>
  <r>
    <n v="2285"/>
    <m/>
    <x v="0"/>
    <d v="2019-08-26T00:00:00"/>
    <n v="20000"/>
    <s v="Familia Zavarce Barón"/>
    <s v="alexanderzavarce@gmail.com"/>
    <s v="Calle Guacara Nro. 88-91"/>
    <s v="Cancelación Vigilancia, meses de Julio y Agosto 2019"/>
    <x v="0"/>
    <m/>
    <s v="02285"/>
    <s v="26 de agosto de 2019"/>
    <n v="26"/>
    <x v="33"/>
    <s v="20.000,00"/>
    <e v="#NAME?"/>
  </r>
  <r>
    <n v="2286"/>
    <m/>
    <x v="0"/>
    <d v="2019-08-28T00:00:00"/>
    <n v="10000"/>
    <s v="Zoraida Khair"/>
    <s v="zorakhair@hotmail.com | lbracamonte@netuno.net"/>
    <s v="Calle Güigüe Nro. 88-80"/>
    <s v="Cancelación Vigilancia, mes de Septiembre 2019"/>
    <x v="0"/>
    <m/>
    <s v="02286"/>
    <s v="28 de agosto de 2019"/>
    <n v="28"/>
    <x v="33"/>
    <s v="10.000,00"/>
    <e v="#NAME?"/>
  </r>
  <r>
    <n v="2287"/>
    <m/>
    <x v="0"/>
    <d v="2019-08-22T00:00:00"/>
    <n v="12000"/>
    <s v="Familia Abbinante Pinto"/>
    <s v="abbinante47@gmail.com"/>
    <s v="Calle Güigüe Nro. 89-120"/>
    <s v="Cancelación Vigilancia, saldo mes de Julio y mes de Agosto 2019"/>
    <x v="0"/>
    <m/>
    <s v="02287"/>
    <s v="22 de agosto de 2019"/>
    <n v="22"/>
    <x v="33"/>
    <s v="12.000,00"/>
    <e v="#NAME?"/>
  </r>
  <r>
    <n v="2288"/>
    <m/>
    <x v="0"/>
    <d v="2019-08-27T00:00:00"/>
    <n v="10000"/>
    <s v="Beatriz Lara"/>
    <s v="valentina.gutierrez@hotmail.com"/>
    <s v="Calle Guacara Nro. 89-130"/>
    <s v="Cancelación Vigilancia, mes de Agosto 2019"/>
    <x v="0"/>
    <m/>
    <s v="02288"/>
    <s v="27 de agosto de 2019"/>
    <n v="27"/>
    <x v="33"/>
    <s v="10.000,00"/>
    <e v="#NAME?"/>
  </r>
  <r>
    <n v="2289"/>
    <m/>
    <x v="0"/>
    <d v="2019-08-19T00:00:00"/>
    <n v="10000"/>
    <s v="Familia Rodríguez Girón"/>
    <s v="daniellegt4@gmail.com"/>
    <s v="Calle Güigüe Nro. 89-22"/>
    <s v="Cancelación Vigilancia, mes de Agosto 2019"/>
    <x v="0"/>
    <m/>
    <s v="02289"/>
    <s v="19 de agosto de 2019"/>
    <n v="19"/>
    <x v="33"/>
    <s v="10.000,00"/>
    <e v="#NAME?"/>
  </r>
  <r>
    <n v="2290"/>
    <m/>
    <x v="0"/>
    <d v="2019-08-28T00:00:00"/>
    <n v="10000"/>
    <s v="Familia Ozar Rivero"/>
    <s v="vanessarivero81@hotmail.com"/>
    <s v="Calle Güigüe Nro. 88-06"/>
    <s v="Cancelación Vigilancia, mes de Agosto 2019"/>
    <x v="0"/>
    <m/>
    <s v="02290"/>
    <s v="28 de agosto de 2019"/>
    <n v="28"/>
    <x v="33"/>
    <s v="10.000,00"/>
    <e v="#NAME?"/>
  </r>
  <r>
    <n v="2291"/>
    <m/>
    <x v="0"/>
    <d v="2019-08-28T00:00:00"/>
    <n v="10000"/>
    <s v="Familia Manrique Riera"/>
    <s v="patriciamanrique@gmail.com"/>
    <s v="Calle Guacara Nro. 89-40"/>
    <s v="Cancelación Vigilancia, mes de Agosto 2019"/>
    <x v="0"/>
    <m/>
    <s v="02291"/>
    <s v="28 de agosto de 2019"/>
    <n v="28"/>
    <x v="33"/>
    <s v="10.000,00"/>
    <e v="#NAME?"/>
  </r>
  <r>
    <n v="2292"/>
    <m/>
    <x v="0"/>
    <d v="2019-08-28T00:00:00"/>
    <n v="20000"/>
    <s v="Familia Narváez Caldera"/>
    <s v="jeannette_nc@yahoo.com"/>
    <s v="Calle Güigüe Nro. 87-A-11"/>
    <s v="Cancelación Vigilancia, meses de Agosto y Septiembre 2019"/>
    <x v="0"/>
    <m/>
    <s v="02292"/>
    <s v="28 de agosto de 2019"/>
    <n v="28"/>
    <x v="33"/>
    <s v="20.000,00"/>
    <e v="#NAME?"/>
  </r>
  <r>
    <n v="2293"/>
    <m/>
    <x v="0"/>
    <d v="2019-08-29T00:00:00"/>
    <n v="10000"/>
    <s v="Familia Sirit Palencia"/>
    <s v="irasirit@gmail.com"/>
    <s v="Calle Güigüe Nro. 89-35"/>
    <s v="Cancelación Vigilancia, mes de Agosto 2019"/>
    <x v="0"/>
    <m/>
    <s v="02293"/>
    <s v="29 de agosto de 2019"/>
    <n v="29"/>
    <x v="33"/>
    <s v="10.000,00"/>
    <e v="#NAME?"/>
  </r>
  <r>
    <n v="2294"/>
    <m/>
    <x v="0"/>
    <d v="2019-08-29T00:00:00"/>
    <n v="5000"/>
    <s v="Familia Chávez Hernández"/>
    <s v="mercedesch23@hotmail.com"/>
    <s v="Calle Güigüe Nro. 88-20"/>
    <s v="Colaboración Vigilancia, mes de Agosto 2019"/>
    <x v="0"/>
    <m/>
    <s v="02294"/>
    <s v="29 de agosto de 2019"/>
    <n v="29"/>
    <x v="33"/>
    <s v="5.000,00"/>
    <e v="#NAME?"/>
  </r>
  <r>
    <n v="2295"/>
    <m/>
    <x v="0"/>
    <d v="2019-08-29T00:00:00"/>
    <n v="30000"/>
    <s v="Wu Hung Fung"/>
    <s v="carolinahung24@gmail.com | barbarahung15@hotmail.com"/>
    <s v="Calle Guacara Nro. 90-81"/>
    <s v="Cancelación Vigilancia, meses de Agosto y Septiembre 2019"/>
    <x v="0"/>
    <m/>
    <s v="02295"/>
    <s v="29 de agosto de 2019"/>
    <n v="29"/>
    <x v="33"/>
    <s v="30.000,00"/>
    <e v="#NAME?"/>
  </r>
  <r>
    <n v="2296"/>
    <m/>
    <x v="0"/>
    <d v="2019-08-29T00:00:00"/>
    <n v="10000"/>
    <s v="Familia Franco Gómez"/>
    <s v="eof64@hotmail.com"/>
    <s v="Calle Guacara Nro. 87-07"/>
    <s v="Cancelación Vigilancia, mes de Septiembre 2019"/>
    <x v="0"/>
    <m/>
    <s v="02296"/>
    <s v="29 de agosto de 2019"/>
    <n v="29"/>
    <x v="33"/>
    <s v="10.000,00"/>
    <e v="#NAME?"/>
  </r>
  <r>
    <n v="2297"/>
    <m/>
    <x v="0"/>
    <d v="2019-08-29T00:00:00"/>
    <n v="10000"/>
    <s v="Héctor Hernández"/>
    <s v="eof64@hotmail.com"/>
    <s v="Calle Guacara Nro. 89-94"/>
    <s v="Cancelación Vigilancia, mes de Septiembre 2019"/>
    <x v="0"/>
    <m/>
    <s v="02297"/>
    <s v="29 de agosto de 2019"/>
    <n v="29"/>
    <x v="33"/>
    <s v="10.000,00"/>
    <e v="#NAME?"/>
  </r>
  <r>
    <n v="2298"/>
    <m/>
    <x v="0"/>
    <d v="2019-08-30T00:00:00"/>
    <n v="10000"/>
    <s v="Amparo Acosta"/>
    <s v="amparonatividad@hotmail.com"/>
    <s v="Calle Guacara Nro. 88-65"/>
    <s v="Cancelación Vigilancia, mes de Agosto 2019"/>
    <x v="0"/>
    <m/>
    <s v="02298"/>
    <s v="30 de agosto de 2019"/>
    <n v="30"/>
    <x v="33"/>
    <s v="10.000,00"/>
    <e v="#NAME?"/>
  </r>
  <r>
    <n v="2299"/>
    <m/>
    <x v="0"/>
    <d v="2019-08-30T00:00:00"/>
    <n v="10000"/>
    <s v="Victoria Francischiello"/>
    <s v="victoriafrancischiello@hotmail.com"/>
    <s v="Calle Guacara Nro. 88-25"/>
    <s v="Cancelación Vigilancia, mes de Agosto 2019"/>
    <x v="0"/>
    <m/>
    <s v="02299"/>
    <s v="30 de agosto de 2019"/>
    <n v="30"/>
    <x v="33"/>
    <s v="10.000,00"/>
    <e v="#NAME?"/>
  </r>
  <r>
    <n v="2300"/>
    <m/>
    <x v="0"/>
    <d v="2019-08-30T00:00:00"/>
    <n v="24200"/>
    <s v="Familia Arcia Polanco"/>
    <s v="misipo29@gmail.com"/>
    <s v="Calle Guacara Nro. 89-20"/>
    <s v="Cancelación Vigilancia, mes de Septiembre y anticipo mes de Octubre 2019"/>
    <x v="0"/>
    <m/>
    <s v="02300"/>
    <s v="30 de agosto de 2019"/>
    <n v="30"/>
    <x v="33"/>
    <s v="24.200,00"/>
    <e v="#NAME?"/>
  </r>
  <r>
    <n v="2301"/>
    <m/>
    <x v="0"/>
    <d v="2019-08-30T00:00:00"/>
    <n v="10000"/>
    <s v="Familia Martínez Boada"/>
    <s v="florcitakmz@gmail.com"/>
    <s v="Calle Güigüe Nro. 88-62"/>
    <s v="Cancelación Vigilancia, mes de Agosto 2019"/>
    <x v="0"/>
    <m/>
    <s v="02301"/>
    <s v="30 de agosto de 2019"/>
    <n v="30"/>
    <x v="33"/>
    <s v="10.000,00"/>
    <e v="#NAME?"/>
  </r>
  <r>
    <n v="2302"/>
    <m/>
    <x v="0"/>
    <d v="2019-09-02T00:00:00"/>
    <n v="10000"/>
    <s v="Gloria Molina"/>
    <s v="glomola2@yahoo.es"/>
    <s v="Calle Güigüe Nro. 89-71"/>
    <s v="Cancelación Vigilancia, mes de Agosto 2019"/>
    <x v="0"/>
    <m/>
    <s v="02302"/>
    <s v="02 de septiembre de 2019"/>
    <n v="2"/>
    <x v="34"/>
    <s v="10.000,00"/>
    <e v="#NAME?"/>
  </r>
  <r>
    <n v="2303"/>
    <m/>
    <x v="0"/>
    <d v="2019-09-03T00:00:00"/>
    <n v="23400"/>
    <s v="Familia Nava Gordon"/>
    <s v="maru_19_66@hotmail.com"/>
    <s v="Calle Guacara Nro. 89-78"/>
    <s v="Cancelación Vigilancia, mes de Septiembre 2019"/>
    <x v="0"/>
    <m/>
    <s v="02303"/>
    <s v="03 de septiembre de 2019"/>
    <n v="3"/>
    <x v="34"/>
    <s v="23.400,00"/>
    <e v="#NAME?"/>
  </r>
  <r>
    <n v="2304"/>
    <m/>
    <x v="0"/>
    <d v="2019-09-03T00:00:00"/>
    <n v="23400"/>
    <s v="Familia Soto Urdaneta"/>
    <s v="esotom61@gmail.com"/>
    <s v="Calle Guacara Nro. 89-102"/>
    <s v="Cancelación Vigilancia, mes de Septiembre 2019"/>
    <x v="0"/>
    <m/>
    <s v="02304"/>
    <s v="03 de septiembre de 2019"/>
    <n v="3"/>
    <x v="34"/>
    <s v="23.400,00"/>
    <e v="#NAME?"/>
  </r>
  <r>
    <n v="2305"/>
    <m/>
    <x v="0"/>
    <d v="2019-09-03T00:00:00"/>
    <n v="13400"/>
    <s v="Familia Narváez Caldera"/>
    <s v="jeannette_nc@yahoo.com"/>
    <s v="Calle Güigüe Nro. 87-A-11"/>
    <s v="Cancelación Vigilancia, saldo mes de Septiembre 2019"/>
    <x v="0"/>
    <m/>
    <s v="02305"/>
    <s v="03 de septiembre de 2019"/>
    <n v="3"/>
    <x v="34"/>
    <s v="13.400,00"/>
    <e v="#NAME?"/>
  </r>
  <r>
    <n v="2306"/>
    <m/>
    <x v="0"/>
    <d v="2019-09-03T00:00:00"/>
    <n v="23400"/>
    <s v="Familia Del Negro Palermo"/>
    <s v="vdelnegro@gmail.com"/>
    <s v="Calle Guacara Nro. 88-45"/>
    <s v="Cancelación Vigilancia, mes de Septiembre 2019 (saldo a favor: Bs. 36.462,95)"/>
    <x v="0"/>
    <m/>
    <s v="02306"/>
    <s v="03 de septiembre de 2019"/>
    <n v="3"/>
    <x v="34"/>
    <s v="23.400,00"/>
    <e v="#NAME?"/>
  </r>
  <r>
    <n v="2307"/>
    <m/>
    <x v="0"/>
    <d v="2019-09-03T00:00:00"/>
    <n v="23400"/>
    <s v="Ely Saúl Rivero Gómez"/>
    <s v="hhs.admon@gmail.com"/>
    <s v="Av. &quot;Ñ&quot; Nro. 145-25"/>
    <s v="Cancelación Vigilancia, mes de Septiembre 2019 (saldo a favor: Bs. 63.952,00)"/>
    <x v="0"/>
    <m/>
    <s v="02307"/>
    <s v="03 de septiembre de 2019"/>
    <n v="3"/>
    <x v="34"/>
    <s v="23.400,00"/>
    <e v="#NAME?"/>
  </r>
  <r>
    <n v="2308"/>
    <m/>
    <x v="0"/>
    <d v="2019-09-03T00:00:00"/>
    <n v="23400"/>
    <s v="Familia Colosso Delgado"/>
    <s v="mcolosso@gmail.com"/>
    <s v="Calle Güigüe Nro. 88-44"/>
    <s v="Cancelación Vigilancia, mes de Septiembre 2019"/>
    <x v="0"/>
    <m/>
    <s v="02308"/>
    <s v="03 de septiembre de 2019"/>
    <n v="3"/>
    <x v="34"/>
    <s v="23.400,00"/>
    <e v="#NAME?"/>
  </r>
  <r>
    <n v="2309"/>
    <m/>
    <x v="0"/>
    <d v="2019-09-03T00:00:00"/>
    <n v="18018"/>
    <s v="Familia Méndez Parra"/>
    <s v="briceidademendez@gmail.com"/>
    <s v="Calle Guacara Nro. 88-19"/>
    <s v="Colaboración Vigilancia, mes de Septiembre 2019"/>
    <x v="0"/>
    <m/>
    <s v="02309"/>
    <s v="03 de septiembre de 2019"/>
    <n v="3"/>
    <x v="34"/>
    <s v="18.018,00"/>
    <e v="#NAME?"/>
  </r>
  <r>
    <n v="2310"/>
    <m/>
    <x v="0"/>
    <d v="2019-09-03T00:00:00"/>
    <n v="23500"/>
    <s v="Familia Triana González"/>
    <s v="En Físico"/>
    <s v="Calle Guacara Nro. 90-61"/>
    <s v="Cancelación Vigilancia, mes de Septiembre 2019"/>
    <x v="0"/>
    <m/>
    <s v="02310"/>
    <s v="03 de septiembre de 2019"/>
    <n v="3"/>
    <x v="34"/>
    <s v="23.500,00"/>
    <e v="#NAME?"/>
  </r>
  <r>
    <n v="2311"/>
    <m/>
    <x v="0"/>
    <d v="2019-09-03T00:00:00"/>
    <n v="23400"/>
    <s v="Carmen Moreno"/>
    <s v="carmenemoreno10@gmail.com"/>
    <s v="Calle Güigüe Nro. 89-04"/>
    <s v="Cancelación Vigilancia, mes de Septiembre 2019"/>
    <x v="0"/>
    <m/>
    <s v="02311"/>
    <s v="03 de septiembre de 2019"/>
    <n v="3"/>
    <x v="34"/>
    <s v="23.400,00"/>
    <e v="#NAME?"/>
  </r>
  <r>
    <n v="2312"/>
    <m/>
    <x v="0"/>
    <d v="2019-09-03T00:00:00"/>
    <n v="3400"/>
    <s v="Familia Ferrer Bahri"/>
    <s v="bahrimariela@hotmail.com"/>
    <s v="Calle Güigüe Nro. 89-83"/>
    <s v="Cancelación Vigilancia, saldo mes de Septiembre 2019"/>
    <x v="0"/>
    <m/>
    <s v="02312"/>
    <s v="03 de septiembre de 2019"/>
    <n v="3"/>
    <x v="34"/>
    <s v="3.400,00"/>
    <e v="#NAME?"/>
  </r>
  <r>
    <n v="2313"/>
    <m/>
    <x v="0"/>
    <d v="2019-09-03T00:00:00"/>
    <n v="34000"/>
    <s v="Familia Durvelle Serrano"/>
    <s v="sdurvelle@hotmail.com"/>
    <s v="Calle Guacara Nro. 89-60"/>
    <s v="Cancelación Vigilancia, meses de Agosto y Septiembre 2019"/>
    <x v="0"/>
    <m/>
    <s v="02313"/>
    <s v="03 de septiembre de 2019"/>
    <n v="3"/>
    <x v="34"/>
    <s v="34.000,00"/>
    <e v="#NAME?"/>
  </r>
  <r>
    <n v="2314"/>
    <m/>
    <x v="0"/>
    <d v="2019-09-03T00:00:00"/>
    <n v="23400"/>
    <s v="Familia Guerra Miret"/>
    <s v="antoniojguerrag@hotmail.com"/>
    <s v="Calle Güigüe Nro. 89-40"/>
    <s v="Cancelación Vigilancia, mes de Septiembre 2019"/>
    <x v="0"/>
    <m/>
    <s v="02314"/>
    <s v="03 de septiembre de 2019"/>
    <n v="3"/>
    <x v="34"/>
    <s v="23.400,00"/>
    <e v="#NAME?"/>
  </r>
  <r>
    <n v="2315"/>
    <m/>
    <x v="0"/>
    <d v="2019-09-03T00:00:00"/>
    <n v="34000"/>
    <s v="Familia Jiménez Navarro"/>
    <s v="joyasonline2012@gmail.com"/>
    <s v="Calle Güigüe Nro. 88-50"/>
    <s v="Cancelación Vigilancia, meses de Agosto y Septiembre 2019"/>
    <x v="0"/>
    <m/>
    <s v="02315"/>
    <s v="03 de septiembre de 2019"/>
    <n v="3"/>
    <x v="34"/>
    <s v="34.000,00"/>
    <e v="#NAME?"/>
  </r>
  <r>
    <n v="2316"/>
    <m/>
    <x v="0"/>
    <d v="2019-09-03T00:00:00"/>
    <n v="23400"/>
    <s v="Familia Zavarce Pérez"/>
    <s v="En Físico"/>
    <s v="Calle Guacara Nro. 90-35"/>
    <s v="Cancelación Vigilancia, mes de Septiembre 2019"/>
    <x v="0"/>
    <m/>
    <s v="02316"/>
    <s v="03 de septiembre de 2019"/>
    <n v="3"/>
    <x v="34"/>
    <s v="23.400,00"/>
    <e v="#NAME?"/>
  </r>
  <r>
    <n v="2317"/>
    <m/>
    <x v="0"/>
    <d v="2019-09-04T00:00:00"/>
    <n v="10000"/>
    <s v="Familia Matta Palomino"/>
    <s v="En Físico"/>
    <s v="Calle Güigüe Nro. 88-90"/>
    <s v="Cancelación Vigilancia, mes de Agosto 2019"/>
    <x v="0"/>
    <m/>
    <s v="02317"/>
    <s v="04 de septiembre de 2019"/>
    <n v="4"/>
    <x v="34"/>
    <s v="10.000,00"/>
    <e v="#NAME?"/>
  </r>
  <r>
    <n v="2318"/>
    <m/>
    <x v="0"/>
    <d v="2019-09-04T00:00:00"/>
    <n v="23400"/>
    <s v="Familia Manrique Riera"/>
    <s v="patriciamanrique@gmail.com"/>
    <s v="Calle Guacara Nro. 89-40"/>
    <s v="Cancelación Vigilancia, mes de Septiembre 2019"/>
    <x v="0"/>
    <m/>
    <s v="02318"/>
    <s v="04 de septiembre de 2019"/>
    <n v="4"/>
    <x v="34"/>
    <s v="23.400,00"/>
    <e v="#NAME?"/>
  </r>
  <r>
    <n v="2319"/>
    <m/>
    <x v="0"/>
    <d v="2019-09-05T00:00:00"/>
    <n v="8400"/>
    <s v="Familia Lomeña Agudo"/>
    <s v="claudialomena@hotmail.com"/>
    <s v="Calle Guacara Nro. 89-30"/>
    <s v="Cancelación Vigilancia, saldo mes de Septiembre 2019"/>
    <x v="0"/>
    <m/>
    <s v="02319"/>
    <s v="05 de septiembre de 2019"/>
    <n v="5"/>
    <x v="34"/>
    <s v="8.400,00"/>
    <e v="#NAME?"/>
  </r>
  <r>
    <n v="2320"/>
    <m/>
    <x v="0"/>
    <d v="2019-09-04T00:00:00"/>
    <n v="23400"/>
    <s v="Amarilis Guerra"/>
    <s v="amarilisguerra1@yahoo.com"/>
    <s v="Calle Güigüe Nro. 89-96"/>
    <s v="Cancelación Vigilancia, mes de Septiembre 2019"/>
    <x v="0"/>
    <m/>
    <s v="02320"/>
    <s v="04 de septiembre de 2019"/>
    <n v="4"/>
    <x v="34"/>
    <s v="23.400,00"/>
    <e v="#NAME?"/>
  </r>
  <r>
    <n v="2321"/>
    <m/>
    <x v="0"/>
    <d v="2019-09-05T00:00:00"/>
    <n v="18435"/>
    <s v="Familia Fermín Rivas"/>
    <s v="angelferminb@gmail.com"/>
    <s v="Calle Güigüe Nro. 89-55"/>
    <s v="Cancelación Vigilancia, saldo mes de Septiembre 2019"/>
    <x v="0"/>
    <m/>
    <s v="02321"/>
    <s v="05 de septiembre de 2019"/>
    <n v="5"/>
    <x v="34"/>
    <s v="18.435,00"/>
    <e v="#NAME?"/>
  </r>
  <r>
    <n v="2322"/>
    <m/>
    <x v="0"/>
    <d v="2019-09-05T00:00:00"/>
    <n v="23400"/>
    <s v="Chin Chun Ya (Goya)"/>
    <s v="uc2721@gmail.com"/>
    <s v="Calle Guacara Nro. 87-86"/>
    <s v="Cancelación Vigilancia, mes de Septiembre 2019"/>
    <x v="0"/>
    <m/>
    <s v="02322"/>
    <s v="05 de septiembre de 2019"/>
    <n v="5"/>
    <x v="34"/>
    <s v="23.400,00"/>
    <e v="#NAME?"/>
  </r>
  <r>
    <n v="2323"/>
    <m/>
    <x v="0"/>
    <d v="2019-09-05T00:00:00"/>
    <n v="10000"/>
    <s v="Familia Loponte Arteaga"/>
    <s v="En Físico"/>
    <s v="Calle Güigüe Nro. 88-120"/>
    <s v="Cancelación Vigilancia, mes de Septiembre 2019"/>
    <x v="0"/>
    <m/>
    <s v="02323"/>
    <s v="05 de septiembre de 2019"/>
    <n v="5"/>
    <x v="34"/>
    <s v="10.000,00"/>
    <e v="#NAME?"/>
  </r>
  <r>
    <n v="2324"/>
    <m/>
    <x v="0"/>
    <d v="2019-09-06T00:00:00"/>
    <n v="23400"/>
    <s v="Dra. Lilia Magallanes"/>
    <s v="liliamagallanes2010@gmail.com"/>
    <s v="Calle Güigüe Nro. 88-51"/>
    <s v="Cancelación Vigilancia, mes de Septiembre 2019"/>
    <x v="0"/>
    <m/>
    <s v="02324"/>
    <s v="06 de septiembre de 2019"/>
    <n v="6"/>
    <x v="34"/>
    <s v="23.400,00"/>
    <e v="#NAME?"/>
  </r>
  <r>
    <n v="2325"/>
    <m/>
    <x v="0"/>
    <d v="2019-09-06T00:00:00"/>
    <n v="13000"/>
    <s v="Zoraida Khair"/>
    <s v="zorakhair@hotmail.com | lbracamonte@netuno.net"/>
    <s v="Calle Güigüe Nro. 88-80"/>
    <s v="Cancelación Vigilancia, mes de Septiembre 2019"/>
    <x v="0"/>
    <m/>
    <s v="02325"/>
    <s v="06 de septiembre de 2019"/>
    <n v="6"/>
    <x v="34"/>
    <s v="13.000,00"/>
    <e v="#NAME?"/>
  </r>
  <r>
    <n v="2326"/>
    <m/>
    <x v="0"/>
    <d v="2019-09-07T00:00:00"/>
    <n v="13400"/>
    <s v="Familia González Arévalo"/>
    <s v="feryenis@hotmail.com"/>
    <s v="Calle Guacara Nro. 89-86"/>
    <s v="Cancelación Vigilancia, saldo mes de Septiembre 2019"/>
    <x v="0"/>
    <m/>
    <s v="02326"/>
    <s v="07 de septiembre de 2019"/>
    <n v="7"/>
    <x v="34"/>
    <s v="13.400,00"/>
    <e v="#NAME?"/>
  </r>
  <r>
    <n v="2327"/>
    <m/>
    <x v="0"/>
    <d v="2019-09-09T00:00:00"/>
    <n v="10500"/>
    <s v="Familia Franco Gómez"/>
    <s v="eof64@hotmail.com"/>
    <s v="Calle Guacara Nro. 87-07"/>
    <s v="Cancelación Vigilancia, saldo mes de Septiembre 2019"/>
    <x v="0"/>
    <m/>
    <s v="02327"/>
    <s v="09 de septiembre de 2019"/>
    <n v="9"/>
    <x v="34"/>
    <s v="10.500,00"/>
    <e v="#NAME?"/>
  </r>
  <r>
    <n v="2328"/>
    <m/>
    <x v="0"/>
    <d v="2019-09-09T00:00:00"/>
    <n v="10500"/>
    <s v="Héctor Hernández"/>
    <s v="eof64@hotmail.com"/>
    <s v="Calle Guacara Nro. 89-94"/>
    <s v="Cancelación Vigilancia, saldo mes de Septiembre 2019"/>
    <x v="0"/>
    <m/>
    <s v="02328"/>
    <s v="09 de septiembre de 2019"/>
    <n v="9"/>
    <x v="34"/>
    <s v="10.500,00"/>
    <e v="#NAME?"/>
  </r>
  <r>
    <n v="2329"/>
    <m/>
    <x v="0"/>
    <d v="2019-09-09T00:00:00"/>
    <n v="20500"/>
    <s v="Familia Montilla García"/>
    <s v="dairy252525@hotmail.com"/>
    <s v="Calle Güigüe Nro. 89-90"/>
    <s v="Cancelación Vigilancia, mes de Septiembre 2019"/>
    <x v="0"/>
    <m/>
    <s v="02329"/>
    <s v="09 de septiembre de 2019"/>
    <n v="9"/>
    <x v="34"/>
    <s v="20.500,00"/>
    <e v="#NAME?"/>
  </r>
  <r>
    <n v="2330"/>
    <m/>
    <x v="0"/>
    <d v="2019-09-09T00:00:00"/>
    <n v="20500"/>
    <s v="Familia Ochoa Mendoza"/>
    <s v="marisoljudithm@hotmail.com"/>
    <s v="Calle Guacara Nro. 89-130"/>
    <s v="Cancelación Vigilancia, mes de Septiembre 2019"/>
    <x v="0"/>
    <m/>
    <s v="02330"/>
    <s v="09 de septiembre de 2019"/>
    <n v="9"/>
    <x v="34"/>
    <s v="20.500,00"/>
    <e v="#NAME?"/>
  </r>
  <r>
    <n v="2331"/>
    <m/>
    <x v="0"/>
    <d v="2019-09-09T00:00:00"/>
    <n v="20500"/>
    <s v="Familia Piñero Padilla"/>
    <s v="achepaul2005@hotmail.com"/>
    <s v="Calle Güigüe Nro. 89-21"/>
    <s v="Cancelación Vigilancia, mes de Septiembre 2019"/>
    <x v="0"/>
    <m/>
    <s v="02331"/>
    <s v="09 de septiembre de 2019"/>
    <n v="9"/>
    <x v="34"/>
    <s v="20.500,00"/>
    <e v="#NAME?"/>
  </r>
  <r>
    <n v="2332"/>
    <m/>
    <x v="0"/>
    <d v="2019-09-09T00:00:00"/>
    <n v="21100"/>
    <s v="Familia Rodríguez Girón"/>
    <s v="daniellegt4@gmail.com"/>
    <s v="Calle Güigüe Nro. 89-22"/>
    <s v="Cancelación Vigilancia, mes de Septiembre 2019"/>
    <x v="0"/>
    <m/>
    <s v="02332"/>
    <s v="09 de septiembre de 2019"/>
    <n v="9"/>
    <x v="34"/>
    <s v="21.100,00"/>
    <e v="#NAME?"/>
  </r>
  <r>
    <n v="2333"/>
    <m/>
    <x v="0"/>
    <d v="2019-09-09T00:00:00"/>
    <n v="20500"/>
    <s v="Familia Costermani Terrer"/>
    <s v="claudiacostermani@hotmail.com"/>
    <s v="Calle Güigüe Nro. 88-11"/>
    <s v="Cancelación Vigilancia, mes de Septiembre 2019"/>
    <x v="0"/>
    <m/>
    <s v="02333"/>
    <s v="09 de septiembre de 2019"/>
    <n v="9"/>
    <x v="34"/>
    <s v="20.500,00"/>
    <e v="#NAME?"/>
  </r>
  <r>
    <n v="2334"/>
    <m/>
    <x v="0"/>
    <d v="2019-09-11T00:00:00"/>
    <n v="10000"/>
    <s v="Familia Hurtado"/>
    <s v="hurtadomilena@gmail.com"/>
    <s v="Av. &quot;O&quot; Nro. 146-11"/>
    <s v="Cancelación Vigilancia, mes de Agosto 2019. Transferencia Banesco nro. 11476317553"/>
    <x v="0"/>
    <m/>
    <s v="02334"/>
    <s v="11 de septiembre de 2019"/>
    <n v="11"/>
    <x v="34"/>
    <s v="10.000,00"/>
    <e v="#NAME?"/>
  </r>
  <r>
    <n v="2335"/>
    <m/>
    <x v="0"/>
    <d v="2019-09-11T00:00:00"/>
    <n v="20500"/>
    <s v="Beatriz Lara"/>
    <s v="arquitectoag@gmail.com"/>
    <s v="Calle Guacara Nro. 89-130"/>
    <s v="Cancelación Vigilancia, mes de Septiembre 2019 (US$ 1,00)"/>
    <x v="0"/>
    <m/>
    <s v="02335"/>
    <s v="11 de septiembre de 2019"/>
    <n v="11"/>
    <x v="34"/>
    <s v="20.500,00"/>
    <e v="#NAME?"/>
  </r>
  <r>
    <n v="2336"/>
    <m/>
    <x v="0"/>
    <d v="2019-09-11T00:00:00"/>
    <n v="24400"/>
    <s v="Familia Kattar González"/>
    <s v="jagiak123@yahoo.es"/>
    <s v="Calle Güigüe Nro. 89-95"/>
    <s v="Cancelación Vigilancia, anticipo mes de Agosto y cancelación mes de Septiembre 2019"/>
    <x v="0"/>
    <m/>
    <s v="02336"/>
    <s v="11 de septiembre de 2019"/>
    <n v="11"/>
    <x v="34"/>
    <s v="24.400,00"/>
    <e v="#NAME?"/>
  </r>
  <r>
    <n v="2337"/>
    <m/>
    <x v="0"/>
    <d v="2019-09-12T00:00:00"/>
    <n v="20500"/>
    <s v="Amparo Acosta"/>
    <s v="amparonatividad@hotmail.com"/>
    <s v="Calle Guacara Nro. 88-65"/>
    <s v="Cancelación Vigilancia, mes de Septiembre 2019"/>
    <x v="0"/>
    <m/>
    <s v="02337"/>
    <s v="12 de septiembre de 2019"/>
    <n v="12"/>
    <x v="34"/>
    <s v="20.500,00"/>
    <e v="#NAME?"/>
  </r>
  <r>
    <n v="2338"/>
    <m/>
    <x v="0"/>
    <d v="2019-09-12T00:00:00"/>
    <n v="22000"/>
    <s v="Sra. Reina Meléndez"/>
    <s v="olgajipe@gmail.com"/>
    <s v="Av. &quot;M&quot; Nro. 145-10"/>
    <s v="Cancelación Vigilancia, mes de Septiembre 2019"/>
    <x v="0"/>
    <m/>
    <s v="02338"/>
    <s v="12 de septiembre de 2019"/>
    <n v="12"/>
    <x v="34"/>
    <s v="22.000,00"/>
    <e v="#NAME?"/>
  </r>
  <r>
    <n v="2339"/>
    <m/>
    <x v="0"/>
    <d v="2019-09-14T00:00:00"/>
    <n v="20500"/>
    <s v="Familia Machado Stoppa"/>
    <s v="machadoru@hotmail.com | marisa2710chardan@gmail.com"/>
    <s v="Calle Guacara Nro. 88-85"/>
    <s v="Cancelación Vigilancia, mes de Septiembre 2019"/>
    <x v="0"/>
    <m/>
    <s v="02339"/>
    <s v="14 de septiembre de 2019"/>
    <n v="14"/>
    <x v="34"/>
    <s v="20.500,00"/>
    <e v="#NAME?"/>
  </r>
  <r>
    <n v="2340"/>
    <m/>
    <x v="0"/>
    <d v="2019-09-14T00:00:00"/>
    <n v="20500"/>
    <s v="Andrea Valor"/>
    <s v="aavp992@gmail.com"/>
    <s v="Calle Guacara Nro. 88-75"/>
    <s v="Cancelación Vigilancia, mes de Septiembre 2019"/>
    <x v="0"/>
    <m/>
    <s v="02340"/>
    <s v="14 de septiembre de 2019"/>
    <n v="14"/>
    <x v="34"/>
    <s v="20.500,00"/>
    <e v="#NAME?"/>
  </r>
  <r>
    <n v="2341"/>
    <m/>
    <x v="0"/>
    <d v="2019-09-13T00:00:00"/>
    <n v="20500"/>
    <s v="Familia Delgado Hidalgo"/>
    <s v="ardh@hotmail.com"/>
    <s v="Calle Güigüe Nro. 88-10"/>
    <s v="Cancelación Vigilancia, mes de Septiembre 2019"/>
    <x v="0"/>
    <m/>
    <s v="02341"/>
    <s v="13 de septiembre de 2019"/>
    <n v="13"/>
    <x v="34"/>
    <s v="20.500,00"/>
    <e v="#NAME?"/>
  </r>
  <r>
    <n v="2342"/>
    <m/>
    <x v="0"/>
    <d v="2019-09-14T00:00:00"/>
    <n v="20500"/>
    <s v="Familia Puerta Burguillos"/>
    <s v="namaricakes@gmail.com"/>
    <s v="Calle Guacara Nro. 87-100"/>
    <s v="Cancelación Vigilancia, mes de Septiembre 2019 (US$ 1,00)"/>
    <x v="0"/>
    <m/>
    <s v="02342"/>
    <s v="14 de septiembre de 2019"/>
    <n v="14"/>
    <x v="34"/>
    <s v="20.500,00"/>
    <e v="#NAME?"/>
  </r>
  <r>
    <n v="2343"/>
    <m/>
    <x v="0"/>
    <d v="2019-09-14T00:00:00"/>
    <n v="10000"/>
    <s v="Wilson Escamilla"/>
    <s v="wilsonescamilla45@gmail.com"/>
    <s v="Calle Güigüe Nro. 89-89"/>
    <s v="Cancelación Vigilancia, mes de Agosto 2019"/>
    <x v="0"/>
    <m/>
    <s v="02343"/>
    <s v="14 de septiembre de 2019"/>
    <n v="14"/>
    <x v="34"/>
    <s v="10.000,00"/>
    <e v="#NAME?"/>
  </r>
  <r>
    <n v="2344"/>
    <m/>
    <x v="0"/>
    <d v="2019-09-14T00:00:00"/>
    <n v="20500"/>
    <s v="Wilson Escamilla"/>
    <s v="wilsonescamilla45@gmail.com"/>
    <s v="Calle Güigüe Nro. 89-89"/>
    <s v="Cancelación Vigilancia, mes de Septiembre 2019 (US$ 1,00)"/>
    <x v="0"/>
    <m/>
    <s v="02344"/>
    <s v="14 de septiembre de 2019"/>
    <n v="14"/>
    <x v="34"/>
    <s v="20.500,00"/>
    <e v="#NAME?"/>
  </r>
  <r>
    <n v="2345"/>
    <m/>
    <x v="0"/>
    <d v="2019-09-14T00:00:00"/>
    <n v="10000"/>
    <s v="Zoraida Khair"/>
    <s v="zorakhair@hotmail.com | lbracamonte@netuno.net"/>
    <s v="Calle Güigüe Nro. 88-80"/>
    <s v="Cancelación Vigilancia, anticipo mes de Octubre 2019"/>
    <x v="0"/>
    <m/>
    <s v="02345"/>
    <s v="14 de septiembre de 2019"/>
    <n v="14"/>
    <x v="34"/>
    <s v="10.000,00"/>
    <e v="#NAME?"/>
  </r>
  <r>
    <n v="2346"/>
    <m/>
    <x v="0"/>
    <d v="2019-09-12T00:00:00"/>
    <n v="35000"/>
    <s v="Familia Romero"/>
    <s v="almacenajeiri@gmail.com"/>
    <s v="Calle Guacara Nro. 89-50"/>
    <s v="Cancelación Vigilancia, meses de Agosto y Septiembre, y anticipo mes de Octubre 2019"/>
    <x v="0"/>
    <m/>
    <s v="02346"/>
    <s v="12 de septiembre de 2019"/>
    <n v="12"/>
    <x v="34"/>
    <s v="35.000,00"/>
    <e v="#NAME?"/>
  </r>
  <r>
    <n v="2347"/>
    <m/>
    <x v="0"/>
    <d v="2019-09-15T00:00:00"/>
    <n v="29725"/>
    <s v="Colegio El Trigal"/>
    <s v="En Físico"/>
    <s v="Calle Güigüe Nros. 88-71 y 88-81"/>
    <s v="Cancelación Vigilancia, mes de Septiembre 2019"/>
    <x v="0"/>
    <m/>
    <s v="02347"/>
    <s v="15 de septiembre de 2019"/>
    <n v="15"/>
    <x v="34"/>
    <s v="29.725,00"/>
    <e v="#NAME?"/>
  </r>
  <r>
    <n v="2348"/>
    <m/>
    <x v="0"/>
    <d v="2019-09-17T00:00:00"/>
    <n v="11000"/>
    <s v="Familia Castro Jiménez"/>
    <s v="aurycastrojimenez@gmail.com"/>
    <s v="Calle Guacara Nro. 90-51"/>
    <s v="Cancelación Vigilancia, saldo mes de Septiembre 2019"/>
    <x v="0"/>
    <m/>
    <s v="02348"/>
    <s v="17 de septiembre de 2019"/>
    <n v="17"/>
    <x v="34"/>
    <s v="11.000,00"/>
    <e v="#NAME?"/>
  </r>
  <r>
    <n v="2349"/>
    <m/>
    <x v="0"/>
    <d v="2019-09-18T00:00:00"/>
    <n v="21600"/>
    <s v="Familia Navarro Assing"/>
    <s v="liliaassing@gmail.com"/>
    <s v="Calle Güigüe Nro. 88-54"/>
    <s v="Cancelación Vigilancia, mes de Septiembre 2019 (US$ 1,00)"/>
    <x v="0"/>
    <m/>
    <s v="02349"/>
    <s v="18 de septiembre de 2019"/>
    <n v="18"/>
    <x v="34"/>
    <s v="21.600,00"/>
    <e v="#NAME?"/>
  </r>
  <r>
    <n v="2350"/>
    <m/>
    <x v="0"/>
    <d v="2019-09-18T00:00:00"/>
    <n v="21600"/>
    <s v="Familia Wu Acevedo"/>
    <s v="rudyacevedo90@gmail.com"/>
    <s v="Calle Guacara Nro. 88-A-10"/>
    <s v="Cancelación Vigilancia, mes de Septiembre 2019 (saldo a favor: Bs. 44.405,80)"/>
    <x v="0"/>
    <m/>
    <s v="02350"/>
    <s v="18 de septiembre de 2019"/>
    <n v="18"/>
    <x v="34"/>
    <s v="21.600,00"/>
    <e v="#NAME?"/>
  </r>
  <r>
    <n v="2351"/>
    <m/>
    <x v="0"/>
    <d v="2019-09-19T00:00:00"/>
    <n v="21600"/>
    <s v="Familia Chan García"/>
    <s v="chanalberto10@hotmail.com | endrinagarciah@gmail.com"/>
    <s v="Calle Güigüe Nro. 89-106"/>
    <s v="Cancelación Vigilancia, mes de Septiembre 2019"/>
    <x v="0"/>
    <m/>
    <s v="02351"/>
    <s v="19 de septiembre de 2019"/>
    <n v="19"/>
    <x v="34"/>
    <s v="21.600,00"/>
    <e v="#NAME?"/>
  </r>
  <r>
    <n v="2352"/>
    <m/>
    <x v="0"/>
    <d v="2019-09-19T00:00:00"/>
    <n v="21600"/>
    <s v="Familia Sirit Palencia"/>
    <s v="irasirit@gmail.com"/>
    <s v="Calle Güigüe Nro. 89-35"/>
    <s v="Cancelación Vigilancia, mes de Septiembre 2019"/>
    <x v="0"/>
    <m/>
    <s v="02352"/>
    <s v="19 de septiembre de 2019"/>
    <n v="19"/>
    <x v="34"/>
    <s v="21.600,00"/>
    <e v="#NAME?"/>
  </r>
  <r>
    <n v="2353"/>
    <m/>
    <x v="0"/>
    <d v="2019-09-19T00:00:00"/>
    <n v="22000"/>
    <s v="Familia Barreto Pérez"/>
    <s v="bbetsa19@hotmail.com"/>
    <s v="Av. &quot;M&quot; Nro. 146-15"/>
    <s v="Cancelación Vigilancia, mes de Septiembre 2019"/>
    <x v="0"/>
    <m/>
    <s v="02353"/>
    <s v="19 de septiembre de 2019"/>
    <n v="19"/>
    <x v="34"/>
    <s v="22.000,00"/>
    <e v="#NAME?"/>
  </r>
  <r>
    <n v="2354"/>
    <m/>
    <x v="0"/>
    <d v="2019-09-19T00:00:00"/>
    <n v="21600"/>
    <s v="Familia Gascón Domínguez"/>
    <s v="vrgascon@gmail.com"/>
    <s v="Calle Güigüe Nro. 88-70"/>
    <s v="Cancelación Vigilancia, mes de Septiembre 2019"/>
    <x v="0"/>
    <m/>
    <s v="02354"/>
    <s v="19 de septiembre de 2019"/>
    <n v="19"/>
    <x v="34"/>
    <s v="21.600,00"/>
    <e v="#NAME?"/>
  </r>
  <r>
    <n v="2355"/>
    <m/>
    <x v="0"/>
    <d v="2019-09-22T00:00:00"/>
    <n v="21600"/>
    <s v="Familia Abbinante Pinto"/>
    <s v="abbinante47@gmail.com"/>
    <s v="Calle Güigüe Nro. 89-120"/>
    <s v="Cancelación Vigilancia, mes de Septiembre 2019"/>
    <x v="0"/>
    <m/>
    <s v="02355"/>
    <s v="22 de septiembre de 2019"/>
    <n v="22"/>
    <x v="34"/>
    <s v="21.600,00"/>
    <e v="#NAME?"/>
  </r>
  <r>
    <n v="2356"/>
    <m/>
    <x v="0"/>
    <d v="2019-09-23T00:00:00"/>
    <n v="19800"/>
    <s v="Familia Acosta Carpio"/>
    <s v="pablo962@hotmail.com"/>
    <s v="Calle Güigüe Nro. 89-10"/>
    <s v="Cancelación Vigilancia, mes de Septiembre 2019"/>
    <x v="0"/>
    <m/>
    <s v="02356"/>
    <s v="23 de septiembre de 2019"/>
    <n v="23"/>
    <x v="34"/>
    <s v="19.800,00"/>
    <e v="#NAME?"/>
  </r>
  <r>
    <n v="2357"/>
    <m/>
    <x v="0"/>
    <d v="2019-09-23T00:00:00"/>
    <n v="19800"/>
    <s v="Familia Rodríguez Aular"/>
    <s v="vaular@kromi-market.com | mvaular@hotmail.com"/>
    <s v="Calle Güigüe Nro. 88-58"/>
    <s v="Cancelación Vigilancia, mes de Septiembre 2019"/>
    <x v="0"/>
    <m/>
    <s v="02357"/>
    <s v="23 de septiembre de 2019"/>
    <n v="23"/>
    <x v="34"/>
    <s v="19.800,00"/>
    <e v="#NAME?"/>
  </r>
  <r>
    <n v="2358"/>
    <m/>
    <x v="0"/>
    <d v="2019-09-23T00:00:00"/>
    <n v="19800"/>
    <s v="Santiago Varela"/>
    <s v="svg0583@gmail.com"/>
    <s v="Av. &quot;M&quot; Nro. 146-30"/>
    <s v="Cancelación Vigilancia, mes de Septiembre 2019"/>
    <x v="0"/>
    <m/>
    <s v="02358"/>
    <s v="23 de septiembre de 2019"/>
    <n v="23"/>
    <x v="34"/>
    <s v="19.800,00"/>
    <e v="#NAME?"/>
  </r>
  <r>
    <n v="2359"/>
    <m/>
    <x v="0"/>
    <d v="2019-09-23T00:00:00"/>
    <n v="19800"/>
    <s v="Familia López Hermoso"/>
    <s v="lopez.humberto14@yahoo.com.ve"/>
    <s v="Calle Güigüe Nro. 89-79"/>
    <s v="Cancelación Vigilancia, mes de Septiembre 2019 (saldo a favor: Bs. 200,00)"/>
    <x v="0"/>
    <m/>
    <s v="02359"/>
    <s v="23 de septiembre de 2019"/>
    <n v="23"/>
    <x v="34"/>
    <s v="19.800,00"/>
    <e v="#NAME?"/>
  </r>
  <r>
    <n v="2360"/>
    <m/>
    <x v="0"/>
    <d v="2019-09-23T00:00:00"/>
    <n v="19800"/>
    <s v="Familia Milanés Carmona"/>
    <s v="yndira11m@gmail.com"/>
    <s v="Calle Güigüe Nro. 89-65"/>
    <s v="Cancelación Vigilancia, mes de Septiembre 2019"/>
    <x v="0"/>
    <m/>
    <s v="02360"/>
    <s v="23 de septiembre de 2019"/>
    <n v="23"/>
    <x v="34"/>
    <s v="19.800,00"/>
    <e v="#NAME?"/>
  </r>
  <r>
    <n v="2361"/>
    <m/>
    <x v="0"/>
    <d v="2019-09-23T00:00:00"/>
    <n v="19800"/>
    <s v="Familia Hatem Medina"/>
    <s v="hhatem1@hotmail.com"/>
    <s v="Calle Guacara Nro. 88-51"/>
    <s v="Cancelación Vigilancia, mes de Septiembre 2019"/>
    <x v="0"/>
    <m/>
    <s v="02361"/>
    <s v="23 de septiembre de 2019"/>
    <n v="23"/>
    <x v="34"/>
    <s v="19.800,00"/>
    <e v="#NAME?"/>
  </r>
  <r>
    <n v="2362"/>
    <m/>
    <x v="0"/>
    <d v="2019-09-23T00:00:00"/>
    <n v="19800"/>
    <s v="Familia Zavarce Barón"/>
    <s v="alexanderzavarce@gmail.com"/>
    <s v="Calle Guacara Nro. 88-91"/>
    <s v="Cancelación Vigilancia, mes de Septiembre 2019"/>
    <x v="0"/>
    <m/>
    <s v="02362"/>
    <s v="23 de septiembre de 2019"/>
    <n v="23"/>
    <x v="34"/>
    <s v="19.800,00"/>
    <e v="#NAME?"/>
  </r>
  <r>
    <n v="2363"/>
    <m/>
    <x v="0"/>
    <d v="2019-09-24T00:00:00"/>
    <n v="21600"/>
    <s v="Ana de González"/>
    <s v="mikelnowak25@gmail.com"/>
    <s v="Av. &quot;O&quot; Nro. 146-17"/>
    <s v="Cancelación Vigilancia, mes de Septiembre 2019"/>
    <x v="0"/>
    <m/>
    <s v="02363"/>
    <s v="24 de septiembre de 2019"/>
    <n v="24"/>
    <x v="34"/>
    <s v="21.600,00"/>
    <e v="#NAME?"/>
  </r>
  <r>
    <n v="2364"/>
    <m/>
    <x v="0"/>
    <d v="2019-09-25T00:00:00"/>
    <n v="39600"/>
    <s v="Jocsan Orta Correa"/>
    <s v="carlos_arturox@hotmail.com"/>
    <s v="Av. &quot;L&quot; anexo de Los Tronquitos"/>
    <s v="Cancelación Vigilancia, mes de Septiembre y anticipo mes de Octubre 2019"/>
    <x v="0"/>
    <m/>
    <s v="02364"/>
    <s v="25 de septiembre de 2019"/>
    <n v="25"/>
    <x v="34"/>
    <s v="39.600,00"/>
    <e v="#NAME?"/>
  </r>
  <r>
    <n v="2365"/>
    <m/>
    <x v="0"/>
    <d v="2019-09-26T00:00:00"/>
    <n v="20000"/>
    <s v="Familia Alonso Rojas"/>
    <s v="redjc01@gmail.com"/>
    <s v="Calle Güigüe Nro. 89-54"/>
    <s v="Cancelación Vigilancia, mes de Septiembre 2019"/>
    <x v="0"/>
    <m/>
    <s v="02365"/>
    <s v="26 de septiembre de 2019"/>
    <n v="26"/>
    <x v="34"/>
    <s v="20.000,00"/>
    <e v="#NAME?"/>
  </r>
  <r>
    <n v="2366"/>
    <m/>
    <x v="0"/>
    <d v="2019-09-27T00:00:00"/>
    <n v="19800"/>
    <s v="Familia Díaz González"/>
    <s v="luisrdt57@gmail.com"/>
    <s v="Calle Güigüe Nro. 88-116"/>
    <s v="Cancelación Vigilancia, mes de Septiembre 2019"/>
    <x v="0"/>
    <m/>
    <s v="02366"/>
    <s v="27 de septiembre de 2019"/>
    <n v="27"/>
    <x v="34"/>
    <s v="19.800,00"/>
    <e v="#NAME?"/>
  </r>
  <r>
    <n v="2367"/>
    <m/>
    <x v="0"/>
    <d v="2019-09-27T00:00:00"/>
    <n v="20000"/>
    <s v="Familia Kablan Sarmiento"/>
    <s v="norisjsb56@hotmail.com"/>
    <s v="Calle Güigüe Nro. 89-80"/>
    <s v="Cancelación Vigilancia, mes de Septiembre 2019"/>
    <x v="0"/>
    <m/>
    <s v="02367"/>
    <s v="27 de septiembre de 2019"/>
    <n v="27"/>
    <x v="34"/>
    <s v="20.000,00"/>
    <e v="#NAME?"/>
  </r>
  <r>
    <n v="2368"/>
    <m/>
    <x v="0"/>
    <d v="2019-09-27T00:00:00"/>
    <n v="19800"/>
    <s v="Gloria Molina"/>
    <s v="glomola2@yahoo.es"/>
    <s v="Calle Güigüe Nro. 89-71"/>
    <s v="Cancelación Vigilancia, mes de Septiembre 2019"/>
    <x v="0"/>
    <m/>
    <s v="02368"/>
    <s v="27 de septiembre de 2019"/>
    <n v="27"/>
    <x v="34"/>
    <s v="19.800,00"/>
    <e v="#NAME?"/>
  </r>
  <r>
    <n v="2369"/>
    <m/>
    <x v="0"/>
    <d v="2019-09-28T00:00:00"/>
    <n v="19800"/>
    <s v="Familia Navarro Assing"/>
    <s v="liliaassing@gmail.com"/>
    <s v="Calle Güigüe Nro. 88-54"/>
    <s v="Cancelación Vigilancia, mes de Octubre 2019 (US$ 1,00)"/>
    <x v="0"/>
    <m/>
    <s v="02369"/>
    <s v="28 de septiembre de 2019"/>
    <n v="28"/>
    <x v="34"/>
    <s v="19.800,00"/>
    <e v="#NAME?"/>
  </r>
  <r>
    <n v="2370"/>
    <m/>
    <x v="0"/>
    <d v="2019-09-28T00:00:00"/>
    <n v="19800"/>
    <s v="Victoria Francischiello"/>
    <s v="victoriafrancischiello@hotmail.com"/>
    <s v="Calle Guacara Nro. 88-25"/>
    <s v="Cancelación Vigilancia, mes de Septiembre 2019"/>
    <x v="0"/>
    <m/>
    <s v="02370"/>
    <s v="28 de septiembre de 2019"/>
    <n v="28"/>
    <x v="34"/>
    <s v="19.800,00"/>
    <e v="#NAME?"/>
  </r>
  <r>
    <n v="2371"/>
    <m/>
    <x v="0"/>
    <d v="2019-09-28T00:00:00"/>
    <n v="19800"/>
    <s v="Familia Flores Montagne"/>
    <s v="martaflores@gmail.com"/>
    <s v="Av. &quot;M&quot; Nro. 146-20"/>
    <s v="Cancelación Vigilancia, mes de Septiembre 2019"/>
    <x v="0"/>
    <m/>
    <s v="02371"/>
    <s v="28 de septiembre de 2019"/>
    <n v="28"/>
    <x v="34"/>
    <s v="19.800,00"/>
    <e v="#NAME?"/>
  </r>
  <r>
    <n v="2372"/>
    <m/>
    <x v="0"/>
    <d v="2019-09-29T00:00:00"/>
    <n v="4800"/>
    <s v="Wu Hung Fung"/>
    <s v="carolinahung24@gmail.com | barbarahung15@hotmail.com"/>
    <s v="Calle Guacara Nro. 90-81"/>
    <s v="Cancelación Vigilancia, saldo mes de  Septiembre 2019"/>
    <x v="0"/>
    <m/>
    <s v="02372"/>
    <s v="29 de septiembre de 2019"/>
    <n v="29"/>
    <x v="34"/>
    <s v="4.800,00"/>
    <e v="#NAME?"/>
  </r>
  <r>
    <n v="2373"/>
    <m/>
    <x v="0"/>
    <d v="2019-09-29T00:00:00"/>
    <n v="15200"/>
    <s v="Wu Hung Fung"/>
    <s v="carolinahung24@gmail.com | barbarahung15@hotmail.com"/>
    <s v="Calle Guacara Nro. 90-81"/>
    <s v="Aporte para la caseta de vigilancia"/>
    <x v="13"/>
    <m/>
    <s v="02373"/>
    <s v="29 de septiembre de 2019"/>
    <n v="29"/>
    <x v="34"/>
    <s v="15.200,00"/>
    <e v="#NAME?"/>
  </r>
  <r>
    <n v="2374"/>
    <m/>
    <x v="0"/>
    <d v="2019-09-30T00:00:00"/>
    <n v="21100"/>
    <s v="Familia Martínez Boada"/>
    <s v="florcitakmz@gmail.com"/>
    <s v="Calle Güigüe Nro. 88-62"/>
    <s v="Cancelación Vigilancia, mes de Septiembre 2019"/>
    <x v="0"/>
    <m/>
    <s v="02374"/>
    <s v="30 de septiembre de 2019"/>
    <n v="30"/>
    <x v="34"/>
    <s v="21.100,00"/>
    <e v="#NAME?"/>
  </r>
  <r>
    <n v="2375"/>
    <m/>
    <x v="0"/>
    <d v="2019-09-30T00:00:00"/>
    <n v="21100"/>
    <s v="Familia Matta Palomino"/>
    <s v="En Físico"/>
    <s v="Calle Güigüe Nro. 88-90"/>
    <s v="Cancelación Vigilancia, mes de Septiembre 2019"/>
    <x v="0"/>
    <m/>
    <s v="02375"/>
    <s v="30 de septiembre de 2019"/>
    <n v="30"/>
    <x v="34"/>
    <s v="21.100,00"/>
    <e v="#NAME?"/>
  </r>
  <r>
    <n v="2376"/>
    <m/>
    <x v="0"/>
    <d v="2019-09-30T00:00:00"/>
    <n v="21100"/>
    <s v="Familia Castillo Mena"/>
    <s v="emmecas@hotmail.com"/>
    <s v="Calle Güigüe Nro. 88-101"/>
    <s v="Cancelación Vigilancia, mes de Septiembre 2019"/>
    <x v="0"/>
    <m/>
    <s v="02376"/>
    <s v="30 de septiembre de 2019"/>
    <n v="30"/>
    <x v="34"/>
    <s v="21.100,00"/>
    <e v="#NAME?"/>
  </r>
  <r>
    <n v="2377"/>
    <m/>
    <x v="0"/>
    <d v="2019-10-01T00:00:00"/>
    <n v="21100"/>
    <s v="Familia Guerra Miret"/>
    <s v="antoniojguerrag@hotmail.com"/>
    <s v="Calle Güigüe Nro. 89-40"/>
    <s v="Cancelación Vigilancia, mes de Octubre 2019"/>
    <x v="0"/>
    <m/>
    <s v="02377"/>
    <s v="01 de octubre de 2019"/>
    <n v="1"/>
    <x v="35"/>
    <s v="21.100,00"/>
    <e v="#NAME?"/>
  </r>
  <r>
    <n v="2378"/>
    <m/>
    <x v="0"/>
    <d v="2019-10-01T00:00:00"/>
    <n v="20000"/>
    <s v="Familia Rodríguez Landaeta"/>
    <s v="mrl58@hotmail.com"/>
    <s v="Calle Güigüe Nro. 89-29"/>
    <s v="Colaboración Vigilancia, meses de Septiembre y Octubre 2019"/>
    <x v="0"/>
    <m/>
    <s v="02378"/>
    <s v="01 de octubre de 2019"/>
    <n v="1"/>
    <x v="35"/>
    <s v="20.000,00"/>
    <e v="#NAME?"/>
  </r>
  <r>
    <n v="2379"/>
    <m/>
    <x v="0"/>
    <d v="2019-10-01T00:00:00"/>
    <n v="21100"/>
    <s v="Familia Franco Gómez"/>
    <s v="eof64@hotmail.com"/>
    <s v="Calle Guacara Nro. 87-07"/>
    <s v="Cancelación Vigilancia, mes de Octubre 2019"/>
    <x v="0"/>
    <m/>
    <s v="02379"/>
    <s v="01 de octubre de 2019"/>
    <n v="1"/>
    <x v="35"/>
    <s v="21.100,00"/>
    <e v="#NAME?"/>
  </r>
  <r>
    <n v="2380"/>
    <m/>
    <x v="0"/>
    <d v="2019-10-01T00:00:00"/>
    <n v="21100"/>
    <s v="Héctor Hernández"/>
    <s v="eof64@hotmail.com"/>
    <s v="Calle Guacara Nro. 89-94"/>
    <s v="Cancelación Vigilancia, mes de Octubre 2019"/>
    <x v="0"/>
    <m/>
    <s v="02380"/>
    <s v="01 de octubre de 2019"/>
    <n v="1"/>
    <x v="35"/>
    <s v="21.100,00"/>
    <e v="#NAME?"/>
  </r>
  <r>
    <n v="2381"/>
    <m/>
    <x v="0"/>
    <d v="2019-10-02T00:00:00"/>
    <n v="21100"/>
    <s v="Familia Sirit Palencia"/>
    <s v="irasirit@gmail.com"/>
    <s v="Calle Güigüe Nro. 89-35"/>
    <s v="Cancelación Vigilancia, mes de Octubre 2019"/>
    <x v="0"/>
    <m/>
    <s v="02381"/>
    <s v="02 de octubre de 2019"/>
    <n v="2"/>
    <x v="35"/>
    <s v="21.100,00"/>
    <e v="#NAME?"/>
  </r>
  <r>
    <n v="2382"/>
    <m/>
    <x v="0"/>
    <d v="2019-10-02T00:00:00"/>
    <n v="21100"/>
    <s v="Carmen Moreno"/>
    <s v="carmenemoreno10@gmail.com"/>
    <s v="Calle Güigüe Nro. 89-04"/>
    <s v="Cancelación Vigilancia, mes de Octubre 2019"/>
    <x v="0"/>
    <m/>
    <s v="02382"/>
    <s v="02 de octubre de 2019"/>
    <n v="2"/>
    <x v="35"/>
    <s v="21.100,00"/>
    <e v="#NAME?"/>
  </r>
  <r>
    <n v="2383"/>
    <m/>
    <x v="0"/>
    <d v="2019-10-02T00:00:00"/>
    <n v="21100"/>
    <s v="Familia Soto Urdaneta"/>
    <s v="esotom61@gmail.com"/>
    <s v="Calle Guacara Nro. 89-102"/>
    <s v="Cancelación Vigilancia, mes de Octubre 2019"/>
    <x v="0"/>
    <m/>
    <s v="02383"/>
    <s v="02 de octubre de 2019"/>
    <n v="2"/>
    <x v="35"/>
    <s v="21.100,00"/>
    <e v="#NAME?"/>
  </r>
  <r>
    <n v="2384"/>
    <m/>
    <x v="0"/>
    <d v="2019-10-02T00:00:00"/>
    <n v="20482.22"/>
    <s v="Familia Il Grande Franceschi"/>
    <s v="arcifran75@hotmail.com"/>
    <s v="Av. &quot;I&quot; Nro. 146-40"/>
    <s v="Cancelación Vigilancia, mes de Septiembre 2019"/>
    <x v="0"/>
    <m/>
    <s v="02384"/>
    <s v="02 de octubre de 2019"/>
    <n v="2"/>
    <x v="35"/>
    <s v="20.482,22"/>
    <e v="#NAME?"/>
  </r>
  <r>
    <n v="2385"/>
    <m/>
    <x v="0"/>
    <d v="2019-10-02T00:00:00"/>
    <n v="21100"/>
    <s v="Familia Del Negro Palermo"/>
    <s v="vdelnegro@gmail.com"/>
    <s v="Calle Guacara Nro. 88-45"/>
    <s v="Cancelación Vigilancia, mes de Octubre 2019 (saldo a favor: Bs. 15.362,95)"/>
    <x v="0"/>
    <m/>
    <s v="02385"/>
    <s v="02 de octubre de 2019"/>
    <n v="2"/>
    <x v="35"/>
    <s v="21.100,00"/>
    <e v="#NAME?"/>
  </r>
  <r>
    <n v="2386"/>
    <m/>
    <x v="0"/>
    <d v="2019-10-02T00:00:00"/>
    <n v="21100"/>
    <s v="Ely Saúl Rivero Gómez"/>
    <s v="hhs.admon@gmail.com"/>
    <s v="Av. &quot;Ñ&quot; Nro. 145-25"/>
    <s v="Cancelación Vigilancia, mes de Octubre 2019 (saldo a favor: Bs. 42.852,00)"/>
    <x v="0"/>
    <m/>
    <s v="02386"/>
    <s v="02 de octubre de 2019"/>
    <n v="2"/>
    <x v="35"/>
    <s v="21.100,00"/>
    <e v="#NAME?"/>
  </r>
  <r>
    <n v="2387"/>
    <m/>
    <x v="0"/>
    <d v="2019-10-02T00:00:00"/>
    <n v="21100"/>
    <s v="Familia Wu Acevedo"/>
    <s v="rudyacevedo90@gmail.com"/>
    <s v="Calle Guacara Nro. 88-A-10"/>
    <s v="Cancelación Vigilancia, mes de Octubre 2019 (saldo a favor: Bs. 23.305,80)"/>
    <x v="0"/>
    <m/>
    <s v="02387"/>
    <s v="02 de octubre de 2019"/>
    <n v="2"/>
    <x v="35"/>
    <s v="21.100,00"/>
    <e v="#NAME?"/>
  </r>
  <r>
    <n v="2388"/>
    <m/>
    <x v="0"/>
    <d v="2019-10-02T00:00:00"/>
    <n v="11100"/>
    <s v="Familia González Arévalo"/>
    <s v="feryenis@hotmail.com"/>
    <s v="Calle Guacara Nro. 89-86"/>
    <s v="Cancelación Vigilancia, saldo mes de Octubre 2019"/>
    <x v="0"/>
    <m/>
    <s v="02388"/>
    <s v="02 de octubre de 2019"/>
    <n v="2"/>
    <x v="35"/>
    <s v="11.100,00"/>
    <e v="#NAME?"/>
  </r>
  <r>
    <n v="2389"/>
    <m/>
    <x v="0"/>
    <d v="2019-10-02T00:00:00"/>
    <n v="20300"/>
    <s v="Familia Arcia Polanco"/>
    <s v="misipo29@gmail.com"/>
    <s v="Calle Guacara Nro. 89-20"/>
    <s v="Cancelación Vigilancia, saldo mes de Octubre 2019"/>
    <x v="0"/>
    <m/>
    <s v="02389"/>
    <s v="02 de octubre de 2019"/>
    <n v="2"/>
    <x v="35"/>
    <s v="20.300,00"/>
    <e v="#NAME?"/>
  </r>
  <r>
    <n v="2390"/>
    <m/>
    <x v="0"/>
    <d v="2019-10-02T00:00:00"/>
    <n v="21100"/>
    <s v="Amarilis Guerra"/>
    <s v="amarilisguerra1@yahoo.com"/>
    <s v="Calle Güigüe Nro. 89-96"/>
    <s v="Cancelación Vigilancia, mes de Octubre 2019"/>
    <x v="0"/>
    <m/>
    <s v="02390"/>
    <s v="02 de octubre de 2019"/>
    <n v="2"/>
    <x v="35"/>
    <s v="21.100,00"/>
    <e v="#NAME?"/>
  </r>
  <r>
    <n v="2391"/>
    <m/>
    <x v="0"/>
    <d v="2019-10-03T00:00:00"/>
    <n v="21100"/>
    <s v="Familia Nava Gordon"/>
    <s v="maru_19_66@hotmail.com"/>
    <s v="Calle Guacara Nro. 89-78"/>
    <s v="Cancelación Vigilancia, mes de Octubre 2019"/>
    <x v="0"/>
    <m/>
    <s v="02391"/>
    <s v="03 de octubre de 2019"/>
    <n v="3"/>
    <x v="35"/>
    <s v="21.100,00"/>
    <e v="#NAME?"/>
  </r>
  <r>
    <n v="2392"/>
    <m/>
    <x v="0"/>
    <d v="2019-10-03T00:00:00"/>
    <n v="42200"/>
    <s v="Familia Scabuzzo Gómez"/>
    <s v="sfscabuzzo@msn.com"/>
    <s v="Av. &quot;I&quot; Nro. 146-20"/>
    <s v="Cancelación Vigilancia, meses de Septiembre y Octubre 2019"/>
    <x v="0"/>
    <m/>
    <s v="02392"/>
    <s v="03 de octubre de 2019"/>
    <n v="3"/>
    <x v="35"/>
    <s v="42.200,00"/>
    <e v="#NAME?"/>
  </r>
  <r>
    <n v="2393"/>
    <m/>
    <x v="0"/>
    <d v="2019-10-03T00:00:00"/>
    <n v="44000"/>
    <s v="Familia Ozar Rivero"/>
    <s v="vanessarivero81@hotmail.com"/>
    <s v="Calle Güigüe Nro. 88-06"/>
    <s v="Cancelación Vigilancia, meses de Septiembre y Octubre 2019"/>
    <x v="0"/>
    <m/>
    <s v="02393"/>
    <s v="03 de octubre de 2019"/>
    <n v="3"/>
    <x v="35"/>
    <s v="44.000,00"/>
    <e v="#NAME?"/>
  </r>
  <r>
    <n v="2394"/>
    <m/>
    <x v="0"/>
    <d v="2019-10-03T00:00:00"/>
    <n v="30000"/>
    <s v="Familia Ferrer Bahri"/>
    <s v="bahrimariela@hotmail.com"/>
    <s v="Calle Güigüe Nro. 89-83"/>
    <s v="Cancelación Vigilancia, mes de Octubre 2019"/>
    <x v="0"/>
    <m/>
    <s v="02394"/>
    <s v="03 de octubre de 2019"/>
    <n v="3"/>
    <x v="35"/>
    <s v="30.000,00"/>
    <e v="#NAME?"/>
  </r>
  <r>
    <n v="2395"/>
    <m/>
    <x v="0"/>
    <d v="2019-10-04T00:00:00"/>
    <n v="21100"/>
    <s v="Familia Triana González"/>
    <s v="En Físico"/>
    <s v="Calle Guacara Nro. 90-61"/>
    <s v="Cancelación Vigilancia, mes de Octubre 2019"/>
    <x v="0"/>
    <m/>
    <s v="02395"/>
    <s v="04 de octubre de 2019"/>
    <n v="4"/>
    <x v="35"/>
    <s v="21.100,00"/>
    <e v="#NAME?"/>
  </r>
  <r>
    <n v="2396"/>
    <m/>
    <x v="0"/>
    <d v="2019-10-04T00:00:00"/>
    <n v="21100"/>
    <s v="Familia Fermín Rivas"/>
    <s v="angelferminb@gmail.com"/>
    <s v="Calle Güigüe Nro. 89-55"/>
    <s v="Cancelación Vigilancia, mes de Octubre 2019"/>
    <x v="0"/>
    <m/>
    <s v="02396"/>
    <s v="04 de octubre de 2019"/>
    <n v="4"/>
    <x v="35"/>
    <s v="21.100,00"/>
    <e v="#NAME?"/>
  </r>
  <r>
    <n v="2397"/>
    <m/>
    <x v="0"/>
    <d v="2019-10-04T00:00:00"/>
    <n v="21100"/>
    <s v="Chin Chun Ya (Goya)"/>
    <s v="uc2721@gmail.com"/>
    <s v="Calle Guacara Nro. 87-86"/>
    <s v="Cancelación Vigilancia, mes de Octubre 2019"/>
    <x v="0"/>
    <m/>
    <s v="02397"/>
    <s v="04 de octubre de 2019"/>
    <n v="4"/>
    <x v="35"/>
    <s v="21.100,00"/>
    <e v="#NAME?"/>
  </r>
  <r>
    <n v="2398"/>
    <m/>
    <x v="0"/>
    <d v="2019-10-05T00:00:00"/>
    <n v="21100"/>
    <s v="Familia Colosso Delgado"/>
    <s v="mcolosso@gmail.com"/>
    <s v="Calle Güigüe Nro. 88-44"/>
    <s v="Cancelación Vigilancia, mes de Octubre 2019"/>
    <x v="0"/>
    <m/>
    <s v="02398"/>
    <s v="05 de octubre de 2019"/>
    <n v="5"/>
    <x v="35"/>
    <s v="21.100,00"/>
    <e v="#NAME?"/>
  </r>
  <r>
    <n v="2399"/>
    <m/>
    <x v="0"/>
    <d v="2019-10-04T00:00:00"/>
    <n v="21100"/>
    <s v="Familia Zavarce Pérez"/>
    <s v="En Físico"/>
    <s v="Calle Guacara Nro. 90-35"/>
    <s v="Cancelación Vigilancia, mes de Octubre 2019"/>
    <x v="0"/>
    <m/>
    <s v="02399"/>
    <s v="04 de octubre de 2019"/>
    <n v="4"/>
    <x v="35"/>
    <s v="21.100,00"/>
    <e v="#NAME?"/>
  </r>
  <r>
    <n v="2400"/>
    <m/>
    <x v="0"/>
    <d v="2019-10-07T00:00:00"/>
    <n v="20300"/>
    <s v="Beatriz Lara"/>
    <s v="arquitectoag@gmail.com"/>
    <s v="Calle Guacara Nro. 89-130"/>
    <s v="Cancelación Vigilancia, mes de Octubre 2019 (US$ 1,00)"/>
    <x v="0"/>
    <m/>
    <s v="02400"/>
    <s v="07 de octubre de 2019"/>
    <n v="7"/>
    <x v="35"/>
    <s v="20.300,00"/>
    <e v="#NAME?"/>
  </r>
  <r>
    <n v="2401"/>
    <m/>
    <x v="0"/>
    <d v="2019-10-09T00:00:00"/>
    <n v="29435"/>
    <s v="Colegio El Trigal"/>
    <s v="En Físico"/>
    <s v="Calle Güigüe Nros. 88-71 y 88-81"/>
    <s v="Cancelación Vigilancia, mes de Octubre 2019"/>
    <x v="0"/>
    <m/>
    <s v="02401"/>
    <s v="09 de octubre de 2019"/>
    <n v="9"/>
    <x v="35"/>
    <s v="29.435,00"/>
    <e v="#NAME?"/>
  </r>
  <r>
    <n v="2402"/>
    <m/>
    <x v="0"/>
    <d v="2019-10-09T00:00:00"/>
    <n v="20300"/>
    <s v="Familia Hurtado"/>
    <s v="hurtadomilena@gmail.com"/>
    <s v="Av. &quot;O&quot; Nro. 146-11"/>
    <s v="Cancelación Vigilancia, mes de Septiembre 2019. Transferencia Banesco nro. 11536535772"/>
    <x v="0"/>
    <m/>
    <s v="02402"/>
    <s v="09 de octubre de 2019"/>
    <n v="9"/>
    <x v="35"/>
    <s v="20.300,00"/>
    <e v="#NAME?"/>
  </r>
  <r>
    <n v="2403"/>
    <m/>
    <x v="0"/>
    <d v="2019-10-10T00:00:00"/>
    <n v="20300"/>
    <s v="Familia Castro Jiménez"/>
    <s v="aurycastrojimenez@gmail.com"/>
    <s v="Calle Guacara Nro. 90-51"/>
    <s v="Cancelación Vigilancia, mes de Octubre 2019"/>
    <x v="0"/>
    <m/>
    <s v="02403"/>
    <s v="10 de octubre de 2019"/>
    <n v="10"/>
    <x v="35"/>
    <s v="20.300,00"/>
    <e v="#NAME?"/>
  </r>
  <r>
    <n v="2404"/>
    <m/>
    <x v="0"/>
    <d v="2019-10-10T00:00:00"/>
    <n v="24700"/>
    <s v="Familia Castro Jiménez"/>
    <s v="aurycastrojimenez@gmail.com"/>
    <s v="Calle Guacara Nro. 90-51"/>
    <s v="Colaboración para comida de vigilantes"/>
    <x v="9"/>
    <m/>
    <s v="02404"/>
    <s v="10 de octubre de 2019"/>
    <n v="10"/>
    <x v="35"/>
    <s v="24.700,00"/>
    <e v="#NAME?"/>
  </r>
  <r>
    <n v="2405"/>
    <m/>
    <x v="0"/>
    <d v="2019-10-10T00:00:00"/>
    <n v="23300"/>
    <s v="Dra. Lilia Magallanes"/>
    <s v="liliamagallanes2010@gmail.com"/>
    <s v="Calle Güigüe Nro. 88-51"/>
    <s v="Cancelación Vigilancia, mes de Octubre 2019"/>
    <x v="0"/>
    <m/>
    <s v="02405"/>
    <s v="10 de octubre de 2019"/>
    <n v="10"/>
    <x v="35"/>
    <s v="23.300,00"/>
    <e v="#NAME?"/>
  </r>
  <r>
    <n v="2406"/>
    <m/>
    <x v="0"/>
    <d v="2019-10-11T00:00:00"/>
    <n v="20000"/>
    <s v="Sra. Reina Meléndez"/>
    <s v="olgajipe@gmail.com"/>
    <s v="Av. &quot;M&quot; Nro. 145-10"/>
    <s v="Cancelación Vigilancia, mes de Octubre 2019"/>
    <x v="0"/>
    <m/>
    <s v="02406"/>
    <s v="11 de octubre de 2019"/>
    <n v="11"/>
    <x v="35"/>
    <s v="20.000,00"/>
    <e v="#NAME?"/>
  </r>
  <r>
    <n v="2407"/>
    <m/>
    <x v="0"/>
    <d v="2019-10-11T00:00:00"/>
    <n v="15000"/>
    <s v="Familia Méndez Parra"/>
    <s v="briceidademendez@gmail.com"/>
    <s v="Calle Guacara Nro. 88-19"/>
    <s v="Colaboración Vigilancia, mes de Octubre 2019"/>
    <x v="0"/>
    <m/>
    <s v="02407"/>
    <s v="11 de octubre de 2019"/>
    <n v="11"/>
    <x v="35"/>
    <s v="15.000,00"/>
    <e v="#NAME?"/>
  </r>
  <r>
    <n v="2408"/>
    <m/>
    <x v="0"/>
    <d v="2019-10-11T00:00:00"/>
    <n v="11000"/>
    <s v="Zoraida Khair"/>
    <s v="zorakhair@hotmail.com | lbracamonte@netuno.net"/>
    <s v="Calle Güigüe Nro. 88-80"/>
    <s v="Cancelación Vigilancia, saldo mes de Octubre 2019"/>
    <x v="0"/>
    <m/>
    <s v="02408"/>
    <s v="11 de octubre de 2019"/>
    <n v="11"/>
    <x v="35"/>
    <s v="11.000,00"/>
    <e v="#NAME?"/>
  </r>
  <r>
    <n v="2409"/>
    <m/>
    <x v="0"/>
    <d v="2019-10-12T00:00:00"/>
    <n v="90000"/>
    <s v="Familia Zhen"/>
    <s v="En Físico"/>
    <s v="Calle Guacara Nro. 88-55"/>
    <s v="Cancelación Vigilancia, meses de Mayo, Junio, Julio, Agosto y Septiembre, y anticipo mes de Octubre 2019"/>
    <x v="0"/>
    <m/>
    <s v="02409"/>
    <s v="12 de octubre de 2019"/>
    <n v="12"/>
    <x v="35"/>
    <s v="90.000,00"/>
    <e v="#NAME?"/>
  </r>
  <r>
    <n v="2410"/>
    <m/>
    <x v="0"/>
    <d v="2019-10-13T00:00:00"/>
    <n v="20000"/>
    <s v="Familia Milanés Carmona"/>
    <s v="yndira11m@gmail.com"/>
    <s v="Calle Güigüe Nro. 89-65"/>
    <s v="Cancelación Vigilancia, mes de Octubre 2019"/>
    <x v="0"/>
    <m/>
    <s v="02410"/>
    <s v="13 de octubre de 2019"/>
    <n v="13"/>
    <x v="35"/>
    <s v="20.000,00"/>
    <e v="#NAME?"/>
  </r>
  <r>
    <n v="2411"/>
    <m/>
    <x v="0"/>
    <d v="2019-10-14T00:00:00"/>
    <n v="25000"/>
    <s v="Familia Durvelle Serrano"/>
    <s v="sdurvelle@hotmail.com"/>
    <s v="Calle Guacara Nro. 89-60"/>
    <s v="Cancelación Vigilancia, mes de Octubre 2019"/>
    <x v="0"/>
    <m/>
    <s v="02411"/>
    <s v="14 de octubre de 2019"/>
    <n v="14"/>
    <x v="35"/>
    <s v="25.000,00"/>
    <e v="#NAME?"/>
  </r>
  <r>
    <n v="2412"/>
    <m/>
    <x v="0"/>
    <d v="2019-10-14T00:00:00"/>
    <n v="19800"/>
    <s v="Familia Rodríguez Girón"/>
    <s v="daniellegt4@gmail.com"/>
    <s v="Calle Güigüe Nro. 89-22"/>
    <s v="Cancelación Vigilancia, mes de Octubre 2019"/>
    <x v="0"/>
    <m/>
    <s v="02412"/>
    <s v="14 de octubre de 2019"/>
    <n v="14"/>
    <x v="35"/>
    <s v="19.800,00"/>
    <e v="#NAME?"/>
  </r>
  <r>
    <n v="2413"/>
    <m/>
    <x v="0"/>
    <d v="2019-10-14T00:00:00"/>
    <n v="19800"/>
    <s v="Andrea Valor"/>
    <s v="aavp992@gmail.com"/>
    <s v="Calle Guacara Nro. 88-75"/>
    <s v="Cancelación Vigilancia, mes de Octubre 2019"/>
    <x v="0"/>
    <m/>
    <s v="02413"/>
    <s v="14 de octubre de 2019"/>
    <n v="14"/>
    <x v="35"/>
    <s v="19.800,00"/>
    <e v="#NAME?"/>
  </r>
  <r>
    <n v="2414"/>
    <m/>
    <x v="0"/>
    <d v="2019-10-14T00:00:00"/>
    <n v="19800"/>
    <s v="Familia Montilla García"/>
    <s v="dairy252525@hotmail.com"/>
    <s v="Calle Güigüe Nro. 89-90"/>
    <s v="Cancelación Vigilancia, mes de Octubre 2019"/>
    <x v="0"/>
    <m/>
    <s v="02414"/>
    <s v="14 de octubre de 2019"/>
    <n v="14"/>
    <x v="35"/>
    <s v="19.800,00"/>
    <e v="#NAME?"/>
  </r>
  <r>
    <n v="2415"/>
    <m/>
    <x v="0"/>
    <d v="2019-10-14T00:00:00"/>
    <n v="19800"/>
    <s v="Familia Barreto Pérez"/>
    <s v="bbetsa19@hotmail.com"/>
    <s v="Av. &quot;M&quot; Nro. 146-15"/>
    <s v="Cancelación Vigilancia, mes de Octubre 2019"/>
    <x v="0"/>
    <m/>
    <s v="02415"/>
    <s v="14 de octubre de 2019"/>
    <n v="14"/>
    <x v="35"/>
    <s v="19.800,00"/>
    <e v="#NAME?"/>
  </r>
  <r>
    <n v="2416"/>
    <m/>
    <x v="0"/>
    <d v="2019-10-14T00:00:00"/>
    <n v="20000"/>
    <s v="Familia Kablan Sarmiento"/>
    <s v="norisjsb56@hotmail.com"/>
    <s v="Calle Güigüe Nro. 89-80"/>
    <s v="Cancelación Vigilancia, mes de Octubre 2019"/>
    <x v="0"/>
    <m/>
    <s v="02416"/>
    <s v="14 de octubre de 2019"/>
    <n v="14"/>
    <x v="35"/>
    <s v="20.000,00"/>
    <e v="#NAME?"/>
  </r>
  <r>
    <n v="2417"/>
    <m/>
    <x v="1"/>
    <d v="2019-10-14T00:00:00"/>
    <n v="25000"/>
    <s v="Familia Lomeña Agudo"/>
    <s v="claudialomena@hotmail.com"/>
    <s v="Calle Guacara Nro. 89-30"/>
    <s v="REVERTIDO: Cancelación Vigilancia, mes de Octubre 2019"/>
    <x v="12"/>
    <m/>
    <s v="02417"/>
    <s v="14 de octubre de 2019"/>
    <n v="14"/>
    <x v="35"/>
    <s v="25.000,00"/>
    <e v="#NAME?"/>
  </r>
  <r>
    <n v="2418"/>
    <m/>
    <x v="0"/>
    <d v="2019-10-15T00:00:00"/>
    <n v="40000"/>
    <s v="Familia Puerta Burguillos"/>
    <s v="namaricakes@gmail.com"/>
    <s v="Calle Guacara Nro. 87-100"/>
    <s v="Cancelación Vigilancia, mes de Octubre 2019"/>
    <x v="0"/>
    <m/>
    <s v="02418"/>
    <s v="15 de octubre de 2019"/>
    <n v="15"/>
    <x v="35"/>
    <s v="40.000,00"/>
    <e v="#NAME?"/>
  </r>
  <r>
    <n v="2419"/>
    <m/>
    <x v="0"/>
    <d v="2019-10-16T00:00:00"/>
    <n v="19800"/>
    <s v="Familia Machado Stoppa"/>
    <s v="machadoru@hotmail.com | marisa2710chardan@gmail.com"/>
    <s v="Calle Guacara Nro. 88-85"/>
    <s v="Cancelación Vigilancia, mes de Octubre 2019"/>
    <x v="0"/>
    <m/>
    <s v="02419"/>
    <s v="16 de octubre de 2019"/>
    <n v="16"/>
    <x v="35"/>
    <s v="19.800,00"/>
    <e v="#NAME?"/>
  </r>
  <r>
    <n v="2420"/>
    <m/>
    <x v="0"/>
    <d v="2019-10-16T00:00:00"/>
    <n v="19800"/>
    <s v="Familia Delgado Hidalgo"/>
    <s v="ardh@hotmail.com"/>
    <s v="Calle Güigüe Nro. 88-10"/>
    <s v="Cancelación Vigilancia, mes de Octubre 2019"/>
    <x v="0"/>
    <m/>
    <s v="02420"/>
    <s v="16 de octubre de 2019"/>
    <n v="16"/>
    <x v="35"/>
    <s v="19.800,00"/>
    <e v="#NAME?"/>
  </r>
  <r>
    <n v="2421"/>
    <m/>
    <x v="0"/>
    <d v="2019-10-16T00:00:00"/>
    <n v="19800"/>
    <s v="Familia Matta Palomino"/>
    <s v="En Físico"/>
    <s v="Calle Güigüe Nro. 88-90"/>
    <s v="Cancelación Vigilancia, mes de Octubre 2019"/>
    <x v="0"/>
    <m/>
    <s v="02421"/>
    <s v="16 de octubre de 2019"/>
    <n v="16"/>
    <x v="35"/>
    <s v="19.800,00"/>
    <e v="#NAME?"/>
  </r>
  <r>
    <n v="2422"/>
    <m/>
    <x v="0"/>
    <d v="2019-10-17T00:00:00"/>
    <n v="19800"/>
    <s v="Familia Gascón Domínguez"/>
    <s v="vrgascon@gmail.com"/>
    <s v="Calle Güigüe Nro. 88-70"/>
    <s v="Cancelación Vigilancia, mes de Octubre 2019"/>
    <x v="0"/>
    <m/>
    <s v="02422"/>
    <s v="17 de octubre de 2019"/>
    <n v="17"/>
    <x v="35"/>
    <s v="19.800,00"/>
    <e v="#NAME?"/>
  </r>
  <r>
    <n v="2423"/>
    <m/>
    <x v="0"/>
    <d v="2019-10-17T00:00:00"/>
    <n v="25000"/>
    <s v="Familia Lomeña Agudo"/>
    <s v="claudialomena@hotmail.com"/>
    <s v="Calle Guacara Nro. 89-30"/>
    <s v="Cancelación Vigilancia, anticipo mes de Octubre 2019"/>
    <x v="0"/>
    <m/>
    <s v="02423"/>
    <s v="17 de octubre de 2019"/>
    <n v="17"/>
    <x v="35"/>
    <s v="25.000,00"/>
    <e v="#NAME?"/>
  </r>
  <r>
    <n v="2424"/>
    <m/>
    <x v="0"/>
    <d v="2019-10-17T00:00:00"/>
    <n v="19800"/>
    <s v="Familia Ochoa Mendoza"/>
    <s v="marisoljudithm@hotmail.com"/>
    <s v="Calle Guacara Nro. 89-130"/>
    <s v="Cancelación Vigilancia, mes de Octubre 2019"/>
    <x v="0"/>
    <m/>
    <s v="02424"/>
    <s v="17 de octubre de 2019"/>
    <n v="17"/>
    <x v="35"/>
    <s v="19.800,00"/>
    <e v="#NAME?"/>
  </r>
  <r>
    <n v="2425"/>
    <m/>
    <x v="0"/>
    <d v="2019-10-17T00:00:00"/>
    <n v="19800"/>
    <s v="Familia Hatem Medina"/>
    <s v="hhatem1@hotmail.com"/>
    <s v="Calle Guacara Nro. 88-51"/>
    <s v="Cancelación Vigilancia, mes de Octubre 2019"/>
    <x v="0"/>
    <m/>
    <s v="02425"/>
    <s v="17 de octubre de 2019"/>
    <n v="17"/>
    <x v="35"/>
    <s v="19.800,00"/>
    <e v="#NAME?"/>
  </r>
  <r>
    <n v="2426"/>
    <m/>
    <x v="0"/>
    <d v="2019-10-19T00:00:00"/>
    <n v="20000"/>
    <s v="Familia Jiménez Navarro"/>
    <s v="joyasonline2012@gmail.com"/>
    <s v="Calle Güigüe Nro. 88-50"/>
    <s v="Cancelación Vigilancia, anticipo mes de Octubre 2019"/>
    <x v="0"/>
    <m/>
    <s v="02426"/>
    <s v="19 de octubre de 2019"/>
    <n v="19"/>
    <x v="35"/>
    <s v="20.000,00"/>
    <e v="#NAME?"/>
  </r>
  <r>
    <n v="2427"/>
    <m/>
    <x v="0"/>
    <d v="2019-10-20T00:00:00"/>
    <n v="30000"/>
    <s v="Familia Milanés Carmona"/>
    <s v="yndira11m@gmail.com"/>
    <s v="Calle Güigüe Nro. 89-65"/>
    <s v="Cancelación Vigilancia, mes de Octubre 2019"/>
    <x v="0"/>
    <m/>
    <s v="02427"/>
    <s v="20 de octubre de 2019"/>
    <n v="20"/>
    <x v="35"/>
    <s v="30.000,00"/>
    <e v="#NAME?"/>
  </r>
  <r>
    <n v="2428"/>
    <m/>
    <x v="0"/>
    <d v="2019-10-20T00:00:00"/>
    <n v="27200"/>
    <s v="Familia Ochoa Mendoza"/>
    <s v="marisoljudithm@hotmail.com"/>
    <s v="Calle Guacara Nro. 89-130"/>
    <s v="Cancelación Vigilancia, mes de Octubre 2019"/>
    <x v="0"/>
    <m/>
    <s v="02428"/>
    <s v="20 de octubre de 2019"/>
    <n v="20"/>
    <x v="35"/>
    <s v="27.200,00"/>
    <e v="#NAME?"/>
  </r>
  <r>
    <n v="2429"/>
    <m/>
    <x v="0"/>
    <d v="2019-10-20T00:00:00"/>
    <n v="27200"/>
    <s v="Familia Hatem Medina"/>
    <s v="hhatem1@hotmail.com"/>
    <s v="Calle Guacara Nro. 88-51"/>
    <s v="Cancelación Vigilancia, mes de Octubre 2019"/>
    <x v="0"/>
    <m/>
    <s v="02429"/>
    <s v="20 de octubre de 2019"/>
    <n v="20"/>
    <x v="35"/>
    <s v="27.200,00"/>
    <e v="#NAME?"/>
  </r>
  <r>
    <n v="2430"/>
    <m/>
    <x v="0"/>
    <d v="2019-10-20T00:00:00"/>
    <n v="28200"/>
    <s v="Familia Arcia Polanco"/>
    <s v="misipo29@gmail.com"/>
    <s v="Calle Guacara Nro. 89-20"/>
    <s v="Cancelación Vigilancia, saldo mes de Octubre 2019"/>
    <x v="0"/>
    <m/>
    <s v="02430"/>
    <s v="20 de octubre de 2019"/>
    <n v="20"/>
    <x v="35"/>
    <s v="28.200,00"/>
    <e v="#NAME?"/>
  </r>
  <r>
    <n v="2431"/>
    <m/>
    <x v="0"/>
    <d v="2019-10-20T00:00:00"/>
    <n v="25900"/>
    <s v="Ely Saúl Rivero Gómez"/>
    <s v="hhs.admon@gmail.com"/>
    <s v="Av. &quot;Ñ&quot; Nro. 145-25"/>
    <s v="Cancelación Vigilancia, saldo mes de Octubre 2019 (saldo a favor: Bs. 16.952,00)"/>
    <x v="0"/>
    <m/>
    <s v="02431"/>
    <s v="20 de octubre de 2019"/>
    <n v="20"/>
    <x v="35"/>
    <s v="25.900,00"/>
    <e v="#NAME?"/>
  </r>
  <r>
    <n v="2432"/>
    <m/>
    <x v="0"/>
    <d v="2019-10-20T00:00:00"/>
    <n v="27000"/>
    <s v="Familia Jiménez Navarro"/>
    <s v="joyasonline2012@gmail.com"/>
    <s v="Calle Güigüe Nro. 88-50"/>
    <s v="Cancelación Vigilancia, saldo mes de Octubre 2019"/>
    <x v="0"/>
    <m/>
    <s v="02432"/>
    <s v="20 de octubre de 2019"/>
    <n v="20"/>
    <x v="35"/>
    <s v="27.000,00"/>
    <e v="#NAME?"/>
  </r>
  <r>
    <n v="2433"/>
    <m/>
    <x v="0"/>
    <d v="2019-10-21T00:00:00"/>
    <n v="47000"/>
    <s v="Familia López Hermoso"/>
    <s v="lopez.humberto14@yahoo.com.ve"/>
    <s v="Calle Güigüe Nro. 89-79"/>
    <s v="Cancelación Vigilancia, mes de Octubre 2019 (saldo a favor: Bs. 200,00)"/>
    <x v="0"/>
    <m/>
    <s v="02433"/>
    <s v="21 de octubre de 2019"/>
    <n v="21"/>
    <x v="35"/>
    <s v="47.000,00"/>
    <e v="#NAME?"/>
  </r>
  <r>
    <n v="2434"/>
    <m/>
    <x v="0"/>
    <d v="2019-10-21T00:00:00"/>
    <n v="7000"/>
    <s v="Familia Puerta Burguillos"/>
    <s v="namaricakes@gmail.com"/>
    <s v="Calle Guacara Nro. 87-100"/>
    <s v="Cancelación Vigilancia, saldo mes de Octubre 2019"/>
    <x v="0"/>
    <m/>
    <s v="02434"/>
    <s v="21 de octubre de 2019"/>
    <n v="21"/>
    <x v="35"/>
    <s v="7.000,00"/>
    <e v="#NAME?"/>
  </r>
  <r>
    <n v="2435"/>
    <m/>
    <x v="0"/>
    <d v="2019-10-21T00:00:00"/>
    <n v="23000"/>
    <s v="Familia Lomeña Agudo"/>
    <s v="claudialomena@hotmail.com"/>
    <s v="Calle Guacara Nro. 89-30"/>
    <s v="Cancelación Vigilancia, saldo mes de Octubre 2019"/>
    <x v="0"/>
    <m/>
    <s v="02435"/>
    <s v="21 de octubre de 2019"/>
    <n v="21"/>
    <x v="35"/>
    <s v="23.000,00"/>
    <e v="#NAME?"/>
  </r>
  <r>
    <n v="2436"/>
    <m/>
    <x v="0"/>
    <d v="2019-10-21T00:00:00"/>
    <n v="28800"/>
    <s v="Familia Rodríguez Girón"/>
    <s v="daniellegt4@gmail.com"/>
    <s v="Calle Güigüe Nro. 89-22"/>
    <s v="Cancelación Vigilancia, saldo mes de Octubre 2019"/>
    <x v="0"/>
    <m/>
    <s v="02436"/>
    <s v="21 de octubre de 2019"/>
    <n v="21"/>
    <x v="35"/>
    <s v="28.800,00"/>
    <e v="#NAME?"/>
  </r>
  <r>
    <n v="2437"/>
    <m/>
    <x v="0"/>
    <d v="2019-10-21T00:00:00"/>
    <n v="25900"/>
    <s v="Familia Fermín Rivas"/>
    <s v="angelferminb@gmail.com"/>
    <s v="Calle Güigüe Nro. 89-55"/>
    <s v="Cancelación Vigilancia, saldo mes de Octubre 2019"/>
    <x v="0"/>
    <m/>
    <s v="02437"/>
    <s v="21 de octubre de 2019"/>
    <n v="21"/>
    <x v="35"/>
    <s v="25.900,00"/>
    <e v="#NAME?"/>
  </r>
  <r>
    <n v="2438"/>
    <m/>
    <x v="0"/>
    <d v="2019-10-21T00:00:00"/>
    <n v="25900"/>
    <s v="Familia Colosso Delgado"/>
    <s v="mcolosso@gmail.com"/>
    <s v="Calle Güigüe Nro. 88-44"/>
    <s v="Cancelación Vigilancia, saldo mes de Octubre 2019"/>
    <x v="0"/>
    <m/>
    <s v="02438"/>
    <s v="21 de octubre de 2019"/>
    <n v="21"/>
    <x v="35"/>
    <s v="25.900,00"/>
    <e v="#NAME?"/>
  </r>
  <r>
    <n v="2439"/>
    <m/>
    <x v="0"/>
    <d v="2019-10-21T00:00:00"/>
    <n v="28200"/>
    <s v="Familia Nava Gordon"/>
    <s v="maru_19_66@hotmail.com"/>
    <s v="Calle Guacara Nro. 89-78"/>
    <s v="Cancelación Vigilancia, saldo mes de Octubre y anticipo mes de Noviembre 2019"/>
    <x v="0"/>
    <m/>
    <s v="02439"/>
    <s v="21 de octubre de 2019"/>
    <n v="21"/>
    <x v="35"/>
    <s v="28.200,00"/>
    <e v="#NAME?"/>
  </r>
  <r>
    <n v="2440"/>
    <m/>
    <x v="0"/>
    <d v="2019-10-21T00:00:00"/>
    <n v="27000"/>
    <s v="Familia Triana González"/>
    <s v="En Físico"/>
    <s v="Calle Guacara Nro. 90-61"/>
    <s v="Cancelación Vigilancia, saldo mes de Octubre 2019"/>
    <x v="0"/>
    <m/>
    <s v="02440"/>
    <s v="21 de octubre de 2019"/>
    <n v="21"/>
    <x v="35"/>
    <s v="27.000,00"/>
    <e v="#NAME?"/>
  </r>
  <r>
    <n v="2441"/>
    <m/>
    <x v="0"/>
    <d v="2019-10-21T00:00:00"/>
    <n v="29800"/>
    <s v="Familia Astor Zamora"/>
    <s v="imzastor@gmail.com"/>
    <s v="Calle Güigüe Nro. 88-111"/>
    <s v="Cancelación Vigilancia, meses de Agosto y Septiembre 2019"/>
    <x v="0"/>
    <m/>
    <s v="02441"/>
    <s v="21 de octubre de 2019"/>
    <n v="21"/>
    <x v="35"/>
    <s v="29.800,00"/>
    <e v="#NAME?"/>
  </r>
  <r>
    <n v="2442"/>
    <m/>
    <x v="0"/>
    <d v="2019-10-21T00:00:00"/>
    <n v="26700"/>
    <s v="Beatriz Lara"/>
    <s v="arquitectoag@gmail.com"/>
    <s v="Calle Guacara Nro. 89-130"/>
    <s v="Cancelación Vigilancia, saldo mes de Octubre 2019 (US$ 1,50)"/>
    <x v="0"/>
    <m/>
    <s v="02442"/>
    <s v="21 de octubre de 2019"/>
    <n v="21"/>
    <x v="35"/>
    <s v="26.700,00"/>
    <e v="#NAME?"/>
  </r>
  <r>
    <n v="2443"/>
    <m/>
    <x v="0"/>
    <d v="2019-10-21T00:00:00"/>
    <n v="25900"/>
    <s v="Familia Wu Acevedo"/>
    <s v="rudyacevedo90@gmail.com"/>
    <s v="Calle Guacara Nro. 88-A-10"/>
    <s v="Cancelación Vigilancia, saldo mes de Octubre 2019 (saldo a favor: Bs. 197.405,80)"/>
    <x v="0"/>
    <m/>
    <s v="02443"/>
    <s v="21 de octubre de 2019"/>
    <n v="21"/>
    <x v="35"/>
    <s v="25.900,00"/>
    <e v="#NAME?"/>
  </r>
  <r>
    <n v="2444"/>
    <m/>
    <x v="0"/>
    <d v="2019-10-22T00:00:00"/>
    <n v="28065"/>
    <s v="Familia Castro Jiménez"/>
    <s v="aurycastrojimenez@gmail.com"/>
    <s v="Calle Guacara Nro. 90-51"/>
    <s v="Cancelación Vigilancia, saldo mes de Octubre 2019"/>
    <x v="0"/>
    <m/>
    <s v="02444"/>
    <s v="22 de octubre de 2019"/>
    <n v="22"/>
    <x v="35"/>
    <s v="28.065,00"/>
    <e v="#NAME?"/>
  </r>
  <r>
    <n v="2445"/>
    <m/>
    <x v="0"/>
    <d v="2019-10-22T00:00:00"/>
    <n v="30000"/>
    <s v="Chin Chun Ya (Goya)"/>
    <s v="uc2721@gmail.com"/>
    <s v="Calle Guacara Nro. 87-86"/>
    <s v="Cancelación Vigilancia, saldo mes de Octubre 2019"/>
    <x v="0"/>
    <m/>
    <s v="02445"/>
    <s v="22 de octubre de 2019"/>
    <n v="22"/>
    <x v="35"/>
    <s v="30.000,00"/>
    <e v="#NAME?"/>
  </r>
  <r>
    <n v="2446"/>
    <m/>
    <x v="0"/>
    <d v="2019-10-22T00:00:00"/>
    <n v="47000"/>
    <s v="Familia Manrique Riera"/>
    <s v="patriciamanrique@gmail.com"/>
    <s v="Calle Guacara Nro. 89-40"/>
    <s v="Cancelación Vigilancia, mes de Octubre 2019"/>
    <x v="0"/>
    <m/>
    <s v="02446"/>
    <s v="22 de octubre de 2019"/>
    <n v="22"/>
    <x v="35"/>
    <s v="47.000,00"/>
    <e v="#NAME?"/>
  </r>
  <r>
    <n v="2447"/>
    <m/>
    <x v="0"/>
    <d v="2019-10-22T00:00:00"/>
    <n v="25900"/>
    <s v="Carmen Moreno"/>
    <s v="carmenemoreno10@gmail.com"/>
    <s v="Calle Güigüe Nro. 89-04"/>
    <s v="Cancelación Vigilancia, saldo mes de Octubre 2019"/>
    <x v="0"/>
    <m/>
    <s v="02447"/>
    <s v="22 de octubre de 2019"/>
    <n v="22"/>
    <x v="35"/>
    <s v="25.900,00"/>
    <e v="#NAME?"/>
  </r>
  <r>
    <n v="2448"/>
    <m/>
    <x v="0"/>
    <d v="2019-10-22T00:00:00"/>
    <n v="25900"/>
    <s v="Familia González Arévalo"/>
    <s v="feryenis@hotmail.com"/>
    <s v="Calle Guacara Nro. 89-86"/>
    <s v="Cancelación Vigilancia, saldo mes de Octubre 2019"/>
    <x v="0"/>
    <m/>
    <s v="02448"/>
    <s v="22 de octubre de 2019"/>
    <n v="22"/>
    <x v="35"/>
    <s v="25.900,00"/>
    <e v="#NAME?"/>
  </r>
  <r>
    <n v="2449"/>
    <m/>
    <x v="0"/>
    <d v="2019-10-23T00:00:00"/>
    <n v="47000"/>
    <s v="Familia Chan García"/>
    <s v="chanalberto10@hotmail.com | endrinagarciah@gmail.com"/>
    <s v="Calle Güigüe Nro. 89-106"/>
    <s v="Cancelación Vigilancia, mes de Octubre 2019"/>
    <x v="0"/>
    <m/>
    <s v="02449"/>
    <s v="23 de octubre de 2019"/>
    <n v="23"/>
    <x v="35"/>
    <s v="47.000,00"/>
    <e v="#NAME?"/>
  </r>
  <r>
    <n v="2450"/>
    <m/>
    <x v="0"/>
    <d v="2019-10-23T00:00:00"/>
    <n v="27200"/>
    <s v="Familia Barreto Pérez"/>
    <s v="bbetsa19@hotmail.com"/>
    <s v="Av. &quot;M&quot; Nro. 146-15"/>
    <s v="Cancelación Vigilancia, saldo mes de Octubre 2019"/>
    <x v="0"/>
    <m/>
    <s v="02450"/>
    <s v="23 de octubre de 2019"/>
    <n v="23"/>
    <x v="35"/>
    <s v="27.200,00"/>
    <e v="#NAME?"/>
  </r>
  <r>
    <n v="2451"/>
    <m/>
    <x v="0"/>
    <d v="2019-10-23T00:00:00"/>
    <n v="47000"/>
    <s v="Familia Díaz González"/>
    <s v="luisrdt57@gmail.com"/>
    <s v="Calle Güigüe Nro. 88-116"/>
    <s v="Cancelación Vigilancia, mes de Octubre 2019"/>
    <x v="0"/>
    <m/>
    <s v="02451"/>
    <s v="23 de octubre de 2019"/>
    <n v="23"/>
    <x v="35"/>
    <s v="47.000,00"/>
    <e v="#NAME?"/>
  </r>
  <r>
    <n v="2452"/>
    <m/>
    <x v="0"/>
    <d v="2019-10-23T00:00:00"/>
    <n v="47000"/>
    <s v="Familia Loponte Arteaga"/>
    <s v="En Físico"/>
    <s v="Calle Güigüe Nro. 88-120"/>
    <s v="Cancelación Vigilancia, mes de Octubre 2019"/>
    <x v="0"/>
    <m/>
    <s v="02452"/>
    <s v="23 de octubre de 2019"/>
    <n v="23"/>
    <x v="35"/>
    <s v="47.000,00"/>
    <e v="#NAME?"/>
  </r>
  <r>
    <n v="2453"/>
    <m/>
    <x v="0"/>
    <d v="2019-10-24T00:00:00"/>
    <n v="17000"/>
    <s v="Familia Ferrer Bahri"/>
    <s v="bahrimariela@hotmail.com"/>
    <s v="Calle Güigüe Nro. 89-83"/>
    <s v="Cancelación Vigilancia, saldo mes de Octubre 2019"/>
    <x v="0"/>
    <m/>
    <s v="02453"/>
    <s v="24 de octubre de 2019"/>
    <n v="24"/>
    <x v="35"/>
    <s v="17.000,00"/>
    <e v="#NAME?"/>
  </r>
  <r>
    <n v="2454"/>
    <m/>
    <x v="0"/>
    <d v="2019-10-24T00:00:00"/>
    <n v="27000"/>
    <s v="Sra. Reina Meléndez"/>
    <s v="olgajipe@gmail.com"/>
    <s v="Av. &quot;M&quot; Nro. 145-10"/>
    <s v="Cancelación Vigilancia, saldo mes de Octubre 2019"/>
    <x v="0"/>
    <m/>
    <s v="02454"/>
    <s v="24 de octubre de 2019"/>
    <n v="24"/>
    <x v="35"/>
    <s v="27.000,00"/>
    <e v="#NAME?"/>
  </r>
  <r>
    <n v="2455"/>
    <m/>
    <x v="0"/>
    <d v="2019-10-24T00:00:00"/>
    <n v="48000"/>
    <s v="Familia Kattar González"/>
    <s v="jagiak123@yahoo.es"/>
    <s v="Calle Güigüe Nro. 89-95"/>
    <s v="Cancelación Vigilancia, mes de Octubre 2019"/>
    <x v="0"/>
    <m/>
    <s v="02455"/>
    <s v="24 de octubre de 2019"/>
    <n v="24"/>
    <x v="35"/>
    <s v="48.000,00"/>
    <e v="#NAME?"/>
  </r>
  <r>
    <n v="2456"/>
    <m/>
    <x v="0"/>
    <d v="2019-10-24T00:00:00"/>
    <n v="25900"/>
    <s v="Familia Soto Urdaneta"/>
    <s v="esotom61@gmail.com"/>
    <s v="Calle Guacara Nro. 89-102"/>
    <s v="Cancelación Vigilancia, saldo mes de Octubre 2019"/>
    <x v="0"/>
    <m/>
    <s v="02456"/>
    <s v="24 de octubre de 2019"/>
    <n v="24"/>
    <x v="35"/>
    <s v="25.900,00"/>
    <e v="#NAME?"/>
  </r>
  <r>
    <n v="2457"/>
    <m/>
    <x v="0"/>
    <d v="2019-10-25T00:00:00"/>
    <n v="27200"/>
    <s v="Familia Machado Stoppa"/>
    <s v="machadoru@hotmail.com | marisa2710chardan@gmail.com"/>
    <s v="Calle Guacara Nro. 88-85"/>
    <s v="Cancelación Vigilancia, saldo mes de Octubre 2019"/>
    <x v="0"/>
    <m/>
    <s v="02457"/>
    <s v="25 de octubre de 2019"/>
    <n v="25"/>
    <x v="35"/>
    <s v="27.200,00"/>
    <e v="#NAME?"/>
  </r>
  <r>
    <n v="2458"/>
    <m/>
    <x v="0"/>
    <d v="2019-10-25T00:00:00"/>
    <n v="47000"/>
    <s v="Gloria Molina"/>
    <s v="glomola2@yahoo.es"/>
    <s v="Calle Güigüe Nro. 89-71"/>
    <s v="Cancelación Vigilancia, mes de Octubre 2019"/>
    <x v="0"/>
    <m/>
    <s v="02458"/>
    <s v="25 de octubre de 2019"/>
    <n v="25"/>
    <x v="35"/>
    <s v="47.000,00"/>
    <e v="#NAME?"/>
  </r>
  <r>
    <n v="2459"/>
    <m/>
    <x v="0"/>
    <d v="2019-10-25T00:00:00"/>
    <n v="47000"/>
    <s v="Amparo Acosta"/>
    <s v="amparonatividad@hotmail.com"/>
    <s v="Calle Guacara Nro. 88-65"/>
    <s v="Cancelación Vigilancia, mes de Octubre 2019"/>
    <x v="0"/>
    <m/>
    <s v="02459"/>
    <s v="25 de octubre de 2019"/>
    <n v="25"/>
    <x v="35"/>
    <s v="47.000,00"/>
    <e v="#NAME?"/>
  </r>
  <r>
    <n v="2460"/>
    <m/>
    <x v="0"/>
    <d v="2019-10-26T00:00:00"/>
    <n v="20000"/>
    <s v="Familia Chávez Hernández"/>
    <s v="mercedesch23@hotmail.com"/>
    <s v="Calle Güigüe Nro. 88-20"/>
    <s v="Colaboración Vigilancia, meses de Septiembre y Octubre 2019"/>
    <x v="0"/>
    <m/>
    <s v="02460"/>
    <s v="26 de octubre de 2019"/>
    <n v="26"/>
    <x v="35"/>
    <s v="20.000,00"/>
    <e v="#NAME?"/>
  </r>
  <r>
    <n v="2461"/>
    <m/>
    <x v="0"/>
    <d v="2019-10-27T00:00:00"/>
    <n v="69000"/>
    <s v="Familia Durvelle Serrano"/>
    <s v="sdurvelle@hotmail.com"/>
    <s v="Calle Guacara Nro. 89-60"/>
    <s v="Cancelación Vigilancia, saldo mes de Octubre y anticipó mes de Noviembre 2019"/>
    <x v="0"/>
    <m/>
    <s v="02461"/>
    <s v="27 de octubre de 2019"/>
    <n v="27"/>
    <x v="35"/>
    <s v="69.000,00"/>
    <e v="#NAME?"/>
  </r>
  <r>
    <n v="2462"/>
    <m/>
    <x v="0"/>
    <d v="2019-10-27T00:00:00"/>
    <n v="42500"/>
    <s v="Familia Romero"/>
    <s v="almacenajeiri@gmail.com"/>
    <s v="Calle Guacara Nro. 89-50"/>
    <s v="Cancelación Vigilancia, saldo mes de Octubre 2019"/>
    <x v="0"/>
    <m/>
    <s v="02462"/>
    <s v="27 de octubre de 2019"/>
    <n v="27"/>
    <x v="35"/>
    <s v="42.500,00"/>
    <e v="#NAME?"/>
  </r>
  <r>
    <n v="2463"/>
    <m/>
    <x v="0"/>
    <d v="2019-10-28T00:00:00"/>
    <n v="52000"/>
    <s v="Familia Acosta Carpio"/>
    <s v="pablo962@hotmail.com"/>
    <s v="Calle Güigüe Nro. 89-10"/>
    <s v="Cancelación Vigilancia, mes de Octubre 2019"/>
    <x v="0"/>
    <m/>
    <s v="02463"/>
    <s v="28 de octubre de 2019"/>
    <n v="28"/>
    <x v="35"/>
    <s v="52.000,00"/>
    <e v="#NAME?"/>
  </r>
  <r>
    <n v="2464"/>
    <m/>
    <x v="0"/>
    <d v="2019-10-28T00:00:00"/>
    <n v="31450"/>
    <s v="Andrea Valor"/>
    <s v="aavp992@gmail.com"/>
    <s v="Calle Guacara Nro. 88-75"/>
    <s v="Cancelación Vigilancia, saldo mes de Octubre 2019"/>
    <x v="0"/>
    <m/>
    <s v="02464"/>
    <s v="28 de octubre de 2019"/>
    <n v="28"/>
    <x v="35"/>
    <s v="31.450,00"/>
    <e v="#NAME?"/>
  </r>
  <r>
    <n v="2465"/>
    <m/>
    <x v="0"/>
    <d v="2019-10-23T00:00:00"/>
    <n v="25900"/>
    <s v="Amarilis Guerra"/>
    <s v="amarilisguerra1@yahoo.com"/>
    <s v="Calle Güigüe Nro. 89-96"/>
    <s v="Cancelación Vigilancia, saldo mes de Octubre 2019"/>
    <x v="0"/>
    <m/>
    <s v="02465"/>
    <s v="23 de octubre de 2019"/>
    <n v="23"/>
    <x v="35"/>
    <s v="25.900,00"/>
    <e v="#NAME?"/>
  </r>
  <r>
    <n v="2466"/>
    <m/>
    <x v="0"/>
    <d v="2019-10-28T00:00:00"/>
    <n v="29250"/>
    <s v="Familia Ozar Rivero"/>
    <s v="vanessarivero81@hotmail.com"/>
    <s v="Calle Güigüe Nro. 88-06"/>
    <s v="Cancelación Vigilancia, saldo mes de Octubre 2019"/>
    <x v="0"/>
    <m/>
    <s v="02466"/>
    <s v="28 de octubre de 2019"/>
    <n v="28"/>
    <x v="35"/>
    <s v="29.250,00"/>
    <e v="#NAME?"/>
  </r>
  <r>
    <n v="2467"/>
    <m/>
    <x v="0"/>
    <d v="2019-10-28T00:00:00"/>
    <n v="51250"/>
    <s v="Familia Il Grande Franceschi"/>
    <s v="arcifran75@hotmail.com"/>
    <s v="Av. &quot;I&quot; Nro. 146-40"/>
    <s v="Cancelación Vigilancia, mes de Octubre 2019"/>
    <x v="0"/>
    <m/>
    <s v="02467"/>
    <s v="28 de octubre de 2019"/>
    <n v="28"/>
    <x v="35"/>
    <s v="51.250,00"/>
    <e v="#NAME?"/>
  </r>
  <r>
    <n v="2468"/>
    <m/>
    <x v="0"/>
    <d v="2019-10-29T00:00:00"/>
    <n v="30150"/>
    <s v="Familia Scabuzzo Gómez"/>
    <s v="sfscabuzzo@msn.com"/>
    <s v="Av. &quot;I&quot; Nro. 146-20"/>
    <s v="Cancelación Vigilancia, saldo mes de Octubre 2019"/>
    <x v="0"/>
    <m/>
    <s v="02468"/>
    <s v="29 de octubre de 2019"/>
    <n v="29"/>
    <x v="35"/>
    <s v="30.150,00"/>
    <e v="#NAME?"/>
  </r>
  <r>
    <n v="2469"/>
    <m/>
    <x v="0"/>
    <d v="2019-10-29T00:00:00"/>
    <n v="81400"/>
    <s v="Familia Guerra Miret"/>
    <s v="antoniojguerrag@hotmail.com"/>
    <s v="Calle Güigüe Nro. 89-40"/>
    <s v="Cancelación Vigilancia, saldo mes de Octubre y mes de Noviembre 2019"/>
    <x v="0"/>
    <m/>
    <s v="02469"/>
    <s v="29 de octubre de 2019"/>
    <n v="29"/>
    <x v="35"/>
    <s v="81.400,00"/>
    <e v="#NAME?"/>
  </r>
  <r>
    <n v="2470"/>
    <m/>
    <x v="0"/>
    <d v="2019-10-29T00:00:00"/>
    <n v="60000"/>
    <s v="Wu Hung Fung"/>
    <s v="carolinahung24@gmail.com | barbarahung15@hotmail.com"/>
    <s v="Calle Guacara Nro. 90-81"/>
    <s v="Cancelación Vigilancia, mes de Octubre 2019"/>
    <x v="0"/>
    <m/>
    <s v="02470"/>
    <s v="29 de octubre de 2019"/>
    <n v="29"/>
    <x v="35"/>
    <s v="60.000,00"/>
    <e v="#NAME?"/>
  </r>
  <r>
    <n v="2471"/>
    <m/>
    <x v="0"/>
    <d v="2019-10-29T00:00:00"/>
    <n v="31500"/>
    <s v="Jocsan Orta Correa"/>
    <s v="carlos_arturox@hotmail.com"/>
    <s v="Av. &quot;L&quot; anexo de Los Tronquitos"/>
    <s v="Cancelación Vigilancia, saldo mes de Octubre 2019"/>
    <x v="0"/>
    <m/>
    <s v="02471"/>
    <s v="29 de octubre de 2019"/>
    <n v="29"/>
    <x v="35"/>
    <s v="31.500,00"/>
    <e v="#NAME?"/>
  </r>
  <r>
    <n v="2472"/>
    <m/>
    <x v="0"/>
    <d v="2019-10-29T00:00:00"/>
    <n v="50000"/>
    <s v="Silvia Power"/>
    <s v="spowermeneses@gmail.com"/>
    <s v="Calle Güigüe Nro. 89-16"/>
    <s v="Colaboración Vigilancia, meses de Octubre, Noviembre y Diciembre 2019"/>
    <x v="0"/>
    <m/>
    <s v="02472"/>
    <s v="29 de octubre de 2019"/>
    <n v="29"/>
    <x v="35"/>
    <s v="50.000,00"/>
    <e v="#NAME?"/>
  </r>
  <r>
    <n v="2473"/>
    <m/>
    <x v="0"/>
    <d v="2019-10-29T00:00:00"/>
    <n v="51250"/>
    <s v="Familia Narváez Caldera"/>
    <s v="jeannette_nc@yahoo.com"/>
    <s v="Calle Güigüe Nro. 87-A-11"/>
    <s v="Cancelación Vigilancia, mes de Octubre 2019"/>
    <x v="0"/>
    <m/>
    <s v="02473"/>
    <s v="29 de octubre de 2019"/>
    <n v="29"/>
    <x v="35"/>
    <s v="51.250,00"/>
    <e v="#NAME?"/>
  </r>
  <r>
    <n v="2474"/>
    <m/>
    <x v="0"/>
    <d v="2019-10-29T00:00:00"/>
    <n v="51250"/>
    <s v="Santiago Varela"/>
    <s v="svg0583@gmail.com"/>
    <s v="Av. &quot;M&quot; Nro. 146-30"/>
    <s v="Cancelación Vigilancia, mes de Octubre 2019"/>
    <x v="0"/>
    <m/>
    <s v="02474"/>
    <s v="29 de octubre de 2019"/>
    <n v="29"/>
    <x v="35"/>
    <s v="51.250,00"/>
    <e v="#NAME?"/>
  </r>
  <r>
    <n v="2475"/>
    <m/>
    <x v="0"/>
    <d v="2019-10-23T00:00:00"/>
    <n v="38715"/>
    <s v="Colegio El Trigal"/>
    <s v="En Físico"/>
    <s v="Calle Güigüe Nros. 88-71 y 88-81"/>
    <s v="Cancelación Vigilancia, saldo mes de Octubre 2019"/>
    <x v="0"/>
    <m/>
    <s v="02475"/>
    <s v="23 de octubre de 2019"/>
    <n v="23"/>
    <x v="35"/>
    <s v="38.715,00"/>
    <e v="#NAME?"/>
  </r>
  <r>
    <n v="2476"/>
    <m/>
    <x v="0"/>
    <d v="2019-10-28T00:00:00"/>
    <n v="31450"/>
    <s v="Familia Gascón Domínguez"/>
    <s v="vrgascon@gmail.com"/>
    <s v="Calle Güigüe Nro. 88-70"/>
    <s v="Cancelación Vigilancia, saldo mes de Octubre 2019"/>
    <x v="0"/>
    <m/>
    <s v="02476"/>
    <s v="28 de octubre de 2019"/>
    <n v="28"/>
    <x v="35"/>
    <s v="31.450,00"/>
    <e v="#NAME?"/>
  </r>
  <r>
    <n v="2477"/>
    <m/>
    <x v="0"/>
    <d v="2019-10-27T00:00:00"/>
    <n v="31000"/>
    <s v="Familia Kablan Sarmiento"/>
    <s v="norisjsb56@hotmail.com"/>
    <s v="Calle Güigüe Nro. 89-80"/>
    <s v="Cancelación Vigilancia, complemento mes de Octubre 2019"/>
    <x v="0"/>
    <m/>
    <s v="02477"/>
    <s v="27 de octubre de 2019"/>
    <n v="27"/>
    <x v="35"/>
    <s v="31.000,00"/>
    <e v="#NAME?"/>
  </r>
  <r>
    <n v="2478"/>
    <m/>
    <x v="0"/>
    <d v="2019-10-30T00:00:00"/>
    <n v="47000"/>
    <s v="Familia Kablan Sarmiento"/>
    <s v="norisjsb56@hotmail.com"/>
    <s v="Calle Güigüe Nro. 89-80"/>
    <s v="Cancelación Vigilancia, anticipo mes de Noviembre 2019"/>
    <x v="0"/>
    <m/>
    <s v="02478"/>
    <s v="30 de octubre de 2019"/>
    <n v="30"/>
    <x v="35"/>
    <s v="47.000,00"/>
    <e v="#NAME?"/>
  </r>
  <r>
    <n v="2479"/>
    <m/>
    <x v="0"/>
    <d v="2019-10-30T00:00:00"/>
    <n v="51250"/>
    <s v="Familia Colosso Delgado"/>
    <s v="mcolosso@gmail.com"/>
    <s v="Calle Güigüe Nro. 88-44"/>
    <s v="Cancelación Vigilancia, mes de Noviembre 2019"/>
    <x v="0"/>
    <m/>
    <s v="02479"/>
    <s v="30 de octubre de 2019"/>
    <n v="30"/>
    <x v="35"/>
    <s v="51.250,00"/>
    <e v="#NAME?"/>
  </r>
  <r>
    <n v="2480"/>
    <m/>
    <x v="0"/>
    <d v="2019-10-30T00:00:00"/>
    <n v="23000"/>
    <s v="Zoraida Khair"/>
    <s v="zorakhair@hotmail.com | lbracamonte@netuno.net"/>
    <s v="Calle Güigüe Nro. 88-80"/>
    <s v="Cancelación Vigilancia, complemento mes de Octubre 2019"/>
    <x v="0"/>
    <m/>
    <s v="02480"/>
    <s v="30 de octubre de 2019"/>
    <n v="30"/>
    <x v="35"/>
    <s v="23.000,00"/>
    <e v="#NAME?"/>
  </r>
  <r>
    <n v="2481"/>
    <m/>
    <x v="0"/>
    <d v="2019-10-30T00:00:00"/>
    <n v="7250"/>
    <s v="Zoraida Khair"/>
    <s v="zorakhair@hotmail.com | lbracamonte@netuno.net"/>
    <s v="Calle Güigüe Nro. 88-80"/>
    <s v="Cancelación Vigilancia, complemento mes de Octubre 2019"/>
    <x v="0"/>
    <m/>
    <s v="02481"/>
    <s v="30 de octubre de 2019"/>
    <n v="30"/>
    <x v="35"/>
    <s v="7.250,00"/>
    <e v="#NAME?"/>
  </r>
  <r>
    <n v="2482"/>
    <m/>
    <x v="0"/>
    <d v="2019-10-30T00:00:00"/>
    <n v="51250"/>
    <s v="Familia Fermín Rivas"/>
    <s v="angelferminb@gmail.com"/>
    <s v="Calle Güigüe Nro. 89-55"/>
    <s v="Cancelación Vigilancia, mes de Noviembre 2019"/>
    <x v="0"/>
    <m/>
    <s v="02482"/>
    <s v="30 de octubre de 2019"/>
    <n v="30"/>
    <x v="35"/>
    <s v="51.250,00"/>
    <e v="#NAME?"/>
  </r>
  <r>
    <n v="2483"/>
    <m/>
    <x v="0"/>
    <d v="2019-10-30T00:00:00"/>
    <n v="51250"/>
    <s v="Victoria Francischiello"/>
    <s v="victoriafrancischiello@hotmail.com"/>
    <s v="Calle Guacara Nro. 88-25"/>
    <s v="Cancelación Vigilancia, mes de Octubre 2019"/>
    <x v="0"/>
    <m/>
    <s v="02483"/>
    <s v="30 de octubre de 2019"/>
    <n v="30"/>
    <x v="35"/>
    <s v="51.250,00"/>
    <e v="#NAME?"/>
  </r>
  <r>
    <n v="2484"/>
    <m/>
    <x v="0"/>
    <d v="2019-10-30T00:00:00"/>
    <n v="51250"/>
    <s v="Familia Castillo Mena"/>
    <s v="emmecas@hotmail.com"/>
    <s v="Calle Güigüe Nro. 88-101"/>
    <s v="Cancelación Vigilancia, mes de Octubre 2019"/>
    <x v="0"/>
    <m/>
    <s v="02484"/>
    <s v="30 de octubre de 2019"/>
    <n v="30"/>
    <x v="35"/>
    <s v="51.250,00"/>
    <e v="#NAME?"/>
  </r>
  <r>
    <n v="2485"/>
    <m/>
    <x v="0"/>
    <d v="2019-10-30T00:00:00"/>
    <n v="30150"/>
    <s v="Héctor Hernández"/>
    <s v="eof64@hotmail.com"/>
    <s v="Calle Guacara Nro. 89-94"/>
    <s v="Cancelación Vigilancia, saldo mes de Octubre 2019"/>
    <x v="0"/>
    <m/>
    <s v="02485"/>
    <s v="30 de octubre de 2019"/>
    <n v="30"/>
    <x v="35"/>
    <s v="30.150,00"/>
    <e v="#NAME?"/>
  </r>
  <r>
    <n v="2486"/>
    <m/>
    <x v="0"/>
    <d v="2019-10-30T00:00:00"/>
    <n v="51250"/>
    <s v="Héctor Hernández"/>
    <s v="eof64@hotmail.com"/>
    <s v="Calle Guacara Nro. 89-94"/>
    <s v="Cancelación Vigilancia, mes de Noviembre 2019"/>
    <x v="0"/>
    <m/>
    <s v="02486"/>
    <s v="30 de octubre de 2019"/>
    <n v="30"/>
    <x v="35"/>
    <s v="51.250,00"/>
    <e v="#NAME?"/>
  </r>
  <r>
    <n v="2487"/>
    <m/>
    <x v="0"/>
    <d v="2019-10-30T00:00:00"/>
    <n v="51250"/>
    <s v="Familia Abbinante Pinto"/>
    <s v="abbinante47@gmail.com"/>
    <s v="Calle Güigüe Nro. 89-120"/>
    <s v="Cancelación Vigilancia, mes de Octubre 2019"/>
    <x v="0"/>
    <m/>
    <s v="02487"/>
    <s v="30 de octubre de 2019"/>
    <n v="30"/>
    <x v="35"/>
    <s v="51.250,00"/>
    <e v="#NAME?"/>
  </r>
  <r>
    <n v="2488"/>
    <m/>
    <x v="0"/>
    <d v="2019-10-30T00:00:00"/>
    <n v="51250"/>
    <s v="Familia Costermani Terrer"/>
    <s v="claudiacostermani@hotmail.com"/>
    <s v="Calle Güigüe Nro. 88-11"/>
    <s v="Cancelación Vigilancia, mes de Octubre 2019"/>
    <x v="0"/>
    <m/>
    <s v="02488"/>
    <s v="30 de octubre de 2019"/>
    <n v="30"/>
    <x v="35"/>
    <s v="51.250,00"/>
    <e v="#NAME?"/>
  </r>
  <r>
    <n v="2489"/>
    <m/>
    <x v="0"/>
    <d v="2019-10-30T00:00:00"/>
    <n v="51250"/>
    <s v="Familia Rodríguez Aular"/>
    <s v="vaular@kromi-market.com | mvaular@hotmail.com"/>
    <s v="Calle Güigüe Nro. 88-58"/>
    <s v="Cancelación Vigilancia, mes de Octubre 2019"/>
    <x v="0"/>
    <m/>
    <s v="02489"/>
    <s v="30 de octubre de 2019"/>
    <n v="30"/>
    <x v="35"/>
    <s v="51.250,00"/>
    <e v="#NAME?"/>
  </r>
  <r>
    <n v="2490"/>
    <m/>
    <x v="0"/>
    <d v="2019-10-30T00:00:00"/>
    <n v="51250"/>
    <s v="Ana de González"/>
    <s v="mikelnowak25@gmail.com"/>
    <s v="Av. &quot;O&quot; Nro. 146-17"/>
    <s v="Cancelación Vigilancia, mes de Octubre 2019"/>
    <x v="0"/>
    <m/>
    <s v="02490"/>
    <s v="30 de octubre de 2019"/>
    <n v="30"/>
    <x v="35"/>
    <s v="51.250,00"/>
    <e v="#NAME?"/>
  </r>
  <r>
    <n v="2491"/>
    <m/>
    <x v="0"/>
    <d v="2019-10-31T00:00:00"/>
    <n v="51250"/>
    <s v="Familia Flores Montagne"/>
    <s v="martaflores@gmail.com"/>
    <s v="Av. &quot;M&quot; Nro. 146-20"/>
    <s v="Cancelación Vigilancia, mes de Octubre 2019"/>
    <x v="0"/>
    <m/>
    <s v="02491"/>
    <s v="31 de octubre de 2019"/>
    <n v="31"/>
    <x v="35"/>
    <s v="51.250,00"/>
    <e v="#NAME?"/>
  </r>
  <r>
    <n v="2492"/>
    <m/>
    <x v="0"/>
    <d v="2019-10-31T00:00:00"/>
    <n v="27965"/>
    <s v="Dra. Lilia Magallanes"/>
    <s v="liliamagallanes2010@gmail.com"/>
    <s v="Calle Güigüe Nro. 88-51"/>
    <s v="Cancelación Vigilancia, complemento mes de Octubre 2019"/>
    <x v="0"/>
    <m/>
    <s v="02492"/>
    <s v="31 de octubre de 2019"/>
    <n v="31"/>
    <x v="35"/>
    <s v="27.965,00"/>
    <e v="#NAME?"/>
  </r>
  <r>
    <n v="2493"/>
    <m/>
    <x v="0"/>
    <d v="2019-11-01T00:00:00"/>
    <n v="40000"/>
    <s v="Familia Navarro Assing"/>
    <s v="liliaassing@gmail.com"/>
    <s v="Calle Güigüe Nro. 88-54"/>
    <s v="Cancelación Vigilancia, complemento mes de Octubre y anticipo mes de Noviembre 2019"/>
    <x v="0"/>
    <m/>
    <s v="02493"/>
    <s v="01 de noviembre de 2019"/>
    <n v="1"/>
    <x v="36"/>
    <s v="40.000,00"/>
    <e v="#NAME?"/>
  </r>
  <r>
    <n v="2494"/>
    <m/>
    <x v="0"/>
    <d v="2019-11-03T00:00:00"/>
    <n v="51250"/>
    <s v="Familia Barreto Pérez"/>
    <s v="bbetsa19@hotmail.com"/>
    <s v="Av. &quot;M&quot; Nro. 146-15"/>
    <s v="Cancelación Vigilancia, mes de Noviembre 2019"/>
    <x v="0"/>
    <m/>
    <s v="02494"/>
    <s v="03 de noviembre de 2019"/>
    <n v="3"/>
    <x v="36"/>
    <s v="51.250,00"/>
    <e v="#NAME?"/>
  </r>
  <r>
    <n v="2495"/>
    <m/>
    <x v="0"/>
    <d v="2019-11-03T00:00:00"/>
    <n v="51250"/>
    <s v="Familia Zavarce Barón"/>
    <s v="alexanderzavarce@gmail.com"/>
    <s v="Calle Guacara Nro. 88-91"/>
    <s v="Cancelación Vigilancia, mes de Octubre 2019"/>
    <x v="0"/>
    <m/>
    <s v="02495"/>
    <s v="03 de noviembre de 2019"/>
    <n v="3"/>
    <x v="36"/>
    <s v="51.250,00"/>
    <e v="#NAME?"/>
  </r>
  <r>
    <n v="2496"/>
    <m/>
    <x v="0"/>
    <d v="2019-11-04T00:00:00"/>
    <n v="60000"/>
    <s v="Familia Puerta Burguillos"/>
    <s v="namaricakes@gmail.com"/>
    <s v="Calle Guacara Nro. 87-100"/>
    <s v="Cancelación Vigilancia, mes de Noviembre 2019"/>
    <x v="0"/>
    <m/>
    <s v="02496"/>
    <s v="04 de noviembre de 2019"/>
    <n v="4"/>
    <x v="36"/>
    <s v="60.000,00"/>
    <e v="#NAME?"/>
  </r>
  <r>
    <n v="2497"/>
    <m/>
    <x v="0"/>
    <d v="2019-11-04T00:00:00"/>
    <n v="56300"/>
    <s v="Familia Triana González"/>
    <s v="En Físico"/>
    <s v="Calle Guacara Nro. 90-61"/>
    <s v="Cancelación Vigilancia, mes de Noviembre 2019"/>
    <x v="0"/>
    <m/>
    <s v="02497"/>
    <s v="04 de noviembre de 2019"/>
    <n v="4"/>
    <x v="36"/>
    <s v="56.300,00"/>
    <e v="#NAME?"/>
  </r>
  <r>
    <n v="2498"/>
    <m/>
    <x v="0"/>
    <d v="2019-10-30T00:00:00"/>
    <n v="4250"/>
    <s v="Familia Kablan Sarmiento"/>
    <s v="norisjsb56@hotmail.com"/>
    <s v="Calle Güigüe Nro. 89-80"/>
    <s v="Cancelación Vigilancia, saldo mes de Noviembre 2019"/>
    <x v="0"/>
    <m/>
    <s v="02498"/>
    <s v="30 de octubre de 2019"/>
    <n v="30"/>
    <x v="35"/>
    <s v="4.250,00"/>
    <e v="#NAME?"/>
  </r>
  <r>
    <n v="2499"/>
    <m/>
    <x v="0"/>
    <d v="2019-11-04T00:00:00"/>
    <n v="56250"/>
    <s v="Familia Astor Zamora"/>
    <s v="imzastor@gmail.com"/>
    <s v="Calle Güigüe Nro. 88-111"/>
    <s v="Cancelación Vigilancia, mes de Octubre 2019"/>
    <x v="0"/>
    <m/>
    <s v="02499"/>
    <s v="04 de noviembre de 2019"/>
    <n v="4"/>
    <x v="36"/>
    <s v="56.250,00"/>
    <e v="#NAME?"/>
  </r>
  <r>
    <n v="2500"/>
    <m/>
    <x v="0"/>
    <d v="2019-11-05T00:00:00"/>
    <n v="60000"/>
    <s v="Familia Ferrer Bahri"/>
    <s v="bahrimariela@hotmail.com"/>
    <s v="Calle Güigüe Nro. 89-83"/>
    <s v="Cancelación Vigilancia, mes de Noviembre 2019"/>
    <x v="0"/>
    <m/>
    <s v="02500"/>
    <s v="05 de noviembre de 2019"/>
    <n v="5"/>
    <x v="36"/>
    <s v="60.000,00"/>
    <e v="#NAME?"/>
  </r>
  <r>
    <n v="2501"/>
    <m/>
    <x v="0"/>
    <d v="2019-11-05T00:00:00"/>
    <n v="56250"/>
    <s v="Familia Nava Gordon"/>
    <s v="maru_19_66@hotmail.com"/>
    <s v="Calle Guacara Nro. 89-78"/>
    <s v="Cancelación Vigilancia, saldo mes de Noviembre y anticipo mes de Diciembre 2019"/>
    <x v="0"/>
    <m/>
    <s v="02501"/>
    <s v="05 de noviembre de 2019"/>
    <n v="5"/>
    <x v="36"/>
    <s v="56.250,00"/>
    <e v="#NAME?"/>
  </r>
  <r>
    <n v="2502"/>
    <m/>
    <x v="0"/>
    <d v="2019-11-05T00:00:00"/>
    <n v="67481"/>
    <s v="Familia Lomeña Agudo"/>
    <s v="claudialomena@hotmail.com"/>
    <s v="Calle Guacara Nro. 89-30"/>
    <s v="Cancelación Vigilancia, mes de Noviembre 2019"/>
    <x v="0"/>
    <m/>
    <s v="02502"/>
    <s v="05 de noviembre de 2019"/>
    <n v="5"/>
    <x v="36"/>
    <s v="67.481,00"/>
    <e v="#NAME?"/>
  </r>
  <r>
    <n v="2503"/>
    <m/>
    <x v="0"/>
    <d v="2019-11-01T00:00:00"/>
    <n v="51250"/>
    <s v="Familia Wu Acevedo"/>
    <s v="rudyacevedo90@gmail.com"/>
    <s v="Calle Guacara Nro. 88-A-10"/>
    <s v="Cancelación Vigilancia, mes de Noviembre 2019 (saldo a favor: Bs. 146.155,80)"/>
    <x v="0"/>
    <m/>
    <s v="02503"/>
    <s v="01 de noviembre de 2019"/>
    <n v="1"/>
    <x v="36"/>
    <s v="51.250,00"/>
    <e v="#NAME?"/>
  </r>
  <r>
    <n v="2504"/>
    <m/>
    <x v="0"/>
    <d v="2019-11-05T00:00:00"/>
    <n v="33750"/>
    <s v="Familia Franco Gómez"/>
    <s v="eof64@hotmail.com"/>
    <s v="Calle Guacara Nro. 87-07"/>
    <s v="Colaboración Vigilancia, mes de Noviembre 2019"/>
    <x v="0"/>
    <m/>
    <s v="02504"/>
    <s v="05 de noviembre de 2019"/>
    <n v="5"/>
    <x v="36"/>
    <s v="33.750,00"/>
    <e v="#NAME?"/>
  </r>
  <r>
    <n v="2505"/>
    <m/>
    <x v="0"/>
    <d v="2019-11-05T00:00:00"/>
    <n v="112500"/>
    <s v="Familia Alonso Rojas"/>
    <s v="redjc01@gmail.com"/>
    <s v="Calle Güigüe Nro. 89-54"/>
    <s v="Cancelación Vigilancia, meses de Octubre y Noviembre 2019"/>
    <x v="0"/>
    <m/>
    <s v="02505"/>
    <s v="05 de noviembre de 2019"/>
    <n v="5"/>
    <x v="36"/>
    <s v="112.500,00"/>
    <e v="#NAME?"/>
  </r>
  <r>
    <n v="2506"/>
    <m/>
    <x v="0"/>
    <d v="2019-11-05T00:00:00"/>
    <n v="56250"/>
    <s v="Familia Ochoa Mendoza"/>
    <s v="marisoljudithm@hotmail.com"/>
    <s v="Calle Guacara Nro. 89-130"/>
    <s v="Cancelación Vigilancia, mes de Noviembre 2019"/>
    <x v="0"/>
    <m/>
    <s v="02506"/>
    <s v="05 de noviembre de 2019"/>
    <n v="5"/>
    <x v="36"/>
    <s v="56.250,00"/>
    <e v="#NAME?"/>
  </r>
  <r>
    <n v="2507"/>
    <m/>
    <x v="0"/>
    <d v="2019-11-05T00:00:00"/>
    <n v="56250"/>
    <s v="Familia Hatem Medina"/>
    <s v="hhatem1@hotmail.com"/>
    <s v="Calle Guacara Nro. 88-51"/>
    <s v="Cancelación Vigilancia, mes de Noviembre 2019"/>
    <x v="0"/>
    <m/>
    <s v="02507"/>
    <s v="05 de noviembre de 2019"/>
    <n v="5"/>
    <x v="36"/>
    <s v="56.250,00"/>
    <e v="#NAME?"/>
  </r>
  <r>
    <n v="2508"/>
    <m/>
    <x v="0"/>
    <d v="2019-11-06T00:00:00"/>
    <n v="60000"/>
    <s v="Familia Milanés Carmona"/>
    <s v="yndira11m@gmail.com"/>
    <s v="Calle Güigüe Nro. 89-65"/>
    <s v="Cancelación Vigilancia, mes de Noviembre 2019"/>
    <x v="0"/>
    <m/>
    <s v="02508"/>
    <s v="06 de noviembre de 2019"/>
    <n v="6"/>
    <x v="36"/>
    <s v="60.000,00"/>
    <e v="#NAME?"/>
  </r>
  <r>
    <n v="2509"/>
    <m/>
    <x v="0"/>
    <d v="2019-11-06T00:00:00"/>
    <n v="100000"/>
    <s v="Familia Montilla García"/>
    <s v="dairy252525@hotmail.com"/>
    <s v="Calle Güigüe Nro. 89-90"/>
    <s v="Cancelación Vigilancia, saldo mes de Octubre, cancelación mes de Noviembre y anticipo mes de Diciembre 2019"/>
    <x v="0"/>
    <m/>
    <s v="02509"/>
    <s v="06 de noviembre de 2019"/>
    <n v="6"/>
    <x v="36"/>
    <s v="100.000,00"/>
    <e v="#NAME?"/>
  </r>
  <r>
    <n v="2510"/>
    <m/>
    <x v="0"/>
    <d v="2019-11-06T00:00:00"/>
    <n v="36120"/>
    <s v="Beatriz Lara"/>
    <s v="arquitectoag@gmail.com"/>
    <s v="Calle Guacara Nro. 89-130"/>
    <s v="Cancelación Vigilancia, anticipo mes de Noviembre 2019 (US$ 1,40)"/>
    <x v="0"/>
    <m/>
    <s v="02510"/>
    <s v="06 de noviembre de 2019"/>
    <n v="6"/>
    <x v="36"/>
    <s v="36.120,00"/>
    <e v="#NAME?"/>
  </r>
  <r>
    <n v="2511"/>
    <m/>
    <x v="0"/>
    <d v="2019-11-07T00:00:00"/>
    <n v="10000"/>
    <s v="Familia Durvelle Serrano"/>
    <s v="sdurvelle@hotmail.com"/>
    <s v="Calle Guacara Nro. 89-60"/>
    <s v="Cancelación Vigilancia, saldo mes de Noviembre 2019"/>
    <x v="0"/>
    <m/>
    <s v="02511"/>
    <s v="07 de noviembre de 2019"/>
    <n v="7"/>
    <x v="36"/>
    <s v="10.000,00"/>
    <e v="#NAME?"/>
  </r>
  <r>
    <n v="2512"/>
    <m/>
    <x v="0"/>
    <d v="2019-11-07T00:00:00"/>
    <n v="13000"/>
    <s v="Zoraida Khair"/>
    <s v="zorakhair@hotmail.com | lbracamonte@netuno.net"/>
    <s v="Calle Güigüe Nro. 88-80"/>
    <s v="Cancelación Vigilancia, anticipo mes de Noviembre 2019"/>
    <x v="0"/>
    <m/>
    <s v="02512"/>
    <s v="07 de noviembre de 2019"/>
    <n v="7"/>
    <x v="36"/>
    <s v="13.000,00"/>
    <e v="#NAME?"/>
  </r>
  <r>
    <n v="2513"/>
    <m/>
    <x v="0"/>
    <d v="2019-11-07T00:00:00"/>
    <n v="56250"/>
    <s v="Chin Chun Ya (Goya)"/>
    <s v="uc2721@gmail.com"/>
    <s v="Calle Guacara Nro. 87-86"/>
    <s v="Cancelación Vigilancia, mes de Noviembre 2019"/>
    <x v="0"/>
    <m/>
    <s v="02513"/>
    <s v="07 de noviembre de 2019"/>
    <n v="7"/>
    <x v="36"/>
    <s v="56.250,00"/>
    <e v="#NAME?"/>
  </r>
  <r>
    <n v="2514"/>
    <m/>
    <x v="0"/>
    <d v="2019-11-07T00:00:00"/>
    <n v="56250"/>
    <s v="Familia Soto Urdaneta"/>
    <s v="esotom61@gmail.com"/>
    <s v="Calle Guacara Nro. 89-102"/>
    <s v="Cancelación Vigilancia, mes de Noviembre 2019"/>
    <x v="0"/>
    <m/>
    <s v="02514"/>
    <s v="07 de noviembre de 2019"/>
    <n v="7"/>
    <x v="36"/>
    <s v="56.250,00"/>
    <e v="#NAME?"/>
  </r>
  <r>
    <n v="2515"/>
    <m/>
    <x v="0"/>
    <d v="2019-11-07T00:00:00"/>
    <n v="92710"/>
    <s v="Familia Delgado Hidalgo"/>
    <s v="ardh@hotmail.com"/>
    <s v="Calle Güigüe Nro. 88-10"/>
    <s v="Cancelación Vigilancia, saldo mes de Octubre y cancelación mes de Noviembre 2019"/>
    <x v="0"/>
    <m/>
    <s v="02515"/>
    <s v="07 de noviembre de 2019"/>
    <n v="7"/>
    <x v="36"/>
    <s v="92.710,00"/>
    <e v="#NAME?"/>
  </r>
  <r>
    <n v="2516"/>
    <m/>
    <x v="0"/>
    <d v="2019-11-07T00:00:00"/>
    <n v="56250"/>
    <s v="Familia Arcia Polanco"/>
    <s v="misipo29@gmail.com"/>
    <s v="Calle Guacara Nro. 89-20"/>
    <s v="Cancelación Vigilancia, mes de Noviembre 2019"/>
    <x v="0"/>
    <m/>
    <s v="02516"/>
    <s v="07 de noviembre de 2019"/>
    <n v="7"/>
    <x v="36"/>
    <s v="56.250,00"/>
    <e v="#NAME?"/>
  </r>
  <r>
    <n v="2517"/>
    <m/>
    <x v="0"/>
    <d v="2019-11-09T00:00:00"/>
    <n v="56250"/>
    <s v="Familia Loponte Arteaga"/>
    <s v="En Físico"/>
    <s v="Calle Güigüe Nro. 88-120"/>
    <s v="Cancelación Vigilancia, mes de Noviembre 2019"/>
    <x v="0"/>
    <m/>
    <s v="02517"/>
    <s v="09 de noviembre de 2019"/>
    <n v="9"/>
    <x v="36"/>
    <s v="56.250,00"/>
    <e v="#NAME?"/>
  </r>
  <r>
    <n v="2518"/>
    <m/>
    <x v="0"/>
    <d v="2019-11-09T00:00:00"/>
    <n v="48000"/>
    <s v="Familia Méndez Parra"/>
    <s v="briceidademendez@gmail.com"/>
    <s v="Calle Guacara Nro. 88-19"/>
    <s v="Colaboración Vigilancia, mes de Noviembre 2019"/>
    <x v="0"/>
    <m/>
    <s v="02518"/>
    <s v="09 de noviembre de 2019"/>
    <n v="9"/>
    <x v="36"/>
    <s v="48.000,00"/>
    <e v="#NAME?"/>
  </r>
  <r>
    <n v="2519"/>
    <m/>
    <x v="0"/>
    <d v="2019-11-09T00:00:00"/>
    <n v="56250"/>
    <s v="Familia Machado Stoppa"/>
    <s v="machadoru@hotmail.com | marisa2710chardan@gmail.com"/>
    <s v="Calle Guacara Nro. 88-85"/>
    <s v="Cancelación Vigilancia, mes de Noviembre 2019"/>
    <x v="0"/>
    <m/>
    <s v="02519"/>
    <s v="09 de noviembre de 2019"/>
    <n v="9"/>
    <x v="36"/>
    <s v="56.250,00"/>
    <e v="#NAME?"/>
  </r>
  <r>
    <n v="2520"/>
    <m/>
    <x v="0"/>
    <d v="2019-11-09T00:00:00"/>
    <n v="40000"/>
    <s v="Familia Matta Palomino"/>
    <s v="En Físico"/>
    <s v="Calle Güigüe Nro. 88-90"/>
    <s v="Cancelación Vigilancia, saldo mes de Octubre 2019"/>
    <x v="0"/>
    <m/>
    <s v="02520"/>
    <s v="09 de noviembre de 2019"/>
    <n v="9"/>
    <x v="36"/>
    <s v="40.000,00"/>
    <e v="#NAME?"/>
  </r>
  <r>
    <n v="2521"/>
    <m/>
    <x v="0"/>
    <d v="2019-11-09T00:00:00"/>
    <n v="56250"/>
    <s v="Amparo Acosta"/>
    <s v="amparonatividad@hotmail.com"/>
    <s v="Calle Guacara Nro. 88-65"/>
    <s v="Cancelación Vigilancia, mes de Noviembre 2019"/>
    <x v="0"/>
    <m/>
    <s v="02521"/>
    <s v="09 de noviembre de 2019"/>
    <n v="9"/>
    <x v="36"/>
    <s v="56.250,00"/>
    <e v="#NAME?"/>
  </r>
  <r>
    <n v="2522"/>
    <m/>
    <x v="0"/>
    <d v="2019-11-10T00:00:00"/>
    <n v="60000"/>
    <s v="Familia Rodríguez Girón"/>
    <s v="daniellegt4@gmail.com"/>
    <s v="Calle Güigüe Nro. 89-22"/>
    <s v="Cancelación Vigilancia, mes de Noviembre 2019"/>
    <x v="0"/>
    <m/>
    <s v="02522"/>
    <s v="10 de noviembre de 2019"/>
    <n v="10"/>
    <x v="36"/>
    <s v="60.000,00"/>
    <e v="#NAME?"/>
  </r>
  <r>
    <n v="2523"/>
    <m/>
    <x v="0"/>
    <d v="2019-11-10T00:00:00"/>
    <n v="112500"/>
    <s v="Wilson Escamilla"/>
    <s v="wilsonescamilla45@gmail.com"/>
    <s v="Calle Güigüe Nro. 89-89"/>
    <s v="Cancelación Vigilancia, meses de Octubre y Noviembre 2019"/>
    <x v="0"/>
    <m/>
    <s v="02523"/>
    <s v="10 de noviembre de 2019"/>
    <n v="10"/>
    <x v="36"/>
    <s v="112.500,00"/>
    <e v="#NAME?"/>
  </r>
  <r>
    <n v="2524"/>
    <m/>
    <x v="0"/>
    <d v="2019-11-10T00:00:00"/>
    <n v="56250"/>
    <s v="Sra. Reina Meléndez"/>
    <s v="olgajipe@gmail.com"/>
    <s v="Av. &quot;M&quot; Nro. 145-10"/>
    <s v="Cancelación Vigilancia, mes de Noviembre 2019"/>
    <x v="0"/>
    <m/>
    <s v="02524"/>
    <s v="10 de noviembre de 2019"/>
    <n v="10"/>
    <x v="36"/>
    <s v="56.250,00"/>
    <e v="#NAME?"/>
  </r>
  <r>
    <n v="2525"/>
    <m/>
    <x v="0"/>
    <d v="2019-11-10T00:00:00"/>
    <n v="56250"/>
    <s v="Familia Romero"/>
    <s v="almacenajeiri@gmail.com"/>
    <s v="Calle Guacara Nro. 89-50"/>
    <s v="Cancelación Vigilancia, mes de Noviembre 2019"/>
    <x v="0"/>
    <m/>
    <s v="02525"/>
    <s v="10 de noviembre de 2019"/>
    <n v="10"/>
    <x v="36"/>
    <s v="56.250,00"/>
    <e v="#NAME?"/>
  </r>
  <r>
    <n v="2526"/>
    <m/>
    <x v="0"/>
    <d v="2019-11-10T00:00:00"/>
    <n v="56250"/>
    <s v="Dra. Lilia Magallanes"/>
    <s v="liliamagallanes2010@gmail.com"/>
    <s v="Calle Güigüe Nro. 88-51"/>
    <s v="Cancelación Vigilancia, mes de Noviembre 2019"/>
    <x v="0"/>
    <m/>
    <s v="02526"/>
    <s v="10 de noviembre de 2019"/>
    <n v="10"/>
    <x v="36"/>
    <s v="56.250,00"/>
    <e v="#NAME?"/>
  </r>
  <r>
    <n v="2527"/>
    <m/>
    <x v="0"/>
    <d v="2019-11-10T00:00:00"/>
    <n v="56250"/>
    <s v="Familia Zavarce Pérez"/>
    <s v="En Físico"/>
    <s v="Calle Guacara Nro. 90-35"/>
    <s v="Cancelación Vigilancia, mes de Noviembre 2019"/>
    <x v="0"/>
    <m/>
    <s v="02527"/>
    <s v="10 de noviembre de 2019"/>
    <n v="10"/>
    <x v="36"/>
    <s v="56.250,00"/>
    <e v="#NAME?"/>
  </r>
  <r>
    <n v="2528"/>
    <m/>
    <x v="0"/>
    <d v="2019-11-10T00:00:00"/>
    <n v="56250"/>
    <s v="Familia Narváez Caldera"/>
    <s v="jeannette_nc@yahoo.com"/>
    <s v="Calle Güigüe Nro. 87-A-11"/>
    <s v="Cancelación Vigilancia, mes de Noviembre 2019"/>
    <x v="0"/>
    <m/>
    <s v="02528"/>
    <s v="10 de noviembre de 2019"/>
    <n v="10"/>
    <x v="36"/>
    <s v="56.250,00"/>
    <e v="#NAME?"/>
  </r>
  <r>
    <n v="2529"/>
    <m/>
    <x v="0"/>
    <d v="2019-11-10T00:00:00"/>
    <n v="56250"/>
    <s v="Familia González Arévalo"/>
    <s v="feryenis@hotmail.com"/>
    <s v="Calle Guacara Nro. 89-86"/>
    <s v="Cancelación Vigilancia, mes de Noviembre 2019"/>
    <x v="0"/>
    <m/>
    <s v="02529"/>
    <s v="10 de noviembre de 2019"/>
    <n v="10"/>
    <x v="36"/>
    <s v="56.250,00"/>
    <e v="#NAME?"/>
  </r>
  <r>
    <n v="2530"/>
    <m/>
    <x v="0"/>
    <d v="2019-11-11T00:00:00"/>
    <n v="56000"/>
    <s v="Familia Navarro Assing"/>
    <s v="liliaassing@gmail.com"/>
    <s v="Calle Güigüe Nro. 88-54"/>
    <s v="Cancelación Vigilancia, saldo mes de Noviembre 2019"/>
    <x v="0"/>
    <m/>
    <s v="02530"/>
    <s v="11 de noviembre de 2019"/>
    <n v="11"/>
    <x v="36"/>
    <s v="56.000,00"/>
    <e v="#NAME?"/>
  </r>
  <r>
    <n v="2531"/>
    <m/>
    <x v="0"/>
    <d v="2019-11-12T00:00:00"/>
    <n v="75000"/>
    <s v="Familia Castro Jiménez"/>
    <s v="aurycastrojimenez@gmail.com"/>
    <s v="Calle Guacara Nro. 90-51"/>
    <s v="Cancelación Vigilancia, mes de Noviembre 2019"/>
    <x v="0"/>
    <m/>
    <s v="02531"/>
    <s v="12 de noviembre de 2019"/>
    <n v="12"/>
    <x v="36"/>
    <s v="75.000,00"/>
    <e v="#NAME?"/>
  </r>
  <r>
    <n v="2532"/>
    <m/>
    <x v="0"/>
    <d v="2019-11-13T00:00:00"/>
    <n v="129000"/>
    <s v="Familia Díaz González"/>
    <s v="luisrdt57@gmail.com"/>
    <s v="Calle Güigüe Nro. 88-116"/>
    <s v="Cancelación Vigilancia, meses de Noviembre y Diciembre 2019 (US$ 5,00)"/>
    <x v="0"/>
    <m/>
    <s v="02532"/>
    <s v="13 de noviembre de 2019"/>
    <n v="13"/>
    <x v="36"/>
    <s v="129.000,00"/>
    <e v="#NAME?"/>
  </r>
  <r>
    <n v="2533"/>
    <m/>
    <x v="0"/>
    <d v="2019-11-13T00:00:00"/>
    <n v="64500"/>
    <s v="Familia Hurtado"/>
    <s v="hurtadomilena@gmail.com"/>
    <s v="Av. &quot;O&quot; Nro. 146-11"/>
    <s v="Cancelación Vigilancia, mes de Octubre 2019. Transferencia Banesco nro. 11608170091"/>
    <x v="0"/>
    <m/>
    <s v="02533"/>
    <s v="13 de noviembre de 2019"/>
    <n v="13"/>
    <x v="36"/>
    <s v="64.500,00"/>
    <e v="#NAME?"/>
  </r>
  <r>
    <n v="2534"/>
    <m/>
    <x v="0"/>
    <d v="2019-11-13T00:00:00"/>
    <n v="107900"/>
    <s v="Familia Del Negro Palermo"/>
    <s v="vdelnegro@gmail.com"/>
    <s v="Calle Guacara Nro. 88-45"/>
    <s v="Cancelación Vigilancia, saldo mes de Octubre y mes de Noviembre 2019 (saldo a favor: Bs. 407.462,95)"/>
    <x v="0"/>
    <m/>
    <s v="02534"/>
    <s v="13 de noviembre de 2019"/>
    <n v="13"/>
    <x v="36"/>
    <s v="107.900,00"/>
    <e v="#NAME?"/>
  </r>
  <r>
    <n v="2535"/>
    <m/>
    <x v="0"/>
    <d v="2019-11-15T00:00:00"/>
    <n v="64500"/>
    <s v="Familia Acosta Carpio"/>
    <s v="pablo962@hotmail.com"/>
    <s v="Calle Güigüe Nro. 89-10"/>
    <s v="Cancelación Vigilancia, mes de Noviembre 2019"/>
    <x v="0"/>
    <m/>
    <s v="02535"/>
    <s v="15 de noviembre de 2019"/>
    <n v="15"/>
    <x v="36"/>
    <s v="64.500,00"/>
    <e v="#NAME?"/>
  </r>
  <r>
    <n v="2536"/>
    <m/>
    <x v="0"/>
    <d v="2019-11-15T00:00:00"/>
    <n v="18000"/>
    <s v="Zoraida Khair"/>
    <s v="zorakhair@hotmail.com | lbracamonte@netuno.net"/>
    <s v="Calle Güigüe Nro. 88-80"/>
    <s v="Cancelación Vigilancia, abono mes de Noviembre 2019"/>
    <x v="0"/>
    <m/>
    <s v="02536"/>
    <s v="15 de noviembre de 2019"/>
    <n v="15"/>
    <x v="36"/>
    <s v="18.000,00"/>
    <e v="#NAME?"/>
  </r>
  <r>
    <n v="2537"/>
    <m/>
    <x v="0"/>
    <d v="2019-11-15T00:00:00"/>
    <n v="64500"/>
    <s v="Familia Rodríguez Aular"/>
    <s v="vaular@kromi-market.com | mvaular@hotmail.com"/>
    <s v="Calle Güigüe Nro. 88-58"/>
    <s v="Cancelación Vigilancia, mes de Noviembre 2019"/>
    <x v="0"/>
    <m/>
    <s v="02537"/>
    <s v="15 de noviembre de 2019"/>
    <n v="15"/>
    <x v="36"/>
    <s v="64.500,00"/>
    <e v="#NAME?"/>
  </r>
  <r>
    <n v="2538"/>
    <m/>
    <x v="0"/>
    <d v="2019-11-17T00:00:00"/>
    <n v="64500"/>
    <s v="Andrea Valor"/>
    <s v="aavp992@gmail.com"/>
    <s v="Calle Guacara Nro. 88-75"/>
    <s v="Cancelación Vigilancia, mes de Noviembre 2019"/>
    <x v="0"/>
    <m/>
    <s v="02538"/>
    <s v="17 de noviembre de 2019"/>
    <n v="17"/>
    <x v="36"/>
    <s v="64.500,00"/>
    <e v="#NAME?"/>
  </r>
  <r>
    <n v="2539"/>
    <m/>
    <x v="0"/>
    <d v="2019-11-17T00:00:00"/>
    <n v="64500"/>
    <s v="Familia Gascón Domínguez"/>
    <s v="vrgascon@gmail.com"/>
    <s v="Calle Güigüe Nro. 88-70"/>
    <s v="Cancelación Vigilancia, mes de Noviembre 2019"/>
    <x v="0"/>
    <m/>
    <s v="02539"/>
    <s v="17 de noviembre de 2019"/>
    <n v="17"/>
    <x v="36"/>
    <s v="64.500,00"/>
    <e v="#NAME?"/>
  </r>
  <r>
    <n v="2540"/>
    <m/>
    <x v="0"/>
    <d v="2019-11-17T00:00:00"/>
    <n v="64500"/>
    <s v="Familia Costermani Terrer"/>
    <s v="claudiacostermani@hotmail.com"/>
    <s v="Calle Güigüe Nro. 88-11"/>
    <s v="Cancelación Vigilancia, mes de Noviembre 2019"/>
    <x v="0"/>
    <m/>
    <s v="02540"/>
    <s v="17 de noviembre de 2019"/>
    <n v="17"/>
    <x v="36"/>
    <s v="64.500,00"/>
    <e v="#NAME?"/>
  </r>
  <r>
    <n v="2541"/>
    <m/>
    <x v="0"/>
    <d v="2019-11-17T00:00:00"/>
    <n v="64500"/>
    <s v="Familia Manrique Riera"/>
    <s v="patriciamanrique@gmail.com"/>
    <s v="Calle Guacara Nro. 89-40"/>
    <s v="Cancelación Vigilancia, mes de Noviembre 2019"/>
    <x v="0"/>
    <m/>
    <s v="02541"/>
    <s v="17 de noviembre de 2019"/>
    <n v="17"/>
    <x v="36"/>
    <s v="64.500,00"/>
    <e v="#NAME?"/>
  </r>
  <r>
    <n v="2542"/>
    <m/>
    <x v="0"/>
    <d v="2019-11-18T00:00:00"/>
    <n v="73500"/>
    <s v="Ely Saúl Rivero Gómez"/>
    <s v="hhs.admon@gmail.com"/>
    <s v="Av. &quot;Ñ&quot; Nro. 145-25"/>
    <s v="Cancelación Vigilancia, mes de Noviembre 2019 (saldo a favor: Bs. 43.452,00)"/>
    <x v="0"/>
    <m/>
    <s v="02542"/>
    <s v="18 de noviembre de 2019"/>
    <n v="18"/>
    <x v="36"/>
    <s v="73.500,00"/>
    <e v="#NAME?"/>
  </r>
  <r>
    <n v="2543"/>
    <m/>
    <x v="0"/>
    <d v="2019-11-19T00:00:00"/>
    <n v="73500"/>
    <s v="Familia Scabuzzo Gómez"/>
    <s v="sfscabuzzo@msn.com"/>
    <s v="Av. &quot;I&quot; Nro. 146-20"/>
    <s v="Cancelación Vigilancia, mes de Noviembre 2019"/>
    <x v="0"/>
    <m/>
    <s v="02543"/>
    <s v="19 de noviembre de 2019"/>
    <n v="19"/>
    <x v="36"/>
    <s v="73.500,00"/>
    <e v="#NAME?"/>
  </r>
  <r>
    <n v="2544"/>
    <m/>
    <x v="0"/>
    <d v="2019-11-19T00:00:00"/>
    <n v="200000"/>
    <s v="Familia González Arévalo"/>
    <s v="feryenis@hotmail.com"/>
    <s v="Calle Guacara Nro. 89-86"/>
    <s v="Cancelación Vigilancia, meses de Diciembre 2019 y Enero 2020"/>
    <x v="0"/>
    <m/>
    <s v="02544"/>
    <s v="19 de noviembre de 2019"/>
    <n v="19"/>
    <x v="36"/>
    <s v="200.000,00"/>
    <e v="#NAME?"/>
  </r>
  <r>
    <n v="2545"/>
    <m/>
    <x v="0"/>
    <d v="2019-11-20T00:00:00"/>
    <n v="147000"/>
    <s v="Familia Piñero Padilla"/>
    <s v="achepaul2005@hotmail.com"/>
    <s v="Calle Güigüe Nro. 89-21"/>
    <s v="Cancelación Vigilancia, meses de Octubre y Noviembre 2019"/>
    <x v="0"/>
    <m/>
    <s v="02545"/>
    <s v="20 de noviembre de 2019"/>
    <n v="20"/>
    <x v="36"/>
    <s v="147.000,00"/>
    <e v="#NAME?"/>
  </r>
  <r>
    <n v="2546"/>
    <m/>
    <x v="0"/>
    <d v="2019-11-21T00:00:00"/>
    <n v="73500"/>
    <s v="Carmen Moreno"/>
    <s v="carmenemoreno10@gmail.com"/>
    <s v="Calle Güigüe Nro. 89-04"/>
    <s v="Cancelación Vigilancia, mes de Noviembre 2019"/>
    <x v="0"/>
    <m/>
    <s v="02546"/>
    <s v="21 de noviembre de 2019"/>
    <n v="21"/>
    <x v="36"/>
    <s v="73.500,00"/>
    <e v="#NAME?"/>
  </r>
  <r>
    <n v="2547"/>
    <m/>
    <x v="0"/>
    <d v="2019-11-21T00:00:00"/>
    <n v="73500"/>
    <s v="Familia Chan García"/>
    <s v="chanalberto10@hotmail.com | endrinagarciah@gmail.com"/>
    <s v="Calle Güigüe Nro. 89-106"/>
    <s v="Cancelación Vigilancia, mes de Noviembre 2019"/>
    <x v="0"/>
    <m/>
    <s v="02547"/>
    <s v="21 de noviembre de 2019"/>
    <n v="21"/>
    <x v="36"/>
    <s v="73.500,00"/>
    <e v="#NAME?"/>
  </r>
  <r>
    <n v="2548"/>
    <m/>
    <x v="0"/>
    <d v="2019-11-21T00:00:00"/>
    <n v="73500"/>
    <s v="Amarilis Guerra"/>
    <s v="amarilisguerra1@yahoo.com"/>
    <s v="Calle Güigüe Nro. 89-96"/>
    <s v="Cancelación Vigilancia, mes de Noviembre 2019"/>
    <x v="0"/>
    <m/>
    <s v="02548"/>
    <s v="21 de noviembre de 2019"/>
    <n v="21"/>
    <x v="36"/>
    <s v="73.500,00"/>
    <e v="#NAME?"/>
  </r>
  <r>
    <n v="2549"/>
    <m/>
    <x v="0"/>
    <d v="2019-11-22T00:00:00"/>
    <n v="25000"/>
    <s v="Familia Rodríguez Landaeta"/>
    <s v="mrl58@hotmail.com"/>
    <s v="Calle Güigüe Nro. 89-29"/>
    <s v="Colaboración Vigilancia, mes de Noviembre 2019"/>
    <x v="0"/>
    <m/>
    <s v="02549"/>
    <s v="22 de noviembre de 2019"/>
    <n v="22"/>
    <x v="36"/>
    <s v="25.000,00"/>
    <e v="#NAME?"/>
  </r>
  <r>
    <n v="2550"/>
    <m/>
    <x v="0"/>
    <d v="2019-11-22T00:00:00"/>
    <n v="73500"/>
    <s v="Familia Ozar Rivero"/>
    <s v="vanessarivero81@hotmail.com"/>
    <s v="Calle Güigüe Nro. 88-06"/>
    <s v="Cancelación Vigilancia, mes de Noviembre 2019"/>
    <x v="0"/>
    <m/>
    <s v="02550"/>
    <s v="22 de noviembre de 2019"/>
    <n v="22"/>
    <x v="36"/>
    <s v="73.500,00"/>
    <e v="#NAME?"/>
  </r>
  <r>
    <n v="2551"/>
    <m/>
    <x v="0"/>
    <d v="2019-11-24T00:00:00"/>
    <n v="73500"/>
    <s v="Familia Abbinante Pinto"/>
    <s v="abbinante47@gmail.com"/>
    <s v="Calle Güigüe Nro. 89-120"/>
    <s v="Cancelación Vigilancia, mes de Noviembre 2019"/>
    <x v="0"/>
    <m/>
    <s v="02551"/>
    <s v="24 de noviembre de 2019"/>
    <n v="24"/>
    <x v="36"/>
    <s v="73.500,00"/>
    <e v="#NAME?"/>
  </r>
  <r>
    <n v="2552"/>
    <m/>
    <x v="0"/>
    <d v="2019-11-24T00:00:00"/>
    <n v="73500"/>
    <s v="Familia López Hermoso"/>
    <s v="lopez.humberto14@yahoo.com.ve"/>
    <s v="Calle Güigüe Nro. 89-79"/>
    <s v="Cancelación Vigilancia, mes de Noviembre 2019 (saldo a favor: Bs. 200,00)"/>
    <x v="0"/>
    <m/>
    <s v="02552"/>
    <s v="24 de noviembre de 2019"/>
    <n v="24"/>
    <x v="36"/>
    <s v="73.500,00"/>
    <e v="#NAME?"/>
  </r>
  <r>
    <n v="2553"/>
    <m/>
    <x v="0"/>
    <d v="2019-11-25T00:00:00"/>
    <n v="81750"/>
    <s v="Familia Castillo Mena"/>
    <s v="emmecas@hotmail.com"/>
    <s v="Calle Güigüe Nro. 88-101"/>
    <s v="Cancelación Vigilancia, mes de Noviembre 2019"/>
    <x v="0"/>
    <m/>
    <s v="02553"/>
    <s v="25 de noviembre de 2019"/>
    <n v="25"/>
    <x v="36"/>
    <s v="81.750,00"/>
    <e v="#NAME?"/>
  </r>
  <r>
    <n v="2554"/>
    <m/>
    <x v="0"/>
    <d v="2019-11-24T00:00:00"/>
    <n v="73500"/>
    <s v="Jocsan Orta Correa"/>
    <s v="carlos_arturox@hotmail.com"/>
    <s v="Av. &quot;L&quot; anexo de Los Tronquitos"/>
    <s v="Cancelación Vigilancia, mes de Noviembre 2019"/>
    <x v="0"/>
    <m/>
    <s v="02554"/>
    <s v="24 de noviembre de 2019"/>
    <n v="24"/>
    <x v="36"/>
    <s v="73.500,00"/>
    <e v="#NAME?"/>
  </r>
  <r>
    <n v="2555"/>
    <m/>
    <x v="0"/>
    <d v="2019-11-15T00:00:00"/>
    <n v="28380.000000000004"/>
    <s v="Beatriz Lara"/>
    <s v="arquitectoag@gmail.com"/>
    <s v="Calle Guacara Nro. 89-130"/>
    <s v="Cancelación Vigilancia, saldo mes de Noviembre 2019 (US$ 1,10)"/>
    <x v="0"/>
    <m/>
    <s v="02555"/>
    <s v="15 de noviembre de 2019"/>
    <n v="15"/>
    <x v="36"/>
    <s v="28.380,00"/>
    <e v="#NAME?"/>
  </r>
  <r>
    <n v="2556"/>
    <m/>
    <x v="0"/>
    <d v="2019-11-26T00:00:00"/>
    <n v="100000"/>
    <s v="Familia Durvelle Serrano"/>
    <s v="sdurvelle@hotmail.com"/>
    <s v="Calle Guacara Nro. 89-60"/>
    <s v="Cancelación Vigilancia, mes de Diciembre 2019"/>
    <x v="0"/>
    <m/>
    <s v="02556"/>
    <s v="26 de noviembre de 2019"/>
    <n v="26"/>
    <x v="36"/>
    <s v="100.000,00"/>
    <e v="#NAME?"/>
  </r>
  <r>
    <n v="2557"/>
    <m/>
    <x v="0"/>
    <d v="2019-11-26T00:00:00"/>
    <n v="159299"/>
    <s v="Familia Castillo Rodríguez"/>
    <s v="vesperanzacastillor@gmail.com | emmecas@hotmail.com"/>
    <s v="Calle Güigüe Nro. 88-91"/>
    <s v="Colaboración Vigilancia, meses de Julio 2017 a Octubre 2019"/>
    <x v="0"/>
    <m/>
    <s v="02557"/>
    <s v="26 de noviembre de 2019"/>
    <n v="26"/>
    <x v="36"/>
    <s v="159.299,00"/>
    <e v="#NAME?"/>
  </r>
  <r>
    <n v="2558"/>
    <m/>
    <x v="0"/>
    <d v="2019-11-26T00:00:00"/>
    <n v="81750"/>
    <s v="Familia Castillo Rodríguez"/>
    <s v="vesperanzacastillor@gmail.com | emmecas@hotmail.com"/>
    <s v="Calle Güigüe Nro. 88-91"/>
    <s v="Cancelación Vigilancia, mes de Noviembre 2019"/>
    <x v="0"/>
    <m/>
    <s v="02558"/>
    <s v="26 de noviembre de 2019"/>
    <n v="26"/>
    <x v="36"/>
    <s v="81.750,00"/>
    <e v="#NAME?"/>
  </r>
  <r>
    <n v="2559"/>
    <m/>
    <x v="0"/>
    <d v="2019-11-28T00:00:00"/>
    <n v="81750"/>
    <s v="Familia Soto Urdaneta"/>
    <s v="esotom61@gmail.com"/>
    <s v="Calle Guacara Nro. 89-102"/>
    <s v="Cancelación Vigilancia, mes de Diciembre 2019"/>
    <x v="0"/>
    <m/>
    <s v="02559"/>
    <s v="28 de noviembre de 2019"/>
    <n v="28"/>
    <x v="36"/>
    <s v="81.750,00"/>
    <e v="#NAME?"/>
  </r>
  <r>
    <n v="2560"/>
    <m/>
    <x v="0"/>
    <d v="2019-11-28T00:00:00"/>
    <n v="100000"/>
    <s v="Wu Hung Fung"/>
    <s v="carolinahung24@gmail.com | barbarahung15@hotmail.com"/>
    <s v="Calle Guacara Nro. 90-81"/>
    <s v="Cancelación Vigilancia, mes de Noviembre 2019"/>
    <x v="0"/>
    <m/>
    <s v="02560"/>
    <s v="28 de noviembre de 2019"/>
    <n v="28"/>
    <x v="36"/>
    <s v="100.000,00"/>
    <e v="#NAME?"/>
  </r>
  <r>
    <n v="2561"/>
    <m/>
    <x v="0"/>
    <d v="2019-11-29T00:00:00"/>
    <n v="118540"/>
    <s v="Colegio El Trigal"/>
    <s v="En Físico"/>
    <s v="Calle Güigüe Nros. 88-71 y 88-81"/>
    <s v="Cancelación Vigilancia, mes de Noviembre 2019"/>
    <x v="0"/>
    <m/>
    <s v="02561"/>
    <s v="29 de noviembre de 2019"/>
    <n v="29"/>
    <x v="36"/>
    <s v="118.540,00"/>
    <e v="#NAME?"/>
  </r>
  <r>
    <n v="2562"/>
    <m/>
    <x v="0"/>
    <d v="2019-11-29T00:00:00"/>
    <n v="81750"/>
    <s v="Familia Guerra Miret"/>
    <s v="antoniojguerrag@hotmail.com"/>
    <s v="Calle Güigüe Nro. 89-40"/>
    <s v="Cancelación Vigilancia, mes de Diciembre 2019"/>
    <x v="0"/>
    <m/>
    <s v="02562"/>
    <s v="29 de noviembre de 2019"/>
    <n v="29"/>
    <x v="36"/>
    <s v="81.750,00"/>
    <e v="#NAME?"/>
  </r>
  <r>
    <n v="2563"/>
    <m/>
    <x v="0"/>
    <d v="2019-11-29T00:00:00"/>
    <n v="81750"/>
    <s v="Familia Flores Montagne"/>
    <s v="martaflores@gmail.com"/>
    <s v="Av. &quot;M&quot; Nro. 146-20"/>
    <s v="Cancelación Vigilancia, mes de Noviembre 2019"/>
    <x v="0"/>
    <m/>
    <s v="02563"/>
    <s v="29 de noviembre de 2019"/>
    <n v="29"/>
    <x v="36"/>
    <s v="81.750,00"/>
    <e v="#NAME?"/>
  </r>
  <r>
    <n v="2564"/>
    <m/>
    <x v="0"/>
    <d v="2019-11-29T00:00:00"/>
    <n v="81750"/>
    <s v="Familia Romero"/>
    <s v="almacenajeiri@gmail.com"/>
    <s v="Calle Guacara Nro. 89-50"/>
    <s v="Cancelación Vigilancia, mes de Diciembre 2019"/>
    <x v="0"/>
    <m/>
    <s v="02564"/>
    <s v="29 de noviembre de 2019"/>
    <n v="29"/>
    <x v="36"/>
    <s v="81.750,00"/>
    <e v="#NAME?"/>
  </r>
  <r>
    <n v="2565"/>
    <m/>
    <x v="0"/>
    <d v="2019-11-24T00:00:00"/>
    <n v="73500"/>
    <s v="Ana de González"/>
    <s v="mikelnowak25@gmail.com"/>
    <s v="Av. &quot;O&quot; Nro. 146-17"/>
    <s v="Cancelación Vigilancia, mes de Noviembre 2019"/>
    <x v="0"/>
    <m/>
    <s v="02565"/>
    <s v="24 de noviembre de 2019"/>
    <n v="24"/>
    <x v="36"/>
    <s v="73.500,00"/>
    <e v="#NAME?"/>
  </r>
  <r>
    <n v="2566"/>
    <m/>
    <x v="0"/>
    <d v="2019-11-29T00:00:00"/>
    <n v="81750"/>
    <s v="Familia Fermín Rivas"/>
    <s v="angelferminb@gmail.com"/>
    <s v="Calle Güigüe Nro. 89-55"/>
    <s v="Cancelación Vigilancia, mes de Diciembre 2019"/>
    <x v="0"/>
    <m/>
    <s v="02566"/>
    <s v="29 de noviembre de 2019"/>
    <n v="29"/>
    <x v="36"/>
    <s v="81.750,00"/>
    <e v="#NAME?"/>
  </r>
  <r>
    <n v="2567"/>
    <m/>
    <x v="0"/>
    <d v="2019-11-30T00:00:00"/>
    <n v="81750"/>
    <s v="Familia Del Negro Palermo"/>
    <s v="vdelnegro@gmail.com"/>
    <s v="Calle Guacara Nro. 88-45"/>
    <s v="Cancelación Vigilancia, mes de Diciembre 2019 (saldo a favor: Bs. 325.712,95)"/>
    <x v="0"/>
    <m/>
    <s v="02567"/>
    <s v="30 de noviembre de 2019"/>
    <n v="30"/>
    <x v="36"/>
    <s v="81.750,00"/>
    <e v="#NAME?"/>
  </r>
  <r>
    <n v="2568"/>
    <m/>
    <x v="0"/>
    <d v="2019-11-30T00:00:00"/>
    <n v="81750"/>
    <s v="Familia Wu Acevedo"/>
    <s v="rudyacevedo90@gmail.com"/>
    <s v="Calle Guacara Nro. 88-A-10"/>
    <s v="Cancelación Vigilancia, mes de Diciembre 2019 (saldo a favor: Bs. 64.425,80)"/>
    <x v="0"/>
    <m/>
    <s v="02568"/>
    <s v="30 de noviembre de 2019"/>
    <n v="30"/>
    <x v="36"/>
    <s v="81.750,00"/>
    <e v="#NAME?"/>
  </r>
  <r>
    <n v="2569"/>
    <m/>
    <x v="0"/>
    <d v="2019-11-30T00:00:00"/>
    <n v="81750"/>
    <s v="Familia Colosso Delgado"/>
    <s v="mcolosso@gmail.com"/>
    <s v="Calle Güigüe Nro. 88-44"/>
    <s v="Cancelación Vigilancia, mes de Diciembre 2019"/>
    <x v="0"/>
    <m/>
    <s v="02569"/>
    <s v="30 de noviembre de 2019"/>
    <n v="30"/>
    <x v="36"/>
    <s v="81.750,00"/>
    <e v="#NAME?"/>
  </r>
  <r>
    <n v="2570"/>
    <m/>
    <x v="0"/>
    <d v="2019-11-30T00:00:00"/>
    <n v="81750"/>
    <s v="Amarilis Guerra"/>
    <s v="amarilisguerra1@yahoo.com"/>
    <s v="Calle Güigüe Nro. 89-96"/>
    <s v="Cancelación Vigilancia, mes de Diciembre 2019"/>
    <x v="0"/>
    <m/>
    <s v="02570"/>
    <s v="30 de noviembre de 2019"/>
    <n v="30"/>
    <x v="36"/>
    <s v="81.750,00"/>
    <e v="#NAME?"/>
  </r>
  <r>
    <n v="2571"/>
    <m/>
    <x v="0"/>
    <d v="2019-11-30T00:00:00"/>
    <n v="81750"/>
    <s v="Amparo Acosta"/>
    <s v="amparonatividad@hotmail.com"/>
    <s v="Calle Guacara Nro. 88-65"/>
    <s v="Cancelación Vigilancia, mes de Diciembre 2019"/>
    <x v="0"/>
    <m/>
    <s v="02571"/>
    <s v="30 de noviembre de 2019"/>
    <n v="30"/>
    <x v="36"/>
    <s v="81.750,00"/>
    <e v="#NAME?"/>
  </r>
  <r>
    <n v="2572"/>
    <m/>
    <x v="0"/>
    <d v="2019-12-01T00:00:00"/>
    <n v="32700"/>
    <s v="Familia Franco Gómez"/>
    <s v="eof64@hotmail.com"/>
    <s v="Calle Guacara Nro. 87-07"/>
    <s v="Colaboración Vigilancia, mes de Diciembre 2019"/>
    <x v="0"/>
    <m/>
    <s v="02572"/>
    <s v="01 de diciembre de 2019"/>
    <n v="1"/>
    <x v="37"/>
    <s v="32.700,00"/>
    <e v="#NAME?"/>
  </r>
  <r>
    <n v="2573"/>
    <m/>
    <x v="0"/>
    <d v="2019-12-01T00:00:00"/>
    <n v="81750"/>
    <s v="Héctor Hernández"/>
    <s v="eof64@hotmail.com"/>
    <s v="Calle Guacara Nro. 89-94"/>
    <s v="Cancelación Vigilancia, mes de Diciembre 2019"/>
    <x v="0"/>
    <m/>
    <s v="02573"/>
    <s v="01 de diciembre de 2019"/>
    <n v="1"/>
    <x v="37"/>
    <s v="81.750,00"/>
    <e v="#NAME?"/>
  </r>
  <r>
    <n v="2574"/>
    <m/>
    <x v="0"/>
    <d v="2019-12-01T00:00:00"/>
    <n v="255250"/>
    <s v="Familia Cegarra Villamizar"/>
    <s v="jesus.villamizar.ra@gmail.com"/>
    <s v="Calle Guacara Nro. 88-35"/>
    <s v="Cancelación Vigilancia, meses de Agosto a Noviembre 2019"/>
    <x v="0"/>
    <m/>
    <s v="02574"/>
    <s v="01 de diciembre de 2019"/>
    <n v="1"/>
    <x v="37"/>
    <s v="255.250,00"/>
    <e v="#NAME?"/>
  </r>
  <r>
    <n v="2575"/>
    <m/>
    <x v="0"/>
    <d v="2019-12-01T00:00:00"/>
    <n v="81750"/>
    <s v="Familia Jiménez Navarro"/>
    <s v="joyasonline2012@gmail.com"/>
    <s v="Calle Güigüe Nro. 88-50"/>
    <s v="Cancelación Vigilancia, mes de Noviembre 2019"/>
    <x v="0"/>
    <m/>
    <s v="02575"/>
    <s v="01 de diciembre de 2019"/>
    <n v="1"/>
    <x v="37"/>
    <s v="81.750,00"/>
    <e v="#NAME?"/>
  </r>
  <r>
    <n v="2576"/>
    <m/>
    <x v="0"/>
    <d v="2019-12-01T00:00:00"/>
    <n v="81750"/>
    <s v="Familia Arcia Polanco"/>
    <s v="misipo29@gmail.com"/>
    <s v="Calle Guacara Nro. 89-20"/>
    <s v="Cancelación Vigilancia, mes de Diciembre 2019"/>
    <x v="0"/>
    <m/>
    <s v="02576"/>
    <s v="01 de diciembre de 2019"/>
    <n v="1"/>
    <x v="37"/>
    <s v="81.750,00"/>
    <e v="#NAME?"/>
  </r>
  <r>
    <n v="2577"/>
    <m/>
    <x v="0"/>
    <d v="2019-12-01T00:00:00"/>
    <n v="81750"/>
    <s v="Andrea Valor"/>
    <s v="aavp992@gmail.com"/>
    <s v="Calle Guacara Nro. 88-75"/>
    <s v="Cancelación Vigilancia, mes de Diciembre 2019"/>
    <x v="0"/>
    <m/>
    <s v="02577"/>
    <s v="01 de diciembre de 2019"/>
    <n v="1"/>
    <x v="37"/>
    <s v="81.750,00"/>
    <e v="#NAME?"/>
  </r>
  <r>
    <n v="2578"/>
    <m/>
    <x v="0"/>
    <d v="2019-12-01T00:00:00"/>
    <n v="81750"/>
    <s v="Familia Ochoa Mendoza"/>
    <s v="marisoljudithm@hotmail.com"/>
    <s v="Calle Guacara Nro. 89-130"/>
    <s v="Cancelación Vigilancia, mes de Diciembre 2019"/>
    <x v="0"/>
    <m/>
    <s v="02578"/>
    <s v="01 de diciembre de 2019"/>
    <n v="1"/>
    <x v="37"/>
    <s v="81.750,00"/>
    <e v="#NAME?"/>
  </r>
  <r>
    <n v="2579"/>
    <m/>
    <x v="0"/>
    <d v="2019-12-01T00:00:00"/>
    <n v="81750"/>
    <s v="Familia Hatem Medina"/>
    <s v="hhatem1@hotmail.com"/>
    <s v="Calle Guacara Nro. 88-51"/>
    <s v="Cancelación Vigilancia, mes de Diciembre 2019"/>
    <x v="0"/>
    <m/>
    <s v="02579"/>
    <s v="01 de diciembre de 2019"/>
    <n v="1"/>
    <x v="37"/>
    <s v="81.750,00"/>
    <e v="#NAME?"/>
  </r>
  <r>
    <n v="2580"/>
    <m/>
    <x v="0"/>
    <d v="2019-12-01T00:00:00"/>
    <n v="81750"/>
    <s v="Familia Nava Gordon"/>
    <s v="maru_19_66@hotmail.com"/>
    <s v="Calle Guacara Nro. 89-78"/>
    <s v="Cancelación Vigilancia, saldo mes de Diciembre 2019 y anticipo mes de Enero 2020 (Bs. 2.300)"/>
    <x v="0"/>
    <m/>
    <s v="02580"/>
    <s v="01 de diciembre de 2019"/>
    <n v="1"/>
    <x v="37"/>
    <s v="81.750,00"/>
    <e v="#NAME?"/>
  </r>
  <r>
    <n v="2581"/>
    <m/>
    <x v="0"/>
    <d v="2019-12-01T00:00:00"/>
    <n v="81750"/>
    <s v="Familia Rodríguez Girón"/>
    <s v="daniellegt4@gmail.com"/>
    <s v="Calle Güigüe Nro. 89-22"/>
    <s v="Cancelación Vigilancia, mes de Diciembre 2019"/>
    <x v="0"/>
    <m/>
    <s v="02581"/>
    <s v="01 de diciembre de 2019"/>
    <n v="1"/>
    <x v="37"/>
    <s v="81.750,00"/>
    <e v="#NAME?"/>
  </r>
  <r>
    <n v="2582"/>
    <m/>
    <x v="0"/>
    <d v="2019-12-01T00:00:00"/>
    <n v="81750"/>
    <s v="Familia Triana González"/>
    <s v="En Físico"/>
    <s v="Calle Guacara Nro. 90-61"/>
    <s v="Cancelación Vigilancia, mes de Diciembre 2019"/>
    <x v="0"/>
    <m/>
    <s v="02582"/>
    <s v="01 de diciembre de 2019"/>
    <n v="1"/>
    <x v="37"/>
    <s v="81.750,00"/>
    <e v="#NAME?"/>
  </r>
  <r>
    <n v="2583"/>
    <m/>
    <x v="0"/>
    <d v="2019-12-01T00:00:00"/>
    <n v="81750"/>
    <s v="Familia Delgado Hidalgo"/>
    <s v="ardh@hotmail.com"/>
    <s v="Calle Güigüe Nro. 88-10"/>
    <s v="Cancelación Vigilancia, mes de Diciembre 2019"/>
    <x v="0"/>
    <m/>
    <s v="02583"/>
    <s v="01 de diciembre de 2019"/>
    <n v="1"/>
    <x v="37"/>
    <s v="81.750,00"/>
    <e v="#NAME?"/>
  </r>
  <r>
    <n v="2584"/>
    <m/>
    <x v="0"/>
    <d v="2019-12-01T00:00:00"/>
    <n v="163500"/>
    <s v="Santiago Varela"/>
    <s v="svg0583@gmail.com"/>
    <s v="Av. &quot;M&quot; Nro. 146-30"/>
    <s v="Cancelación Vigilancia, meses de Noviembre y Diciembre 2019"/>
    <x v="0"/>
    <m/>
    <s v="02584"/>
    <s v="01 de diciembre de 2019"/>
    <n v="1"/>
    <x v="37"/>
    <s v="163.500,00"/>
    <e v="#NAME?"/>
  </r>
  <r>
    <n v="2585"/>
    <m/>
    <x v="0"/>
    <d v="2019-12-01T00:00:00"/>
    <n v="80000"/>
    <s v="Victoria Francischiello"/>
    <s v="victoriafrancischiello@hotmail.com"/>
    <s v="Calle Guacara Nro. 88-25"/>
    <s v="Colaboración Vigilancia, meses de Noviembre y Diciembre 2019"/>
    <x v="0"/>
    <m/>
    <s v="02585"/>
    <s v="01 de diciembre de 2019"/>
    <n v="1"/>
    <x v="37"/>
    <s v="80.000,00"/>
    <e v="#NAME?"/>
  </r>
  <r>
    <n v="2586"/>
    <m/>
    <x v="0"/>
    <d v="2019-12-01T00:00:00"/>
    <n v="81750"/>
    <s v="Familia Manrique Riera"/>
    <s v="patriciamanrique@gmail.com"/>
    <s v="Calle Guacara Nro. 89-40"/>
    <s v="Cancelación Vigilancia, mes de Diciembre 2019"/>
    <x v="0"/>
    <m/>
    <s v="02586"/>
    <s v="01 de diciembre de 2019"/>
    <n v="1"/>
    <x v="37"/>
    <s v="81.750,00"/>
    <e v="#NAME?"/>
  </r>
  <r>
    <n v="2587"/>
    <m/>
    <x v="0"/>
    <d v="2019-12-01T00:00:00"/>
    <n v="81750"/>
    <s v="Familia Barreto Pérez"/>
    <s v="bbetsa19@hotmail.com"/>
    <s v="Av. &quot;M&quot; Nro. 146-15"/>
    <s v="Cancelación Vigilancia, mes de Diciembre 2019"/>
    <x v="0"/>
    <m/>
    <s v="02587"/>
    <s v="01 de diciembre de 2019"/>
    <n v="1"/>
    <x v="37"/>
    <s v="81.750,00"/>
    <e v="#NAME?"/>
  </r>
  <r>
    <n v="2588"/>
    <m/>
    <x v="0"/>
    <d v="2019-12-01T00:00:00"/>
    <n v="21000"/>
    <s v="Zoraida Khair"/>
    <s v="zorakhair@hotmail.com | lbracamonte@netuno.net"/>
    <s v="Calle Güigüe Nro. 88-80"/>
    <s v="Cancelación Vigilancia, saldo mes de Noviembre 2019"/>
    <x v="0"/>
    <m/>
    <s v="02588"/>
    <s v="01 de diciembre de 2019"/>
    <n v="1"/>
    <x v="37"/>
    <s v="21.000,00"/>
    <e v="#NAME?"/>
  </r>
  <r>
    <n v="2589"/>
    <m/>
    <x v="0"/>
    <d v="2019-12-01T00:00:00"/>
    <n v="81750"/>
    <s v="Familia Kattar González"/>
    <s v="jagiak123@yahoo.es"/>
    <s v="Calle Güigüe Nro. 89-95"/>
    <s v="Cancelación Vigilancia, mes de Noviembre 2019"/>
    <x v="0"/>
    <m/>
    <s v="02589"/>
    <s v="01 de diciembre de 2019"/>
    <n v="1"/>
    <x v="37"/>
    <s v="81.750,00"/>
    <e v="#NAME?"/>
  </r>
  <r>
    <n v="2590"/>
    <m/>
    <x v="0"/>
    <d v="2019-12-03T00:00:00"/>
    <n v="300000"/>
    <s v="Familia Ferrer Bahri"/>
    <s v="bahrimariela@hotmail.com"/>
    <s v="Calle Güigüe Nro. 89-83"/>
    <s v="Cancelación Vigilancia, meses de Diciembre 2019 y Enero 2020"/>
    <x v="0"/>
    <m/>
    <s v="02590"/>
    <s v="03 de diciembre de 2019"/>
    <n v="3"/>
    <x v="37"/>
    <s v="300.000,00"/>
    <e v="#NAME?"/>
  </r>
  <r>
    <n v="2591"/>
    <m/>
    <x v="0"/>
    <d v="2019-12-03T00:00:00"/>
    <n v="97500"/>
    <s v="Carmen Moreno"/>
    <s v="carmenemoreno10@gmail.com"/>
    <s v="Calle Güigüe Nro. 89-04"/>
    <s v="Cancelación Vigilancia, mes de Diciembre 2019"/>
    <x v="0"/>
    <m/>
    <s v="02591"/>
    <s v="03 de diciembre de 2019"/>
    <n v="3"/>
    <x v="37"/>
    <s v="97.500,00"/>
    <e v="#NAME?"/>
  </r>
  <r>
    <n v="2592"/>
    <m/>
    <x v="0"/>
    <d v="2019-12-03T00:00:00"/>
    <n v="97500"/>
    <s v="Familia Zavarce Barón"/>
    <s v="alexanderzavarce@gmail.com"/>
    <s v="Calle Guacara Nro. 88-91"/>
    <s v="Cancelación Vigilancia, mes de Noviembre 2019"/>
    <x v="0"/>
    <m/>
    <s v="02592"/>
    <s v="03 de diciembre de 2019"/>
    <n v="3"/>
    <x v="37"/>
    <s v="97.500,00"/>
    <e v="#NAME?"/>
  </r>
  <r>
    <n v="2593"/>
    <m/>
    <x v="0"/>
    <d v="2019-12-04T00:00:00"/>
    <n v="40000"/>
    <s v="Familia Chávez Hernández"/>
    <s v="mercedesch23@hotmail.com"/>
    <s v="Calle Güigüe Nro. 88-20"/>
    <s v="Colaboración Vigilancia, meses de Noviembre y Diciembre 2019"/>
    <x v="0"/>
    <m/>
    <s v="02593"/>
    <s v="04 de diciembre de 2019"/>
    <n v="4"/>
    <x v="37"/>
    <s v="40.000,00"/>
    <e v="#NAME?"/>
  </r>
  <r>
    <n v="2594"/>
    <m/>
    <x v="0"/>
    <d v="2019-12-04T00:00:00"/>
    <n v="97500"/>
    <s v="Familia Matta Palomino"/>
    <s v="En Físico"/>
    <s v="Calle Güigüe Nro. 88-90"/>
    <s v="Cancelación Vigilancia, mes de Noviembre 2019"/>
    <x v="0"/>
    <m/>
    <s v="02594"/>
    <s v="04 de diciembre de 2019"/>
    <n v="4"/>
    <x v="37"/>
    <s v="97.500,00"/>
    <e v="#NAME?"/>
  </r>
  <r>
    <n v="2595"/>
    <m/>
    <x v="0"/>
    <d v="2019-12-04T00:00:00"/>
    <n v="20000"/>
    <s v="Familia Rivero"/>
    <s v="En Físico"/>
    <s v="Calle Güigüe Nro. 88-40"/>
    <s v="Colaboración Vigilancia, mes de Noviembre 2019"/>
    <x v="0"/>
    <m/>
    <s v="02595"/>
    <s v="04 de diciembre de 2019"/>
    <n v="4"/>
    <x v="37"/>
    <s v="20.000,00"/>
    <e v="#NAME?"/>
  </r>
  <r>
    <n v="2596"/>
    <m/>
    <x v="0"/>
    <d v="2019-12-05T00:00:00"/>
    <n v="35000"/>
    <s v="Familia Méndez Parra"/>
    <s v="briceidademendez@gmail.com"/>
    <s v="Calle Guacara Nro. 88-19"/>
    <s v="Colaboración Vigilancia, mes de Diciembre 2019"/>
    <x v="0"/>
    <m/>
    <s v="02596"/>
    <s v="05 de diciembre de 2019"/>
    <n v="5"/>
    <x v="37"/>
    <s v="35.000,00"/>
    <e v="#NAME?"/>
  </r>
  <r>
    <n v="2597"/>
    <m/>
    <x v="0"/>
    <d v="2019-12-06T00:00:00"/>
    <n v="97500"/>
    <s v="Beatriz Lara"/>
    <s v="arquitectoag@gmail.com"/>
    <s v="Calle Guacara Nro. 89-130"/>
    <s v="Cancelación Vigilancia, mes de Diciembre 2019"/>
    <x v="0"/>
    <m/>
    <s v="02597"/>
    <s v="06 de diciembre de 2019"/>
    <n v="6"/>
    <x v="37"/>
    <s v="97.500,00"/>
    <e v="#NAME?"/>
  </r>
  <r>
    <n v="2598"/>
    <m/>
    <x v="0"/>
    <d v="2019-12-06T00:00:00"/>
    <n v="97500"/>
    <s v="Familia Martínez Boada"/>
    <s v="florcitakmz@gmail.com"/>
    <s v="Calle Güigüe Nro. 88-62"/>
    <s v="Colaboración Vigilancia, meses de Octubre, Noviembre y Diciembre 2019"/>
    <x v="0"/>
    <m/>
    <s v="02598"/>
    <s v="06 de diciembre de 2019"/>
    <n v="6"/>
    <x v="37"/>
    <s v="97.500,00"/>
    <e v="#NAME?"/>
  </r>
  <r>
    <n v="2599"/>
    <m/>
    <x v="0"/>
    <d v="2019-12-06T00:00:00"/>
    <n v="97500"/>
    <s v="Dra. Lilia Magallanes"/>
    <s v="liliamagallanes2010@gmail.com"/>
    <s v="Calle Güigüe Nro. 88-51"/>
    <s v="Cancelación Vigilancia, mes de Diciembre 2019"/>
    <x v="0"/>
    <m/>
    <s v="02599"/>
    <s v="06 de diciembre de 2019"/>
    <n v="6"/>
    <x v="37"/>
    <s v="97.500,00"/>
    <e v="#NAME?"/>
  </r>
  <r>
    <n v="2600"/>
    <m/>
    <x v="1"/>
    <d v="2019-12-07T00:00:00"/>
    <n v="195000"/>
    <s v="Jocsan Orta Correa"/>
    <s v="carlos_arturox@hotmail.com"/>
    <s v="Av. &quot;L&quot; anexo de Los Tronquitos"/>
    <s v="ANULADO: Cancelación Vigilancia, saldo mes de Noviembre, Diciembre 2019 y anticipo mes de Enero 2020 (Bs. 77.100)"/>
    <x v="3"/>
    <m/>
    <s v="02600"/>
    <s v="07 de diciembre de 2019"/>
    <n v="7"/>
    <x v="37"/>
    <s v="195.000,00"/>
    <e v="#NAME?"/>
  </r>
  <r>
    <n v="2601"/>
    <m/>
    <x v="0"/>
    <d v="2019-12-07T00:00:00"/>
    <n v="148000"/>
    <s v="Familia Lomeña Agudo"/>
    <s v="claudialomena@hotmail.com"/>
    <s v="Calle Guacara Nro. 89-30"/>
    <s v="Cancelación Vigilancia, mes de Diciembre 2019"/>
    <x v="0"/>
    <m/>
    <s v="02601"/>
    <s v="07 de diciembre de 2019"/>
    <n v="7"/>
    <x v="37"/>
    <s v="148.000,00"/>
    <e v="#NAME?"/>
  </r>
  <r>
    <n v="2602"/>
    <m/>
    <x v="0"/>
    <d v="2019-12-07T00:00:00"/>
    <n v="195000"/>
    <s v="Jocsan Orta Correa"/>
    <s v="carlos_arturox@hotmail.com"/>
    <s v="Av. &quot;L&quot; anexo de Los Tronquitos"/>
    <s v="Cancelación Vigilancia, meses de Diciembre 2019 y Enero 2020"/>
    <x v="0"/>
    <m/>
    <s v="02602"/>
    <s v="07 de diciembre de 2019"/>
    <n v="7"/>
    <x v="37"/>
    <s v="195.000,00"/>
    <e v="#NAME?"/>
  </r>
  <r>
    <n v="2603"/>
    <m/>
    <x v="0"/>
    <d v="2019-12-09T00:00:00"/>
    <n v="105500"/>
    <s v="Familia Navarro Assing"/>
    <s v="liliaassing@gmail.com"/>
    <s v="Calle Güigüe Nro. 88-54"/>
    <s v="Cancelación Vigilancia, mes de Diciembre 2019"/>
    <x v="0"/>
    <m/>
    <s v="02603"/>
    <s v="09 de diciembre de 2019"/>
    <n v="9"/>
    <x v="37"/>
    <s v="105.500,00"/>
    <e v="#NAME?"/>
  </r>
  <r>
    <n v="2604"/>
    <m/>
    <x v="0"/>
    <d v="2019-12-09T00:00:00"/>
    <n v="105250"/>
    <s v="Familia Castro Jiménez"/>
    <s v="aurycastrojimenez@gmail.com"/>
    <s v="Calle Guacara Nro. 90-51"/>
    <s v="Cancelación Vigilancia, mes de Diciembre 2019"/>
    <x v="0"/>
    <m/>
    <s v="02604"/>
    <s v="09 de diciembre de 2019"/>
    <n v="9"/>
    <x v="37"/>
    <s v="105.250,00"/>
    <e v="#NAME?"/>
  </r>
  <r>
    <n v="2605"/>
    <m/>
    <x v="0"/>
    <d v="2019-12-03T00:00:00"/>
    <n v="97500"/>
    <s v="Familia Loponte Arteaga"/>
    <s v="En Físico"/>
    <s v="Calle Güigüe Nro. 88-120"/>
    <s v="Cancelación Vigilancia, mes de Diciembre 2019"/>
    <x v="0"/>
    <m/>
    <s v="02605"/>
    <s v="03 de diciembre de 2019"/>
    <n v="3"/>
    <x v="37"/>
    <s v="97.500,00"/>
    <e v="#NAME?"/>
  </r>
  <r>
    <n v="2606"/>
    <m/>
    <x v="0"/>
    <d v="2019-12-10T00:00:00"/>
    <n v="105250"/>
    <s v="Familia López Hermoso"/>
    <s v="lopez.humberto14@yahoo.com.ve"/>
    <s v="Calle Güigüe Nro. 89-79"/>
    <s v="Cancelación Vigilancia, mes de Diciembre 2019 (saldo a favor: Bs. 200,00)"/>
    <x v="0"/>
    <m/>
    <s v="02606"/>
    <s v="10 de diciembre de 2019"/>
    <n v="10"/>
    <x v="37"/>
    <s v="105.250,00"/>
    <e v="#NAME?"/>
  </r>
  <r>
    <n v="2607"/>
    <m/>
    <x v="0"/>
    <d v="2019-12-11T00:00:00"/>
    <n v="105250"/>
    <s v="Ely Saúl Rivero Gómez"/>
    <s v="hhs.admon@gmail.com"/>
    <s v="Av. &quot;Ñ&quot; Nro. 145-25"/>
    <s v="Cancelación Vigilancia, mes de Diciembre 2019 (saldo a favor: Bs. 138.202,00)"/>
    <x v="0"/>
    <m/>
    <s v="02607"/>
    <s v="11 de diciembre de 2019"/>
    <n v="11"/>
    <x v="37"/>
    <s v="105.250,00"/>
    <e v="#NAME?"/>
  </r>
  <r>
    <n v="2608"/>
    <m/>
    <x v="0"/>
    <d v="2019-12-11T00:00:00"/>
    <n v="2387000"/>
    <s v="Familia Chávez Moncada"/>
    <s v="alechavezmoncada@gmail.com"/>
    <s v="Calle Guacara Nro. 88-95"/>
    <s v="Cancelación Vigilancia, meses de Enero 2016 a Diciembre 2019"/>
    <x v="0"/>
    <m/>
    <s v="02608"/>
    <s v="11 de diciembre de 2019"/>
    <n v="11"/>
    <x v="37"/>
    <s v="2.387.000,00"/>
    <e v="#NAME?"/>
  </r>
  <r>
    <n v="2609"/>
    <m/>
    <x v="1"/>
    <d v="2019-12-11T00:00:00"/>
    <n v="2387000"/>
    <s v="Familia Chávez Moncada"/>
    <s v="alechavezmoncada@gmail.com"/>
    <s v="Calle Guacara Nro. 88-95"/>
    <s v="SOLVENCIA: Cancelación Vigilancia, meses de Enero 2016 a Diciembre 2019"/>
    <x v="14"/>
    <m/>
    <s v="02609"/>
    <s v="11 de diciembre de 2019"/>
    <n v="11"/>
    <x v="37"/>
    <s v="2.387.000,00"/>
    <e v="#NAME?"/>
  </r>
  <r>
    <n v="2610"/>
    <m/>
    <x v="0"/>
    <d v="2019-12-12T00:00:00"/>
    <n v="60000"/>
    <s v="Gloria Molina"/>
    <s v="glomola2@yahoo.es"/>
    <s v="Calle Güigüe Nro. 89-71"/>
    <s v="Cancelación Vigilancia, mes de Noviembre 2019"/>
    <x v="0"/>
    <m/>
    <s v="02610"/>
    <s v="12 de diciembre de 2019"/>
    <n v="12"/>
    <x v="37"/>
    <s v="60.000,00"/>
    <e v="#NAME?"/>
  </r>
  <r>
    <n v="2611"/>
    <m/>
    <x v="0"/>
    <d v="2019-12-12T00:00:00"/>
    <n v="105250"/>
    <s v="Familia Alonso Rojas"/>
    <s v="redjc01@gmail.com"/>
    <s v="Calle Güigüe Nro. 89-54"/>
    <s v="Cancelación Vigilancia, mes de Diciembre 2019"/>
    <x v="0"/>
    <m/>
    <s v="02611"/>
    <s v="12 de diciembre de 2019"/>
    <n v="12"/>
    <x v="37"/>
    <s v="105.250,00"/>
    <e v="#NAME?"/>
  </r>
  <r>
    <n v="2612"/>
    <m/>
    <x v="0"/>
    <d v="2019-12-12T00:00:00"/>
    <n v="105250"/>
    <s v="Familia Milanés Carmona"/>
    <s v="yndira11m@gmail.com"/>
    <s v="Calle Güigüe Nro. 89-65"/>
    <s v="Cancelación Vigilancia, mes de Diciembre 2019"/>
    <x v="0"/>
    <m/>
    <s v="02612"/>
    <s v="12 de diciembre de 2019"/>
    <n v="12"/>
    <x v="37"/>
    <s v="105.250,00"/>
    <e v="#NAME?"/>
  </r>
  <r>
    <n v="2613"/>
    <m/>
    <x v="0"/>
    <d v="2019-12-08T00:00:00"/>
    <n v="141375"/>
    <s v="Colegio El Trigal"/>
    <s v="En Físico"/>
    <s v="Calle Güigüe Nros. 88-71 y 88-81"/>
    <s v="Cancelación Vigilancia, mes de Diciembre 2019"/>
    <x v="0"/>
    <m/>
    <s v="02613"/>
    <s v="08 de diciembre de 2019"/>
    <n v="8"/>
    <x v="37"/>
    <s v="141.375,00"/>
    <e v="#NAME?"/>
  </r>
  <r>
    <n v="2614"/>
    <m/>
    <x v="0"/>
    <d v="2019-12-13T00:00:00"/>
    <n v="105250"/>
    <s v="Familia Machado Stoppa"/>
    <s v="machadoru@hotmail.com | marisa2710chardan@gmail.com"/>
    <s v="Calle Guacara Nro. 88-85"/>
    <s v="Cancelación Vigilancia, mes de Diciembre 2019"/>
    <x v="0"/>
    <m/>
    <s v="02614"/>
    <s v="13 de diciembre de 2019"/>
    <n v="13"/>
    <x v="37"/>
    <s v="105.250,00"/>
    <e v="#NAME?"/>
  </r>
  <r>
    <n v="2615"/>
    <m/>
    <x v="0"/>
    <d v="2019-12-13T00:00:00"/>
    <n v="210500"/>
    <s v="Familia Puerta Burguillos"/>
    <s v="namaricakes@gmail.com"/>
    <s v="Calle Guacara Nro. 87-100"/>
    <s v="Cancelación Vigilancia, mes de Diciembre 2019"/>
    <x v="0"/>
    <m/>
    <s v="02615"/>
    <s v="13 de diciembre de 2019"/>
    <n v="13"/>
    <x v="37"/>
    <s v="210.500,00"/>
    <e v="#NAME?"/>
  </r>
  <r>
    <n v="2616"/>
    <m/>
    <x v="0"/>
    <d v="2019-12-13T00:00:00"/>
    <n v="105250"/>
    <s v="Familia Hurtado"/>
    <s v="hurtadomilena@gmail.com"/>
    <s v="Av. &quot;O&quot; Nro. 146-11"/>
    <s v="Cancelación Vigilancia, mes de Noviembre 2019. Transferencia Banesco nro. 11672199428"/>
    <x v="0"/>
    <m/>
    <s v="02616"/>
    <s v="13 de diciembre de 2019"/>
    <n v="13"/>
    <x v="37"/>
    <s v="105.250,00"/>
    <e v="#NAME?"/>
  </r>
  <r>
    <n v="2617"/>
    <m/>
    <x v="0"/>
    <d v="2019-12-17T00:00:00"/>
    <n v="105250"/>
    <s v="Familia Acosta Carpio"/>
    <s v="pablo962@hotmail.com"/>
    <s v="Calle Güigüe Nro. 89-10"/>
    <s v="Cancelación Vigilancia, mes de Diciembre 2019"/>
    <x v="0"/>
    <m/>
    <s v="02617"/>
    <s v="17 de diciembre de 2019"/>
    <n v="17"/>
    <x v="37"/>
    <s v="105.250,00"/>
    <e v="#NAME?"/>
  </r>
  <r>
    <n v="2618"/>
    <m/>
    <x v="0"/>
    <d v="2019-12-05T00:00:00"/>
    <n v="97500"/>
    <s v="Chin Chun Ya (Goya)"/>
    <s v="uc2721@gmail.com"/>
    <s v="Calle Guacara Nro. 87-86"/>
    <s v="Cancelación Vigilancia, mes de Diciembre 2019"/>
    <x v="0"/>
    <m/>
    <s v="02618"/>
    <s v="05 de diciembre de 2019"/>
    <n v="5"/>
    <x v="37"/>
    <s v="97.500,00"/>
    <e v="#NAME?"/>
  </r>
  <r>
    <n v="2619"/>
    <m/>
    <x v="0"/>
    <d v="2019-12-06T00:00:00"/>
    <n v="97500"/>
    <s v="Sra. Reina Meléndez"/>
    <s v="olgajipe@gmail.com"/>
    <s v="Av. &quot;M&quot; Nro. 145-10"/>
    <s v="Cancelación Vigilancia, mes de Diciembre 2019"/>
    <x v="0"/>
    <m/>
    <s v="02619"/>
    <s v="06 de diciembre de 2019"/>
    <n v="6"/>
    <x v="37"/>
    <s v="97.500,00"/>
    <e v="#NAME?"/>
  </r>
  <r>
    <n v="2620"/>
    <m/>
    <x v="0"/>
    <d v="2019-12-19T00:00:00"/>
    <n v="105250"/>
    <s v="Familia Gascón Domínguez"/>
    <s v="vrgascon@gmail.com"/>
    <s v="Calle Güigüe Nro. 88-70"/>
    <s v="Cancelación Vigilancia, mes de Diciembre 2019"/>
    <x v="0"/>
    <m/>
    <s v="02620"/>
    <s v="19 de diciembre de 2019"/>
    <n v="19"/>
    <x v="37"/>
    <s v="105.250,00"/>
    <e v="#NAME?"/>
  </r>
  <r>
    <n v="2621"/>
    <m/>
    <x v="0"/>
    <d v="2019-12-20T00:00:00"/>
    <n v="106000"/>
    <s v="Familia Montilla García"/>
    <s v="dairy252525@hotmail.com"/>
    <s v="Calle Güigüe Nro. 89-90"/>
    <s v="Cancelación Vigilancia, saldo mes de Diciembre 2019 y anticipo mes de Enero 2020"/>
    <x v="0"/>
    <m/>
    <s v="02621"/>
    <s v="20 de diciembre de 2019"/>
    <n v="20"/>
    <x v="37"/>
    <s v="106.000,00"/>
    <e v="#NAME?"/>
  </r>
  <r>
    <n v="2622"/>
    <m/>
    <x v="0"/>
    <d v="2019-12-20T00:00:00"/>
    <n v="105250"/>
    <s v="Familia Chan García"/>
    <s v="chanalberto10@hotmail.com | endrinagarciah@gmail.com"/>
    <s v="Calle Güigüe Nro. 89-106"/>
    <s v="Cancelación Vigilancia, mes de Diciembre 2019"/>
    <x v="0"/>
    <m/>
    <s v="02622"/>
    <s v="20 de diciembre de 2019"/>
    <n v="20"/>
    <x v="37"/>
    <s v="105.250,00"/>
    <e v="#NAME?"/>
  </r>
  <r>
    <n v="2623"/>
    <m/>
    <x v="0"/>
    <d v="2019-12-19T00:00:00"/>
    <n v="105250"/>
    <s v="Familia Zavarce Barón"/>
    <s v="alexanderzavarce@gmail.com"/>
    <s v="Calle Guacara Nro. 88-91"/>
    <s v="Cancelación Vigilancia, mes de Diciembre 2019"/>
    <x v="0"/>
    <m/>
    <s v="02623"/>
    <s v="19 de diciembre de 2019"/>
    <n v="19"/>
    <x v="37"/>
    <s v="105.250,00"/>
    <e v="#NAME?"/>
  </r>
  <r>
    <n v="2624"/>
    <m/>
    <x v="1"/>
    <d v="2019-12-21T00:00:00"/>
    <n v="105250"/>
    <s v="Familia Castillo Rodríguez"/>
    <s v="vesperanzacastillor@gmail.com | emmecas@hotmail.com"/>
    <s v="Calle Güigüe Nro. 88-91"/>
    <s v="Cancelación Vigilancia, mes de Diciembre 2019"/>
    <x v="3"/>
    <m/>
    <s v="02624"/>
    <s v="21 de diciembre de 2019"/>
    <n v="21"/>
    <x v="37"/>
    <s v="105.250,00"/>
    <e v="#NAME?"/>
  </r>
  <r>
    <n v="2625"/>
    <m/>
    <x v="0"/>
    <d v="2019-12-21T00:00:00"/>
    <n v="105250"/>
    <s v="Familia Abbinante Pinto"/>
    <s v="abbinante47@gmail.com"/>
    <s v="Calle Güigüe Nro. 89-120"/>
    <s v="Cancelación Vigilancia, mes de Diciembre 2019"/>
    <x v="0"/>
    <m/>
    <s v="02625"/>
    <s v="21 de diciembre de 2019"/>
    <n v="21"/>
    <x v="37"/>
    <s v="105.250,00"/>
    <e v="#NAME?"/>
  </r>
  <r>
    <n v="2626"/>
    <m/>
    <x v="0"/>
    <d v="2019-12-23T00:00:00"/>
    <n v="210500"/>
    <s v="Familia Zavarce Pérez"/>
    <s v="En Físico"/>
    <s v="Calle Guacara Nro. 90-35"/>
    <s v="Cancelación Vigilancia, meses de Diciembre 2019 y Enero 2020"/>
    <x v="0"/>
    <m/>
    <s v="02626"/>
    <s v="23 de diciembre de 2019"/>
    <n v="23"/>
    <x v="37"/>
    <s v="210.500,00"/>
    <e v="#NAME?"/>
  </r>
  <r>
    <n v="2627"/>
    <m/>
    <x v="0"/>
    <d v="2019-12-13T00:00:00"/>
    <n v="20000"/>
    <s v="Zoraida Khair"/>
    <s v="zorakhair@hotmail.com | lbracamonte@netuno.net"/>
    <s v="Calle Güigüe Nro. 88-80"/>
    <s v="Colaboración Vigilancia, mes de Diciembre 2019"/>
    <x v="0"/>
    <m/>
    <s v="02627"/>
    <s v="13 de diciembre de 2019"/>
    <n v="13"/>
    <x v="37"/>
    <s v="20.000,00"/>
    <e v="#NAME?"/>
  </r>
  <r>
    <n v="2628"/>
    <m/>
    <x v="0"/>
    <d v="2019-12-26T00:00:00"/>
    <n v="105250"/>
    <s v="Familia Costermani Terrer"/>
    <s v="claudiacostermani@hotmail.com"/>
    <s v="Calle Güigüe Nro. 88-11"/>
    <s v="Cancelación Vigilancia, mes de Diciembre 2019"/>
    <x v="0"/>
    <m/>
    <s v="02628"/>
    <s v="26 de diciembre de 2019"/>
    <n v="26"/>
    <x v="37"/>
    <s v="105.250,00"/>
    <e v="#NAME?"/>
  </r>
  <r>
    <n v="2629"/>
    <m/>
    <x v="0"/>
    <d v="2019-12-26T00:00:00"/>
    <n v="20000"/>
    <s v="Zoraida Khair"/>
    <s v="zorakhair@hotmail.com | lbracamonte@netuno.net"/>
    <s v="Calle Güigüe Nro. 88-80"/>
    <s v="Colaboración Vigilancia, mes de Diciembre 2019"/>
    <x v="0"/>
    <m/>
    <s v="02629"/>
    <s v="26 de diciembre de 2019"/>
    <n v="26"/>
    <x v="37"/>
    <s v="20.000,00"/>
    <e v="#NAME?"/>
  </r>
  <r>
    <n v="2630"/>
    <m/>
    <x v="0"/>
    <d v="2019-12-21T00:00:00"/>
    <n v="105250"/>
    <s v="Familia Castillo Mena"/>
    <s v="emmecas@hotmail.com"/>
    <s v="Calle Güigüe Nro. 88-101"/>
    <s v="Cancelación Vigilancia, mes de Diciembre 2019"/>
    <x v="0"/>
    <m/>
    <s v="02630"/>
    <s v="21 de diciembre de 2019"/>
    <n v="21"/>
    <x v="37"/>
    <s v="105.250,00"/>
    <e v="#NAME?"/>
  </r>
  <r>
    <n v="2631"/>
    <m/>
    <x v="0"/>
    <d v="2019-12-30T00:00:00"/>
    <n v="105250"/>
    <s v="Familia Guerra Miret"/>
    <s v="antoniojguerrag@hotmail.com"/>
    <s v="Calle Güigüe Nro. 89-40"/>
    <s v="Cancelación Vigilancia, mes de Enero 2020"/>
    <x v="0"/>
    <m/>
    <s v="02631"/>
    <s v="30 de diciembre de 2019"/>
    <n v="30"/>
    <x v="37"/>
    <s v="105.250,00"/>
    <e v="#NAME?"/>
  </r>
  <r>
    <n v="2632"/>
    <m/>
    <x v="0"/>
    <d v="2019-12-30T00:00:00"/>
    <n v="105250"/>
    <s v="Familia Flores Montagne"/>
    <s v="martaflores@gmail.com"/>
    <s v="Av. &quot;M&quot; Nro. 146-20"/>
    <s v="Cancelación Vigilancia, mes de Diciembre 2019"/>
    <x v="0"/>
    <m/>
    <s v="02632"/>
    <s v="30 de diciembre de 2019"/>
    <n v="30"/>
    <x v="37"/>
    <s v="105.250,00"/>
    <e v="#NAME?"/>
  </r>
  <r>
    <n v="2633"/>
    <m/>
    <x v="0"/>
    <d v="2019-12-08T00:00:00"/>
    <n v="97500"/>
    <s v="Familia Kablan Sarmiento"/>
    <s v="norisjsb56@hotmail.com"/>
    <s v="Calle Güigüe Nro. 89-80"/>
    <s v="Cancelación Vigilancia, saldo mes de Diciembre 2019"/>
    <x v="0"/>
    <m/>
    <s v="02633"/>
    <s v="08 de diciembre de 2019"/>
    <n v="8"/>
    <x v="37"/>
    <s v="97.500,00"/>
    <e v="#NAME?"/>
  </r>
  <r>
    <n v="2634"/>
    <m/>
    <x v="0"/>
    <d v="2020-01-01T00:00:00"/>
    <n v="60000"/>
    <s v="Gloria Molina"/>
    <s v="glomola2@yahoo.es"/>
    <s v="Calle Güigüe Nro. 89-71"/>
    <s v="Colaboración Vigilancia, mes de Diciembre 2019"/>
    <x v="0"/>
    <m/>
    <s v="02634"/>
    <s v="01 de enero de 2020"/>
    <n v="1"/>
    <x v="38"/>
    <s v="60.000,00"/>
    <e v="#NAME?"/>
  </r>
  <r>
    <n v="2635"/>
    <m/>
    <x v="0"/>
    <d v="2020-01-04T00:00:00"/>
    <n v="136250"/>
    <s v="Familia Arcia Polanco"/>
    <s v="misipo29@gmail.com"/>
    <s v="Calle Guacara Nro. 89-20"/>
    <s v="Cancelación Vigilancia, mes de Enero 2020"/>
    <x v="0"/>
    <m/>
    <s v="02635"/>
    <s v="04 de enero de 2020"/>
    <n v="4"/>
    <x v="38"/>
    <s v="136.250,00"/>
    <e v="#NAME?"/>
  </r>
  <r>
    <n v="2636"/>
    <m/>
    <x v="0"/>
    <d v="2020-01-04T00:00:00"/>
    <n v="136250"/>
    <s v="Beatriz Lara"/>
    <s v="arquitectoag@gmail.com"/>
    <s v="Calle Guacara Nro. 89-130"/>
    <s v="Cancelación Vigilancia, mes de Enero 2020"/>
    <x v="0"/>
    <m/>
    <s v="02636"/>
    <s v="04 de enero de 2020"/>
    <n v="4"/>
    <x v="38"/>
    <s v="136.250,00"/>
    <e v="#NAME?"/>
  </r>
  <r>
    <n v="2637"/>
    <m/>
    <x v="0"/>
    <d v="2020-01-04T00:00:00"/>
    <n v="136250"/>
    <s v="Familia Rodríguez Girón"/>
    <s v="daniellegt4@gmail.com"/>
    <s v="Calle Güigüe Nro. 89-22"/>
    <s v="Cancelación Vigilancia, mes de Enero 2020"/>
    <x v="0"/>
    <m/>
    <s v="02637"/>
    <s v="04 de enero de 2020"/>
    <n v="4"/>
    <x v="38"/>
    <s v="136.250,00"/>
    <e v="#NAME?"/>
  </r>
  <r>
    <n v="2638"/>
    <m/>
    <x v="0"/>
    <d v="2020-01-04T00:00:00"/>
    <n v="136250"/>
    <s v="Familia Matta Palomino"/>
    <s v="En Físico"/>
    <s v="Calle Güigüe Nro. 88-90"/>
    <s v="Cancelación Vigilancia, mes de Diciembre 2019"/>
    <x v="0"/>
    <m/>
    <s v="02638"/>
    <s v="04 de enero de 2020"/>
    <n v="4"/>
    <x v="38"/>
    <s v="136.250,00"/>
    <e v="#NAME?"/>
  </r>
  <r>
    <n v="2639"/>
    <m/>
    <x v="0"/>
    <d v="2020-01-04T00:00:00"/>
    <n v="136250"/>
    <s v="Amparo Acosta"/>
    <s v="amparonatividad@hotmail.com"/>
    <s v="Calle Guacara Nro. 88-65"/>
    <s v="Cancelación Vigilancia, mes de Enero 2020"/>
    <x v="0"/>
    <m/>
    <s v="02639"/>
    <s v="04 de enero de 2020"/>
    <n v="4"/>
    <x v="38"/>
    <s v="136.250,00"/>
    <e v="#NAME?"/>
  </r>
  <r>
    <n v="2640"/>
    <m/>
    <x v="0"/>
    <d v="2020-01-04T00:00:00"/>
    <n v="136250"/>
    <s v="Familia Del Negro Palermo"/>
    <s v="vdelnegro@gmail.com"/>
    <s v="Calle Guacara Nro. 88-45"/>
    <s v="Cancelación Vigilancia, mes de Enero 2020 (saldo a favor: Bs. 189.462,95)"/>
    <x v="0"/>
    <m/>
    <s v="02640"/>
    <s v="04 de enero de 2020"/>
    <n v="4"/>
    <x v="38"/>
    <s v="136.250,00"/>
    <e v="#NAME?"/>
  </r>
  <r>
    <n v="2641"/>
    <m/>
    <x v="0"/>
    <d v="2020-01-04T00:00:00"/>
    <n v="136250"/>
    <s v="Ely Saúl Rivero Gómez"/>
    <s v="hhs.admon@gmail.com"/>
    <s v="Av. &quot;Ñ&quot; Nro. 145-25"/>
    <s v="Cancelación Vigilancia, mes de Enero 2020 (saldo a favor: Bs. 1.952,00)"/>
    <x v="0"/>
    <m/>
    <s v="02641"/>
    <s v="04 de enero de 2020"/>
    <n v="4"/>
    <x v="38"/>
    <s v="136.250,00"/>
    <e v="#NAME?"/>
  </r>
  <r>
    <n v="2642"/>
    <m/>
    <x v="0"/>
    <d v="2020-01-03T00:00:00"/>
    <n v="105250"/>
    <s v="Familia Soto Urdaneta"/>
    <s v="esotom61@gmail.com"/>
    <s v="Calle Guacara Nro. 89-102"/>
    <s v="Cancelación Vigilancia, anticipo mes de Enero 2020"/>
    <x v="0"/>
    <m/>
    <s v="02642"/>
    <s v="03 de enero de 2020"/>
    <n v="3"/>
    <x v="38"/>
    <s v="105.250,00"/>
    <e v="#NAME?"/>
  </r>
  <r>
    <n v="2643"/>
    <m/>
    <x v="0"/>
    <d v="2020-01-04T00:00:00"/>
    <n v="31000"/>
    <s v="Familia Soto Urdaneta"/>
    <s v="esotom61@gmail.com"/>
    <s v="Calle Guacara Nro. 89-102"/>
    <s v="Cancelación Vigilancia, saldo mes de Enero 2020"/>
    <x v="0"/>
    <m/>
    <s v="02643"/>
    <s v="04 de enero de 2020"/>
    <n v="4"/>
    <x v="38"/>
    <s v="31.000,00"/>
    <e v="#NAME?"/>
  </r>
  <r>
    <n v="2644"/>
    <m/>
    <x v="0"/>
    <d v="2020-01-04T00:00:00"/>
    <n v="136250"/>
    <s v="Familia Narváez Caldera"/>
    <s v="jeannette_nc@yahoo.com"/>
    <s v="Calle Güigüe Nro. 87-A-11"/>
    <s v="Cancelación Vigilancia, mes de Enero 2020"/>
    <x v="0"/>
    <m/>
    <s v="02644"/>
    <s v="04 de enero de 2020"/>
    <n v="4"/>
    <x v="38"/>
    <s v="136.250,00"/>
    <e v="#NAME?"/>
  </r>
  <r>
    <n v="2645"/>
    <m/>
    <x v="0"/>
    <d v="2020-01-05T00:00:00"/>
    <n v="136250"/>
    <s v="Familia Colosso Delgado"/>
    <s v="mcolosso@gmail.com"/>
    <s v="Calle Güigüe Nro. 88-44"/>
    <s v="Cancelación Vigilancia, mes de Enero 2020"/>
    <x v="0"/>
    <m/>
    <s v="02645"/>
    <s v="05 de enero de 2020"/>
    <n v="5"/>
    <x v="38"/>
    <s v="136.250,00"/>
    <e v="#NAME?"/>
  </r>
  <r>
    <n v="2646"/>
    <m/>
    <x v="0"/>
    <d v="2020-01-05T00:00:00"/>
    <n v="136250"/>
    <s v="Familia Delgado Hidalgo"/>
    <s v="ardh@hotmail.com"/>
    <s v="Calle Güigüe Nro. 88-10"/>
    <s v="Cancelación Vigilancia, mes de Enero 2020"/>
    <x v="0"/>
    <m/>
    <s v="02646"/>
    <s v="05 de enero de 2020"/>
    <n v="5"/>
    <x v="38"/>
    <s v="136.250,00"/>
    <e v="#NAME?"/>
  </r>
  <r>
    <n v="2647"/>
    <m/>
    <x v="0"/>
    <d v="2020-01-02T00:00:00"/>
    <n v="105250"/>
    <s v="Familia Hurtado"/>
    <s v="hurtadomilena@gmail.com"/>
    <s v="Av. &quot;O&quot; Nro. 146-11"/>
    <s v="Cancelación Vigilancia, mes de Diciembre 2019. Transferencia Banesco nro. 11711787408"/>
    <x v="0"/>
    <m/>
    <s v="02647"/>
    <s v="02 de enero de 2020"/>
    <n v="2"/>
    <x v="38"/>
    <s v="105.250,00"/>
    <e v="#NAME?"/>
  </r>
  <r>
    <n v="2648"/>
    <m/>
    <x v="0"/>
    <d v="2020-01-06T00:00:00"/>
    <n v="136250"/>
    <s v="Familia Fermín Rivas"/>
    <s v="angelferminb@gmail.com"/>
    <s v="Calle Güigüe Nro. 89-55"/>
    <s v="Cancelación Vigilancia, mes de Enero 2020"/>
    <x v="0"/>
    <m/>
    <s v="02648"/>
    <s v="06 de enero de 2020"/>
    <n v="6"/>
    <x v="38"/>
    <s v="136.250,00"/>
    <e v="#NAME?"/>
  </r>
  <r>
    <n v="2649"/>
    <m/>
    <x v="0"/>
    <d v="2020-01-06T00:00:00"/>
    <n v="137000"/>
    <s v="Familia Montilla García"/>
    <s v="dairy252525@hotmail.com"/>
    <s v="Calle Güigüe Nro. 89-90"/>
    <s v="Cancelación Vigilancia, saldo mes de Enero y anticipo mes de Febrero 2020"/>
    <x v="0"/>
    <m/>
    <s v="02649"/>
    <s v="06 de enero de 2020"/>
    <n v="6"/>
    <x v="38"/>
    <s v="137.000,00"/>
    <e v="#NAME?"/>
  </r>
  <r>
    <n v="2650"/>
    <m/>
    <x v="0"/>
    <d v="2020-01-06T00:00:00"/>
    <n v="136250"/>
    <s v="Familia Loponte Arteaga"/>
    <s v="En Físico"/>
    <s v="Calle Güigüe Nro. 88-120"/>
    <s v="Cancelación Vigilancia, mes de Enero 2020"/>
    <x v="0"/>
    <m/>
    <s v="02650"/>
    <s v="06 de enero de 2020"/>
    <n v="6"/>
    <x v="38"/>
    <s v="136.250,00"/>
    <e v="#NAME?"/>
  </r>
  <r>
    <n v="2651"/>
    <m/>
    <x v="0"/>
    <d v="2020-01-06T00:00:00"/>
    <n v="137000"/>
    <s v="Familia Kattar González"/>
    <s v="jagiak123@yahoo.es"/>
    <s v="Calle Güigüe Nro. 89-95"/>
    <s v="Cancelación Vigilancia, mes de Diciembre 2019"/>
    <x v="0"/>
    <m/>
    <s v="02651"/>
    <s v="06 de enero de 2020"/>
    <n v="6"/>
    <x v="38"/>
    <s v="137.000,00"/>
    <e v="#NAME?"/>
  </r>
  <r>
    <n v="2652"/>
    <m/>
    <x v="0"/>
    <d v="2020-01-07T00:00:00"/>
    <n v="175000"/>
    <s v="Chin Chun Ya (Goya)"/>
    <s v="uc2721@gmail.com"/>
    <s v="Calle Guacara Nro. 87-86"/>
    <s v="Cancelación Vigilancia, mes de Enero y anticipo Febrero 2020"/>
    <x v="0"/>
    <m/>
    <s v="02652"/>
    <s v="07 de enero de 2020"/>
    <n v="7"/>
    <x v="38"/>
    <s v="175.000,00"/>
    <e v="#NAME?"/>
  </r>
  <r>
    <n v="2653"/>
    <m/>
    <x v="0"/>
    <d v="2020-01-08T00:00:00"/>
    <n v="136250"/>
    <s v="Dra. Lilia Magallanes"/>
    <s v="liliamagallanes2010@gmail.com"/>
    <s v="Calle Güigüe Nro. 88-51"/>
    <s v="Cancelación Vigilancia, mes de Enero 2020"/>
    <x v="0"/>
    <m/>
    <s v="02653"/>
    <s v="08 de enero de 2020"/>
    <n v="8"/>
    <x v="38"/>
    <s v="136.250,00"/>
    <e v="#NAME?"/>
  </r>
  <r>
    <n v="2654"/>
    <m/>
    <x v="0"/>
    <d v="2020-01-09T00:00:00"/>
    <n v="136250"/>
    <s v="Amarilis Guerra"/>
    <s v="amarilisguerra1@yahoo.com"/>
    <s v="Calle Güigüe Nro. 89-96"/>
    <s v="Cancelación Vigilancia, mes de Enero 2020"/>
    <x v="0"/>
    <m/>
    <s v="02654"/>
    <s v="09 de enero de 2020"/>
    <n v="9"/>
    <x v="38"/>
    <s v="136.250,00"/>
    <e v="#NAME?"/>
  </r>
  <r>
    <n v="2655"/>
    <m/>
    <x v="0"/>
    <d v="2020-01-09T00:00:00"/>
    <n v="136250"/>
    <s v="Familia Lomeña Agudo"/>
    <s v="claudialomena@hotmail.com"/>
    <s v="Calle Guacara Nro. 89-30"/>
    <s v="Cancelación Vigilancia, mes de Enero 2020"/>
    <x v="0"/>
    <m/>
    <s v="02655"/>
    <s v="09 de enero de 2020"/>
    <n v="9"/>
    <x v="38"/>
    <s v="136.250,00"/>
    <e v="#NAME?"/>
  </r>
  <r>
    <n v="2656"/>
    <m/>
    <x v="0"/>
    <d v="2020-01-09T00:00:00"/>
    <n v="136250"/>
    <s v="Familia Nava Gordon"/>
    <s v="maru_19_66@hotmail.com"/>
    <s v="Calle Guacara Nro. 89-78"/>
    <s v="Cancelación Vigilancia, mes de Enero y anticipo mes de Febrero 2020 (Bs. 2.300)"/>
    <x v="0"/>
    <m/>
    <s v="02656"/>
    <s v="09 de enero de 2020"/>
    <n v="9"/>
    <x v="38"/>
    <s v="136.250,00"/>
    <e v="#NAME?"/>
  </r>
  <r>
    <n v="2657"/>
    <m/>
    <x v="0"/>
    <d v="2020-01-09T00:00:00"/>
    <n v="136250"/>
    <s v="Familia Barreto Pérez"/>
    <s v="bbetsa19@hotmail.com"/>
    <s v="Av. &quot;M&quot; Nro. 146-15"/>
    <s v="Cancelación Vigilancia, mes de Enero 2020"/>
    <x v="0"/>
    <m/>
    <s v="02657"/>
    <s v="09 de enero de 2020"/>
    <n v="9"/>
    <x v="38"/>
    <s v="136.250,00"/>
    <e v="#NAME?"/>
  </r>
  <r>
    <n v="2658"/>
    <m/>
    <x v="0"/>
    <d v="2020-01-09T00:00:00"/>
    <n v="136250"/>
    <s v="Ely Saúl Rivero Gómez"/>
    <s v="hhs.admon@gmail.com"/>
    <s v="Av. &quot;Ñ&quot; Nro. 145-25"/>
    <s v="Cancelación Vigilancia, mes de Febrero 2020 (saldo a favor: Bs. 5.702,00)"/>
    <x v="0"/>
    <m/>
    <s v="02658"/>
    <s v="09 de enero de 2020"/>
    <n v="9"/>
    <x v="38"/>
    <s v="136.250,00"/>
    <e v="#NAME?"/>
  </r>
  <r>
    <n v="2659"/>
    <m/>
    <x v="0"/>
    <d v="2020-01-09T00:00:00"/>
    <n v="136250"/>
    <s v="Familia González Arévalo"/>
    <s v="feryenis@hotmail.com"/>
    <s v="Calle Guacara Nro. 89-86"/>
    <s v="Cancelación Vigilancia, mes de Enero 2020"/>
    <x v="0"/>
    <m/>
    <s v="02659"/>
    <s v="09 de enero de 2020"/>
    <n v="9"/>
    <x v="38"/>
    <s v="136.250,00"/>
    <e v="#NAME?"/>
  </r>
  <r>
    <n v="2660"/>
    <m/>
    <x v="0"/>
    <d v="2020-01-10T00:00:00"/>
    <n v="197575"/>
    <s v="Colegio El Trigal"/>
    <s v="En Físico"/>
    <s v="Calle Güigüe Nros. 88-71 y 88-81"/>
    <s v="Cancelación Vigilancia, mes de Enero 2020"/>
    <x v="0"/>
    <m/>
    <s v="02660"/>
    <s v="10 de enero de 2020"/>
    <n v="10"/>
    <x v="38"/>
    <s v="197.575,00"/>
    <e v="#NAME?"/>
  </r>
  <r>
    <n v="2661"/>
    <m/>
    <x v="0"/>
    <d v="2020-01-11T00:00:00"/>
    <n v="136250"/>
    <s v="Carmen Moreno"/>
    <s v="carmenemoreno10@gmail.com"/>
    <s v="Calle Güigüe Nro. 89-04"/>
    <s v="Cancelación Vigilancia, mes de Enero 2020"/>
    <x v="0"/>
    <m/>
    <s v="02661"/>
    <s v="11 de enero de 2020"/>
    <n v="11"/>
    <x v="38"/>
    <s v="136.250,00"/>
    <e v="#NAME?"/>
  </r>
  <r>
    <n v="2662"/>
    <m/>
    <x v="0"/>
    <d v="2020-01-10T00:00:00"/>
    <n v="80000"/>
    <s v="Familia Méndez Parra"/>
    <s v="briceidademendez@gmail.com"/>
    <s v="Calle Guacara Nro. 88-19"/>
    <s v="Colaboración Vigilancia, mes de Enero 2020"/>
    <x v="0"/>
    <m/>
    <s v="02662"/>
    <s v="10 de enero de 2020"/>
    <n v="10"/>
    <x v="38"/>
    <s v="80.000,00"/>
    <e v="#NAME?"/>
  </r>
  <r>
    <n v="2663"/>
    <m/>
    <x v="0"/>
    <d v="2020-01-11T00:00:00"/>
    <n v="136250"/>
    <s v="Familia Machado Stoppa"/>
    <s v="machadoru@hotmail.com | marisa2710chardan@gmail.com"/>
    <s v="Calle Guacara Nro. 88-85"/>
    <s v="Cancelación Vigilancia, mes de Enero 2020"/>
    <x v="0"/>
    <m/>
    <s v="02663"/>
    <s v="11 de enero de 2020"/>
    <n v="11"/>
    <x v="38"/>
    <s v="136.250,00"/>
    <e v="#NAME?"/>
  </r>
  <r>
    <n v="2664"/>
    <m/>
    <x v="0"/>
    <d v="2020-01-11T00:00:00"/>
    <n v="136250"/>
    <s v="Familia Ochoa Mendoza"/>
    <s v="marisoljudithm@hotmail.com"/>
    <s v="Calle Guacara Nro. 89-130"/>
    <s v="Cancelación Vigilancia, mes de Enero 2020"/>
    <x v="0"/>
    <m/>
    <s v="02664"/>
    <s v="11 de enero de 2020"/>
    <n v="11"/>
    <x v="38"/>
    <s v="136.250,00"/>
    <e v="#NAME?"/>
  </r>
  <r>
    <n v="2665"/>
    <m/>
    <x v="0"/>
    <d v="2020-01-11T00:00:00"/>
    <n v="210000"/>
    <s v="Familia Jiménez de Avila"/>
    <s v="meji2333@gmail.com"/>
    <s v="Calle Güigüe Nro. 89-116"/>
    <s v="Colaboración Vigilancia, meses de Enero a Marzo 2020"/>
    <x v="0"/>
    <m/>
    <s v="02665"/>
    <s v="11 de enero de 2020"/>
    <n v="11"/>
    <x v="38"/>
    <s v="210.000,00"/>
    <e v="#NAME?"/>
  </r>
  <r>
    <n v="2666"/>
    <m/>
    <x v="0"/>
    <d v="2020-01-11T00:00:00"/>
    <n v="136250"/>
    <s v="Familia Kablan Sarmiento"/>
    <s v="norisjsb56@hotmail.com"/>
    <s v="Calle Güigüe Nro. 89-80"/>
    <s v="Cancelación Vigilancia, mes de Enero 2020"/>
    <x v="0"/>
    <m/>
    <s v="02666"/>
    <s v="11 de enero de 2020"/>
    <n v="11"/>
    <x v="38"/>
    <s v="136.250,00"/>
    <e v="#NAME?"/>
  </r>
  <r>
    <n v="2667"/>
    <m/>
    <x v="0"/>
    <d v="2020-01-13T00:00:00"/>
    <n v="136250"/>
    <s v="Familia Triana González"/>
    <s v="En Físico"/>
    <s v="Calle Guacara Nro. 90-61"/>
    <s v="Cancelación Vigilancia, mes de Enero 2020"/>
    <x v="0"/>
    <m/>
    <s v="02667"/>
    <s v="13 de enero de 2020"/>
    <n v="13"/>
    <x v="38"/>
    <s v="136.250,00"/>
    <e v="#NAME?"/>
  </r>
  <r>
    <n v="2668"/>
    <m/>
    <x v="0"/>
    <d v="2020-01-15T00:00:00"/>
    <n v="136250"/>
    <s v="Familia Abbinante Pinto"/>
    <s v="abbinante47@gmail.com"/>
    <s v="Calle Güigüe Nro. 89-120"/>
    <s v="Cancelación Vigilancia, mes de Enero 2020"/>
    <x v="0"/>
    <m/>
    <s v="02668"/>
    <s v="15 de enero de 2020"/>
    <n v="15"/>
    <x v="38"/>
    <s v="136.250,00"/>
    <e v="#NAME?"/>
  </r>
  <r>
    <n v="2669"/>
    <m/>
    <x v="0"/>
    <d v="2020-01-15T00:00:00"/>
    <n v="30000"/>
    <s v="Zoraida Khair"/>
    <s v="zorakhair@hotmail.com | lbracamonte@netuno.net"/>
    <s v="Calle Güigüe Nro. 88-80"/>
    <s v="Colaboración Vigilancia, anticipo mes de Enero 2020"/>
    <x v="0"/>
    <m/>
    <s v="02669"/>
    <s v="15 de enero de 2020"/>
    <n v="15"/>
    <x v="38"/>
    <s v="30.000,00"/>
    <e v="#NAME?"/>
  </r>
  <r>
    <n v="2670"/>
    <m/>
    <x v="0"/>
    <d v="2020-01-17T00:00:00"/>
    <n v="136250"/>
    <s v="Andrea Valor"/>
    <s v="aavp992@gmail.com"/>
    <s v="Calle Guacara Nro. 88-75"/>
    <s v="Cancelación Vigilancia, mes de Enero 2020"/>
    <x v="0"/>
    <m/>
    <s v="02670"/>
    <s v="17 de enero de 2020"/>
    <n v="17"/>
    <x v="38"/>
    <s v="136.250,00"/>
    <e v="#NAME?"/>
  </r>
  <r>
    <n v="2671"/>
    <m/>
    <x v="0"/>
    <d v="2020-01-21T00:00:00"/>
    <n v="136250"/>
    <s v="Familia Milanés Carmona"/>
    <s v="yndira11m@gmail.com"/>
    <s v="Calle Güigüe Nro. 89-65"/>
    <s v="Cancelación Vigilancia, mes de Enero 2020"/>
    <x v="0"/>
    <m/>
    <s v="02671"/>
    <s v="21 de enero de 2020"/>
    <n v="21"/>
    <x v="38"/>
    <s v="136.250,00"/>
    <e v="#NAME?"/>
  </r>
  <r>
    <n v="2672"/>
    <m/>
    <x v="0"/>
    <d v="2020-01-21T00:00:00"/>
    <n v="273000"/>
    <s v="Familia Jiménez Navarro"/>
    <s v="joyasonline2012@gmail.com"/>
    <s v="Calle Güigüe Nro. 88-50"/>
    <s v="Cancelación Vigilancia, meses de Diciembre 2019 y Enero 2020"/>
    <x v="0"/>
    <m/>
    <s v="02672"/>
    <s v="21 de enero de 2020"/>
    <n v="21"/>
    <x v="38"/>
    <s v="273.000,00"/>
    <e v="#NAME?"/>
  </r>
  <r>
    <n v="2673"/>
    <m/>
    <x v="0"/>
    <d v="2020-01-22T00:00:00"/>
    <n v="136250"/>
    <s v="Familia Puerta Burguillos"/>
    <s v="namaricakes@gmail.com"/>
    <s v="Calle Guacara Nro. 87-100"/>
    <s v="Cancelación Vigilancia, mes de Enero 2020"/>
    <x v="0"/>
    <m/>
    <s v="02673"/>
    <s v="22 de enero de 2020"/>
    <n v="22"/>
    <x v="38"/>
    <s v="136.250,00"/>
    <e v="#NAME?"/>
  </r>
  <r>
    <n v="2674"/>
    <m/>
    <x v="0"/>
    <d v="2020-01-07T00:00:00"/>
    <n v="136250"/>
    <s v="Ana de González"/>
    <s v="mikelnowak25@gmail.com"/>
    <s v="Av. &quot;O&quot; Nro. 146-17"/>
    <s v="Cancelación Vigilancia, mes de Noviembre 2019"/>
    <x v="0"/>
    <m/>
    <s v="02674"/>
    <s v="07 de enero de 2020"/>
    <n v="7"/>
    <x v="38"/>
    <s v="136.250,00"/>
    <e v="#NAME?"/>
  </r>
  <r>
    <n v="2675"/>
    <m/>
    <x v="0"/>
    <d v="2020-01-04T00:00:00"/>
    <n v="54500"/>
    <s v="Familia Franco Gómez"/>
    <s v="eof64@hotmail.com"/>
    <s v="Calle Guacara Nro. 87-07"/>
    <s v="Colaboración Vigilancia, mes de Diciembre 2019"/>
    <x v="0"/>
    <m/>
    <s v="02675"/>
    <s v="04 de enero de 2020"/>
    <n v="4"/>
    <x v="38"/>
    <s v="54.500,00"/>
    <e v="#NAME?"/>
  </r>
  <r>
    <n v="2676"/>
    <m/>
    <x v="0"/>
    <d v="2020-01-04T00:00:00"/>
    <n v="136250"/>
    <s v="Héctor Hernández"/>
    <s v="eof64@hotmail.com"/>
    <s v="Calle Guacara Nro. 89-94"/>
    <s v="Cancelación Vigilancia, mes de Diciembre 2019"/>
    <x v="0"/>
    <m/>
    <s v="02676"/>
    <s v="04 de enero de 2020"/>
    <n v="4"/>
    <x v="38"/>
    <s v="136.250,00"/>
    <e v="#NAME?"/>
  </r>
  <r>
    <n v="2677"/>
    <m/>
    <x v="0"/>
    <d v="2020-01-22T00:00:00"/>
    <n v="105250"/>
    <s v="Familia Piñero Padilla"/>
    <s v="achepaul2005@hotmail.com"/>
    <s v="Calle Güigüe Nro. 89-21"/>
    <s v="Cancelación Vigilancia, anticipo mes de Diciembre 2019"/>
    <x v="0"/>
    <m/>
    <s v="02677"/>
    <s v="22 de enero de 2020"/>
    <n v="22"/>
    <x v="38"/>
    <s v="105.250,00"/>
    <e v="#NAME?"/>
  </r>
  <r>
    <n v="2678"/>
    <m/>
    <x v="0"/>
    <d v="2020-01-22T00:00:00"/>
    <n v="136000"/>
    <s v="Victoria Francischiello"/>
    <s v="victoriafrancischiello@hotmail.com"/>
    <s v="Calle Guacara Nro. 88-25"/>
    <s v="Colaboración Vigilancia, mes de Enero 2020"/>
    <x v="0"/>
    <m/>
    <s v="02678"/>
    <s v="22 de enero de 2020"/>
    <n v="22"/>
    <x v="38"/>
    <s v="136.000,00"/>
    <e v="#NAME?"/>
  </r>
  <r>
    <n v="2679"/>
    <m/>
    <x v="0"/>
    <d v="2020-01-22T00:00:00"/>
    <n v="136250"/>
    <s v="Familia Wu Acevedo"/>
    <s v="rudyacevedo90@gmail.com"/>
    <s v="Calle Guacara Nro. 88-A-10"/>
    <s v="Cancelación Vigilancia, mes de Enero 2020 (saldo a favor Bs. 64.405,80)"/>
    <x v="0"/>
    <m/>
    <s v="02679"/>
    <s v="22 de enero de 2020"/>
    <n v="22"/>
    <x v="38"/>
    <s v="136.250,00"/>
    <e v="#NAME?"/>
  </r>
  <r>
    <n v="2680"/>
    <m/>
    <x v="0"/>
    <d v="2020-01-22T00:00:00"/>
    <n v="64405.8"/>
    <s v="Familia Wu Acevedo"/>
    <s v="rudyacevedo90@gmail.com"/>
    <s v="Calle Guacara Nro. 88-A-10"/>
    <s v="Cancelación Vigilancia, anticipo mes de Febrero 2020 (saldo a favor Bs. 0,00)"/>
    <x v="0"/>
    <m/>
    <s v="02680"/>
    <s v="22 de enero de 2020"/>
    <n v="22"/>
    <x v="38"/>
    <s v="64.405,80"/>
    <e v="#NAME?"/>
  </r>
  <r>
    <n v="2681"/>
    <m/>
    <x v="0"/>
    <d v="2020-01-23T00:00:00"/>
    <n v="136250"/>
    <s v="Familia Manrique Riera"/>
    <s v="patriciamanrique@gmail.com"/>
    <s v="Calle Guacara Nro. 89-40"/>
    <s v="Cancelación Vigilancia, mes de Enero 2020"/>
    <x v="0"/>
    <m/>
    <s v="02681"/>
    <s v="23 de enero de 2020"/>
    <n v="23"/>
    <x v="38"/>
    <s v="136.250,00"/>
    <e v="#NAME?"/>
  </r>
  <r>
    <n v="2682"/>
    <m/>
    <x v="0"/>
    <d v="2020-01-23T00:00:00"/>
    <n v="136250"/>
    <s v="Familia Alonso Rojas"/>
    <s v="redjc01@gmail.com"/>
    <s v="Calle Güigüe Nro. 89-54"/>
    <s v="Cancelación Vigilancia, mes de Enero 2020"/>
    <x v="0"/>
    <m/>
    <s v="02682"/>
    <s v="23 de enero de 2020"/>
    <n v="23"/>
    <x v="38"/>
    <s v="136.250,00"/>
    <e v="#NAME?"/>
  </r>
  <r>
    <n v="2683"/>
    <m/>
    <x v="0"/>
    <d v="2020-01-23T00:00:00"/>
    <n v="136250"/>
    <s v="Familia Brito Viana"/>
    <s v="alejbrito92@gmail.com"/>
    <s v="Calle Guacara Nro. 88-95"/>
    <s v="Cancelación Vigilancia, mes de Enero 2020"/>
    <x v="0"/>
    <m/>
    <s v="02683"/>
    <s v="23 de enero de 2020"/>
    <n v="23"/>
    <x v="38"/>
    <s v="136.250,00"/>
    <e v="#NAME?"/>
  </r>
  <r>
    <n v="2684"/>
    <m/>
    <x v="0"/>
    <d v="2020-01-23T00:00:00"/>
    <n v="136250"/>
    <s v="Familia Chan García"/>
    <s v="chanalberto10@hotmail.com | endrinagarciah@gmail.com"/>
    <s v="Calle Güigüe Nro. 89-106"/>
    <s v="Cancelación Vigilancia, mes de Enero 2020"/>
    <x v="0"/>
    <m/>
    <s v="02684"/>
    <s v="23 de enero de 2020"/>
    <n v="23"/>
    <x v="38"/>
    <s v="136.250,00"/>
    <e v="#NAME?"/>
  </r>
  <r>
    <n v="2685"/>
    <m/>
    <x v="1"/>
    <d v="2020-01-24T00:00:00"/>
    <n v="144200"/>
    <s v="Familia Navarro Assing"/>
    <s v="liliaassing@gmail.com"/>
    <s v="Calle Güigüe Nro. 88-54"/>
    <s v="Cancelación Vigilancia, mes de Diciembre 2019"/>
    <x v="3"/>
    <m/>
    <s v="02685"/>
    <s v="24 de enero de 2020"/>
    <n v="24"/>
    <x v="38"/>
    <s v="144.200,00"/>
    <e v="#NAME?"/>
  </r>
  <r>
    <n v="2686"/>
    <m/>
    <x v="0"/>
    <d v="2020-01-24T00:00:00"/>
    <n v="144200"/>
    <s v="Familia Navarro Assing"/>
    <s v="liliaassing@gmail.com"/>
    <s v="Calle Güigüe Nro. 88-54"/>
    <s v="Cancelación Vigilancia, mes de Enero y anticipo mes de Febrero 2020 (Bs. 7.950)"/>
    <x v="0"/>
    <m/>
    <s v="02686"/>
    <s v="24 de enero de 2020"/>
    <n v="24"/>
    <x v="38"/>
    <s v="144.200,00"/>
    <e v="#NAME?"/>
  </r>
  <r>
    <n v="2687"/>
    <m/>
    <x v="0"/>
    <d v="2020-01-23T00:00:00"/>
    <n v="136250"/>
    <s v="Sra. Reina Meléndez"/>
    <s v="olgajipe@gmail.com"/>
    <s v="Av. &quot;M&quot; Nro. 145-10"/>
    <s v="Cancelación Vigilancia, mes de Enero 2020"/>
    <x v="0"/>
    <m/>
    <s v="02687"/>
    <s v="23 de enero de 2020"/>
    <n v="23"/>
    <x v="38"/>
    <s v="136.250,00"/>
    <e v="#NAME?"/>
  </r>
  <r>
    <n v="2688"/>
    <m/>
    <x v="0"/>
    <d v="2020-01-23T00:00:00"/>
    <n v="136250"/>
    <s v="Familia Díaz González"/>
    <s v="luisrdt57@gmail.com"/>
    <s v="Calle Güigüe Nro. 88-116"/>
    <s v="Cancelación Vigilancia, mes de Enero 2020"/>
    <x v="0"/>
    <m/>
    <s v="02688"/>
    <s v="23 de enero de 2020"/>
    <n v="23"/>
    <x v="38"/>
    <s v="136.250,00"/>
    <e v="#NAME?"/>
  </r>
  <r>
    <n v="2689"/>
    <m/>
    <x v="0"/>
    <d v="2020-01-23T00:00:00"/>
    <n v="137000"/>
    <s v="Familia López Hermoso"/>
    <s v="lopez.humberto14@yahoo.com.ve"/>
    <s v="Calle Güigüe Nro. 89-79"/>
    <s v="Cancelación Vigilancia, mes de Enero 2020"/>
    <x v="0"/>
    <m/>
    <s v="02689"/>
    <s v="23 de enero de 2020"/>
    <n v="23"/>
    <x v="38"/>
    <s v="137.000,00"/>
    <e v="#NAME?"/>
  </r>
  <r>
    <n v="2690"/>
    <m/>
    <x v="0"/>
    <d v="2020-01-25T00:00:00"/>
    <n v="135000"/>
    <s v="Familia Durvelle Serrano"/>
    <s v="sdurvelle@hotmail.com"/>
    <s v="Calle Guacara Nro. 89-60"/>
    <s v="Cancelación Vigilancia, mes de Enero 2020"/>
    <x v="0"/>
    <m/>
    <s v="02690"/>
    <s v="25 de enero de 2020"/>
    <n v="25"/>
    <x v="38"/>
    <s v="135.000,00"/>
    <e v="#NAME?"/>
  </r>
  <r>
    <n v="2691"/>
    <m/>
    <x v="0"/>
    <d v="2020-01-27T00:00:00"/>
    <n v="136250"/>
    <s v="Santiago Varela"/>
    <s v="svg0583@gmail.com"/>
    <s v="Av. &quot;M&quot; Nro. 146-30"/>
    <s v="Cancelación Vigilancia, mes de Enero 2020"/>
    <x v="0"/>
    <m/>
    <s v="02691"/>
    <s v="27 de enero de 2020"/>
    <n v="27"/>
    <x v="38"/>
    <s v="136.250,00"/>
    <e v="#NAME?"/>
  </r>
  <r>
    <n v="2692"/>
    <m/>
    <x v="0"/>
    <d v="2020-01-27T00:00:00"/>
    <n v="136250"/>
    <s v="Familia Hatem Medina"/>
    <s v="hhatem1@hotmail.com"/>
    <s v="Calle Guacara Nro. 88-51"/>
    <s v="Cancelación Vigilancia, mes de Enero 2020"/>
    <x v="0"/>
    <m/>
    <s v="02692"/>
    <s v="27 de enero de 2020"/>
    <n v="27"/>
    <x v="38"/>
    <s v="136.250,00"/>
    <e v="#NAME?"/>
  </r>
  <r>
    <n v="2693"/>
    <m/>
    <x v="0"/>
    <d v="2020-01-26T00:00:00"/>
    <n v="136250"/>
    <s v="Familia Gascón Domínguez"/>
    <s v="vrgascon@gmail.com"/>
    <s v="Calle Güigüe Nro. 88-70"/>
    <s v="Cancelación Vigilancia, mes de Enero 2020"/>
    <x v="0"/>
    <m/>
    <s v="02693"/>
    <s v="26 de enero de 2020"/>
    <n v="26"/>
    <x v="38"/>
    <s v="136.250,00"/>
    <e v="#NAME?"/>
  </r>
  <r>
    <n v="2694"/>
    <m/>
    <x v="0"/>
    <d v="2020-01-29T00:00:00"/>
    <n v="136250"/>
    <s v="Ana de González"/>
    <s v="mikelnowak25@gmail.com"/>
    <s v="Av. &quot;O&quot; Nro. 146-17"/>
    <s v="Cancelación Vigilancia, mes de Enero 2020"/>
    <x v="0"/>
    <m/>
    <s v="02694"/>
    <s v="29 de enero de 2020"/>
    <n v="29"/>
    <x v="38"/>
    <s v="136.250,00"/>
    <e v="#NAME?"/>
  </r>
  <r>
    <n v="2695"/>
    <m/>
    <x v="0"/>
    <d v="2020-01-30T00:00:00"/>
    <n v="136250"/>
    <s v="Familia Flores Montagne"/>
    <s v="martaflores@gmail.com"/>
    <s v="Av. &quot;M&quot; Nro. 146-20"/>
    <s v="Cancelación Vigilancia, mes de Diciembre 2019"/>
    <x v="0"/>
    <m/>
    <s v="02695"/>
    <s v="30 de enero de 2020"/>
    <n v="30"/>
    <x v="38"/>
    <s v="136.250,00"/>
    <e v="#NAME?"/>
  </r>
  <r>
    <n v="2696"/>
    <m/>
    <x v="0"/>
    <d v="2020-01-31T00:00:00"/>
    <n v="300000"/>
    <s v="Wu Hung Fung"/>
    <s v="carolinahung24@gmail.com | barbarahung15@hotmail.com"/>
    <s v="Calle Guacara Nro. 90-81"/>
    <s v="Cancelación Vigilancia, meses de Diciembre 2019 y Enero 2020"/>
    <x v="0"/>
    <m/>
    <s v="02696"/>
    <s v="31 de enero de 2020"/>
    <n v="31"/>
    <x v="38"/>
    <s v="300.000,00"/>
    <e v="#NAME?"/>
  </r>
  <r>
    <n v="2697"/>
    <m/>
    <x v="0"/>
    <d v="2020-01-30T00:00:00"/>
    <n v="136250"/>
    <s v="Familia Costermani Terrer"/>
    <s v="claudiacostermani@hotmail.com"/>
    <s v="Calle Güigüe Nro. 88-11"/>
    <s v="Cancelación Vigilancia, mes de Enero 2020"/>
    <x v="0"/>
    <m/>
    <s v="02697"/>
    <s v="30 de enero de 2020"/>
    <n v="30"/>
    <x v="38"/>
    <s v="136.250,00"/>
    <e v="#NAME?"/>
  </r>
  <r>
    <n v="2698"/>
    <m/>
    <x v="0"/>
    <d v="2020-02-01T00:00:00"/>
    <n v="136250"/>
    <s v="Familia Hurtado"/>
    <s v="hurtadomilena@gmail.com"/>
    <s v="Av. &quot;O&quot; Nro. 146-11"/>
    <s v="Cancelación Vigilancia, mes de Enero 2020. Transferencia Banesco nro. 11755669819"/>
    <x v="0"/>
    <m/>
    <s v="02698"/>
    <s v="01 de febrero de 2020"/>
    <n v="1"/>
    <x v="39"/>
    <s v="136.250,00"/>
    <e v="#NAME?"/>
  </r>
  <r>
    <n v="2699"/>
    <m/>
    <x v="0"/>
    <d v="2020-02-01T00:00:00"/>
    <n v="136250"/>
    <s v="Familia Castillo Mena"/>
    <s v="emmecas@hotmail.com"/>
    <s v="Calle Güigüe Nro. 88-101"/>
    <s v="Cancelación Vigilancia, mes de Enero 2020"/>
    <x v="0"/>
    <m/>
    <s v="02699"/>
    <s v="01 de febrero de 2020"/>
    <n v="1"/>
    <x v="39"/>
    <s v="136.250,00"/>
    <e v="#NAME?"/>
  </r>
  <r>
    <n v="2700"/>
    <m/>
    <x v="0"/>
    <d v="2020-02-02T00:00:00"/>
    <n v="136250"/>
    <s v="Familia Ochoa Mendoza"/>
    <s v="marisoljudithm@hotmail.com"/>
    <s v="Calle Guacara Nro. 89-130"/>
    <s v="Cancelación Vigilancia, mes de Febrero 2020"/>
    <x v="0"/>
    <m/>
    <s v="02700"/>
    <s v="02 de febrero de 2020"/>
    <n v="2"/>
    <x v="39"/>
    <s v="136.250,00"/>
    <e v="#NAME?"/>
  </r>
  <r>
    <n v="2701"/>
    <m/>
    <x v="0"/>
    <d v="2020-02-02T00:00:00"/>
    <n v="136250"/>
    <s v="Familia Hatem Medina"/>
    <s v="hhatem1@hotmail.com"/>
    <s v="Calle Guacara Nro. 88-51"/>
    <s v="Cancelación Vigilancia, mes de Febrero 2020"/>
    <x v="0"/>
    <m/>
    <s v="02701"/>
    <s v="02 de febrero de 2020"/>
    <n v="2"/>
    <x v="39"/>
    <s v="136.250,00"/>
    <e v="#NAME?"/>
  </r>
  <r>
    <n v="2702"/>
    <m/>
    <x v="0"/>
    <d v="2020-02-02T00:00:00"/>
    <n v="136250"/>
    <s v="Familia Colosso Delgado"/>
    <s v="mcolosso@gmail.com"/>
    <s v="Calle Güigüe Nro. 88-44"/>
    <s v="Cancelación Vigilancia, mes de Febrero 2020"/>
    <x v="0"/>
    <m/>
    <s v="02702"/>
    <s v="02 de febrero de 2020"/>
    <n v="2"/>
    <x v="39"/>
    <s v="136.250,00"/>
    <e v="#NAME?"/>
  </r>
  <r>
    <n v="2703"/>
    <m/>
    <x v="0"/>
    <d v="2020-02-02T00:00:00"/>
    <n v="136250"/>
    <s v="Familia Fermín Rivas"/>
    <s v="angelferminb@gmail.com"/>
    <s v="Calle Güigüe Nro. 89-55"/>
    <s v="Cancelación Vigilancia, mes de Febrero 2020"/>
    <x v="0"/>
    <m/>
    <s v="02703"/>
    <s v="02 de febrero de 2020"/>
    <n v="2"/>
    <x v="39"/>
    <s v="136.250,00"/>
    <e v="#NAME?"/>
  </r>
  <r>
    <n v="2704"/>
    <m/>
    <x v="0"/>
    <d v="2020-02-02T00:00:00"/>
    <n v="136250"/>
    <s v="Familia Puerta Burguillos"/>
    <s v="namaricakes@gmail.com"/>
    <s v="Calle Guacara Nro. 87-100"/>
    <s v="Cancelación Vigilancia, mes de Febrero 2020"/>
    <x v="0"/>
    <m/>
    <s v="02704"/>
    <s v="02 de febrero de 2020"/>
    <n v="2"/>
    <x v="39"/>
    <s v="136.250,00"/>
    <e v="#NAME?"/>
  </r>
  <r>
    <n v="2705"/>
    <m/>
    <x v="0"/>
    <d v="2020-02-02T00:00:00"/>
    <n v="272500"/>
    <s v="Familia Rodríguez Aular"/>
    <s v="vaular@kromi-market.com | mvaular@hotmail.com"/>
    <s v="Calle Güigüe Nro. 88-58"/>
    <s v="Cancelación Vigilancia, meses de Diciembre 2019 y Enero 2020"/>
    <x v="0"/>
    <m/>
    <s v="02705"/>
    <s v="02 de febrero de 2020"/>
    <n v="2"/>
    <x v="39"/>
    <s v="272.500,00"/>
    <e v="#NAME?"/>
  </r>
  <r>
    <n v="2706"/>
    <m/>
    <x v="0"/>
    <d v="2020-02-02T00:00:00"/>
    <n v="107000"/>
    <s v="Zoraida Khair"/>
    <s v="zorakhair@hotmail.com | lbracamonte@netuno.net"/>
    <s v="Calle Güigüe Nro. 88-80"/>
    <s v="Colaboración Vigilancia, saldo mes de Enero 2020"/>
    <x v="0"/>
    <m/>
    <s v="02706"/>
    <s v="02 de febrero de 2020"/>
    <n v="2"/>
    <x v="39"/>
    <s v="107.000,00"/>
    <e v="#NAME?"/>
  </r>
  <r>
    <n v="2707"/>
    <m/>
    <x v="0"/>
    <d v="2020-02-02T00:00:00"/>
    <n v="135700"/>
    <s v="Chin Chun Ya (Goya)"/>
    <s v="uc2721@gmail.com"/>
    <s v="Calle Guacara Nro. 87-86"/>
    <s v="Cancelación Vigilancia, saldo mes de Febrero y anticipo mes de Marzo 2020"/>
    <x v="0"/>
    <m/>
    <s v="02707"/>
    <s v="02 de febrero de 2020"/>
    <n v="2"/>
    <x v="39"/>
    <s v="135.700,00"/>
    <e v="#NAME?"/>
  </r>
  <r>
    <n v="2708"/>
    <m/>
    <x v="0"/>
    <d v="2020-02-03T00:00:00"/>
    <n v="136250"/>
    <s v="Familia Guerra Miret"/>
    <s v="antoniojguerrag@hotmail.com"/>
    <s v="Calle Güigüe Nro. 89-40"/>
    <s v="Cancelación Vigilancia, mes de Febrero 2020"/>
    <x v="0"/>
    <m/>
    <s v="02708"/>
    <s v="03 de febrero de 2020"/>
    <n v="3"/>
    <x v="39"/>
    <s v="136.250,00"/>
    <e v="#NAME?"/>
  </r>
  <r>
    <n v="2709"/>
    <m/>
    <x v="0"/>
    <d v="2020-02-03T00:00:00"/>
    <n v="136250"/>
    <s v="Amarilis Guerra"/>
    <s v="amarilisguerra1@yahoo.com"/>
    <s v="Calle Güigüe Nro. 89-96"/>
    <s v="Cancelación Vigilancia, mes de Febrero 2020"/>
    <x v="0"/>
    <m/>
    <s v="02709"/>
    <s v="03 de febrero de 2020"/>
    <n v="3"/>
    <x v="39"/>
    <s v="136.250,00"/>
    <e v="#NAME?"/>
  </r>
  <r>
    <n v="2710"/>
    <m/>
    <x v="0"/>
    <d v="2020-02-03T00:00:00"/>
    <n v="136250"/>
    <s v="Familia Del Negro Palermo"/>
    <s v="vdelnegro@gmail.com"/>
    <s v="Calle Guacara Nro. 88-45"/>
    <s v="Cancelación Vigilancia, mes de Febrero 2020 (saldo a favor: Bs. 53.212,95)"/>
    <x v="0"/>
    <m/>
    <s v="02710"/>
    <s v="03 de febrero de 2020"/>
    <n v="3"/>
    <x v="39"/>
    <s v="136.250,00"/>
    <e v="#NAME?"/>
  </r>
  <r>
    <n v="2711"/>
    <m/>
    <x v="0"/>
    <d v="2020-02-03T00:00:00"/>
    <n v="150000"/>
    <s v="Familia Ferrer Bahri"/>
    <s v="bahrimariela@hotmail.com"/>
    <s v="Calle Güigüe Nro. 89-83"/>
    <s v="Cancelación Vigilancia, mes de Febrero 2020"/>
    <x v="0"/>
    <m/>
    <s v="02711"/>
    <s v="03 de febrero de 2020"/>
    <n v="3"/>
    <x v="39"/>
    <s v="150.000,00"/>
    <e v="#NAME?"/>
  </r>
  <r>
    <n v="2712"/>
    <m/>
    <x v="0"/>
    <d v="2020-02-04T00:00:00"/>
    <n v="100000"/>
    <s v="Gloria Molina"/>
    <s v="glomola2@yahoo.es"/>
    <s v="Calle Güigüe Nro. 89-71"/>
    <s v="Colaboración Vigilancia, mes de Enero 2020"/>
    <x v="0"/>
    <m/>
    <s v="02712"/>
    <s v="04 de febrero de 2020"/>
    <n v="4"/>
    <x v="39"/>
    <s v="100.000,00"/>
    <e v="#NAME?"/>
  </r>
  <r>
    <n v="2713"/>
    <m/>
    <x v="0"/>
    <d v="2020-02-04T00:00:00"/>
    <n v="137000"/>
    <s v="Familia López Hermoso"/>
    <s v="lopez.humberto14@yahoo.com.ve"/>
    <s v="Calle Güigüe Nro. 89-79"/>
    <s v="Cancelación Vigilancia, mes de Febrero 2020"/>
    <x v="0"/>
    <m/>
    <s v="02713"/>
    <s v="04 de febrero de 2020"/>
    <n v="4"/>
    <x v="39"/>
    <s v="137.000,00"/>
    <e v="#NAME?"/>
  </r>
  <r>
    <n v="2714"/>
    <m/>
    <x v="0"/>
    <d v="2020-02-04T00:00:00"/>
    <n v="60500"/>
    <s v="Familia Franco Gómez"/>
    <s v="eof64@hotmail.com"/>
    <s v="Calle Guacara Nro. 87-07"/>
    <s v="Colaboración Vigilancia, mes de Febrero 2020"/>
    <x v="0"/>
    <m/>
    <s v="02714"/>
    <s v="04 de febrero de 2020"/>
    <n v="4"/>
    <x v="39"/>
    <s v="60.500,00"/>
    <e v="#NAME?"/>
  </r>
  <r>
    <n v="2715"/>
    <m/>
    <x v="0"/>
    <d v="2020-02-04T00:00:00"/>
    <n v="136250"/>
    <s v="Héctor Hernández"/>
    <s v="eof64@hotmail.com"/>
    <s v="Calle Guacara Nro. 89-94"/>
    <s v="Cancelación Vigilancia, mes de Febrero 2020"/>
    <x v="0"/>
    <m/>
    <s v="02715"/>
    <s v="04 de febrero de 2020"/>
    <n v="4"/>
    <x v="39"/>
    <s v="136.250,00"/>
    <e v="#NAME?"/>
  </r>
  <r>
    <n v="2716"/>
    <m/>
    <x v="0"/>
    <d v="2020-01-07T00:00:00"/>
    <n v="150000"/>
    <s v="Familia Castro Jiménez"/>
    <s v="aurycastrojimenez@gmail.com"/>
    <s v="Calle Guacara Nro. 90-51"/>
    <s v="Cancelación Vigilancia, mes de Enero 2020 (Transferencia 648817, Banco Exterior)"/>
    <x v="0"/>
    <m/>
    <s v="02716"/>
    <s v="07 de enero de 2020"/>
    <n v="7"/>
    <x v="38"/>
    <s v="150.000,00"/>
    <e v="#NAME?"/>
  </r>
  <r>
    <n v="2717"/>
    <m/>
    <x v="0"/>
    <d v="2020-02-04T00:00:00"/>
    <n v="150000"/>
    <s v="Familia Castro Jiménez"/>
    <s v="aurycastrojimenez@gmail.com"/>
    <s v="Calle Guacara Nro. 90-51"/>
    <s v="Cancelación Vigilancia, mes de Febrero 2020 (Transferencia 220529)"/>
    <x v="0"/>
    <m/>
    <s v="02717"/>
    <s v="04 de febrero de 2020"/>
    <n v="4"/>
    <x v="39"/>
    <s v="150.000,00"/>
    <e v="#NAME?"/>
  </r>
  <r>
    <n v="2718"/>
    <m/>
    <x v="0"/>
    <d v="2020-02-05T00:00:00"/>
    <n v="136250"/>
    <s v="Familia Rodríguez Girón"/>
    <s v="daniellegt4@gmail.com"/>
    <s v="Calle Güigüe Nro. 89-22"/>
    <s v="Cancelación Vigilancia, mes de Febrero 2020"/>
    <x v="0"/>
    <m/>
    <s v="02718"/>
    <s v="05 de febrero de 2020"/>
    <n v="5"/>
    <x v="39"/>
    <s v="136.250,00"/>
    <e v="#NAME?"/>
  </r>
  <r>
    <n v="2719"/>
    <m/>
    <x v="0"/>
    <d v="2020-02-05T00:00:00"/>
    <n v="136250"/>
    <s v="Familia Arcia Polanco"/>
    <s v="misipo29@gmail.com"/>
    <s v="Calle Guacara Nro. 89-20"/>
    <s v="Cancelación Vigilancia, mes de Febrero 2020"/>
    <x v="0"/>
    <m/>
    <s v="02719"/>
    <s v="05 de febrero de 2020"/>
    <n v="5"/>
    <x v="39"/>
    <s v="136.250,00"/>
    <e v="#NAME?"/>
  </r>
  <r>
    <n v="2720"/>
    <m/>
    <x v="0"/>
    <d v="2020-02-05T00:00:00"/>
    <n v="136250"/>
    <s v="Familia Kattar González"/>
    <s v="jagiak123@yahoo.es"/>
    <s v="Calle Güigüe Nro. 89-95"/>
    <s v="Cancelación Vigilancia, mes de Enero 2020"/>
    <x v="0"/>
    <m/>
    <s v="02720"/>
    <s v="05 de febrero de 2020"/>
    <n v="5"/>
    <x v="39"/>
    <s v="136.250,00"/>
    <e v="#NAME?"/>
  </r>
  <r>
    <n v="2721"/>
    <m/>
    <x v="0"/>
    <d v="2020-02-05T00:00:00"/>
    <n v="136250"/>
    <s v="Carmen Moreno"/>
    <s v="carmenemoreno10@gmail.com"/>
    <s v="Calle Güigüe Nro. 89-04"/>
    <s v="Cancelación Vigilancia, mes de Febrero 2020"/>
    <x v="0"/>
    <m/>
    <s v="02721"/>
    <s v="05 de febrero de 2020"/>
    <n v="5"/>
    <x v="39"/>
    <s v="136.250,00"/>
    <e v="#NAME?"/>
  </r>
  <r>
    <n v="2722"/>
    <m/>
    <x v="0"/>
    <d v="2020-02-05T00:00:00"/>
    <n v="734000"/>
    <s v="Wilson Escamilla"/>
    <s v="wilsonescamilla45@gmail.com"/>
    <s v="Calle Güigüe Nro. 89-89"/>
    <s v="Cancelación Vigilancia, meses de Diciembre 2019, Enero, Febrero y Marzo 2020"/>
    <x v="0"/>
    <m/>
    <s v="02722"/>
    <s v="05 de febrero de 2020"/>
    <n v="5"/>
    <x v="39"/>
    <s v="734.000,00"/>
    <e v="#NAME?"/>
  </r>
  <r>
    <n v="2723"/>
    <m/>
    <x v="0"/>
    <d v="2020-02-05T00:00:00"/>
    <n v="166800"/>
    <s v="Familia Rodríguez Landaeta"/>
    <s v="mrl58@hotmail.com"/>
    <s v="Calle Güigüe Nro. 89-29"/>
    <s v="Cancelación Vigilancia, meses de Diciembre 2019, Enero y Febrero 2020"/>
    <x v="0"/>
    <m/>
    <s v="02723"/>
    <s v="05 de febrero de 2020"/>
    <n v="5"/>
    <x v="39"/>
    <s v="166.800,00"/>
    <e v="#NAME?"/>
  </r>
  <r>
    <n v="2724"/>
    <m/>
    <x v="0"/>
    <d v="2020-02-06T00:00:00"/>
    <n v="136250"/>
    <s v="Familia Milanés Carmona"/>
    <s v="yndira11m@gmail.com"/>
    <s v="Calle Güigüe Nro. 89-65"/>
    <s v="Cancelación Vigilancia, mes de Febrero 2020"/>
    <x v="0"/>
    <m/>
    <s v="02724"/>
    <s v="06 de febrero de 2020"/>
    <n v="6"/>
    <x v="39"/>
    <s v="136.250,00"/>
    <e v="#NAME?"/>
  </r>
  <r>
    <n v="2725"/>
    <m/>
    <x v="0"/>
    <d v="2020-02-06T00:00:00"/>
    <n v="136250"/>
    <s v="Familia Nava Gordon"/>
    <s v="maru_19_66@hotmail.com"/>
    <s v="Calle Guacara Nro. 89-78"/>
    <s v="Cancelación Vigilancia, mes de Febrero y anticipo mes de Marzo 2020 (Bs. 2.300)"/>
    <x v="0"/>
    <m/>
    <s v="02725"/>
    <s v="06 de febrero de 2020"/>
    <n v="6"/>
    <x v="39"/>
    <s v="136.250,00"/>
    <e v="#NAME?"/>
  </r>
  <r>
    <n v="2726"/>
    <m/>
    <x v="0"/>
    <d v="2020-02-06T00:00:00"/>
    <n v="408750"/>
    <s v="Familia Ozar Rivero"/>
    <s v="vanessarivero81@hotmail.com"/>
    <s v="Calle Güigüe Nro. 88-06"/>
    <s v="Cancelación Vigilancia, mes de Diciembre 2019, Enero y Febrero 2020"/>
    <x v="0"/>
    <m/>
    <s v="02726"/>
    <s v="06 de febrero de 2020"/>
    <n v="6"/>
    <x v="39"/>
    <s v="408.750,00"/>
    <e v="#NAME?"/>
  </r>
  <r>
    <n v="2727"/>
    <m/>
    <x v="0"/>
    <d v="2020-02-06T00:00:00"/>
    <n v="129000"/>
    <s v="Familia Montilla García"/>
    <s v="dairy252525@hotmail.com"/>
    <s v="Calle Güigüe Nro. 89-90"/>
    <s v="Cancelación Vigilancia, saldo mes de Febrero 2020"/>
    <x v="0"/>
    <m/>
    <s v="02727"/>
    <s v="06 de febrero de 2020"/>
    <n v="6"/>
    <x v="39"/>
    <s v="129.000,00"/>
    <e v="#NAME?"/>
  </r>
  <r>
    <n v="2728"/>
    <m/>
    <x v="0"/>
    <d v="2020-02-06T00:00:00"/>
    <n v="136250"/>
    <s v="Familia Manrique Riera"/>
    <s v="patriciamanrique@gmail.com"/>
    <s v="Calle Guacara Nro. 89-40"/>
    <s v="Cancelación Vigilancia, mes de Febrero 2020"/>
    <x v="0"/>
    <m/>
    <s v="02728"/>
    <s v="06 de febrero de 2020"/>
    <n v="6"/>
    <x v="39"/>
    <s v="136.250,00"/>
    <e v="#NAME?"/>
  </r>
  <r>
    <n v="2729"/>
    <m/>
    <x v="0"/>
    <d v="2020-02-06T00:00:00"/>
    <n v="182800"/>
    <s v="Silvia Power"/>
    <s v="spowermeneses@gmail.com"/>
    <s v="Calle Güigüe Nro. 89-16"/>
    <s v="Colaboración Vigilancia, mes de Enero 2020"/>
    <x v="0"/>
    <m/>
    <s v="02729"/>
    <s v="06 de febrero de 2020"/>
    <n v="6"/>
    <x v="39"/>
    <s v="182.800,00"/>
    <e v="#NAME?"/>
  </r>
  <r>
    <n v="2730"/>
    <m/>
    <x v="0"/>
    <d v="2020-02-06T00:00:00"/>
    <n v="136250"/>
    <s v="Familia Triana González"/>
    <s v="En Físico"/>
    <s v="Calle Guacara Nro. 90-61"/>
    <s v="Cancelación Vigilancia, mes de Febrero 2020"/>
    <x v="0"/>
    <m/>
    <s v="02730"/>
    <s v="06 de febrero de 2020"/>
    <n v="6"/>
    <x v="39"/>
    <s v="136.250,00"/>
    <e v="#NAME?"/>
  </r>
  <r>
    <n v="2731"/>
    <m/>
    <x v="0"/>
    <d v="2020-02-06T00:00:00"/>
    <n v="136250"/>
    <s v="Familia Barreto Pérez"/>
    <s v="bbetsa19@hotmail.com"/>
    <s v="Av. &quot;M&quot; Nro. 146-15"/>
    <s v="Cancelación Vigilancia, mes de Febrero 2020"/>
    <x v="0"/>
    <m/>
    <s v="02731"/>
    <s v="06 de febrero de 2020"/>
    <n v="6"/>
    <x v="39"/>
    <s v="136.250,00"/>
    <e v="#NAME?"/>
  </r>
  <r>
    <n v="2732"/>
    <m/>
    <x v="0"/>
    <d v="2020-02-06T00:00:00"/>
    <n v="300000"/>
    <s v="Familia González Arévalo"/>
    <s v="feryenis@hotmail.com"/>
    <s v="Calle Guacara Nro. 89-86"/>
    <s v="Cancelación Vigilancia, meses de Febrero y Marzo 2020"/>
    <x v="0"/>
    <m/>
    <s v="02732"/>
    <s v="06 de febrero de 2020"/>
    <n v="6"/>
    <x v="39"/>
    <s v="300.000,00"/>
    <e v="#NAME?"/>
  </r>
  <r>
    <n v="2733"/>
    <m/>
    <x v="0"/>
    <d v="2020-02-07T00:00:00"/>
    <n v="197575"/>
    <s v="Colegio El Trigal"/>
    <s v="En Físico"/>
    <s v="Calle Güigüe Nros. 88-71 y 88-81"/>
    <s v="Cancelación Vigilancia, mes de Febrero 2020"/>
    <x v="0"/>
    <m/>
    <s v="02733"/>
    <s v="07 de febrero de 2020"/>
    <n v="7"/>
    <x v="39"/>
    <s v="197.575,00"/>
    <e v="#NAME?"/>
  </r>
  <r>
    <n v="2734"/>
    <m/>
    <x v="0"/>
    <d v="2020-02-07T00:00:00"/>
    <n v="80000"/>
    <s v="Familia Méndez Parra"/>
    <s v="briceidademendez@gmail.com"/>
    <s v="Calle Guacara Nro. 88-19"/>
    <s v="Colaboración Vigilancia, mes de Febrero 2020"/>
    <x v="0"/>
    <m/>
    <s v="02734"/>
    <s v="07 de febrero de 2020"/>
    <n v="7"/>
    <x v="39"/>
    <s v="80.000,00"/>
    <e v="#NAME?"/>
  </r>
  <r>
    <n v="2735"/>
    <m/>
    <x v="0"/>
    <d v="2020-02-07T00:00:00"/>
    <n v="210000"/>
    <s v="Familia Lomeña Agudo"/>
    <s v="claudialomena@hotmail.com"/>
    <s v="Calle Guacara Nro. 89-30"/>
    <s v="Cancelación Vigilancia, mes de Febrero 2020"/>
    <x v="0"/>
    <m/>
    <s v="02735"/>
    <s v="07 de febrero de 2020"/>
    <n v="7"/>
    <x v="39"/>
    <s v="210.000,00"/>
    <e v="#NAME?"/>
  </r>
  <r>
    <n v="2736"/>
    <m/>
    <x v="0"/>
    <d v="2020-02-07T00:00:00"/>
    <n v="136250"/>
    <s v="Familia Zavarce Barón"/>
    <s v="alexanderzavarce@gmail.com"/>
    <s v="Calle Guacara Nro. 88-91"/>
    <s v="Cancelación Vigilancia, mes de Enero 2020"/>
    <x v="0"/>
    <m/>
    <s v="02736"/>
    <s v="07 de febrero de 2020"/>
    <n v="7"/>
    <x v="39"/>
    <s v="136.250,00"/>
    <e v="#NAME?"/>
  </r>
  <r>
    <n v="2737"/>
    <m/>
    <x v="0"/>
    <d v="2020-02-08T00:00:00"/>
    <n v="140000"/>
    <s v="Familia Durvelle Serrano"/>
    <s v="sdurvelle@hotmail.com"/>
    <s v="Calle Guacara Nro. 89-60"/>
    <s v="Cancelación Vigilancia, mes de Febrero 2020"/>
    <x v="0"/>
    <m/>
    <s v="02737"/>
    <s v="08 de febrero de 2020"/>
    <n v="8"/>
    <x v="39"/>
    <s v="140.000,00"/>
    <e v="#NAME?"/>
  </r>
  <r>
    <n v="2738"/>
    <m/>
    <x v="0"/>
    <d v="2020-02-08T00:00:00"/>
    <n v="136250"/>
    <s v="Beatriz Lara"/>
    <s v="arquitectoag@gmail.com"/>
    <s v="Calle Guacara Nro. 89-130"/>
    <s v="Cancelación Vigilancia, mes de Febrero 2020"/>
    <x v="0"/>
    <m/>
    <s v="02738"/>
    <s v="08 de febrero de 2020"/>
    <n v="8"/>
    <x v="39"/>
    <s v="136.250,00"/>
    <e v="#NAME?"/>
  </r>
  <r>
    <n v="2739"/>
    <m/>
    <x v="0"/>
    <d v="2020-02-08T00:00:00"/>
    <n v="140000"/>
    <s v="Familia Alonso Rojas"/>
    <s v="redjc01@gmail.com"/>
    <s v="Calle Güigüe Nro. 89-54"/>
    <s v="Cancelación Vigilancia, mes de Febrero 2020"/>
    <x v="0"/>
    <m/>
    <s v="02739"/>
    <s v="08 de febrero de 2020"/>
    <n v="8"/>
    <x v="39"/>
    <s v="140.000,00"/>
    <e v="#NAME?"/>
  </r>
  <r>
    <n v="2740"/>
    <m/>
    <x v="0"/>
    <d v="2020-02-08T00:00:00"/>
    <n v="136250"/>
    <s v="Familia Matta Palomino"/>
    <s v="En Físico"/>
    <s v="Calle Güigüe Nro. 88-90"/>
    <s v="Cancelación Vigilancia, mes de Enero 2020"/>
    <x v="0"/>
    <m/>
    <s v="02740"/>
    <s v="08 de febrero de 2020"/>
    <n v="8"/>
    <x v="39"/>
    <s v="136.250,00"/>
    <e v="#NAME?"/>
  </r>
  <r>
    <n v="2741"/>
    <m/>
    <x v="0"/>
    <d v="2020-02-10T00:00:00"/>
    <n v="136250"/>
    <s v="Familia Machado Stoppa"/>
    <s v="machadoru@hotmail.com | marisa2710chardan@gmail.com"/>
    <s v="Calle Guacara Nro. 88-85"/>
    <s v="Cancelación Vigilancia, mes de Febrero 2020"/>
    <x v="0"/>
    <m/>
    <s v="02741"/>
    <s v="10 de febrero de 2020"/>
    <n v="10"/>
    <x v="39"/>
    <s v="136.250,00"/>
    <e v="#NAME?"/>
  </r>
  <r>
    <n v="2742"/>
    <m/>
    <x v="0"/>
    <d v="2020-02-11T00:00:00"/>
    <n v="128500"/>
    <s v="Familia Navarro Assing"/>
    <s v="liliaassing@gmail.com"/>
    <s v="Calle Güigüe Nro. 88-54"/>
    <s v="Cancelación Vigilancia, saldo mes de Febrero 2020"/>
    <x v="0"/>
    <m/>
    <s v="02742"/>
    <s v="11 de febrero de 2020"/>
    <n v="11"/>
    <x v="39"/>
    <s v="128.500,00"/>
    <e v="#NAME?"/>
  </r>
  <r>
    <n v="2743"/>
    <m/>
    <x v="0"/>
    <d v="2020-02-10T00:00:00"/>
    <n v="136250"/>
    <s v="Familia Loponte Arteaga"/>
    <s v="En Físico"/>
    <s v="Calle Güigüe Nro. 88-120"/>
    <s v="Cancelación Vigilancia, mes de Febrero 2020"/>
    <x v="0"/>
    <m/>
    <s v="02743"/>
    <s v="10 de febrero de 2020"/>
    <n v="10"/>
    <x v="39"/>
    <s v="136.250,00"/>
    <e v="#NAME?"/>
  </r>
  <r>
    <n v="2744"/>
    <m/>
    <x v="0"/>
    <d v="2020-02-11T00:00:00"/>
    <n v="30000"/>
    <s v="Familia Chávez Hernández"/>
    <s v="mercedesch23@hotmail.com"/>
    <s v="Calle Güigüe Nro. 88-20"/>
    <s v="Colaboración Vigilancia, mes de Enero 2020"/>
    <x v="0"/>
    <m/>
    <s v="02744"/>
    <s v="11 de febrero de 2020"/>
    <n v="11"/>
    <x v="39"/>
    <s v="30.000,00"/>
    <e v="#NAME?"/>
  </r>
  <r>
    <n v="2745"/>
    <m/>
    <x v="0"/>
    <d v="2020-02-11T00:00:00"/>
    <n v="136250"/>
    <s v="Familia Zavarce Pérez"/>
    <s v="En Físico"/>
    <s v="Calle Guacara Nro. 90-35"/>
    <s v="Cancelación Vigilancia, mes de Febrero 2020"/>
    <x v="0"/>
    <m/>
    <s v="02745"/>
    <s v="11 de febrero de 2020"/>
    <n v="11"/>
    <x v="39"/>
    <s v="136.250,00"/>
    <e v="#NAME?"/>
  </r>
  <r>
    <n v="2746"/>
    <m/>
    <x v="0"/>
    <d v="2020-02-11T00:00:00"/>
    <n v="136250"/>
    <s v="Amparo Acosta"/>
    <s v="amparonatividad@hotmail.com"/>
    <s v="Calle Guacara Nro. 88-65"/>
    <s v="Cancelación Vigilancia, mes de Febrero 2020"/>
    <x v="0"/>
    <m/>
    <s v="02746"/>
    <s v="11 de febrero de 2020"/>
    <n v="11"/>
    <x v="39"/>
    <s v="136.250,00"/>
    <e v="#NAME?"/>
  </r>
  <r>
    <n v="2747"/>
    <m/>
    <x v="0"/>
    <d v="2020-02-13T00:00:00"/>
    <n v="136250"/>
    <s v="Familia Brito Viana"/>
    <s v="alejbrito92@gmail.com"/>
    <s v="Calle Guacara Nro. 88-95"/>
    <s v="Cancelación Vigilancia, mes de Febrero 2020"/>
    <x v="0"/>
    <m/>
    <s v="02747"/>
    <s v="13 de febrero de 2020"/>
    <n v="13"/>
    <x v="39"/>
    <s v="136.250,00"/>
    <e v="#NAME?"/>
  </r>
  <r>
    <n v="2748"/>
    <m/>
    <x v="0"/>
    <d v="2020-02-13T00:00:00"/>
    <n v="136250"/>
    <s v="Sra. Reina Meléndez"/>
    <s v="olgajipe@gmail.com"/>
    <s v="Av. &quot;M&quot; Nro. 145-10"/>
    <s v="Cancelación Vigilancia, mes de Febrero 2020"/>
    <x v="0"/>
    <m/>
    <s v="02748"/>
    <s v="13 de febrero de 2020"/>
    <n v="13"/>
    <x v="39"/>
    <s v="136.250,00"/>
    <e v="#NAME?"/>
  </r>
  <r>
    <n v="2749"/>
    <m/>
    <x v="0"/>
    <d v="2020-02-13T00:00:00"/>
    <n v="136250"/>
    <s v="Familia Soto Urdaneta"/>
    <s v="esotom61@gmail.com"/>
    <s v="Calle Guacara Nro. 89-102"/>
    <s v="Cancelación Vigilancia, mes de Febrero 2020"/>
    <x v="0"/>
    <m/>
    <s v="02749"/>
    <s v="13 de febrero de 2020"/>
    <n v="13"/>
    <x v="39"/>
    <s v="136.250,00"/>
    <e v="#NAME?"/>
  </r>
  <r>
    <n v="2750"/>
    <m/>
    <x v="0"/>
    <d v="2020-02-15T00:00:00"/>
    <n v="175000"/>
    <s v="Jocsan Orta Correa"/>
    <s v="carlos_arturox@hotmail.com"/>
    <s v="Av. &quot;L&quot; anexo de Los Tronquitos"/>
    <s v="Cancelación Vigilancia, saldo mes de Enero y mes de Febrero 2020"/>
    <x v="0"/>
    <m/>
    <s v="02750"/>
    <s v="15 de febrero de 2020"/>
    <n v="15"/>
    <x v="39"/>
    <s v="175.000,00"/>
    <e v="#NAME?"/>
  </r>
  <r>
    <n v="2751"/>
    <m/>
    <x v="0"/>
    <d v="2020-02-15T00:00:00"/>
    <n v="136250"/>
    <s v="Familia Kablan Sarmiento"/>
    <s v="norisjsb56@hotmail.com"/>
    <s v="Calle Güigüe Nro. 89-80"/>
    <s v="Cancelación Vigilancia, mes de Febrero 2020"/>
    <x v="0"/>
    <m/>
    <s v="02751"/>
    <s v="15 de febrero de 2020"/>
    <n v="15"/>
    <x v="39"/>
    <s v="136.250,00"/>
    <e v="#NAME?"/>
  </r>
  <r>
    <n v="2752"/>
    <m/>
    <x v="0"/>
    <d v="2020-02-16T00:00:00"/>
    <n v="145000"/>
    <s v="Familia Martínez Boada"/>
    <s v="florcitakmz@gmail.com"/>
    <s v="Calle Güigüe Nro. 88-62"/>
    <s v="Colaboración Vigilancia, mes de Enero y anticipo mes de Febrero 2020"/>
    <x v="0"/>
    <m/>
    <s v="02752"/>
    <s v="16 de febrero de 2020"/>
    <n v="16"/>
    <x v="39"/>
    <s v="145.000,00"/>
    <e v="#NAME?"/>
  </r>
  <r>
    <n v="2753"/>
    <m/>
    <x v="0"/>
    <d v="2019-12-18T00:00:00"/>
    <n v="105250"/>
    <s v="Familia Il Grande Franceschi"/>
    <s v="arcifran75@hotmail.com"/>
    <s v="Av. &quot;I&quot; Nro. 146-40"/>
    <s v="Cancelación Vigilancia, mes de Noviembre 2019"/>
    <x v="0"/>
    <m/>
    <s v="02753"/>
    <s v="18 de diciembre de 2019"/>
    <n v="18"/>
    <x v="37"/>
    <s v="105.250,00"/>
    <e v="#NAME?"/>
  </r>
  <r>
    <n v="2754"/>
    <m/>
    <x v="0"/>
    <d v="2020-02-16T00:00:00"/>
    <n v="439750"/>
    <s v="Familia Il Grande Franceschi"/>
    <s v="arcifran75@hotmail.com"/>
    <s v="Av. &quot;I&quot; Nro. 146-40"/>
    <s v="Cancelación Vigilancia, meses de Diciembre 2019, Enero y Febrero 2020"/>
    <x v="0"/>
    <m/>
    <s v="02754"/>
    <s v="16 de febrero de 2020"/>
    <n v="16"/>
    <x v="39"/>
    <s v="439.750,00"/>
    <e v="#NAME?"/>
  </r>
  <r>
    <n v="2755"/>
    <m/>
    <x v="0"/>
    <d v="2020-02-17T00:00:00"/>
    <n v="136250"/>
    <s v="Ana de González"/>
    <s v="mikelnowak25@gmail.com"/>
    <s v="Av. &quot;O&quot; Nro. 146-17"/>
    <s v="Cancelación Vigilancia, mes de Febrero 2020"/>
    <x v="0"/>
    <m/>
    <s v="02755"/>
    <s v="17 de febrero de 2020"/>
    <n v="17"/>
    <x v="39"/>
    <s v="136.250,00"/>
    <e v="#NAME?"/>
  </r>
  <r>
    <n v="2756"/>
    <m/>
    <x v="0"/>
    <d v="2020-02-21T00:00:00"/>
    <n v="100000"/>
    <s v="Zoraida Khair"/>
    <s v="zorakhair@hotmail.com | lbracamonte@netuno.net"/>
    <s v="Calle Güigüe Nro. 88-80"/>
    <s v="Colaboración Vigilancia, anticipo mes de Febrero 2020"/>
    <x v="0"/>
    <m/>
    <s v="02756"/>
    <s v="21 de febrero de 2020"/>
    <n v="21"/>
    <x v="39"/>
    <s v="100.000,00"/>
    <e v="#NAME?"/>
  </r>
  <r>
    <n v="2757"/>
    <m/>
    <x v="0"/>
    <d v="2020-02-22T00:00:00"/>
    <n v="272500"/>
    <s v="Familia Narváez Caldera"/>
    <s v="jeannette_nc@yahoo.com"/>
    <s v="Calle Güigüe Nro. 87-A-11"/>
    <s v="Cancelación Vigilancia, meses de Diciembre 2019 y Febrero 2020"/>
    <x v="0"/>
    <m/>
    <s v="02757"/>
    <s v="22 de febrero de 2020"/>
    <n v="22"/>
    <x v="39"/>
    <s v="272.500,00"/>
    <e v="#NAME?"/>
  </r>
  <r>
    <n v="2758"/>
    <m/>
    <x v="0"/>
    <d v="2020-02-22T00:00:00"/>
    <n v="136250"/>
    <s v="Familia Romero"/>
    <s v="almacenajeiri@gmail.com"/>
    <s v="Calle Guacara Nro. 89-50"/>
    <s v="Cancelación Vigilancia, mes de Enero 2020"/>
    <x v="0"/>
    <m/>
    <s v="02758"/>
    <s v="22 de febrero de 2020"/>
    <n v="22"/>
    <x v="39"/>
    <s v="136.250,00"/>
    <e v="#NAME?"/>
  </r>
  <r>
    <n v="2759"/>
    <m/>
    <x v="0"/>
    <d v="2020-02-23T00:00:00"/>
    <n v="136250"/>
    <s v="Familia Díaz González"/>
    <s v="luisrdt57@gmail.com"/>
    <s v="Calle Güigüe Nro. 88-116"/>
    <s v="Cancelación Vigilancia, mes de Febrero 2020"/>
    <x v="0"/>
    <m/>
    <s v="02759"/>
    <s v="23 de febrero de 2020"/>
    <n v="23"/>
    <x v="39"/>
    <s v="136.250,00"/>
    <e v="#NAME?"/>
  </r>
  <r>
    <n v="2760"/>
    <m/>
    <x v="0"/>
    <d v="2020-02-23T00:00:00"/>
    <n v="136250"/>
    <s v="Familia Gascón Domínguez"/>
    <s v="vrgascon@gmail.com"/>
    <s v="Calle Güigüe Nro. 88-70"/>
    <s v="Cancelación Vigilancia, mes de Febrero 2020"/>
    <x v="0"/>
    <m/>
    <s v="02760"/>
    <s v="23 de febrero de 2020"/>
    <n v="23"/>
    <x v="39"/>
    <s v="136.250,00"/>
    <e v="#NAME?"/>
  </r>
  <r>
    <n v="2761"/>
    <m/>
    <x v="0"/>
    <d v="2020-02-26T00:00:00"/>
    <n v="136250"/>
    <s v="Familia Costermani Terrer"/>
    <s v="claudiacostermani@hotmail.com"/>
    <s v="Calle Güigüe Nro. 88-11"/>
    <s v="Cancelación Vigilancia, mes de Febrero 2020"/>
    <x v="0"/>
    <m/>
    <s v="02761"/>
    <s v="26 de febrero de 2020"/>
    <n v="26"/>
    <x v="39"/>
    <s v="136.250,00"/>
    <e v="#NAME?"/>
  </r>
  <r>
    <n v="2762"/>
    <m/>
    <x v="0"/>
    <d v="2020-02-26T00:00:00"/>
    <n v="136250"/>
    <s v="Dra. Lilia Magallanes"/>
    <s v="liliamagallanes2010@gmail.com"/>
    <s v="Calle Güigüe Nro. 88-51"/>
    <s v="Cancelación Vigilancia, mes de Febrero 2020"/>
    <x v="0"/>
    <m/>
    <s v="02762"/>
    <s v="26 de febrero de 2020"/>
    <n v="26"/>
    <x v="39"/>
    <s v="136.250,00"/>
    <e v="#NAME?"/>
  </r>
  <r>
    <n v="2763"/>
    <m/>
    <x v="0"/>
    <d v="2020-02-27T00:00:00"/>
    <n v="200000"/>
    <s v="Familia Sirit Palencia"/>
    <s v="irasirit@gmail.com"/>
    <s v="Calle Güigüe Nro. 89-35"/>
    <s v="Colaboración Vigilancia, meses de Noviembre y Diciembre 2019"/>
    <x v="0"/>
    <m/>
    <s v="02763"/>
    <s v="27 de febrero de 2020"/>
    <n v="27"/>
    <x v="39"/>
    <s v="200.000,00"/>
    <e v="#NAME?"/>
  </r>
  <r>
    <n v="2764"/>
    <m/>
    <x v="0"/>
    <d v="2020-02-27T00:00:00"/>
    <n v="136250"/>
    <s v="Santiago Varela"/>
    <s v="svg0583@gmail.com"/>
    <s v="Av. &quot;M&quot; Nro. 146-30"/>
    <s v="Cancelación Vigilancia, mes de Febrero 2020"/>
    <x v="0"/>
    <m/>
    <s v="02764"/>
    <s v="27 de febrero de 2020"/>
    <n v="27"/>
    <x v="39"/>
    <s v="136.250,00"/>
    <e v="#NAME?"/>
  </r>
  <r>
    <n v="2765"/>
    <m/>
    <x v="0"/>
    <d v="2020-02-28T00:00:00"/>
    <n v="136250"/>
    <s v="Familia Chan García"/>
    <s v="chanalberto10@hotmail.com | favemocacompras@hotmail.com | admonfavemoca@hotmail.com"/>
    <s v="Calle Güigüe Nro. 89-106"/>
    <s v="Cancelación Vigilancia, mes de Febrero 2020"/>
    <x v="0"/>
    <m/>
    <s v="02765"/>
    <s v="28 de febrero de 2020"/>
    <n v="28"/>
    <x v="39"/>
    <s v="136.250,00"/>
    <e v="#NAME?"/>
  </r>
  <r>
    <n v="2766"/>
    <m/>
    <x v="0"/>
    <d v="2020-02-28T00:00:00"/>
    <n v="136250"/>
    <s v="Familia Zavarce Barón"/>
    <s v="alexanderzavarce@gmail.com"/>
    <s v="Calle Guacara Nro. 88-91"/>
    <s v="Cancelación Vigilancia, mes de Febrero 2020"/>
    <x v="0"/>
    <m/>
    <s v="02766"/>
    <s v="28 de febrero de 2020"/>
    <n v="28"/>
    <x v="39"/>
    <s v="136.250,00"/>
    <e v="#NAME?"/>
  </r>
  <r>
    <n v="2767"/>
    <m/>
    <x v="0"/>
    <d v="2020-02-29T00:00:00"/>
    <n v="40000"/>
    <s v="Familia Chávez Hernández"/>
    <s v="mercedesch23@hotmail.com"/>
    <s v="Calle Güigüe Nro. 88-20"/>
    <s v="Colaboración Vigilancia, mes de Febrero 2020"/>
    <x v="0"/>
    <m/>
    <s v="02767"/>
    <s v="29 de febrero de 2020"/>
    <n v="29"/>
    <x v="39"/>
    <s v="40.000,00"/>
    <e v="#NAME?"/>
  </r>
  <r>
    <n v="2768"/>
    <m/>
    <x v="0"/>
    <d v="2020-02-29T00:00:00"/>
    <n v="150000"/>
    <s v="Wu Hung Fung"/>
    <s v="carolinahung24@gmail.com | barbarahung15@hotmail.com"/>
    <s v="Calle Guacara Nro. 90-81"/>
    <s v="Cancelación Vigilancia, mes de Febrero 2020"/>
    <x v="0"/>
    <m/>
    <s v="02768"/>
    <s v="29 de febrero de 2020"/>
    <n v="29"/>
    <x v="39"/>
    <s v="150.000,00"/>
    <e v="#NAME?"/>
  </r>
  <r>
    <n v="2769"/>
    <m/>
    <x v="0"/>
    <d v="2020-02-29T00:00:00"/>
    <n v="136250"/>
    <s v="Familia Castillo Mena"/>
    <s v="emmecas@hotmail.com"/>
    <s v="Calle Güigüe Nro. 88-101"/>
    <s v="Cancelación Vigilancia, mes de Febrero 2020"/>
    <x v="0"/>
    <m/>
    <s v="02769"/>
    <s v="29 de febrero de 2020"/>
    <n v="29"/>
    <x v="39"/>
    <s v="136.250,00"/>
    <e v="#NAME?"/>
  </r>
  <r>
    <n v="2770"/>
    <m/>
    <x v="0"/>
    <d v="2020-02-29T00:00:00"/>
    <n v="136250"/>
    <s v="Familia Delgado Hidalgo"/>
    <s v="ardh@hotmail.com"/>
    <s v="Calle Güigüe Nro. 88-10"/>
    <s v="Cancelación Vigilancia, mes de Febrero 2020"/>
    <x v="0"/>
    <m/>
    <s v="02770"/>
    <s v="29 de febrero de 2020"/>
    <n v="29"/>
    <x v="39"/>
    <s v="136.250,00"/>
    <e v="#NAME?"/>
  </r>
  <r>
    <m/>
    <m/>
    <x v="2"/>
    <m/>
    <m/>
    <m/>
    <m/>
    <m/>
    <m/>
    <x v="15"/>
    <m/>
    <m/>
    <m/>
    <m/>
    <x v="4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1" cacheId="1"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echa" colHeaderCaption="Categoría">
  <location ref="A5:E21" firstHeaderRow="1" firstDataRow="2" firstDataCol="1" rowPageCount="1" colPageCount="1"/>
  <pivotFields count="17">
    <pivotField showAll="0"/>
    <pivotField showAll="0" defaultSubtotal="0"/>
    <pivotField axis="axisPage" multipleItemSelectionAllowed="1" showAll="0">
      <items count="4">
        <item h="1" x="1"/>
        <item x="0"/>
        <item x="2"/>
        <item t="default"/>
      </items>
    </pivotField>
    <pivotField showAll="0"/>
    <pivotField dataField="1" showAll="0"/>
    <pivotField showAll="0"/>
    <pivotField showAll="0"/>
    <pivotField showAll="0"/>
    <pivotField showAll="0"/>
    <pivotField axis="axisCol" showAll="0">
      <items count="18">
        <item x="0"/>
        <item x="4"/>
        <item x="8"/>
        <item x="10"/>
        <item x="11"/>
        <item x="1"/>
        <item x="9"/>
        <item x="2"/>
        <item x="5"/>
        <item x="7"/>
        <item x="15"/>
        <item x="3"/>
        <item m="1" x="16"/>
        <item x="13"/>
        <item x="6"/>
        <item x="12"/>
        <item x="14"/>
        <item t="default"/>
      </items>
    </pivotField>
    <pivotField showAll="0"/>
    <pivotField showAll="0"/>
    <pivotField showAll="0"/>
    <pivotField showAll="0"/>
    <pivotField axis="axisRow" showAll="0">
      <items count="43">
        <item h="1" x="6"/>
        <item h="1" x="0"/>
        <item h="1" x="1"/>
        <item h="1" x="2"/>
        <item h="1" x="3"/>
        <item h="1" x="4"/>
        <item h="1" x="5"/>
        <item h="1" x="7"/>
        <item h="1" x="8"/>
        <item h="1" x="9"/>
        <item h="1" x="10"/>
        <item h="1" x="11"/>
        <item h="1" x="12"/>
        <item h="1" x="13"/>
        <item h="1" x="14"/>
        <item h="1" x="15"/>
        <item h="1" x="16"/>
        <item h="1" x="17"/>
        <item h="1" x="18"/>
        <item h="1" x="19"/>
        <item h="1" x="20"/>
        <item h="1" x="21"/>
        <item h="1" x="22"/>
        <item h="1" x="23"/>
        <item h="1" x="40"/>
        <item h="1" x="24"/>
        <item h="1" x="25"/>
        <item x="26"/>
        <item x="27"/>
        <item x="28"/>
        <item x="29"/>
        <item x="30"/>
        <item x="31"/>
        <item x="32"/>
        <item x="33"/>
        <item x="34"/>
        <item x="35"/>
        <item x="36"/>
        <item x="37"/>
        <item m="1" x="41"/>
        <item x="38"/>
        <item x="39"/>
        <item t="default"/>
      </items>
    </pivotField>
    <pivotField showAll="0"/>
    <pivotField showAll="0"/>
  </pivotFields>
  <rowFields count="1">
    <field x="14"/>
  </rowFields>
  <rowItems count="15">
    <i>
      <x v="27"/>
    </i>
    <i>
      <x v="28"/>
    </i>
    <i>
      <x v="29"/>
    </i>
    <i>
      <x v="30"/>
    </i>
    <i>
      <x v="31"/>
    </i>
    <i>
      <x v="32"/>
    </i>
    <i>
      <x v="33"/>
    </i>
    <i>
      <x v="34"/>
    </i>
    <i>
      <x v="35"/>
    </i>
    <i>
      <x v="36"/>
    </i>
    <i>
      <x v="37"/>
    </i>
    <i>
      <x v="38"/>
    </i>
    <i>
      <x v="40"/>
    </i>
    <i>
      <x v="41"/>
    </i>
    <i t="grand">
      <x/>
    </i>
  </rowItems>
  <colFields count="1">
    <field x="9"/>
  </colFields>
  <colItems count="4">
    <i>
      <x/>
    </i>
    <i>
      <x v="6"/>
    </i>
    <i>
      <x v="13"/>
    </i>
    <i t="grand">
      <x/>
    </i>
  </colItems>
  <pageFields count="1">
    <pageField fld="2" hier="-1"/>
  </pageFields>
  <dataFields count="1">
    <dataField name=" " fld="4" baseField="12" baseItem="0" numFmtId="173"/>
  </dataFields>
  <formats count="23">
    <format dxfId="52">
      <pivotArea outline="0" collapsedLevelsAreSubtotals="1" fieldPosition="0"/>
    </format>
    <format dxfId="51">
      <pivotArea dataOnly="0" labelOnly="1" fieldPosition="0">
        <references count="1">
          <reference field="9" count="0"/>
        </references>
      </pivotArea>
    </format>
    <format dxfId="50">
      <pivotArea dataOnly="0" labelOnly="1" grandCol="1" outline="0" fieldPosition="0"/>
    </format>
    <format dxfId="49">
      <pivotArea dataOnly="0" labelOnly="1" fieldPosition="0">
        <references count="1">
          <reference field="14" count="0"/>
        </references>
      </pivotArea>
    </format>
    <format dxfId="48">
      <pivotArea dataOnly="0" labelOnly="1" grandRow="1" outline="0" fieldPosition="0"/>
    </format>
    <format dxfId="47">
      <pivotArea field="14" type="button" dataOnly="0" labelOnly="1" outline="0" axis="axisRow" fieldPosition="0"/>
    </format>
    <format dxfId="46">
      <pivotArea dataOnly="0" labelOnly="1" fieldPosition="0">
        <references count="1">
          <reference field="9" count="11">
            <x v="0"/>
            <x v="1"/>
            <x v="2"/>
            <x v="3"/>
            <x v="4"/>
            <x v="5"/>
            <x v="6"/>
            <x v="7"/>
            <x v="8"/>
            <x v="9"/>
            <x v="11"/>
          </reference>
        </references>
      </pivotArea>
    </format>
    <format dxfId="45">
      <pivotArea dataOnly="0" labelOnly="1" grandCol="1" outline="0" fieldPosition="0"/>
    </format>
    <format dxfId="44">
      <pivotArea dataOnly="0" labelOnly="1" fieldPosition="0">
        <references count="1">
          <reference field="9" count="11">
            <x v="0"/>
            <x v="1"/>
            <x v="2"/>
            <x v="3"/>
            <x v="4"/>
            <x v="5"/>
            <x v="6"/>
            <x v="7"/>
            <x v="8"/>
            <x v="9"/>
            <x v="11"/>
          </reference>
        </references>
      </pivotArea>
    </format>
    <format dxfId="43">
      <pivotArea dataOnly="0" labelOnly="1" grandCol="1" outline="0" fieldPosition="0"/>
    </format>
    <format dxfId="42">
      <pivotArea type="all" dataOnly="0" outline="0" fieldPosition="0"/>
    </format>
    <format dxfId="41">
      <pivotArea type="origin" dataOnly="0" labelOnly="1" outline="0" fieldPosition="0"/>
    </format>
    <format dxfId="40">
      <pivotArea grandCol="1" outline="0" collapsedLevelsAreSubtotals="1" fieldPosition="0"/>
    </format>
    <format dxfId="39">
      <pivotArea field="14" type="button" dataOnly="0" labelOnly="1" outline="0" axis="axisRow" fieldPosition="0"/>
    </format>
    <format dxfId="38">
      <pivotArea dataOnly="0" labelOnly="1" fieldPosition="0">
        <references count="1">
          <reference field="14" count="0"/>
        </references>
      </pivotArea>
    </format>
    <format dxfId="37">
      <pivotArea dataOnly="0" labelOnly="1" grandRow="1" outline="0" fieldPosition="0"/>
    </format>
    <format dxfId="36">
      <pivotArea dataOnly="0" labelOnly="1" fieldPosition="0">
        <references count="1">
          <reference field="9" count="11">
            <x v="0"/>
            <x v="1"/>
            <x v="2"/>
            <x v="3"/>
            <x v="4"/>
            <x v="5"/>
            <x v="6"/>
            <x v="7"/>
            <x v="8"/>
            <x v="9"/>
            <x v="11"/>
          </reference>
        </references>
      </pivotArea>
    </format>
    <format dxfId="35">
      <pivotArea dataOnly="0" labelOnly="1" fieldPosition="0">
        <references count="1">
          <reference field="9" count="11">
            <x v="0"/>
            <x v="1"/>
            <x v="2"/>
            <x v="3"/>
            <x v="4"/>
            <x v="5"/>
            <x v="6"/>
            <x v="7"/>
            <x v="8"/>
            <x v="9"/>
            <x v="11"/>
          </reference>
        </references>
      </pivotArea>
    </format>
    <format dxfId="34">
      <pivotArea type="topRight" dataOnly="0" labelOnly="1" outline="0" offset="G1" fieldPosition="0"/>
    </format>
    <format dxfId="33">
      <pivotArea dataOnly="0" labelOnly="1" grandCol="1" outline="0" fieldPosition="0"/>
    </format>
    <format dxfId="32">
      <pivotArea dataOnly="0" labelOnly="1" grandCol="1" outline="0" fieldPosition="0"/>
    </format>
    <format dxfId="31">
      <pivotArea type="topRight" dataOnly="0" labelOnly="1" outline="0" offset="H1" fieldPosition="0"/>
    </format>
    <format dxfId="30">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Familia">
  <location ref="A3:C17" firstHeaderRow="1" firstDataRow="2" firstDataCol="1"/>
  <pivotFields count="17">
    <pivotField numFmtId="164" showAll="0"/>
    <pivotField showAll="0" defaultSubtotal="0"/>
    <pivotField showAll="0"/>
    <pivotField showAll="0"/>
    <pivotField showAll="0"/>
    <pivotField axis="axisRow" showAll="0">
      <items count="109">
        <item x="26"/>
        <item h="1" x="77"/>
        <item x="49"/>
        <item x="27"/>
        <item x="19"/>
        <item x="90"/>
        <item x="7"/>
        <item h="1" x="73"/>
        <item x="58"/>
        <item m="1" x="106"/>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x="82"/>
        <item x="53"/>
        <item x="59"/>
        <item m="1" x="104"/>
        <item x="71"/>
        <item x="15"/>
        <item x="89"/>
        <item h="1" x="9"/>
        <item x="28"/>
        <item m="1" x="105"/>
        <item x="55"/>
        <item x="62"/>
        <item x="22"/>
        <item x="16"/>
        <item x="70"/>
        <item x="47"/>
        <item h="1" x="91"/>
        <item h="1" m="1" x="99"/>
        <item h="1" m="1" x="107"/>
        <item h="1" x="92"/>
        <item h="1" x="93"/>
        <item h="1" x="31"/>
        <item h="1" m="1" x="100"/>
        <item h="1" x="36"/>
        <item h="1" x="75"/>
        <item h="1" x="94"/>
        <item h="1" x="35"/>
        <item h="1" x="61"/>
        <item h="1" x="95"/>
        <item h="1" x="96"/>
        <item h="1" x="97"/>
        <item h="1" x="98"/>
        <item h="1" x="68"/>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3">
    <i>
      <x v="35"/>
    </i>
    <i>
      <x v="37"/>
    </i>
    <i>
      <x v="41"/>
    </i>
    <i>
      <x v="44"/>
    </i>
    <i>
      <x v="47"/>
    </i>
    <i>
      <x v="51"/>
    </i>
    <i>
      <x v="64"/>
    </i>
    <i>
      <x v="68"/>
    </i>
    <i>
      <x v="71"/>
    </i>
    <i>
      <x v="75"/>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I60"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0" personId="{83E57F0F-77DB-46B2-9417-DD17A5D4CA1D}" id="{28900678-92FF-459B-AED8-6120B57FC98B}">
    <text>Marisol dice que es 89-93, y no 90</text>
  </threadedComment>
  <threadedComment ref="B71" personId="{83E57F0F-77DB-46B2-9417-DD17A5D4CA1D}" id="{4B9DED9D-F6E1-4C97-BA82-D0B62F52AF85}">
    <text>Marisol indica que el número de la casa es 89-110</text>
  </threadedComment>
  <threadedComment ref="Q107" personId="{83E57F0F-77DB-46B2-9417-DD17A5D4CA1D}" id="{81052E88-2125-463B-8443-D25839B4767D}">
    <text>Condonado por donación de pego y fondo anticorrosivo</text>
  </threadedComment>
  <threadedComment ref="Q109" personId="{83E57F0F-77DB-46B2-9417-DD17A5D4CA1D}" id="{429E367C-080F-4103-8262-A9E124D83CAB}">
    <text>Bs. 50.000 anticipo
Bs. 12.450 cancelados al Sr. Francisco
Bs. 17550 diferencia</text>
  </threadedComment>
  <threadedComment ref="U121" personId="{83E57F0F-77DB-46B2-9417-DD17A5D4CA1D}" id="{1779862F-85EA-48AC-8478-0DA31E0410E9}">
    <text>Donación de tubo estructural para reparación de la caseta de vitilancia: Enero a Diciembre/2018</text>
  </threadedComment>
  <threadedComment ref="AL125"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F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5" dT="2019-12-28T17:56:59.75" personId="{9C042599-BB1B-4767-9133-4A877AA7D484}" id="{D012610D-39B3-4534-A812-18FD8FCE22F9}">
    <text xml:space="preserve">Anteriormente "Cuota completa"
</text>
  </threadedComment>
  <threadedComment ref="J17"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0" personId="{83E57F0F-77DB-46B2-9417-DD17A5D4CA1D}" id="{BAC0DF17-C194-4E98-81CB-6312E25EED7D}">
    <text>Marisol indica que el número de la casa es 89-110</text>
  </threadedComment>
  <threadedComment ref="D38" personId="{83E57F0F-77DB-46B2-9417-DD17A5D4CA1D}" id="{8AA48C56-AFDF-48F9-A5EB-34697D8F1182}">
    <text>Incorporado el 01 de Julio de 2019</text>
  </threadedComment>
  <threadedComment ref="B50" personId="{83E57F0F-77DB-46B2-9417-DD17A5D4CA1D}" id="{4AF21287-5CD9-4695-AE65-DA618CC23733}">
    <text>Marisol dice que es 89-93, y no 90</text>
  </threadedComment>
  <threadedComment ref="C82" dT="2019-12-28T17:56:05.76" personId="{9C042599-BB1B-4767-9133-4A877AA7D484}" id="{51961700-5B93-4183-8AAE-35BD0D40006C}">
    <text xml:space="preserve">Anteriormente "Cuota completa"
</text>
  </threadedComment>
  <threadedComment ref="C86" dT="2019-12-28T17:58:13.10" personId="{9C042599-BB1B-4767-9133-4A877AA7D484}" id="{8BEAA087-D0E9-4908-8834-4786EFAACC57}">
    <text xml:space="preserve">Anteriormente "Cuota completa"
</text>
  </threadedComment>
  <threadedComment ref="D138" personId="{83E57F0F-77DB-46B2-9417-DD17A5D4CA1D}" id="{480D3F0C-2BC6-4617-B556-AA843D6BD589}">
    <text>Eliminado el 01 de Julio de 2019</text>
  </threadedComment>
</ThreadedComments>
</file>

<file path=xl/threadedComments/threadedComment5.xml><?xml version="1.0" encoding="utf-8"?>
<ThreadedComments xmlns="http://schemas.microsoft.com/office/spreadsheetml/2018/threadedcomments" xmlns:x="http://schemas.openxmlformats.org/spreadsheetml/2006/main">
  <threadedComment ref="E57" personId="{83E57F0F-77DB-46B2-9417-DD17A5D4CA1D}" id="{3DAC56FE-504E-4B89-8DF2-0110B4EB5076}">
    <text>Donación de tres (03) camisas para los vigilantes (5 MMBs c/u)</text>
  </threadedComment>
  <threadedComment ref="B70" personId="{83E57F0F-77DB-46B2-9417-DD17A5D4CA1D}" id="{25088AD0-CA0F-4C1C-9145-20DBCEF5310E}">
    <text>Marisol dice que es 89-93, y no 90</text>
  </threadedComment>
  <threadedComment ref="B71"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70" personId="{83E57F0F-77DB-46B2-9417-DD17A5D4CA1D}" id="{18891FC0-C5E1-4335-835C-743808DB2F5C}">
    <text>Marisol dice que es 89-93, y no 90</text>
  </threadedComment>
  <threadedComment ref="C71"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mailto:redjc01@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26" Type="http://schemas.openxmlformats.org/officeDocument/2006/relationships/hyperlink" Target="mailto:mcolosso@gmail.com" TargetMode="External"/><Relationship Id="rId3" Type="http://schemas.openxmlformats.org/officeDocument/2006/relationships/hyperlink" Target="mailto:lopez.humberto14@yahoo.com.ve" TargetMode="External"/><Relationship Id="rId21" Type="http://schemas.openxmlformats.org/officeDocument/2006/relationships/hyperlink" Target="mailto:lopez.humberto14@yahoo.com.ve" TargetMode="External"/><Relationship Id="rId7"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2"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20" Type="http://schemas.openxmlformats.org/officeDocument/2006/relationships/hyperlink" Target="mailto:redjc01@gmail.com" TargetMode="External"/><Relationship Id="rId29" Type="http://schemas.openxmlformats.org/officeDocument/2006/relationships/vmlDrawing" Target="../drawings/vmlDrawing1.vm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11" Type="http://schemas.openxmlformats.org/officeDocument/2006/relationships/hyperlink" Target="mailto:redjc01@gmail.com" TargetMode="External"/><Relationship Id="rId24" Type="http://schemas.openxmlformats.org/officeDocument/2006/relationships/hyperlink" Target="mailto:chanalberto10@hotmail.com%20%7C%20favemocacompras@hotmail.com%20%7C%20admonfavemoca@hotmail.com" TargetMode="External"/><Relationship Id="rId5" Type="http://schemas.openxmlformats.org/officeDocument/2006/relationships/hyperlink" Target="mailto:redjc01@gmail.com" TargetMode="External"/><Relationship Id="rId15"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printerSettings" Target="../printerSettings/printerSettings1.bin"/><Relationship Id="rId10" Type="http://schemas.openxmlformats.org/officeDocument/2006/relationships/hyperlink" Target="mailto:lopez.humberto14@yahoo.com.ve" TargetMode="External"/><Relationship Id="rId19" Type="http://schemas.openxmlformats.org/officeDocument/2006/relationships/hyperlink" Target="mailto:redjc01@gmail.com" TargetMode="External"/><Relationship Id="rId31" Type="http://schemas.microsoft.com/office/2017/10/relationships/threadedComment" Target="../threadedComments/threadedComment1.xm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4" Type="http://schemas.openxmlformats.org/officeDocument/2006/relationships/hyperlink" Target="mailto:redjc01@gmail.com" TargetMode="External"/><Relationship Id="rId22" Type="http://schemas.openxmlformats.org/officeDocument/2006/relationships/hyperlink" Target="mailto:lopez.humberto14@yahoo.com.ve" TargetMode="External"/><Relationship Id="rId27" Type="http://schemas.openxmlformats.org/officeDocument/2006/relationships/hyperlink" Target="mailto:redjc01@gmail.com" TargetMode="External"/><Relationship Id="rId3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 Id="rId4"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 Id="rId4" Type="http://schemas.microsoft.com/office/2017/10/relationships/threadedComment" Target="../threadedComments/threadedComment6.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Q2817"/>
  <sheetViews>
    <sheetView tabSelected="1" workbookViewId="0">
      <pane ySplit="1" topLeftCell="A2816" activePane="bottomLeft" state="frozen"/>
      <selection activeCell="D2603" sqref="D2603"/>
      <selection pane="bottomLeft" activeCell="A2817" sqref="A2817"/>
    </sheetView>
  </sheetViews>
  <sheetFormatPr baseColWidth="10" defaultColWidth="10.7109375" defaultRowHeight="15" x14ac:dyDescent="0.25"/>
  <cols>
    <col min="1" max="1" width="8.28515625" style="1" customWidth="1"/>
    <col min="2" max="2" width="6" style="573" customWidth="1"/>
    <col min="3" max="3" width="6.42578125" style="8" bestFit="1" customWidth="1"/>
    <col min="4" max="4" width="11.42578125" style="2"/>
    <col min="5" max="5" width="13.7109375" style="3" customWidth="1"/>
    <col min="6" max="6" width="23" bestFit="1" customWidth="1"/>
    <col min="7" max="7" width="14.140625" customWidth="1"/>
    <col min="8" max="8" width="12.85546875" bestFit="1" customWidth="1"/>
    <col min="9" max="9" width="48.28515625" style="6" customWidth="1"/>
    <col min="10" max="10" width="13.85546875" style="63" bestFit="1" customWidth="1"/>
    <col min="11" max="11" width="14.140625" style="11" customWidth="1"/>
    <col min="12" max="12" width="7" style="5" bestFit="1" customWidth="1"/>
    <col min="13" max="13" width="10.7109375" style="5" bestFit="1" customWidth="1"/>
    <col min="14" max="14" width="6" style="5" bestFit="1" customWidth="1"/>
    <col min="15" max="15" width="9.28515625" style="25" bestFit="1" customWidth="1"/>
    <col min="16" max="16" width="11" style="5" bestFit="1" customWidth="1"/>
    <col min="17" max="17" width="48" style="4" bestFit="1" customWidth="1"/>
  </cols>
  <sheetData>
    <row r="1" spans="1:17" x14ac:dyDescent="0.25">
      <c r="A1" s="629" t="s">
        <v>0</v>
      </c>
      <c r="B1" s="629" t="s">
        <v>1</v>
      </c>
      <c r="C1" s="629" t="s">
        <v>2</v>
      </c>
      <c r="D1" s="629" t="s">
        <v>3</v>
      </c>
      <c r="E1" s="629" t="s">
        <v>4</v>
      </c>
      <c r="F1" s="629" t="s">
        <v>5</v>
      </c>
      <c r="G1" s="629" t="s">
        <v>6</v>
      </c>
      <c r="H1" s="629" t="s">
        <v>7</v>
      </c>
      <c r="I1" s="629" t="s">
        <v>8</v>
      </c>
      <c r="J1" s="629" t="s">
        <v>9</v>
      </c>
      <c r="K1" s="624" t="s">
        <v>10</v>
      </c>
      <c r="L1" s="624" t="s">
        <v>11</v>
      </c>
      <c r="M1" s="624" t="s">
        <v>12</v>
      </c>
      <c r="N1" s="624" t="s">
        <v>13</v>
      </c>
      <c r="O1" s="624" t="s">
        <v>14</v>
      </c>
      <c r="P1" s="624" t="s">
        <v>15</v>
      </c>
      <c r="Q1" s="624" t="s">
        <v>16</v>
      </c>
    </row>
    <row r="2" spans="1:17" x14ac:dyDescent="0.25">
      <c r="A2" s="1">
        <v>1</v>
      </c>
      <c r="C2" s="8" t="s">
        <v>17</v>
      </c>
      <c r="D2" s="2">
        <v>42713</v>
      </c>
      <c r="E2" s="3">
        <f>10500/100000</f>
        <v>0.105</v>
      </c>
      <c r="F2" t="s">
        <v>18</v>
      </c>
      <c r="G2" t="s">
        <v>19</v>
      </c>
      <c r="H2" t="s">
        <v>20</v>
      </c>
      <c r="I2" s="6" t="s">
        <v>21</v>
      </c>
      <c r="J2" s="61" t="s">
        <v>22</v>
      </c>
      <c r="K2" s="11" t="s">
        <v>23</v>
      </c>
      <c r="L2" s="5" t="str">
        <f t="shared" ref="L2:L65" si="0">IF(ISBLANK(A2),"",TEXT(A2,"00000"))</f>
        <v>00001</v>
      </c>
      <c r="M2" s="47" t="str">
        <f t="shared" ref="M2:M65" si="1">IF(ISBLANK(D2),"",TEXT(D2,"dd")&amp;" de "&amp;TEXT(D2,"mmmm")&amp;" de "&amp;TEXT(YEAR(D2),"0"))</f>
        <v>09 de diciembre de 2016</v>
      </c>
      <c r="N2" s="323">
        <f>DAY(D2)</f>
        <v>9</v>
      </c>
      <c r="O2" s="25">
        <f t="shared" ref="O2:O65" si="2">DATE(YEAR(D2),MONTH(D2),1)</f>
        <v>42705</v>
      </c>
      <c r="P2" s="5" t="str">
        <f t="shared" ref="P2:P65" si="3">TEXT(E2,"#.##0,00")</f>
        <v>0,11</v>
      </c>
      <c r="Q2" s="4" t="str">
        <f t="shared" ref="Q2:Q65" si="4">CONVERTIRNUM(E2)</f>
        <v>Cero Bolívares con 10/100</v>
      </c>
    </row>
    <row r="3" spans="1:17" x14ac:dyDescent="0.25">
      <c r="A3" s="1">
        <f>A2+1</f>
        <v>2</v>
      </c>
      <c r="C3" s="8" t="s">
        <v>17</v>
      </c>
      <c r="D3" s="2">
        <v>42717</v>
      </c>
      <c r="E3" s="3">
        <f>10500/100000</f>
        <v>0.105</v>
      </c>
      <c r="F3" t="s">
        <v>24</v>
      </c>
      <c r="G3" t="s">
        <v>25</v>
      </c>
      <c r="H3" t="s">
        <v>26</v>
      </c>
      <c r="I3" s="6" t="s">
        <v>21</v>
      </c>
      <c r="J3" s="61" t="s">
        <v>22</v>
      </c>
      <c r="K3" s="11" t="s">
        <v>27</v>
      </c>
      <c r="L3" s="5" t="str">
        <f t="shared" si="0"/>
        <v>00002</v>
      </c>
      <c r="M3" s="47" t="str">
        <f t="shared" si="1"/>
        <v>13 de diciembre de 2016</v>
      </c>
      <c r="N3" s="323">
        <f t="shared" ref="N3:N66" si="5">DAY(D3)</f>
        <v>13</v>
      </c>
      <c r="O3" s="25">
        <f t="shared" si="2"/>
        <v>42705</v>
      </c>
      <c r="P3" s="5" t="str">
        <f t="shared" si="3"/>
        <v>0,11</v>
      </c>
      <c r="Q3" s="4" t="str">
        <f t="shared" si="4"/>
        <v>Cero Bolívares con 10/100</v>
      </c>
    </row>
    <row r="4" spans="1:17" x14ac:dyDescent="0.25">
      <c r="A4" s="1">
        <f t="shared" ref="A4:A67" si="6">A3+1</f>
        <v>3</v>
      </c>
      <c r="C4" s="8" t="s">
        <v>17</v>
      </c>
      <c r="D4" s="2">
        <v>42724</v>
      </c>
      <c r="E4" s="3">
        <f>4500/100000</f>
        <v>4.4999999999999998E-2</v>
      </c>
      <c r="F4" t="s">
        <v>28</v>
      </c>
      <c r="G4" t="s">
        <v>29</v>
      </c>
      <c r="H4" t="s">
        <v>30</v>
      </c>
      <c r="I4" s="6" t="s">
        <v>21</v>
      </c>
      <c r="J4" s="61" t="s">
        <v>22</v>
      </c>
      <c r="K4" s="11" t="s">
        <v>31</v>
      </c>
      <c r="L4" s="5" t="str">
        <f t="shared" si="0"/>
        <v>00003</v>
      </c>
      <c r="M4" s="47" t="str">
        <f t="shared" si="1"/>
        <v>20 de diciembre de 2016</v>
      </c>
      <c r="N4" s="323">
        <f t="shared" si="5"/>
        <v>20</v>
      </c>
      <c r="O4" s="25">
        <f t="shared" si="2"/>
        <v>42705</v>
      </c>
      <c r="P4" s="5" t="str">
        <f t="shared" si="3"/>
        <v>0,05</v>
      </c>
      <c r="Q4" s="4" t="str">
        <f t="shared" si="4"/>
        <v>Cero Bolívares con 04/100</v>
      </c>
    </row>
    <row r="5" spans="1:17" x14ac:dyDescent="0.25">
      <c r="A5" s="1">
        <f t="shared" si="6"/>
        <v>4</v>
      </c>
      <c r="C5" s="8" t="s">
        <v>17</v>
      </c>
      <c r="D5" s="2">
        <v>42737</v>
      </c>
      <c r="E5" s="3">
        <f>10500/100000</f>
        <v>0.105</v>
      </c>
      <c r="F5" t="s">
        <v>32</v>
      </c>
      <c r="G5" t="s">
        <v>33</v>
      </c>
      <c r="H5" t="s">
        <v>34</v>
      </c>
      <c r="I5" s="6" t="s">
        <v>21</v>
      </c>
      <c r="J5" s="61" t="s">
        <v>22</v>
      </c>
      <c r="K5" s="11" t="s">
        <v>35</v>
      </c>
      <c r="L5" s="5" t="str">
        <f t="shared" si="0"/>
        <v>00004</v>
      </c>
      <c r="M5" s="47" t="str">
        <f t="shared" si="1"/>
        <v>02 de enero de 2017</v>
      </c>
      <c r="N5" s="323">
        <f t="shared" si="5"/>
        <v>2</v>
      </c>
      <c r="O5" s="25">
        <f t="shared" si="2"/>
        <v>42736</v>
      </c>
      <c r="P5" s="5" t="str">
        <f t="shared" si="3"/>
        <v>0,11</v>
      </c>
      <c r="Q5" s="4" t="str">
        <f t="shared" si="4"/>
        <v>Cero Bolívares con 10/100</v>
      </c>
    </row>
    <row r="6" spans="1:17" x14ac:dyDescent="0.25">
      <c r="A6" s="1">
        <f t="shared" si="6"/>
        <v>5</v>
      </c>
      <c r="C6" s="8" t="s">
        <v>17</v>
      </c>
      <c r="D6" s="2">
        <v>42741</v>
      </c>
      <c r="E6" s="3">
        <f>10500/100000</f>
        <v>0.105</v>
      </c>
      <c r="F6" t="s">
        <v>36</v>
      </c>
      <c r="G6" t="s">
        <v>37</v>
      </c>
      <c r="H6" t="s">
        <v>38</v>
      </c>
      <c r="I6" s="6" t="s">
        <v>21</v>
      </c>
      <c r="J6" s="61" t="s">
        <v>22</v>
      </c>
      <c r="K6" s="11" t="s">
        <v>39</v>
      </c>
      <c r="L6" s="5" t="str">
        <f t="shared" si="0"/>
        <v>00005</v>
      </c>
      <c r="M6" s="47" t="str">
        <f t="shared" si="1"/>
        <v>06 de enero de 2017</v>
      </c>
      <c r="N6" s="323">
        <f t="shared" si="5"/>
        <v>6</v>
      </c>
      <c r="O6" s="25">
        <f t="shared" si="2"/>
        <v>42736</v>
      </c>
      <c r="P6" s="5" t="str">
        <f t="shared" si="3"/>
        <v>0,11</v>
      </c>
      <c r="Q6" s="4" t="str">
        <f t="shared" si="4"/>
        <v>Cero Bolívares con 10/100</v>
      </c>
    </row>
    <row r="7" spans="1:17" x14ac:dyDescent="0.25">
      <c r="A7" s="1">
        <f t="shared" si="6"/>
        <v>6</v>
      </c>
      <c r="C7" s="8" t="s">
        <v>17</v>
      </c>
      <c r="D7" s="2">
        <v>42742</v>
      </c>
      <c r="E7" s="10">
        <f>10500/100000</f>
        <v>0.105</v>
      </c>
      <c r="F7" t="s">
        <v>40</v>
      </c>
      <c r="G7" t="s">
        <v>41</v>
      </c>
      <c r="H7" t="s">
        <v>42</v>
      </c>
      <c r="I7" s="9" t="s">
        <v>21</v>
      </c>
      <c r="J7" s="61" t="s">
        <v>22</v>
      </c>
      <c r="K7" s="11" t="s">
        <v>43</v>
      </c>
      <c r="L7" s="5" t="str">
        <f t="shared" si="0"/>
        <v>00006</v>
      </c>
      <c r="M7" s="47" t="str">
        <f t="shared" si="1"/>
        <v>07 de enero de 2017</v>
      </c>
      <c r="N7" s="323">
        <f t="shared" si="5"/>
        <v>7</v>
      </c>
      <c r="O7" s="25">
        <f t="shared" si="2"/>
        <v>42736</v>
      </c>
      <c r="P7" s="5" t="str">
        <f t="shared" si="3"/>
        <v>0,11</v>
      </c>
      <c r="Q7" s="4" t="str">
        <f t="shared" si="4"/>
        <v>Cero Bolívares con 10/100</v>
      </c>
    </row>
    <row r="8" spans="1:17" x14ac:dyDescent="0.25">
      <c r="A8" s="1">
        <f t="shared" si="6"/>
        <v>7</v>
      </c>
      <c r="C8" s="8" t="s">
        <v>17</v>
      </c>
      <c r="D8" s="2">
        <v>42745</v>
      </c>
      <c r="E8" s="10">
        <f>10000/100000</f>
        <v>0.1</v>
      </c>
      <c r="F8" t="s">
        <v>44</v>
      </c>
      <c r="G8" t="s">
        <v>45</v>
      </c>
      <c r="H8" t="s">
        <v>46</v>
      </c>
      <c r="I8" s="9" t="s">
        <v>21</v>
      </c>
      <c r="J8" s="61" t="s">
        <v>22</v>
      </c>
      <c r="K8" s="11" t="s">
        <v>47</v>
      </c>
      <c r="L8" s="5" t="str">
        <f t="shared" si="0"/>
        <v>00007</v>
      </c>
      <c r="M8" s="47" t="str">
        <f t="shared" si="1"/>
        <v>10 de enero de 2017</v>
      </c>
      <c r="N8" s="323">
        <f t="shared" si="5"/>
        <v>10</v>
      </c>
      <c r="O8" s="25">
        <f t="shared" si="2"/>
        <v>42736</v>
      </c>
      <c r="P8" s="5" t="str">
        <f t="shared" si="3"/>
        <v>0,10</v>
      </c>
      <c r="Q8" s="4" t="str">
        <f t="shared" si="4"/>
        <v>Cero Bolívares con 10/100</v>
      </c>
    </row>
    <row r="9" spans="1:17" x14ac:dyDescent="0.25">
      <c r="A9" s="1">
        <f t="shared" si="6"/>
        <v>8</v>
      </c>
      <c r="C9" s="8" t="s">
        <v>17</v>
      </c>
      <c r="D9" s="2">
        <v>42746</v>
      </c>
      <c r="E9" s="3">
        <f>5000/100000</f>
        <v>0.05</v>
      </c>
      <c r="F9" t="s">
        <v>48</v>
      </c>
      <c r="G9" t="s">
        <v>49</v>
      </c>
      <c r="H9" t="s">
        <v>50</v>
      </c>
      <c r="I9" s="6" t="s">
        <v>51</v>
      </c>
      <c r="J9" s="61" t="s">
        <v>22</v>
      </c>
      <c r="K9" s="11" t="s">
        <v>52</v>
      </c>
      <c r="L9" s="5" t="str">
        <f t="shared" si="0"/>
        <v>00008</v>
      </c>
      <c r="M9" s="47" t="str">
        <f t="shared" si="1"/>
        <v>11 de enero de 2017</v>
      </c>
      <c r="N9" s="323">
        <f t="shared" si="5"/>
        <v>11</v>
      </c>
      <c r="O9" s="25">
        <f t="shared" si="2"/>
        <v>42736</v>
      </c>
      <c r="P9" s="5" t="str">
        <f t="shared" si="3"/>
        <v>0,05</v>
      </c>
      <c r="Q9" s="4" t="str">
        <f t="shared" si="4"/>
        <v>Cero Bolívares con 05/100</v>
      </c>
    </row>
    <row r="10" spans="1:17" x14ac:dyDescent="0.25">
      <c r="A10" s="1">
        <f t="shared" si="6"/>
        <v>9</v>
      </c>
      <c r="C10" s="8" t="s">
        <v>17</v>
      </c>
      <c r="D10" s="2">
        <v>42746</v>
      </c>
      <c r="E10" s="3">
        <f>10500/100000</f>
        <v>0.105</v>
      </c>
      <c r="F10" t="s">
        <v>53</v>
      </c>
      <c r="G10" t="s">
        <v>54</v>
      </c>
      <c r="H10" t="s">
        <v>55</v>
      </c>
      <c r="I10" s="6" t="s">
        <v>21</v>
      </c>
      <c r="J10" s="61" t="s">
        <v>22</v>
      </c>
      <c r="K10" s="11" t="s">
        <v>56</v>
      </c>
      <c r="L10" s="5" t="str">
        <f t="shared" si="0"/>
        <v>00009</v>
      </c>
      <c r="M10" s="47" t="str">
        <f t="shared" si="1"/>
        <v>11 de enero de 2017</v>
      </c>
      <c r="N10" s="323">
        <f t="shared" si="5"/>
        <v>11</v>
      </c>
      <c r="O10" s="25">
        <f t="shared" si="2"/>
        <v>42736</v>
      </c>
      <c r="P10" s="5" t="str">
        <f t="shared" si="3"/>
        <v>0,11</v>
      </c>
      <c r="Q10" s="4" t="str">
        <f t="shared" si="4"/>
        <v>Cero Bolívares con 10/100</v>
      </c>
    </row>
    <row r="11" spans="1:17" x14ac:dyDescent="0.25">
      <c r="A11" s="1">
        <f t="shared" si="6"/>
        <v>10</v>
      </c>
      <c r="C11" s="8" t="s">
        <v>17</v>
      </c>
      <c r="D11" s="2">
        <v>42750</v>
      </c>
      <c r="E11" s="3">
        <f>12000/100000</f>
        <v>0.12</v>
      </c>
      <c r="F11" s="20" t="s">
        <v>57</v>
      </c>
      <c r="G11" s="18" t="s">
        <v>58</v>
      </c>
      <c r="H11" s="21" t="s">
        <v>59</v>
      </c>
      <c r="I11" s="6" t="s">
        <v>60</v>
      </c>
      <c r="J11" s="61" t="s">
        <v>22</v>
      </c>
      <c r="K11" s="22" t="s">
        <v>61</v>
      </c>
      <c r="L11" s="5" t="str">
        <f t="shared" si="0"/>
        <v>00010</v>
      </c>
      <c r="M11" s="47" t="str">
        <f t="shared" si="1"/>
        <v>15 de enero de 2017</v>
      </c>
      <c r="N11" s="323">
        <f t="shared" si="5"/>
        <v>15</v>
      </c>
      <c r="O11" s="25">
        <f t="shared" si="2"/>
        <v>42736</v>
      </c>
      <c r="P11" s="5" t="str">
        <f t="shared" si="3"/>
        <v>0,12</v>
      </c>
      <c r="Q11" s="4" t="str">
        <f t="shared" si="4"/>
        <v>Cero Bolívares con 12/100</v>
      </c>
    </row>
    <row r="12" spans="1:17" x14ac:dyDescent="0.25">
      <c r="A12" s="1">
        <f t="shared" si="6"/>
        <v>11</v>
      </c>
      <c r="C12" s="8" t="s">
        <v>17</v>
      </c>
      <c r="D12" s="2">
        <v>42748</v>
      </c>
      <c r="E12" s="3">
        <f>10500/100000</f>
        <v>0.105</v>
      </c>
      <c r="F12" t="s">
        <v>62</v>
      </c>
      <c r="G12" t="s">
        <v>63</v>
      </c>
      <c r="H12" t="s">
        <v>64</v>
      </c>
      <c r="I12" s="6" t="s">
        <v>21</v>
      </c>
      <c r="J12" s="61" t="s">
        <v>22</v>
      </c>
      <c r="K12" s="11" t="s">
        <v>65</v>
      </c>
      <c r="L12" s="5" t="str">
        <f t="shared" si="0"/>
        <v>00011</v>
      </c>
      <c r="M12" s="47" t="str">
        <f t="shared" si="1"/>
        <v>13 de enero de 2017</v>
      </c>
      <c r="N12" s="323">
        <f t="shared" si="5"/>
        <v>13</v>
      </c>
      <c r="O12" s="25">
        <f t="shared" si="2"/>
        <v>42736</v>
      </c>
      <c r="P12" s="5" t="str">
        <f t="shared" si="3"/>
        <v>0,11</v>
      </c>
      <c r="Q12" s="4" t="str">
        <f t="shared" si="4"/>
        <v>Cero Bolívares con 10/100</v>
      </c>
    </row>
    <row r="13" spans="1:17" x14ac:dyDescent="0.25">
      <c r="A13" s="1">
        <f t="shared" si="6"/>
        <v>12</v>
      </c>
      <c r="C13" s="8" t="s">
        <v>17</v>
      </c>
      <c r="D13" s="2">
        <v>42750</v>
      </c>
      <c r="E13" s="10">
        <f>10500/100000</f>
        <v>0.105</v>
      </c>
      <c r="F13" t="s">
        <v>66</v>
      </c>
      <c r="G13" t="s">
        <v>67</v>
      </c>
      <c r="H13" t="s">
        <v>68</v>
      </c>
      <c r="I13" s="9" t="s">
        <v>21</v>
      </c>
      <c r="J13" s="61" t="s">
        <v>22</v>
      </c>
      <c r="K13" s="11" t="s">
        <v>69</v>
      </c>
      <c r="L13" s="5" t="str">
        <f t="shared" si="0"/>
        <v>00012</v>
      </c>
      <c r="M13" s="47" t="str">
        <f t="shared" si="1"/>
        <v>15 de enero de 2017</v>
      </c>
      <c r="N13" s="323">
        <f t="shared" si="5"/>
        <v>15</v>
      </c>
      <c r="O13" s="25">
        <f t="shared" si="2"/>
        <v>42736</v>
      </c>
      <c r="P13" s="5" t="str">
        <f t="shared" si="3"/>
        <v>0,11</v>
      </c>
      <c r="Q13" s="4" t="str">
        <f t="shared" si="4"/>
        <v>Cero Bolívares con 10/100</v>
      </c>
    </row>
    <row r="14" spans="1:17" x14ac:dyDescent="0.25">
      <c r="A14" s="1">
        <f>A13+1</f>
        <v>13</v>
      </c>
      <c r="C14" s="8" t="s">
        <v>17</v>
      </c>
      <c r="D14" s="2">
        <v>42754</v>
      </c>
      <c r="E14" s="3">
        <f>10500/100000</f>
        <v>0.105</v>
      </c>
      <c r="F14" t="s">
        <v>70</v>
      </c>
      <c r="G14" t="s">
        <v>71</v>
      </c>
      <c r="H14" t="s">
        <v>72</v>
      </c>
      <c r="I14" s="6" t="s">
        <v>21</v>
      </c>
      <c r="J14" s="61" t="s">
        <v>22</v>
      </c>
      <c r="K14" s="11" t="s">
        <v>73</v>
      </c>
      <c r="L14" s="5" t="str">
        <f t="shared" si="0"/>
        <v>00013</v>
      </c>
      <c r="M14" s="47" t="str">
        <f t="shared" si="1"/>
        <v>19 de enero de 2017</v>
      </c>
      <c r="N14" s="323">
        <f t="shared" si="5"/>
        <v>19</v>
      </c>
      <c r="O14" s="25">
        <f t="shared" si="2"/>
        <v>42736</v>
      </c>
      <c r="P14" s="5" t="str">
        <f t="shared" si="3"/>
        <v>0,11</v>
      </c>
      <c r="Q14" s="4" t="str">
        <f t="shared" si="4"/>
        <v>Cero Bolívares con 10/100</v>
      </c>
    </row>
    <row r="15" spans="1:17" x14ac:dyDescent="0.25">
      <c r="A15" s="1">
        <f t="shared" si="6"/>
        <v>14</v>
      </c>
      <c r="C15" s="8" t="s">
        <v>17</v>
      </c>
      <c r="D15" s="2">
        <v>42754</v>
      </c>
      <c r="E15" s="3">
        <f>4500/100000</f>
        <v>4.4999999999999998E-2</v>
      </c>
      <c r="F15" t="s">
        <v>74</v>
      </c>
      <c r="G15" s="18" t="s">
        <v>58</v>
      </c>
      <c r="H15" t="s">
        <v>75</v>
      </c>
      <c r="I15" s="6" t="s">
        <v>51</v>
      </c>
      <c r="J15" s="61" t="s">
        <v>22</v>
      </c>
      <c r="K15" s="11" t="s">
        <v>76</v>
      </c>
      <c r="L15" s="5" t="str">
        <f t="shared" si="0"/>
        <v>00014</v>
      </c>
      <c r="M15" s="47" t="str">
        <f t="shared" si="1"/>
        <v>19 de enero de 2017</v>
      </c>
      <c r="N15" s="323">
        <f t="shared" si="5"/>
        <v>19</v>
      </c>
      <c r="O15" s="25">
        <f t="shared" si="2"/>
        <v>42736</v>
      </c>
      <c r="P15" s="5" t="str">
        <f t="shared" si="3"/>
        <v>0,05</v>
      </c>
      <c r="Q15" s="4" t="str">
        <f t="shared" si="4"/>
        <v>Cero Bolívares con 04/100</v>
      </c>
    </row>
    <row r="16" spans="1:17" x14ac:dyDescent="0.25">
      <c r="A16" s="1">
        <f t="shared" si="6"/>
        <v>15</v>
      </c>
      <c r="C16" s="8" t="s">
        <v>17</v>
      </c>
      <c r="D16" s="2">
        <v>42755</v>
      </c>
      <c r="E16" s="3">
        <f>6500/100000</f>
        <v>6.5000000000000002E-2</v>
      </c>
      <c r="F16" t="s">
        <v>70</v>
      </c>
      <c r="G16" t="s">
        <v>71</v>
      </c>
      <c r="H16" t="s">
        <v>72</v>
      </c>
      <c r="I16" s="6" t="s">
        <v>77</v>
      </c>
      <c r="J16" s="61" t="s">
        <v>22</v>
      </c>
      <c r="K16" s="11" t="s">
        <v>78</v>
      </c>
      <c r="L16" s="5" t="str">
        <f t="shared" si="0"/>
        <v>00015</v>
      </c>
      <c r="M16" s="47" t="str">
        <f t="shared" si="1"/>
        <v>20 de enero de 2017</v>
      </c>
      <c r="N16" s="323">
        <f t="shared" si="5"/>
        <v>20</v>
      </c>
      <c r="O16" s="25">
        <f t="shared" si="2"/>
        <v>42736</v>
      </c>
      <c r="P16" s="5" t="str">
        <f t="shared" si="3"/>
        <v>0,07</v>
      </c>
      <c r="Q16" s="4" t="str">
        <f t="shared" si="4"/>
        <v>Cero Bolívares con 06/100</v>
      </c>
    </row>
    <row r="17" spans="1:17" x14ac:dyDescent="0.25">
      <c r="A17" s="1">
        <f t="shared" si="6"/>
        <v>16</v>
      </c>
      <c r="C17" s="8" t="s">
        <v>17</v>
      </c>
      <c r="D17" s="2">
        <v>42755</v>
      </c>
      <c r="E17" s="3">
        <f>6500/100000</f>
        <v>6.5000000000000002E-2</v>
      </c>
      <c r="F17" t="s">
        <v>18</v>
      </c>
      <c r="G17" t="s">
        <v>19</v>
      </c>
      <c r="H17" t="s">
        <v>20</v>
      </c>
      <c r="I17" s="6" t="s">
        <v>77</v>
      </c>
      <c r="J17" s="61" t="s">
        <v>22</v>
      </c>
      <c r="K17" s="11" t="s">
        <v>79</v>
      </c>
      <c r="L17" s="5" t="str">
        <f t="shared" si="0"/>
        <v>00016</v>
      </c>
      <c r="M17" s="47" t="str">
        <f t="shared" si="1"/>
        <v>20 de enero de 2017</v>
      </c>
      <c r="N17" s="323">
        <f t="shared" si="5"/>
        <v>20</v>
      </c>
      <c r="O17" s="25">
        <f t="shared" si="2"/>
        <v>42736</v>
      </c>
      <c r="P17" s="5" t="str">
        <f t="shared" si="3"/>
        <v>0,07</v>
      </c>
      <c r="Q17" s="4" t="str">
        <f t="shared" si="4"/>
        <v>Cero Bolívares con 06/100</v>
      </c>
    </row>
    <row r="18" spans="1:17" x14ac:dyDescent="0.25">
      <c r="A18" s="1">
        <f t="shared" si="6"/>
        <v>17</v>
      </c>
      <c r="C18" s="8" t="s">
        <v>17</v>
      </c>
      <c r="D18" s="2">
        <v>42755</v>
      </c>
      <c r="E18" s="3">
        <f>17000/100000</f>
        <v>0.17</v>
      </c>
      <c r="F18" t="s">
        <v>80</v>
      </c>
      <c r="G18" t="s">
        <v>81</v>
      </c>
      <c r="H18" t="s">
        <v>82</v>
      </c>
      <c r="I18" s="6" t="s">
        <v>60</v>
      </c>
      <c r="J18" s="61" t="s">
        <v>22</v>
      </c>
      <c r="K18" s="11" t="s">
        <v>83</v>
      </c>
      <c r="L18" s="5" t="str">
        <f t="shared" si="0"/>
        <v>00017</v>
      </c>
      <c r="M18" s="47" t="str">
        <f t="shared" si="1"/>
        <v>20 de enero de 2017</v>
      </c>
      <c r="N18" s="323">
        <f t="shared" si="5"/>
        <v>20</v>
      </c>
      <c r="O18" s="25">
        <f t="shared" si="2"/>
        <v>42736</v>
      </c>
      <c r="P18" s="5" t="str">
        <f t="shared" si="3"/>
        <v>0,17</v>
      </c>
      <c r="Q18" s="4" t="str">
        <f t="shared" si="4"/>
        <v>Cero Bolívares con 17/100</v>
      </c>
    </row>
    <row r="19" spans="1:17" x14ac:dyDescent="0.25">
      <c r="A19" s="1">
        <f t="shared" si="6"/>
        <v>18</v>
      </c>
      <c r="C19" s="8" t="s">
        <v>17</v>
      </c>
      <c r="D19" s="2">
        <v>42755</v>
      </c>
      <c r="E19" s="3">
        <f>6000/100000</f>
        <v>0.06</v>
      </c>
      <c r="F19" t="s">
        <v>84</v>
      </c>
      <c r="G19" t="s">
        <v>85</v>
      </c>
      <c r="H19" t="s">
        <v>86</v>
      </c>
      <c r="I19" s="6" t="s">
        <v>51</v>
      </c>
      <c r="J19" s="61" t="s">
        <v>22</v>
      </c>
      <c r="K19" s="11" t="s">
        <v>87</v>
      </c>
      <c r="L19" s="5" t="str">
        <f t="shared" si="0"/>
        <v>00018</v>
      </c>
      <c r="M19" s="47" t="str">
        <f t="shared" si="1"/>
        <v>20 de enero de 2017</v>
      </c>
      <c r="N19" s="323">
        <f t="shared" si="5"/>
        <v>20</v>
      </c>
      <c r="O19" s="25">
        <f t="shared" si="2"/>
        <v>42736</v>
      </c>
      <c r="P19" s="5" t="str">
        <f t="shared" si="3"/>
        <v>0,06</v>
      </c>
      <c r="Q19" s="4" t="str">
        <f t="shared" si="4"/>
        <v>Cero Bolívares con 06/100</v>
      </c>
    </row>
    <row r="20" spans="1:17" x14ac:dyDescent="0.25">
      <c r="A20" s="1">
        <f t="shared" si="6"/>
        <v>19</v>
      </c>
      <c r="C20" s="8" t="s">
        <v>17</v>
      </c>
      <c r="D20" s="2">
        <v>42759</v>
      </c>
      <c r="E20" s="3">
        <f>6500/100000</f>
        <v>6.5000000000000002E-2</v>
      </c>
      <c r="F20" t="s">
        <v>24</v>
      </c>
      <c r="G20" t="s">
        <v>25</v>
      </c>
      <c r="H20" t="s">
        <v>26</v>
      </c>
      <c r="I20" s="6" t="s">
        <v>77</v>
      </c>
      <c r="J20" s="61" t="s">
        <v>22</v>
      </c>
      <c r="K20" s="11" t="s">
        <v>88</v>
      </c>
      <c r="L20" s="5" t="str">
        <f t="shared" si="0"/>
        <v>00019</v>
      </c>
      <c r="M20" s="47" t="str">
        <f t="shared" si="1"/>
        <v>24 de enero de 2017</v>
      </c>
      <c r="N20" s="323">
        <f t="shared" si="5"/>
        <v>24</v>
      </c>
      <c r="O20" s="25">
        <f t="shared" si="2"/>
        <v>42736</v>
      </c>
      <c r="P20" s="5" t="str">
        <f t="shared" si="3"/>
        <v>0,07</v>
      </c>
      <c r="Q20" s="4" t="str">
        <f t="shared" si="4"/>
        <v>Cero Bolívares con 06/100</v>
      </c>
    </row>
    <row r="21" spans="1:17" x14ac:dyDescent="0.25">
      <c r="A21" s="1">
        <f t="shared" si="6"/>
        <v>20</v>
      </c>
      <c r="C21" s="8" t="s">
        <v>17</v>
      </c>
      <c r="D21" s="2">
        <v>42759</v>
      </c>
      <c r="E21" s="3">
        <f>10000/100000</f>
        <v>0.1</v>
      </c>
      <c r="F21" t="s">
        <v>28</v>
      </c>
      <c r="G21" t="s">
        <v>29</v>
      </c>
      <c r="H21" t="s">
        <v>30</v>
      </c>
      <c r="I21" s="6" t="s">
        <v>21</v>
      </c>
      <c r="J21" s="61" t="s">
        <v>22</v>
      </c>
      <c r="K21" s="11" t="s">
        <v>89</v>
      </c>
      <c r="L21" s="5" t="str">
        <f t="shared" si="0"/>
        <v>00020</v>
      </c>
      <c r="M21" s="47" t="str">
        <f t="shared" si="1"/>
        <v>24 de enero de 2017</v>
      </c>
      <c r="N21" s="323">
        <f t="shared" si="5"/>
        <v>24</v>
      </c>
      <c r="O21" s="25">
        <f t="shared" si="2"/>
        <v>42736</v>
      </c>
      <c r="P21" s="5" t="str">
        <f t="shared" si="3"/>
        <v>0,10</v>
      </c>
      <c r="Q21" s="4" t="str">
        <f t="shared" si="4"/>
        <v>Cero Bolívares con 10/100</v>
      </c>
    </row>
    <row r="22" spans="1:17" x14ac:dyDescent="0.25">
      <c r="A22" s="1">
        <f t="shared" si="6"/>
        <v>21</v>
      </c>
      <c r="C22" s="8" t="s">
        <v>17</v>
      </c>
      <c r="D22" s="2">
        <v>42759</v>
      </c>
      <c r="E22" s="3">
        <f>17000/100000</f>
        <v>0.17</v>
      </c>
      <c r="F22" t="s">
        <v>90</v>
      </c>
      <c r="G22" t="s">
        <v>91</v>
      </c>
      <c r="H22" t="s">
        <v>92</v>
      </c>
      <c r="I22" s="6" t="s">
        <v>60</v>
      </c>
      <c r="J22" s="61" t="s">
        <v>22</v>
      </c>
      <c r="K22" s="11" t="s">
        <v>93</v>
      </c>
      <c r="L22" s="5" t="str">
        <f t="shared" si="0"/>
        <v>00021</v>
      </c>
      <c r="M22" s="47" t="str">
        <f t="shared" si="1"/>
        <v>24 de enero de 2017</v>
      </c>
      <c r="N22" s="323">
        <f t="shared" si="5"/>
        <v>24</v>
      </c>
      <c r="O22" s="25">
        <f t="shared" si="2"/>
        <v>42736</v>
      </c>
      <c r="P22" s="5" t="str">
        <f t="shared" si="3"/>
        <v>0,17</v>
      </c>
      <c r="Q22" s="4" t="str">
        <f t="shared" si="4"/>
        <v>Cero Bolívares con 17/100</v>
      </c>
    </row>
    <row r="23" spans="1:17" x14ac:dyDescent="0.25">
      <c r="A23" s="1">
        <f t="shared" si="6"/>
        <v>22</v>
      </c>
      <c r="C23" s="8" t="s">
        <v>17</v>
      </c>
      <c r="D23" s="2">
        <v>42760</v>
      </c>
      <c r="E23" s="3">
        <f>2000/100000</f>
        <v>0.02</v>
      </c>
      <c r="F23" t="s">
        <v>94</v>
      </c>
      <c r="G23" t="s">
        <v>95</v>
      </c>
      <c r="H23" t="s">
        <v>96</v>
      </c>
      <c r="I23" s="6" t="s">
        <v>51</v>
      </c>
      <c r="J23" s="61" t="s">
        <v>22</v>
      </c>
      <c r="K23" s="11" t="s">
        <v>97</v>
      </c>
      <c r="L23" s="5" t="str">
        <f t="shared" si="0"/>
        <v>00022</v>
      </c>
      <c r="M23" s="47" t="str">
        <f t="shared" si="1"/>
        <v>25 de enero de 2017</v>
      </c>
      <c r="N23" s="323">
        <f t="shared" si="5"/>
        <v>25</v>
      </c>
      <c r="O23" s="25">
        <f t="shared" si="2"/>
        <v>42736</v>
      </c>
      <c r="P23" s="5" t="str">
        <f t="shared" si="3"/>
        <v>0,02</v>
      </c>
      <c r="Q23" s="4" t="str">
        <f t="shared" si="4"/>
        <v>Cero Bolívares con 02/100</v>
      </c>
    </row>
    <row r="24" spans="1:17" x14ac:dyDescent="0.25">
      <c r="A24" s="1">
        <f t="shared" si="6"/>
        <v>23</v>
      </c>
      <c r="C24" s="8" t="s">
        <v>17</v>
      </c>
      <c r="D24" s="2">
        <v>42760</v>
      </c>
      <c r="E24" s="3">
        <f>6500/100000</f>
        <v>6.5000000000000002E-2</v>
      </c>
      <c r="F24" t="s">
        <v>32</v>
      </c>
      <c r="G24" t="s">
        <v>33</v>
      </c>
      <c r="H24" t="s">
        <v>34</v>
      </c>
      <c r="I24" s="6" t="s">
        <v>98</v>
      </c>
      <c r="J24" s="61" t="s">
        <v>22</v>
      </c>
      <c r="K24" s="11" t="s">
        <v>99</v>
      </c>
      <c r="L24" s="5" t="str">
        <f t="shared" si="0"/>
        <v>00023</v>
      </c>
      <c r="M24" s="47" t="str">
        <f t="shared" si="1"/>
        <v>25 de enero de 2017</v>
      </c>
      <c r="N24" s="323">
        <f t="shared" si="5"/>
        <v>25</v>
      </c>
      <c r="O24" s="25">
        <f t="shared" si="2"/>
        <v>42736</v>
      </c>
      <c r="P24" s="5" t="str">
        <f t="shared" si="3"/>
        <v>0,07</v>
      </c>
      <c r="Q24" s="4" t="str">
        <f t="shared" si="4"/>
        <v>Cero Bolívares con 06/100</v>
      </c>
    </row>
    <row r="25" spans="1:17" x14ac:dyDescent="0.25">
      <c r="A25" s="1">
        <f t="shared" si="6"/>
        <v>24</v>
      </c>
      <c r="C25" s="8" t="s">
        <v>17</v>
      </c>
      <c r="D25" s="2">
        <v>42760</v>
      </c>
      <c r="E25" s="3">
        <f>17000/100000</f>
        <v>0.17</v>
      </c>
      <c r="F25" t="s">
        <v>100</v>
      </c>
      <c r="G25" t="s">
        <v>95</v>
      </c>
      <c r="H25" t="s">
        <v>101</v>
      </c>
      <c r="I25" s="6" t="s">
        <v>60</v>
      </c>
      <c r="J25" s="61" t="s">
        <v>22</v>
      </c>
      <c r="K25" s="11" t="s">
        <v>102</v>
      </c>
      <c r="L25" s="5" t="str">
        <f t="shared" si="0"/>
        <v>00024</v>
      </c>
      <c r="M25" s="47" t="str">
        <f t="shared" si="1"/>
        <v>25 de enero de 2017</v>
      </c>
      <c r="N25" s="323">
        <f t="shared" si="5"/>
        <v>25</v>
      </c>
      <c r="O25" s="25">
        <f t="shared" si="2"/>
        <v>42736</v>
      </c>
      <c r="P25" s="5" t="str">
        <f t="shared" si="3"/>
        <v>0,17</v>
      </c>
      <c r="Q25" s="4" t="str">
        <f t="shared" si="4"/>
        <v>Cero Bolívares con 17/100</v>
      </c>
    </row>
    <row r="26" spans="1:17" x14ac:dyDescent="0.25">
      <c r="A26" s="1">
        <f t="shared" si="6"/>
        <v>25</v>
      </c>
      <c r="C26" s="8" t="s">
        <v>17</v>
      </c>
      <c r="D26" s="2">
        <v>42761</v>
      </c>
      <c r="E26" s="3">
        <f>17000/100000</f>
        <v>0.17</v>
      </c>
      <c r="F26" t="s">
        <v>103</v>
      </c>
      <c r="G26" t="s">
        <v>104</v>
      </c>
      <c r="H26" t="s">
        <v>105</v>
      </c>
      <c r="I26" s="6" t="s">
        <v>60</v>
      </c>
      <c r="J26" s="61" t="s">
        <v>22</v>
      </c>
      <c r="K26" s="11" t="s">
        <v>106</v>
      </c>
      <c r="L26" s="5" t="str">
        <f t="shared" si="0"/>
        <v>00025</v>
      </c>
      <c r="M26" s="47" t="str">
        <f t="shared" si="1"/>
        <v>26 de enero de 2017</v>
      </c>
      <c r="N26" s="323">
        <f t="shared" si="5"/>
        <v>26</v>
      </c>
      <c r="O26" s="25">
        <f t="shared" si="2"/>
        <v>42736</v>
      </c>
      <c r="P26" s="5" t="str">
        <f t="shared" si="3"/>
        <v>0,17</v>
      </c>
      <c r="Q26" s="4" t="str">
        <f t="shared" si="4"/>
        <v>Cero Bolívares con 17/100</v>
      </c>
    </row>
    <row r="27" spans="1:17" x14ac:dyDescent="0.25">
      <c r="A27" s="1">
        <f t="shared" si="6"/>
        <v>26</v>
      </c>
      <c r="C27" s="8" t="s">
        <v>17</v>
      </c>
      <c r="D27" s="2">
        <v>42762</v>
      </c>
      <c r="E27" s="3">
        <f>17000/100000</f>
        <v>0.17</v>
      </c>
      <c r="F27" t="s">
        <v>107</v>
      </c>
      <c r="G27" t="s">
        <v>108</v>
      </c>
      <c r="H27" t="s">
        <v>109</v>
      </c>
      <c r="I27" s="6" t="s">
        <v>60</v>
      </c>
      <c r="J27" s="61" t="s">
        <v>22</v>
      </c>
      <c r="K27" s="11" t="s">
        <v>110</v>
      </c>
      <c r="L27" s="5" t="str">
        <f t="shared" si="0"/>
        <v>00026</v>
      </c>
      <c r="M27" s="47" t="str">
        <f t="shared" si="1"/>
        <v>27 de enero de 2017</v>
      </c>
      <c r="N27" s="323">
        <f t="shared" si="5"/>
        <v>27</v>
      </c>
      <c r="O27" s="25">
        <f t="shared" si="2"/>
        <v>42736</v>
      </c>
      <c r="P27" s="5" t="str">
        <f t="shared" si="3"/>
        <v>0,17</v>
      </c>
      <c r="Q27" s="4" t="str">
        <f t="shared" si="4"/>
        <v>Cero Bolívares con 17/100</v>
      </c>
    </row>
    <row r="28" spans="1:17" x14ac:dyDescent="0.25">
      <c r="A28" s="1">
        <f t="shared" si="6"/>
        <v>27</v>
      </c>
      <c r="C28" s="8" t="s">
        <v>17</v>
      </c>
      <c r="D28" s="2">
        <v>42765</v>
      </c>
      <c r="E28" s="3">
        <f>6500/100000</f>
        <v>6.5000000000000002E-2</v>
      </c>
      <c r="F28" t="s">
        <v>36</v>
      </c>
      <c r="G28" t="s">
        <v>37</v>
      </c>
      <c r="H28" t="s">
        <v>38</v>
      </c>
      <c r="I28" s="6" t="s">
        <v>77</v>
      </c>
      <c r="J28" s="61" t="s">
        <v>22</v>
      </c>
      <c r="K28" s="11" t="s">
        <v>111</v>
      </c>
      <c r="L28" s="5" t="str">
        <f t="shared" si="0"/>
        <v>00027</v>
      </c>
      <c r="M28" s="47" t="str">
        <f t="shared" si="1"/>
        <v>30 de enero de 2017</v>
      </c>
      <c r="N28" s="323">
        <f t="shared" si="5"/>
        <v>30</v>
      </c>
      <c r="O28" s="25">
        <f t="shared" si="2"/>
        <v>42736</v>
      </c>
      <c r="P28" s="5" t="str">
        <f t="shared" si="3"/>
        <v>0,07</v>
      </c>
      <c r="Q28" s="4" t="str">
        <f t="shared" si="4"/>
        <v>Cero Bolívares con 06/100</v>
      </c>
    </row>
    <row r="29" spans="1:17" x14ac:dyDescent="0.25">
      <c r="A29" s="1">
        <f t="shared" si="6"/>
        <v>28</v>
      </c>
      <c r="C29" s="8" t="s">
        <v>17</v>
      </c>
      <c r="D29" s="2">
        <v>42765</v>
      </c>
      <c r="E29" s="3">
        <f>7488/100000</f>
        <v>7.4880000000000002E-2</v>
      </c>
      <c r="F29" t="s">
        <v>36</v>
      </c>
      <c r="G29" t="s">
        <v>37</v>
      </c>
      <c r="H29" t="s">
        <v>38</v>
      </c>
      <c r="I29" s="6" t="s">
        <v>112</v>
      </c>
      <c r="J29" s="61" t="s">
        <v>22</v>
      </c>
      <c r="K29" s="11" t="s">
        <v>113</v>
      </c>
      <c r="L29" s="5" t="str">
        <f t="shared" si="0"/>
        <v>00028</v>
      </c>
      <c r="M29" s="47" t="str">
        <f t="shared" si="1"/>
        <v>30 de enero de 2017</v>
      </c>
      <c r="N29" s="323">
        <f t="shared" si="5"/>
        <v>30</v>
      </c>
      <c r="O29" s="25">
        <f t="shared" si="2"/>
        <v>42736</v>
      </c>
      <c r="P29" s="5" t="str">
        <f t="shared" si="3"/>
        <v>0,07</v>
      </c>
      <c r="Q29" s="4" t="str">
        <f t="shared" si="4"/>
        <v>Cero Bolívares con 07/100</v>
      </c>
    </row>
    <row r="30" spans="1:17" x14ac:dyDescent="0.25">
      <c r="A30" s="1">
        <f t="shared" si="6"/>
        <v>29</v>
      </c>
      <c r="C30" s="8" t="s">
        <v>17</v>
      </c>
      <c r="D30" s="2">
        <v>42766</v>
      </c>
      <c r="E30" s="3">
        <f>17000/100000</f>
        <v>0.17</v>
      </c>
      <c r="F30" t="s">
        <v>114</v>
      </c>
      <c r="G30" t="s">
        <v>115</v>
      </c>
      <c r="H30" t="s">
        <v>116</v>
      </c>
      <c r="I30" s="6" t="s">
        <v>60</v>
      </c>
      <c r="J30" s="61" t="s">
        <v>22</v>
      </c>
      <c r="K30" s="11" t="s">
        <v>117</v>
      </c>
      <c r="L30" s="5" t="str">
        <f t="shared" si="0"/>
        <v>00029</v>
      </c>
      <c r="M30" s="47" t="str">
        <f t="shared" si="1"/>
        <v>31 de enero de 2017</v>
      </c>
      <c r="N30" s="323">
        <f t="shared" si="5"/>
        <v>31</v>
      </c>
      <c r="O30" s="25">
        <f t="shared" si="2"/>
        <v>42736</v>
      </c>
      <c r="P30" s="5" t="str">
        <f t="shared" si="3"/>
        <v>0,17</v>
      </c>
      <c r="Q30" s="4" t="str">
        <f t="shared" si="4"/>
        <v>Cero Bolívares con 17/100</v>
      </c>
    </row>
    <row r="31" spans="1:17" x14ac:dyDescent="0.25">
      <c r="A31" s="1">
        <f t="shared" si="6"/>
        <v>30</v>
      </c>
      <c r="C31" s="8" t="s">
        <v>17</v>
      </c>
      <c r="D31" s="2">
        <v>42766</v>
      </c>
      <c r="E31" s="3">
        <f>7960/100000</f>
        <v>7.9600000000000004E-2</v>
      </c>
      <c r="F31" t="s">
        <v>118</v>
      </c>
      <c r="G31" t="s">
        <v>119</v>
      </c>
      <c r="H31" t="s">
        <v>120</v>
      </c>
      <c r="I31" s="6" t="s">
        <v>51</v>
      </c>
      <c r="J31" s="61" t="s">
        <v>22</v>
      </c>
      <c r="K31" s="11" t="s">
        <v>121</v>
      </c>
      <c r="L31" s="5" t="str">
        <f t="shared" si="0"/>
        <v>00030</v>
      </c>
      <c r="M31" s="47" t="str">
        <f t="shared" si="1"/>
        <v>31 de enero de 2017</v>
      </c>
      <c r="N31" s="323">
        <f t="shared" si="5"/>
        <v>31</v>
      </c>
      <c r="O31" s="25">
        <f t="shared" si="2"/>
        <v>42736</v>
      </c>
      <c r="P31" s="5" t="str">
        <f t="shared" si="3"/>
        <v>0,08</v>
      </c>
      <c r="Q31" s="4" t="str">
        <f t="shared" si="4"/>
        <v>Cero Bolívares con 08/100</v>
      </c>
    </row>
    <row r="32" spans="1:17" x14ac:dyDescent="0.25">
      <c r="A32" s="1">
        <f t="shared" si="6"/>
        <v>31</v>
      </c>
      <c r="C32" s="8" t="s">
        <v>17</v>
      </c>
      <c r="D32" s="2">
        <v>42767</v>
      </c>
      <c r="E32" s="3">
        <f>17000/100000</f>
        <v>0.17</v>
      </c>
      <c r="F32" t="s">
        <v>122</v>
      </c>
      <c r="G32" t="s">
        <v>123</v>
      </c>
      <c r="H32" t="s">
        <v>124</v>
      </c>
      <c r="I32" s="6" t="s">
        <v>60</v>
      </c>
      <c r="J32" s="61" t="s">
        <v>22</v>
      </c>
      <c r="K32" s="11" t="s">
        <v>125</v>
      </c>
      <c r="L32" s="5" t="str">
        <f t="shared" si="0"/>
        <v>00031</v>
      </c>
      <c r="M32" s="47" t="str">
        <f t="shared" si="1"/>
        <v>01 de febrero de 2017</v>
      </c>
      <c r="N32" s="323">
        <f t="shared" si="5"/>
        <v>1</v>
      </c>
      <c r="O32" s="25">
        <f t="shared" si="2"/>
        <v>42767</v>
      </c>
      <c r="P32" s="5" t="str">
        <f t="shared" si="3"/>
        <v>0,17</v>
      </c>
      <c r="Q32" s="4" t="str">
        <f t="shared" si="4"/>
        <v>Cero Bolívares con 17/100</v>
      </c>
    </row>
    <row r="33" spans="1:17" x14ac:dyDescent="0.25">
      <c r="A33" s="1">
        <f t="shared" si="6"/>
        <v>32</v>
      </c>
      <c r="C33" s="8" t="s">
        <v>17</v>
      </c>
      <c r="D33" s="2">
        <v>42767</v>
      </c>
      <c r="E33" s="3">
        <f>17000/100000</f>
        <v>0.17</v>
      </c>
      <c r="F33" t="s">
        <v>126</v>
      </c>
      <c r="G33" t="s">
        <v>127</v>
      </c>
      <c r="H33" t="s">
        <v>128</v>
      </c>
      <c r="I33" s="6" t="s">
        <v>60</v>
      </c>
      <c r="J33" s="61" t="s">
        <v>22</v>
      </c>
      <c r="K33" s="11" t="s">
        <v>129</v>
      </c>
      <c r="L33" s="5" t="str">
        <f t="shared" si="0"/>
        <v>00032</v>
      </c>
      <c r="M33" s="47" t="str">
        <f t="shared" si="1"/>
        <v>01 de febrero de 2017</v>
      </c>
      <c r="N33" s="323">
        <f t="shared" si="5"/>
        <v>1</v>
      </c>
      <c r="O33" s="25">
        <f t="shared" si="2"/>
        <v>42767</v>
      </c>
      <c r="P33" s="5" t="str">
        <f t="shared" si="3"/>
        <v>0,17</v>
      </c>
      <c r="Q33" s="4" t="str">
        <f t="shared" si="4"/>
        <v>Cero Bolívares con 17/100</v>
      </c>
    </row>
    <row r="34" spans="1:17" x14ac:dyDescent="0.25">
      <c r="A34" s="1">
        <f t="shared" si="6"/>
        <v>33</v>
      </c>
      <c r="C34" s="8" t="s">
        <v>17</v>
      </c>
      <c r="D34" s="2">
        <v>42767</v>
      </c>
      <c r="E34" s="3">
        <f>10500/100000</f>
        <v>0.105</v>
      </c>
      <c r="F34" t="s">
        <v>130</v>
      </c>
      <c r="G34" t="s">
        <v>131</v>
      </c>
      <c r="H34" t="s">
        <v>132</v>
      </c>
      <c r="I34" s="6" t="s">
        <v>51</v>
      </c>
      <c r="J34" s="61" t="s">
        <v>22</v>
      </c>
      <c r="K34" s="11" t="s">
        <v>133</v>
      </c>
      <c r="L34" s="5" t="str">
        <f t="shared" si="0"/>
        <v>00033</v>
      </c>
      <c r="M34" s="47" t="str">
        <f t="shared" si="1"/>
        <v>01 de febrero de 2017</v>
      </c>
      <c r="N34" s="323">
        <f t="shared" si="5"/>
        <v>1</v>
      </c>
      <c r="O34" s="25">
        <f t="shared" si="2"/>
        <v>42767</v>
      </c>
      <c r="P34" s="5" t="str">
        <f t="shared" si="3"/>
        <v>0,11</v>
      </c>
      <c r="Q34" s="4" t="str">
        <f t="shared" si="4"/>
        <v>Cero Bolívares con 10/100</v>
      </c>
    </row>
    <row r="35" spans="1:17" x14ac:dyDescent="0.25">
      <c r="A35" s="1">
        <f t="shared" si="6"/>
        <v>34</v>
      </c>
      <c r="C35" s="8" t="s">
        <v>17</v>
      </c>
      <c r="D35" s="2">
        <v>42768</v>
      </c>
      <c r="E35" s="3">
        <f>17000/100000</f>
        <v>0.17</v>
      </c>
      <c r="F35" t="s">
        <v>134</v>
      </c>
      <c r="G35" t="s">
        <v>135</v>
      </c>
      <c r="H35" t="s">
        <v>136</v>
      </c>
      <c r="I35" s="6" t="s">
        <v>60</v>
      </c>
      <c r="J35" s="61" t="s">
        <v>22</v>
      </c>
      <c r="K35" s="11" t="s">
        <v>137</v>
      </c>
      <c r="L35" s="5" t="str">
        <f t="shared" si="0"/>
        <v>00034</v>
      </c>
      <c r="M35" s="47" t="str">
        <f t="shared" si="1"/>
        <v>02 de febrero de 2017</v>
      </c>
      <c r="N35" s="323">
        <f t="shared" si="5"/>
        <v>2</v>
      </c>
      <c r="O35" s="25">
        <f t="shared" si="2"/>
        <v>42767</v>
      </c>
      <c r="P35" s="5" t="str">
        <f t="shared" si="3"/>
        <v>0,17</v>
      </c>
      <c r="Q35" s="4" t="str">
        <f t="shared" si="4"/>
        <v>Cero Bolívares con 17/100</v>
      </c>
    </row>
    <row r="36" spans="1:17" x14ac:dyDescent="0.25">
      <c r="A36" s="1">
        <f t="shared" si="6"/>
        <v>35</v>
      </c>
      <c r="C36" s="8" t="s">
        <v>17</v>
      </c>
      <c r="D36" s="2">
        <v>42768</v>
      </c>
      <c r="E36" s="3">
        <f>17000/100000</f>
        <v>0.17</v>
      </c>
      <c r="F36" t="s">
        <v>138</v>
      </c>
      <c r="G36" t="s">
        <v>139</v>
      </c>
      <c r="H36" t="s">
        <v>140</v>
      </c>
      <c r="I36" s="6" t="s">
        <v>60</v>
      </c>
      <c r="J36" s="61" t="s">
        <v>22</v>
      </c>
      <c r="K36" s="11" t="s">
        <v>141</v>
      </c>
      <c r="L36" s="5" t="str">
        <f t="shared" si="0"/>
        <v>00035</v>
      </c>
      <c r="M36" s="47" t="str">
        <f t="shared" si="1"/>
        <v>02 de febrero de 2017</v>
      </c>
      <c r="N36" s="323">
        <f t="shared" si="5"/>
        <v>2</v>
      </c>
      <c r="O36" s="25">
        <f t="shared" si="2"/>
        <v>42767</v>
      </c>
      <c r="P36" s="5" t="str">
        <f t="shared" si="3"/>
        <v>0,17</v>
      </c>
      <c r="Q36" s="4" t="str">
        <f t="shared" si="4"/>
        <v>Cero Bolívares con 17/100</v>
      </c>
    </row>
    <row r="37" spans="1:17" x14ac:dyDescent="0.25">
      <c r="A37" s="1">
        <f t="shared" si="6"/>
        <v>36</v>
      </c>
      <c r="C37" s="8" t="s">
        <v>17</v>
      </c>
      <c r="D37" s="2">
        <v>42768</v>
      </c>
      <c r="E37" s="3">
        <f>17000/100000</f>
        <v>0.17</v>
      </c>
      <c r="F37" t="s">
        <v>44</v>
      </c>
      <c r="G37" t="s">
        <v>45</v>
      </c>
      <c r="H37" t="s">
        <v>46</v>
      </c>
      <c r="I37" s="6" t="s">
        <v>142</v>
      </c>
      <c r="J37" s="61" t="s">
        <v>22</v>
      </c>
      <c r="K37" s="11" t="s">
        <v>143</v>
      </c>
      <c r="L37" s="5" t="str">
        <f t="shared" si="0"/>
        <v>00036</v>
      </c>
      <c r="M37" s="47" t="str">
        <f t="shared" si="1"/>
        <v>02 de febrero de 2017</v>
      </c>
      <c r="N37" s="323">
        <f t="shared" si="5"/>
        <v>2</v>
      </c>
      <c r="O37" s="25">
        <f t="shared" si="2"/>
        <v>42767</v>
      </c>
      <c r="P37" s="5" t="str">
        <f t="shared" si="3"/>
        <v>0,17</v>
      </c>
      <c r="Q37" s="4" t="str">
        <f t="shared" si="4"/>
        <v>Cero Bolívares con 17/100</v>
      </c>
    </row>
    <row r="38" spans="1:17" x14ac:dyDescent="0.25">
      <c r="A38" s="1">
        <f t="shared" si="6"/>
        <v>37</v>
      </c>
      <c r="C38" s="8" t="s">
        <v>17</v>
      </c>
      <c r="D38" s="2">
        <v>42768</v>
      </c>
      <c r="E38" s="3">
        <f>3000/100000</f>
        <v>0.03</v>
      </c>
      <c r="F38" t="s">
        <v>144</v>
      </c>
      <c r="G38" t="s">
        <v>145</v>
      </c>
      <c r="H38" t="s">
        <v>146</v>
      </c>
      <c r="I38" s="6" t="s">
        <v>51</v>
      </c>
      <c r="J38" s="61" t="s">
        <v>22</v>
      </c>
      <c r="K38" s="11" t="s">
        <v>147</v>
      </c>
      <c r="L38" s="5" t="str">
        <f t="shared" si="0"/>
        <v>00037</v>
      </c>
      <c r="M38" s="47" t="str">
        <f t="shared" si="1"/>
        <v>02 de febrero de 2017</v>
      </c>
      <c r="N38" s="323">
        <f t="shared" si="5"/>
        <v>2</v>
      </c>
      <c r="O38" s="25">
        <f t="shared" si="2"/>
        <v>42767</v>
      </c>
      <c r="P38" s="5" t="str">
        <f t="shared" si="3"/>
        <v>0,03</v>
      </c>
      <c r="Q38" s="4" t="str">
        <f t="shared" si="4"/>
        <v>Cero Bolívares con 03/100</v>
      </c>
    </row>
    <row r="39" spans="1:17" x14ac:dyDescent="0.25">
      <c r="A39" s="1">
        <f t="shared" si="6"/>
        <v>38</v>
      </c>
      <c r="C39" s="8" t="s">
        <v>17</v>
      </c>
      <c r="D39" s="2">
        <v>42769</v>
      </c>
      <c r="E39" s="3">
        <f>17000/100000</f>
        <v>0.17</v>
      </c>
      <c r="F39" t="s">
        <v>148</v>
      </c>
      <c r="G39" t="s">
        <v>149</v>
      </c>
      <c r="H39" t="s">
        <v>150</v>
      </c>
      <c r="I39" s="6" t="s">
        <v>60</v>
      </c>
      <c r="J39" s="61" t="s">
        <v>22</v>
      </c>
      <c r="K39" s="11" t="s">
        <v>151</v>
      </c>
      <c r="L39" s="5" t="str">
        <f t="shared" si="0"/>
        <v>00038</v>
      </c>
      <c r="M39" s="47" t="str">
        <f t="shared" si="1"/>
        <v>03 de febrero de 2017</v>
      </c>
      <c r="N39" s="323">
        <f t="shared" si="5"/>
        <v>3</v>
      </c>
      <c r="O39" s="25">
        <f t="shared" si="2"/>
        <v>42767</v>
      </c>
      <c r="P39" s="5" t="str">
        <f t="shared" si="3"/>
        <v>0,17</v>
      </c>
      <c r="Q39" s="4" t="str">
        <f t="shared" si="4"/>
        <v>Cero Bolívares con 17/100</v>
      </c>
    </row>
    <row r="40" spans="1:17" x14ac:dyDescent="0.25">
      <c r="A40" s="1">
        <f t="shared" si="6"/>
        <v>39</v>
      </c>
      <c r="C40" s="8" t="s">
        <v>17</v>
      </c>
      <c r="D40" s="2">
        <v>42769</v>
      </c>
      <c r="E40" s="3">
        <f>17000/100000</f>
        <v>0.17</v>
      </c>
      <c r="F40" t="s">
        <v>152</v>
      </c>
      <c r="G40" t="s">
        <v>153</v>
      </c>
      <c r="H40" t="s">
        <v>154</v>
      </c>
      <c r="I40" s="6" t="s">
        <v>60</v>
      </c>
      <c r="J40" s="61" t="s">
        <v>22</v>
      </c>
      <c r="K40" s="11" t="s">
        <v>155</v>
      </c>
      <c r="L40" s="5" t="str">
        <f t="shared" si="0"/>
        <v>00039</v>
      </c>
      <c r="M40" s="47" t="str">
        <f t="shared" si="1"/>
        <v>03 de febrero de 2017</v>
      </c>
      <c r="N40" s="323">
        <f t="shared" si="5"/>
        <v>3</v>
      </c>
      <c r="O40" s="25">
        <f t="shared" si="2"/>
        <v>42767</v>
      </c>
      <c r="P40" s="5" t="str">
        <f t="shared" si="3"/>
        <v>0,17</v>
      </c>
      <c r="Q40" s="4" t="str">
        <f t="shared" si="4"/>
        <v>Cero Bolívares con 17/100</v>
      </c>
    </row>
    <row r="41" spans="1:17" x14ac:dyDescent="0.25">
      <c r="A41" s="1">
        <f t="shared" si="6"/>
        <v>40</v>
      </c>
      <c r="C41" s="8" t="s">
        <v>17</v>
      </c>
      <c r="D41" s="2">
        <v>42770</v>
      </c>
      <c r="E41" s="3">
        <f>17000/100000-7488/100000</f>
        <v>9.512000000000001E-2</v>
      </c>
      <c r="F41" t="s">
        <v>36</v>
      </c>
      <c r="G41" t="s">
        <v>37</v>
      </c>
      <c r="H41" t="s">
        <v>38</v>
      </c>
      <c r="I41" s="6" t="s">
        <v>156</v>
      </c>
      <c r="J41" s="61" t="s">
        <v>22</v>
      </c>
      <c r="K41" s="11" t="s">
        <v>157</v>
      </c>
      <c r="L41" s="5" t="str">
        <f t="shared" si="0"/>
        <v>00040</v>
      </c>
      <c r="M41" s="47" t="str">
        <f t="shared" si="1"/>
        <v>04 de febrero de 2017</v>
      </c>
      <c r="N41" s="323">
        <f t="shared" si="5"/>
        <v>4</v>
      </c>
      <c r="O41" s="25">
        <f t="shared" si="2"/>
        <v>42767</v>
      </c>
      <c r="P41" s="5" t="str">
        <f t="shared" si="3"/>
        <v>0,10</v>
      </c>
      <c r="Q41" s="4" t="str">
        <f t="shared" si="4"/>
        <v>Cero Bolívares con 10/100</v>
      </c>
    </row>
    <row r="42" spans="1:17" x14ac:dyDescent="0.25">
      <c r="A42" s="1">
        <f t="shared" si="6"/>
        <v>41</v>
      </c>
      <c r="C42" s="8" t="s">
        <v>17</v>
      </c>
      <c r="D42" s="2">
        <v>42771</v>
      </c>
      <c r="E42" s="3">
        <f>5000/100000</f>
        <v>0.05</v>
      </c>
      <c r="F42" t="s">
        <v>48</v>
      </c>
      <c r="G42" t="s">
        <v>49</v>
      </c>
      <c r="H42" t="s">
        <v>50</v>
      </c>
      <c r="I42" s="6" t="s">
        <v>158</v>
      </c>
      <c r="J42" s="61" t="s">
        <v>22</v>
      </c>
      <c r="K42" s="11" t="s">
        <v>159</v>
      </c>
      <c r="L42" s="5" t="str">
        <f t="shared" si="0"/>
        <v>00041</v>
      </c>
      <c r="M42" s="47" t="str">
        <f t="shared" si="1"/>
        <v>05 de febrero de 2017</v>
      </c>
      <c r="N42" s="323">
        <f t="shared" si="5"/>
        <v>5</v>
      </c>
      <c r="O42" s="25">
        <f t="shared" si="2"/>
        <v>42767</v>
      </c>
      <c r="P42" s="5" t="str">
        <f t="shared" si="3"/>
        <v>0,05</v>
      </c>
      <c r="Q42" s="4" t="str">
        <f t="shared" si="4"/>
        <v>Cero Bolívares con 05/100</v>
      </c>
    </row>
    <row r="43" spans="1:17" x14ac:dyDescent="0.25">
      <c r="A43" s="1">
        <f t="shared" si="6"/>
        <v>42</v>
      </c>
      <c r="C43" s="8" t="s">
        <v>17</v>
      </c>
      <c r="D43" s="2">
        <v>42771</v>
      </c>
      <c r="E43" s="3">
        <f>4000/100000</f>
        <v>0.04</v>
      </c>
      <c r="F43" t="s">
        <v>84</v>
      </c>
      <c r="G43" t="s">
        <v>85</v>
      </c>
      <c r="H43" t="s">
        <v>86</v>
      </c>
      <c r="I43" s="6" t="s">
        <v>51</v>
      </c>
      <c r="J43" s="61" t="s">
        <v>22</v>
      </c>
      <c r="K43" s="11" t="s">
        <v>160</v>
      </c>
      <c r="L43" s="5" t="str">
        <f t="shared" si="0"/>
        <v>00042</v>
      </c>
      <c r="M43" s="47" t="str">
        <f t="shared" si="1"/>
        <v>05 de febrero de 2017</v>
      </c>
      <c r="N43" s="323">
        <f t="shared" si="5"/>
        <v>5</v>
      </c>
      <c r="O43" s="25">
        <f t="shared" si="2"/>
        <v>42767</v>
      </c>
      <c r="P43" s="5" t="str">
        <f t="shared" si="3"/>
        <v>0,04</v>
      </c>
      <c r="Q43" s="4" t="str">
        <f t="shared" si="4"/>
        <v>Cero Bolívares con 04/100</v>
      </c>
    </row>
    <row r="44" spans="1:17" x14ac:dyDescent="0.25">
      <c r="A44" s="1">
        <f t="shared" si="6"/>
        <v>43</v>
      </c>
      <c r="C44" s="8" t="s">
        <v>17</v>
      </c>
      <c r="D44" s="2">
        <v>42773</v>
      </c>
      <c r="E44" s="3">
        <f>17000/100000</f>
        <v>0.17</v>
      </c>
      <c r="F44" t="s">
        <v>24</v>
      </c>
      <c r="G44" t="s">
        <v>25</v>
      </c>
      <c r="H44" t="s">
        <v>26</v>
      </c>
      <c r="I44" s="6" t="s">
        <v>142</v>
      </c>
      <c r="J44" s="61" t="s">
        <v>22</v>
      </c>
      <c r="K44" s="11" t="s">
        <v>161</v>
      </c>
      <c r="L44" s="5" t="str">
        <f t="shared" si="0"/>
        <v>00043</v>
      </c>
      <c r="M44" s="47" t="str">
        <f t="shared" si="1"/>
        <v>07 de febrero de 2017</v>
      </c>
      <c r="N44" s="323">
        <f t="shared" si="5"/>
        <v>7</v>
      </c>
      <c r="O44" s="25">
        <f t="shared" si="2"/>
        <v>42767</v>
      </c>
      <c r="P44" s="5" t="str">
        <f t="shared" si="3"/>
        <v>0,17</v>
      </c>
      <c r="Q44" s="4" t="str">
        <f t="shared" si="4"/>
        <v>Cero Bolívares con 17/100</v>
      </c>
    </row>
    <row r="45" spans="1:17" x14ac:dyDescent="0.25">
      <c r="A45" s="1">
        <f t="shared" si="6"/>
        <v>44</v>
      </c>
      <c r="C45" s="8" t="s">
        <v>17</v>
      </c>
      <c r="D45" s="2">
        <v>42774</v>
      </c>
      <c r="E45" s="3">
        <f>17000/100000</f>
        <v>0.17</v>
      </c>
      <c r="F45" t="s">
        <v>162</v>
      </c>
      <c r="G45" t="s">
        <v>163</v>
      </c>
      <c r="H45" t="s">
        <v>164</v>
      </c>
      <c r="I45" s="6" t="s">
        <v>60</v>
      </c>
      <c r="J45" s="61" t="s">
        <v>22</v>
      </c>
      <c r="K45" s="11" t="s">
        <v>165</v>
      </c>
      <c r="L45" s="5" t="str">
        <f t="shared" si="0"/>
        <v>00044</v>
      </c>
      <c r="M45" s="47" t="str">
        <f t="shared" si="1"/>
        <v>08 de febrero de 2017</v>
      </c>
      <c r="N45" s="323">
        <f t="shared" si="5"/>
        <v>8</v>
      </c>
      <c r="O45" s="25">
        <f t="shared" si="2"/>
        <v>42767</v>
      </c>
      <c r="P45" s="5" t="str">
        <f t="shared" si="3"/>
        <v>0,17</v>
      </c>
      <c r="Q45" s="4" t="str">
        <f t="shared" si="4"/>
        <v>Cero Bolívares con 17/100</v>
      </c>
    </row>
    <row r="46" spans="1:17" x14ac:dyDescent="0.25">
      <c r="A46" s="1">
        <f t="shared" si="6"/>
        <v>45</v>
      </c>
      <c r="C46" s="8" t="s">
        <v>17</v>
      </c>
      <c r="D46" s="2">
        <v>42774</v>
      </c>
      <c r="E46" s="3">
        <f>12000/100000</f>
        <v>0.12</v>
      </c>
      <c r="F46" t="s">
        <v>162</v>
      </c>
      <c r="G46" t="s">
        <v>163</v>
      </c>
      <c r="H46" t="s">
        <v>164</v>
      </c>
      <c r="I46" s="6" t="s">
        <v>112</v>
      </c>
      <c r="J46" s="61" t="s">
        <v>22</v>
      </c>
      <c r="K46" s="11" t="s">
        <v>166</v>
      </c>
      <c r="L46" s="5" t="str">
        <f t="shared" si="0"/>
        <v>00045</v>
      </c>
      <c r="M46" s="47" t="str">
        <f t="shared" si="1"/>
        <v>08 de febrero de 2017</v>
      </c>
      <c r="N46" s="323">
        <f t="shared" si="5"/>
        <v>8</v>
      </c>
      <c r="O46" s="25">
        <f t="shared" si="2"/>
        <v>42767</v>
      </c>
      <c r="P46" s="5" t="str">
        <f t="shared" si="3"/>
        <v>0,12</v>
      </c>
      <c r="Q46" s="4" t="str">
        <f t="shared" si="4"/>
        <v>Cero Bolívares con 12/100</v>
      </c>
    </row>
    <row r="47" spans="1:17" x14ac:dyDescent="0.25">
      <c r="A47" s="1">
        <f t="shared" si="6"/>
        <v>46</v>
      </c>
      <c r="C47" s="8" t="s">
        <v>17</v>
      </c>
      <c r="D47" s="2">
        <v>42774</v>
      </c>
      <c r="E47" s="3">
        <f>17000/100000</f>
        <v>0.17</v>
      </c>
      <c r="F47" t="s">
        <v>167</v>
      </c>
      <c r="G47" t="s">
        <v>168</v>
      </c>
      <c r="H47" t="s">
        <v>169</v>
      </c>
      <c r="I47" s="6" t="s">
        <v>60</v>
      </c>
      <c r="J47" s="61" t="s">
        <v>22</v>
      </c>
      <c r="K47" s="11" t="s">
        <v>170</v>
      </c>
      <c r="L47" s="5" t="str">
        <f t="shared" si="0"/>
        <v>00046</v>
      </c>
      <c r="M47" s="47" t="str">
        <f t="shared" si="1"/>
        <v>08 de febrero de 2017</v>
      </c>
      <c r="N47" s="323">
        <f t="shared" si="5"/>
        <v>8</v>
      </c>
      <c r="O47" s="25">
        <f t="shared" si="2"/>
        <v>42767</v>
      </c>
      <c r="P47" s="5" t="str">
        <f t="shared" si="3"/>
        <v>0,17</v>
      </c>
      <c r="Q47" s="4" t="str">
        <f t="shared" si="4"/>
        <v>Cero Bolívares con 17/100</v>
      </c>
    </row>
    <row r="48" spans="1:17" x14ac:dyDescent="0.25">
      <c r="A48" s="1">
        <f t="shared" si="6"/>
        <v>47</v>
      </c>
      <c r="C48" s="8" t="s">
        <v>17</v>
      </c>
      <c r="D48" s="2">
        <v>42774</v>
      </c>
      <c r="E48" s="3">
        <f>2000/100000</f>
        <v>0.02</v>
      </c>
      <c r="F48" t="s">
        <v>171</v>
      </c>
      <c r="G48" s="18" t="s">
        <v>58</v>
      </c>
      <c r="H48" t="s">
        <v>172</v>
      </c>
      <c r="I48" s="6" t="s">
        <v>51</v>
      </c>
      <c r="J48" s="61" t="s">
        <v>22</v>
      </c>
      <c r="K48" s="11" t="s">
        <v>173</v>
      </c>
      <c r="L48" s="5" t="str">
        <f t="shared" si="0"/>
        <v>00047</v>
      </c>
      <c r="M48" s="47" t="str">
        <f t="shared" si="1"/>
        <v>08 de febrero de 2017</v>
      </c>
      <c r="N48" s="323">
        <f t="shared" si="5"/>
        <v>8</v>
      </c>
      <c r="O48" s="25">
        <f t="shared" si="2"/>
        <v>42767</v>
      </c>
      <c r="P48" s="5" t="str">
        <f t="shared" si="3"/>
        <v>0,02</v>
      </c>
      <c r="Q48" s="4" t="str">
        <f t="shared" si="4"/>
        <v>Cero Bolívares con 02/100</v>
      </c>
    </row>
    <row r="49" spans="1:17" x14ac:dyDescent="0.25">
      <c r="A49" s="1">
        <f t="shared" si="6"/>
        <v>48</v>
      </c>
      <c r="C49" s="8" t="s">
        <v>17</v>
      </c>
      <c r="D49" s="2">
        <v>42774</v>
      </c>
      <c r="E49" s="3">
        <f>3000/100000</f>
        <v>0.03</v>
      </c>
      <c r="F49" t="s">
        <v>144</v>
      </c>
      <c r="G49" t="s">
        <v>145</v>
      </c>
      <c r="H49" t="s">
        <v>146</v>
      </c>
      <c r="I49" s="6" t="s">
        <v>158</v>
      </c>
      <c r="J49" s="61" t="s">
        <v>22</v>
      </c>
      <c r="K49" s="11" t="s">
        <v>174</v>
      </c>
      <c r="L49" s="5" t="str">
        <f t="shared" si="0"/>
        <v>00048</v>
      </c>
      <c r="M49" s="47" t="str">
        <f t="shared" si="1"/>
        <v>08 de febrero de 2017</v>
      </c>
      <c r="N49" s="323">
        <f t="shared" si="5"/>
        <v>8</v>
      </c>
      <c r="O49" s="25">
        <f t="shared" si="2"/>
        <v>42767</v>
      </c>
      <c r="P49" s="5" t="str">
        <f t="shared" si="3"/>
        <v>0,03</v>
      </c>
      <c r="Q49" s="4" t="str">
        <f t="shared" si="4"/>
        <v>Cero Bolívares con 03/100</v>
      </c>
    </row>
    <row r="50" spans="1:17" x14ac:dyDescent="0.25">
      <c r="A50" s="1">
        <f t="shared" si="6"/>
        <v>49</v>
      </c>
      <c r="C50" s="8" t="s">
        <v>17</v>
      </c>
      <c r="D50" s="2">
        <v>42774</v>
      </c>
      <c r="E50" s="3">
        <f>17000/100000</f>
        <v>0.17</v>
      </c>
      <c r="F50" t="s">
        <v>90</v>
      </c>
      <c r="G50" t="s">
        <v>91</v>
      </c>
      <c r="H50" t="s">
        <v>92</v>
      </c>
      <c r="I50" s="6" t="s">
        <v>142</v>
      </c>
      <c r="J50" s="61" t="s">
        <v>22</v>
      </c>
      <c r="K50" s="11" t="s">
        <v>175</v>
      </c>
      <c r="L50" s="5" t="str">
        <f t="shared" si="0"/>
        <v>00049</v>
      </c>
      <c r="M50" s="47" t="str">
        <f t="shared" si="1"/>
        <v>08 de febrero de 2017</v>
      </c>
      <c r="N50" s="323">
        <f t="shared" si="5"/>
        <v>8</v>
      </c>
      <c r="O50" s="25">
        <f t="shared" si="2"/>
        <v>42767</v>
      </c>
      <c r="P50" s="5" t="str">
        <f t="shared" si="3"/>
        <v>0,17</v>
      </c>
      <c r="Q50" s="4" t="str">
        <f t="shared" si="4"/>
        <v>Cero Bolívares con 17/100</v>
      </c>
    </row>
    <row r="51" spans="1:17" x14ac:dyDescent="0.25">
      <c r="A51" s="1">
        <f t="shared" si="6"/>
        <v>50</v>
      </c>
      <c r="C51" s="8" t="s">
        <v>17</v>
      </c>
      <c r="D51" s="2">
        <v>42775</v>
      </c>
      <c r="E51" s="3">
        <f>4500/100000</f>
        <v>4.4999999999999998E-2</v>
      </c>
      <c r="F51" t="s">
        <v>74</v>
      </c>
      <c r="G51" s="18" t="s">
        <v>58</v>
      </c>
      <c r="H51" t="s">
        <v>75</v>
      </c>
      <c r="I51" s="6" t="s">
        <v>158</v>
      </c>
      <c r="J51" s="61" t="s">
        <v>22</v>
      </c>
      <c r="K51" s="11" t="s">
        <v>176</v>
      </c>
      <c r="L51" s="5" t="str">
        <f t="shared" si="0"/>
        <v>00050</v>
      </c>
      <c r="M51" s="47" t="str">
        <f t="shared" si="1"/>
        <v>09 de febrero de 2017</v>
      </c>
      <c r="N51" s="323">
        <f t="shared" si="5"/>
        <v>9</v>
      </c>
      <c r="O51" s="25">
        <f t="shared" si="2"/>
        <v>42767</v>
      </c>
      <c r="P51" s="5" t="str">
        <f t="shared" si="3"/>
        <v>0,05</v>
      </c>
      <c r="Q51" s="4" t="str">
        <f t="shared" si="4"/>
        <v>Cero Bolívares con 04/100</v>
      </c>
    </row>
    <row r="52" spans="1:17" x14ac:dyDescent="0.25">
      <c r="A52" s="1">
        <f t="shared" si="6"/>
        <v>51</v>
      </c>
      <c r="C52" s="8" t="s">
        <v>17</v>
      </c>
      <c r="D52" s="2">
        <v>42775</v>
      </c>
      <c r="E52" s="3">
        <f>10500/100000</f>
        <v>0.105</v>
      </c>
      <c r="F52" t="s">
        <v>177</v>
      </c>
      <c r="G52" t="s">
        <v>178</v>
      </c>
      <c r="H52" t="s">
        <v>179</v>
      </c>
      <c r="I52" s="6" t="s">
        <v>51</v>
      </c>
      <c r="J52" s="61" t="s">
        <v>22</v>
      </c>
      <c r="K52" s="11" t="s">
        <v>180</v>
      </c>
      <c r="L52" s="5" t="str">
        <f t="shared" si="0"/>
        <v>00051</v>
      </c>
      <c r="M52" s="47" t="str">
        <f t="shared" si="1"/>
        <v>09 de febrero de 2017</v>
      </c>
      <c r="N52" s="323">
        <f t="shared" si="5"/>
        <v>9</v>
      </c>
      <c r="O52" s="25">
        <f t="shared" si="2"/>
        <v>42767</v>
      </c>
      <c r="P52" s="5" t="str">
        <f t="shared" si="3"/>
        <v>0,11</v>
      </c>
      <c r="Q52" s="4" t="str">
        <f t="shared" si="4"/>
        <v>Cero Bolívares con 10/100</v>
      </c>
    </row>
    <row r="53" spans="1:17" x14ac:dyDescent="0.25">
      <c r="A53" s="1">
        <f t="shared" si="6"/>
        <v>52</v>
      </c>
      <c r="C53" s="8" t="s">
        <v>17</v>
      </c>
      <c r="D53" s="2">
        <v>42775</v>
      </c>
      <c r="E53" s="3">
        <f>10000/100000</f>
        <v>0.1</v>
      </c>
      <c r="F53" t="s">
        <v>181</v>
      </c>
      <c r="G53" t="s">
        <v>182</v>
      </c>
      <c r="H53" t="s">
        <v>183</v>
      </c>
      <c r="I53" s="6" t="s">
        <v>51</v>
      </c>
      <c r="J53" s="61" t="s">
        <v>22</v>
      </c>
      <c r="K53" s="11" t="s">
        <v>184</v>
      </c>
      <c r="L53" s="5" t="str">
        <f t="shared" si="0"/>
        <v>00052</v>
      </c>
      <c r="M53" s="47" t="str">
        <f t="shared" si="1"/>
        <v>09 de febrero de 2017</v>
      </c>
      <c r="N53" s="323">
        <f t="shared" si="5"/>
        <v>9</v>
      </c>
      <c r="O53" s="25">
        <f t="shared" si="2"/>
        <v>42767</v>
      </c>
      <c r="P53" s="5" t="str">
        <f t="shared" si="3"/>
        <v>0,10</v>
      </c>
      <c r="Q53" s="4" t="str">
        <f t="shared" si="4"/>
        <v>Cero Bolívares con 10/100</v>
      </c>
    </row>
    <row r="54" spans="1:17" x14ac:dyDescent="0.25">
      <c r="A54" s="1">
        <f t="shared" si="6"/>
        <v>53</v>
      </c>
      <c r="C54" s="8" t="s">
        <v>17</v>
      </c>
      <c r="D54" s="2">
        <v>42777</v>
      </c>
      <c r="E54" s="3">
        <f>17000/100000</f>
        <v>0.17</v>
      </c>
      <c r="F54" t="s">
        <v>185</v>
      </c>
      <c r="G54" t="s">
        <v>186</v>
      </c>
      <c r="H54" t="s">
        <v>187</v>
      </c>
      <c r="I54" s="6" t="s">
        <v>60</v>
      </c>
      <c r="J54" s="61" t="s">
        <v>22</v>
      </c>
      <c r="K54" s="11" t="s">
        <v>188</v>
      </c>
      <c r="L54" s="5" t="str">
        <f t="shared" si="0"/>
        <v>00053</v>
      </c>
      <c r="M54" s="47" t="str">
        <f t="shared" si="1"/>
        <v>11 de febrero de 2017</v>
      </c>
      <c r="N54" s="323">
        <f t="shared" si="5"/>
        <v>11</v>
      </c>
      <c r="O54" s="25">
        <f t="shared" si="2"/>
        <v>42767</v>
      </c>
      <c r="P54" s="5" t="str">
        <f t="shared" si="3"/>
        <v>0,17</v>
      </c>
      <c r="Q54" s="4" t="str">
        <f t="shared" si="4"/>
        <v>Cero Bolívares con 17/100</v>
      </c>
    </row>
    <row r="55" spans="1:17" x14ac:dyDescent="0.25">
      <c r="A55" s="1">
        <f t="shared" si="6"/>
        <v>54</v>
      </c>
      <c r="C55" s="8" t="s">
        <v>17</v>
      </c>
      <c r="D55" s="2">
        <v>42778</v>
      </c>
      <c r="E55" s="3">
        <f>17000/100000</f>
        <v>0.17</v>
      </c>
      <c r="F55" t="s">
        <v>80</v>
      </c>
      <c r="G55" t="s">
        <v>81</v>
      </c>
      <c r="H55" t="s">
        <v>82</v>
      </c>
      <c r="I55" s="6" t="s">
        <v>142</v>
      </c>
      <c r="J55" s="61" t="s">
        <v>22</v>
      </c>
      <c r="K55" s="11" t="s">
        <v>189</v>
      </c>
      <c r="L55" s="5" t="str">
        <f t="shared" si="0"/>
        <v>00054</v>
      </c>
      <c r="M55" s="47" t="str">
        <f t="shared" si="1"/>
        <v>12 de febrero de 2017</v>
      </c>
      <c r="N55" s="323">
        <f t="shared" si="5"/>
        <v>12</v>
      </c>
      <c r="O55" s="25">
        <f t="shared" si="2"/>
        <v>42767</v>
      </c>
      <c r="P55" s="5" t="str">
        <f t="shared" si="3"/>
        <v>0,17</v>
      </c>
      <c r="Q55" s="4" t="str">
        <f t="shared" si="4"/>
        <v>Cero Bolívares con 17/100</v>
      </c>
    </row>
    <row r="56" spans="1:17" x14ac:dyDescent="0.25">
      <c r="A56" s="1">
        <f t="shared" si="6"/>
        <v>55</v>
      </c>
      <c r="C56" s="8" t="s">
        <v>17</v>
      </c>
      <c r="D56" s="2">
        <v>42778</v>
      </c>
      <c r="E56" s="3">
        <f>17000/100000</f>
        <v>0.17</v>
      </c>
      <c r="F56" t="s">
        <v>66</v>
      </c>
      <c r="G56" t="s">
        <v>67</v>
      </c>
      <c r="H56" t="s">
        <v>68</v>
      </c>
      <c r="I56" s="6" t="s">
        <v>142</v>
      </c>
      <c r="J56" s="61" t="s">
        <v>22</v>
      </c>
      <c r="K56" s="11" t="s">
        <v>190</v>
      </c>
      <c r="L56" s="5" t="str">
        <f t="shared" si="0"/>
        <v>00055</v>
      </c>
      <c r="M56" s="47" t="str">
        <f t="shared" si="1"/>
        <v>12 de febrero de 2017</v>
      </c>
      <c r="N56" s="323">
        <f t="shared" si="5"/>
        <v>12</v>
      </c>
      <c r="O56" s="25">
        <f t="shared" si="2"/>
        <v>42767</v>
      </c>
      <c r="P56" s="5" t="str">
        <f t="shared" si="3"/>
        <v>0,17</v>
      </c>
      <c r="Q56" s="4" t="str">
        <f t="shared" si="4"/>
        <v>Cero Bolívares con 17/100</v>
      </c>
    </row>
    <row r="57" spans="1:17" x14ac:dyDescent="0.25">
      <c r="A57" s="1">
        <f t="shared" si="6"/>
        <v>56</v>
      </c>
      <c r="C57" s="8" t="s">
        <v>17</v>
      </c>
      <c r="D57" s="2">
        <v>42778</v>
      </c>
      <c r="E57" s="3">
        <f>2040/100000</f>
        <v>2.0400000000000001E-2</v>
      </c>
      <c r="F57" t="s">
        <v>118</v>
      </c>
      <c r="G57" t="s">
        <v>119</v>
      </c>
      <c r="H57" t="s">
        <v>120</v>
      </c>
      <c r="I57" s="6" t="s">
        <v>51</v>
      </c>
      <c r="J57" s="61" t="s">
        <v>22</v>
      </c>
      <c r="K57" s="11" t="s">
        <v>191</v>
      </c>
      <c r="L57" s="5" t="str">
        <f t="shared" si="0"/>
        <v>00056</v>
      </c>
      <c r="M57" s="47" t="str">
        <f t="shared" si="1"/>
        <v>12 de febrero de 2017</v>
      </c>
      <c r="N57" s="323">
        <f t="shared" si="5"/>
        <v>12</v>
      </c>
      <c r="O57" s="25">
        <f t="shared" si="2"/>
        <v>42767</v>
      </c>
      <c r="P57" s="5" t="str">
        <f t="shared" si="3"/>
        <v>0,02</v>
      </c>
      <c r="Q57" s="4" t="str">
        <f t="shared" si="4"/>
        <v>Cero Bolívares con 02/100</v>
      </c>
    </row>
    <row r="58" spans="1:17" x14ac:dyDescent="0.25">
      <c r="A58" s="1">
        <f t="shared" si="6"/>
        <v>57</v>
      </c>
      <c r="C58" s="8" t="s">
        <v>17</v>
      </c>
      <c r="D58" s="2">
        <v>42779</v>
      </c>
      <c r="E58" s="3">
        <f>10000/100000</f>
        <v>0.1</v>
      </c>
      <c r="F58" t="s">
        <v>84</v>
      </c>
      <c r="G58" t="s">
        <v>85</v>
      </c>
      <c r="H58" t="s">
        <v>86</v>
      </c>
      <c r="I58" s="6" t="s">
        <v>158</v>
      </c>
      <c r="J58" s="61" t="s">
        <v>22</v>
      </c>
      <c r="K58" s="11" t="s">
        <v>192</v>
      </c>
      <c r="L58" s="5" t="str">
        <f t="shared" si="0"/>
        <v>00057</v>
      </c>
      <c r="M58" s="47" t="str">
        <f t="shared" si="1"/>
        <v>13 de febrero de 2017</v>
      </c>
      <c r="N58" s="323">
        <f t="shared" si="5"/>
        <v>13</v>
      </c>
      <c r="O58" s="25">
        <f t="shared" si="2"/>
        <v>42767</v>
      </c>
      <c r="P58" s="5" t="str">
        <f t="shared" si="3"/>
        <v>0,10</v>
      </c>
      <c r="Q58" s="4" t="str">
        <f t="shared" si="4"/>
        <v>Cero Bolívares con 10/100</v>
      </c>
    </row>
    <row r="59" spans="1:17" x14ac:dyDescent="0.25">
      <c r="A59" s="1">
        <f t="shared" si="6"/>
        <v>58</v>
      </c>
      <c r="C59" s="8" t="s">
        <v>17</v>
      </c>
      <c r="D59" s="2">
        <v>42780</v>
      </c>
      <c r="E59" s="3">
        <f>17000/100000</f>
        <v>0.17</v>
      </c>
      <c r="F59" t="s">
        <v>138</v>
      </c>
      <c r="G59" t="s">
        <v>139</v>
      </c>
      <c r="H59" t="s">
        <v>140</v>
      </c>
      <c r="I59" s="6" t="s">
        <v>142</v>
      </c>
      <c r="J59" s="61" t="s">
        <v>22</v>
      </c>
      <c r="K59" s="11" t="s">
        <v>193</v>
      </c>
      <c r="L59" s="5" t="str">
        <f t="shared" si="0"/>
        <v>00058</v>
      </c>
      <c r="M59" s="47" t="str">
        <f t="shared" si="1"/>
        <v>14 de febrero de 2017</v>
      </c>
      <c r="N59" s="323">
        <f t="shared" si="5"/>
        <v>14</v>
      </c>
      <c r="O59" s="25">
        <f t="shared" si="2"/>
        <v>42767</v>
      </c>
      <c r="P59" s="5" t="str">
        <f t="shared" si="3"/>
        <v>0,17</v>
      </c>
      <c r="Q59" s="4" t="str">
        <f t="shared" si="4"/>
        <v>Cero Bolívares con 17/100</v>
      </c>
    </row>
    <row r="60" spans="1:17" x14ac:dyDescent="0.25">
      <c r="A60" s="1">
        <f t="shared" si="6"/>
        <v>59</v>
      </c>
      <c r="C60" s="8" t="s">
        <v>17</v>
      </c>
      <c r="D60" s="2">
        <v>42780</v>
      </c>
      <c r="E60" s="3">
        <f>17000/100000</f>
        <v>0.17</v>
      </c>
      <c r="F60" t="s">
        <v>103</v>
      </c>
      <c r="G60" t="s">
        <v>104</v>
      </c>
      <c r="H60" t="s">
        <v>105</v>
      </c>
      <c r="I60" s="6" t="s">
        <v>142</v>
      </c>
      <c r="J60" s="61" t="s">
        <v>22</v>
      </c>
      <c r="K60" s="11" t="s">
        <v>194</v>
      </c>
      <c r="L60" s="5" t="str">
        <f t="shared" si="0"/>
        <v>00059</v>
      </c>
      <c r="M60" s="47" t="str">
        <f t="shared" si="1"/>
        <v>14 de febrero de 2017</v>
      </c>
      <c r="N60" s="323">
        <f t="shared" si="5"/>
        <v>14</v>
      </c>
      <c r="O60" s="25">
        <f t="shared" si="2"/>
        <v>42767</v>
      </c>
      <c r="P60" s="5" t="str">
        <f t="shared" si="3"/>
        <v>0,17</v>
      </c>
      <c r="Q60" s="4" t="str">
        <f t="shared" si="4"/>
        <v>Cero Bolívares con 17/100</v>
      </c>
    </row>
    <row r="61" spans="1:17" x14ac:dyDescent="0.25">
      <c r="A61" s="1">
        <f t="shared" si="6"/>
        <v>60</v>
      </c>
      <c r="C61" s="8" t="s">
        <v>17</v>
      </c>
      <c r="D61" s="2">
        <v>42780</v>
      </c>
      <c r="E61" s="3">
        <f>34000/100000</f>
        <v>0.34</v>
      </c>
      <c r="F61" t="s">
        <v>18</v>
      </c>
      <c r="G61" t="s">
        <v>19</v>
      </c>
      <c r="H61" t="s">
        <v>20</v>
      </c>
      <c r="I61" s="6" t="s">
        <v>195</v>
      </c>
      <c r="J61" s="61" t="s">
        <v>22</v>
      </c>
      <c r="K61" s="11" t="s">
        <v>196</v>
      </c>
      <c r="L61" s="5" t="str">
        <f t="shared" si="0"/>
        <v>00060</v>
      </c>
      <c r="M61" s="47" t="str">
        <f t="shared" si="1"/>
        <v>14 de febrero de 2017</v>
      </c>
      <c r="N61" s="323">
        <f t="shared" si="5"/>
        <v>14</v>
      </c>
      <c r="O61" s="25">
        <f t="shared" si="2"/>
        <v>42767</v>
      </c>
      <c r="P61" s="5" t="str">
        <f t="shared" si="3"/>
        <v>0,34</v>
      </c>
      <c r="Q61" s="4" t="str">
        <f t="shared" si="4"/>
        <v>Cero Bolívares con 34/100</v>
      </c>
    </row>
    <row r="62" spans="1:17" x14ac:dyDescent="0.25">
      <c r="A62" s="1">
        <f t="shared" si="6"/>
        <v>61</v>
      </c>
      <c r="C62" s="8" t="s">
        <v>17</v>
      </c>
      <c r="D62" s="2">
        <v>42780</v>
      </c>
      <c r="E62" s="3">
        <f t="shared" ref="E62:E68" si="7">17000/100000</f>
        <v>0.17</v>
      </c>
      <c r="F62" t="s">
        <v>197</v>
      </c>
      <c r="G62" t="s">
        <v>198</v>
      </c>
      <c r="H62" t="s">
        <v>199</v>
      </c>
      <c r="I62" s="6" t="s">
        <v>60</v>
      </c>
      <c r="J62" s="61" t="s">
        <v>22</v>
      </c>
      <c r="K62" s="11" t="s">
        <v>200</v>
      </c>
      <c r="L62" s="5" t="str">
        <f t="shared" si="0"/>
        <v>00061</v>
      </c>
      <c r="M62" s="47" t="str">
        <f t="shared" si="1"/>
        <v>14 de febrero de 2017</v>
      </c>
      <c r="N62" s="323">
        <f t="shared" si="5"/>
        <v>14</v>
      </c>
      <c r="O62" s="25">
        <f t="shared" si="2"/>
        <v>42767</v>
      </c>
      <c r="P62" s="5" t="str">
        <f t="shared" si="3"/>
        <v>0,17</v>
      </c>
      <c r="Q62" s="4" t="str">
        <f t="shared" si="4"/>
        <v>Cero Bolívares con 17/100</v>
      </c>
    </row>
    <row r="63" spans="1:17" x14ac:dyDescent="0.25">
      <c r="A63" s="1">
        <f t="shared" si="6"/>
        <v>62</v>
      </c>
      <c r="C63" s="8" t="s">
        <v>17</v>
      </c>
      <c r="D63" s="2">
        <v>42780</v>
      </c>
      <c r="E63" s="3">
        <f t="shared" si="7"/>
        <v>0.17</v>
      </c>
      <c r="F63" t="s">
        <v>201</v>
      </c>
      <c r="G63" t="s">
        <v>202</v>
      </c>
      <c r="H63" t="s">
        <v>203</v>
      </c>
      <c r="I63" s="6" t="s">
        <v>60</v>
      </c>
      <c r="J63" s="61" t="s">
        <v>22</v>
      </c>
      <c r="K63" s="11" t="s">
        <v>204</v>
      </c>
      <c r="L63" s="5" t="str">
        <f t="shared" si="0"/>
        <v>00062</v>
      </c>
      <c r="M63" s="47" t="str">
        <f t="shared" si="1"/>
        <v>14 de febrero de 2017</v>
      </c>
      <c r="N63" s="323">
        <f t="shared" si="5"/>
        <v>14</v>
      </c>
      <c r="O63" s="25">
        <f t="shared" si="2"/>
        <v>42767</v>
      </c>
      <c r="P63" s="5" t="str">
        <f t="shared" si="3"/>
        <v>0,17</v>
      </c>
      <c r="Q63" s="4" t="str">
        <f t="shared" si="4"/>
        <v>Cero Bolívares con 17/100</v>
      </c>
    </row>
    <row r="64" spans="1:17" x14ac:dyDescent="0.25">
      <c r="A64" s="1">
        <f t="shared" si="6"/>
        <v>63</v>
      </c>
      <c r="C64" s="8" t="s">
        <v>17</v>
      </c>
      <c r="D64" s="2">
        <v>42780</v>
      </c>
      <c r="E64" s="3">
        <f t="shared" si="7"/>
        <v>0.17</v>
      </c>
      <c r="F64" t="s">
        <v>114</v>
      </c>
      <c r="G64" t="s">
        <v>115</v>
      </c>
      <c r="H64" t="s">
        <v>116</v>
      </c>
      <c r="I64" s="6" t="s">
        <v>142</v>
      </c>
      <c r="J64" s="61" t="s">
        <v>22</v>
      </c>
      <c r="K64" s="11" t="s">
        <v>205</v>
      </c>
      <c r="L64" s="5" t="str">
        <f t="shared" si="0"/>
        <v>00063</v>
      </c>
      <c r="M64" s="47" t="str">
        <f t="shared" si="1"/>
        <v>14 de febrero de 2017</v>
      </c>
      <c r="N64" s="323">
        <f t="shared" si="5"/>
        <v>14</v>
      </c>
      <c r="O64" s="25">
        <f t="shared" si="2"/>
        <v>42767</v>
      </c>
      <c r="P64" s="5" t="str">
        <f t="shared" si="3"/>
        <v>0,17</v>
      </c>
      <c r="Q64" s="4" t="str">
        <f t="shared" si="4"/>
        <v>Cero Bolívares con 17/100</v>
      </c>
    </row>
    <row r="65" spans="1:17" x14ac:dyDescent="0.25">
      <c r="A65" s="1">
        <f t="shared" si="6"/>
        <v>64</v>
      </c>
      <c r="C65" s="8" t="s">
        <v>17</v>
      </c>
      <c r="D65" s="2">
        <v>42781</v>
      </c>
      <c r="E65" s="3">
        <f t="shared" si="7"/>
        <v>0.17</v>
      </c>
      <c r="F65" t="s">
        <v>206</v>
      </c>
      <c r="G65" t="s">
        <v>207</v>
      </c>
      <c r="H65" t="s">
        <v>208</v>
      </c>
      <c r="I65" s="6" t="s">
        <v>60</v>
      </c>
      <c r="J65" s="61" t="s">
        <v>22</v>
      </c>
      <c r="K65" s="11" t="s">
        <v>209</v>
      </c>
      <c r="L65" s="5" t="str">
        <f t="shared" si="0"/>
        <v>00064</v>
      </c>
      <c r="M65" s="47" t="str">
        <f t="shared" si="1"/>
        <v>15 de febrero de 2017</v>
      </c>
      <c r="N65" s="323">
        <f t="shared" si="5"/>
        <v>15</v>
      </c>
      <c r="O65" s="25">
        <f t="shared" si="2"/>
        <v>42767</v>
      </c>
      <c r="P65" s="5" t="str">
        <f t="shared" si="3"/>
        <v>0,17</v>
      </c>
      <c r="Q65" s="4" t="str">
        <f t="shared" si="4"/>
        <v>Cero Bolívares con 17/100</v>
      </c>
    </row>
    <row r="66" spans="1:17" x14ac:dyDescent="0.25">
      <c r="A66" s="1">
        <f t="shared" si="6"/>
        <v>65</v>
      </c>
      <c r="C66" s="8" t="s">
        <v>17</v>
      </c>
      <c r="D66" s="2">
        <v>42781</v>
      </c>
      <c r="E66" s="3">
        <f t="shared" si="7"/>
        <v>0.17</v>
      </c>
      <c r="F66" t="s">
        <v>62</v>
      </c>
      <c r="G66" t="s">
        <v>63</v>
      </c>
      <c r="H66" t="s">
        <v>64</v>
      </c>
      <c r="I66" s="6" t="s">
        <v>142</v>
      </c>
      <c r="J66" s="61" t="s">
        <v>22</v>
      </c>
      <c r="K66" s="11" t="s">
        <v>210</v>
      </c>
      <c r="L66" s="5" t="str">
        <f t="shared" ref="L66:L129" si="8">IF(ISBLANK(A66),"",TEXT(A66,"00000"))</f>
        <v>00065</v>
      </c>
      <c r="M66" s="47" t="str">
        <f t="shared" ref="M66:M129" si="9">IF(ISBLANK(D66),"",TEXT(D66,"dd")&amp;" de "&amp;TEXT(D66,"mmmm")&amp;" de "&amp;TEXT(YEAR(D66),"0"))</f>
        <v>15 de febrero de 2017</v>
      </c>
      <c r="N66" s="323">
        <f t="shared" si="5"/>
        <v>15</v>
      </c>
      <c r="O66" s="25">
        <f t="shared" ref="O66:O129" si="10">DATE(YEAR(D66),MONTH(D66),1)</f>
        <v>42767</v>
      </c>
      <c r="P66" s="5" t="str">
        <f t="shared" ref="P66:P129" si="11">TEXT(E66,"#.##0,00")</f>
        <v>0,17</v>
      </c>
      <c r="Q66" s="4" t="str">
        <f t="shared" ref="Q66:Q129" si="12">CONVERTIRNUM(E66)</f>
        <v>Cero Bolívares con 17/100</v>
      </c>
    </row>
    <row r="67" spans="1:17" x14ac:dyDescent="0.25">
      <c r="A67" s="1">
        <f t="shared" si="6"/>
        <v>66</v>
      </c>
      <c r="C67" s="8" t="s">
        <v>17</v>
      </c>
      <c r="D67" s="2">
        <v>42781</v>
      </c>
      <c r="E67" s="3">
        <f t="shared" si="7"/>
        <v>0.17</v>
      </c>
      <c r="F67" t="s">
        <v>211</v>
      </c>
      <c r="G67" t="s">
        <v>212</v>
      </c>
      <c r="H67" t="s">
        <v>213</v>
      </c>
      <c r="I67" s="6" t="s">
        <v>60</v>
      </c>
      <c r="J67" s="61" t="s">
        <v>22</v>
      </c>
      <c r="K67" s="11" t="s">
        <v>214</v>
      </c>
      <c r="L67" s="5" t="str">
        <f t="shared" si="8"/>
        <v>00066</v>
      </c>
      <c r="M67" s="47" t="str">
        <f t="shared" si="9"/>
        <v>15 de febrero de 2017</v>
      </c>
      <c r="N67" s="323">
        <f t="shared" ref="N67:N130" si="13">DAY(D67)</f>
        <v>15</v>
      </c>
      <c r="O67" s="25">
        <f t="shared" si="10"/>
        <v>42767</v>
      </c>
      <c r="P67" s="5" t="str">
        <f t="shared" si="11"/>
        <v>0,17</v>
      </c>
      <c r="Q67" s="4" t="str">
        <f t="shared" si="12"/>
        <v>Cero Bolívares con 17/100</v>
      </c>
    </row>
    <row r="68" spans="1:17" x14ac:dyDescent="0.25">
      <c r="A68" s="1">
        <f t="shared" ref="A68:A131" si="14">A67+1</f>
        <v>67</v>
      </c>
      <c r="C68" s="8" t="s">
        <v>17</v>
      </c>
      <c r="D68" s="2">
        <v>42781</v>
      </c>
      <c r="E68" s="3">
        <f t="shared" si="7"/>
        <v>0.17</v>
      </c>
      <c r="F68" t="s">
        <v>215</v>
      </c>
      <c r="G68" t="s">
        <v>216</v>
      </c>
      <c r="H68" t="s">
        <v>217</v>
      </c>
      <c r="I68" s="6" t="s">
        <v>60</v>
      </c>
      <c r="J68" s="61" t="s">
        <v>22</v>
      </c>
      <c r="K68" s="11" t="s">
        <v>218</v>
      </c>
      <c r="L68" s="5" t="str">
        <f t="shared" si="8"/>
        <v>00067</v>
      </c>
      <c r="M68" s="47" t="str">
        <f t="shared" si="9"/>
        <v>15 de febrero de 2017</v>
      </c>
      <c r="N68" s="323">
        <f t="shared" si="13"/>
        <v>15</v>
      </c>
      <c r="O68" s="25">
        <f t="shared" si="10"/>
        <v>42767</v>
      </c>
      <c r="P68" s="5" t="str">
        <f t="shared" si="11"/>
        <v>0,17</v>
      </c>
      <c r="Q68" s="4" t="str">
        <f t="shared" si="12"/>
        <v>Cero Bolívares con 17/100</v>
      </c>
    </row>
    <row r="69" spans="1:17" x14ac:dyDescent="0.25">
      <c r="A69" s="1">
        <f t="shared" si="14"/>
        <v>68</v>
      </c>
      <c r="C69" s="8" t="s">
        <v>17</v>
      </c>
      <c r="D69" s="2">
        <v>42781</v>
      </c>
      <c r="E69" s="3">
        <f>17000*2/100000</f>
        <v>0.34</v>
      </c>
      <c r="F69" t="s">
        <v>219</v>
      </c>
      <c r="G69" t="s">
        <v>220</v>
      </c>
      <c r="H69" t="s">
        <v>221</v>
      </c>
      <c r="I69" s="6" t="s">
        <v>222</v>
      </c>
      <c r="J69" s="61" t="s">
        <v>22</v>
      </c>
      <c r="K69" s="11" t="s">
        <v>223</v>
      </c>
      <c r="L69" s="5" t="str">
        <f t="shared" si="8"/>
        <v>00068</v>
      </c>
      <c r="M69" s="47" t="str">
        <f t="shared" si="9"/>
        <v>15 de febrero de 2017</v>
      </c>
      <c r="N69" s="323">
        <f t="shared" si="13"/>
        <v>15</v>
      </c>
      <c r="O69" s="25">
        <f t="shared" si="10"/>
        <v>42767</v>
      </c>
      <c r="P69" s="5" t="str">
        <f t="shared" si="11"/>
        <v>0,34</v>
      </c>
      <c r="Q69" s="4" t="str">
        <f t="shared" si="12"/>
        <v>Cero Bolívares con 34/100</v>
      </c>
    </row>
    <row r="70" spans="1:17" x14ac:dyDescent="0.25">
      <c r="A70" s="1">
        <f t="shared" si="14"/>
        <v>69</v>
      </c>
      <c r="C70" s="8" t="s">
        <v>17</v>
      </c>
      <c r="D70" s="2">
        <v>42781</v>
      </c>
      <c r="E70" s="3">
        <f>7760/100000+2240/100000</f>
        <v>0.1</v>
      </c>
      <c r="F70" t="s">
        <v>118</v>
      </c>
      <c r="G70" t="s">
        <v>119</v>
      </c>
      <c r="H70" t="s">
        <v>120</v>
      </c>
      <c r="I70" s="6" t="s">
        <v>158</v>
      </c>
      <c r="J70" s="61" t="s">
        <v>22</v>
      </c>
      <c r="K70" s="11" t="s">
        <v>224</v>
      </c>
      <c r="L70" s="5" t="str">
        <f t="shared" si="8"/>
        <v>00069</v>
      </c>
      <c r="M70" s="47" t="str">
        <f t="shared" si="9"/>
        <v>15 de febrero de 2017</v>
      </c>
      <c r="N70" s="323">
        <f t="shared" si="13"/>
        <v>15</v>
      </c>
      <c r="O70" s="25">
        <f t="shared" si="10"/>
        <v>42767</v>
      </c>
      <c r="P70" s="5" t="str">
        <f t="shared" si="11"/>
        <v>0,10</v>
      </c>
      <c r="Q70" s="4" t="str">
        <f t="shared" si="12"/>
        <v>Cero Bolívares con 10/100</v>
      </c>
    </row>
    <row r="71" spans="1:17" x14ac:dyDescent="0.25">
      <c r="A71" s="1">
        <f t="shared" si="14"/>
        <v>70</v>
      </c>
      <c r="B71" s="574"/>
      <c r="C71" s="12" t="s">
        <v>225</v>
      </c>
      <c r="D71" s="17">
        <v>42782</v>
      </c>
      <c r="E71" s="13">
        <f>170000/100000</f>
        <v>1.7</v>
      </c>
      <c r="F71" s="14" t="s">
        <v>18</v>
      </c>
      <c r="G71" s="14" t="s">
        <v>19</v>
      </c>
      <c r="H71" s="14" t="s">
        <v>20</v>
      </c>
      <c r="I71" s="15" t="s">
        <v>226</v>
      </c>
      <c r="J71" s="62" t="s">
        <v>227</v>
      </c>
      <c r="K71" s="16" t="s">
        <v>228</v>
      </c>
      <c r="L71" s="5" t="str">
        <f t="shared" si="8"/>
        <v>00070</v>
      </c>
      <c r="M71" s="47" t="str">
        <f t="shared" si="9"/>
        <v>16 de febrero de 2017</v>
      </c>
      <c r="N71" s="323">
        <f t="shared" si="13"/>
        <v>16</v>
      </c>
      <c r="O71" s="25">
        <f t="shared" si="10"/>
        <v>42767</v>
      </c>
      <c r="P71" s="5" t="str">
        <f t="shared" si="11"/>
        <v>1,70</v>
      </c>
      <c r="Q71" s="4" t="str">
        <f t="shared" si="12"/>
        <v>Un Bolívares con 70/100</v>
      </c>
    </row>
    <row r="72" spans="1:17" x14ac:dyDescent="0.25">
      <c r="A72" s="1">
        <f t="shared" si="14"/>
        <v>71</v>
      </c>
      <c r="C72" s="8" t="s">
        <v>17</v>
      </c>
      <c r="D72" s="2">
        <v>42782</v>
      </c>
      <c r="E72" s="3">
        <f t="shared" ref="E72:E78" si="15">17000/100000</f>
        <v>0.17</v>
      </c>
      <c r="F72" t="s">
        <v>148</v>
      </c>
      <c r="G72" t="s">
        <v>149</v>
      </c>
      <c r="H72" t="s">
        <v>150</v>
      </c>
      <c r="I72" s="6" t="s">
        <v>142</v>
      </c>
      <c r="J72" s="61" t="s">
        <v>22</v>
      </c>
      <c r="K72" s="11" t="s">
        <v>229</v>
      </c>
      <c r="L72" s="5" t="str">
        <f t="shared" si="8"/>
        <v>00071</v>
      </c>
      <c r="M72" s="47" t="str">
        <f t="shared" si="9"/>
        <v>16 de febrero de 2017</v>
      </c>
      <c r="N72" s="323">
        <f t="shared" si="13"/>
        <v>16</v>
      </c>
      <c r="O72" s="25">
        <f t="shared" si="10"/>
        <v>42767</v>
      </c>
      <c r="P72" s="5" t="str">
        <f t="shared" si="11"/>
        <v>0,17</v>
      </c>
      <c r="Q72" s="4" t="str">
        <f t="shared" si="12"/>
        <v>Cero Bolívares con 17/100</v>
      </c>
    </row>
    <row r="73" spans="1:17" x14ac:dyDescent="0.25">
      <c r="A73" s="1">
        <f t="shared" si="14"/>
        <v>72</v>
      </c>
      <c r="C73" s="8" t="s">
        <v>17</v>
      </c>
      <c r="D73" s="2">
        <v>42782</v>
      </c>
      <c r="E73" s="3">
        <f t="shared" si="15"/>
        <v>0.17</v>
      </c>
      <c r="F73" t="s">
        <v>230</v>
      </c>
      <c r="G73" t="s">
        <v>231</v>
      </c>
      <c r="H73" t="s">
        <v>232</v>
      </c>
      <c r="I73" s="6" t="s">
        <v>60</v>
      </c>
      <c r="J73" s="61" t="s">
        <v>22</v>
      </c>
      <c r="K73" s="11" t="s">
        <v>233</v>
      </c>
      <c r="L73" s="5" t="str">
        <f t="shared" si="8"/>
        <v>00072</v>
      </c>
      <c r="M73" s="47" t="str">
        <f t="shared" si="9"/>
        <v>16 de febrero de 2017</v>
      </c>
      <c r="N73" s="323">
        <f t="shared" si="13"/>
        <v>16</v>
      </c>
      <c r="O73" s="25">
        <f t="shared" si="10"/>
        <v>42767</v>
      </c>
      <c r="P73" s="5" t="str">
        <f t="shared" si="11"/>
        <v>0,17</v>
      </c>
      <c r="Q73" s="4" t="str">
        <f t="shared" si="12"/>
        <v>Cero Bolívares con 17/100</v>
      </c>
    </row>
    <row r="74" spans="1:17" x14ac:dyDescent="0.25">
      <c r="A74" s="1">
        <f t="shared" si="14"/>
        <v>73</v>
      </c>
      <c r="C74" s="8" t="s">
        <v>17</v>
      </c>
      <c r="D74" s="2">
        <v>42782</v>
      </c>
      <c r="E74" s="3">
        <f t="shared" si="15"/>
        <v>0.17</v>
      </c>
      <c r="F74" t="s">
        <v>107</v>
      </c>
      <c r="G74" t="s">
        <v>108</v>
      </c>
      <c r="H74" t="s">
        <v>109</v>
      </c>
      <c r="I74" s="6" t="s">
        <v>142</v>
      </c>
      <c r="J74" s="61" t="s">
        <v>22</v>
      </c>
      <c r="K74" s="11" t="s">
        <v>234</v>
      </c>
      <c r="L74" s="5" t="str">
        <f t="shared" si="8"/>
        <v>00073</v>
      </c>
      <c r="M74" s="47" t="str">
        <f t="shared" si="9"/>
        <v>16 de febrero de 2017</v>
      </c>
      <c r="N74" s="323">
        <f t="shared" si="13"/>
        <v>16</v>
      </c>
      <c r="O74" s="25">
        <f t="shared" si="10"/>
        <v>42767</v>
      </c>
      <c r="P74" s="5" t="str">
        <f t="shared" si="11"/>
        <v>0,17</v>
      </c>
      <c r="Q74" s="4" t="str">
        <f t="shared" si="12"/>
        <v>Cero Bolívares con 17/100</v>
      </c>
    </row>
    <row r="75" spans="1:17" x14ac:dyDescent="0.25">
      <c r="A75" s="1">
        <f t="shared" si="14"/>
        <v>74</v>
      </c>
      <c r="C75" s="8" t="s">
        <v>17</v>
      </c>
      <c r="D75" s="2">
        <v>42783</v>
      </c>
      <c r="E75" s="3">
        <f t="shared" si="15"/>
        <v>0.17</v>
      </c>
      <c r="F75" t="s">
        <v>126</v>
      </c>
      <c r="G75" t="s">
        <v>127</v>
      </c>
      <c r="H75" t="s">
        <v>128</v>
      </c>
      <c r="I75" s="6" t="s">
        <v>142</v>
      </c>
      <c r="J75" s="61" t="s">
        <v>22</v>
      </c>
      <c r="K75" s="11" t="s">
        <v>235</v>
      </c>
      <c r="L75" s="5" t="str">
        <f t="shared" si="8"/>
        <v>00074</v>
      </c>
      <c r="M75" s="47" t="str">
        <f t="shared" si="9"/>
        <v>17 de febrero de 2017</v>
      </c>
      <c r="N75" s="323">
        <f t="shared" si="13"/>
        <v>17</v>
      </c>
      <c r="O75" s="25">
        <f t="shared" si="10"/>
        <v>42767</v>
      </c>
      <c r="P75" s="5" t="str">
        <f t="shared" si="11"/>
        <v>0,17</v>
      </c>
      <c r="Q75" s="4" t="str">
        <f t="shared" si="12"/>
        <v>Cero Bolívares con 17/100</v>
      </c>
    </row>
    <row r="76" spans="1:17" x14ac:dyDescent="0.25">
      <c r="A76" s="1">
        <f t="shared" si="14"/>
        <v>75</v>
      </c>
      <c r="C76" s="8" t="s">
        <v>17</v>
      </c>
      <c r="D76" s="2">
        <v>42783</v>
      </c>
      <c r="E76" s="3">
        <f t="shared" si="15"/>
        <v>0.17</v>
      </c>
      <c r="F76" t="s">
        <v>201</v>
      </c>
      <c r="G76" t="s">
        <v>202</v>
      </c>
      <c r="H76" t="s">
        <v>203</v>
      </c>
      <c r="I76" s="6" t="s">
        <v>142</v>
      </c>
      <c r="J76" s="61" t="s">
        <v>22</v>
      </c>
      <c r="K76" s="11" t="s">
        <v>236</v>
      </c>
      <c r="L76" s="5" t="str">
        <f t="shared" si="8"/>
        <v>00075</v>
      </c>
      <c r="M76" s="47" t="str">
        <f t="shared" si="9"/>
        <v>17 de febrero de 2017</v>
      </c>
      <c r="N76" s="323">
        <f t="shared" si="13"/>
        <v>17</v>
      </c>
      <c r="O76" s="25">
        <f t="shared" si="10"/>
        <v>42767</v>
      </c>
      <c r="P76" s="5" t="str">
        <f t="shared" si="11"/>
        <v>0,17</v>
      </c>
      <c r="Q76" s="4" t="str">
        <f t="shared" si="12"/>
        <v>Cero Bolívares con 17/100</v>
      </c>
    </row>
    <row r="77" spans="1:17" x14ac:dyDescent="0.25">
      <c r="A77" s="1">
        <f t="shared" si="14"/>
        <v>76</v>
      </c>
      <c r="C77" s="8" t="s">
        <v>17</v>
      </c>
      <c r="D77" s="2">
        <v>42784</v>
      </c>
      <c r="E77" s="3">
        <f t="shared" si="15"/>
        <v>0.17</v>
      </c>
      <c r="F77" t="s">
        <v>70</v>
      </c>
      <c r="G77" t="s">
        <v>71</v>
      </c>
      <c r="H77" t="s">
        <v>72</v>
      </c>
      <c r="I77" s="6" t="s">
        <v>142</v>
      </c>
      <c r="J77" s="61" t="s">
        <v>22</v>
      </c>
      <c r="K77" s="11" t="s">
        <v>237</v>
      </c>
      <c r="L77" s="5" t="str">
        <f t="shared" si="8"/>
        <v>00076</v>
      </c>
      <c r="M77" s="47" t="str">
        <f t="shared" si="9"/>
        <v>18 de febrero de 2017</v>
      </c>
      <c r="N77" s="323">
        <f t="shared" si="13"/>
        <v>18</v>
      </c>
      <c r="O77" s="25">
        <f t="shared" si="10"/>
        <v>42767</v>
      </c>
      <c r="P77" s="5" t="str">
        <f t="shared" si="11"/>
        <v>0,17</v>
      </c>
      <c r="Q77" s="4" t="str">
        <f t="shared" si="12"/>
        <v>Cero Bolívares con 17/100</v>
      </c>
    </row>
    <row r="78" spans="1:17" x14ac:dyDescent="0.25">
      <c r="A78" s="1">
        <f t="shared" si="14"/>
        <v>77</v>
      </c>
      <c r="C78" s="8" t="s">
        <v>17</v>
      </c>
      <c r="D78" s="2">
        <v>42784</v>
      </c>
      <c r="E78" s="3">
        <f t="shared" si="15"/>
        <v>0.17</v>
      </c>
      <c r="F78" t="s">
        <v>53</v>
      </c>
      <c r="G78" t="s">
        <v>54</v>
      </c>
      <c r="H78" t="s">
        <v>55</v>
      </c>
      <c r="I78" s="6" t="s">
        <v>142</v>
      </c>
      <c r="J78" s="61" t="s">
        <v>22</v>
      </c>
      <c r="K78" s="11" t="s">
        <v>238</v>
      </c>
      <c r="L78" s="5" t="str">
        <f t="shared" si="8"/>
        <v>00077</v>
      </c>
      <c r="M78" s="47" t="str">
        <f t="shared" si="9"/>
        <v>18 de febrero de 2017</v>
      </c>
      <c r="N78" s="323">
        <f t="shared" si="13"/>
        <v>18</v>
      </c>
      <c r="O78" s="25">
        <f t="shared" si="10"/>
        <v>42767</v>
      </c>
      <c r="P78" s="5" t="str">
        <f t="shared" si="11"/>
        <v>0,17</v>
      </c>
      <c r="Q78" s="4" t="str">
        <f t="shared" si="12"/>
        <v>Cero Bolívares con 17/100</v>
      </c>
    </row>
    <row r="79" spans="1:17" x14ac:dyDescent="0.25">
      <c r="A79" s="1">
        <f t="shared" si="14"/>
        <v>78</v>
      </c>
      <c r="C79" s="8" t="s">
        <v>17</v>
      </c>
      <c r="D79" s="2">
        <v>42784</v>
      </c>
      <c r="E79" s="3">
        <f>14000/100000</f>
        <v>0.14000000000000001</v>
      </c>
      <c r="F79" t="s">
        <v>239</v>
      </c>
      <c r="G79" t="s">
        <v>240</v>
      </c>
      <c r="H79" t="s">
        <v>241</v>
      </c>
      <c r="I79" s="6" t="s">
        <v>21</v>
      </c>
      <c r="J79" s="61" t="s">
        <v>22</v>
      </c>
      <c r="K79" s="11" t="s">
        <v>242</v>
      </c>
      <c r="L79" s="5" t="str">
        <f t="shared" si="8"/>
        <v>00078</v>
      </c>
      <c r="M79" s="47" t="str">
        <f t="shared" si="9"/>
        <v>18 de febrero de 2017</v>
      </c>
      <c r="N79" s="323">
        <f t="shared" si="13"/>
        <v>18</v>
      </c>
      <c r="O79" s="25">
        <f t="shared" si="10"/>
        <v>42767</v>
      </c>
      <c r="P79" s="5" t="str">
        <f t="shared" si="11"/>
        <v>0,14</v>
      </c>
      <c r="Q79" s="4" t="str">
        <f t="shared" si="12"/>
        <v>Cero Bolívares con 14/100</v>
      </c>
    </row>
    <row r="80" spans="1:17" x14ac:dyDescent="0.25">
      <c r="A80" s="1">
        <f t="shared" si="14"/>
        <v>79</v>
      </c>
      <c r="C80" s="8" t="s">
        <v>17</v>
      </c>
      <c r="D80" s="2">
        <v>42784</v>
      </c>
      <c r="E80" s="3">
        <f>10000/100000</f>
        <v>0.1</v>
      </c>
      <c r="F80" t="s">
        <v>243</v>
      </c>
      <c r="G80" t="s">
        <v>244</v>
      </c>
      <c r="H80" t="s">
        <v>245</v>
      </c>
      <c r="I80" s="6" t="s">
        <v>21</v>
      </c>
      <c r="J80" s="61" t="s">
        <v>22</v>
      </c>
      <c r="K80" s="11" t="s">
        <v>246</v>
      </c>
      <c r="L80" s="5" t="str">
        <f t="shared" si="8"/>
        <v>00079</v>
      </c>
      <c r="M80" s="47" t="str">
        <f t="shared" si="9"/>
        <v>18 de febrero de 2017</v>
      </c>
      <c r="N80" s="323">
        <f t="shared" si="13"/>
        <v>18</v>
      </c>
      <c r="O80" s="25">
        <f t="shared" si="10"/>
        <v>42767</v>
      </c>
      <c r="P80" s="5" t="str">
        <f t="shared" si="11"/>
        <v>0,10</v>
      </c>
      <c r="Q80" s="4" t="str">
        <f t="shared" si="12"/>
        <v>Cero Bolívares con 10/100</v>
      </c>
    </row>
    <row r="81" spans="1:17" x14ac:dyDescent="0.25">
      <c r="A81" s="1">
        <f t="shared" si="14"/>
        <v>80</v>
      </c>
      <c r="C81" s="8" t="s">
        <v>17</v>
      </c>
      <c r="D81" s="2">
        <v>42784</v>
      </c>
      <c r="E81" s="3">
        <f>17000/100000</f>
        <v>0.17</v>
      </c>
      <c r="F81" t="s">
        <v>152</v>
      </c>
      <c r="G81" t="s">
        <v>153</v>
      </c>
      <c r="H81" t="s">
        <v>154</v>
      </c>
      <c r="I81" s="6" t="s">
        <v>142</v>
      </c>
      <c r="J81" s="61" t="s">
        <v>22</v>
      </c>
      <c r="K81" s="11" t="s">
        <v>247</v>
      </c>
      <c r="L81" s="5" t="str">
        <f t="shared" si="8"/>
        <v>00080</v>
      </c>
      <c r="M81" s="47" t="str">
        <f t="shared" si="9"/>
        <v>18 de febrero de 2017</v>
      </c>
      <c r="N81" s="323">
        <f t="shared" si="13"/>
        <v>18</v>
      </c>
      <c r="O81" s="25">
        <f t="shared" si="10"/>
        <v>42767</v>
      </c>
      <c r="P81" s="5" t="str">
        <f t="shared" si="11"/>
        <v>0,17</v>
      </c>
      <c r="Q81" s="4" t="str">
        <f t="shared" si="12"/>
        <v>Cero Bolívares con 17/100</v>
      </c>
    </row>
    <row r="82" spans="1:17" x14ac:dyDescent="0.25">
      <c r="A82" s="1">
        <f t="shared" si="14"/>
        <v>81</v>
      </c>
      <c r="C82" s="8" t="s">
        <v>17</v>
      </c>
      <c r="D82" s="2">
        <v>42784</v>
      </c>
      <c r="E82" s="3">
        <f>17000*2/100000</f>
        <v>0.34</v>
      </c>
      <c r="F82" t="s">
        <v>248</v>
      </c>
      <c r="G82" t="s">
        <v>249</v>
      </c>
      <c r="H82" t="s">
        <v>250</v>
      </c>
      <c r="I82" s="6" t="s">
        <v>222</v>
      </c>
      <c r="J82" s="61" t="s">
        <v>22</v>
      </c>
      <c r="K82" s="11" t="s">
        <v>251</v>
      </c>
      <c r="L82" s="5" t="str">
        <f t="shared" si="8"/>
        <v>00081</v>
      </c>
      <c r="M82" s="47" t="str">
        <f t="shared" si="9"/>
        <v>18 de febrero de 2017</v>
      </c>
      <c r="N82" s="323">
        <f t="shared" si="13"/>
        <v>18</v>
      </c>
      <c r="O82" s="25">
        <f t="shared" si="10"/>
        <v>42767</v>
      </c>
      <c r="P82" s="5" t="str">
        <f t="shared" si="11"/>
        <v>0,34</v>
      </c>
      <c r="Q82" s="4" t="str">
        <f t="shared" si="12"/>
        <v>Cero Bolívares con 34/100</v>
      </c>
    </row>
    <row r="83" spans="1:17" x14ac:dyDescent="0.25">
      <c r="A83" s="1">
        <f t="shared" si="14"/>
        <v>82</v>
      </c>
      <c r="C83" s="8" t="s">
        <v>17</v>
      </c>
      <c r="D83" s="2">
        <v>42785</v>
      </c>
      <c r="E83" s="3">
        <f>6000/100000</f>
        <v>0.06</v>
      </c>
      <c r="F83" t="s">
        <v>252</v>
      </c>
      <c r="G83" t="s">
        <v>253</v>
      </c>
      <c r="H83" t="s">
        <v>254</v>
      </c>
      <c r="I83" s="6" t="s">
        <v>158</v>
      </c>
      <c r="J83" s="61" t="s">
        <v>22</v>
      </c>
      <c r="K83" s="11" t="s">
        <v>255</v>
      </c>
      <c r="L83" s="5" t="str">
        <f t="shared" si="8"/>
        <v>00082</v>
      </c>
      <c r="M83" s="47" t="str">
        <f t="shared" si="9"/>
        <v>19 de febrero de 2017</v>
      </c>
      <c r="N83" s="323">
        <f t="shared" si="13"/>
        <v>19</v>
      </c>
      <c r="O83" s="25">
        <f t="shared" si="10"/>
        <v>42767</v>
      </c>
      <c r="P83" s="5" t="str">
        <f t="shared" si="11"/>
        <v>0,06</v>
      </c>
      <c r="Q83" s="4" t="str">
        <f t="shared" si="12"/>
        <v>Cero Bolívares con 06/100</v>
      </c>
    </row>
    <row r="84" spans="1:17" x14ac:dyDescent="0.25">
      <c r="A84" s="1">
        <f t="shared" si="14"/>
        <v>83</v>
      </c>
      <c r="C84" s="8" t="s">
        <v>17</v>
      </c>
      <c r="D84" s="2">
        <v>42786</v>
      </c>
      <c r="E84" s="3">
        <f>2000/100000</f>
        <v>0.02</v>
      </c>
      <c r="F84" t="s">
        <v>94</v>
      </c>
      <c r="G84" t="s">
        <v>95</v>
      </c>
      <c r="H84" t="s">
        <v>96</v>
      </c>
      <c r="I84" s="6" t="s">
        <v>158</v>
      </c>
      <c r="J84" s="61" t="s">
        <v>22</v>
      </c>
      <c r="K84" s="11" t="s">
        <v>256</v>
      </c>
      <c r="L84" s="5" t="str">
        <f t="shared" si="8"/>
        <v>00083</v>
      </c>
      <c r="M84" s="47" t="str">
        <f t="shared" si="9"/>
        <v>20 de febrero de 2017</v>
      </c>
      <c r="N84" s="323">
        <f t="shared" si="13"/>
        <v>20</v>
      </c>
      <c r="O84" s="25">
        <f t="shared" si="10"/>
        <v>42767</v>
      </c>
      <c r="P84" s="5" t="str">
        <f t="shared" si="11"/>
        <v>0,02</v>
      </c>
      <c r="Q84" s="4" t="str">
        <f t="shared" si="12"/>
        <v>Cero Bolívares con 02/100</v>
      </c>
    </row>
    <row r="85" spans="1:17" x14ac:dyDescent="0.25">
      <c r="A85" s="1">
        <f t="shared" si="14"/>
        <v>84</v>
      </c>
      <c r="C85" s="8" t="s">
        <v>17</v>
      </c>
      <c r="D85" s="2">
        <v>42786</v>
      </c>
      <c r="E85" s="3">
        <f>17000/100000</f>
        <v>0.17</v>
      </c>
      <c r="F85" t="s">
        <v>230</v>
      </c>
      <c r="G85" t="s">
        <v>231</v>
      </c>
      <c r="H85" t="s">
        <v>232</v>
      </c>
      <c r="I85" s="6" t="s">
        <v>142</v>
      </c>
      <c r="J85" s="61" t="s">
        <v>22</v>
      </c>
      <c r="K85" s="11" t="s">
        <v>257</v>
      </c>
      <c r="L85" s="5" t="str">
        <f t="shared" si="8"/>
        <v>00084</v>
      </c>
      <c r="M85" s="47" t="str">
        <f t="shared" si="9"/>
        <v>20 de febrero de 2017</v>
      </c>
      <c r="N85" s="323">
        <f t="shared" si="13"/>
        <v>20</v>
      </c>
      <c r="O85" s="25">
        <f t="shared" si="10"/>
        <v>42767</v>
      </c>
      <c r="P85" s="5" t="str">
        <f t="shared" si="11"/>
        <v>0,17</v>
      </c>
      <c r="Q85" s="4" t="str">
        <f t="shared" si="12"/>
        <v>Cero Bolívares con 17/100</v>
      </c>
    </row>
    <row r="86" spans="1:17" x14ac:dyDescent="0.25">
      <c r="A86" s="1">
        <f t="shared" si="14"/>
        <v>85</v>
      </c>
      <c r="C86" s="8" t="s">
        <v>17</v>
      </c>
      <c r="D86" s="2">
        <v>42786</v>
      </c>
      <c r="E86" s="3">
        <f>10000/100000</f>
        <v>0.1</v>
      </c>
      <c r="F86" t="s">
        <v>181</v>
      </c>
      <c r="G86" t="s">
        <v>182</v>
      </c>
      <c r="H86" t="s">
        <v>183</v>
      </c>
      <c r="I86" s="6" t="s">
        <v>158</v>
      </c>
      <c r="J86" s="61" t="s">
        <v>22</v>
      </c>
      <c r="K86" s="11" t="s">
        <v>258</v>
      </c>
      <c r="L86" s="5" t="str">
        <f t="shared" si="8"/>
        <v>00085</v>
      </c>
      <c r="M86" s="47" t="str">
        <f t="shared" si="9"/>
        <v>20 de febrero de 2017</v>
      </c>
      <c r="N86" s="323">
        <f t="shared" si="13"/>
        <v>20</v>
      </c>
      <c r="O86" s="25">
        <f t="shared" si="10"/>
        <v>42767</v>
      </c>
      <c r="P86" s="5" t="str">
        <f t="shared" si="11"/>
        <v>0,10</v>
      </c>
      <c r="Q86" s="4" t="str">
        <f t="shared" si="12"/>
        <v>Cero Bolívares con 10/100</v>
      </c>
    </row>
    <row r="87" spans="1:17" x14ac:dyDescent="0.25">
      <c r="A87" s="1">
        <f t="shared" si="14"/>
        <v>86</v>
      </c>
      <c r="C87" s="8" t="s">
        <v>17</v>
      </c>
      <c r="D87" s="2">
        <v>42786</v>
      </c>
      <c r="E87" s="3">
        <f>17000/100000</f>
        <v>0.17</v>
      </c>
      <c r="F87" t="s">
        <v>259</v>
      </c>
      <c r="G87" t="s">
        <v>260</v>
      </c>
      <c r="H87" t="s">
        <v>261</v>
      </c>
      <c r="I87" s="6" t="s">
        <v>142</v>
      </c>
      <c r="J87" s="61" t="s">
        <v>22</v>
      </c>
      <c r="K87" s="11" t="s">
        <v>262</v>
      </c>
      <c r="L87" s="5" t="str">
        <f t="shared" si="8"/>
        <v>00086</v>
      </c>
      <c r="M87" s="47" t="str">
        <f t="shared" si="9"/>
        <v>20 de febrero de 2017</v>
      </c>
      <c r="N87" s="323">
        <f t="shared" si="13"/>
        <v>20</v>
      </c>
      <c r="O87" s="25">
        <f t="shared" si="10"/>
        <v>42767</v>
      </c>
      <c r="P87" s="5" t="str">
        <f t="shared" si="11"/>
        <v>0,17</v>
      </c>
      <c r="Q87" s="4" t="str">
        <f t="shared" si="12"/>
        <v>Cero Bolívares con 17/100</v>
      </c>
    </row>
    <row r="88" spans="1:17" x14ac:dyDescent="0.25">
      <c r="A88" s="1">
        <f t="shared" si="14"/>
        <v>87</v>
      </c>
      <c r="C88" s="8" t="s">
        <v>17</v>
      </c>
      <c r="D88" s="2">
        <v>42786</v>
      </c>
      <c r="E88" s="3">
        <f>17000/100000</f>
        <v>0.17</v>
      </c>
      <c r="F88" t="s">
        <v>100</v>
      </c>
      <c r="G88" t="s">
        <v>95</v>
      </c>
      <c r="H88" t="s">
        <v>101</v>
      </c>
      <c r="I88" s="6" t="s">
        <v>142</v>
      </c>
      <c r="J88" s="61" t="s">
        <v>22</v>
      </c>
      <c r="K88" s="11" t="s">
        <v>263</v>
      </c>
      <c r="L88" s="5" t="str">
        <f t="shared" si="8"/>
        <v>00087</v>
      </c>
      <c r="M88" s="47" t="str">
        <f t="shared" si="9"/>
        <v>20 de febrero de 2017</v>
      </c>
      <c r="N88" s="323">
        <f t="shared" si="13"/>
        <v>20</v>
      </c>
      <c r="O88" s="25">
        <f t="shared" si="10"/>
        <v>42767</v>
      </c>
      <c r="P88" s="5" t="str">
        <f t="shared" si="11"/>
        <v>0,17</v>
      </c>
      <c r="Q88" s="4" t="str">
        <f t="shared" si="12"/>
        <v>Cero Bolívares con 17/100</v>
      </c>
    </row>
    <row r="89" spans="1:17" x14ac:dyDescent="0.25">
      <c r="A89" s="1">
        <f t="shared" si="14"/>
        <v>88</v>
      </c>
      <c r="C89" s="8" t="s">
        <v>17</v>
      </c>
      <c r="D89" s="2">
        <v>42788</v>
      </c>
      <c r="E89" s="3">
        <f>17000*2/100000</f>
        <v>0.34</v>
      </c>
      <c r="F89" t="s">
        <v>264</v>
      </c>
      <c r="G89" t="s">
        <v>265</v>
      </c>
      <c r="H89" t="s">
        <v>266</v>
      </c>
      <c r="I89" s="6" t="s">
        <v>222</v>
      </c>
      <c r="J89" s="61" t="s">
        <v>22</v>
      </c>
      <c r="K89" s="11" t="s">
        <v>267</v>
      </c>
      <c r="L89" s="5" t="str">
        <f t="shared" si="8"/>
        <v>00088</v>
      </c>
      <c r="M89" s="47" t="str">
        <f t="shared" si="9"/>
        <v>22 de febrero de 2017</v>
      </c>
      <c r="N89" s="323">
        <f t="shared" si="13"/>
        <v>22</v>
      </c>
      <c r="O89" s="25">
        <f t="shared" si="10"/>
        <v>42767</v>
      </c>
      <c r="P89" s="5" t="str">
        <f t="shared" si="11"/>
        <v>0,34</v>
      </c>
      <c r="Q89" s="4" t="str">
        <f t="shared" si="12"/>
        <v>Cero Bolívares con 34/100</v>
      </c>
    </row>
    <row r="90" spans="1:17" x14ac:dyDescent="0.25">
      <c r="A90" s="1">
        <f t="shared" si="14"/>
        <v>89</v>
      </c>
      <c r="C90" s="8" t="s">
        <v>17</v>
      </c>
      <c r="D90" s="2">
        <v>42788</v>
      </c>
      <c r="E90" s="3">
        <f>17000*2/100000</f>
        <v>0.34</v>
      </c>
      <c r="F90" t="s">
        <v>40</v>
      </c>
      <c r="G90" t="s">
        <v>41</v>
      </c>
      <c r="H90" t="s">
        <v>42</v>
      </c>
      <c r="I90" s="6" t="s">
        <v>195</v>
      </c>
      <c r="J90" s="61" t="s">
        <v>22</v>
      </c>
      <c r="K90" s="11" t="s">
        <v>268</v>
      </c>
      <c r="L90" s="5" t="str">
        <f t="shared" si="8"/>
        <v>00089</v>
      </c>
      <c r="M90" s="47" t="str">
        <f t="shared" si="9"/>
        <v>22 de febrero de 2017</v>
      </c>
      <c r="N90" s="323">
        <f t="shared" si="13"/>
        <v>22</v>
      </c>
      <c r="O90" s="25">
        <f t="shared" si="10"/>
        <v>42767</v>
      </c>
      <c r="P90" s="5" t="str">
        <f t="shared" si="11"/>
        <v>0,34</v>
      </c>
      <c r="Q90" s="4" t="str">
        <f t="shared" si="12"/>
        <v>Cero Bolívares con 34/100</v>
      </c>
    </row>
    <row r="91" spans="1:17" x14ac:dyDescent="0.25">
      <c r="A91" s="1">
        <f t="shared" si="14"/>
        <v>90</v>
      </c>
      <c r="C91" s="8" t="s">
        <v>17</v>
      </c>
      <c r="D91" s="2">
        <v>42789</v>
      </c>
      <c r="E91" s="3">
        <f>17000/100000</f>
        <v>0.17</v>
      </c>
      <c r="F91" t="s">
        <v>134</v>
      </c>
      <c r="G91" t="s">
        <v>135</v>
      </c>
      <c r="H91" t="s">
        <v>136</v>
      </c>
      <c r="I91" s="6" t="s">
        <v>142</v>
      </c>
      <c r="J91" s="61" t="s">
        <v>22</v>
      </c>
      <c r="K91" s="11" t="s">
        <v>269</v>
      </c>
      <c r="L91" s="5" t="str">
        <f t="shared" si="8"/>
        <v>00090</v>
      </c>
      <c r="M91" s="47" t="str">
        <f t="shared" si="9"/>
        <v>23 de febrero de 2017</v>
      </c>
      <c r="N91" s="323">
        <f t="shared" si="13"/>
        <v>23</v>
      </c>
      <c r="O91" s="25">
        <f t="shared" si="10"/>
        <v>42767</v>
      </c>
      <c r="P91" s="5" t="str">
        <f t="shared" si="11"/>
        <v>0,17</v>
      </c>
      <c r="Q91" s="4" t="str">
        <f t="shared" si="12"/>
        <v>Cero Bolívares con 17/100</v>
      </c>
    </row>
    <row r="92" spans="1:17" x14ac:dyDescent="0.25">
      <c r="A92" s="1">
        <f t="shared" si="14"/>
        <v>91</v>
      </c>
      <c r="C92" s="8" t="s">
        <v>17</v>
      </c>
      <c r="D92" s="2">
        <v>42789</v>
      </c>
      <c r="E92" s="3">
        <f>10500/100000</f>
        <v>0.105</v>
      </c>
      <c r="F92" t="s">
        <v>270</v>
      </c>
      <c r="G92" t="s">
        <v>271</v>
      </c>
      <c r="H92" t="s">
        <v>272</v>
      </c>
      <c r="I92" s="6" t="s">
        <v>51</v>
      </c>
      <c r="J92" s="61" t="s">
        <v>22</v>
      </c>
      <c r="K92" s="11" t="s">
        <v>273</v>
      </c>
      <c r="L92" s="5" t="str">
        <f t="shared" si="8"/>
        <v>00091</v>
      </c>
      <c r="M92" s="47" t="str">
        <f t="shared" si="9"/>
        <v>23 de febrero de 2017</v>
      </c>
      <c r="N92" s="323">
        <f t="shared" si="13"/>
        <v>23</v>
      </c>
      <c r="O92" s="25">
        <f t="shared" si="10"/>
        <v>42767</v>
      </c>
      <c r="P92" s="5" t="str">
        <f t="shared" si="11"/>
        <v>0,11</v>
      </c>
      <c r="Q92" s="4" t="str">
        <f t="shared" si="12"/>
        <v>Cero Bolívares con 10/100</v>
      </c>
    </row>
    <row r="93" spans="1:17" x14ac:dyDescent="0.25">
      <c r="A93" s="1">
        <f t="shared" si="14"/>
        <v>92</v>
      </c>
      <c r="C93" s="8" t="s">
        <v>17</v>
      </c>
      <c r="D93" s="2">
        <v>42789</v>
      </c>
      <c r="E93" s="3">
        <f>17000/100000</f>
        <v>0.17</v>
      </c>
      <c r="F93" t="s">
        <v>167</v>
      </c>
      <c r="G93" t="s">
        <v>168</v>
      </c>
      <c r="H93" t="s">
        <v>169</v>
      </c>
      <c r="I93" s="6" t="s">
        <v>142</v>
      </c>
      <c r="J93" s="61" t="s">
        <v>22</v>
      </c>
      <c r="K93" s="11" t="s">
        <v>274</v>
      </c>
      <c r="L93" s="5" t="str">
        <f t="shared" si="8"/>
        <v>00092</v>
      </c>
      <c r="M93" s="47" t="str">
        <f t="shared" si="9"/>
        <v>23 de febrero de 2017</v>
      </c>
      <c r="N93" s="323">
        <f t="shared" si="13"/>
        <v>23</v>
      </c>
      <c r="O93" s="25">
        <f t="shared" si="10"/>
        <v>42767</v>
      </c>
      <c r="P93" s="5" t="str">
        <f t="shared" si="11"/>
        <v>0,17</v>
      </c>
      <c r="Q93" s="4" t="str">
        <f t="shared" si="12"/>
        <v>Cero Bolívares con 17/100</v>
      </c>
    </row>
    <row r="94" spans="1:17" x14ac:dyDescent="0.25">
      <c r="A94" s="1">
        <f t="shared" si="14"/>
        <v>93</v>
      </c>
      <c r="C94" s="8" t="s">
        <v>17</v>
      </c>
      <c r="D94" s="2">
        <v>42790</v>
      </c>
      <c r="E94" s="3">
        <f>20000/100000</f>
        <v>0.2</v>
      </c>
      <c r="F94" t="s">
        <v>275</v>
      </c>
      <c r="G94" t="s">
        <v>276</v>
      </c>
      <c r="H94" t="s">
        <v>277</v>
      </c>
      <c r="I94" s="6" t="s">
        <v>278</v>
      </c>
      <c r="J94" s="61" t="s">
        <v>22</v>
      </c>
      <c r="K94" s="11" t="s">
        <v>279</v>
      </c>
      <c r="L94" s="5" t="str">
        <f t="shared" si="8"/>
        <v>00093</v>
      </c>
      <c r="M94" s="47" t="str">
        <f t="shared" si="9"/>
        <v>24 de febrero de 2017</v>
      </c>
      <c r="N94" s="323">
        <f t="shared" si="13"/>
        <v>24</v>
      </c>
      <c r="O94" s="25">
        <f t="shared" si="10"/>
        <v>42767</v>
      </c>
      <c r="P94" s="5" t="str">
        <f t="shared" si="11"/>
        <v>0,20</v>
      </c>
      <c r="Q94" s="4" t="str">
        <f t="shared" si="12"/>
        <v>Cero Bolívares con 20/100</v>
      </c>
    </row>
    <row r="95" spans="1:17" x14ac:dyDescent="0.25">
      <c r="A95" s="1">
        <f t="shared" si="14"/>
        <v>94</v>
      </c>
      <c r="C95" s="8" t="s">
        <v>17</v>
      </c>
      <c r="D95" s="2">
        <v>42790</v>
      </c>
      <c r="E95" s="3">
        <f>16000/100000</f>
        <v>0.16</v>
      </c>
      <c r="F95" t="s">
        <v>280</v>
      </c>
      <c r="G95" t="s">
        <v>281</v>
      </c>
      <c r="H95" t="s">
        <v>282</v>
      </c>
      <c r="I95" s="6" t="s">
        <v>21</v>
      </c>
      <c r="J95" s="61" t="s">
        <v>22</v>
      </c>
      <c r="K95" s="11" t="s">
        <v>283</v>
      </c>
      <c r="L95" s="5" t="str">
        <f t="shared" si="8"/>
        <v>00094</v>
      </c>
      <c r="M95" s="47" t="str">
        <f t="shared" si="9"/>
        <v>24 de febrero de 2017</v>
      </c>
      <c r="N95" s="323">
        <f t="shared" si="13"/>
        <v>24</v>
      </c>
      <c r="O95" s="25">
        <f t="shared" si="10"/>
        <v>42767</v>
      </c>
      <c r="P95" s="5" t="str">
        <f t="shared" si="11"/>
        <v>0,16</v>
      </c>
      <c r="Q95" s="4" t="str">
        <f t="shared" si="12"/>
        <v>Cero Bolívares con 16/100</v>
      </c>
    </row>
    <row r="96" spans="1:17" x14ac:dyDescent="0.25">
      <c r="A96" s="1">
        <f t="shared" si="14"/>
        <v>95</v>
      </c>
      <c r="C96" s="8" t="s">
        <v>17</v>
      </c>
      <c r="D96" s="2">
        <v>42789</v>
      </c>
      <c r="E96" s="3">
        <f>20000/100000</f>
        <v>0.2</v>
      </c>
      <c r="F96" t="s">
        <v>284</v>
      </c>
      <c r="G96" t="s">
        <v>276</v>
      </c>
      <c r="H96" t="s">
        <v>285</v>
      </c>
      <c r="I96" s="6" t="s">
        <v>278</v>
      </c>
      <c r="J96" s="61" t="s">
        <v>22</v>
      </c>
      <c r="K96" s="11" t="s">
        <v>286</v>
      </c>
      <c r="L96" s="5" t="str">
        <f t="shared" si="8"/>
        <v>00095</v>
      </c>
      <c r="M96" s="47" t="str">
        <f t="shared" si="9"/>
        <v>23 de febrero de 2017</v>
      </c>
      <c r="N96" s="323">
        <f t="shared" si="13"/>
        <v>23</v>
      </c>
      <c r="O96" s="25">
        <f t="shared" si="10"/>
        <v>42767</v>
      </c>
      <c r="P96" s="5" t="str">
        <f t="shared" si="11"/>
        <v>0,20</v>
      </c>
      <c r="Q96" s="4" t="str">
        <f t="shared" si="12"/>
        <v>Cero Bolívares con 20/100</v>
      </c>
    </row>
    <row r="97" spans="1:17" x14ac:dyDescent="0.25">
      <c r="A97" s="1">
        <f t="shared" si="14"/>
        <v>96</v>
      </c>
      <c r="C97" s="8" t="s">
        <v>17</v>
      </c>
      <c r="D97" s="2">
        <v>42790</v>
      </c>
      <c r="E97" s="3">
        <f>17000*2/100000</f>
        <v>0.34</v>
      </c>
      <c r="F97" t="s">
        <v>287</v>
      </c>
      <c r="G97" t="s">
        <v>288</v>
      </c>
      <c r="H97" t="s">
        <v>289</v>
      </c>
      <c r="I97" s="6" t="s">
        <v>222</v>
      </c>
      <c r="J97" s="61" t="s">
        <v>22</v>
      </c>
      <c r="K97" s="11" t="s">
        <v>290</v>
      </c>
      <c r="L97" s="5" t="str">
        <f t="shared" si="8"/>
        <v>00096</v>
      </c>
      <c r="M97" s="47" t="str">
        <f t="shared" si="9"/>
        <v>24 de febrero de 2017</v>
      </c>
      <c r="N97" s="323">
        <f t="shared" si="13"/>
        <v>24</v>
      </c>
      <c r="O97" s="25">
        <f t="shared" si="10"/>
        <v>42767</v>
      </c>
      <c r="P97" s="5" t="str">
        <f t="shared" si="11"/>
        <v>0,34</v>
      </c>
      <c r="Q97" s="4" t="str">
        <f t="shared" si="12"/>
        <v>Cero Bolívares con 34/100</v>
      </c>
    </row>
    <row r="98" spans="1:17" x14ac:dyDescent="0.25">
      <c r="A98" s="1">
        <f t="shared" si="14"/>
        <v>97</v>
      </c>
      <c r="C98" s="8" t="s">
        <v>17</v>
      </c>
      <c r="D98" s="2">
        <v>42790</v>
      </c>
      <c r="E98" s="3">
        <f>1500*2/100000</f>
        <v>0.03</v>
      </c>
      <c r="F98" t="s">
        <v>291</v>
      </c>
      <c r="G98" t="s">
        <v>292</v>
      </c>
      <c r="H98" t="s">
        <v>293</v>
      </c>
      <c r="I98" s="6" t="s">
        <v>294</v>
      </c>
      <c r="J98" s="61" t="s">
        <v>22</v>
      </c>
      <c r="K98" s="11" t="s">
        <v>295</v>
      </c>
      <c r="L98" s="5" t="str">
        <f t="shared" si="8"/>
        <v>00097</v>
      </c>
      <c r="M98" s="47" t="str">
        <f t="shared" si="9"/>
        <v>24 de febrero de 2017</v>
      </c>
      <c r="N98" s="323">
        <f t="shared" si="13"/>
        <v>24</v>
      </c>
      <c r="O98" s="25">
        <f t="shared" si="10"/>
        <v>42767</v>
      </c>
      <c r="P98" s="5" t="str">
        <f t="shared" si="11"/>
        <v>0,03</v>
      </c>
      <c r="Q98" s="4" t="str">
        <f t="shared" si="12"/>
        <v>Cero Bolívares con 03/100</v>
      </c>
    </row>
    <row r="99" spans="1:17" x14ac:dyDescent="0.25">
      <c r="A99" s="1">
        <f t="shared" si="14"/>
        <v>98</v>
      </c>
      <c r="C99" s="8" t="s">
        <v>17</v>
      </c>
      <c r="D99" s="2">
        <v>42791</v>
      </c>
      <c r="E99" s="3">
        <f>10000*2/100000</f>
        <v>0.2</v>
      </c>
      <c r="F99" t="s">
        <v>296</v>
      </c>
      <c r="G99" t="s">
        <v>297</v>
      </c>
      <c r="H99" t="s">
        <v>298</v>
      </c>
      <c r="I99" s="6" t="s">
        <v>294</v>
      </c>
      <c r="J99" s="61" t="s">
        <v>22</v>
      </c>
      <c r="K99" s="11" t="s">
        <v>299</v>
      </c>
      <c r="L99" s="5" t="str">
        <f t="shared" si="8"/>
        <v>00098</v>
      </c>
      <c r="M99" s="47" t="str">
        <f t="shared" si="9"/>
        <v>25 de febrero de 2017</v>
      </c>
      <c r="N99" s="323">
        <f t="shared" si="13"/>
        <v>25</v>
      </c>
      <c r="O99" s="25">
        <f t="shared" si="10"/>
        <v>42767</v>
      </c>
      <c r="P99" s="5" t="str">
        <f t="shared" si="11"/>
        <v>0,20</v>
      </c>
      <c r="Q99" s="4" t="str">
        <f t="shared" si="12"/>
        <v>Cero Bolívares con 20/100</v>
      </c>
    </row>
    <row r="100" spans="1:17" x14ac:dyDescent="0.25">
      <c r="A100" s="1">
        <f t="shared" si="14"/>
        <v>99</v>
      </c>
      <c r="C100" s="8" t="s">
        <v>17</v>
      </c>
      <c r="D100" s="2">
        <v>42791</v>
      </c>
      <c r="E100" s="3">
        <f>10500/100000</f>
        <v>0.105</v>
      </c>
      <c r="F100" t="s">
        <v>28</v>
      </c>
      <c r="G100" t="s">
        <v>29</v>
      </c>
      <c r="H100" t="s">
        <v>30</v>
      </c>
      <c r="I100" s="6" t="s">
        <v>158</v>
      </c>
      <c r="J100" s="61" t="s">
        <v>22</v>
      </c>
      <c r="K100" s="11" t="s">
        <v>300</v>
      </c>
      <c r="L100" s="5" t="str">
        <f t="shared" si="8"/>
        <v>00099</v>
      </c>
      <c r="M100" s="47" t="str">
        <f t="shared" si="9"/>
        <v>25 de febrero de 2017</v>
      </c>
      <c r="N100" s="323">
        <f t="shared" si="13"/>
        <v>25</v>
      </c>
      <c r="O100" s="25">
        <f t="shared" si="10"/>
        <v>42767</v>
      </c>
      <c r="P100" s="5" t="str">
        <f t="shared" si="11"/>
        <v>0,11</v>
      </c>
      <c r="Q100" s="4" t="str">
        <f t="shared" si="12"/>
        <v>Cero Bolívares con 10/100</v>
      </c>
    </row>
    <row r="101" spans="1:17" x14ac:dyDescent="0.25">
      <c r="A101" s="1">
        <f t="shared" si="14"/>
        <v>100</v>
      </c>
      <c r="C101" s="8" t="s">
        <v>17</v>
      </c>
      <c r="D101" s="2">
        <v>42795</v>
      </c>
      <c r="E101" s="3">
        <f>14200/100000</f>
        <v>0.14199999999999999</v>
      </c>
      <c r="F101" t="s">
        <v>100</v>
      </c>
      <c r="G101" t="s">
        <v>95</v>
      </c>
      <c r="H101" t="s">
        <v>101</v>
      </c>
      <c r="I101" s="6" t="s">
        <v>301</v>
      </c>
      <c r="J101" s="61" t="s">
        <v>22</v>
      </c>
      <c r="K101" s="11" t="s">
        <v>302</v>
      </c>
      <c r="L101" s="5" t="str">
        <f t="shared" si="8"/>
        <v>00100</v>
      </c>
      <c r="M101" s="47" t="str">
        <f t="shared" si="9"/>
        <v>01 de marzo de 2017</v>
      </c>
      <c r="N101" s="323">
        <f t="shared" si="13"/>
        <v>1</v>
      </c>
      <c r="O101" s="25">
        <f t="shared" si="10"/>
        <v>42795</v>
      </c>
      <c r="P101" s="5" t="str">
        <f t="shared" si="11"/>
        <v>0,14</v>
      </c>
      <c r="Q101" s="4" t="str">
        <f t="shared" si="12"/>
        <v>Cero Bolívares con 14/100</v>
      </c>
    </row>
    <row r="102" spans="1:17" x14ac:dyDescent="0.25">
      <c r="A102" s="1">
        <f t="shared" si="14"/>
        <v>101</v>
      </c>
      <c r="C102" s="8" t="s">
        <v>17</v>
      </c>
      <c r="D102" s="2">
        <v>42796</v>
      </c>
      <c r="E102" s="3">
        <f>2*3000/100000</f>
        <v>0.06</v>
      </c>
      <c r="F102" t="s">
        <v>303</v>
      </c>
      <c r="G102" s="18" t="s">
        <v>58</v>
      </c>
      <c r="H102" t="s">
        <v>304</v>
      </c>
      <c r="I102" s="6" t="s">
        <v>294</v>
      </c>
      <c r="J102" s="61" t="s">
        <v>22</v>
      </c>
      <c r="K102" s="11" t="s">
        <v>305</v>
      </c>
      <c r="L102" s="5" t="str">
        <f t="shared" si="8"/>
        <v>00101</v>
      </c>
      <c r="M102" s="47" t="str">
        <f t="shared" si="9"/>
        <v>02 de marzo de 2017</v>
      </c>
      <c r="N102" s="323">
        <f t="shared" si="13"/>
        <v>2</v>
      </c>
      <c r="O102" s="25">
        <f t="shared" si="10"/>
        <v>42795</v>
      </c>
      <c r="P102" s="5" t="str">
        <f t="shared" si="11"/>
        <v>0,06</v>
      </c>
      <c r="Q102" s="4" t="str">
        <f t="shared" si="12"/>
        <v>Cero Bolívares con 06/100</v>
      </c>
    </row>
    <row r="103" spans="1:17" x14ac:dyDescent="0.25">
      <c r="A103" s="1">
        <f t="shared" si="14"/>
        <v>102</v>
      </c>
      <c r="C103" s="8" t="s">
        <v>17</v>
      </c>
      <c r="D103" s="2">
        <v>42796</v>
      </c>
      <c r="E103" s="3">
        <f>17000/100000</f>
        <v>0.17</v>
      </c>
      <c r="F103" t="s">
        <v>90</v>
      </c>
      <c r="G103" t="s">
        <v>91</v>
      </c>
      <c r="H103" t="s">
        <v>92</v>
      </c>
      <c r="I103" s="6" t="s">
        <v>306</v>
      </c>
      <c r="J103" s="61" t="s">
        <v>22</v>
      </c>
      <c r="K103" s="11" t="s">
        <v>307</v>
      </c>
      <c r="L103" s="5" t="str">
        <f t="shared" si="8"/>
        <v>00102</v>
      </c>
      <c r="M103" s="47" t="str">
        <f t="shared" si="9"/>
        <v>02 de marzo de 2017</v>
      </c>
      <c r="N103" s="323">
        <f t="shared" si="13"/>
        <v>2</v>
      </c>
      <c r="O103" s="25">
        <f t="shared" si="10"/>
        <v>42795</v>
      </c>
      <c r="P103" s="5" t="str">
        <f t="shared" si="11"/>
        <v>0,17</v>
      </c>
      <c r="Q103" s="4" t="str">
        <f t="shared" si="12"/>
        <v>Cero Bolívares con 17/100</v>
      </c>
    </row>
    <row r="104" spans="1:17" x14ac:dyDescent="0.25">
      <c r="A104" s="1">
        <f t="shared" si="14"/>
        <v>103</v>
      </c>
      <c r="C104" s="8" t="s">
        <v>17</v>
      </c>
      <c r="D104" s="2">
        <v>42796</v>
      </c>
      <c r="E104" s="3">
        <f>2000/100000</f>
        <v>0.02</v>
      </c>
      <c r="F104" t="s">
        <v>90</v>
      </c>
      <c r="G104" t="s">
        <v>91</v>
      </c>
      <c r="H104" t="s">
        <v>92</v>
      </c>
      <c r="I104" s="6" t="s">
        <v>308</v>
      </c>
      <c r="J104" s="61" t="s">
        <v>22</v>
      </c>
      <c r="K104" s="11" t="s">
        <v>309</v>
      </c>
      <c r="L104" s="5" t="str">
        <f t="shared" si="8"/>
        <v>00103</v>
      </c>
      <c r="M104" s="47" t="str">
        <f t="shared" si="9"/>
        <v>02 de marzo de 2017</v>
      </c>
      <c r="N104" s="323">
        <f t="shared" si="13"/>
        <v>2</v>
      </c>
      <c r="O104" s="25">
        <f t="shared" si="10"/>
        <v>42795</v>
      </c>
      <c r="P104" s="5" t="str">
        <f t="shared" si="11"/>
        <v>0,02</v>
      </c>
      <c r="Q104" s="4" t="str">
        <f t="shared" si="12"/>
        <v>Cero Bolívares con 02/100</v>
      </c>
    </row>
    <row r="105" spans="1:17" x14ac:dyDescent="0.25">
      <c r="A105" s="1">
        <f t="shared" si="14"/>
        <v>104</v>
      </c>
      <c r="C105" s="8" t="s">
        <v>17</v>
      </c>
      <c r="D105" s="2">
        <v>42797</v>
      </c>
      <c r="E105" s="3">
        <f>17000/100000+7000/100000</f>
        <v>0.24000000000000002</v>
      </c>
      <c r="F105" t="s">
        <v>243</v>
      </c>
      <c r="G105" t="s">
        <v>244</v>
      </c>
      <c r="H105" t="s">
        <v>245</v>
      </c>
      <c r="I105" s="6" t="s">
        <v>310</v>
      </c>
      <c r="J105" s="61" t="s">
        <v>22</v>
      </c>
      <c r="K105" s="11" t="s">
        <v>311</v>
      </c>
      <c r="L105" s="5" t="str">
        <f t="shared" si="8"/>
        <v>00104</v>
      </c>
      <c r="M105" s="47" t="str">
        <f t="shared" si="9"/>
        <v>03 de marzo de 2017</v>
      </c>
      <c r="N105" s="323">
        <f t="shared" si="13"/>
        <v>3</v>
      </c>
      <c r="O105" s="25">
        <f t="shared" si="10"/>
        <v>42795</v>
      </c>
      <c r="P105" s="5" t="str">
        <f t="shared" si="11"/>
        <v>0,24</v>
      </c>
      <c r="Q105" s="4" t="str">
        <f t="shared" si="12"/>
        <v>Cero Bolívares con 24/100</v>
      </c>
    </row>
    <row r="106" spans="1:17" x14ac:dyDescent="0.25">
      <c r="A106" s="1">
        <f t="shared" si="14"/>
        <v>105</v>
      </c>
      <c r="C106" s="8" t="s">
        <v>17</v>
      </c>
      <c r="D106" s="2">
        <v>42797</v>
      </c>
      <c r="E106" s="3">
        <f>17000/100000</f>
        <v>0.17</v>
      </c>
      <c r="F106" t="s">
        <v>312</v>
      </c>
      <c r="G106" t="s">
        <v>313</v>
      </c>
      <c r="H106" t="s">
        <v>314</v>
      </c>
      <c r="I106" s="6" t="s">
        <v>315</v>
      </c>
      <c r="J106" s="61" t="s">
        <v>22</v>
      </c>
      <c r="K106" s="11" t="s">
        <v>316</v>
      </c>
      <c r="L106" s="5" t="str">
        <f t="shared" si="8"/>
        <v>00105</v>
      </c>
      <c r="M106" s="47" t="str">
        <f t="shared" si="9"/>
        <v>03 de marzo de 2017</v>
      </c>
      <c r="N106" s="323">
        <f t="shared" si="13"/>
        <v>3</v>
      </c>
      <c r="O106" s="25">
        <f t="shared" si="10"/>
        <v>42795</v>
      </c>
      <c r="P106" s="5" t="str">
        <f t="shared" si="11"/>
        <v>0,17</v>
      </c>
      <c r="Q106" s="4" t="str">
        <f t="shared" si="12"/>
        <v>Cero Bolívares con 17/100</v>
      </c>
    </row>
    <row r="107" spans="1:17" x14ac:dyDescent="0.25">
      <c r="A107" s="1">
        <f t="shared" si="14"/>
        <v>106</v>
      </c>
      <c r="C107" s="8" t="s">
        <v>17</v>
      </c>
      <c r="D107" s="2">
        <v>42799</v>
      </c>
      <c r="E107" s="3">
        <f>7000/100000</f>
        <v>7.0000000000000007E-2</v>
      </c>
      <c r="F107" t="s">
        <v>48</v>
      </c>
      <c r="G107" t="s">
        <v>49</v>
      </c>
      <c r="H107" t="s">
        <v>50</v>
      </c>
      <c r="I107" s="6" t="s">
        <v>317</v>
      </c>
      <c r="J107" s="61" t="s">
        <v>22</v>
      </c>
      <c r="K107" s="11" t="s">
        <v>318</v>
      </c>
      <c r="L107" s="5" t="str">
        <f t="shared" si="8"/>
        <v>00106</v>
      </c>
      <c r="M107" s="47" t="str">
        <f t="shared" si="9"/>
        <v>05 de marzo de 2017</v>
      </c>
      <c r="N107" s="323">
        <f t="shared" si="13"/>
        <v>5</v>
      </c>
      <c r="O107" s="25">
        <f t="shared" si="10"/>
        <v>42795</v>
      </c>
      <c r="P107" s="5" t="str">
        <f t="shared" si="11"/>
        <v>0,07</v>
      </c>
      <c r="Q107" s="4" t="str">
        <f t="shared" si="12"/>
        <v>Cero Bolívares con 07/100</v>
      </c>
    </row>
    <row r="108" spans="1:17" x14ac:dyDescent="0.25">
      <c r="A108" s="1">
        <f t="shared" si="14"/>
        <v>107</v>
      </c>
      <c r="C108" s="8" t="s">
        <v>17</v>
      </c>
      <c r="D108" s="2">
        <v>42799</v>
      </c>
      <c r="E108" s="3">
        <f>17000*2/100000</f>
        <v>0.34</v>
      </c>
      <c r="F108" t="s">
        <v>319</v>
      </c>
      <c r="G108" s="18" t="s">
        <v>58</v>
      </c>
      <c r="H108" t="s">
        <v>320</v>
      </c>
      <c r="I108" s="6" t="s">
        <v>222</v>
      </c>
      <c r="J108" s="61" t="s">
        <v>22</v>
      </c>
      <c r="K108" s="11" t="s">
        <v>321</v>
      </c>
      <c r="L108" s="5" t="str">
        <f t="shared" si="8"/>
        <v>00107</v>
      </c>
      <c r="M108" s="47" t="str">
        <f t="shared" si="9"/>
        <v>05 de marzo de 2017</v>
      </c>
      <c r="N108" s="323">
        <f t="shared" si="13"/>
        <v>5</v>
      </c>
      <c r="O108" s="25">
        <f t="shared" si="10"/>
        <v>42795</v>
      </c>
      <c r="P108" s="5" t="str">
        <f t="shared" si="11"/>
        <v>0,34</v>
      </c>
      <c r="Q108" s="4" t="str">
        <f t="shared" si="12"/>
        <v>Cero Bolívares con 34/100</v>
      </c>
    </row>
    <row r="109" spans="1:17" x14ac:dyDescent="0.25">
      <c r="A109" s="1">
        <f t="shared" si="14"/>
        <v>108</v>
      </c>
      <c r="C109" s="8" t="s">
        <v>17</v>
      </c>
      <c r="D109" s="2">
        <v>42799</v>
      </c>
      <c r="E109" s="3">
        <f>3000/100000</f>
        <v>0.03</v>
      </c>
      <c r="F109" t="s">
        <v>319</v>
      </c>
      <c r="G109" s="18" t="s">
        <v>58</v>
      </c>
      <c r="H109" t="s">
        <v>320</v>
      </c>
      <c r="I109" s="6" t="s">
        <v>322</v>
      </c>
      <c r="J109" s="61" t="s">
        <v>22</v>
      </c>
      <c r="K109" s="11" t="s">
        <v>323</v>
      </c>
      <c r="L109" s="5" t="str">
        <f t="shared" si="8"/>
        <v>00108</v>
      </c>
      <c r="M109" s="47" t="str">
        <f t="shared" si="9"/>
        <v>05 de marzo de 2017</v>
      </c>
      <c r="N109" s="323">
        <f t="shared" si="13"/>
        <v>5</v>
      </c>
      <c r="O109" s="25">
        <f t="shared" si="10"/>
        <v>42795</v>
      </c>
      <c r="P109" s="5" t="str">
        <f t="shared" si="11"/>
        <v>0,03</v>
      </c>
      <c r="Q109" s="4" t="str">
        <f t="shared" si="12"/>
        <v>Cero Bolívares con 03/100</v>
      </c>
    </row>
    <row r="110" spans="1:17" x14ac:dyDescent="0.25">
      <c r="A110" s="1">
        <f t="shared" si="14"/>
        <v>109</v>
      </c>
      <c r="C110" s="8" t="s">
        <v>17</v>
      </c>
      <c r="D110" s="2">
        <v>42800</v>
      </c>
      <c r="E110" s="3">
        <f>10500/100000+16000/100000</f>
        <v>0.26500000000000001</v>
      </c>
      <c r="F110" t="s">
        <v>324</v>
      </c>
      <c r="G110" t="s">
        <v>325</v>
      </c>
      <c r="H110" t="s">
        <v>326</v>
      </c>
      <c r="I110" s="6" t="s">
        <v>294</v>
      </c>
      <c r="J110" s="61" t="s">
        <v>22</v>
      </c>
      <c r="K110" s="11" t="s">
        <v>327</v>
      </c>
      <c r="L110" s="5" t="str">
        <f t="shared" si="8"/>
        <v>00109</v>
      </c>
      <c r="M110" s="47" t="str">
        <f t="shared" si="9"/>
        <v>06 de marzo de 2017</v>
      </c>
      <c r="N110" s="323">
        <f t="shared" si="13"/>
        <v>6</v>
      </c>
      <c r="O110" s="25">
        <f t="shared" si="10"/>
        <v>42795</v>
      </c>
      <c r="P110" s="5" t="str">
        <f t="shared" si="11"/>
        <v>0,27</v>
      </c>
      <c r="Q110" s="4" t="str">
        <f t="shared" si="12"/>
        <v>Cero Bolívares con 26/100</v>
      </c>
    </row>
    <row r="111" spans="1:17" x14ac:dyDescent="0.25">
      <c r="A111" s="1">
        <f t="shared" si="14"/>
        <v>110</v>
      </c>
      <c r="C111" s="8" t="s">
        <v>17</v>
      </c>
      <c r="D111" s="2">
        <v>42802</v>
      </c>
      <c r="E111" s="3">
        <f>17000/100000</f>
        <v>0.17</v>
      </c>
      <c r="F111" t="s">
        <v>24</v>
      </c>
      <c r="G111" t="s">
        <v>25</v>
      </c>
      <c r="H111" t="s">
        <v>26</v>
      </c>
      <c r="I111" s="6" t="s">
        <v>306</v>
      </c>
      <c r="J111" s="61" t="s">
        <v>22</v>
      </c>
      <c r="K111" s="11" t="s">
        <v>328</v>
      </c>
      <c r="L111" s="5" t="str">
        <f t="shared" si="8"/>
        <v>00110</v>
      </c>
      <c r="M111" s="47" t="str">
        <f t="shared" si="9"/>
        <v>08 de marzo de 2017</v>
      </c>
      <c r="N111" s="323">
        <f t="shared" si="13"/>
        <v>8</v>
      </c>
      <c r="O111" s="25">
        <f t="shared" si="10"/>
        <v>42795</v>
      </c>
      <c r="P111" s="5" t="str">
        <f t="shared" si="11"/>
        <v>0,17</v>
      </c>
      <c r="Q111" s="4" t="str">
        <f t="shared" si="12"/>
        <v>Cero Bolívares con 17/100</v>
      </c>
    </row>
    <row r="112" spans="1:17" x14ac:dyDescent="0.25">
      <c r="A112" s="1">
        <f t="shared" si="14"/>
        <v>111</v>
      </c>
      <c r="C112" s="8" t="s">
        <v>17</v>
      </c>
      <c r="D112" s="2">
        <v>42802</v>
      </c>
      <c r="E112" s="3">
        <f>17000/100000</f>
        <v>0.17</v>
      </c>
      <c r="F112" t="s">
        <v>36</v>
      </c>
      <c r="G112" t="s">
        <v>37</v>
      </c>
      <c r="H112" t="s">
        <v>38</v>
      </c>
      <c r="I112" s="6" t="s">
        <v>306</v>
      </c>
      <c r="J112" s="61" t="s">
        <v>22</v>
      </c>
      <c r="K112" s="11" t="s">
        <v>329</v>
      </c>
      <c r="L112" s="5" t="str">
        <f t="shared" si="8"/>
        <v>00111</v>
      </c>
      <c r="M112" s="47" t="str">
        <f t="shared" si="9"/>
        <v>08 de marzo de 2017</v>
      </c>
      <c r="N112" s="323">
        <f t="shared" si="13"/>
        <v>8</v>
      </c>
      <c r="O112" s="25">
        <f t="shared" si="10"/>
        <v>42795</v>
      </c>
      <c r="P112" s="5" t="str">
        <f t="shared" si="11"/>
        <v>0,17</v>
      </c>
      <c r="Q112" s="4" t="str">
        <f t="shared" si="12"/>
        <v>Cero Bolívares con 17/100</v>
      </c>
    </row>
    <row r="113" spans="1:17" x14ac:dyDescent="0.25">
      <c r="A113" s="1">
        <f t="shared" si="14"/>
        <v>112</v>
      </c>
      <c r="C113" s="8" t="s">
        <v>17</v>
      </c>
      <c r="D113" s="2">
        <v>42802</v>
      </c>
      <c r="E113" s="3">
        <f>17000/100000</f>
        <v>0.17</v>
      </c>
      <c r="F113" t="s">
        <v>197</v>
      </c>
      <c r="G113" t="s">
        <v>198</v>
      </c>
      <c r="H113" t="s">
        <v>199</v>
      </c>
      <c r="I113" s="6" t="s">
        <v>142</v>
      </c>
      <c r="J113" s="61" t="s">
        <v>22</v>
      </c>
      <c r="K113" s="11" t="s">
        <v>330</v>
      </c>
      <c r="L113" s="5" t="str">
        <f t="shared" si="8"/>
        <v>00112</v>
      </c>
      <c r="M113" s="47" t="str">
        <f t="shared" si="9"/>
        <v>08 de marzo de 2017</v>
      </c>
      <c r="N113" s="323">
        <f t="shared" si="13"/>
        <v>8</v>
      </c>
      <c r="O113" s="25">
        <f t="shared" si="10"/>
        <v>42795</v>
      </c>
      <c r="P113" s="5" t="str">
        <f t="shared" si="11"/>
        <v>0,17</v>
      </c>
      <c r="Q113" s="4" t="str">
        <f t="shared" si="12"/>
        <v>Cero Bolívares con 17/100</v>
      </c>
    </row>
    <row r="114" spans="1:17" x14ac:dyDescent="0.25">
      <c r="A114" s="1">
        <f t="shared" si="14"/>
        <v>113</v>
      </c>
      <c r="C114" s="8" t="s">
        <v>17</v>
      </c>
      <c r="D114" s="2">
        <v>42802</v>
      </c>
      <c r="E114" s="3">
        <f>1000/100000+17000*2/100000</f>
        <v>0.35000000000000003</v>
      </c>
      <c r="F114" t="s">
        <v>280</v>
      </c>
      <c r="G114" t="s">
        <v>281</v>
      </c>
      <c r="H114" t="s">
        <v>282</v>
      </c>
      <c r="I114" s="6" t="s">
        <v>331</v>
      </c>
      <c r="J114" s="61" t="s">
        <v>22</v>
      </c>
      <c r="K114" s="11" t="s">
        <v>332</v>
      </c>
      <c r="L114" s="5" t="str">
        <f t="shared" si="8"/>
        <v>00113</v>
      </c>
      <c r="M114" s="47" t="str">
        <f t="shared" si="9"/>
        <v>08 de marzo de 2017</v>
      </c>
      <c r="N114" s="323">
        <f t="shared" si="13"/>
        <v>8</v>
      </c>
      <c r="O114" s="25">
        <f t="shared" si="10"/>
        <v>42795</v>
      </c>
      <c r="P114" s="5" t="str">
        <f t="shared" si="11"/>
        <v>0,35</v>
      </c>
      <c r="Q114" s="4" t="str">
        <f t="shared" si="12"/>
        <v>Cero Bolívares con 35/100</v>
      </c>
    </row>
    <row r="115" spans="1:17" x14ac:dyDescent="0.25">
      <c r="A115" s="1">
        <f t="shared" si="14"/>
        <v>114</v>
      </c>
      <c r="C115" s="8" t="s">
        <v>17</v>
      </c>
      <c r="D115" s="2">
        <v>42802</v>
      </c>
      <c r="E115" s="3">
        <f>17000/100000</f>
        <v>0.17</v>
      </c>
      <c r="F115" t="s">
        <v>107</v>
      </c>
      <c r="G115" t="s">
        <v>108</v>
      </c>
      <c r="H115" t="s">
        <v>109</v>
      </c>
      <c r="I115" s="6" t="s">
        <v>306</v>
      </c>
      <c r="J115" s="61" t="s">
        <v>22</v>
      </c>
      <c r="K115" s="11" t="s">
        <v>333</v>
      </c>
      <c r="L115" s="5" t="str">
        <f t="shared" si="8"/>
        <v>00114</v>
      </c>
      <c r="M115" s="47" t="str">
        <f t="shared" si="9"/>
        <v>08 de marzo de 2017</v>
      </c>
      <c r="N115" s="323">
        <f t="shared" si="13"/>
        <v>8</v>
      </c>
      <c r="O115" s="25">
        <f t="shared" si="10"/>
        <v>42795</v>
      </c>
      <c r="P115" s="5" t="str">
        <f t="shared" si="11"/>
        <v>0,17</v>
      </c>
      <c r="Q115" s="4" t="str">
        <f t="shared" si="12"/>
        <v>Cero Bolívares con 17/100</v>
      </c>
    </row>
    <row r="116" spans="1:17" x14ac:dyDescent="0.25">
      <c r="A116" s="1">
        <f t="shared" si="14"/>
        <v>115</v>
      </c>
      <c r="C116" s="8" t="s">
        <v>17</v>
      </c>
      <c r="D116" s="2">
        <v>42802</v>
      </c>
      <c r="E116" s="3">
        <f>17000*2/100000</f>
        <v>0.34</v>
      </c>
      <c r="F116" t="s">
        <v>334</v>
      </c>
      <c r="G116" t="s">
        <v>85</v>
      </c>
      <c r="H116" t="s">
        <v>335</v>
      </c>
      <c r="I116" s="6" t="s">
        <v>222</v>
      </c>
      <c r="J116" s="61" t="s">
        <v>22</v>
      </c>
      <c r="K116" s="11" t="s">
        <v>336</v>
      </c>
      <c r="L116" s="5" t="str">
        <f t="shared" si="8"/>
        <v>00115</v>
      </c>
      <c r="M116" s="47" t="str">
        <f t="shared" si="9"/>
        <v>08 de marzo de 2017</v>
      </c>
      <c r="N116" s="323">
        <f t="shared" si="13"/>
        <v>8</v>
      </c>
      <c r="O116" s="25">
        <f t="shared" si="10"/>
        <v>42795</v>
      </c>
      <c r="P116" s="5" t="str">
        <f t="shared" si="11"/>
        <v>0,34</v>
      </c>
      <c r="Q116" s="4" t="str">
        <f t="shared" si="12"/>
        <v>Cero Bolívares con 34/100</v>
      </c>
    </row>
    <row r="117" spans="1:17" x14ac:dyDescent="0.25">
      <c r="A117" s="1">
        <f t="shared" si="14"/>
        <v>116</v>
      </c>
      <c r="C117" s="8" t="s">
        <v>17</v>
      </c>
      <c r="D117" s="2">
        <v>42802</v>
      </c>
      <c r="E117" s="3">
        <f>17000*2/100000</f>
        <v>0.34</v>
      </c>
      <c r="F117" t="s">
        <v>337</v>
      </c>
      <c r="G117" t="s">
        <v>338</v>
      </c>
      <c r="H117" t="s">
        <v>339</v>
      </c>
      <c r="I117" s="6" t="s">
        <v>222</v>
      </c>
      <c r="J117" s="61" t="s">
        <v>22</v>
      </c>
      <c r="K117" s="11" t="s">
        <v>340</v>
      </c>
      <c r="L117" s="5" t="str">
        <f t="shared" si="8"/>
        <v>00116</v>
      </c>
      <c r="M117" s="47" t="str">
        <f t="shared" si="9"/>
        <v>08 de marzo de 2017</v>
      </c>
      <c r="N117" s="323">
        <f t="shared" si="13"/>
        <v>8</v>
      </c>
      <c r="O117" s="25">
        <f t="shared" si="10"/>
        <v>42795</v>
      </c>
      <c r="P117" s="5" t="str">
        <f t="shared" si="11"/>
        <v>0,34</v>
      </c>
      <c r="Q117" s="4" t="str">
        <f t="shared" si="12"/>
        <v>Cero Bolívares con 34/100</v>
      </c>
    </row>
    <row r="118" spans="1:17" x14ac:dyDescent="0.25">
      <c r="A118" s="1">
        <f t="shared" si="14"/>
        <v>117</v>
      </c>
      <c r="C118" s="8" t="s">
        <v>17</v>
      </c>
      <c r="D118" s="2">
        <v>42804</v>
      </c>
      <c r="E118" s="3">
        <f>17000/100000</f>
        <v>0.17</v>
      </c>
      <c r="F118" t="s">
        <v>70</v>
      </c>
      <c r="G118" t="s">
        <v>71</v>
      </c>
      <c r="H118" t="s">
        <v>72</v>
      </c>
      <c r="I118" s="6" t="s">
        <v>306</v>
      </c>
      <c r="J118" s="61" t="s">
        <v>22</v>
      </c>
      <c r="K118" s="11" t="s">
        <v>341</v>
      </c>
      <c r="L118" s="5" t="str">
        <f t="shared" si="8"/>
        <v>00117</v>
      </c>
      <c r="M118" s="47" t="str">
        <f t="shared" si="9"/>
        <v>10 de marzo de 2017</v>
      </c>
      <c r="N118" s="323">
        <f t="shared" si="13"/>
        <v>10</v>
      </c>
      <c r="O118" s="25">
        <f t="shared" si="10"/>
        <v>42795</v>
      </c>
      <c r="P118" s="5" t="str">
        <f t="shared" si="11"/>
        <v>0,17</v>
      </c>
      <c r="Q118" s="4" t="str">
        <f t="shared" si="12"/>
        <v>Cero Bolívares con 17/100</v>
      </c>
    </row>
    <row r="119" spans="1:17" x14ac:dyDescent="0.25">
      <c r="A119" s="1">
        <f t="shared" si="14"/>
        <v>118</v>
      </c>
      <c r="C119" s="8" t="s">
        <v>17</v>
      </c>
      <c r="D119" s="2">
        <v>42804</v>
      </c>
      <c r="E119" s="3">
        <f>15000*3/100000</f>
        <v>0.45</v>
      </c>
      <c r="F119" t="s">
        <v>342</v>
      </c>
      <c r="G119" t="s">
        <v>343</v>
      </c>
      <c r="H119" t="s">
        <v>344</v>
      </c>
      <c r="I119" s="6" t="s">
        <v>315</v>
      </c>
      <c r="J119" s="61" t="s">
        <v>22</v>
      </c>
      <c r="K119" s="11" t="s">
        <v>345</v>
      </c>
      <c r="L119" s="5" t="str">
        <f t="shared" si="8"/>
        <v>00118</v>
      </c>
      <c r="M119" s="47" t="str">
        <f t="shared" si="9"/>
        <v>10 de marzo de 2017</v>
      </c>
      <c r="N119" s="323">
        <f t="shared" si="13"/>
        <v>10</v>
      </c>
      <c r="O119" s="25">
        <f t="shared" si="10"/>
        <v>42795</v>
      </c>
      <c r="P119" s="5" t="str">
        <f t="shared" si="11"/>
        <v>0,45</v>
      </c>
      <c r="Q119" s="4" t="str">
        <f t="shared" si="12"/>
        <v>Cero Bolívares con 45/100</v>
      </c>
    </row>
    <row r="120" spans="1:17" x14ac:dyDescent="0.25">
      <c r="A120" s="1">
        <f t="shared" si="14"/>
        <v>119</v>
      </c>
      <c r="C120" s="8" t="s">
        <v>17</v>
      </c>
      <c r="D120" s="2">
        <v>42804</v>
      </c>
      <c r="E120" s="3">
        <f>13613/100000</f>
        <v>0.13613</v>
      </c>
      <c r="F120" t="s">
        <v>32</v>
      </c>
      <c r="G120" t="s">
        <v>33</v>
      </c>
      <c r="H120" t="s">
        <v>34</v>
      </c>
      <c r="I120" s="6" t="s">
        <v>112</v>
      </c>
      <c r="J120" s="61" t="s">
        <v>22</v>
      </c>
      <c r="K120" s="11" t="s">
        <v>346</v>
      </c>
      <c r="L120" s="5" t="str">
        <f t="shared" si="8"/>
        <v>00119</v>
      </c>
      <c r="M120" s="47" t="str">
        <f t="shared" si="9"/>
        <v>10 de marzo de 2017</v>
      </c>
      <c r="N120" s="323">
        <f t="shared" si="13"/>
        <v>10</v>
      </c>
      <c r="O120" s="25">
        <f t="shared" si="10"/>
        <v>42795</v>
      </c>
      <c r="P120" s="5" t="str">
        <f t="shared" si="11"/>
        <v>0,14</v>
      </c>
      <c r="Q120" s="4" t="str">
        <f t="shared" si="12"/>
        <v>Cero Bolívares con 14/100</v>
      </c>
    </row>
    <row r="121" spans="1:17" x14ac:dyDescent="0.25">
      <c r="A121" s="1">
        <f t="shared" si="14"/>
        <v>120</v>
      </c>
      <c r="C121" s="8" t="s">
        <v>17</v>
      </c>
      <c r="D121" s="2">
        <v>42800</v>
      </c>
      <c r="E121" s="3">
        <f>17000/100000</f>
        <v>0.17</v>
      </c>
      <c r="F121" t="s">
        <v>259</v>
      </c>
      <c r="G121" t="s">
        <v>260</v>
      </c>
      <c r="H121" t="s">
        <v>261</v>
      </c>
      <c r="I121" s="6" t="s">
        <v>60</v>
      </c>
      <c r="J121" s="61" t="s">
        <v>22</v>
      </c>
      <c r="K121" s="11" t="s">
        <v>347</v>
      </c>
      <c r="L121" s="5" t="str">
        <f t="shared" si="8"/>
        <v>00120</v>
      </c>
      <c r="M121" s="47" t="str">
        <f t="shared" si="9"/>
        <v>06 de marzo de 2017</v>
      </c>
      <c r="N121" s="323">
        <f t="shared" si="13"/>
        <v>6</v>
      </c>
      <c r="O121" s="25">
        <f t="shared" si="10"/>
        <v>42795</v>
      </c>
      <c r="P121" s="5" t="str">
        <f t="shared" si="11"/>
        <v>0,17</v>
      </c>
      <c r="Q121" s="4" t="str">
        <f t="shared" si="12"/>
        <v>Cero Bolívares con 17/100</v>
      </c>
    </row>
    <row r="122" spans="1:17" x14ac:dyDescent="0.25">
      <c r="A122" s="1">
        <f t="shared" si="14"/>
        <v>121</v>
      </c>
      <c r="C122" s="8" t="s">
        <v>17</v>
      </c>
      <c r="D122" s="2">
        <v>42804</v>
      </c>
      <c r="E122" s="3">
        <f>17000/100000</f>
        <v>0.17</v>
      </c>
      <c r="F122" t="s">
        <v>243</v>
      </c>
      <c r="G122" t="s">
        <v>244</v>
      </c>
      <c r="H122" t="s">
        <v>245</v>
      </c>
      <c r="I122" s="6" t="s">
        <v>306</v>
      </c>
      <c r="J122" s="61" t="s">
        <v>22</v>
      </c>
      <c r="K122" s="11" t="s">
        <v>348</v>
      </c>
      <c r="L122" s="5" t="str">
        <f t="shared" si="8"/>
        <v>00121</v>
      </c>
      <c r="M122" s="47" t="str">
        <f t="shared" si="9"/>
        <v>10 de marzo de 2017</v>
      </c>
      <c r="N122" s="323">
        <f t="shared" si="13"/>
        <v>10</v>
      </c>
      <c r="O122" s="25">
        <f t="shared" si="10"/>
        <v>42795</v>
      </c>
      <c r="P122" s="5" t="str">
        <f t="shared" si="11"/>
        <v>0,17</v>
      </c>
      <c r="Q122" s="4" t="str">
        <f t="shared" si="12"/>
        <v>Cero Bolívares con 17/100</v>
      </c>
    </row>
    <row r="123" spans="1:17" x14ac:dyDescent="0.25">
      <c r="A123" s="1">
        <f t="shared" si="14"/>
        <v>122</v>
      </c>
      <c r="C123" s="8" t="s">
        <v>17</v>
      </c>
      <c r="D123" s="2">
        <v>42804</v>
      </c>
      <c r="E123" s="3">
        <f>2800/100000</f>
        <v>2.8000000000000001E-2</v>
      </c>
      <c r="F123" t="s">
        <v>100</v>
      </c>
      <c r="G123" t="s">
        <v>95</v>
      </c>
      <c r="H123" t="s">
        <v>101</v>
      </c>
      <c r="I123" s="6" t="s">
        <v>349</v>
      </c>
      <c r="J123" s="61" t="s">
        <v>22</v>
      </c>
      <c r="K123" s="11" t="s">
        <v>350</v>
      </c>
      <c r="L123" s="5" t="str">
        <f t="shared" si="8"/>
        <v>00122</v>
      </c>
      <c r="M123" s="47" t="str">
        <f t="shared" si="9"/>
        <v>10 de marzo de 2017</v>
      </c>
      <c r="N123" s="323">
        <f t="shared" si="13"/>
        <v>10</v>
      </c>
      <c r="O123" s="25">
        <f t="shared" si="10"/>
        <v>42795</v>
      </c>
      <c r="P123" s="5" t="str">
        <f t="shared" si="11"/>
        <v>0,03</v>
      </c>
      <c r="Q123" s="4" t="str">
        <f t="shared" si="12"/>
        <v>Cero Bolívares con 03/100</v>
      </c>
    </row>
    <row r="124" spans="1:17" x14ac:dyDescent="0.25">
      <c r="A124" s="1">
        <f t="shared" si="14"/>
        <v>123</v>
      </c>
      <c r="C124" s="8" t="s">
        <v>17</v>
      </c>
      <c r="D124" s="2">
        <v>42804</v>
      </c>
      <c r="E124" s="3">
        <f>10000/100000</f>
        <v>0.1</v>
      </c>
      <c r="F124" t="s">
        <v>84</v>
      </c>
      <c r="G124" t="s">
        <v>85</v>
      </c>
      <c r="H124" t="s">
        <v>86</v>
      </c>
      <c r="I124" s="6" t="s">
        <v>317</v>
      </c>
      <c r="J124" s="61" t="s">
        <v>22</v>
      </c>
      <c r="K124" s="11" t="s">
        <v>351</v>
      </c>
      <c r="L124" s="5" t="str">
        <f t="shared" si="8"/>
        <v>00123</v>
      </c>
      <c r="M124" s="47" t="str">
        <f t="shared" si="9"/>
        <v>10 de marzo de 2017</v>
      </c>
      <c r="N124" s="323">
        <f t="shared" si="13"/>
        <v>10</v>
      </c>
      <c r="O124" s="25">
        <f t="shared" si="10"/>
        <v>42795</v>
      </c>
      <c r="P124" s="5" t="str">
        <f t="shared" si="11"/>
        <v>0,10</v>
      </c>
      <c r="Q124" s="4" t="str">
        <f t="shared" si="12"/>
        <v>Cero Bolívares con 10/100</v>
      </c>
    </row>
    <row r="125" spans="1:17" x14ac:dyDescent="0.25">
      <c r="A125" s="1">
        <f t="shared" si="14"/>
        <v>124</v>
      </c>
      <c r="C125" s="8" t="s">
        <v>17</v>
      </c>
      <c r="D125" s="2">
        <v>42805</v>
      </c>
      <c r="E125" s="3">
        <f>10000/100000</f>
        <v>0.1</v>
      </c>
      <c r="F125" t="s">
        <v>181</v>
      </c>
      <c r="G125" t="s">
        <v>182</v>
      </c>
      <c r="H125" t="s">
        <v>183</v>
      </c>
      <c r="I125" s="6" t="s">
        <v>317</v>
      </c>
      <c r="J125" s="61" t="s">
        <v>22</v>
      </c>
      <c r="K125" s="11" t="s">
        <v>352</v>
      </c>
      <c r="L125" s="5" t="str">
        <f t="shared" si="8"/>
        <v>00124</v>
      </c>
      <c r="M125" s="47" t="str">
        <f t="shared" si="9"/>
        <v>11 de marzo de 2017</v>
      </c>
      <c r="N125" s="323">
        <f t="shared" si="13"/>
        <v>11</v>
      </c>
      <c r="O125" s="25">
        <f t="shared" si="10"/>
        <v>42795</v>
      </c>
      <c r="P125" s="5" t="str">
        <f t="shared" si="11"/>
        <v>0,10</v>
      </c>
      <c r="Q125" s="4" t="str">
        <f t="shared" si="12"/>
        <v>Cero Bolívares con 10/100</v>
      </c>
    </row>
    <row r="126" spans="1:17" x14ac:dyDescent="0.25">
      <c r="A126" s="1">
        <f t="shared" si="14"/>
        <v>125</v>
      </c>
      <c r="C126" s="8" t="s">
        <v>17</v>
      </c>
      <c r="D126" s="2">
        <v>42805</v>
      </c>
      <c r="E126" s="3">
        <f>17000/100000</f>
        <v>0.17</v>
      </c>
      <c r="F126" t="s">
        <v>353</v>
      </c>
      <c r="G126" t="s">
        <v>354</v>
      </c>
      <c r="H126" t="s">
        <v>355</v>
      </c>
      <c r="I126" s="6" t="s">
        <v>60</v>
      </c>
      <c r="J126" s="61" t="s">
        <v>22</v>
      </c>
      <c r="K126" s="11" t="s">
        <v>356</v>
      </c>
      <c r="L126" s="5" t="str">
        <f t="shared" si="8"/>
        <v>00125</v>
      </c>
      <c r="M126" s="47" t="str">
        <f t="shared" si="9"/>
        <v>11 de marzo de 2017</v>
      </c>
      <c r="N126" s="323">
        <f t="shared" si="13"/>
        <v>11</v>
      </c>
      <c r="O126" s="25">
        <f t="shared" si="10"/>
        <v>42795</v>
      </c>
      <c r="P126" s="5" t="str">
        <f t="shared" si="11"/>
        <v>0,17</v>
      </c>
      <c r="Q126" s="4" t="str">
        <f t="shared" si="12"/>
        <v>Cero Bolívares con 17/100</v>
      </c>
    </row>
    <row r="127" spans="1:17" x14ac:dyDescent="0.25">
      <c r="A127" s="1">
        <f t="shared" si="14"/>
        <v>126</v>
      </c>
      <c r="C127" s="8" t="s">
        <v>17</v>
      </c>
      <c r="D127" s="2">
        <v>42808</v>
      </c>
      <c r="E127" s="3">
        <f>17000/100000</f>
        <v>0.17</v>
      </c>
      <c r="F127" t="s">
        <v>248</v>
      </c>
      <c r="G127" t="s">
        <v>249</v>
      </c>
      <c r="H127" t="s">
        <v>250</v>
      </c>
      <c r="I127" s="6" t="s">
        <v>306</v>
      </c>
      <c r="J127" s="61" t="s">
        <v>22</v>
      </c>
      <c r="K127" s="11" t="s">
        <v>357</v>
      </c>
      <c r="L127" s="5" t="str">
        <f t="shared" si="8"/>
        <v>00126</v>
      </c>
      <c r="M127" s="47" t="str">
        <f t="shared" si="9"/>
        <v>14 de marzo de 2017</v>
      </c>
      <c r="N127" s="323">
        <f t="shared" si="13"/>
        <v>14</v>
      </c>
      <c r="O127" s="25">
        <f t="shared" si="10"/>
        <v>42795</v>
      </c>
      <c r="P127" s="5" t="str">
        <f t="shared" si="11"/>
        <v>0,17</v>
      </c>
      <c r="Q127" s="4" t="str">
        <f t="shared" si="12"/>
        <v>Cero Bolívares con 17/100</v>
      </c>
    </row>
    <row r="128" spans="1:17" x14ac:dyDescent="0.25">
      <c r="A128" s="1">
        <f t="shared" si="14"/>
        <v>127</v>
      </c>
      <c r="C128" s="8" t="s">
        <v>17</v>
      </c>
      <c r="D128" s="2">
        <v>42804</v>
      </c>
      <c r="E128" s="3">
        <f>3000/100000</f>
        <v>0.03</v>
      </c>
      <c r="F128" t="s">
        <v>94</v>
      </c>
      <c r="G128" t="s">
        <v>95</v>
      </c>
      <c r="H128" t="s">
        <v>96</v>
      </c>
      <c r="I128" s="6" t="s">
        <v>317</v>
      </c>
      <c r="J128" s="61" t="s">
        <v>22</v>
      </c>
      <c r="K128" s="11" t="s">
        <v>358</v>
      </c>
      <c r="L128" s="5" t="str">
        <f t="shared" si="8"/>
        <v>00127</v>
      </c>
      <c r="M128" s="47" t="str">
        <f t="shared" si="9"/>
        <v>10 de marzo de 2017</v>
      </c>
      <c r="N128" s="323">
        <f t="shared" si="13"/>
        <v>10</v>
      </c>
      <c r="O128" s="25">
        <f t="shared" si="10"/>
        <v>42795</v>
      </c>
      <c r="P128" s="5" t="str">
        <f t="shared" si="11"/>
        <v>0,03</v>
      </c>
      <c r="Q128" s="4" t="str">
        <f t="shared" si="12"/>
        <v>Cero Bolívares con 03/100</v>
      </c>
    </row>
    <row r="129" spans="1:17" x14ac:dyDescent="0.25">
      <c r="A129" s="1">
        <f t="shared" si="14"/>
        <v>128</v>
      </c>
      <c r="C129" s="8" t="s">
        <v>17</v>
      </c>
      <c r="D129" s="2">
        <v>42748</v>
      </c>
      <c r="E129" s="3">
        <f>6500/100000</f>
        <v>6.5000000000000002E-2</v>
      </c>
      <c r="F129" t="s">
        <v>62</v>
      </c>
      <c r="G129" t="s">
        <v>63</v>
      </c>
      <c r="H129" t="s">
        <v>64</v>
      </c>
      <c r="I129" s="6" t="s">
        <v>98</v>
      </c>
      <c r="J129" s="61" t="s">
        <v>22</v>
      </c>
      <c r="K129" s="11" t="s">
        <v>359</v>
      </c>
      <c r="L129" s="5" t="str">
        <f t="shared" si="8"/>
        <v>00128</v>
      </c>
      <c r="M129" s="47" t="str">
        <f t="shared" si="9"/>
        <v>13 de enero de 2017</v>
      </c>
      <c r="N129" s="323">
        <f t="shared" si="13"/>
        <v>13</v>
      </c>
      <c r="O129" s="25">
        <f t="shared" si="10"/>
        <v>42736</v>
      </c>
      <c r="P129" s="5" t="str">
        <f t="shared" si="11"/>
        <v>0,07</v>
      </c>
      <c r="Q129" s="4" t="str">
        <f t="shared" si="12"/>
        <v>Cero Bolívares con 06/100</v>
      </c>
    </row>
    <row r="130" spans="1:17" x14ac:dyDescent="0.25">
      <c r="A130" s="1">
        <f t="shared" si="14"/>
        <v>129</v>
      </c>
      <c r="C130" s="8" t="s">
        <v>17</v>
      </c>
      <c r="D130" s="2">
        <v>42795</v>
      </c>
      <c r="E130" s="3">
        <f>17000/100000</f>
        <v>0.17</v>
      </c>
      <c r="F130" t="s">
        <v>211</v>
      </c>
      <c r="G130" t="s">
        <v>212</v>
      </c>
      <c r="H130" t="s">
        <v>213</v>
      </c>
      <c r="I130" s="6" t="s">
        <v>142</v>
      </c>
      <c r="J130" s="61" t="s">
        <v>22</v>
      </c>
      <c r="K130" s="11" t="s">
        <v>360</v>
      </c>
      <c r="L130" s="5" t="str">
        <f t="shared" ref="L130:L193" si="16">IF(ISBLANK(A130),"",TEXT(A130,"00000"))</f>
        <v>00129</v>
      </c>
      <c r="M130" s="47" t="str">
        <f t="shared" ref="M130:M193" si="17">IF(ISBLANK(D130),"",TEXT(D130,"dd")&amp;" de "&amp;TEXT(D130,"mmmm")&amp;" de "&amp;TEXT(YEAR(D130),"0"))</f>
        <v>01 de marzo de 2017</v>
      </c>
      <c r="N130" s="323">
        <f t="shared" si="13"/>
        <v>1</v>
      </c>
      <c r="O130" s="25">
        <f t="shared" ref="O130:O193" si="18">DATE(YEAR(D130),MONTH(D130),1)</f>
        <v>42795</v>
      </c>
      <c r="P130" s="5" t="str">
        <f t="shared" ref="P130:P193" si="19">TEXT(E130,"#.##0,00")</f>
        <v>0,17</v>
      </c>
      <c r="Q130" s="4" t="str">
        <f t="shared" ref="Q130:Q193" si="20">CONVERTIRNUM(E130)</f>
        <v>Cero Bolívares con 17/100</v>
      </c>
    </row>
    <row r="131" spans="1:17" x14ac:dyDescent="0.25">
      <c r="A131" s="1">
        <f t="shared" si="14"/>
        <v>130</v>
      </c>
      <c r="C131" s="8" t="s">
        <v>17</v>
      </c>
      <c r="D131" s="2">
        <v>42800</v>
      </c>
      <c r="E131" s="3">
        <f>17000/100000</f>
        <v>0.17</v>
      </c>
      <c r="F131" t="s">
        <v>215</v>
      </c>
      <c r="G131" t="s">
        <v>216</v>
      </c>
      <c r="H131" t="s">
        <v>217</v>
      </c>
      <c r="I131" s="6" t="s">
        <v>142</v>
      </c>
      <c r="J131" s="61" t="s">
        <v>22</v>
      </c>
      <c r="K131" s="11" t="s">
        <v>361</v>
      </c>
      <c r="L131" s="5" t="str">
        <f t="shared" si="16"/>
        <v>00130</v>
      </c>
      <c r="M131" s="47" t="str">
        <f t="shared" si="17"/>
        <v>06 de marzo de 2017</v>
      </c>
      <c r="N131" s="323">
        <f t="shared" ref="N131:N194" si="21">DAY(D131)</f>
        <v>6</v>
      </c>
      <c r="O131" s="25">
        <f t="shared" si="18"/>
        <v>42795</v>
      </c>
      <c r="P131" s="5" t="str">
        <f t="shared" si="19"/>
        <v>0,17</v>
      </c>
      <c r="Q131" s="4" t="str">
        <f t="shared" si="20"/>
        <v>Cero Bolívares con 17/100</v>
      </c>
    </row>
    <row r="132" spans="1:17" x14ac:dyDescent="0.25">
      <c r="A132" s="1">
        <f t="shared" ref="A132:A195" si="22">A131+1</f>
        <v>131</v>
      </c>
      <c r="C132" s="8" t="s">
        <v>17</v>
      </c>
      <c r="D132" s="2">
        <v>42793</v>
      </c>
      <c r="E132" s="3">
        <f>17000/100000</f>
        <v>0.17</v>
      </c>
      <c r="F132" t="s">
        <v>362</v>
      </c>
      <c r="G132" t="s">
        <v>363</v>
      </c>
      <c r="H132" t="s">
        <v>364</v>
      </c>
      <c r="I132" s="6" t="s">
        <v>60</v>
      </c>
      <c r="J132" s="61" t="s">
        <v>22</v>
      </c>
      <c r="K132" s="11" t="s">
        <v>365</v>
      </c>
      <c r="L132" s="5" t="str">
        <f t="shared" si="16"/>
        <v>00131</v>
      </c>
      <c r="M132" s="47" t="str">
        <f t="shared" si="17"/>
        <v>27 de febrero de 2017</v>
      </c>
      <c r="N132" s="323">
        <f t="shared" si="21"/>
        <v>27</v>
      </c>
      <c r="O132" s="25">
        <f t="shared" si="18"/>
        <v>42767</v>
      </c>
      <c r="P132" s="5" t="str">
        <f t="shared" si="19"/>
        <v>0,17</v>
      </c>
      <c r="Q132" s="4" t="str">
        <f t="shared" si="20"/>
        <v>Cero Bolívares con 17/100</v>
      </c>
    </row>
    <row r="133" spans="1:17" x14ac:dyDescent="0.25">
      <c r="A133" s="1">
        <f t="shared" si="22"/>
        <v>132</v>
      </c>
      <c r="C133" s="8" t="s">
        <v>17</v>
      </c>
      <c r="D133" s="2">
        <v>42780</v>
      </c>
      <c r="E133" s="3">
        <f>17000/100000</f>
        <v>0.17</v>
      </c>
      <c r="F133" t="s">
        <v>122</v>
      </c>
      <c r="G133" t="s">
        <v>123</v>
      </c>
      <c r="H133" t="s">
        <v>124</v>
      </c>
      <c r="I133" s="6" t="s">
        <v>142</v>
      </c>
      <c r="J133" s="61" t="s">
        <v>22</v>
      </c>
      <c r="K133" s="11" t="s">
        <v>366</v>
      </c>
      <c r="L133" s="5" t="str">
        <f t="shared" si="16"/>
        <v>00132</v>
      </c>
      <c r="M133" s="47" t="str">
        <f t="shared" si="17"/>
        <v>14 de febrero de 2017</v>
      </c>
      <c r="N133" s="323">
        <f t="shared" si="21"/>
        <v>14</v>
      </c>
      <c r="O133" s="25">
        <f t="shared" si="18"/>
        <v>42767</v>
      </c>
      <c r="P133" s="5" t="str">
        <f t="shared" si="19"/>
        <v>0,17</v>
      </c>
      <c r="Q133" s="4" t="str">
        <f t="shared" si="20"/>
        <v>Cero Bolívares con 17/100</v>
      </c>
    </row>
    <row r="134" spans="1:17" x14ac:dyDescent="0.25">
      <c r="A134" s="1">
        <f t="shared" si="22"/>
        <v>133</v>
      </c>
      <c r="C134" s="8" t="s">
        <v>17</v>
      </c>
      <c r="D134" s="2">
        <v>42780</v>
      </c>
      <c r="E134" s="3">
        <f>6200/100000</f>
        <v>6.2E-2</v>
      </c>
      <c r="F134" t="s">
        <v>44</v>
      </c>
      <c r="G134" t="s">
        <v>45</v>
      </c>
      <c r="H134" t="s">
        <v>46</v>
      </c>
      <c r="I134" s="6" t="s">
        <v>367</v>
      </c>
      <c r="J134" s="61" t="s">
        <v>368</v>
      </c>
      <c r="K134" s="11" t="s">
        <v>369</v>
      </c>
      <c r="L134" s="5" t="str">
        <f t="shared" si="16"/>
        <v>00133</v>
      </c>
      <c r="M134" s="47" t="str">
        <f t="shared" si="17"/>
        <v>14 de febrero de 2017</v>
      </c>
      <c r="N134" s="323">
        <f t="shared" si="21"/>
        <v>14</v>
      </c>
      <c r="O134" s="25">
        <f t="shared" si="18"/>
        <v>42767</v>
      </c>
      <c r="P134" s="5" t="str">
        <f t="shared" si="19"/>
        <v>0,06</v>
      </c>
      <c r="Q134" s="4" t="str">
        <f t="shared" si="20"/>
        <v>Cero Bolívares con 06/100</v>
      </c>
    </row>
    <row r="135" spans="1:17" x14ac:dyDescent="0.25">
      <c r="A135" s="1">
        <f t="shared" si="22"/>
        <v>134</v>
      </c>
      <c r="C135" s="8" t="s">
        <v>17</v>
      </c>
      <c r="D135" s="2">
        <v>42746</v>
      </c>
      <c r="E135" s="3">
        <f>6500/100000</f>
        <v>6.5000000000000002E-2</v>
      </c>
      <c r="F135" t="s">
        <v>53</v>
      </c>
      <c r="G135" t="s">
        <v>54</v>
      </c>
      <c r="H135" t="s">
        <v>55</v>
      </c>
      <c r="I135" s="6" t="s">
        <v>98</v>
      </c>
      <c r="J135" s="61" t="s">
        <v>22</v>
      </c>
      <c r="K135" s="11" t="s">
        <v>370</v>
      </c>
      <c r="L135" s="5" t="str">
        <f t="shared" si="16"/>
        <v>00134</v>
      </c>
      <c r="M135" s="47" t="str">
        <f t="shared" si="17"/>
        <v>11 de enero de 2017</v>
      </c>
      <c r="N135" s="323">
        <f t="shared" si="21"/>
        <v>11</v>
      </c>
      <c r="O135" s="25">
        <f t="shared" si="18"/>
        <v>42736</v>
      </c>
      <c r="P135" s="5" t="str">
        <f t="shared" si="19"/>
        <v>0,07</v>
      </c>
      <c r="Q135" s="4" t="str">
        <f t="shared" si="20"/>
        <v>Cero Bolívares con 06/100</v>
      </c>
    </row>
    <row r="136" spans="1:17" x14ac:dyDescent="0.25">
      <c r="A136" s="1">
        <f t="shared" si="22"/>
        <v>135</v>
      </c>
      <c r="C136" s="8" t="s">
        <v>17</v>
      </c>
      <c r="D136" s="2">
        <v>42786</v>
      </c>
      <c r="E136" s="3">
        <f>17000*2/100000</f>
        <v>0.34</v>
      </c>
      <c r="F136" s="7" t="s">
        <v>371</v>
      </c>
      <c r="G136" t="s">
        <v>372</v>
      </c>
      <c r="H136" t="s">
        <v>373</v>
      </c>
      <c r="I136" s="6" t="s">
        <v>222</v>
      </c>
      <c r="J136" s="61" t="s">
        <v>22</v>
      </c>
      <c r="K136" s="11" t="s">
        <v>374</v>
      </c>
      <c r="L136" s="5" t="str">
        <f t="shared" si="16"/>
        <v>00135</v>
      </c>
      <c r="M136" s="47" t="str">
        <f t="shared" si="17"/>
        <v>20 de febrero de 2017</v>
      </c>
      <c r="N136" s="323">
        <f t="shared" si="21"/>
        <v>20</v>
      </c>
      <c r="O136" s="25">
        <f t="shared" si="18"/>
        <v>42767</v>
      </c>
      <c r="P136" s="5" t="str">
        <f t="shared" si="19"/>
        <v>0,34</v>
      </c>
      <c r="Q136" s="4" t="str">
        <f t="shared" si="20"/>
        <v>Cero Bolívares con 34/100</v>
      </c>
    </row>
    <row r="137" spans="1:17" x14ac:dyDescent="0.25">
      <c r="A137" s="1">
        <f t="shared" si="22"/>
        <v>136</v>
      </c>
      <c r="C137" s="8" t="s">
        <v>17</v>
      </c>
      <c r="D137" s="2">
        <v>42808</v>
      </c>
      <c r="E137" s="3">
        <f>17000/100000</f>
        <v>0.17</v>
      </c>
      <c r="F137" t="s">
        <v>122</v>
      </c>
      <c r="G137" t="s">
        <v>123</v>
      </c>
      <c r="H137" t="s">
        <v>124</v>
      </c>
      <c r="I137" s="6" t="s">
        <v>306</v>
      </c>
      <c r="J137" s="61" t="s">
        <v>22</v>
      </c>
      <c r="K137" s="11" t="s">
        <v>375</v>
      </c>
      <c r="L137" s="5" t="str">
        <f t="shared" si="16"/>
        <v>00136</v>
      </c>
      <c r="M137" s="47" t="str">
        <f t="shared" si="17"/>
        <v>14 de marzo de 2017</v>
      </c>
      <c r="N137" s="323">
        <f t="shared" si="21"/>
        <v>14</v>
      </c>
      <c r="O137" s="25">
        <f t="shared" si="18"/>
        <v>42795</v>
      </c>
      <c r="P137" s="5" t="str">
        <f t="shared" si="19"/>
        <v>0,17</v>
      </c>
      <c r="Q137" s="4" t="str">
        <f t="shared" si="20"/>
        <v>Cero Bolívares con 17/100</v>
      </c>
    </row>
    <row r="138" spans="1:17" x14ac:dyDescent="0.25">
      <c r="A138" s="1">
        <f t="shared" si="22"/>
        <v>137</v>
      </c>
      <c r="C138" s="8" t="s">
        <v>17</v>
      </c>
      <c r="D138" s="2">
        <v>42808</v>
      </c>
      <c r="E138" s="3">
        <f>5000/100000</f>
        <v>0.05</v>
      </c>
      <c r="F138" t="s">
        <v>74</v>
      </c>
      <c r="G138" s="18" t="s">
        <v>58</v>
      </c>
      <c r="H138" t="s">
        <v>75</v>
      </c>
      <c r="I138" s="6" t="s">
        <v>317</v>
      </c>
      <c r="J138" s="61" t="s">
        <v>22</v>
      </c>
      <c r="K138" s="11" t="s">
        <v>376</v>
      </c>
      <c r="L138" s="5" t="str">
        <f t="shared" si="16"/>
        <v>00137</v>
      </c>
      <c r="M138" s="47" t="str">
        <f t="shared" si="17"/>
        <v>14 de marzo de 2017</v>
      </c>
      <c r="N138" s="323">
        <f t="shared" si="21"/>
        <v>14</v>
      </c>
      <c r="O138" s="25">
        <f t="shared" si="18"/>
        <v>42795</v>
      </c>
      <c r="P138" s="5" t="str">
        <f t="shared" si="19"/>
        <v>0,05</v>
      </c>
      <c r="Q138" s="4" t="str">
        <f t="shared" si="20"/>
        <v>Cero Bolívares con 05/100</v>
      </c>
    </row>
    <row r="139" spans="1:17" x14ac:dyDescent="0.25">
      <c r="A139" s="1">
        <f t="shared" si="22"/>
        <v>138</v>
      </c>
      <c r="C139" s="8" t="s">
        <v>17</v>
      </c>
      <c r="D139" s="2">
        <v>42804</v>
      </c>
      <c r="E139" s="3">
        <f>22000/100000</f>
        <v>0.22</v>
      </c>
      <c r="F139" t="s">
        <v>66</v>
      </c>
      <c r="G139" t="s">
        <v>67</v>
      </c>
      <c r="H139" t="s">
        <v>68</v>
      </c>
      <c r="I139" s="6" t="s">
        <v>306</v>
      </c>
      <c r="J139" s="61" t="s">
        <v>22</v>
      </c>
      <c r="K139" s="11" t="s">
        <v>377</v>
      </c>
      <c r="L139" s="5" t="str">
        <f t="shared" si="16"/>
        <v>00138</v>
      </c>
      <c r="M139" s="47" t="str">
        <f t="shared" si="17"/>
        <v>10 de marzo de 2017</v>
      </c>
      <c r="N139" s="323">
        <f t="shared" si="21"/>
        <v>10</v>
      </c>
      <c r="O139" s="25">
        <f t="shared" si="18"/>
        <v>42795</v>
      </c>
      <c r="P139" s="5" t="str">
        <f t="shared" si="19"/>
        <v>0,22</v>
      </c>
      <c r="Q139" s="4" t="str">
        <f t="shared" si="20"/>
        <v>Cero Bolívares con 22/100</v>
      </c>
    </row>
    <row r="140" spans="1:17" x14ac:dyDescent="0.25">
      <c r="A140" s="1">
        <f t="shared" si="22"/>
        <v>139</v>
      </c>
      <c r="C140" s="8" t="s">
        <v>17</v>
      </c>
      <c r="D140" s="2">
        <v>42810</v>
      </c>
      <c r="E140" s="3">
        <f>17000/100000</f>
        <v>0.17</v>
      </c>
      <c r="F140" t="s">
        <v>44</v>
      </c>
      <c r="G140" t="s">
        <v>45</v>
      </c>
      <c r="H140" t="s">
        <v>46</v>
      </c>
      <c r="I140" s="6" t="s">
        <v>306</v>
      </c>
      <c r="J140" s="61" t="s">
        <v>22</v>
      </c>
      <c r="K140" s="11" t="s">
        <v>378</v>
      </c>
      <c r="L140" s="5" t="str">
        <f t="shared" si="16"/>
        <v>00139</v>
      </c>
      <c r="M140" s="47" t="str">
        <f t="shared" si="17"/>
        <v>16 de marzo de 2017</v>
      </c>
      <c r="N140" s="323">
        <f t="shared" si="21"/>
        <v>16</v>
      </c>
      <c r="O140" s="25">
        <f t="shared" si="18"/>
        <v>42795</v>
      </c>
      <c r="P140" s="5" t="str">
        <f t="shared" si="19"/>
        <v>0,17</v>
      </c>
      <c r="Q140" s="4" t="str">
        <f t="shared" si="20"/>
        <v>Cero Bolívares con 17/100</v>
      </c>
    </row>
    <row r="141" spans="1:17" x14ac:dyDescent="0.25">
      <c r="A141" s="1">
        <f t="shared" si="22"/>
        <v>140</v>
      </c>
      <c r="C141" s="8" t="s">
        <v>17</v>
      </c>
      <c r="D141" s="2">
        <v>42813</v>
      </c>
      <c r="E141" s="3">
        <f>17000/100000</f>
        <v>0.17</v>
      </c>
      <c r="F141" t="s">
        <v>334</v>
      </c>
      <c r="G141" t="s">
        <v>85</v>
      </c>
      <c r="H141" t="s">
        <v>335</v>
      </c>
      <c r="I141" s="6" t="s">
        <v>306</v>
      </c>
      <c r="J141" s="61" t="s">
        <v>22</v>
      </c>
      <c r="K141" s="11" t="s">
        <v>379</v>
      </c>
      <c r="L141" s="5" t="str">
        <f t="shared" si="16"/>
        <v>00140</v>
      </c>
      <c r="M141" s="47" t="str">
        <f t="shared" si="17"/>
        <v>19 de marzo de 2017</v>
      </c>
      <c r="N141" s="323">
        <f t="shared" si="21"/>
        <v>19</v>
      </c>
      <c r="O141" s="25">
        <f t="shared" si="18"/>
        <v>42795</v>
      </c>
      <c r="P141" s="5" t="str">
        <f t="shared" si="19"/>
        <v>0,17</v>
      </c>
      <c r="Q141" s="4" t="str">
        <f t="shared" si="20"/>
        <v>Cero Bolívares con 17/100</v>
      </c>
    </row>
    <row r="142" spans="1:17" x14ac:dyDescent="0.25">
      <c r="A142" s="1">
        <f t="shared" si="22"/>
        <v>141</v>
      </c>
      <c r="C142" s="8" t="s">
        <v>17</v>
      </c>
      <c r="D142" s="2">
        <v>42812</v>
      </c>
      <c r="E142" s="3">
        <f>10000/100000</f>
        <v>0.1</v>
      </c>
      <c r="F142" t="s">
        <v>118</v>
      </c>
      <c r="G142" t="s">
        <v>119</v>
      </c>
      <c r="H142" t="s">
        <v>120</v>
      </c>
      <c r="I142" s="6" t="s">
        <v>317</v>
      </c>
      <c r="J142" s="61" t="s">
        <v>22</v>
      </c>
      <c r="K142" s="11" t="s">
        <v>380</v>
      </c>
      <c r="L142" s="5" t="str">
        <f t="shared" si="16"/>
        <v>00141</v>
      </c>
      <c r="M142" s="47" t="str">
        <f t="shared" si="17"/>
        <v>18 de marzo de 2017</v>
      </c>
      <c r="N142" s="323">
        <f t="shared" si="21"/>
        <v>18</v>
      </c>
      <c r="O142" s="25">
        <f t="shared" si="18"/>
        <v>42795</v>
      </c>
      <c r="P142" s="5" t="str">
        <f t="shared" si="19"/>
        <v>0,10</v>
      </c>
      <c r="Q142" s="4" t="str">
        <f t="shared" si="20"/>
        <v>Cero Bolívares con 10/100</v>
      </c>
    </row>
    <row r="143" spans="1:17" x14ac:dyDescent="0.25">
      <c r="A143" s="1">
        <f t="shared" si="22"/>
        <v>142</v>
      </c>
      <c r="C143" s="8" t="s">
        <v>17</v>
      </c>
      <c r="D143" s="2">
        <v>42810</v>
      </c>
      <c r="E143" s="3">
        <f>18000/100000</f>
        <v>0.18</v>
      </c>
      <c r="F143" t="s">
        <v>324</v>
      </c>
      <c r="G143" t="s">
        <v>325</v>
      </c>
      <c r="H143" t="s">
        <v>326</v>
      </c>
      <c r="I143" s="6" t="s">
        <v>381</v>
      </c>
      <c r="J143" s="61" t="s">
        <v>22</v>
      </c>
      <c r="K143" s="11" t="s">
        <v>382</v>
      </c>
      <c r="L143" s="5" t="str">
        <f t="shared" si="16"/>
        <v>00142</v>
      </c>
      <c r="M143" s="47" t="str">
        <f t="shared" si="17"/>
        <v>16 de marzo de 2017</v>
      </c>
      <c r="N143" s="323">
        <f t="shared" si="21"/>
        <v>16</v>
      </c>
      <c r="O143" s="25">
        <f t="shared" si="18"/>
        <v>42795</v>
      </c>
      <c r="P143" s="5" t="str">
        <f t="shared" si="19"/>
        <v>0,18</v>
      </c>
      <c r="Q143" s="4" t="str">
        <f t="shared" si="20"/>
        <v>Cero Bolívares con 18/100</v>
      </c>
    </row>
    <row r="144" spans="1:17" x14ac:dyDescent="0.25">
      <c r="A144" s="1">
        <f t="shared" si="22"/>
        <v>143</v>
      </c>
      <c r="C144" s="8" t="s">
        <v>17</v>
      </c>
      <c r="D144" s="2">
        <v>42809</v>
      </c>
      <c r="E144" s="3">
        <f>17000/100000</f>
        <v>0.17</v>
      </c>
      <c r="F144" t="s">
        <v>148</v>
      </c>
      <c r="G144" t="s">
        <v>149</v>
      </c>
      <c r="H144" t="s">
        <v>150</v>
      </c>
      <c r="I144" s="6" t="s">
        <v>306</v>
      </c>
      <c r="J144" s="61" t="s">
        <v>22</v>
      </c>
      <c r="K144" s="11" t="s">
        <v>383</v>
      </c>
      <c r="L144" s="5" t="str">
        <f t="shared" si="16"/>
        <v>00143</v>
      </c>
      <c r="M144" s="47" t="str">
        <f t="shared" si="17"/>
        <v>15 de marzo de 2017</v>
      </c>
      <c r="N144" s="323">
        <f t="shared" si="21"/>
        <v>15</v>
      </c>
      <c r="O144" s="25">
        <f t="shared" si="18"/>
        <v>42795</v>
      </c>
      <c r="P144" s="5" t="str">
        <f t="shared" si="19"/>
        <v>0,17</v>
      </c>
      <c r="Q144" s="4" t="str">
        <f t="shared" si="20"/>
        <v>Cero Bolívares con 17/100</v>
      </c>
    </row>
    <row r="145" spans="1:17" x14ac:dyDescent="0.25">
      <c r="A145" s="1">
        <f t="shared" si="22"/>
        <v>144</v>
      </c>
      <c r="C145" s="8" t="s">
        <v>17</v>
      </c>
      <c r="D145" s="2">
        <v>42810</v>
      </c>
      <c r="E145" s="3">
        <f>17000/100000</f>
        <v>0.17</v>
      </c>
      <c r="F145" t="s">
        <v>103</v>
      </c>
      <c r="G145" t="s">
        <v>104</v>
      </c>
      <c r="H145" t="s">
        <v>105</v>
      </c>
      <c r="I145" s="6" t="s">
        <v>306</v>
      </c>
      <c r="J145" s="61" t="s">
        <v>22</v>
      </c>
      <c r="K145" s="11" t="s">
        <v>384</v>
      </c>
      <c r="L145" s="5" t="str">
        <f t="shared" si="16"/>
        <v>00144</v>
      </c>
      <c r="M145" s="47" t="str">
        <f t="shared" si="17"/>
        <v>16 de marzo de 2017</v>
      </c>
      <c r="N145" s="323">
        <f t="shared" si="21"/>
        <v>16</v>
      </c>
      <c r="O145" s="25">
        <f t="shared" si="18"/>
        <v>42795</v>
      </c>
      <c r="P145" s="5" t="str">
        <f t="shared" si="19"/>
        <v>0,17</v>
      </c>
      <c r="Q145" s="4" t="str">
        <f t="shared" si="20"/>
        <v>Cero Bolívares con 17/100</v>
      </c>
    </row>
    <row r="146" spans="1:17" x14ac:dyDescent="0.25">
      <c r="A146" s="1">
        <f t="shared" si="22"/>
        <v>145</v>
      </c>
      <c r="C146" s="8" t="s">
        <v>17</v>
      </c>
      <c r="D146" s="2">
        <v>42809</v>
      </c>
      <c r="E146" s="3">
        <f>17000/100000</f>
        <v>0.17</v>
      </c>
      <c r="F146" t="s">
        <v>80</v>
      </c>
      <c r="G146" t="s">
        <v>81</v>
      </c>
      <c r="H146" t="s">
        <v>82</v>
      </c>
      <c r="I146" s="6" t="s">
        <v>306</v>
      </c>
      <c r="J146" s="61" t="s">
        <v>22</v>
      </c>
      <c r="K146" s="11" t="s">
        <v>385</v>
      </c>
      <c r="L146" s="5" t="str">
        <f t="shared" si="16"/>
        <v>00145</v>
      </c>
      <c r="M146" s="47" t="str">
        <f t="shared" si="17"/>
        <v>15 de marzo de 2017</v>
      </c>
      <c r="N146" s="323">
        <f t="shared" si="21"/>
        <v>15</v>
      </c>
      <c r="O146" s="25">
        <f t="shared" si="18"/>
        <v>42795</v>
      </c>
      <c r="P146" s="5" t="str">
        <f t="shared" si="19"/>
        <v>0,17</v>
      </c>
      <c r="Q146" s="4" t="str">
        <f t="shared" si="20"/>
        <v>Cero Bolívares con 17/100</v>
      </c>
    </row>
    <row r="147" spans="1:17" x14ac:dyDescent="0.25">
      <c r="A147" s="1">
        <f t="shared" si="22"/>
        <v>146</v>
      </c>
      <c r="C147" s="8" t="s">
        <v>17</v>
      </c>
      <c r="D147" s="2">
        <v>42809</v>
      </c>
      <c r="E147" s="3">
        <f>10500/100000</f>
        <v>0.105</v>
      </c>
      <c r="F147" t="s">
        <v>177</v>
      </c>
      <c r="G147" t="s">
        <v>178</v>
      </c>
      <c r="H147" t="s">
        <v>179</v>
      </c>
      <c r="I147" s="6" t="s">
        <v>112</v>
      </c>
      <c r="J147" s="61" t="s">
        <v>22</v>
      </c>
      <c r="K147" s="11" t="s">
        <v>386</v>
      </c>
      <c r="L147" s="5" t="str">
        <f t="shared" si="16"/>
        <v>00146</v>
      </c>
      <c r="M147" s="47" t="str">
        <f t="shared" si="17"/>
        <v>15 de marzo de 2017</v>
      </c>
      <c r="N147" s="323">
        <f t="shared" si="21"/>
        <v>15</v>
      </c>
      <c r="O147" s="25">
        <f t="shared" si="18"/>
        <v>42795</v>
      </c>
      <c r="P147" s="5" t="str">
        <f t="shared" si="19"/>
        <v>0,11</v>
      </c>
      <c r="Q147" s="4" t="str">
        <f t="shared" si="20"/>
        <v>Cero Bolívares con 10/100</v>
      </c>
    </row>
    <row r="148" spans="1:17" x14ac:dyDescent="0.25">
      <c r="A148" s="1">
        <f t="shared" si="22"/>
        <v>147</v>
      </c>
      <c r="C148" s="8" t="s">
        <v>17</v>
      </c>
      <c r="D148" s="2">
        <v>42819</v>
      </c>
      <c r="E148" s="3">
        <f>6500/100000+10500/100000</f>
        <v>0.16999999999999998</v>
      </c>
      <c r="F148" t="s">
        <v>177</v>
      </c>
      <c r="G148" t="s">
        <v>178</v>
      </c>
      <c r="H148" t="s">
        <v>179</v>
      </c>
      <c r="I148" s="6" t="s">
        <v>387</v>
      </c>
      <c r="J148" s="61" t="s">
        <v>22</v>
      </c>
      <c r="K148" s="11" t="s">
        <v>388</v>
      </c>
      <c r="L148" s="5" t="str">
        <f t="shared" si="16"/>
        <v>00147</v>
      </c>
      <c r="M148" s="47" t="str">
        <f t="shared" si="17"/>
        <v>25 de marzo de 2017</v>
      </c>
      <c r="N148" s="323">
        <f t="shared" si="21"/>
        <v>25</v>
      </c>
      <c r="O148" s="25">
        <f t="shared" si="18"/>
        <v>42795</v>
      </c>
      <c r="P148" s="5" t="str">
        <f t="shared" si="19"/>
        <v>0,17</v>
      </c>
      <c r="Q148" s="4" t="str">
        <f t="shared" si="20"/>
        <v>Cero Bolívares con 17/100</v>
      </c>
    </row>
    <row r="149" spans="1:17" x14ac:dyDescent="0.25">
      <c r="A149" s="1">
        <f t="shared" si="22"/>
        <v>148</v>
      </c>
      <c r="C149" s="8" t="s">
        <v>17</v>
      </c>
      <c r="D149" s="2">
        <v>42815</v>
      </c>
      <c r="E149" s="3">
        <f>17000/100000</f>
        <v>0.17</v>
      </c>
      <c r="F149" t="s">
        <v>185</v>
      </c>
      <c r="G149" t="s">
        <v>186</v>
      </c>
      <c r="H149" t="s">
        <v>187</v>
      </c>
      <c r="I149" s="6" t="s">
        <v>142</v>
      </c>
      <c r="J149" s="61" t="s">
        <v>22</v>
      </c>
      <c r="K149" s="11" t="s">
        <v>389</v>
      </c>
      <c r="L149" s="5" t="str">
        <f t="shared" si="16"/>
        <v>00148</v>
      </c>
      <c r="M149" s="47" t="str">
        <f t="shared" si="17"/>
        <v>21 de marzo de 2017</v>
      </c>
      <c r="N149" s="323">
        <f t="shared" si="21"/>
        <v>21</v>
      </c>
      <c r="O149" s="25">
        <f t="shared" si="18"/>
        <v>42795</v>
      </c>
      <c r="P149" s="5" t="str">
        <f t="shared" si="19"/>
        <v>0,17</v>
      </c>
      <c r="Q149" s="4" t="str">
        <f t="shared" si="20"/>
        <v>Cero Bolívares con 17/100</v>
      </c>
    </row>
    <row r="150" spans="1:17" x14ac:dyDescent="0.25">
      <c r="A150" s="1">
        <f t="shared" si="22"/>
        <v>149</v>
      </c>
      <c r="C150" s="8" t="s">
        <v>17</v>
      </c>
      <c r="D150" s="2">
        <v>42818</v>
      </c>
      <c r="E150" s="3">
        <f>17000/100000</f>
        <v>0.17</v>
      </c>
      <c r="F150" t="s">
        <v>167</v>
      </c>
      <c r="G150" t="s">
        <v>168</v>
      </c>
      <c r="H150" t="s">
        <v>169</v>
      </c>
      <c r="I150" s="6" t="s">
        <v>306</v>
      </c>
      <c r="J150" s="61" t="s">
        <v>22</v>
      </c>
      <c r="K150" s="11" t="s">
        <v>390</v>
      </c>
      <c r="L150" s="5" t="str">
        <f t="shared" si="16"/>
        <v>00149</v>
      </c>
      <c r="M150" s="47" t="str">
        <f t="shared" si="17"/>
        <v>24 de marzo de 2017</v>
      </c>
      <c r="N150" s="323">
        <f t="shared" si="21"/>
        <v>24</v>
      </c>
      <c r="O150" s="25">
        <f t="shared" si="18"/>
        <v>42795</v>
      </c>
      <c r="P150" s="5" t="str">
        <f t="shared" si="19"/>
        <v>0,17</v>
      </c>
      <c r="Q150" s="4" t="str">
        <f t="shared" si="20"/>
        <v>Cero Bolívares con 17/100</v>
      </c>
    </row>
    <row r="151" spans="1:17" x14ac:dyDescent="0.25">
      <c r="A151" s="1">
        <f t="shared" si="22"/>
        <v>150</v>
      </c>
      <c r="C151" s="8" t="s">
        <v>17</v>
      </c>
      <c r="D151" s="2">
        <v>42820</v>
      </c>
      <c r="E151" s="3">
        <f>3000/100000</f>
        <v>0.03</v>
      </c>
      <c r="F151" t="s">
        <v>303</v>
      </c>
      <c r="G151" s="18" t="s">
        <v>58</v>
      </c>
      <c r="H151" t="s">
        <v>304</v>
      </c>
      <c r="I151" s="6" t="s">
        <v>317</v>
      </c>
      <c r="J151" s="61" t="s">
        <v>22</v>
      </c>
      <c r="K151" s="11" t="s">
        <v>391</v>
      </c>
      <c r="L151" s="5" t="str">
        <f t="shared" si="16"/>
        <v>00150</v>
      </c>
      <c r="M151" s="47" t="str">
        <f t="shared" si="17"/>
        <v>26 de marzo de 2017</v>
      </c>
      <c r="N151" s="323">
        <f t="shared" si="21"/>
        <v>26</v>
      </c>
      <c r="O151" s="25">
        <f t="shared" si="18"/>
        <v>42795</v>
      </c>
      <c r="P151" s="5" t="str">
        <f t="shared" si="19"/>
        <v>0,03</v>
      </c>
      <c r="Q151" s="4" t="str">
        <f t="shared" si="20"/>
        <v>Cero Bolívares con 03/100</v>
      </c>
    </row>
    <row r="152" spans="1:17" x14ac:dyDescent="0.25">
      <c r="A152" s="1">
        <f t="shared" si="22"/>
        <v>151</v>
      </c>
      <c r="C152" s="8" t="s">
        <v>17</v>
      </c>
      <c r="D152" s="2">
        <v>42821</v>
      </c>
      <c r="E152" s="3">
        <f>17000/100000</f>
        <v>0.17</v>
      </c>
      <c r="F152" t="s">
        <v>126</v>
      </c>
      <c r="G152" t="s">
        <v>127</v>
      </c>
      <c r="H152" t="s">
        <v>128</v>
      </c>
      <c r="I152" s="6" t="s">
        <v>306</v>
      </c>
      <c r="J152" s="61" t="s">
        <v>22</v>
      </c>
      <c r="K152" s="11" t="s">
        <v>392</v>
      </c>
      <c r="L152" s="5" t="str">
        <f t="shared" si="16"/>
        <v>00151</v>
      </c>
      <c r="M152" s="47" t="str">
        <f t="shared" si="17"/>
        <v>27 de marzo de 2017</v>
      </c>
      <c r="N152" s="323">
        <f t="shared" si="21"/>
        <v>27</v>
      </c>
      <c r="O152" s="25">
        <f t="shared" si="18"/>
        <v>42795</v>
      </c>
      <c r="P152" s="5" t="str">
        <f t="shared" si="19"/>
        <v>0,17</v>
      </c>
      <c r="Q152" s="4" t="str">
        <f t="shared" si="20"/>
        <v>Cero Bolívares con 17/100</v>
      </c>
    </row>
    <row r="153" spans="1:17" x14ac:dyDescent="0.25">
      <c r="A153" s="1">
        <f t="shared" si="22"/>
        <v>152</v>
      </c>
      <c r="C153" s="8" t="s">
        <v>17</v>
      </c>
      <c r="D153" s="2">
        <v>42824</v>
      </c>
      <c r="E153" s="3">
        <f>4000/100000</f>
        <v>0.04</v>
      </c>
      <c r="F153" t="s">
        <v>144</v>
      </c>
      <c r="G153" t="s">
        <v>145</v>
      </c>
      <c r="H153" t="s">
        <v>146</v>
      </c>
      <c r="I153" s="6" t="s">
        <v>317</v>
      </c>
      <c r="J153" s="61" t="s">
        <v>22</v>
      </c>
      <c r="K153" s="11" t="s">
        <v>393</v>
      </c>
      <c r="L153" s="5" t="str">
        <f t="shared" si="16"/>
        <v>00152</v>
      </c>
      <c r="M153" s="47" t="str">
        <f t="shared" si="17"/>
        <v>30 de marzo de 2017</v>
      </c>
      <c r="N153" s="323">
        <f t="shared" si="21"/>
        <v>30</v>
      </c>
      <c r="O153" s="25">
        <f t="shared" si="18"/>
        <v>42795</v>
      </c>
      <c r="P153" s="5" t="str">
        <f t="shared" si="19"/>
        <v>0,04</v>
      </c>
      <c r="Q153" s="4" t="str">
        <f t="shared" si="20"/>
        <v>Cero Bolívares con 04/100</v>
      </c>
    </row>
    <row r="154" spans="1:17" x14ac:dyDescent="0.25">
      <c r="A154" s="1">
        <f t="shared" si="22"/>
        <v>153</v>
      </c>
      <c r="C154" s="8" t="s">
        <v>17</v>
      </c>
      <c r="D154" s="2">
        <v>42824</v>
      </c>
      <c r="E154" s="3">
        <f>10000/100000</f>
        <v>0.1</v>
      </c>
      <c r="F154" t="s">
        <v>296</v>
      </c>
      <c r="G154" t="s">
        <v>297</v>
      </c>
      <c r="H154" t="s">
        <v>298</v>
      </c>
      <c r="I154" s="6" t="s">
        <v>317</v>
      </c>
      <c r="J154" s="61" t="s">
        <v>22</v>
      </c>
      <c r="K154" s="11" t="s">
        <v>394</v>
      </c>
      <c r="L154" s="5" t="str">
        <f t="shared" si="16"/>
        <v>00153</v>
      </c>
      <c r="M154" s="47" t="str">
        <f t="shared" si="17"/>
        <v>30 de marzo de 2017</v>
      </c>
      <c r="N154" s="323">
        <f t="shared" si="21"/>
        <v>30</v>
      </c>
      <c r="O154" s="25">
        <f t="shared" si="18"/>
        <v>42795</v>
      </c>
      <c r="P154" s="5" t="str">
        <f t="shared" si="19"/>
        <v>0,10</v>
      </c>
      <c r="Q154" s="4" t="str">
        <f t="shared" si="20"/>
        <v>Cero Bolívares con 10/100</v>
      </c>
    </row>
    <row r="155" spans="1:17" x14ac:dyDescent="0.25">
      <c r="A155" s="1">
        <f t="shared" si="22"/>
        <v>154</v>
      </c>
      <c r="C155" s="8" t="s">
        <v>17</v>
      </c>
      <c r="D155" s="2">
        <v>42829</v>
      </c>
      <c r="E155" s="3">
        <f>17000/100000</f>
        <v>0.17</v>
      </c>
      <c r="F155" t="s">
        <v>107</v>
      </c>
      <c r="G155" t="s">
        <v>108</v>
      </c>
      <c r="H155" t="s">
        <v>109</v>
      </c>
      <c r="I155" s="6" t="s">
        <v>395</v>
      </c>
      <c r="J155" s="61" t="s">
        <v>22</v>
      </c>
      <c r="L155" s="5" t="str">
        <f t="shared" si="16"/>
        <v>00154</v>
      </c>
      <c r="M155" s="47" t="str">
        <f t="shared" si="17"/>
        <v>04 de abril de 2017</v>
      </c>
      <c r="N155" s="323">
        <f t="shared" si="21"/>
        <v>4</v>
      </c>
      <c r="O155" s="25">
        <f t="shared" si="18"/>
        <v>42826</v>
      </c>
      <c r="P155" s="5" t="str">
        <f t="shared" si="19"/>
        <v>0,17</v>
      </c>
      <c r="Q155" s="4" t="str">
        <f t="shared" si="20"/>
        <v>Cero Bolívares con 17/100</v>
      </c>
    </row>
    <row r="156" spans="1:17" x14ac:dyDescent="0.25">
      <c r="A156" s="1">
        <f t="shared" si="22"/>
        <v>155</v>
      </c>
      <c r="C156" s="8" t="s">
        <v>17</v>
      </c>
      <c r="D156" s="2">
        <v>42829</v>
      </c>
      <c r="E156" s="3">
        <f>10500*2/100000</f>
        <v>0.21</v>
      </c>
      <c r="F156" t="s">
        <v>28</v>
      </c>
      <c r="G156" t="s">
        <v>29</v>
      </c>
      <c r="H156" t="s">
        <v>30</v>
      </c>
      <c r="I156" s="6" t="s">
        <v>396</v>
      </c>
      <c r="J156" s="61" t="s">
        <v>22</v>
      </c>
      <c r="L156" s="5" t="str">
        <f t="shared" si="16"/>
        <v>00155</v>
      </c>
      <c r="M156" s="47" t="str">
        <f t="shared" si="17"/>
        <v>04 de abril de 2017</v>
      </c>
      <c r="N156" s="323">
        <f t="shared" si="21"/>
        <v>4</v>
      </c>
      <c r="O156" s="25">
        <f t="shared" si="18"/>
        <v>42826</v>
      </c>
      <c r="P156" s="5" t="str">
        <f t="shared" si="19"/>
        <v>0,21</v>
      </c>
      <c r="Q156" s="4" t="str">
        <f t="shared" si="20"/>
        <v>Cero Bolívares con 21/100</v>
      </c>
    </row>
    <row r="157" spans="1:17" x14ac:dyDescent="0.25">
      <c r="A157" s="1">
        <f t="shared" si="22"/>
        <v>156</v>
      </c>
      <c r="C157" s="8" t="s">
        <v>17</v>
      </c>
      <c r="D157" s="2">
        <v>42821</v>
      </c>
      <c r="E157" s="3">
        <f>17000*2/100000</f>
        <v>0.34</v>
      </c>
      <c r="F157" t="s">
        <v>353</v>
      </c>
      <c r="G157" t="s">
        <v>354</v>
      </c>
      <c r="H157" t="s">
        <v>355</v>
      </c>
      <c r="I157" s="6" t="s">
        <v>195</v>
      </c>
      <c r="J157" s="61" t="s">
        <v>22</v>
      </c>
      <c r="L157" s="5" t="str">
        <f t="shared" si="16"/>
        <v>00156</v>
      </c>
      <c r="M157" s="47" t="str">
        <f t="shared" si="17"/>
        <v>27 de marzo de 2017</v>
      </c>
      <c r="N157" s="323">
        <f t="shared" si="21"/>
        <v>27</v>
      </c>
      <c r="O157" s="25">
        <f t="shared" si="18"/>
        <v>42795</v>
      </c>
      <c r="P157" s="5" t="str">
        <f t="shared" si="19"/>
        <v>0,34</v>
      </c>
      <c r="Q157" s="4" t="str">
        <f t="shared" si="20"/>
        <v>Cero Bolívares con 34/100</v>
      </c>
    </row>
    <row r="158" spans="1:17" x14ac:dyDescent="0.25">
      <c r="A158" s="1">
        <f t="shared" si="22"/>
        <v>157</v>
      </c>
      <c r="C158" s="8" t="s">
        <v>17</v>
      </c>
      <c r="D158" s="2">
        <v>42818</v>
      </c>
      <c r="E158" s="3">
        <f>4000/100000+3000/100000</f>
        <v>7.0000000000000007E-2</v>
      </c>
      <c r="F158" t="s">
        <v>397</v>
      </c>
      <c r="G158" s="18" t="s">
        <v>58</v>
      </c>
      <c r="H158" t="s">
        <v>398</v>
      </c>
      <c r="I158" s="6" t="s">
        <v>399</v>
      </c>
      <c r="J158" s="61" t="s">
        <v>22</v>
      </c>
      <c r="L158" s="5" t="str">
        <f t="shared" si="16"/>
        <v>00157</v>
      </c>
      <c r="M158" s="47" t="str">
        <f t="shared" si="17"/>
        <v>24 de marzo de 2017</v>
      </c>
      <c r="N158" s="323">
        <f t="shared" si="21"/>
        <v>24</v>
      </c>
      <c r="O158" s="25">
        <f t="shared" si="18"/>
        <v>42795</v>
      </c>
      <c r="P158" s="5" t="str">
        <f t="shared" si="19"/>
        <v>0,07</v>
      </c>
      <c r="Q158" s="4" t="str">
        <f t="shared" si="20"/>
        <v>Cero Bolívares con 07/100</v>
      </c>
    </row>
    <row r="159" spans="1:17" x14ac:dyDescent="0.25">
      <c r="A159" s="1">
        <f t="shared" si="22"/>
        <v>158</v>
      </c>
      <c r="C159" s="8" t="s">
        <v>17</v>
      </c>
      <c r="D159" s="2">
        <v>42820</v>
      </c>
      <c r="E159" s="3">
        <f>17000/100000</f>
        <v>0.17</v>
      </c>
      <c r="F159" t="s">
        <v>138</v>
      </c>
      <c r="G159" t="s">
        <v>139</v>
      </c>
      <c r="H159" t="s">
        <v>140</v>
      </c>
      <c r="I159" s="6" t="s">
        <v>306</v>
      </c>
      <c r="J159" s="61" t="s">
        <v>22</v>
      </c>
      <c r="L159" s="5" t="str">
        <f t="shared" si="16"/>
        <v>00158</v>
      </c>
      <c r="M159" s="47" t="str">
        <f t="shared" si="17"/>
        <v>26 de marzo de 2017</v>
      </c>
      <c r="N159" s="323">
        <f t="shared" si="21"/>
        <v>26</v>
      </c>
      <c r="O159" s="25">
        <f t="shared" si="18"/>
        <v>42795</v>
      </c>
      <c r="P159" s="5" t="str">
        <f t="shared" si="19"/>
        <v>0,17</v>
      </c>
      <c r="Q159" s="4" t="str">
        <f t="shared" si="20"/>
        <v>Cero Bolívares con 17/100</v>
      </c>
    </row>
    <row r="160" spans="1:17" x14ac:dyDescent="0.25">
      <c r="A160" s="1">
        <f t="shared" si="22"/>
        <v>159</v>
      </c>
      <c r="C160" s="8" t="s">
        <v>17</v>
      </c>
      <c r="D160" s="2">
        <v>42825</v>
      </c>
      <c r="E160" s="3">
        <f>17000/100000</f>
        <v>0.17</v>
      </c>
      <c r="F160" t="s">
        <v>201</v>
      </c>
      <c r="G160" t="s">
        <v>202</v>
      </c>
      <c r="H160" t="s">
        <v>203</v>
      </c>
      <c r="I160" s="6" t="s">
        <v>306</v>
      </c>
      <c r="J160" s="61" t="s">
        <v>22</v>
      </c>
      <c r="L160" s="5" t="str">
        <f t="shared" si="16"/>
        <v>00159</v>
      </c>
      <c r="M160" s="47" t="str">
        <f t="shared" si="17"/>
        <v>31 de marzo de 2017</v>
      </c>
      <c r="N160" s="323">
        <f t="shared" si="21"/>
        <v>31</v>
      </c>
      <c r="O160" s="25">
        <f t="shared" si="18"/>
        <v>42795</v>
      </c>
      <c r="P160" s="5" t="str">
        <f t="shared" si="19"/>
        <v>0,17</v>
      </c>
      <c r="Q160" s="4" t="str">
        <f t="shared" si="20"/>
        <v>Cero Bolívares con 17/100</v>
      </c>
    </row>
    <row r="161" spans="1:17" x14ac:dyDescent="0.25">
      <c r="A161" s="1">
        <f t="shared" si="22"/>
        <v>160</v>
      </c>
      <c r="C161" s="8" t="s">
        <v>17</v>
      </c>
      <c r="D161" s="2">
        <v>42825</v>
      </c>
      <c r="E161" s="3">
        <f>17000/100000</f>
        <v>0.17</v>
      </c>
      <c r="F161" t="s">
        <v>62</v>
      </c>
      <c r="G161" t="s">
        <v>63</v>
      </c>
      <c r="H161" t="s">
        <v>64</v>
      </c>
      <c r="I161" s="6" t="s">
        <v>306</v>
      </c>
      <c r="J161" s="61" t="s">
        <v>22</v>
      </c>
      <c r="L161" s="5" t="str">
        <f t="shared" si="16"/>
        <v>00160</v>
      </c>
      <c r="M161" s="47" t="str">
        <f t="shared" si="17"/>
        <v>31 de marzo de 2017</v>
      </c>
      <c r="N161" s="323">
        <f t="shared" si="21"/>
        <v>31</v>
      </c>
      <c r="O161" s="25">
        <f t="shared" si="18"/>
        <v>42795</v>
      </c>
      <c r="P161" s="5" t="str">
        <f t="shared" si="19"/>
        <v>0,17</v>
      </c>
      <c r="Q161" s="4" t="str">
        <f t="shared" si="20"/>
        <v>Cero Bolívares con 17/100</v>
      </c>
    </row>
    <row r="162" spans="1:17" x14ac:dyDescent="0.25">
      <c r="A162" s="1">
        <f t="shared" si="22"/>
        <v>161</v>
      </c>
      <c r="C162" s="8" t="s">
        <v>17</v>
      </c>
      <c r="D162" s="2">
        <v>42821</v>
      </c>
      <c r="E162" s="3">
        <f>17000*2/100000</f>
        <v>0.34</v>
      </c>
      <c r="F162" t="s">
        <v>219</v>
      </c>
      <c r="G162" t="s">
        <v>220</v>
      </c>
      <c r="H162" t="s">
        <v>221</v>
      </c>
      <c r="I162" s="6" t="s">
        <v>400</v>
      </c>
      <c r="J162" s="61" t="s">
        <v>22</v>
      </c>
      <c r="L162" s="5" t="str">
        <f t="shared" si="16"/>
        <v>00161</v>
      </c>
      <c r="M162" s="47" t="str">
        <f t="shared" si="17"/>
        <v>27 de marzo de 2017</v>
      </c>
      <c r="N162" s="323">
        <f t="shared" si="21"/>
        <v>27</v>
      </c>
      <c r="O162" s="25">
        <f t="shared" si="18"/>
        <v>42795</v>
      </c>
      <c r="P162" s="5" t="str">
        <f t="shared" si="19"/>
        <v>0,34</v>
      </c>
      <c r="Q162" s="4" t="str">
        <f t="shared" si="20"/>
        <v>Cero Bolívares con 34/100</v>
      </c>
    </row>
    <row r="163" spans="1:17" x14ac:dyDescent="0.25">
      <c r="A163" s="1">
        <f t="shared" si="22"/>
        <v>162</v>
      </c>
      <c r="C163" s="8" t="s">
        <v>17</v>
      </c>
      <c r="D163" s="2">
        <v>42828</v>
      </c>
      <c r="E163" s="3">
        <f>10000/100000</f>
        <v>0.1</v>
      </c>
      <c r="F163" t="s">
        <v>401</v>
      </c>
      <c r="G163" t="s">
        <v>402</v>
      </c>
      <c r="H163" t="s">
        <v>403</v>
      </c>
      <c r="I163" s="6" t="s">
        <v>404</v>
      </c>
      <c r="J163" s="61" t="s">
        <v>22</v>
      </c>
      <c r="L163" s="5" t="str">
        <f t="shared" si="16"/>
        <v>00162</v>
      </c>
      <c r="M163" s="47" t="str">
        <f t="shared" si="17"/>
        <v>03 de abril de 2017</v>
      </c>
      <c r="N163" s="323">
        <f t="shared" si="21"/>
        <v>3</v>
      </c>
      <c r="O163" s="25">
        <f t="shared" si="18"/>
        <v>42826</v>
      </c>
      <c r="P163" s="5" t="str">
        <f t="shared" si="19"/>
        <v>0,10</v>
      </c>
      <c r="Q163" s="4" t="str">
        <f t="shared" si="20"/>
        <v>Cero Bolívares con 10/100</v>
      </c>
    </row>
    <row r="164" spans="1:17" x14ac:dyDescent="0.25">
      <c r="A164" s="1">
        <f t="shared" si="22"/>
        <v>163</v>
      </c>
      <c r="C164" s="8" t="s">
        <v>17</v>
      </c>
      <c r="D164" s="2">
        <v>42830</v>
      </c>
      <c r="E164" s="3">
        <f>17000/100000</f>
        <v>0.17</v>
      </c>
      <c r="F164" t="s">
        <v>44</v>
      </c>
      <c r="G164" t="s">
        <v>45</v>
      </c>
      <c r="H164" t="s">
        <v>46</v>
      </c>
      <c r="I164" s="6" t="s">
        <v>395</v>
      </c>
      <c r="J164" s="61" t="s">
        <v>22</v>
      </c>
      <c r="L164" s="5" t="str">
        <f t="shared" si="16"/>
        <v>00163</v>
      </c>
      <c r="M164" s="47" t="str">
        <f t="shared" si="17"/>
        <v>05 de abril de 2017</v>
      </c>
      <c r="N164" s="323">
        <f t="shared" si="21"/>
        <v>5</v>
      </c>
      <c r="O164" s="25">
        <f t="shared" si="18"/>
        <v>42826</v>
      </c>
      <c r="P164" s="5" t="str">
        <f t="shared" si="19"/>
        <v>0,17</v>
      </c>
      <c r="Q164" s="4" t="str">
        <f t="shared" si="20"/>
        <v>Cero Bolívares con 17/100</v>
      </c>
    </row>
    <row r="165" spans="1:17" x14ac:dyDescent="0.25">
      <c r="A165" s="1">
        <f t="shared" si="22"/>
        <v>164</v>
      </c>
      <c r="C165" s="8" t="s">
        <v>17</v>
      </c>
      <c r="D165" s="2">
        <v>42831</v>
      </c>
      <c r="E165" s="3">
        <f>17000/100000</f>
        <v>0.17</v>
      </c>
      <c r="F165" t="s">
        <v>24</v>
      </c>
      <c r="G165" t="s">
        <v>25</v>
      </c>
      <c r="H165" t="s">
        <v>26</v>
      </c>
      <c r="I165" s="6" t="s">
        <v>395</v>
      </c>
      <c r="J165" s="61" t="s">
        <v>22</v>
      </c>
      <c r="L165" s="5" t="str">
        <f t="shared" si="16"/>
        <v>00164</v>
      </c>
      <c r="M165" s="47" t="str">
        <f t="shared" si="17"/>
        <v>06 de abril de 2017</v>
      </c>
      <c r="N165" s="323">
        <f t="shared" si="21"/>
        <v>6</v>
      </c>
      <c r="O165" s="25">
        <f t="shared" si="18"/>
        <v>42826</v>
      </c>
      <c r="P165" s="5" t="str">
        <f t="shared" si="19"/>
        <v>0,17</v>
      </c>
      <c r="Q165" s="4" t="str">
        <f t="shared" si="20"/>
        <v>Cero Bolívares con 17/100</v>
      </c>
    </row>
    <row r="166" spans="1:17" x14ac:dyDescent="0.25">
      <c r="A166" s="1">
        <f t="shared" si="22"/>
        <v>165</v>
      </c>
      <c r="C166" s="8" t="s">
        <v>17</v>
      </c>
      <c r="D166" s="2">
        <v>42831</v>
      </c>
      <c r="E166" s="3">
        <f>17000/100000</f>
        <v>0.17</v>
      </c>
      <c r="F166" t="s">
        <v>18</v>
      </c>
      <c r="G166" t="s">
        <v>19</v>
      </c>
      <c r="H166" t="s">
        <v>20</v>
      </c>
      <c r="I166" s="6" t="s">
        <v>395</v>
      </c>
      <c r="J166" s="61" t="s">
        <v>22</v>
      </c>
      <c r="L166" s="5" t="str">
        <f t="shared" si="16"/>
        <v>00165</v>
      </c>
      <c r="M166" s="47" t="str">
        <f t="shared" si="17"/>
        <v>06 de abril de 2017</v>
      </c>
      <c r="N166" s="323">
        <f t="shared" si="21"/>
        <v>6</v>
      </c>
      <c r="O166" s="25">
        <f t="shared" si="18"/>
        <v>42826</v>
      </c>
      <c r="P166" s="5" t="str">
        <f t="shared" si="19"/>
        <v>0,17</v>
      </c>
      <c r="Q166" s="4" t="str">
        <f t="shared" si="20"/>
        <v>Cero Bolívares con 17/100</v>
      </c>
    </row>
    <row r="167" spans="1:17" x14ac:dyDescent="0.25">
      <c r="A167" s="1">
        <f t="shared" si="22"/>
        <v>166</v>
      </c>
      <c r="C167" s="8" t="s">
        <v>17</v>
      </c>
      <c r="D167" s="2">
        <v>42831</v>
      </c>
      <c r="E167" s="3">
        <f>14000/100000</f>
        <v>0.14000000000000001</v>
      </c>
      <c r="F167" t="s">
        <v>319</v>
      </c>
      <c r="G167" s="18" t="s">
        <v>58</v>
      </c>
      <c r="H167" t="s">
        <v>320</v>
      </c>
      <c r="I167" s="6" t="s">
        <v>405</v>
      </c>
      <c r="J167" s="61" t="s">
        <v>22</v>
      </c>
      <c r="L167" s="5" t="str">
        <f t="shared" si="16"/>
        <v>00166</v>
      </c>
      <c r="M167" s="47" t="str">
        <f t="shared" si="17"/>
        <v>06 de abril de 2017</v>
      </c>
      <c r="N167" s="323">
        <f t="shared" si="21"/>
        <v>6</v>
      </c>
      <c r="O167" s="25">
        <f t="shared" si="18"/>
        <v>42826</v>
      </c>
      <c r="P167" s="5" t="str">
        <f t="shared" si="19"/>
        <v>0,14</v>
      </c>
      <c r="Q167" s="4" t="str">
        <f t="shared" si="20"/>
        <v>Cero Bolívares con 14/100</v>
      </c>
    </row>
    <row r="168" spans="1:17" x14ac:dyDescent="0.25">
      <c r="A168" s="1">
        <f t="shared" si="22"/>
        <v>167</v>
      </c>
      <c r="C168" s="8" t="s">
        <v>17</v>
      </c>
      <c r="D168" s="2">
        <v>42809</v>
      </c>
      <c r="E168" s="3">
        <f t="shared" ref="E168:E173" si="23">17000/100000</f>
        <v>0.17</v>
      </c>
      <c r="F168" t="s">
        <v>211</v>
      </c>
      <c r="G168" t="s">
        <v>212</v>
      </c>
      <c r="H168" t="s">
        <v>213</v>
      </c>
      <c r="I168" s="6" t="s">
        <v>306</v>
      </c>
      <c r="J168" s="61" t="s">
        <v>22</v>
      </c>
      <c r="L168" s="5" t="str">
        <f t="shared" si="16"/>
        <v>00167</v>
      </c>
      <c r="M168" s="47" t="str">
        <f t="shared" si="17"/>
        <v>15 de marzo de 2017</v>
      </c>
      <c r="N168" s="323">
        <f t="shared" si="21"/>
        <v>15</v>
      </c>
      <c r="O168" s="25">
        <f t="shared" si="18"/>
        <v>42795</v>
      </c>
      <c r="P168" s="5" t="str">
        <f t="shared" si="19"/>
        <v>0,17</v>
      </c>
      <c r="Q168" s="4" t="str">
        <f t="shared" si="20"/>
        <v>Cero Bolívares con 17/100</v>
      </c>
    </row>
    <row r="169" spans="1:17" x14ac:dyDescent="0.25">
      <c r="A169" s="1">
        <f t="shared" si="22"/>
        <v>168</v>
      </c>
      <c r="C169" s="8" t="s">
        <v>17</v>
      </c>
      <c r="D169" s="2">
        <v>42830</v>
      </c>
      <c r="E169" s="3">
        <f t="shared" si="23"/>
        <v>0.17</v>
      </c>
      <c r="F169" t="s">
        <v>230</v>
      </c>
      <c r="G169" t="s">
        <v>231</v>
      </c>
      <c r="H169" t="s">
        <v>232</v>
      </c>
      <c r="I169" s="6" t="s">
        <v>306</v>
      </c>
      <c r="J169" s="61" t="s">
        <v>22</v>
      </c>
      <c r="L169" s="5" t="str">
        <f t="shared" si="16"/>
        <v>00168</v>
      </c>
      <c r="M169" s="47" t="str">
        <f t="shared" si="17"/>
        <v>05 de abril de 2017</v>
      </c>
      <c r="N169" s="323">
        <f t="shared" si="21"/>
        <v>5</v>
      </c>
      <c r="O169" s="25">
        <f t="shared" si="18"/>
        <v>42826</v>
      </c>
      <c r="P169" s="5" t="str">
        <f t="shared" si="19"/>
        <v>0,17</v>
      </c>
      <c r="Q169" s="4" t="str">
        <f t="shared" si="20"/>
        <v>Cero Bolívares con 17/100</v>
      </c>
    </row>
    <row r="170" spans="1:17" x14ac:dyDescent="0.25">
      <c r="A170" s="1">
        <f t="shared" si="22"/>
        <v>169</v>
      </c>
      <c r="C170" s="8" t="s">
        <v>17</v>
      </c>
      <c r="D170" s="2">
        <v>42831</v>
      </c>
      <c r="E170" s="3">
        <f t="shared" si="23"/>
        <v>0.17</v>
      </c>
      <c r="F170" t="s">
        <v>80</v>
      </c>
      <c r="G170" t="s">
        <v>81</v>
      </c>
      <c r="H170" t="s">
        <v>82</v>
      </c>
      <c r="I170" s="6" t="s">
        <v>395</v>
      </c>
      <c r="J170" s="61" t="s">
        <v>22</v>
      </c>
      <c r="L170" s="5" t="str">
        <f t="shared" si="16"/>
        <v>00169</v>
      </c>
      <c r="M170" s="47" t="str">
        <f t="shared" si="17"/>
        <v>06 de abril de 2017</v>
      </c>
      <c r="N170" s="323">
        <f t="shared" si="21"/>
        <v>6</v>
      </c>
      <c r="O170" s="25">
        <f t="shared" si="18"/>
        <v>42826</v>
      </c>
      <c r="P170" s="5" t="str">
        <f t="shared" si="19"/>
        <v>0,17</v>
      </c>
      <c r="Q170" s="4" t="str">
        <f t="shared" si="20"/>
        <v>Cero Bolívares con 17/100</v>
      </c>
    </row>
    <row r="171" spans="1:17" x14ac:dyDescent="0.25">
      <c r="A171" s="1">
        <f t="shared" si="22"/>
        <v>170</v>
      </c>
      <c r="C171" s="8" t="s">
        <v>17</v>
      </c>
      <c r="D171" s="2">
        <v>42834</v>
      </c>
      <c r="E171" s="3">
        <f t="shared" si="23"/>
        <v>0.17</v>
      </c>
      <c r="F171" t="s">
        <v>36</v>
      </c>
      <c r="G171" t="s">
        <v>37</v>
      </c>
      <c r="H171" t="s">
        <v>38</v>
      </c>
      <c r="I171" s="6" t="s">
        <v>395</v>
      </c>
      <c r="J171" s="61" t="s">
        <v>22</v>
      </c>
      <c r="L171" s="5" t="str">
        <f t="shared" si="16"/>
        <v>00170</v>
      </c>
      <c r="M171" s="47" t="str">
        <f t="shared" si="17"/>
        <v>09 de abril de 2017</v>
      </c>
      <c r="N171" s="323">
        <f t="shared" si="21"/>
        <v>9</v>
      </c>
      <c r="O171" s="25">
        <f t="shared" si="18"/>
        <v>42826</v>
      </c>
      <c r="P171" s="5" t="str">
        <f t="shared" si="19"/>
        <v>0,17</v>
      </c>
      <c r="Q171" s="4" t="str">
        <f t="shared" si="20"/>
        <v>Cero Bolívares con 17/100</v>
      </c>
    </row>
    <row r="172" spans="1:17" x14ac:dyDescent="0.25">
      <c r="A172" s="1">
        <f t="shared" si="22"/>
        <v>171</v>
      </c>
      <c r="C172" s="8" t="s">
        <v>17</v>
      </c>
      <c r="D172" s="2">
        <v>42807</v>
      </c>
      <c r="E172" s="3">
        <f t="shared" si="23"/>
        <v>0.17</v>
      </c>
      <c r="F172" t="s">
        <v>134</v>
      </c>
      <c r="G172" t="s">
        <v>135</v>
      </c>
      <c r="H172" t="s">
        <v>136</v>
      </c>
      <c r="I172" s="6" t="s">
        <v>306</v>
      </c>
      <c r="J172" s="61" t="s">
        <v>22</v>
      </c>
      <c r="L172" s="5" t="str">
        <f t="shared" si="16"/>
        <v>00171</v>
      </c>
      <c r="M172" s="47" t="str">
        <f t="shared" si="17"/>
        <v>13 de marzo de 2017</v>
      </c>
      <c r="N172" s="323">
        <f t="shared" si="21"/>
        <v>13</v>
      </c>
      <c r="O172" s="25">
        <f t="shared" si="18"/>
        <v>42795</v>
      </c>
      <c r="P172" s="5" t="str">
        <f t="shared" si="19"/>
        <v>0,17</v>
      </c>
      <c r="Q172" s="4" t="str">
        <f t="shared" si="20"/>
        <v>Cero Bolívares con 17/100</v>
      </c>
    </row>
    <row r="173" spans="1:17" x14ac:dyDescent="0.25">
      <c r="A173" s="1">
        <f t="shared" si="22"/>
        <v>172</v>
      </c>
      <c r="C173" s="8" t="s">
        <v>17</v>
      </c>
      <c r="D173" s="2">
        <v>42833</v>
      </c>
      <c r="E173" s="3">
        <f t="shared" si="23"/>
        <v>0.17</v>
      </c>
      <c r="F173" t="s">
        <v>134</v>
      </c>
      <c r="G173" t="s">
        <v>135</v>
      </c>
      <c r="H173" t="s">
        <v>136</v>
      </c>
      <c r="I173" s="6" t="s">
        <v>395</v>
      </c>
      <c r="J173" s="61" t="s">
        <v>22</v>
      </c>
      <c r="L173" s="5" t="str">
        <f t="shared" si="16"/>
        <v>00172</v>
      </c>
      <c r="M173" s="47" t="str">
        <f t="shared" si="17"/>
        <v>08 de abril de 2017</v>
      </c>
      <c r="N173" s="323">
        <f t="shared" si="21"/>
        <v>8</v>
      </c>
      <c r="O173" s="25">
        <f t="shared" si="18"/>
        <v>42826</v>
      </c>
      <c r="P173" s="5" t="str">
        <f t="shared" si="19"/>
        <v>0,17</v>
      </c>
      <c r="Q173" s="4" t="str">
        <f t="shared" si="20"/>
        <v>Cero Bolívares con 17/100</v>
      </c>
    </row>
    <row r="174" spans="1:17" ht="15.75" customHeight="1" x14ac:dyDescent="0.25">
      <c r="A174" s="1">
        <f t="shared" si="22"/>
        <v>173</v>
      </c>
      <c r="C174" s="8" t="s">
        <v>17</v>
      </c>
      <c r="D174" s="2">
        <v>42836</v>
      </c>
      <c r="E174" s="3">
        <f>10000/100000</f>
        <v>0.1</v>
      </c>
      <c r="F174" t="s">
        <v>181</v>
      </c>
      <c r="G174" t="s">
        <v>182</v>
      </c>
      <c r="H174" t="s">
        <v>183</v>
      </c>
      <c r="I174" s="6" t="s">
        <v>404</v>
      </c>
      <c r="J174" s="61" t="s">
        <v>22</v>
      </c>
      <c r="L174" s="5" t="str">
        <f t="shared" si="16"/>
        <v>00173</v>
      </c>
      <c r="M174" s="47" t="str">
        <f t="shared" si="17"/>
        <v>11 de abril de 2017</v>
      </c>
      <c r="N174" s="323">
        <f t="shared" si="21"/>
        <v>11</v>
      </c>
      <c r="O174" s="25">
        <f t="shared" si="18"/>
        <v>42826</v>
      </c>
      <c r="P174" s="5" t="str">
        <f t="shared" si="19"/>
        <v>0,10</v>
      </c>
      <c r="Q174" s="4" t="str">
        <f t="shared" si="20"/>
        <v>Cero Bolívares con 10/100</v>
      </c>
    </row>
    <row r="175" spans="1:17" x14ac:dyDescent="0.25">
      <c r="A175" s="1">
        <f t="shared" si="22"/>
        <v>174</v>
      </c>
      <c r="C175" s="8" t="s">
        <v>17</v>
      </c>
      <c r="D175" s="2">
        <v>42837</v>
      </c>
      <c r="E175" s="3">
        <f>34000/100000</f>
        <v>0.34</v>
      </c>
      <c r="F175" t="s">
        <v>197</v>
      </c>
      <c r="G175" t="s">
        <v>198</v>
      </c>
      <c r="H175" t="s">
        <v>199</v>
      </c>
      <c r="I175" s="6" t="s">
        <v>400</v>
      </c>
      <c r="J175" s="61" t="s">
        <v>22</v>
      </c>
      <c r="L175" s="5" t="str">
        <f t="shared" si="16"/>
        <v>00174</v>
      </c>
      <c r="M175" s="47" t="str">
        <f t="shared" si="17"/>
        <v>12 de abril de 2017</v>
      </c>
      <c r="N175" s="323">
        <f t="shared" si="21"/>
        <v>12</v>
      </c>
      <c r="O175" s="25">
        <f t="shared" si="18"/>
        <v>42826</v>
      </c>
      <c r="P175" s="5" t="str">
        <f t="shared" si="19"/>
        <v>0,34</v>
      </c>
      <c r="Q175" s="4" t="str">
        <f t="shared" si="20"/>
        <v>Cero Bolívares con 34/100</v>
      </c>
    </row>
    <row r="176" spans="1:17" x14ac:dyDescent="0.25">
      <c r="A176" s="1">
        <f t="shared" si="22"/>
        <v>175</v>
      </c>
      <c r="C176" s="8" t="s">
        <v>17</v>
      </c>
      <c r="D176" s="2">
        <v>42831</v>
      </c>
      <c r="E176" s="3">
        <f>5000/100000</f>
        <v>0.05</v>
      </c>
      <c r="F176" t="s">
        <v>74</v>
      </c>
      <c r="G176" s="18" t="s">
        <v>58</v>
      </c>
      <c r="H176" t="s">
        <v>75</v>
      </c>
      <c r="I176" s="6" t="s">
        <v>404</v>
      </c>
      <c r="J176" s="61" t="s">
        <v>22</v>
      </c>
      <c r="L176" s="5" t="str">
        <f t="shared" si="16"/>
        <v>00175</v>
      </c>
      <c r="M176" s="47" t="str">
        <f t="shared" si="17"/>
        <v>06 de abril de 2017</v>
      </c>
      <c r="N176" s="323">
        <f t="shared" si="21"/>
        <v>6</v>
      </c>
      <c r="O176" s="25">
        <f t="shared" si="18"/>
        <v>42826</v>
      </c>
      <c r="P176" s="5" t="str">
        <f t="shared" si="19"/>
        <v>0,05</v>
      </c>
      <c r="Q176" s="4" t="str">
        <f t="shared" si="20"/>
        <v>Cero Bolívares con 05/100</v>
      </c>
    </row>
    <row r="177" spans="1:17" x14ac:dyDescent="0.25">
      <c r="A177" s="1">
        <f t="shared" si="22"/>
        <v>176</v>
      </c>
      <c r="C177" s="8" t="s">
        <v>17</v>
      </c>
      <c r="D177" s="2">
        <v>42831</v>
      </c>
      <c r="E177" s="3">
        <f>12000/100000</f>
        <v>0.12</v>
      </c>
      <c r="F177" t="s">
        <v>130</v>
      </c>
      <c r="G177" t="s">
        <v>131</v>
      </c>
      <c r="H177" t="s">
        <v>132</v>
      </c>
      <c r="I177" s="6" t="s">
        <v>158</v>
      </c>
      <c r="J177" s="61" t="s">
        <v>22</v>
      </c>
      <c r="L177" s="5" t="str">
        <f t="shared" si="16"/>
        <v>00176</v>
      </c>
      <c r="M177" s="47" t="str">
        <f t="shared" si="17"/>
        <v>06 de abril de 2017</v>
      </c>
      <c r="N177" s="323">
        <f t="shared" si="21"/>
        <v>6</v>
      </c>
      <c r="O177" s="25">
        <f t="shared" si="18"/>
        <v>42826</v>
      </c>
      <c r="P177" s="5" t="str">
        <f t="shared" si="19"/>
        <v>0,12</v>
      </c>
      <c r="Q177" s="4" t="str">
        <f t="shared" si="20"/>
        <v>Cero Bolívares con 12/100</v>
      </c>
    </row>
    <row r="178" spans="1:17" x14ac:dyDescent="0.25">
      <c r="A178" s="1">
        <f t="shared" si="22"/>
        <v>177</v>
      </c>
      <c r="C178" s="8" t="s">
        <v>17</v>
      </c>
      <c r="D178" s="2">
        <v>42841</v>
      </c>
      <c r="E178" s="3">
        <f>17000/100000</f>
        <v>0.17</v>
      </c>
      <c r="F178" t="s">
        <v>70</v>
      </c>
      <c r="G178" t="s">
        <v>71</v>
      </c>
      <c r="H178" t="s">
        <v>72</v>
      </c>
      <c r="I178" s="6" t="s">
        <v>395</v>
      </c>
      <c r="J178" s="61" t="s">
        <v>22</v>
      </c>
      <c r="L178" s="5" t="str">
        <f t="shared" si="16"/>
        <v>00177</v>
      </c>
      <c r="M178" s="47" t="str">
        <f t="shared" si="17"/>
        <v>16 de abril de 2017</v>
      </c>
      <c r="N178" s="323">
        <f t="shared" si="21"/>
        <v>16</v>
      </c>
      <c r="O178" s="25">
        <f t="shared" si="18"/>
        <v>42826</v>
      </c>
      <c r="P178" s="5" t="str">
        <f t="shared" si="19"/>
        <v>0,17</v>
      </c>
      <c r="Q178" s="4" t="str">
        <f t="shared" si="20"/>
        <v>Cero Bolívares con 17/100</v>
      </c>
    </row>
    <row r="179" spans="1:17" x14ac:dyDescent="0.25">
      <c r="A179" s="1">
        <f t="shared" si="22"/>
        <v>178</v>
      </c>
      <c r="C179" s="8" t="s">
        <v>17</v>
      </c>
      <c r="D179" s="2">
        <v>42842</v>
      </c>
      <c r="E179" s="3">
        <f>44000/100000</f>
        <v>0.44</v>
      </c>
      <c r="F179" t="s">
        <v>66</v>
      </c>
      <c r="G179" t="s">
        <v>67</v>
      </c>
      <c r="H179" t="s">
        <v>68</v>
      </c>
      <c r="I179" s="6" t="s">
        <v>406</v>
      </c>
      <c r="J179" s="61" t="s">
        <v>22</v>
      </c>
      <c r="L179" s="5" t="str">
        <f t="shared" si="16"/>
        <v>00178</v>
      </c>
      <c r="M179" s="47" t="str">
        <f t="shared" si="17"/>
        <v>17 de abril de 2017</v>
      </c>
      <c r="N179" s="323">
        <f t="shared" si="21"/>
        <v>17</v>
      </c>
      <c r="O179" s="25">
        <f t="shared" si="18"/>
        <v>42826</v>
      </c>
      <c r="P179" s="5" t="str">
        <f t="shared" si="19"/>
        <v>0,44</v>
      </c>
      <c r="Q179" s="4" t="str">
        <f t="shared" si="20"/>
        <v>Cero Bolívares con 44/100</v>
      </c>
    </row>
    <row r="180" spans="1:17" x14ac:dyDescent="0.25">
      <c r="A180" s="1">
        <f t="shared" si="22"/>
        <v>179</v>
      </c>
      <c r="C180" s="8" t="s">
        <v>17</v>
      </c>
      <c r="D180" s="2">
        <v>42842</v>
      </c>
      <c r="E180" s="3">
        <f>7760/100000+2240/100000</f>
        <v>0.1</v>
      </c>
      <c r="F180" t="s">
        <v>118</v>
      </c>
      <c r="G180" t="s">
        <v>119</v>
      </c>
      <c r="H180" t="s">
        <v>120</v>
      </c>
      <c r="I180" s="6" t="s">
        <v>404</v>
      </c>
      <c r="J180" s="61" t="s">
        <v>22</v>
      </c>
      <c r="L180" s="5" t="str">
        <f t="shared" si="16"/>
        <v>00179</v>
      </c>
      <c r="M180" s="47" t="str">
        <f t="shared" si="17"/>
        <v>17 de abril de 2017</v>
      </c>
      <c r="N180" s="323">
        <f t="shared" si="21"/>
        <v>17</v>
      </c>
      <c r="O180" s="25">
        <f t="shared" si="18"/>
        <v>42826</v>
      </c>
      <c r="P180" s="5" t="str">
        <f t="shared" si="19"/>
        <v>0,10</v>
      </c>
      <c r="Q180" s="4" t="str">
        <f t="shared" si="20"/>
        <v>Cero Bolívares con 10/100</v>
      </c>
    </row>
    <row r="181" spans="1:17" x14ac:dyDescent="0.25">
      <c r="A181" s="1">
        <f t="shared" si="22"/>
        <v>180</v>
      </c>
      <c r="C181" s="8" t="s">
        <v>17</v>
      </c>
      <c r="D181" s="2">
        <v>42842</v>
      </c>
      <c r="E181" s="3">
        <f>17000/100000</f>
        <v>0.17</v>
      </c>
      <c r="F181" t="s">
        <v>148</v>
      </c>
      <c r="G181" t="s">
        <v>149</v>
      </c>
      <c r="H181" t="s">
        <v>150</v>
      </c>
      <c r="I181" s="6" t="s">
        <v>395</v>
      </c>
      <c r="J181" s="61" t="s">
        <v>22</v>
      </c>
      <c r="L181" s="5" t="str">
        <f t="shared" si="16"/>
        <v>00180</v>
      </c>
      <c r="M181" s="47" t="str">
        <f t="shared" si="17"/>
        <v>17 de abril de 2017</v>
      </c>
      <c r="N181" s="323">
        <f t="shared" si="21"/>
        <v>17</v>
      </c>
      <c r="O181" s="25">
        <f t="shared" si="18"/>
        <v>42826</v>
      </c>
      <c r="P181" s="5" t="str">
        <f t="shared" si="19"/>
        <v>0,17</v>
      </c>
      <c r="Q181" s="4" t="str">
        <f t="shared" si="20"/>
        <v>Cero Bolívares con 17/100</v>
      </c>
    </row>
    <row r="182" spans="1:17" x14ac:dyDescent="0.25">
      <c r="A182" s="1">
        <f t="shared" si="22"/>
        <v>181</v>
      </c>
      <c r="C182" s="8" t="s">
        <v>17</v>
      </c>
      <c r="D182" s="2">
        <v>42841</v>
      </c>
      <c r="E182" s="3">
        <f>17000/100000</f>
        <v>0.17</v>
      </c>
      <c r="F182" t="s">
        <v>103</v>
      </c>
      <c r="G182" t="s">
        <v>104</v>
      </c>
      <c r="H182" t="s">
        <v>105</v>
      </c>
      <c r="I182" s="6" t="s">
        <v>395</v>
      </c>
      <c r="J182" s="61" t="s">
        <v>22</v>
      </c>
      <c r="L182" s="5" t="str">
        <f t="shared" si="16"/>
        <v>00181</v>
      </c>
      <c r="M182" s="47" t="str">
        <f t="shared" si="17"/>
        <v>16 de abril de 2017</v>
      </c>
      <c r="N182" s="323">
        <f t="shared" si="21"/>
        <v>16</v>
      </c>
      <c r="O182" s="25">
        <f t="shared" si="18"/>
        <v>42826</v>
      </c>
      <c r="P182" s="5" t="str">
        <f t="shared" si="19"/>
        <v>0,17</v>
      </c>
      <c r="Q182" s="4" t="str">
        <f t="shared" si="20"/>
        <v>Cero Bolívares con 17/100</v>
      </c>
    </row>
    <row r="183" spans="1:17" x14ac:dyDescent="0.25">
      <c r="A183" s="1">
        <f t="shared" si="22"/>
        <v>182</v>
      </c>
      <c r="C183" s="8" t="s">
        <v>17</v>
      </c>
      <c r="D183" s="2">
        <v>42842</v>
      </c>
      <c r="E183" s="3">
        <f>32000/100000</f>
        <v>0.32</v>
      </c>
      <c r="F183" t="s">
        <v>259</v>
      </c>
      <c r="G183" t="s">
        <v>260</v>
      </c>
      <c r="H183" t="s">
        <v>261</v>
      </c>
      <c r="I183" s="6" t="s">
        <v>396</v>
      </c>
      <c r="J183" s="61" t="s">
        <v>22</v>
      </c>
      <c r="L183" s="5" t="str">
        <f t="shared" si="16"/>
        <v>00182</v>
      </c>
      <c r="M183" s="47" t="str">
        <f t="shared" si="17"/>
        <v>17 de abril de 2017</v>
      </c>
      <c r="N183" s="323">
        <f t="shared" si="21"/>
        <v>17</v>
      </c>
      <c r="O183" s="25">
        <f t="shared" si="18"/>
        <v>42826</v>
      </c>
      <c r="P183" s="5" t="str">
        <f t="shared" si="19"/>
        <v>0,32</v>
      </c>
      <c r="Q183" s="4" t="str">
        <f t="shared" si="20"/>
        <v>Cero Bolívares con 32/100</v>
      </c>
    </row>
    <row r="184" spans="1:17" x14ac:dyDescent="0.25">
      <c r="A184" s="1">
        <f t="shared" si="22"/>
        <v>183</v>
      </c>
      <c r="C184" s="8" t="s">
        <v>17</v>
      </c>
      <c r="D184" s="2">
        <v>42843</v>
      </c>
      <c r="E184" s="3">
        <f>17000/100000</f>
        <v>0.17</v>
      </c>
      <c r="F184" t="s">
        <v>167</v>
      </c>
      <c r="G184" t="s">
        <v>168</v>
      </c>
      <c r="H184" t="s">
        <v>169</v>
      </c>
      <c r="I184" s="6" t="s">
        <v>395</v>
      </c>
      <c r="J184" s="61" t="s">
        <v>22</v>
      </c>
      <c r="L184" s="5" t="str">
        <f t="shared" si="16"/>
        <v>00183</v>
      </c>
      <c r="M184" s="47" t="str">
        <f t="shared" si="17"/>
        <v>18 de abril de 2017</v>
      </c>
      <c r="N184" s="323">
        <f t="shared" si="21"/>
        <v>18</v>
      </c>
      <c r="O184" s="25">
        <f t="shared" si="18"/>
        <v>42826</v>
      </c>
      <c r="P184" s="5" t="str">
        <f t="shared" si="19"/>
        <v>0,17</v>
      </c>
      <c r="Q184" s="4" t="str">
        <f t="shared" si="20"/>
        <v>Cero Bolívares con 17/100</v>
      </c>
    </row>
    <row r="185" spans="1:17" x14ac:dyDescent="0.25">
      <c r="A185" s="1">
        <f t="shared" si="22"/>
        <v>184</v>
      </c>
      <c r="C185" s="8" t="s">
        <v>17</v>
      </c>
      <c r="D185" s="2">
        <v>42842</v>
      </c>
      <c r="E185" s="3">
        <f>17000*2/100000</f>
        <v>0.34</v>
      </c>
      <c r="F185" t="s">
        <v>287</v>
      </c>
      <c r="G185" t="s">
        <v>288</v>
      </c>
      <c r="H185" t="s">
        <v>289</v>
      </c>
      <c r="I185" s="6" t="s">
        <v>400</v>
      </c>
      <c r="J185" s="61" t="s">
        <v>22</v>
      </c>
      <c r="L185" s="5" t="str">
        <f t="shared" si="16"/>
        <v>00184</v>
      </c>
      <c r="M185" s="47" t="str">
        <f t="shared" si="17"/>
        <v>17 de abril de 2017</v>
      </c>
      <c r="N185" s="323">
        <f t="shared" si="21"/>
        <v>17</v>
      </c>
      <c r="O185" s="25">
        <f t="shared" si="18"/>
        <v>42826</v>
      </c>
      <c r="P185" s="5" t="str">
        <f t="shared" si="19"/>
        <v>0,34</v>
      </c>
      <c r="Q185" s="4" t="str">
        <f t="shared" si="20"/>
        <v>Cero Bolívares con 34/100</v>
      </c>
    </row>
    <row r="186" spans="1:17" x14ac:dyDescent="0.25">
      <c r="A186" s="1">
        <f t="shared" si="22"/>
        <v>185</v>
      </c>
      <c r="C186" s="8" t="s">
        <v>17</v>
      </c>
      <c r="D186" s="2">
        <v>42842</v>
      </c>
      <c r="E186" s="3">
        <f>17000/100000</f>
        <v>0.17</v>
      </c>
      <c r="F186" t="s">
        <v>334</v>
      </c>
      <c r="G186" t="s">
        <v>85</v>
      </c>
      <c r="H186" t="s">
        <v>335</v>
      </c>
      <c r="I186" s="6" t="s">
        <v>395</v>
      </c>
      <c r="J186" s="61" t="s">
        <v>22</v>
      </c>
      <c r="L186" s="5" t="str">
        <f t="shared" si="16"/>
        <v>00185</v>
      </c>
      <c r="M186" s="47" t="str">
        <f t="shared" si="17"/>
        <v>17 de abril de 2017</v>
      </c>
      <c r="N186" s="323">
        <f t="shared" si="21"/>
        <v>17</v>
      </c>
      <c r="O186" s="25">
        <f t="shared" si="18"/>
        <v>42826</v>
      </c>
      <c r="P186" s="5" t="str">
        <f t="shared" si="19"/>
        <v>0,17</v>
      </c>
      <c r="Q186" s="4" t="str">
        <f t="shared" si="20"/>
        <v>Cero Bolívares con 17/100</v>
      </c>
    </row>
    <row r="187" spans="1:17" x14ac:dyDescent="0.25">
      <c r="A187" s="1">
        <f t="shared" si="22"/>
        <v>186</v>
      </c>
      <c r="C187" s="8" t="s">
        <v>17</v>
      </c>
      <c r="D187" s="2">
        <v>42845</v>
      </c>
      <c r="E187" s="3">
        <f>10000/100000</f>
        <v>0.1</v>
      </c>
      <c r="F187" t="s">
        <v>84</v>
      </c>
      <c r="G187" t="s">
        <v>85</v>
      </c>
      <c r="H187" t="s">
        <v>86</v>
      </c>
      <c r="I187" s="6" t="s">
        <v>404</v>
      </c>
      <c r="J187" s="61" t="s">
        <v>22</v>
      </c>
      <c r="L187" s="5" t="str">
        <f t="shared" si="16"/>
        <v>00186</v>
      </c>
      <c r="M187" s="47" t="str">
        <f t="shared" si="17"/>
        <v>20 de abril de 2017</v>
      </c>
      <c r="N187" s="323">
        <f t="shared" si="21"/>
        <v>20</v>
      </c>
      <c r="O187" s="25">
        <f t="shared" si="18"/>
        <v>42826</v>
      </c>
      <c r="P187" s="5" t="str">
        <f t="shared" si="19"/>
        <v>0,10</v>
      </c>
      <c r="Q187" s="4" t="str">
        <f t="shared" si="20"/>
        <v>Cero Bolívares con 10/100</v>
      </c>
    </row>
    <row r="188" spans="1:17" x14ac:dyDescent="0.25">
      <c r="A188" s="1">
        <f t="shared" si="22"/>
        <v>187</v>
      </c>
      <c r="C188" s="8" t="s">
        <v>17</v>
      </c>
      <c r="D188" s="2">
        <v>42831</v>
      </c>
      <c r="E188" s="3">
        <f>7000/100000</f>
        <v>7.0000000000000007E-2</v>
      </c>
      <c r="F188" t="s">
        <v>48</v>
      </c>
      <c r="G188" t="s">
        <v>49</v>
      </c>
      <c r="H188" t="s">
        <v>50</v>
      </c>
      <c r="I188" s="6" t="s">
        <v>404</v>
      </c>
      <c r="J188" s="61" t="s">
        <v>22</v>
      </c>
      <c r="L188" s="5" t="str">
        <f t="shared" si="16"/>
        <v>00187</v>
      </c>
      <c r="M188" s="47" t="str">
        <f t="shared" si="17"/>
        <v>06 de abril de 2017</v>
      </c>
      <c r="N188" s="323">
        <f t="shared" si="21"/>
        <v>6</v>
      </c>
      <c r="O188" s="25">
        <f t="shared" si="18"/>
        <v>42826</v>
      </c>
      <c r="P188" s="5" t="str">
        <f t="shared" si="19"/>
        <v>0,07</v>
      </c>
      <c r="Q188" s="4" t="str">
        <f t="shared" si="20"/>
        <v>Cero Bolívares con 07/100</v>
      </c>
    </row>
    <row r="189" spans="1:17" x14ac:dyDescent="0.25">
      <c r="A189" s="1">
        <f t="shared" si="22"/>
        <v>188</v>
      </c>
      <c r="C189" s="8" t="s">
        <v>17</v>
      </c>
      <c r="D189" s="2">
        <v>42845</v>
      </c>
      <c r="E189" s="3">
        <f>3000/100000</f>
        <v>0.03</v>
      </c>
      <c r="F189" t="s">
        <v>303</v>
      </c>
      <c r="G189" s="18" t="s">
        <v>58</v>
      </c>
      <c r="H189" t="s">
        <v>304</v>
      </c>
      <c r="I189" s="6" t="s">
        <v>404</v>
      </c>
      <c r="J189" s="61" t="s">
        <v>22</v>
      </c>
      <c r="L189" s="5" t="str">
        <f t="shared" si="16"/>
        <v>00188</v>
      </c>
      <c r="M189" s="47" t="str">
        <f t="shared" si="17"/>
        <v>20 de abril de 2017</v>
      </c>
      <c r="N189" s="323">
        <f t="shared" si="21"/>
        <v>20</v>
      </c>
      <c r="O189" s="25">
        <f t="shared" si="18"/>
        <v>42826</v>
      </c>
      <c r="P189" s="5" t="str">
        <f t="shared" si="19"/>
        <v>0,03</v>
      </c>
      <c r="Q189" s="4" t="str">
        <f t="shared" si="20"/>
        <v>Cero Bolívares con 03/100</v>
      </c>
    </row>
    <row r="190" spans="1:17" x14ac:dyDescent="0.25">
      <c r="A190" s="1">
        <f t="shared" si="22"/>
        <v>189</v>
      </c>
      <c r="C190" s="8" t="s">
        <v>17</v>
      </c>
      <c r="D190" s="2">
        <v>42750</v>
      </c>
      <c r="E190" s="3">
        <f>12000/100000</f>
        <v>0.12</v>
      </c>
      <c r="F190" t="s">
        <v>407</v>
      </c>
      <c r="G190" t="s">
        <v>408</v>
      </c>
      <c r="H190" t="s">
        <v>409</v>
      </c>
      <c r="I190" s="6" t="s">
        <v>51</v>
      </c>
      <c r="J190" s="61" t="s">
        <v>22</v>
      </c>
      <c r="L190" s="5" t="str">
        <f t="shared" si="16"/>
        <v>00189</v>
      </c>
      <c r="M190" s="47" t="str">
        <f t="shared" si="17"/>
        <v>15 de enero de 2017</v>
      </c>
      <c r="N190" s="323">
        <f t="shared" si="21"/>
        <v>15</v>
      </c>
      <c r="O190" s="25">
        <f t="shared" si="18"/>
        <v>42736</v>
      </c>
      <c r="P190" s="5" t="str">
        <f t="shared" si="19"/>
        <v>0,12</v>
      </c>
      <c r="Q190" s="4" t="str">
        <f t="shared" si="20"/>
        <v>Cero Bolívares con 12/100</v>
      </c>
    </row>
    <row r="191" spans="1:17" x14ac:dyDescent="0.25">
      <c r="A191" s="1">
        <f t="shared" si="22"/>
        <v>190</v>
      </c>
      <c r="C191" s="8" t="s">
        <v>17</v>
      </c>
      <c r="D191" s="2">
        <v>42782</v>
      </c>
      <c r="E191" s="3">
        <f>12000/100000</f>
        <v>0.12</v>
      </c>
      <c r="F191" t="s">
        <v>407</v>
      </c>
      <c r="G191" t="s">
        <v>408</v>
      </c>
      <c r="H191" t="s">
        <v>409</v>
      </c>
      <c r="I191" s="6" t="s">
        <v>158</v>
      </c>
      <c r="J191" s="61" t="s">
        <v>22</v>
      </c>
      <c r="L191" s="5" t="str">
        <f t="shared" si="16"/>
        <v>00190</v>
      </c>
      <c r="M191" s="47" t="str">
        <f t="shared" si="17"/>
        <v>16 de febrero de 2017</v>
      </c>
      <c r="N191" s="323">
        <f t="shared" si="21"/>
        <v>16</v>
      </c>
      <c r="O191" s="25">
        <f t="shared" si="18"/>
        <v>42767</v>
      </c>
      <c r="P191" s="5" t="str">
        <f t="shared" si="19"/>
        <v>0,12</v>
      </c>
      <c r="Q191" s="4" t="str">
        <f t="shared" si="20"/>
        <v>Cero Bolívares con 12/100</v>
      </c>
    </row>
    <row r="192" spans="1:17" x14ac:dyDescent="0.25">
      <c r="A192" s="1">
        <f t="shared" si="22"/>
        <v>191</v>
      </c>
      <c r="C192" s="8" t="s">
        <v>17</v>
      </c>
      <c r="D192" s="2">
        <v>42809</v>
      </c>
      <c r="E192" s="3">
        <f>12000/100000</f>
        <v>0.12</v>
      </c>
      <c r="F192" t="s">
        <v>407</v>
      </c>
      <c r="G192" t="s">
        <v>408</v>
      </c>
      <c r="H192" t="s">
        <v>409</v>
      </c>
      <c r="I192" s="6" t="s">
        <v>317</v>
      </c>
      <c r="J192" s="61" t="s">
        <v>22</v>
      </c>
      <c r="L192" s="5" t="str">
        <f t="shared" si="16"/>
        <v>00191</v>
      </c>
      <c r="M192" s="47" t="str">
        <f t="shared" si="17"/>
        <v>15 de marzo de 2017</v>
      </c>
      <c r="N192" s="323">
        <f t="shared" si="21"/>
        <v>15</v>
      </c>
      <c r="O192" s="25">
        <f t="shared" si="18"/>
        <v>42795</v>
      </c>
      <c r="P192" s="5" t="str">
        <f t="shared" si="19"/>
        <v>0,12</v>
      </c>
      <c r="Q192" s="4" t="str">
        <f t="shared" si="20"/>
        <v>Cero Bolívares con 12/100</v>
      </c>
    </row>
    <row r="193" spans="1:17" x14ac:dyDescent="0.25">
      <c r="A193" s="1">
        <f t="shared" si="22"/>
        <v>192</v>
      </c>
      <c r="C193" s="8" t="s">
        <v>17</v>
      </c>
      <c r="D193" s="2">
        <v>42846</v>
      </c>
      <c r="E193" s="3">
        <f>17000*2/100000</f>
        <v>0.34</v>
      </c>
      <c r="F193" t="s">
        <v>337</v>
      </c>
      <c r="G193" t="s">
        <v>338</v>
      </c>
      <c r="H193" t="s">
        <v>339</v>
      </c>
      <c r="I193" s="6" t="s">
        <v>400</v>
      </c>
      <c r="J193" s="61" t="s">
        <v>22</v>
      </c>
      <c r="L193" s="5" t="str">
        <f t="shared" si="16"/>
        <v>00192</v>
      </c>
      <c r="M193" s="47" t="str">
        <f t="shared" si="17"/>
        <v>21 de abril de 2017</v>
      </c>
      <c r="N193" s="323">
        <f t="shared" si="21"/>
        <v>21</v>
      </c>
      <c r="O193" s="25">
        <f t="shared" si="18"/>
        <v>42826</v>
      </c>
      <c r="P193" s="5" t="str">
        <f t="shared" si="19"/>
        <v>0,34</v>
      </c>
      <c r="Q193" s="4" t="str">
        <f t="shared" si="20"/>
        <v>Cero Bolívares con 34/100</v>
      </c>
    </row>
    <row r="194" spans="1:17" x14ac:dyDescent="0.25">
      <c r="A194" s="1">
        <f t="shared" si="22"/>
        <v>193</v>
      </c>
      <c r="C194" s="8" t="s">
        <v>17</v>
      </c>
      <c r="D194" s="2">
        <v>42846</v>
      </c>
      <c r="E194" s="3">
        <f>17000/100000</f>
        <v>0.17</v>
      </c>
      <c r="F194" t="s">
        <v>122</v>
      </c>
      <c r="G194" t="s">
        <v>123</v>
      </c>
      <c r="H194" t="s">
        <v>124</v>
      </c>
      <c r="I194" s="6" t="s">
        <v>395</v>
      </c>
      <c r="J194" s="61" t="s">
        <v>22</v>
      </c>
      <c r="L194" s="5" t="str">
        <f t="shared" ref="L194:L257" si="24">IF(ISBLANK(A194),"",TEXT(A194,"00000"))</f>
        <v>00193</v>
      </c>
      <c r="M194" s="47" t="str">
        <f t="shared" ref="M194:M257" si="25">IF(ISBLANK(D194),"",TEXT(D194,"dd")&amp;" de "&amp;TEXT(D194,"mmmm")&amp;" de "&amp;TEXT(YEAR(D194),"0"))</f>
        <v>21 de abril de 2017</v>
      </c>
      <c r="N194" s="323">
        <f t="shared" si="21"/>
        <v>21</v>
      </c>
      <c r="O194" s="25">
        <f t="shared" ref="O194:O257" si="26">DATE(YEAR(D194),MONTH(D194),1)</f>
        <v>42826</v>
      </c>
      <c r="P194" s="5" t="str">
        <f t="shared" ref="P194:P257" si="27">TEXT(E194,"#.##0,00")</f>
        <v>0,17</v>
      </c>
      <c r="Q194" s="4" t="str">
        <f t="shared" ref="Q194:Q257" si="28">CONVERTIRNUM(E194)</f>
        <v>Cero Bolívares con 17/100</v>
      </c>
    </row>
    <row r="195" spans="1:17" x14ac:dyDescent="0.25">
      <c r="A195" s="1">
        <f t="shared" si="22"/>
        <v>194</v>
      </c>
      <c r="C195" s="8" t="s">
        <v>17</v>
      </c>
      <c r="D195" s="2">
        <v>42845</v>
      </c>
      <c r="E195" s="3">
        <f>17000/100000</f>
        <v>0.17</v>
      </c>
      <c r="F195" t="s">
        <v>185</v>
      </c>
      <c r="G195" t="s">
        <v>186</v>
      </c>
      <c r="H195" t="s">
        <v>187</v>
      </c>
      <c r="I195" s="6" t="s">
        <v>306</v>
      </c>
      <c r="J195" s="61" t="s">
        <v>22</v>
      </c>
      <c r="L195" s="5" t="str">
        <f t="shared" si="24"/>
        <v>00194</v>
      </c>
      <c r="M195" s="47" t="str">
        <f t="shared" si="25"/>
        <v>20 de abril de 2017</v>
      </c>
      <c r="N195" s="323">
        <f t="shared" ref="N195:N258" si="29">DAY(D195)</f>
        <v>20</v>
      </c>
      <c r="O195" s="25">
        <f t="shared" si="26"/>
        <v>42826</v>
      </c>
      <c r="P195" s="5" t="str">
        <f t="shared" si="27"/>
        <v>0,17</v>
      </c>
      <c r="Q195" s="4" t="str">
        <f t="shared" si="28"/>
        <v>Cero Bolívares con 17/100</v>
      </c>
    </row>
    <row r="196" spans="1:17" x14ac:dyDescent="0.25">
      <c r="A196" s="1">
        <f t="shared" ref="A196:A259" si="30">A195+1</f>
        <v>195</v>
      </c>
      <c r="C196" s="8" t="s">
        <v>17</v>
      </c>
      <c r="D196" s="2">
        <v>42847</v>
      </c>
      <c r="E196" s="3">
        <f>17000/100000</f>
        <v>0.17</v>
      </c>
      <c r="F196" t="s">
        <v>40</v>
      </c>
      <c r="G196" t="s">
        <v>41</v>
      </c>
      <c r="H196" t="s">
        <v>42</v>
      </c>
      <c r="I196" s="6" t="s">
        <v>395</v>
      </c>
      <c r="J196" s="61" t="s">
        <v>22</v>
      </c>
      <c r="L196" s="5" t="str">
        <f t="shared" si="24"/>
        <v>00195</v>
      </c>
      <c r="M196" s="47" t="str">
        <f t="shared" si="25"/>
        <v>22 de abril de 2017</v>
      </c>
      <c r="N196" s="323">
        <f t="shared" si="29"/>
        <v>22</v>
      </c>
      <c r="O196" s="25">
        <f t="shared" si="26"/>
        <v>42826</v>
      </c>
      <c r="P196" s="5" t="str">
        <f t="shared" si="27"/>
        <v>0,17</v>
      </c>
      <c r="Q196" s="4" t="str">
        <f t="shared" si="28"/>
        <v>Cero Bolívares con 17/100</v>
      </c>
    </row>
    <row r="197" spans="1:17" x14ac:dyDescent="0.25">
      <c r="A197" s="1">
        <f t="shared" si="30"/>
        <v>196</v>
      </c>
      <c r="C197" s="8" t="s">
        <v>17</v>
      </c>
      <c r="D197" s="2">
        <v>42847</v>
      </c>
      <c r="E197" s="3">
        <f>17000*2/100000</f>
        <v>0.34</v>
      </c>
      <c r="F197" t="s">
        <v>410</v>
      </c>
      <c r="G197" s="18" t="s">
        <v>58</v>
      </c>
      <c r="H197" t="s">
        <v>411</v>
      </c>
      <c r="I197" s="6" t="s">
        <v>222</v>
      </c>
      <c r="J197" s="61" t="s">
        <v>22</v>
      </c>
      <c r="L197" s="5" t="str">
        <f t="shared" si="24"/>
        <v>00196</v>
      </c>
      <c r="M197" s="47" t="str">
        <f t="shared" si="25"/>
        <v>22 de abril de 2017</v>
      </c>
      <c r="N197" s="323">
        <f t="shared" si="29"/>
        <v>22</v>
      </c>
      <c r="O197" s="25">
        <f t="shared" si="26"/>
        <v>42826</v>
      </c>
      <c r="P197" s="5" t="str">
        <f t="shared" si="27"/>
        <v>0,34</v>
      </c>
      <c r="Q197" s="4" t="str">
        <f t="shared" si="28"/>
        <v>Cero Bolívares con 34/100</v>
      </c>
    </row>
    <row r="198" spans="1:17" x14ac:dyDescent="0.25">
      <c r="A198" s="1">
        <f t="shared" si="30"/>
        <v>197</v>
      </c>
      <c r="C198" s="8" t="s">
        <v>17</v>
      </c>
      <c r="D198" s="2">
        <v>42848</v>
      </c>
      <c r="E198" s="3">
        <f>17000*2/100000</f>
        <v>0.34</v>
      </c>
      <c r="F198" t="s">
        <v>206</v>
      </c>
      <c r="G198" t="s">
        <v>207</v>
      </c>
      <c r="H198" t="s">
        <v>208</v>
      </c>
      <c r="I198" s="6" t="s">
        <v>195</v>
      </c>
      <c r="J198" s="61" t="s">
        <v>22</v>
      </c>
      <c r="L198" s="5" t="str">
        <f t="shared" si="24"/>
        <v>00197</v>
      </c>
      <c r="M198" s="47" t="str">
        <f t="shared" si="25"/>
        <v>23 de abril de 2017</v>
      </c>
      <c r="N198" s="323">
        <f t="shared" si="29"/>
        <v>23</v>
      </c>
      <c r="O198" s="25">
        <f t="shared" si="26"/>
        <v>42826</v>
      </c>
      <c r="P198" s="5" t="str">
        <f t="shared" si="27"/>
        <v>0,34</v>
      </c>
      <c r="Q198" s="4" t="str">
        <f t="shared" si="28"/>
        <v>Cero Bolívares con 34/100</v>
      </c>
    </row>
    <row r="199" spans="1:17" x14ac:dyDescent="0.25">
      <c r="A199" s="1">
        <f t="shared" si="30"/>
        <v>198</v>
      </c>
      <c r="C199" s="8" t="s">
        <v>17</v>
      </c>
      <c r="D199" s="2">
        <v>42848</v>
      </c>
      <c r="E199" s="3">
        <f>30000/100000</f>
        <v>0.3</v>
      </c>
      <c r="F199" t="s">
        <v>412</v>
      </c>
      <c r="G199" t="s">
        <v>413</v>
      </c>
      <c r="H199" t="s">
        <v>414</v>
      </c>
      <c r="I199" s="6" t="s">
        <v>315</v>
      </c>
      <c r="J199" s="61" t="s">
        <v>22</v>
      </c>
      <c r="L199" s="5" t="str">
        <f t="shared" si="24"/>
        <v>00198</v>
      </c>
      <c r="M199" s="47" t="str">
        <f t="shared" si="25"/>
        <v>23 de abril de 2017</v>
      </c>
      <c r="N199" s="323">
        <f t="shared" si="29"/>
        <v>23</v>
      </c>
      <c r="O199" s="25">
        <f t="shared" si="26"/>
        <v>42826</v>
      </c>
      <c r="P199" s="5" t="str">
        <f t="shared" si="27"/>
        <v>0,30</v>
      </c>
      <c r="Q199" s="4" t="str">
        <f t="shared" si="28"/>
        <v>Cero Bolívares con 30/100</v>
      </c>
    </row>
    <row r="200" spans="1:17" x14ac:dyDescent="0.25">
      <c r="A200" s="1">
        <f t="shared" si="30"/>
        <v>199</v>
      </c>
      <c r="C200" s="8" t="s">
        <v>17</v>
      </c>
      <c r="D200" s="2">
        <v>42849</v>
      </c>
      <c r="E200" s="3">
        <f>17000/100000</f>
        <v>0.17</v>
      </c>
      <c r="F200" t="s">
        <v>211</v>
      </c>
      <c r="G200" t="s">
        <v>212</v>
      </c>
      <c r="H200" t="s">
        <v>213</v>
      </c>
      <c r="I200" s="6" t="s">
        <v>395</v>
      </c>
      <c r="J200" s="61" t="s">
        <v>22</v>
      </c>
      <c r="L200" s="5" t="str">
        <f t="shared" si="24"/>
        <v>00199</v>
      </c>
      <c r="M200" s="47" t="str">
        <f t="shared" si="25"/>
        <v>24 de abril de 2017</v>
      </c>
      <c r="N200" s="323">
        <f t="shared" si="29"/>
        <v>24</v>
      </c>
      <c r="O200" s="25">
        <f t="shared" si="26"/>
        <v>42826</v>
      </c>
      <c r="P200" s="5" t="str">
        <f t="shared" si="27"/>
        <v>0,17</v>
      </c>
      <c r="Q200" s="4" t="str">
        <f t="shared" si="28"/>
        <v>Cero Bolívares con 17/100</v>
      </c>
    </row>
    <row r="201" spans="1:17" x14ac:dyDescent="0.25">
      <c r="A201" s="1">
        <f t="shared" si="30"/>
        <v>200</v>
      </c>
      <c r="C201" s="8" t="s">
        <v>17</v>
      </c>
      <c r="D201" s="2">
        <v>42849</v>
      </c>
      <c r="E201" s="3">
        <f>3000/100000+17000*3/100000</f>
        <v>0.54</v>
      </c>
      <c r="F201" t="s">
        <v>239</v>
      </c>
      <c r="G201" t="s">
        <v>240</v>
      </c>
      <c r="H201" t="s">
        <v>241</v>
      </c>
      <c r="I201" s="6" t="s">
        <v>415</v>
      </c>
      <c r="J201" s="61" t="s">
        <v>22</v>
      </c>
      <c r="L201" s="5" t="str">
        <f t="shared" si="24"/>
        <v>00200</v>
      </c>
      <c r="M201" s="47" t="str">
        <f t="shared" si="25"/>
        <v>24 de abril de 2017</v>
      </c>
      <c r="N201" s="323">
        <f t="shared" si="29"/>
        <v>24</v>
      </c>
      <c r="O201" s="25">
        <f t="shared" si="26"/>
        <v>42826</v>
      </c>
      <c r="P201" s="5" t="str">
        <f t="shared" si="27"/>
        <v>0,54</v>
      </c>
      <c r="Q201" s="4" t="str">
        <f t="shared" si="28"/>
        <v>Cero Bolívares con 54/100</v>
      </c>
    </row>
    <row r="202" spans="1:17" x14ac:dyDescent="0.25">
      <c r="A202" s="1">
        <f t="shared" si="30"/>
        <v>201</v>
      </c>
      <c r="C202" s="8" t="s">
        <v>17</v>
      </c>
      <c r="D202" s="2">
        <v>42804</v>
      </c>
      <c r="E202" s="3">
        <f>17000/100000</f>
        <v>0.17</v>
      </c>
      <c r="F202" t="s">
        <v>152</v>
      </c>
      <c r="G202" t="s">
        <v>153</v>
      </c>
      <c r="H202" t="s">
        <v>154</v>
      </c>
      <c r="I202" s="6" t="s">
        <v>306</v>
      </c>
      <c r="J202" s="61" t="s">
        <v>22</v>
      </c>
      <c r="L202" s="5" t="str">
        <f t="shared" si="24"/>
        <v>00201</v>
      </c>
      <c r="M202" s="47" t="str">
        <f t="shared" si="25"/>
        <v>10 de marzo de 2017</v>
      </c>
      <c r="N202" s="323">
        <f t="shared" si="29"/>
        <v>10</v>
      </c>
      <c r="O202" s="25">
        <f t="shared" si="26"/>
        <v>42795</v>
      </c>
      <c r="P202" s="5" t="str">
        <f t="shared" si="27"/>
        <v>0,17</v>
      </c>
      <c r="Q202" s="4" t="str">
        <f t="shared" si="28"/>
        <v>Cero Bolívares con 17/100</v>
      </c>
    </row>
    <row r="203" spans="1:17" x14ac:dyDescent="0.25">
      <c r="A203" s="1">
        <f t="shared" si="30"/>
        <v>202</v>
      </c>
      <c r="C203" s="8" t="s">
        <v>17</v>
      </c>
      <c r="D203" s="2">
        <v>42846</v>
      </c>
      <c r="E203" s="3">
        <f>17000/100000</f>
        <v>0.17</v>
      </c>
      <c r="F203" t="s">
        <v>152</v>
      </c>
      <c r="G203" t="s">
        <v>153</v>
      </c>
      <c r="H203" t="s">
        <v>154</v>
      </c>
      <c r="I203" s="6" t="s">
        <v>395</v>
      </c>
      <c r="J203" s="61" t="s">
        <v>22</v>
      </c>
      <c r="L203" s="5" t="str">
        <f t="shared" si="24"/>
        <v>00202</v>
      </c>
      <c r="M203" s="47" t="str">
        <f t="shared" si="25"/>
        <v>21 de abril de 2017</v>
      </c>
      <c r="N203" s="323">
        <f t="shared" si="29"/>
        <v>21</v>
      </c>
      <c r="O203" s="25">
        <f t="shared" si="26"/>
        <v>42826</v>
      </c>
      <c r="P203" s="5" t="str">
        <f t="shared" si="27"/>
        <v>0,17</v>
      </c>
      <c r="Q203" s="4" t="str">
        <f t="shared" si="28"/>
        <v>Cero Bolívares con 17/100</v>
      </c>
    </row>
    <row r="204" spans="1:17" x14ac:dyDescent="0.25">
      <c r="A204" s="1">
        <f t="shared" si="30"/>
        <v>203</v>
      </c>
      <c r="C204" s="8" t="s">
        <v>17</v>
      </c>
      <c r="D204" s="2">
        <v>42851</v>
      </c>
      <c r="E204" s="3">
        <f>17000*2/100000</f>
        <v>0.34</v>
      </c>
      <c r="F204" t="s">
        <v>264</v>
      </c>
      <c r="G204" t="s">
        <v>265</v>
      </c>
      <c r="H204" t="s">
        <v>266</v>
      </c>
      <c r="I204" s="6" t="s">
        <v>400</v>
      </c>
      <c r="J204" s="61" t="s">
        <v>22</v>
      </c>
      <c r="L204" s="5" t="str">
        <f t="shared" si="24"/>
        <v>00203</v>
      </c>
      <c r="M204" s="47" t="str">
        <f t="shared" si="25"/>
        <v>26 de abril de 2017</v>
      </c>
      <c r="N204" s="323">
        <f t="shared" si="29"/>
        <v>26</v>
      </c>
      <c r="O204" s="25">
        <f t="shared" si="26"/>
        <v>42826</v>
      </c>
      <c r="P204" s="5" t="str">
        <f t="shared" si="27"/>
        <v>0,34</v>
      </c>
      <c r="Q204" s="4" t="str">
        <f t="shared" si="28"/>
        <v>Cero Bolívares con 34/100</v>
      </c>
    </row>
    <row r="205" spans="1:17" x14ac:dyDescent="0.25">
      <c r="A205" s="1">
        <f t="shared" si="30"/>
        <v>204</v>
      </c>
      <c r="C205" s="8" t="s">
        <v>17</v>
      </c>
      <c r="D205" s="2">
        <v>42852</v>
      </c>
      <c r="E205" s="3">
        <f>17000/100000</f>
        <v>0.17</v>
      </c>
      <c r="F205" t="s">
        <v>100</v>
      </c>
      <c r="G205" t="s">
        <v>95</v>
      </c>
      <c r="H205" t="s">
        <v>101</v>
      </c>
      <c r="I205" s="6" t="s">
        <v>395</v>
      </c>
      <c r="J205" s="61" t="s">
        <v>22</v>
      </c>
      <c r="L205" s="5" t="str">
        <f t="shared" si="24"/>
        <v>00204</v>
      </c>
      <c r="M205" s="47" t="str">
        <f t="shared" si="25"/>
        <v>27 de abril de 2017</v>
      </c>
      <c r="N205" s="323">
        <f t="shared" si="29"/>
        <v>27</v>
      </c>
      <c r="O205" s="25">
        <f t="shared" si="26"/>
        <v>42826</v>
      </c>
      <c r="P205" s="5" t="str">
        <f t="shared" si="27"/>
        <v>0,17</v>
      </c>
      <c r="Q205" s="4" t="str">
        <f t="shared" si="28"/>
        <v>Cero Bolívares con 17/100</v>
      </c>
    </row>
    <row r="206" spans="1:17" x14ac:dyDescent="0.25">
      <c r="A206" s="1">
        <f t="shared" si="30"/>
        <v>205</v>
      </c>
      <c r="C206" s="8" t="s">
        <v>17</v>
      </c>
      <c r="D206" s="2">
        <v>42852</v>
      </c>
      <c r="E206" s="3">
        <f>3000/100000</f>
        <v>0.03</v>
      </c>
      <c r="F206" t="s">
        <v>94</v>
      </c>
      <c r="G206" t="s">
        <v>95</v>
      </c>
      <c r="H206" t="s">
        <v>96</v>
      </c>
      <c r="I206" s="6" t="s">
        <v>404</v>
      </c>
      <c r="J206" s="61" t="s">
        <v>22</v>
      </c>
      <c r="L206" s="5" t="str">
        <f t="shared" si="24"/>
        <v>00205</v>
      </c>
      <c r="M206" s="47" t="str">
        <f t="shared" si="25"/>
        <v>27 de abril de 2017</v>
      </c>
      <c r="N206" s="323">
        <f t="shared" si="29"/>
        <v>27</v>
      </c>
      <c r="O206" s="25">
        <f t="shared" si="26"/>
        <v>42826</v>
      </c>
      <c r="P206" s="5" t="str">
        <f t="shared" si="27"/>
        <v>0,03</v>
      </c>
      <c r="Q206" s="4" t="str">
        <f t="shared" si="28"/>
        <v>Cero Bolívares con 03/100</v>
      </c>
    </row>
    <row r="207" spans="1:17" x14ac:dyDescent="0.25">
      <c r="A207" s="1">
        <f t="shared" si="30"/>
        <v>206</v>
      </c>
      <c r="C207" s="8" t="s">
        <v>17</v>
      </c>
      <c r="D207" s="2">
        <v>42852</v>
      </c>
      <c r="E207" s="3">
        <f>17000/100000</f>
        <v>0.17</v>
      </c>
      <c r="F207" t="s">
        <v>407</v>
      </c>
      <c r="G207" t="s">
        <v>408</v>
      </c>
      <c r="H207" t="s">
        <v>409</v>
      </c>
      <c r="I207" s="6" t="s">
        <v>404</v>
      </c>
      <c r="J207" s="61" t="s">
        <v>22</v>
      </c>
      <c r="L207" s="5" t="str">
        <f t="shared" si="24"/>
        <v>00206</v>
      </c>
      <c r="M207" s="47" t="str">
        <f t="shared" si="25"/>
        <v>27 de abril de 2017</v>
      </c>
      <c r="N207" s="323">
        <f t="shared" si="29"/>
        <v>27</v>
      </c>
      <c r="O207" s="25">
        <f t="shared" si="26"/>
        <v>42826</v>
      </c>
      <c r="P207" s="5" t="str">
        <f t="shared" si="27"/>
        <v>0,17</v>
      </c>
      <c r="Q207" s="4" t="str">
        <f t="shared" si="28"/>
        <v>Cero Bolívares con 17/100</v>
      </c>
    </row>
    <row r="208" spans="1:17" x14ac:dyDescent="0.25">
      <c r="A208" s="1">
        <f t="shared" si="30"/>
        <v>207</v>
      </c>
      <c r="C208" s="8" t="s">
        <v>17</v>
      </c>
      <c r="D208" s="2">
        <v>42821</v>
      </c>
      <c r="E208" s="3">
        <f>10500/100000</f>
        <v>0.105</v>
      </c>
      <c r="F208" t="s">
        <v>270</v>
      </c>
      <c r="G208" t="s">
        <v>271</v>
      </c>
      <c r="H208" t="s">
        <v>272</v>
      </c>
      <c r="I208" s="6" t="s">
        <v>158</v>
      </c>
      <c r="J208" s="61" t="s">
        <v>22</v>
      </c>
      <c r="L208" s="5" t="str">
        <f t="shared" si="24"/>
        <v>00207</v>
      </c>
      <c r="M208" s="47" t="str">
        <f t="shared" si="25"/>
        <v>27 de marzo de 2017</v>
      </c>
      <c r="N208" s="323">
        <f t="shared" si="29"/>
        <v>27</v>
      </c>
      <c r="O208" s="25">
        <f t="shared" si="26"/>
        <v>42795</v>
      </c>
      <c r="P208" s="5" t="str">
        <f t="shared" si="27"/>
        <v>0,11</v>
      </c>
      <c r="Q208" s="4" t="str">
        <f t="shared" si="28"/>
        <v>Cero Bolívares con 10/100</v>
      </c>
    </row>
    <row r="209" spans="1:17" x14ac:dyDescent="0.25">
      <c r="A209" s="1">
        <f t="shared" si="30"/>
        <v>208</v>
      </c>
      <c r="C209" s="8" t="s">
        <v>17</v>
      </c>
      <c r="D209" s="2">
        <v>42857</v>
      </c>
      <c r="E209" s="3">
        <f>10000/100000</f>
        <v>0.1</v>
      </c>
      <c r="F209" t="s">
        <v>312</v>
      </c>
      <c r="G209" t="s">
        <v>313</v>
      </c>
      <c r="H209" t="s">
        <v>314</v>
      </c>
      <c r="I209" s="6" t="s">
        <v>404</v>
      </c>
      <c r="J209" s="61" t="s">
        <v>22</v>
      </c>
      <c r="L209" s="5" t="str">
        <f t="shared" si="24"/>
        <v>00208</v>
      </c>
      <c r="M209" s="47" t="str">
        <f t="shared" si="25"/>
        <v>02 de mayo de 2017</v>
      </c>
      <c r="N209" s="323">
        <f t="shared" si="29"/>
        <v>2</v>
      </c>
      <c r="O209" s="25">
        <f t="shared" si="26"/>
        <v>42856</v>
      </c>
      <c r="P209" s="5" t="str">
        <f t="shared" si="27"/>
        <v>0,10</v>
      </c>
      <c r="Q209" s="4" t="str">
        <f t="shared" si="28"/>
        <v>Cero Bolívares con 10/100</v>
      </c>
    </row>
    <row r="210" spans="1:17" x14ac:dyDescent="0.25">
      <c r="A210" s="1">
        <f t="shared" si="30"/>
        <v>209</v>
      </c>
      <c r="C210" s="8" t="s">
        <v>17</v>
      </c>
      <c r="D210" s="2">
        <v>42860</v>
      </c>
      <c r="E210" s="3">
        <f>17000/100000</f>
        <v>0.17</v>
      </c>
      <c r="F210" t="s">
        <v>296</v>
      </c>
      <c r="G210" t="s">
        <v>297</v>
      </c>
      <c r="H210" t="s">
        <v>298</v>
      </c>
      <c r="I210" s="6" t="s">
        <v>395</v>
      </c>
      <c r="J210" s="61" t="s">
        <v>22</v>
      </c>
      <c r="L210" s="5" t="str">
        <f t="shared" si="24"/>
        <v>00209</v>
      </c>
      <c r="M210" s="47" t="str">
        <f t="shared" si="25"/>
        <v>05 de mayo de 2017</v>
      </c>
      <c r="N210" s="323">
        <f t="shared" si="29"/>
        <v>5</v>
      </c>
      <c r="O210" s="25">
        <f t="shared" si="26"/>
        <v>42856</v>
      </c>
      <c r="P210" s="5" t="str">
        <f t="shared" si="27"/>
        <v>0,17</v>
      </c>
      <c r="Q210" s="4" t="str">
        <f t="shared" si="28"/>
        <v>Cero Bolívares con 17/100</v>
      </c>
    </row>
    <row r="211" spans="1:17" x14ac:dyDescent="0.25">
      <c r="A211" s="1">
        <f t="shared" si="30"/>
        <v>210</v>
      </c>
      <c r="C211" s="8" t="s">
        <v>17</v>
      </c>
      <c r="D211" s="2">
        <v>42860</v>
      </c>
      <c r="E211" s="3">
        <f>17000/100000</f>
        <v>0.17</v>
      </c>
      <c r="F211" t="s">
        <v>167</v>
      </c>
      <c r="G211" t="s">
        <v>168</v>
      </c>
      <c r="H211" t="s">
        <v>169</v>
      </c>
      <c r="I211" s="6" t="s">
        <v>416</v>
      </c>
      <c r="J211" s="61" t="s">
        <v>22</v>
      </c>
      <c r="L211" s="5" t="str">
        <f t="shared" si="24"/>
        <v>00210</v>
      </c>
      <c r="M211" s="47" t="str">
        <f t="shared" si="25"/>
        <v>05 de mayo de 2017</v>
      </c>
      <c r="N211" s="323">
        <f t="shared" si="29"/>
        <v>5</v>
      </c>
      <c r="O211" s="25">
        <f t="shared" si="26"/>
        <v>42856</v>
      </c>
      <c r="P211" s="5" t="str">
        <f t="shared" si="27"/>
        <v>0,17</v>
      </c>
      <c r="Q211" s="4" t="str">
        <f t="shared" si="28"/>
        <v>Cero Bolívares con 17/100</v>
      </c>
    </row>
    <row r="212" spans="1:17" x14ac:dyDescent="0.25">
      <c r="A212" s="1">
        <f t="shared" si="30"/>
        <v>211</v>
      </c>
      <c r="C212" s="8" t="s">
        <v>17</v>
      </c>
      <c r="D212" s="2">
        <v>42860</v>
      </c>
      <c r="E212" s="3">
        <f>17000/100000</f>
        <v>0.17</v>
      </c>
      <c r="F212" t="s">
        <v>62</v>
      </c>
      <c r="G212" t="s">
        <v>63</v>
      </c>
      <c r="H212" t="s">
        <v>64</v>
      </c>
      <c r="I212" s="6" t="s">
        <v>395</v>
      </c>
      <c r="J212" s="61" t="s">
        <v>22</v>
      </c>
      <c r="L212" s="5" t="str">
        <f t="shared" si="24"/>
        <v>00211</v>
      </c>
      <c r="M212" s="47" t="str">
        <f t="shared" si="25"/>
        <v>05 de mayo de 2017</v>
      </c>
      <c r="N212" s="323">
        <f t="shared" si="29"/>
        <v>5</v>
      </c>
      <c r="O212" s="25">
        <f t="shared" si="26"/>
        <v>42856</v>
      </c>
      <c r="P212" s="5" t="str">
        <f t="shared" si="27"/>
        <v>0,17</v>
      </c>
      <c r="Q212" s="4" t="str">
        <f t="shared" si="28"/>
        <v>Cero Bolívares con 17/100</v>
      </c>
    </row>
    <row r="213" spans="1:17" x14ac:dyDescent="0.25">
      <c r="A213" s="1">
        <f t="shared" si="30"/>
        <v>212</v>
      </c>
      <c r="C213" s="8" t="s">
        <v>17</v>
      </c>
      <c r="D213" s="2">
        <v>42860</v>
      </c>
      <c r="E213" s="3">
        <f>17000/100000</f>
        <v>0.17</v>
      </c>
      <c r="F213" t="s">
        <v>138</v>
      </c>
      <c r="G213" t="s">
        <v>139</v>
      </c>
      <c r="H213" t="s">
        <v>140</v>
      </c>
      <c r="I213" s="6" t="s">
        <v>395</v>
      </c>
      <c r="J213" s="61" t="s">
        <v>22</v>
      </c>
      <c r="L213" s="5" t="str">
        <f t="shared" si="24"/>
        <v>00212</v>
      </c>
      <c r="M213" s="47" t="str">
        <f t="shared" si="25"/>
        <v>05 de mayo de 2017</v>
      </c>
      <c r="N213" s="323">
        <f t="shared" si="29"/>
        <v>5</v>
      </c>
      <c r="O213" s="25">
        <f t="shared" si="26"/>
        <v>42856</v>
      </c>
      <c r="P213" s="5" t="str">
        <f t="shared" si="27"/>
        <v>0,17</v>
      </c>
      <c r="Q213" s="4" t="str">
        <f t="shared" si="28"/>
        <v>Cero Bolívares con 17/100</v>
      </c>
    </row>
    <row r="214" spans="1:17" x14ac:dyDescent="0.25">
      <c r="A214" s="1">
        <f t="shared" si="30"/>
        <v>213</v>
      </c>
      <c r="C214" s="8" t="s">
        <v>17</v>
      </c>
      <c r="D214" s="2">
        <v>42853</v>
      </c>
      <c r="E214" s="3">
        <f>5000/100000</f>
        <v>0.05</v>
      </c>
      <c r="F214" t="s">
        <v>417</v>
      </c>
      <c r="G214" t="s">
        <v>418</v>
      </c>
      <c r="H214" t="s">
        <v>419</v>
      </c>
      <c r="I214" s="6" t="s">
        <v>404</v>
      </c>
      <c r="J214" s="61" t="s">
        <v>22</v>
      </c>
      <c r="L214" s="5" t="str">
        <f t="shared" si="24"/>
        <v>00213</v>
      </c>
      <c r="M214" s="47" t="str">
        <f t="shared" si="25"/>
        <v>28 de abril de 2017</v>
      </c>
      <c r="N214" s="323">
        <f t="shared" si="29"/>
        <v>28</v>
      </c>
      <c r="O214" s="25">
        <f t="shared" si="26"/>
        <v>42826</v>
      </c>
      <c r="P214" s="5" t="str">
        <f t="shared" si="27"/>
        <v>0,05</v>
      </c>
      <c r="Q214" s="4" t="str">
        <f t="shared" si="28"/>
        <v>Cero Bolívares con 05/100</v>
      </c>
    </row>
    <row r="215" spans="1:17" x14ac:dyDescent="0.25">
      <c r="A215" s="1">
        <f t="shared" si="30"/>
        <v>214</v>
      </c>
      <c r="C215" s="8" t="s">
        <v>17</v>
      </c>
      <c r="D215" s="2">
        <v>42861</v>
      </c>
      <c r="E215" s="3">
        <f>26000/100000</f>
        <v>0.26</v>
      </c>
      <c r="F215" t="s">
        <v>44</v>
      </c>
      <c r="G215" t="s">
        <v>45</v>
      </c>
      <c r="H215" t="s">
        <v>46</v>
      </c>
      <c r="I215" s="6" t="s">
        <v>420</v>
      </c>
      <c r="J215" s="61" t="s">
        <v>22</v>
      </c>
      <c r="L215" s="5" t="str">
        <f t="shared" si="24"/>
        <v>00214</v>
      </c>
      <c r="M215" s="47" t="str">
        <f t="shared" si="25"/>
        <v>06 de mayo de 2017</v>
      </c>
      <c r="N215" s="323">
        <f t="shared" si="29"/>
        <v>6</v>
      </c>
      <c r="O215" s="25">
        <f t="shared" si="26"/>
        <v>42856</v>
      </c>
      <c r="P215" s="5" t="str">
        <f t="shared" si="27"/>
        <v>0,26</v>
      </c>
      <c r="Q215" s="4" t="str">
        <f t="shared" si="28"/>
        <v>Cero Bolívares con 26/100</v>
      </c>
    </row>
    <row r="216" spans="1:17" x14ac:dyDescent="0.25">
      <c r="A216" s="1">
        <f t="shared" si="30"/>
        <v>215</v>
      </c>
      <c r="C216" s="8" t="s">
        <v>17</v>
      </c>
      <c r="D216" s="2">
        <v>42830</v>
      </c>
      <c r="E216" s="3">
        <f>17000/100000</f>
        <v>0.17</v>
      </c>
      <c r="F216" t="s">
        <v>90</v>
      </c>
      <c r="G216" t="s">
        <v>91</v>
      </c>
      <c r="H216" t="s">
        <v>92</v>
      </c>
      <c r="I216" s="6" t="s">
        <v>395</v>
      </c>
      <c r="J216" s="61" t="s">
        <v>22</v>
      </c>
      <c r="L216" s="5" t="str">
        <f t="shared" si="24"/>
        <v>00215</v>
      </c>
      <c r="M216" s="47" t="str">
        <f t="shared" si="25"/>
        <v>05 de abril de 2017</v>
      </c>
      <c r="N216" s="323">
        <f t="shared" si="29"/>
        <v>5</v>
      </c>
      <c r="O216" s="25">
        <f t="shared" si="26"/>
        <v>42826</v>
      </c>
      <c r="P216" s="5" t="str">
        <f t="shared" si="27"/>
        <v>0,17</v>
      </c>
      <c r="Q216" s="4" t="str">
        <f t="shared" si="28"/>
        <v>Cero Bolívares con 17/100</v>
      </c>
    </row>
    <row r="217" spans="1:17" x14ac:dyDescent="0.25">
      <c r="A217" s="1">
        <f t="shared" si="30"/>
        <v>216</v>
      </c>
      <c r="C217" s="8" t="s">
        <v>17</v>
      </c>
      <c r="D217" s="2">
        <v>42858</v>
      </c>
      <c r="E217" s="3">
        <f>17000/100000</f>
        <v>0.17</v>
      </c>
      <c r="F217" t="s">
        <v>90</v>
      </c>
      <c r="G217" t="s">
        <v>91</v>
      </c>
      <c r="H217" t="s">
        <v>92</v>
      </c>
      <c r="I217" s="6" t="s">
        <v>416</v>
      </c>
      <c r="J217" s="61" t="s">
        <v>22</v>
      </c>
      <c r="L217" s="5" t="str">
        <f t="shared" si="24"/>
        <v>00216</v>
      </c>
      <c r="M217" s="47" t="str">
        <f t="shared" si="25"/>
        <v>03 de mayo de 2017</v>
      </c>
      <c r="N217" s="323">
        <f t="shared" si="29"/>
        <v>3</v>
      </c>
      <c r="O217" s="25">
        <f t="shared" si="26"/>
        <v>42856</v>
      </c>
      <c r="P217" s="5" t="str">
        <f t="shared" si="27"/>
        <v>0,17</v>
      </c>
      <c r="Q217" s="4" t="str">
        <f t="shared" si="28"/>
        <v>Cero Bolívares con 17/100</v>
      </c>
    </row>
    <row r="218" spans="1:17" x14ac:dyDescent="0.25">
      <c r="A218" s="1">
        <f t="shared" si="30"/>
        <v>217</v>
      </c>
      <c r="C218" s="8" t="s">
        <v>17</v>
      </c>
      <c r="D218" s="2">
        <v>42862</v>
      </c>
      <c r="E218" s="3">
        <f>9000/100000</f>
        <v>0.09</v>
      </c>
      <c r="F218" t="s">
        <v>90</v>
      </c>
      <c r="G218" t="s">
        <v>91</v>
      </c>
      <c r="H218" t="s">
        <v>92</v>
      </c>
      <c r="I218" s="6" t="s">
        <v>421</v>
      </c>
      <c r="J218" s="61" t="s">
        <v>22</v>
      </c>
      <c r="L218" s="5" t="str">
        <f t="shared" si="24"/>
        <v>00217</v>
      </c>
      <c r="M218" s="47" t="str">
        <f t="shared" si="25"/>
        <v>07 de mayo de 2017</v>
      </c>
      <c r="N218" s="323">
        <f t="shared" si="29"/>
        <v>7</v>
      </c>
      <c r="O218" s="25">
        <f t="shared" si="26"/>
        <v>42856</v>
      </c>
      <c r="P218" s="5" t="str">
        <f t="shared" si="27"/>
        <v>0,09</v>
      </c>
      <c r="Q218" s="4" t="str">
        <f t="shared" si="28"/>
        <v>Cero Bolívares con 09/100</v>
      </c>
    </row>
    <row r="219" spans="1:17" x14ac:dyDescent="0.25">
      <c r="A219" s="1">
        <f t="shared" si="30"/>
        <v>218</v>
      </c>
      <c r="C219" s="8" t="s">
        <v>17</v>
      </c>
      <c r="D219" s="2">
        <v>42862</v>
      </c>
      <c r="E219" s="3">
        <f>26000/100000</f>
        <v>0.26</v>
      </c>
      <c r="F219" t="s">
        <v>40</v>
      </c>
      <c r="G219" t="s">
        <v>41</v>
      </c>
      <c r="H219" t="s">
        <v>42</v>
      </c>
      <c r="I219" s="6" t="s">
        <v>420</v>
      </c>
      <c r="J219" s="61" t="s">
        <v>22</v>
      </c>
      <c r="L219" s="5" t="str">
        <f t="shared" si="24"/>
        <v>00218</v>
      </c>
      <c r="M219" s="47" t="str">
        <f t="shared" si="25"/>
        <v>07 de mayo de 2017</v>
      </c>
      <c r="N219" s="323">
        <f t="shared" si="29"/>
        <v>7</v>
      </c>
      <c r="O219" s="25">
        <f t="shared" si="26"/>
        <v>42856</v>
      </c>
      <c r="P219" s="5" t="str">
        <f t="shared" si="27"/>
        <v>0,26</v>
      </c>
      <c r="Q219" s="4" t="str">
        <f t="shared" si="28"/>
        <v>Cero Bolívares con 26/100</v>
      </c>
    </row>
    <row r="220" spans="1:17" x14ac:dyDescent="0.25">
      <c r="A220" s="1">
        <f t="shared" si="30"/>
        <v>219</v>
      </c>
      <c r="C220" s="8" t="s">
        <v>17</v>
      </c>
      <c r="D220" s="2">
        <v>42862</v>
      </c>
      <c r="E220" s="3">
        <f>26000/100000</f>
        <v>0.26</v>
      </c>
      <c r="F220" t="s">
        <v>24</v>
      </c>
      <c r="G220" t="s">
        <v>25</v>
      </c>
      <c r="H220" t="s">
        <v>26</v>
      </c>
      <c r="I220" s="6" t="s">
        <v>420</v>
      </c>
      <c r="J220" s="61" t="s">
        <v>22</v>
      </c>
      <c r="L220" s="5" t="str">
        <f t="shared" si="24"/>
        <v>00219</v>
      </c>
      <c r="M220" s="47" t="str">
        <f t="shared" si="25"/>
        <v>07 de mayo de 2017</v>
      </c>
      <c r="N220" s="323">
        <f t="shared" si="29"/>
        <v>7</v>
      </c>
      <c r="O220" s="25">
        <f t="shared" si="26"/>
        <v>42856</v>
      </c>
      <c r="P220" s="5" t="str">
        <f t="shared" si="27"/>
        <v>0,26</v>
      </c>
      <c r="Q220" s="4" t="str">
        <f t="shared" si="28"/>
        <v>Cero Bolívares con 26/100</v>
      </c>
    </row>
    <row r="221" spans="1:17" x14ac:dyDescent="0.25">
      <c r="A221" s="1">
        <f t="shared" si="30"/>
        <v>220</v>
      </c>
      <c r="C221" s="8" t="s">
        <v>17</v>
      </c>
      <c r="D221" s="2">
        <v>42862</v>
      </c>
      <c r="E221" s="3">
        <f>6500/100000+10500/100000</f>
        <v>0.16999999999999998</v>
      </c>
      <c r="F221" t="s">
        <v>177</v>
      </c>
      <c r="G221" s="18" t="s">
        <v>58</v>
      </c>
      <c r="H221" t="s">
        <v>179</v>
      </c>
      <c r="I221" s="6" t="s">
        <v>395</v>
      </c>
      <c r="J221" s="61" t="s">
        <v>22</v>
      </c>
      <c r="L221" s="5" t="str">
        <f t="shared" si="24"/>
        <v>00220</v>
      </c>
      <c r="M221" s="47" t="str">
        <f t="shared" si="25"/>
        <v>07 de mayo de 2017</v>
      </c>
      <c r="N221" s="323">
        <f t="shared" si="29"/>
        <v>7</v>
      </c>
      <c r="O221" s="25">
        <f t="shared" si="26"/>
        <v>42856</v>
      </c>
      <c r="P221" s="5" t="str">
        <f t="shared" si="27"/>
        <v>0,17</v>
      </c>
      <c r="Q221" s="4" t="str">
        <f t="shared" si="28"/>
        <v>Cero Bolívares con 17/100</v>
      </c>
    </row>
    <row r="222" spans="1:17" x14ac:dyDescent="0.25">
      <c r="A222" s="1">
        <f t="shared" si="30"/>
        <v>221</v>
      </c>
      <c r="C222" s="8" t="s">
        <v>17</v>
      </c>
      <c r="D222" s="2">
        <v>42781</v>
      </c>
      <c r="E222" s="3">
        <f>20000/100000</f>
        <v>0.2</v>
      </c>
      <c r="F222" s="20" t="s">
        <v>57</v>
      </c>
      <c r="G222" s="18" t="s">
        <v>58</v>
      </c>
      <c r="H222" s="21" t="s">
        <v>59</v>
      </c>
      <c r="I222" s="6" t="s">
        <v>142</v>
      </c>
      <c r="J222" s="61" t="s">
        <v>22</v>
      </c>
      <c r="K222" s="22"/>
      <c r="L222" s="5" t="str">
        <f t="shared" si="24"/>
        <v>00221</v>
      </c>
      <c r="M222" s="47" t="str">
        <f t="shared" si="25"/>
        <v>15 de febrero de 2017</v>
      </c>
      <c r="N222" s="323">
        <f t="shared" si="29"/>
        <v>15</v>
      </c>
      <c r="O222" s="25">
        <f t="shared" si="26"/>
        <v>42767</v>
      </c>
      <c r="P222" s="5" t="str">
        <f t="shared" si="27"/>
        <v>0,20</v>
      </c>
      <c r="Q222" s="4" t="str">
        <f t="shared" si="28"/>
        <v>Cero Bolívares con 20/100</v>
      </c>
    </row>
    <row r="223" spans="1:17" x14ac:dyDescent="0.25">
      <c r="A223" s="1">
        <f t="shared" si="30"/>
        <v>222</v>
      </c>
      <c r="C223" s="8" t="s">
        <v>17</v>
      </c>
      <c r="D223" s="2">
        <v>42750</v>
      </c>
      <c r="E223" s="3">
        <f>30000/100000</f>
        <v>0.3</v>
      </c>
      <c r="F223" s="23" t="s">
        <v>422</v>
      </c>
      <c r="G223" s="18" t="s">
        <v>58</v>
      </c>
      <c r="H223" t="s">
        <v>423</v>
      </c>
      <c r="I223" s="6" t="s">
        <v>60</v>
      </c>
      <c r="J223" s="61" t="s">
        <v>22</v>
      </c>
      <c r="L223" s="5" t="str">
        <f t="shared" si="24"/>
        <v>00222</v>
      </c>
      <c r="M223" s="47" t="str">
        <f t="shared" si="25"/>
        <v>15 de enero de 2017</v>
      </c>
      <c r="N223" s="323">
        <f t="shared" si="29"/>
        <v>15</v>
      </c>
      <c r="O223" s="25">
        <f t="shared" si="26"/>
        <v>42736</v>
      </c>
      <c r="P223" s="5" t="str">
        <f t="shared" si="27"/>
        <v>0,30</v>
      </c>
      <c r="Q223" s="4" t="str">
        <f t="shared" si="28"/>
        <v>Cero Bolívares con 30/100</v>
      </c>
    </row>
    <row r="224" spans="1:17" x14ac:dyDescent="0.25">
      <c r="A224" s="1">
        <f t="shared" si="30"/>
        <v>223</v>
      </c>
      <c r="C224" s="8" t="s">
        <v>17</v>
      </c>
      <c r="D224" s="2">
        <v>42863</v>
      </c>
      <c r="E224" s="3">
        <f>26000/100000</f>
        <v>0.26</v>
      </c>
      <c r="F224" t="s">
        <v>70</v>
      </c>
      <c r="G224" t="s">
        <v>71</v>
      </c>
      <c r="H224" t="s">
        <v>72</v>
      </c>
      <c r="I224" s="6" t="s">
        <v>420</v>
      </c>
      <c r="J224" s="61" t="s">
        <v>22</v>
      </c>
      <c r="L224" s="5" t="str">
        <f t="shared" si="24"/>
        <v>00223</v>
      </c>
      <c r="M224" s="47" t="str">
        <f t="shared" si="25"/>
        <v>08 de mayo de 2017</v>
      </c>
      <c r="N224" s="323">
        <f t="shared" si="29"/>
        <v>8</v>
      </c>
      <c r="O224" s="25">
        <f t="shared" si="26"/>
        <v>42856</v>
      </c>
      <c r="P224" s="5" t="str">
        <f t="shared" si="27"/>
        <v>0,26</v>
      </c>
      <c r="Q224" s="4" t="str">
        <f t="shared" si="28"/>
        <v>Cero Bolívares con 26/100</v>
      </c>
    </row>
    <row r="225" spans="1:17" x14ac:dyDescent="0.25">
      <c r="A225" s="1">
        <f t="shared" si="30"/>
        <v>224</v>
      </c>
      <c r="C225" s="8" t="s">
        <v>17</v>
      </c>
      <c r="D225" s="2">
        <v>42863</v>
      </c>
      <c r="E225" s="3">
        <f>26000/100000</f>
        <v>0.26</v>
      </c>
      <c r="F225" t="s">
        <v>18</v>
      </c>
      <c r="G225" t="s">
        <v>19</v>
      </c>
      <c r="H225" t="s">
        <v>20</v>
      </c>
      <c r="I225" s="6" t="s">
        <v>420</v>
      </c>
      <c r="J225" s="61" t="s">
        <v>22</v>
      </c>
      <c r="L225" s="5" t="str">
        <f t="shared" si="24"/>
        <v>00224</v>
      </c>
      <c r="M225" s="47" t="str">
        <f t="shared" si="25"/>
        <v>08 de mayo de 2017</v>
      </c>
      <c r="N225" s="323">
        <f t="shared" si="29"/>
        <v>8</v>
      </c>
      <c r="O225" s="25">
        <f t="shared" si="26"/>
        <v>42856</v>
      </c>
      <c r="P225" s="5" t="str">
        <f t="shared" si="27"/>
        <v>0,26</v>
      </c>
      <c r="Q225" s="4" t="str">
        <f t="shared" si="28"/>
        <v>Cero Bolívares con 26/100</v>
      </c>
    </row>
    <row r="226" spans="1:17" x14ac:dyDescent="0.25">
      <c r="A226" s="1">
        <f t="shared" si="30"/>
        <v>225</v>
      </c>
      <c r="C226" s="8" t="s">
        <v>17</v>
      </c>
      <c r="D226" s="2">
        <v>42809</v>
      </c>
      <c r="E226" s="3">
        <f>17000/100000</f>
        <v>0.17</v>
      </c>
      <c r="F226" t="s">
        <v>53</v>
      </c>
      <c r="G226" t="s">
        <v>54</v>
      </c>
      <c r="H226" t="s">
        <v>55</v>
      </c>
      <c r="I226" s="6" t="s">
        <v>306</v>
      </c>
      <c r="J226" s="61" t="s">
        <v>22</v>
      </c>
      <c r="L226" s="5" t="str">
        <f t="shared" si="24"/>
        <v>00225</v>
      </c>
      <c r="M226" s="47" t="str">
        <f t="shared" si="25"/>
        <v>15 de marzo de 2017</v>
      </c>
      <c r="N226" s="323">
        <f t="shared" si="29"/>
        <v>15</v>
      </c>
      <c r="O226" s="25">
        <f t="shared" si="26"/>
        <v>42795</v>
      </c>
      <c r="P226" s="5" t="str">
        <f t="shared" si="27"/>
        <v>0,17</v>
      </c>
      <c r="Q226" s="4" t="str">
        <f t="shared" si="28"/>
        <v>Cero Bolívares con 17/100</v>
      </c>
    </row>
    <row r="227" spans="1:17" x14ac:dyDescent="0.25">
      <c r="A227" s="1">
        <f t="shared" si="30"/>
        <v>226</v>
      </c>
      <c r="C227" s="8" t="s">
        <v>17</v>
      </c>
      <c r="D227" s="2">
        <v>42863</v>
      </c>
      <c r="E227" s="3">
        <f>17000*2/100000</f>
        <v>0.34</v>
      </c>
      <c r="F227" t="s">
        <v>248</v>
      </c>
      <c r="G227" t="s">
        <v>249</v>
      </c>
      <c r="H227" t="s">
        <v>250</v>
      </c>
      <c r="I227" s="6" t="s">
        <v>424</v>
      </c>
      <c r="J227" s="61" t="s">
        <v>22</v>
      </c>
      <c r="L227" s="5" t="str">
        <f t="shared" si="24"/>
        <v>00226</v>
      </c>
      <c r="M227" s="47" t="str">
        <f t="shared" si="25"/>
        <v>08 de mayo de 2017</v>
      </c>
      <c r="N227" s="323">
        <f t="shared" si="29"/>
        <v>8</v>
      </c>
      <c r="O227" s="25">
        <f t="shared" si="26"/>
        <v>42856</v>
      </c>
      <c r="P227" s="5" t="str">
        <f t="shared" si="27"/>
        <v>0,34</v>
      </c>
      <c r="Q227" s="4" t="str">
        <f t="shared" si="28"/>
        <v>Cero Bolívares con 34/100</v>
      </c>
    </row>
    <row r="228" spans="1:17" x14ac:dyDescent="0.25">
      <c r="A228" s="1">
        <f t="shared" si="30"/>
        <v>227</v>
      </c>
      <c r="C228" s="8" t="s">
        <v>17</v>
      </c>
      <c r="D228" s="2">
        <v>42809</v>
      </c>
      <c r="E228" s="3">
        <f>17000/100000</f>
        <v>0.17</v>
      </c>
      <c r="F228" t="s">
        <v>362</v>
      </c>
      <c r="G228" t="s">
        <v>363</v>
      </c>
      <c r="H228" t="s">
        <v>364</v>
      </c>
      <c r="I228" s="6" t="s">
        <v>142</v>
      </c>
      <c r="J228" s="61" t="s">
        <v>22</v>
      </c>
      <c r="L228" s="5" t="str">
        <f t="shared" si="24"/>
        <v>00227</v>
      </c>
      <c r="M228" s="47" t="str">
        <f t="shared" si="25"/>
        <v>15 de marzo de 2017</v>
      </c>
      <c r="N228" s="323">
        <f t="shared" si="29"/>
        <v>15</v>
      </c>
      <c r="O228" s="25">
        <f t="shared" si="26"/>
        <v>42795</v>
      </c>
      <c r="P228" s="5" t="str">
        <f t="shared" si="27"/>
        <v>0,17</v>
      </c>
      <c r="Q228" s="4" t="str">
        <f t="shared" si="28"/>
        <v>Cero Bolívares con 17/100</v>
      </c>
    </row>
    <row r="229" spans="1:17" x14ac:dyDescent="0.25">
      <c r="A229" s="319">
        <f t="shared" si="30"/>
        <v>228</v>
      </c>
      <c r="B229" s="574"/>
      <c r="C229" s="12" t="s">
        <v>225</v>
      </c>
      <c r="D229" s="17"/>
      <c r="E229" s="13"/>
      <c r="F229" s="14" t="s">
        <v>362</v>
      </c>
      <c r="G229" s="14" t="s">
        <v>363</v>
      </c>
      <c r="H229" s="14" t="s">
        <v>364</v>
      </c>
      <c r="I229" s="15" t="s">
        <v>425</v>
      </c>
      <c r="J229" s="62" t="s">
        <v>426</v>
      </c>
      <c r="K229" s="16"/>
      <c r="L229" s="5" t="str">
        <f t="shared" si="24"/>
        <v>00228</v>
      </c>
      <c r="M229" s="47" t="str">
        <f t="shared" si="25"/>
        <v/>
      </c>
      <c r="N229" s="323">
        <f t="shared" si="29"/>
        <v>0</v>
      </c>
      <c r="O229" s="25">
        <f t="shared" si="26"/>
        <v>1</v>
      </c>
      <c r="P229" s="5" t="str">
        <f t="shared" si="27"/>
        <v>0,00</v>
      </c>
      <c r="Q229" s="4" t="str">
        <f t="shared" si="28"/>
        <v>Cero Bolívares con 00/100</v>
      </c>
    </row>
    <row r="230" spans="1:17" x14ac:dyDescent="0.25">
      <c r="A230" s="1">
        <f t="shared" si="30"/>
        <v>229</v>
      </c>
      <c r="C230" s="8" t="s">
        <v>17</v>
      </c>
      <c r="D230" s="2">
        <v>42860</v>
      </c>
      <c r="E230" s="3">
        <f>17000/100000</f>
        <v>0.17</v>
      </c>
      <c r="F230" t="s">
        <v>362</v>
      </c>
      <c r="G230" t="s">
        <v>363</v>
      </c>
      <c r="H230" t="s">
        <v>364</v>
      </c>
      <c r="I230" s="6" t="s">
        <v>306</v>
      </c>
      <c r="J230" s="61" t="s">
        <v>22</v>
      </c>
      <c r="L230" s="5" t="str">
        <f t="shared" si="24"/>
        <v>00229</v>
      </c>
      <c r="M230" s="47" t="str">
        <f t="shared" si="25"/>
        <v>05 de mayo de 2017</v>
      </c>
      <c r="N230" s="323">
        <f t="shared" si="29"/>
        <v>5</v>
      </c>
      <c r="O230" s="25">
        <f t="shared" si="26"/>
        <v>42856</v>
      </c>
      <c r="P230" s="5" t="str">
        <f t="shared" si="27"/>
        <v>0,17</v>
      </c>
      <c r="Q230" s="4" t="str">
        <f t="shared" si="28"/>
        <v>Cero Bolívares con 17/100</v>
      </c>
    </row>
    <row r="231" spans="1:17" x14ac:dyDescent="0.25">
      <c r="A231" s="1">
        <f t="shared" si="30"/>
        <v>230</v>
      </c>
      <c r="C231" s="8" t="s">
        <v>17</v>
      </c>
      <c r="D231" s="2">
        <v>42863</v>
      </c>
      <c r="E231" s="3">
        <f>17000/100000</f>
        <v>0.17</v>
      </c>
      <c r="F231" t="s">
        <v>126</v>
      </c>
      <c r="G231" t="s">
        <v>127</v>
      </c>
      <c r="H231" t="s">
        <v>128</v>
      </c>
      <c r="I231" s="6" t="s">
        <v>395</v>
      </c>
      <c r="J231" s="61" t="s">
        <v>22</v>
      </c>
      <c r="L231" s="5" t="str">
        <f t="shared" si="24"/>
        <v>00230</v>
      </c>
      <c r="M231" s="47" t="str">
        <f t="shared" si="25"/>
        <v>08 de mayo de 2017</v>
      </c>
      <c r="N231" s="323">
        <f t="shared" si="29"/>
        <v>8</v>
      </c>
      <c r="O231" s="25">
        <f t="shared" si="26"/>
        <v>42856</v>
      </c>
      <c r="P231" s="5" t="str">
        <f t="shared" si="27"/>
        <v>0,17</v>
      </c>
      <c r="Q231" s="4" t="str">
        <f t="shared" si="28"/>
        <v>Cero Bolívares con 17/100</v>
      </c>
    </row>
    <row r="232" spans="1:17" x14ac:dyDescent="0.25">
      <c r="A232" s="1">
        <f t="shared" si="30"/>
        <v>231</v>
      </c>
      <c r="C232" s="8" t="s">
        <v>17</v>
      </c>
      <c r="D232" s="2">
        <v>42864</v>
      </c>
      <c r="E232" s="3">
        <f>26000/100000</f>
        <v>0.26</v>
      </c>
      <c r="F232" t="s">
        <v>100</v>
      </c>
      <c r="G232" t="s">
        <v>95</v>
      </c>
      <c r="H232" t="s">
        <v>101</v>
      </c>
      <c r="I232" s="6" t="s">
        <v>420</v>
      </c>
      <c r="J232" s="61" t="s">
        <v>22</v>
      </c>
      <c r="L232" s="5" t="str">
        <f t="shared" si="24"/>
        <v>00231</v>
      </c>
      <c r="M232" s="47" t="str">
        <f t="shared" si="25"/>
        <v>09 de mayo de 2017</v>
      </c>
      <c r="N232" s="323">
        <f t="shared" si="29"/>
        <v>9</v>
      </c>
      <c r="O232" s="25">
        <f t="shared" si="26"/>
        <v>42856</v>
      </c>
      <c r="P232" s="5" t="str">
        <f t="shared" si="27"/>
        <v>0,26</v>
      </c>
      <c r="Q232" s="4" t="str">
        <f t="shared" si="28"/>
        <v>Cero Bolívares con 26/100</v>
      </c>
    </row>
    <row r="233" spans="1:17" x14ac:dyDescent="0.25">
      <c r="A233" s="1">
        <f t="shared" si="30"/>
        <v>232</v>
      </c>
      <c r="C233" s="8" t="s">
        <v>17</v>
      </c>
      <c r="D233" s="2">
        <v>42864</v>
      </c>
      <c r="E233" s="3">
        <f>4000/100000</f>
        <v>0.04</v>
      </c>
      <c r="F233" t="s">
        <v>94</v>
      </c>
      <c r="G233" t="s">
        <v>95</v>
      </c>
      <c r="H233" t="s">
        <v>96</v>
      </c>
      <c r="I233" s="6" t="s">
        <v>427</v>
      </c>
      <c r="J233" s="61" t="s">
        <v>22</v>
      </c>
      <c r="L233" s="5" t="str">
        <f t="shared" si="24"/>
        <v>00232</v>
      </c>
      <c r="M233" s="47" t="str">
        <f t="shared" si="25"/>
        <v>09 de mayo de 2017</v>
      </c>
      <c r="N233" s="323">
        <f t="shared" si="29"/>
        <v>9</v>
      </c>
      <c r="O233" s="25">
        <f t="shared" si="26"/>
        <v>42856</v>
      </c>
      <c r="P233" s="5" t="str">
        <f t="shared" si="27"/>
        <v>0,04</v>
      </c>
      <c r="Q233" s="4" t="str">
        <f t="shared" si="28"/>
        <v>Cero Bolívares con 04/100</v>
      </c>
    </row>
    <row r="234" spans="1:17" x14ac:dyDescent="0.25">
      <c r="A234" s="1">
        <f t="shared" si="30"/>
        <v>233</v>
      </c>
      <c r="C234" s="8" t="s">
        <v>17</v>
      </c>
      <c r="D234" s="2">
        <v>42855</v>
      </c>
      <c r="E234" s="3">
        <f>17000/100000</f>
        <v>0.17</v>
      </c>
      <c r="F234" t="s">
        <v>353</v>
      </c>
      <c r="G234" t="s">
        <v>354</v>
      </c>
      <c r="H234" t="s">
        <v>355</v>
      </c>
      <c r="I234" s="6" t="s">
        <v>428</v>
      </c>
      <c r="J234" s="61" t="s">
        <v>22</v>
      </c>
      <c r="L234" s="5" t="str">
        <f t="shared" si="24"/>
        <v>00233</v>
      </c>
      <c r="M234" s="47" t="str">
        <f t="shared" si="25"/>
        <v>30 de abril de 2017</v>
      </c>
      <c r="N234" s="323">
        <f t="shared" si="29"/>
        <v>30</v>
      </c>
      <c r="O234" s="25">
        <f t="shared" si="26"/>
        <v>42826</v>
      </c>
      <c r="P234" s="5" t="str">
        <f t="shared" si="27"/>
        <v>0,17</v>
      </c>
      <c r="Q234" s="4" t="str">
        <f t="shared" si="28"/>
        <v>Cero Bolívares con 17/100</v>
      </c>
    </row>
    <row r="235" spans="1:17" x14ac:dyDescent="0.25">
      <c r="A235" s="1">
        <f t="shared" si="30"/>
        <v>234</v>
      </c>
      <c r="C235" s="8" t="s">
        <v>17</v>
      </c>
      <c r="D235" s="2">
        <v>42864</v>
      </c>
      <c r="E235" s="3">
        <f>26000/100000+17000/100000</f>
        <v>0.43000000000000005</v>
      </c>
      <c r="F235" t="s">
        <v>219</v>
      </c>
      <c r="G235" t="s">
        <v>220</v>
      </c>
      <c r="H235" t="s">
        <v>221</v>
      </c>
      <c r="I235" s="6" t="s">
        <v>429</v>
      </c>
      <c r="J235" s="61" t="s">
        <v>22</v>
      </c>
      <c r="L235" s="5" t="str">
        <f t="shared" si="24"/>
        <v>00234</v>
      </c>
      <c r="M235" s="47" t="str">
        <f t="shared" si="25"/>
        <v>09 de mayo de 2017</v>
      </c>
      <c r="N235" s="323">
        <f t="shared" si="29"/>
        <v>9</v>
      </c>
      <c r="O235" s="25">
        <f t="shared" si="26"/>
        <v>42856</v>
      </c>
      <c r="P235" s="5" t="str">
        <f t="shared" si="27"/>
        <v>0,43</v>
      </c>
      <c r="Q235" s="4" t="str">
        <f t="shared" si="28"/>
        <v>Cero Bolívares con 43/100</v>
      </c>
    </row>
    <row r="236" spans="1:17" x14ac:dyDescent="0.25">
      <c r="A236" s="1">
        <f t="shared" si="30"/>
        <v>235</v>
      </c>
      <c r="C236" s="8" t="s">
        <v>17</v>
      </c>
      <c r="D236" s="2">
        <v>42864</v>
      </c>
      <c r="E236" s="3">
        <f>26000/100000</f>
        <v>0.26</v>
      </c>
      <c r="F236" t="s">
        <v>211</v>
      </c>
      <c r="G236" t="s">
        <v>212</v>
      </c>
      <c r="H236" t="s">
        <v>213</v>
      </c>
      <c r="I236" s="6" t="s">
        <v>420</v>
      </c>
      <c r="J236" s="61" t="s">
        <v>22</v>
      </c>
      <c r="L236" s="5" t="str">
        <f t="shared" si="24"/>
        <v>00235</v>
      </c>
      <c r="M236" s="47" t="str">
        <f t="shared" si="25"/>
        <v>09 de mayo de 2017</v>
      </c>
      <c r="N236" s="323">
        <f t="shared" si="29"/>
        <v>9</v>
      </c>
      <c r="O236" s="25">
        <f t="shared" si="26"/>
        <v>42856</v>
      </c>
      <c r="P236" s="5" t="str">
        <f t="shared" si="27"/>
        <v>0,26</v>
      </c>
      <c r="Q236" s="4" t="str">
        <f t="shared" si="28"/>
        <v>Cero Bolívares con 26/100</v>
      </c>
    </row>
    <row r="237" spans="1:17" x14ac:dyDescent="0.25">
      <c r="A237" s="1">
        <f t="shared" si="30"/>
        <v>236</v>
      </c>
      <c r="C237" s="8" t="s">
        <v>17</v>
      </c>
      <c r="D237" s="2">
        <v>42831</v>
      </c>
      <c r="E237" s="3">
        <f>14000/100000</f>
        <v>0.14000000000000001</v>
      </c>
      <c r="F237" t="s">
        <v>284</v>
      </c>
      <c r="G237" t="s">
        <v>276</v>
      </c>
      <c r="H237" t="s">
        <v>285</v>
      </c>
      <c r="I237" s="6" t="s">
        <v>317</v>
      </c>
      <c r="J237" s="61" t="s">
        <v>22</v>
      </c>
      <c r="L237" s="5" t="str">
        <f t="shared" si="24"/>
        <v>00236</v>
      </c>
      <c r="M237" s="47" t="str">
        <f t="shared" si="25"/>
        <v>06 de abril de 2017</v>
      </c>
      <c r="N237" s="323">
        <f t="shared" si="29"/>
        <v>6</v>
      </c>
      <c r="O237" s="25">
        <f t="shared" si="26"/>
        <v>42826</v>
      </c>
      <c r="P237" s="5" t="str">
        <f t="shared" si="27"/>
        <v>0,14</v>
      </c>
      <c r="Q237" s="4" t="str">
        <f t="shared" si="28"/>
        <v>Cero Bolívares con 14/100</v>
      </c>
    </row>
    <row r="238" spans="1:17" x14ac:dyDescent="0.25">
      <c r="A238" s="1">
        <f t="shared" si="30"/>
        <v>237</v>
      </c>
      <c r="C238" s="8" t="s">
        <v>17</v>
      </c>
      <c r="D238" s="2">
        <v>42864</v>
      </c>
      <c r="E238" s="3">
        <f>10500/100000</f>
        <v>0.105</v>
      </c>
      <c r="F238" t="s">
        <v>270</v>
      </c>
      <c r="G238" t="s">
        <v>271</v>
      </c>
      <c r="H238" t="s">
        <v>272</v>
      </c>
      <c r="I238" s="6" t="s">
        <v>317</v>
      </c>
      <c r="J238" s="61" t="s">
        <v>22</v>
      </c>
      <c r="L238" s="5" t="str">
        <f t="shared" si="24"/>
        <v>00237</v>
      </c>
      <c r="M238" s="47" t="str">
        <f t="shared" si="25"/>
        <v>09 de mayo de 2017</v>
      </c>
      <c r="N238" s="323">
        <f t="shared" si="29"/>
        <v>9</v>
      </c>
      <c r="O238" s="25">
        <f t="shared" si="26"/>
        <v>42856</v>
      </c>
      <c r="P238" s="5" t="str">
        <f t="shared" si="27"/>
        <v>0,11</v>
      </c>
      <c r="Q238" s="4" t="str">
        <f t="shared" si="28"/>
        <v>Cero Bolívares con 10/100</v>
      </c>
    </row>
    <row r="239" spans="1:17" x14ac:dyDescent="0.25">
      <c r="A239" s="1">
        <f t="shared" si="30"/>
        <v>238</v>
      </c>
      <c r="C239" s="8" t="s">
        <v>17</v>
      </c>
      <c r="D239" s="2">
        <v>42864</v>
      </c>
      <c r="E239" s="3">
        <f>24000/100000</f>
        <v>0.24</v>
      </c>
      <c r="F239" t="s">
        <v>130</v>
      </c>
      <c r="G239" t="s">
        <v>131</v>
      </c>
      <c r="H239" t="s">
        <v>132</v>
      </c>
      <c r="I239" s="6" t="s">
        <v>396</v>
      </c>
      <c r="J239" s="61" t="s">
        <v>22</v>
      </c>
      <c r="L239" s="5" t="str">
        <f t="shared" si="24"/>
        <v>00238</v>
      </c>
      <c r="M239" s="47" t="str">
        <f t="shared" si="25"/>
        <v>09 de mayo de 2017</v>
      </c>
      <c r="N239" s="323">
        <f t="shared" si="29"/>
        <v>9</v>
      </c>
      <c r="O239" s="25">
        <f t="shared" si="26"/>
        <v>42856</v>
      </c>
      <c r="P239" s="5" t="str">
        <f t="shared" si="27"/>
        <v>0,24</v>
      </c>
      <c r="Q239" s="4" t="str">
        <f t="shared" si="28"/>
        <v>Cero Bolívares con 24/100</v>
      </c>
    </row>
    <row r="240" spans="1:17" x14ac:dyDescent="0.25">
      <c r="A240" s="1">
        <f t="shared" si="30"/>
        <v>239</v>
      </c>
      <c r="C240" s="8" t="s">
        <v>17</v>
      </c>
      <c r="D240" s="2">
        <v>42864</v>
      </c>
      <c r="E240" s="3">
        <f>17000*2/100000+26000/100000</f>
        <v>0.60000000000000009</v>
      </c>
      <c r="F240" t="s">
        <v>114</v>
      </c>
      <c r="G240" t="s">
        <v>115</v>
      </c>
      <c r="H240" t="s">
        <v>116</v>
      </c>
      <c r="I240" s="6" t="s">
        <v>430</v>
      </c>
      <c r="J240" s="61" t="s">
        <v>22</v>
      </c>
      <c r="L240" s="5" t="str">
        <f t="shared" si="24"/>
        <v>00239</v>
      </c>
      <c r="M240" s="47" t="str">
        <f t="shared" si="25"/>
        <v>09 de mayo de 2017</v>
      </c>
      <c r="N240" s="323">
        <f t="shared" si="29"/>
        <v>9</v>
      </c>
      <c r="O240" s="25">
        <f t="shared" si="26"/>
        <v>42856</v>
      </c>
      <c r="P240" s="5" t="str">
        <f t="shared" si="27"/>
        <v>0,60</v>
      </c>
      <c r="Q240" s="4" t="str">
        <f t="shared" si="28"/>
        <v>Cero Bolívares con 60/100</v>
      </c>
    </row>
    <row r="241" spans="1:17" x14ac:dyDescent="0.25">
      <c r="A241" s="1">
        <f t="shared" si="30"/>
        <v>240</v>
      </c>
      <c r="C241" s="8" t="s">
        <v>17</v>
      </c>
      <c r="D241" s="2">
        <v>42865</v>
      </c>
      <c r="E241" s="3">
        <f>26000/100000</f>
        <v>0.26</v>
      </c>
      <c r="F241" t="s">
        <v>103</v>
      </c>
      <c r="G241" t="s">
        <v>104</v>
      </c>
      <c r="H241" t="s">
        <v>105</v>
      </c>
      <c r="I241" s="6" t="s">
        <v>420</v>
      </c>
      <c r="J241" s="61" t="s">
        <v>22</v>
      </c>
      <c r="L241" s="5" t="str">
        <f t="shared" si="24"/>
        <v>00240</v>
      </c>
      <c r="M241" s="47" t="str">
        <f t="shared" si="25"/>
        <v>10 de mayo de 2017</v>
      </c>
      <c r="N241" s="323">
        <f t="shared" si="29"/>
        <v>10</v>
      </c>
      <c r="O241" s="25">
        <f t="shared" si="26"/>
        <v>42856</v>
      </c>
      <c r="P241" s="5" t="str">
        <f t="shared" si="27"/>
        <v>0,26</v>
      </c>
      <c r="Q241" s="4" t="str">
        <f t="shared" si="28"/>
        <v>Cero Bolívares con 26/100</v>
      </c>
    </row>
    <row r="242" spans="1:17" x14ac:dyDescent="0.25">
      <c r="A242" s="1">
        <f t="shared" si="30"/>
        <v>241</v>
      </c>
      <c r="C242" s="8" t="s">
        <v>17</v>
      </c>
      <c r="D242" s="2">
        <v>42865</v>
      </c>
      <c r="E242" s="3">
        <f>17000/100000</f>
        <v>0.17</v>
      </c>
      <c r="F242" t="s">
        <v>284</v>
      </c>
      <c r="G242" t="s">
        <v>276</v>
      </c>
      <c r="H242" t="s">
        <v>285</v>
      </c>
      <c r="I242" s="6" t="s">
        <v>395</v>
      </c>
      <c r="J242" s="61" t="s">
        <v>22</v>
      </c>
      <c r="L242" s="5" t="str">
        <f t="shared" si="24"/>
        <v>00241</v>
      </c>
      <c r="M242" s="47" t="str">
        <f t="shared" si="25"/>
        <v>10 de mayo de 2017</v>
      </c>
      <c r="N242" s="323">
        <f t="shared" si="29"/>
        <v>10</v>
      </c>
      <c r="O242" s="25">
        <f t="shared" si="26"/>
        <v>42856</v>
      </c>
      <c r="P242" s="5" t="str">
        <f t="shared" si="27"/>
        <v>0,17</v>
      </c>
      <c r="Q242" s="4" t="str">
        <f t="shared" si="28"/>
        <v>Cero Bolívares con 17/100</v>
      </c>
    </row>
    <row r="243" spans="1:17" x14ac:dyDescent="0.25">
      <c r="A243" s="1">
        <f t="shared" si="30"/>
        <v>242</v>
      </c>
      <c r="C243" s="8" t="s">
        <v>17</v>
      </c>
      <c r="D243" s="2">
        <v>42865</v>
      </c>
      <c r="E243" s="3">
        <f>10000/100000</f>
        <v>0.1</v>
      </c>
      <c r="F243" t="s">
        <v>401</v>
      </c>
      <c r="G243" t="s">
        <v>402</v>
      </c>
      <c r="H243" t="s">
        <v>403</v>
      </c>
      <c r="I243" s="6" t="s">
        <v>427</v>
      </c>
      <c r="J243" s="61" t="s">
        <v>22</v>
      </c>
      <c r="L243" s="5" t="str">
        <f t="shared" si="24"/>
        <v>00242</v>
      </c>
      <c r="M243" s="47" t="str">
        <f t="shared" si="25"/>
        <v>10 de mayo de 2017</v>
      </c>
      <c r="N243" s="323">
        <f t="shared" si="29"/>
        <v>10</v>
      </c>
      <c r="O243" s="25">
        <f t="shared" si="26"/>
        <v>42856</v>
      </c>
      <c r="P243" s="5" t="str">
        <f t="shared" si="27"/>
        <v>0,10</v>
      </c>
      <c r="Q243" s="4" t="str">
        <f t="shared" si="28"/>
        <v>Cero Bolívares con 10/100</v>
      </c>
    </row>
    <row r="244" spans="1:17" x14ac:dyDescent="0.25">
      <c r="A244" s="1">
        <f t="shared" si="30"/>
        <v>243</v>
      </c>
      <c r="C244" s="8" t="s">
        <v>17</v>
      </c>
      <c r="D244" s="2">
        <v>42866</v>
      </c>
      <c r="E244" s="3">
        <f>26000/100000</f>
        <v>0.26</v>
      </c>
      <c r="F244" t="s">
        <v>66</v>
      </c>
      <c r="G244" t="s">
        <v>67</v>
      </c>
      <c r="H244" t="s">
        <v>68</v>
      </c>
      <c r="I244" s="6" t="s">
        <v>431</v>
      </c>
      <c r="J244" s="61" t="s">
        <v>22</v>
      </c>
      <c r="L244" s="5" t="str">
        <f t="shared" si="24"/>
        <v>00243</v>
      </c>
      <c r="M244" s="47" t="str">
        <f t="shared" si="25"/>
        <v>11 de mayo de 2017</v>
      </c>
      <c r="N244" s="323">
        <f t="shared" si="29"/>
        <v>11</v>
      </c>
      <c r="O244" s="25">
        <f t="shared" si="26"/>
        <v>42856</v>
      </c>
      <c r="P244" s="5" t="str">
        <f t="shared" si="27"/>
        <v>0,26</v>
      </c>
      <c r="Q244" s="4" t="str">
        <f t="shared" si="28"/>
        <v>Cero Bolívares con 26/100</v>
      </c>
    </row>
    <row r="245" spans="1:17" x14ac:dyDescent="0.25">
      <c r="A245" s="1">
        <f t="shared" si="30"/>
        <v>244</v>
      </c>
      <c r="C245" s="8" t="s">
        <v>17</v>
      </c>
      <c r="D245" s="2">
        <v>42866</v>
      </c>
      <c r="E245" s="3">
        <f>15000/100000</f>
        <v>0.15</v>
      </c>
      <c r="F245" t="s">
        <v>181</v>
      </c>
      <c r="G245" t="s">
        <v>182</v>
      </c>
      <c r="H245" t="s">
        <v>183</v>
      </c>
      <c r="I245" s="6" t="s">
        <v>427</v>
      </c>
      <c r="J245" s="61" t="s">
        <v>22</v>
      </c>
      <c r="L245" s="5" t="str">
        <f t="shared" si="24"/>
        <v>00244</v>
      </c>
      <c r="M245" s="47" t="str">
        <f t="shared" si="25"/>
        <v>11 de mayo de 2017</v>
      </c>
      <c r="N245" s="323">
        <f t="shared" si="29"/>
        <v>11</v>
      </c>
      <c r="O245" s="25">
        <f t="shared" si="26"/>
        <v>42856</v>
      </c>
      <c r="P245" s="5" t="str">
        <f t="shared" si="27"/>
        <v>0,15</v>
      </c>
      <c r="Q245" s="4" t="str">
        <f t="shared" si="28"/>
        <v>Cero Bolívares con 15/100</v>
      </c>
    </row>
    <row r="246" spans="1:17" x14ac:dyDescent="0.25">
      <c r="A246" s="1">
        <f t="shared" si="30"/>
        <v>245</v>
      </c>
      <c r="C246" s="8" t="s">
        <v>17</v>
      </c>
      <c r="D246" s="2">
        <v>42866</v>
      </c>
      <c r="E246" s="3">
        <f>10000/100000</f>
        <v>0.1</v>
      </c>
      <c r="F246" t="s">
        <v>252</v>
      </c>
      <c r="G246" t="s">
        <v>253</v>
      </c>
      <c r="H246" t="s">
        <v>254</v>
      </c>
      <c r="I246" s="6" t="s">
        <v>427</v>
      </c>
      <c r="J246" s="61" t="s">
        <v>22</v>
      </c>
      <c r="L246" s="5" t="str">
        <f t="shared" si="24"/>
        <v>00245</v>
      </c>
      <c r="M246" s="47" t="str">
        <f t="shared" si="25"/>
        <v>11 de mayo de 2017</v>
      </c>
      <c r="N246" s="323">
        <f t="shared" si="29"/>
        <v>11</v>
      </c>
      <c r="O246" s="25">
        <f t="shared" si="26"/>
        <v>42856</v>
      </c>
      <c r="P246" s="5" t="str">
        <f t="shared" si="27"/>
        <v>0,10</v>
      </c>
      <c r="Q246" s="4" t="str">
        <f t="shared" si="28"/>
        <v>Cero Bolívares con 10/100</v>
      </c>
    </row>
    <row r="247" spans="1:17" x14ac:dyDescent="0.25">
      <c r="A247" s="1">
        <f t="shared" si="30"/>
        <v>246</v>
      </c>
      <c r="C247" s="8" t="s">
        <v>17</v>
      </c>
      <c r="D247" s="2">
        <v>42868</v>
      </c>
      <c r="E247" s="3">
        <f>7000/100000</f>
        <v>7.0000000000000007E-2</v>
      </c>
      <c r="F247" t="s">
        <v>48</v>
      </c>
      <c r="G247" t="s">
        <v>49</v>
      </c>
      <c r="H247" t="s">
        <v>50</v>
      </c>
      <c r="I247" s="6" t="s">
        <v>427</v>
      </c>
      <c r="J247" s="61" t="s">
        <v>22</v>
      </c>
      <c r="L247" s="5" t="str">
        <f t="shared" si="24"/>
        <v>00246</v>
      </c>
      <c r="M247" s="47" t="str">
        <f t="shared" si="25"/>
        <v>13 de mayo de 2017</v>
      </c>
      <c r="N247" s="323">
        <f t="shared" si="29"/>
        <v>13</v>
      </c>
      <c r="O247" s="25">
        <f t="shared" si="26"/>
        <v>42856</v>
      </c>
      <c r="P247" s="5" t="str">
        <f t="shared" si="27"/>
        <v>0,07</v>
      </c>
      <c r="Q247" s="4" t="str">
        <f t="shared" si="28"/>
        <v>Cero Bolívares con 07/100</v>
      </c>
    </row>
    <row r="248" spans="1:17" x14ac:dyDescent="0.25">
      <c r="A248" s="1">
        <f t="shared" si="30"/>
        <v>247</v>
      </c>
      <c r="C248" s="8" t="s">
        <v>17</v>
      </c>
      <c r="D248" s="2">
        <v>42870</v>
      </c>
      <c r="E248" s="3">
        <f>26000/100000</f>
        <v>0.26</v>
      </c>
      <c r="F248" t="s">
        <v>36</v>
      </c>
      <c r="G248" t="s">
        <v>37</v>
      </c>
      <c r="H248" t="s">
        <v>38</v>
      </c>
      <c r="I248" s="6" t="s">
        <v>420</v>
      </c>
      <c r="J248" s="61" t="s">
        <v>22</v>
      </c>
      <c r="L248" s="5" t="str">
        <f t="shared" si="24"/>
        <v>00247</v>
      </c>
      <c r="M248" s="47" t="str">
        <f t="shared" si="25"/>
        <v>15 de mayo de 2017</v>
      </c>
      <c r="N248" s="323">
        <f t="shared" si="29"/>
        <v>15</v>
      </c>
      <c r="O248" s="25">
        <f t="shared" si="26"/>
        <v>42856</v>
      </c>
      <c r="P248" s="5" t="str">
        <f t="shared" si="27"/>
        <v>0,26</v>
      </c>
      <c r="Q248" s="4" t="str">
        <f t="shared" si="28"/>
        <v>Cero Bolívares con 26/100</v>
      </c>
    </row>
    <row r="249" spans="1:17" x14ac:dyDescent="0.25">
      <c r="A249" s="1">
        <f t="shared" si="30"/>
        <v>248</v>
      </c>
      <c r="C249" s="8" t="s">
        <v>17</v>
      </c>
      <c r="D249" s="2">
        <v>42870</v>
      </c>
      <c r="E249" s="3">
        <f>17000/100000</f>
        <v>0.17</v>
      </c>
      <c r="F249" t="s">
        <v>201</v>
      </c>
      <c r="G249" t="s">
        <v>202</v>
      </c>
      <c r="H249" t="s">
        <v>203</v>
      </c>
      <c r="I249" s="6" t="s">
        <v>395</v>
      </c>
      <c r="J249" s="61" t="s">
        <v>22</v>
      </c>
      <c r="L249" s="5" t="str">
        <f t="shared" si="24"/>
        <v>00248</v>
      </c>
      <c r="M249" s="47" t="str">
        <f t="shared" si="25"/>
        <v>15 de mayo de 2017</v>
      </c>
      <c r="N249" s="323">
        <f t="shared" si="29"/>
        <v>15</v>
      </c>
      <c r="O249" s="25">
        <f t="shared" si="26"/>
        <v>42856</v>
      </c>
      <c r="P249" s="5" t="str">
        <f t="shared" si="27"/>
        <v>0,17</v>
      </c>
      <c r="Q249" s="4" t="str">
        <f t="shared" si="28"/>
        <v>Cero Bolívares con 17/100</v>
      </c>
    </row>
    <row r="250" spans="1:17" x14ac:dyDescent="0.25">
      <c r="A250" s="1">
        <f t="shared" si="30"/>
        <v>249</v>
      </c>
      <c r="C250" s="8" t="s">
        <v>17</v>
      </c>
      <c r="D250" s="2">
        <v>42870</v>
      </c>
      <c r="E250" s="3">
        <f>20000/100000</f>
        <v>0.2</v>
      </c>
      <c r="F250" t="s">
        <v>28</v>
      </c>
      <c r="G250" t="s">
        <v>29</v>
      </c>
      <c r="H250" t="s">
        <v>30</v>
      </c>
      <c r="I250" s="6" t="s">
        <v>427</v>
      </c>
      <c r="J250" s="61" t="s">
        <v>22</v>
      </c>
      <c r="L250" s="5" t="str">
        <f t="shared" si="24"/>
        <v>00249</v>
      </c>
      <c r="M250" s="47" t="str">
        <f t="shared" si="25"/>
        <v>15 de mayo de 2017</v>
      </c>
      <c r="N250" s="323">
        <f t="shared" si="29"/>
        <v>15</v>
      </c>
      <c r="O250" s="25">
        <f t="shared" si="26"/>
        <v>42856</v>
      </c>
      <c r="P250" s="5" t="str">
        <f t="shared" si="27"/>
        <v>0,20</v>
      </c>
      <c r="Q250" s="4" t="str">
        <f t="shared" si="28"/>
        <v>Cero Bolívares con 20/100</v>
      </c>
    </row>
    <row r="251" spans="1:17" x14ac:dyDescent="0.25">
      <c r="A251" s="1">
        <f t="shared" si="30"/>
        <v>250</v>
      </c>
      <c r="C251" s="8" t="s">
        <v>17</v>
      </c>
      <c r="D251" s="2">
        <v>42870</v>
      </c>
      <c r="E251" s="3">
        <f>26000/100000</f>
        <v>0.26</v>
      </c>
      <c r="F251" t="s">
        <v>122</v>
      </c>
      <c r="G251" t="s">
        <v>123</v>
      </c>
      <c r="H251" t="s">
        <v>124</v>
      </c>
      <c r="I251" s="6" t="s">
        <v>420</v>
      </c>
      <c r="J251" s="61" t="s">
        <v>22</v>
      </c>
      <c r="L251" s="5" t="str">
        <f t="shared" si="24"/>
        <v>00250</v>
      </c>
      <c r="M251" s="47" t="str">
        <f t="shared" si="25"/>
        <v>15 de mayo de 2017</v>
      </c>
      <c r="N251" s="323">
        <f t="shared" si="29"/>
        <v>15</v>
      </c>
      <c r="O251" s="25">
        <f t="shared" si="26"/>
        <v>42856</v>
      </c>
      <c r="P251" s="5" t="str">
        <f t="shared" si="27"/>
        <v>0,26</v>
      </c>
      <c r="Q251" s="4" t="str">
        <f t="shared" si="28"/>
        <v>Cero Bolívares con 26/100</v>
      </c>
    </row>
    <row r="252" spans="1:17" x14ac:dyDescent="0.25">
      <c r="A252" s="1">
        <f t="shared" si="30"/>
        <v>251</v>
      </c>
      <c r="C252" s="8" t="s">
        <v>17</v>
      </c>
      <c r="D252" s="2">
        <v>42870</v>
      </c>
      <c r="E252" s="3">
        <f>26000/100000</f>
        <v>0.26</v>
      </c>
      <c r="F252" t="s">
        <v>152</v>
      </c>
      <c r="G252" t="s">
        <v>153</v>
      </c>
      <c r="H252" t="s">
        <v>154</v>
      </c>
      <c r="I252" s="6" t="s">
        <v>420</v>
      </c>
      <c r="J252" s="61" t="s">
        <v>22</v>
      </c>
      <c r="L252" s="5" t="str">
        <f t="shared" si="24"/>
        <v>00251</v>
      </c>
      <c r="M252" s="47" t="str">
        <f t="shared" si="25"/>
        <v>15 de mayo de 2017</v>
      </c>
      <c r="N252" s="323">
        <f t="shared" si="29"/>
        <v>15</v>
      </c>
      <c r="O252" s="25">
        <f t="shared" si="26"/>
        <v>42856</v>
      </c>
      <c r="P252" s="5" t="str">
        <f t="shared" si="27"/>
        <v>0,26</v>
      </c>
      <c r="Q252" s="4" t="str">
        <f t="shared" si="28"/>
        <v>Cero Bolívares con 26/100</v>
      </c>
    </row>
    <row r="253" spans="1:17" x14ac:dyDescent="0.25">
      <c r="A253" s="1">
        <f t="shared" si="30"/>
        <v>252</v>
      </c>
      <c r="C253" s="8" t="s">
        <v>17</v>
      </c>
      <c r="D253" s="2">
        <v>42864</v>
      </c>
      <c r="E253" s="3">
        <f>5000/100000</f>
        <v>0.05</v>
      </c>
      <c r="F253" t="s">
        <v>74</v>
      </c>
      <c r="G253" s="18" t="s">
        <v>58</v>
      </c>
      <c r="H253" t="s">
        <v>75</v>
      </c>
      <c r="I253" s="6" t="s">
        <v>427</v>
      </c>
      <c r="J253" s="61" t="s">
        <v>22</v>
      </c>
      <c r="L253" s="5" t="str">
        <f t="shared" si="24"/>
        <v>00252</v>
      </c>
      <c r="M253" s="47" t="str">
        <f t="shared" si="25"/>
        <v>09 de mayo de 2017</v>
      </c>
      <c r="N253" s="323">
        <f t="shared" si="29"/>
        <v>9</v>
      </c>
      <c r="O253" s="25">
        <f t="shared" si="26"/>
        <v>42856</v>
      </c>
      <c r="P253" s="5" t="str">
        <f t="shared" si="27"/>
        <v>0,05</v>
      </c>
      <c r="Q253" s="4" t="str">
        <f t="shared" si="28"/>
        <v>Cero Bolívares con 05/100</v>
      </c>
    </row>
    <row r="254" spans="1:17" x14ac:dyDescent="0.25">
      <c r="A254" s="1">
        <f t="shared" si="30"/>
        <v>253</v>
      </c>
      <c r="C254" s="8" t="s">
        <v>17</v>
      </c>
      <c r="D254" s="2">
        <v>42871</v>
      </c>
      <c r="E254" s="3">
        <f>17000/100000</f>
        <v>0.17</v>
      </c>
      <c r="F254" t="s">
        <v>334</v>
      </c>
      <c r="G254" t="s">
        <v>85</v>
      </c>
      <c r="H254" t="s">
        <v>335</v>
      </c>
      <c r="I254" s="6" t="s">
        <v>427</v>
      </c>
      <c r="J254" s="61" t="s">
        <v>22</v>
      </c>
      <c r="L254" s="5" t="str">
        <f t="shared" si="24"/>
        <v>00253</v>
      </c>
      <c r="M254" s="47" t="str">
        <f t="shared" si="25"/>
        <v>16 de mayo de 2017</v>
      </c>
      <c r="N254" s="323">
        <f t="shared" si="29"/>
        <v>16</v>
      </c>
      <c r="O254" s="25">
        <f t="shared" si="26"/>
        <v>42856</v>
      </c>
      <c r="P254" s="5" t="str">
        <f t="shared" si="27"/>
        <v>0,17</v>
      </c>
      <c r="Q254" s="4" t="str">
        <f t="shared" si="28"/>
        <v>Cero Bolívares con 17/100</v>
      </c>
    </row>
    <row r="255" spans="1:17" x14ac:dyDescent="0.25">
      <c r="A255" s="1">
        <f t="shared" si="30"/>
        <v>254</v>
      </c>
      <c r="C255" s="8" t="s">
        <v>17</v>
      </c>
      <c r="D255" s="2">
        <v>42872</v>
      </c>
      <c r="E255" s="3">
        <f>26000/100000</f>
        <v>0.26</v>
      </c>
      <c r="F255" t="s">
        <v>80</v>
      </c>
      <c r="G255" t="s">
        <v>81</v>
      </c>
      <c r="H255" t="s">
        <v>82</v>
      </c>
      <c r="I255" s="6" t="s">
        <v>420</v>
      </c>
      <c r="J255" s="61" t="s">
        <v>22</v>
      </c>
      <c r="L255" s="5" t="str">
        <f t="shared" si="24"/>
        <v>00254</v>
      </c>
      <c r="M255" s="47" t="str">
        <f t="shared" si="25"/>
        <v>17 de mayo de 2017</v>
      </c>
      <c r="N255" s="323">
        <f t="shared" si="29"/>
        <v>17</v>
      </c>
      <c r="O255" s="25">
        <f t="shared" si="26"/>
        <v>42856</v>
      </c>
      <c r="P255" s="5" t="str">
        <f t="shared" si="27"/>
        <v>0,26</v>
      </c>
      <c r="Q255" s="4" t="str">
        <f t="shared" si="28"/>
        <v>Cero Bolívares con 26/100</v>
      </c>
    </row>
    <row r="256" spans="1:17" x14ac:dyDescent="0.25">
      <c r="A256" s="1">
        <f t="shared" si="30"/>
        <v>255</v>
      </c>
      <c r="C256" s="8" t="s">
        <v>17</v>
      </c>
      <c r="D256" s="2">
        <v>42809</v>
      </c>
      <c r="E256" s="3">
        <f>20000/100000</f>
        <v>0.2</v>
      </c>
      <c r="F256" s="20" t="s">
        <v>57</v>
      </c>
      <c r="G256" s="18" t="s">
        <v>58</v>
      </c>
      <c r="H256" s="21" t="s">
        <v>59</v>
      </c>
      <c r="I256" s="6" t="s">
        <v>306</v>
      </c>
      <c r="J256" s="61" t="s">
        <v>22</v>
      </c>
      <c r="K256" s="22"/>
      <c r="L256" s="5" t="str">
        <f t="shared" si="24"/>
        <v>00255</v>
      </c>
      <c r="M256" s="47" t="str">
        <f t="shared" si="25"/>
        <v>15 de marzo de 2017</v>
      </c>
      <c r="N256" s="323">
        <f t="shared" si="29"/>
        <v>15</v>
      </c>
      <c r="O256" s="25">
        <f t="shared" si="26"/>
        <v>42795</v>
      </c>
      <c r="P256" s="5" t="str">
        <f t="shared" si="27"/>
        <v>0,20</v>
      </c>
      <c r="Q256" s="4" t="str">
        <f t="shared" si="28"/>
        <v>Cero Bolívares con 20/100</v>
      </c>
    </row>
    <row r="257" spans="1:17" x14ac:dyDescent="0.25">
      <c r="A257" s="1">
        <f t="shared" si="30"/>
        <v>256</v>
      </c>
      <c r="C257" s="8" t="s">
        <v>17</v>
      </c>
      <c r="D257" s="2">
        <v>42840</v>
      </c>
      <c r="E257" s="3">
        <f>20000/100000</f>
        <v>0.2</v>
      </c>
      <c r="F257" s="20" t="s">
        <v>57</v>
      </c>
      <c r="G257" s="18" t="s">
        <v>58</v>
      </c>
      <c r="H257" s="21" t="s">
        <v>59</v>
      </c>
      <c r="I257" s="6" t="s">
        <v>395</v>
      </c>
      <c r="J257" s="61" t="s">
        <v>22</v>
      </c>
      <c r="K257" s="22"/>
      <c r="L257" s="5" t="str">
        <f t="shared" si="24"/>
        <v>00256</v>
      </c>
      <c r="M257" s="47" t="str">
        <f t="shared" si="25"/>
        <v>15 de abril de 2017</v>
      </c>
      <c r="N257" s="323">
        <f t="shared" si="29"/>
        <v>15</v>
      </c>
      <c r="O257" s="25">
        <f t="shared" si="26"/>
        <v>42826</v>
      </c>
      <c r="P257" s="5" t="str">
        <f t="shared" si="27"/>
        <v>0,20</v>
      </c>
      <c r="Q257" s="4" t="str">
        <f t="shared" si="28"/>
        <v>Cero Bolívares con 20/100</v>
      </c>
    </row>
    <row r="258" spans="1:17" x14ac:dyDescent="0.25">
      <c r="A258" s="1">
        <f t="shared" si="30"/>
        <v>257</v>
      </c>
      <c r="C258" s="8" t="s">
        <v>17</v>
      </c>
      <c r="D258" s="2">
        <v>42781</v>
      </c>
      <c r="E258" s="3">
        <f>30000/100000</f>
        <v>0.3</v>
      </c>
      <c r="F258" s="23" t="s">
        <v>422</v>
      </c>
      <c r="G258" s="18" t="s">
        <v>58</v>
      </c>
      <c r="H258" t="s">
        <v>423</v>
      </c>
      <c r="I258" s="6" t="s">
        <v>142</v>
      </c>
      <c r="J258" s="61" t="s">
        <v>22</v>
      </c>
      <c r="L258" s="5" t="str">
        <f t="shared" ref="L258:L321" si="31">IF(ISBLANK(A258),"",TEXT(A258,"00000"))</f>
        <v>00257</v>
      </c>
      <c r="M258" s="47" t="str">
        <f t="shared" ref="M258:M321" si="32">IF(ISBLANK(D258),"",TEXT(D258,"dd")&amp;" de "&amp;TEXT(D258,"mmmm")&amp;" de "&amp;TEXT(YEAR(D258),"0"))</f>
        <v>15 de febrero de 2017</v>
      </c>
      <c r="N258" s="323">
        <f t="shared" si="29"/>
        <v>15</v>
      </c>
      <c r="O258" s="25">
        <f t="shared" ref="O258:O321" si="33">DATE(YEAR(D258),MONTH(D258),1)</f>
        <v>42767</v>
      </c>
      <c r="P258" s="5" t="str">
        <f t="shared" ref="P258:P276" si="34">TEXT(E258,"#.##0,00")</f>
        <v>0,30</v>
      </c>
      <c r="Q258" s="4" t="str">
        <f t="shared" ref="Q258:Q321" si="35">CONVERTIRNUM(E258)</f>
        <v>Cero Bolívares con 30/100</v>
      </c>
    </row>
    <row r="259" spans="1:17" x14ac:dyDescent="0.25">
      <c r="A259" s="1">
        <f t="shared" si="30"/>
        <v>258</v>
      </c>
      <c r="C259" s="8" t="s">
        <v>17</v>
      </c>
      <c r="D259" s="2">
        <v>42809</v>
      </c>
      <c r="E259" s="3">
        <f>30000/100000</f>
        <v>0.3</v>
      </c>
      <c r="F259" s="23" t="s">
        <v>422</v>
      </c>
      <c r="G259" s="18" t="s">
        <v>58</v>
      </c>
      <c r="H259" t="s">
        <v>423</v>
      </c>
      <c r="I259" s="6" t="s">
        <v>306</v>
      </c>
      <c r="J259" s="61" t="s">
        <v>22</v>
      </c>
      <c r="L259" s="5" t="str">
        <f t="shared" si="31"/>
        <v>00258</v>
      </c>
      <c r="M259" s="47" t="str">
        <f t="shared" si="32"/>
        <v>15 de marzo de 2017</v>
      </c>
      <c r="N259" s="323">
        <f t="shared" ref="N259:N322" si="36">DAY(D259)</f>
        <v>15</v>
      </c>
      <c r="O259" s="25">
        <f t="shared" si="33"/>
        <v>42795</v>
      </c>
      <c r="P259" s="5" t="str">
        <f t="shared" si="34"/>
        <v>0,30</v>
      </c>
      <c r="Q259" s="4" t="str">
        <f t="shared" si="35"/>
        <v>Cero Bolívares con 30/100</v>
      </c>
    </row>
    <row r="260" spans="1:17" x14ac:dyDescent="0.25">
      <c r="A260" s="1">
        <f t="shared" ref="A260:A323" si="37">A259+1</f>
        <v>259</v>
      </c>
      <c r="C260" s="8" t="s">
        <v>17</v>
      </c>
      <c r="D260" s="2">
        <v>42840</v>
      </c>
      <c r="E260" s="3">
        <f>30000/100000</f>
        <v>0.3</v>
      </c>
      <c r="F260" s="23" t="s">
        <v>422</v>
      </c>
      <c r="G260" s="18" t="s">
        <v>58</v>
      </c>
      <c r="H260" t="s">
        <v>423</v>
      </c>
      <c r="I260" s="6" t="s">
        <v>395</v>
      </c>
      <c r="J260" s="61" t="s">
        <v>22</v>
      </c>
      <c r="L260" s="5" t="str">
        <f t="shared" si="31"/>
        <v>00259</v>
      </c>
      <c r="M260" s="47" t="str">
        <f t="shared" si="32"/>
        <v>15 de abril de 2017</v>
      </c>
      <c r="N260" s="323">
        <f t="shared" si="36"/>
        <v>15</v>
      </c>
      <c r="O260" s="25">
        <f t="shared" si="33"/>
        <v>42826</v>
      </c>
      <c r="P260" s="5" t="str">
        <f t="shared" si="34"/>
        <v>0,30</v>
      </c>
      <c r="Q260" s="4" t="str">
        <f t="shared" si="35"/>
        <v>Cero Bolívares con 30/100</v>
      </c>
    </row>
    <row r="261" spans="1:17" x14ac:dyDescent="0.25">
      <c r="A261" s="1">
        <f t="shared" si="37"/>
        <v>260</v>
      </c>
      <c r="C261" s="8" t="s">
        <v>17</v>
      </c>
      <c r="D261" s="2">
        <v>42873</v>
      </c>
      <c r="E261" s="3">
        <f>20000/100000</f>
        <v>0.2</v>
      </c>
      <c r="F261" t="s">
        <v>118</v>
      </c>
      <c r="G261" t="s">
        <v>119</v>
      </c>
      <c r="H261" t="s">
        <v>120</v>
      </c>
      <c r="I261" s="6" t="s">
        <v>427</v>
      </c>
      <c r="J261" s="61" t="s">
        <v>22</v>
      </c>
      <c r="L261" s="5" t="str">
        <f t="shared" si="31"/>
        <v>00260</v>
      </c>
      <c r="M261" s="47" t="str">
        <f t="shared" si="32"/>
        <v>18 de mayo de 2017</v>
      </c>
      <c r="N261" s="323">
        <f t="shared" si="36"/>
        <v>18</v>
      </c>
      <c r="O261" s="25">
        <f t="shared" si="33"/>
        <v>42856</v>
      </c>
      <c r="P261" s="5" t="str">
        <f t="shared" si="34"/>
        <v>0,20</v>
      </c>
      <c r="Q261" s="4" t="str">
        <f t="shared" si="35"/>
        <v>Cero Bolívares con 20/100</v>
      </c>
    </row>
    <row r="262" spans="1:17" x14ac:dyDescent="0.25">
      <c r="A262" s="1">
        <f t="shared" si="37"/>
        <v>261</v>
      </c>
      <c r="C262" s="8" t="s">
        <v>17</v>
      </c>
      <c r="D262" s="2">
        <v>42877</v>
      </c>
      <c r="E262" s="3">
        <f>30000/100000</f>
        <v>0.3</v>
      </c>
      <c r="F262" s="20" t="s">
        <v>57</v>
      </c>
      <c r="G262" s="18" t="s">
        <v>58</v>
      </c>
      <c r="H262" s="21" t="s">
        <v>59</v>
      </c>
      <c r="I262" s="6" t="s">
        <v>420</v>
      </c>
      <c r="J262" s="61" t="s">
        <v>22</v>
      </c>
      <c r="K262" s="22"/>
      <c r="L262" s="5" t="str">
        <f t="shared" si="31"/>
        <v>00261</v>
      </c>
      <c r="M262" s="47" t="str">
        <f t="shared" si="32"/>
        <v>22 de mayo de 2017</v>
      </c>
      <c r="N262" s="323">
        <f t="shared" si="36"/>
        <v>22</v>
      </c>
      <c r="O262" s="25">
        <f t="shared" si="33"/>
        <v>42856</v>
      </c>
      <c r="P262" s="5" t="str">
        <f t="shared" si="34"/>
        <v>0,30</v>
      </c>
      <c r="Q262" s="4" t="str">
        <f t="shared" si="35"/>
        <v>Cero Bolívares con 30/100</v>
      </c>
    </row>
    <row r="263" spans="1:17" x14ac:dyDescent="0.25">
      <c r="A263" s="1">
        <f t="shared" si="37"/>
        <v>262</v>
      </c>
      <c r="C263" s="8" t="s">
        <v>17</v>
      </c>
      <c r="D263" s="2">
        <v>42877</v>
      </c>
      <c r="E263" s="3">
        <f>17000/100000+17000/100000</f>
        <v>0.34</v>
      </c>
      <c r="F263" t="s">
        <v>319</v>
      </c>
      <c r="G263" s="18" t="s">
        <v>58</v>
      </c>
      <c r="H263" t="s">
        <v>320</v>
      </c>
      <c r="I263" s="6" t="s">
        <v>432</v>
      </c>
      <c r="J263" s="61" t="s">
        <v>22</v>
      </c>
      <c r="L263" s="5" t="str">
        <f t="shared" si="31"/>
        <v>00262</v>
      </c>
      <c r="M263" s="47" t="str">
        <f t="shared" si="32"/>
        <v>22 de mayo de 2017</v>
      </c>
      <c r="N263" s="323">
        <f t="shared" si="36"/>
        <v>22</v>
      </c>
      <c r="O263" s="25">
        <f t="shared" si="33"/>
        <v>42856</v>
      </c>
      <c r="P263" s="5" t="str">
        <f t="shared" si="34"/>
        <v>0,34</v>
      </c>
      <c r="Q263" s="4" t="str">
        <f t="shared" si="35"/>
        <v>Cero Bolívares con 34/100</v>
      </c>
    </row>
    <row r="264" spans="1:17" x14ac:dyDescent="0.25">
      <c r="A264" s="1">
        <f t="shared" si="37"/>
        <v>263</v>
      </c>
      <c r="C264" s="8" t="s">
        <v>17</v>
      </c>
      <c r="D264" s="2">
        <v>42878</v>
      </c>
      <c r="E264" s="3">
        <f>40000/100000</f>
        <v>0.4</v>
      </c>
      <c r="F264" s="23" t="s">
        <v>422</v>
      </c>
      <c r="G264" s="18" t="s">
        <v>58</v>
      </c>
      <c r="H264" t="s">
        <v>423</v>
      </c>
      <c r="I264" s="6" t="s">
        <v>420</v>
      </c>
      <c r="J264" s="61" t="s">
        <v>22</v>
      </c>
      <c r="L264" s="5" t="str">
        <f t="shared" si="31"/>
        <v>00263</v>
      </c>
      <c r="M264" s="47" t="str">
        <f t="shared" si="32"/>
        <v>23 de mayo de 2017</v>
      </c>
      <c r="N264" s="323">
        <f t="shared" si="36"/>
        <v>23</v>
      </c>
      <c r="O264" s="25">
        <f t="shared" si="33"/>
        <v>42856</v>
      </c>
      <c r="P264" s="5" t="str">
        <f t="shared" si="34"/>
        <v>0,40</v>
      </c>
      <c r="Q264" s="4" t="str">
        <f t="shared" si="35"/>
        <v>Cero Bolívares con 40/100</v>
      </c>
    </row>
    <row r="265" spans="1:17" x14ac:dyDescent="0.25">
      <c r="A265" s="1">
        <f t="shared" si="37"/>
        <v>264</v>
      </c>
      <c r="C265" s="8" t="s">
        <v>17</v>
      </c>
      <c r="D265" s="2">
        <v>42879</v>
      </c>
      <c r="E265" s="3">
        <f>26000/100000</f>
        <v>0.26</v>
      </c>
      <c r="F265" t="s">
        <v>259</v>
      </c>
      <c r="G265" s="18" t="s">
        <v>58</v>
      </c>
      <c r="H265" t="s">
        <v>261</v>
      </c>
      <c r="I265" s="6" t="s">
        <v>420</v>
      </c>
      <c r="J265" s="61" t="s">
        <v>22</v>
      </c>
      <c r="L265" s="5" t="str">
        <f t="shared" si="31"/>
        <v>00264</v>
      </c>
      <c r="M265" s="47" t="str">
        <f t="shared" si="32"/>
        <v>24 de mayo de 2017</v>
      </c>
      <c r="N265" s="323">
        <f t="shared" si="36"/>
        <v>24</v>
      </c>
      <c r="O265" s="25">
        <f t="shared" si="33"/>
        <v>42856</v>
      </c>
      <c r="P265" s="5" t="str">
        <f t="shared" si="34"/>
        <v>0,26</v>
      </c>
      <c r="Q265" s="4" t="str">
        <f t="shared" si="35"/>
        <v>Cero Bolívares con 26/100</v>
      </c>
    </row>
    <row r="266" spans="1:17" x14ac:dyDescent="0.25">
      <c r="A266" s="1">
        <f t="shared" si="37"/>
        <v>265</v>
      </c>
      <c r="C266" s="8" t="s">
        <v>17</v>
      </c>
      <c r="D266" s="2">
        <v>42881</v>
      </c>
      <c r="E266" s="3">
        <f>22000/100000</f>
        <v>0.22</v>
      </c>
      <c r="F266" t="s">
        <v>126</v>
      </c>
      <c r="G266" t="s">
        <v>127</v>
      </c>
      <c r="H266" t="s">
        <v>128</v>
      </c>
      <c r="I266" s="6" t="s">
        <v>416</v>
      </c>
      <c r="J266" s="61" t="s">
        <v>22</v>
      </c>
      <c r="L266" s="5" t="str">
        <f t="shared" si="31"/>
        <v>00265</v>
      </c>
      <c r="M266" s="47" t="str">
        <f t="shared" si="32"/>
        <v>26 de mayo de 2017</v>
      </c>
      <c r="N266" s="323">
        <f t="shared" si="36"/>
        <v>26</v>
      </c>
      <c r="O266" s="25">
        <f t="shared" si="33"/>
        <v>42856</v>
      </c>
      <c r="P266" s="5" t="str">
        <f t="shared" si="34"/>
        <v>0,22</v>
      </c>
      <c r="Q266" s="4" t="str">
        <f t="shared" si="35"/>
        <v>Cero Bolívares con 22/100</v>
      </c>
    </row>
    <row r="267" spans="1:17" x14ac:dyDescent="0.25">
      <c r="A267" s="1">
        <f t="shared" si="37"/>
        <v>266</v>
      </c>
      <c r="C267" s="8" t="s">
        <v>17</v>
      </c>
      <c r="D267" s="2">
        <v>42879</v>
      </c>
      <c r="E267" s="3">
        <f>3000/100000</f>
        <v>0.03</v>
      </c>
      <c r="F267" t="s">
        <v>144</v>
      </c>
      <c r="G267" t="s">
        <v>145</v>
      </c>
      <c r="H267" t="s">
        <v>146</v>
      </c>
      <c r="I267" s="6" t="s">
        <v>404</v>
      </c>
      <c r="J267" s="61" t="s">
        <v>22</v>
      </c>
      <c r="L267" s="5" t="str">
        <f t="shared" si="31"/>
        <v>00266</v>
      </c>
      <c r="M267" s="47" t="str">
        <f t="shared" si="32"/>
        <v>24 de mayo de 2017</v>
      </c>
      <c r="N267" s="323">
        <f t="shared" si="36"/>
        <v>24</v>
      </c>
      <c r="O267" s="25">
        <f t="shared" si="33"/>
        <v>42856</v>
      </c>
      <c r="P267" s="5" t="str">
        <f t="shared" si="34"/>
        <v>0,03</v>
      </c>
      <c r="Q267" s="4" t="str">
        <f t="shared" si="35"/>
        <v>Cero Bolívares con 03/100</v>
      </c>
    </row>
    <row r="268" spans="1:17" x14ac:dyDescent="0.25">
      <c r="A268" s="1">
        <f t="shared" si="37"/>
        <v>267</v>
      </c>
      <c r="C268" s="8" t="s">
        <v>17</v>
      </c>
      <c r="D268" s="2">
        <v>42881</v>
      </c>
      <c r="E268" s="3">
        <f>5000/100000</f>
        <v>0.05</v>
      </c>
      <c r="F268" t="s">
        <v>303</v>
      </c>
      <c r="G268" s="18" t="s">
        <v>58</v>
      </c>
      <c r="H268" t="s">
        <v>304</v>
      </c>
      <c r="I268" s="6" t="s">
        <v>427</v>
      </c>
      <c r="J268" s="61" t="s">
        <v>22</v>
      </c>
      <c r="L268" s="5" t="str">
        <f t="shared" si="31"/>
        <v>00267</v>
      </c>
      <c r="M268" s="47" t="str">
        <f t="shared" si="32"/>
        <v>26 de mayo de 2017</v>
      </c>
      <c r="N268" s="323">
        <f t="shared" si="36"/>
        <v>26</v>
      </c>
      <c r="O268" s="25">
        <f t="shared" si="33"/>
        <v>42856</v>
      </c>
      <c r="P268" s="5" t="str">
        <f t="shared" si="34"/>
        <v>0,05</v>
      </c>
      <c r="Q268" s="4" t="str">
        <f t="shared" si="35"/>
        <v>Cero Bolívares con 05/100</v>
      </c>
    </row>
    <row r="269" spans="1:17" x14ac:dyDescent="0.25">
      <c r="A269" s="1">
        <f t="shared" si="37"/>
        <v>268</v>
      </c>
      <c r="C269" s="8" t="s">
        <v>17</v>
      </c>
      <c r="D269" s="2">
        <v>42882</v>
      </c>
      <c r="E269" s="3">
        <f>26000/100000</f>
        <v>0.26</v>
      </c>
      <c r="F269" t="s">
        <v>215</v>
      </c>
      <c r="G269" t="s">
        <v>216</v>
      </c>
      <c r="H269" t="s">
        <v>217</v>
      </c>
      <c r="I269" s="9" t="s">
        <v>420</v>
      </c>
      <c r="J269" s="61" t="s">
        <v>22</v>
      </c>
      <c r="L269" s="5" t="str">
        <f t="shared" si="31"/>
        <v>00268</v>
      </c>
      <c r="M269" s="47" t="str">
        <f t="shared" si="32"/>
        <v>27 de mayo de 2017</v>
      </c>
      <c r="N269" s="323">
        <f t="shared" si="36"/>
        <v>27</v>
      </c>
      <c r="O269" s="25">
        <f t="shared" si="33"/>
        <v>42856</v>
      </c>
      <c r="P269" s="5" t="str">
        <f t="shared" si="34"/>
        <v>0,26</v>
      </c>
      <c r="Q269" s="4" t="str">
        <f t="shared" si="35"/>
        <v>Cero Bolívares con 26/100</v>
      </c>
    </row>
    <row r="270" spans="1:17" x14ac:dyDescent="0.25">
      <c r="A270" s="1">
        <f t="shared" si="37"/>
        <v>269</v>
      </c>
      <c r="C270" s="8" t="s">
        <v>17</v>
      </c>
      <c r="D270" s="2">
        <v>42882</v>
      </c>
      <c r="E270" s="3">
        <f>15000/100000</f>
        <v>0.15</v>
      </c>
      <c r="F270" t="s">
        <v>433</v>
      </c>
      <c r="G270" t="s">
        <v>434</v>
      </c>
      <c r="H270" t="s">
        <v>435</v>
      </c>
      <c r="I270" s="6" t="s">
        <v>436</v>
      </c>
      <c r="J270" s="61" t="s">
        <v>22</v>
      </c>
      <c r="L270" s="5" t="str">
        <f t="shared" si="31"/>
        <v>00269</v>
      </c>
      <c r="M270" s="47" t="str">
        <f t="shared" si="32"/>
        <v>27 de mayo de 2017</v>
      </c>
      <c r="N270" s="323">
        <f t="shared" si="36"/>
        <v>27</v>
      </c>
      <c r="O270" s="25">
        <f t="shared" si="33"/>
        <v>42856</v>
      </c>
      <c r="P270" s="5" t="str">
        <f t="shared" si="34"/>
        <v>0,15</v>
      </c>
      <c r="Q270" s="4" t="str">
        <f t="shared" si="35"/>
        <v>Cero Bolívares con 15/100</v>
      </c>
    </row>
    <row r="271" spans="1:17" x14ac:dyDescent="0.25">
      <c r="A271" s="1">
        <f t="shared" si="37"/>
        <v>270</v>
      </c>
      <c r="C271" s="8" t="s">
        <v>17</v>
      </c>
      <c r="D271" s="2">
        <v>42883</v>
      </c>
      <c r="E271" s="3">
        <f>9000/100000</f>
        <v>0.09</v>
      </c>
      <c r="F271" t="s">
        <v>319</v>
      </c>
      <c r="G271" s="18" t="s">
        <v>58</v>
      </c>
      <c r="H271" t="s">
        <v>320</v>
      </c>
      <c r="I271" s="6" t="s">
        <v>421</v>
      </c>
      <c r="J271" s="61" t="s">
        <v>22</v>
      </c>
      <c r="L271" s="5" t="str">
        <f t="shared" si="31"/>
        <v>00270</v>
      </c>
      <c r="M271" s="47" t="str">
        <f t="shared" si="32"/>
        <v>28 de mayo de 2017</v>
      </c>
      <c r="N271" s="323">
        <f t="shared" si="36"/>
        <v>28</v>
      </c>
      <c r="O271" s="25">
        <f t="shared" si="33"/>
        <v>42856</v>
      </c>
      <c r="P271" s="5" t="str">
        <f t="shared" si="34"/>
        <v>0,09</v>
      </c>
      <c r="Q271" s="4" t="str">
        <f t="shared" si="35"/>
        <v>Cero Bolívares con 09/100</v>
      </c>
    </row>
    <row r="272" spans="1:17" x14ac:dyDescent="0.25">
      <c r="A272" s="1">
        <f t="shared" si="37"/>
        <v>271</v>
      </c>
      <c r="C272" s="8" t="s">
        <v>17</v>
      </c>
      <c r="D272" s="2">
        <v>42883</v>
      </c>
      <c r="E272" s="3">
        <f>26000/100000</f>
        <v>0.26</v>
      </c>
      <c r="F272" t="s">
        <v>138</v>
      </c>
      <c r="G272" t="s">
        <v>139</v>
      </c>
      <c r="H272" t="s">
        <v>140</v>
      </c>
      <c r="I272" s="6" t="s">
        <v>420</v>
      </c>
      <c r="J272" s="61" t="s">
        <v>22</v>
      </c>
      <c r="L272" s="5" t="str">
        <f t="shared" si="31"/>
        <v>00271</v>
      </c>
      <c r="M272" s="47" t="str">
        <f t="shared" si="32"/>
        <v>28 de mayo de 2017</v>
      </c>
      <c r="N272" s="323">
        <f t="shared" si="36"/>
        <v>28</v>
      </c>
      <c r="O272" s="25">
        <f t="shared" si="33"/>
        <v>42856</v>
      </c>
      <c r="P272" s="5" t="str">
        <f t="shared" si="34"/>
        <v>0,26</v>
      </c>
      <c r="Q272" s="4" t="str">
        <f t="shared" si="35"/>
        <v>Cero Bolívares con 26/100</v>
      </c>
    </row>
    <row r="273" spans="1:17" x14ac:dyDescent="0.25">
      <c r="A273" s="1">
        <f t="shared" si="37"/>
        <v>272</v>
      </c>
      <c r="C273" s="8" t="s">
        <v>17</v>
      </c>
      <c r="D273" s="2">
        <v>42884</v>
      </c>
      <c r="E273" s="3">
        <f>17000/100000+2*26000/100000</f>
        <v>0.69000000000000006</v>
      </c>
      <c r="F273" t="s">
        <v>243</v>
      </c>
      <c r="G273" t="s">
        <v>244</v>
      </c>
      <c r="H273" t="s">
        <v>245</v>
      </c>
      <c r="I273" s="6" t="s">
        <v>437</v>
      </c>
      <c r="J273" s="61" t="s">
        <v>22</v>
      </c>
      <c r="L273" s="5" t="str">
        <f t="shared" si="31"/>
        <v>00272</v>
      </c>
      <c r="M273" s="47" t="str">
        <f t="shared" si="32"/>
        <v>29 de mayo de 2017</v>
      </c>
      <c r="N273" s="323">
        <f t="shared" si="36"/>
        <v>29</v>
      </c>
      <c r="O273" s="25">
        <f t="shared" si="33"/>
        <v>42856</v>
      </c>
      <c r="P273" s="5" t="str">
        <f t="shared" si="34"/>
        <v>0,69</v>
      </c>
      <c r="Q273" s="4" t="str">
        <f t="shared" si="35"/>
        <v>Cero Bolívares con 69/100</v>
      </c>
    </row>
    <row r="274" spans="1:17" x14ac:dyDescent="0.25">
      <c r="A274" s="1">
        <f t="shared" si="37"/>
        <v>273</v>
      </c>
      <c r="C274" s="8" t="s">
        <v>17</v>
      </c>
      <c r="D274" s="2">
        <v>42884</v>
      </c>
      <c r="E274" s="3">
        <f>26000/100000</f>
        <v>0.26</v>
      </c>
      <c r="F274" t="s">
        <v>206</v>
      </c>
      <c r="G274" t="s">
        <v>207</v>
      </c>
      <c r="H274" t="s">
        <v>208</v>
      </c>
      <c r="I274" s="6" t="s">
        <v>420</v>
      </c>
      <c r="J274" s="61" t="s">
        <v>22</v>
      </c>
      <c r="L274" s="5" t="str">
        <f t="shared" si="31"/>
        <v>00273</v>
      </c>
      <c r="M274" s="47" t="str">
        <f t="shared" si="32"/>
        <v>29 de mayo de 2017</v>
      </c>
      <c r="N274" s="323">
        <f t="shared" si="36"/>
        <v>29</v>
      </c>
      <c r="O274" s="25">
        <f t="shared" si="33"/>
        <v>42856</v>
      </c>
      <c r="P274" s="5" t="str">
        <f t="shared" si="34"/>
        <v>0,26</v>
      </c>
      <c r="Q274" s="4" t="str">
        <f t="shared" si="35"/>
        <v>Cero Bolívares con 26/100</v>
      </c>
    </row>
    <row r="275" spans="1:17" x14ac:dyDescent="0.25">
      <c r="A275" s="1">
        <f t="shared" si="37"/>
        <v>274</v>
      </c>
      <c r="C275" s="8" t="s">
        <v>17</v>
      </c>
      <c r="D275" s="2">
        <v>42884</v>
      </c>
      <c r="E275" s="3">
        <f>27000/100000</f>
        <v>0.27</v>
      </c>
      <c r="F275" t="s">
        <v>134</v>
      </c>
      <c r="G275" t="s">
        <v>135</v>
      </c>
      <c r="H275" t="s">
        <v>136</v>
      </c>
      <c r="I275" s="6" t="s">
        <v>420</v>
      </c>
      <c r="J275" s="61" t="s">
        <v>22</v>
      </c>
      <c r="L275" s="5" t="str">
        <f t="shared" si="31"/>
        <v>00274</v>
      </c>
      <c r="M275" s="47" t="str">
        <f t="shared" si="32"/>
        <v>29 de mayo de 2017</v>
      </c>
      <c r="N275" s="323">
        <f t="shared" si="36"/>
        <v>29</v>
      </c>
      <c r="O275" s="25">
        <f t="shared" si="33"/>
        <v>42856</v>
      </c>
      <c r="P275" s="5" t="str">
        <f t="shared" si="34"/>
        <v>0,27</v>
      </c>
      <c r="Q275" s="4" t="str">
        <f t="shared" si="35"/>
        <v>Cero Bolívares con 27/100</v>
      </c>
    </row>
    <row r="276" spans="1:17" x14ac:dyDescent="0.25">
      <c r="A276" s="1">
        <f t="shared" si="37"/>
        <v>275</v>
      </c>
      <c r="C276" s="8" t="s">
        <v>17</v>
      </c>
      <c r="D276" s="2">
        <v>42887</v>
      </c>
      <c r="E276" s="3">
        <f>20000/100000</f>
        <v>0.2</v>
      </c>
      <c r="F276" t="s">
        <v>312</v>
      </c>
      <c r="G276" t="s">
        <v>313</v>
      </c>
      <c r="H276" t="s">
        <v>314</v>
      </c>
      <c r="I276" s="6" t="s">
        <v>427</v>
      </c>
      <c r="J276" s="61" t="s">
        <v>22</v>
      </c>
      <c r="L276" s="5" t="str">
        <f t="shared" si="31"/>
        <v>00275</v>
      </c>
      <c r="M276" s="47" t="str">
        <f t="shared" si="32"/>
        <v>01 de junio de 2017</v>
      </c>
      <c r="N276" s="323">
        <f t="shared" si="36"/>
        <v>1</v>
      </c>
      <c r="O276" s="25">
        <f t="shared" si="33"/>
        <v>42887</v>
      </c>
      <c r="P276" s="5" t="str">
        <f t="shared" si="34"/>
        <v>0,20</v>
      </c>
      <c r="Q276" s="4" t="str">
        <f t="shared" si="35"/>
        <v>Cero Bolívares con 20/100</v>
      </c>
    </row>
    <row r="277" spans="1:17" x14ac:dyDescent="0.25">
      <c r="A277" s="1">
        <f t="shared" si="37"/>
        <v>276</v>
      </c>
      <c r="C277" s="8" t="s">
        <v>17</v>
      </c>
      <c r="D277" s="2">
        <v>42887</v>
      </c>
      <c r="E277" s="3">
        <f>4000/100000</f>
        <v>0.04</v>
      </c>
      <c r="F277" t="s">
        <v>126</v>
      </c>
      <c r="G277" t="s">
        <v>127</v>
      </c>
      <c r="H277" t="s">
        <v>128</v>
      </c>
      <c r="I277" s="6" t="s">
        <v>421</v>
      </c>
      <c r="J277" s="61" t="s">
        <v>22</v>
      </c>
      <c r="L277" s="5" t="str">
        <f t="shared" si="31"/>
        <v>00276</v>
      </c>
      <c r="M277" s="47" t="str">
        <f t="shared" si="32"/>
        <v>01 de junio de 2017</v>
      </c>
      <c r="N277" s="323">
        <f t="shared" si="36"/>
        <v>1</v>
      </c>
      <c r="O277" s="25">
        <f t="shared" si="33"/>
        <v>42887</v>
      </c>
      <c r="P277" s="5" t="str">
        <f>TEXT(E277,"#.##0,00")</f>
        <v>0,04</v>
      </c>
      <c r="Q277" s="4" t="str">
        <f t="shared" si="35"/>
        <v>Cero Bolívares con 04/100</v>
      </c>
    </row>
    <row r="278" spans="1:17" x14ac:dyDescent="0.25">
      <c r="A278" s="1">
        <f t="shared" si="37"/>
        <v>277</v>
      </c>
      <c r="C278" s="8" t="s">
        <v>17</v>
      </c>
      <c r="D278" s="2">
        <v>42887</v>
      </c>
      <c r="E278" s="3">
        <f>4*17000/100000+2*26000/100000</f>
        <v>1.2000000000000002</v>
      </c>
      <c r="F278" t="s">
        <v>438</v>
      </c>
      <c r="G278" t="s">
        <v>439</v>
      </c>
      <c r="H278" t="s">
        <v>440</v>
      </c>
      <c r="I278" s="6" t="s">
        <v>441</v>
      </c>
      <c r="J278" s="61" t="s">
        <v>22</v>
      </c>
      <c r="L278" s="5" t="str">
        <f t="shared" si="31"/>
        <v>00277</v>
      </c>
      <c r="M278" s="47" t="str">
        <f t="shared" si="32"/>
        <v>01 de junio de 2017</v>
      </c>
      <c r="N278" s="323">
        <f t="shared" si="36"/>
        <v>1</v>
      </c>
      <c r="O278" s="25">
        <f t="shared" si="33"/>
        <v>42887</v>
      </c>
      <c r="P278" s="5" t="str">
        <f>TEXT(E278,"#.##0,00")</f>
        <v>1,20</v>
      </c>
      <c r="Q278" s="4" t="str">
        <f t="shared" si="35"/>
        <v>Un Bolívares con 20/100</v>
      </c>
    </row>
    <row r="279" spans="1:17" x14ac:dyDescent="0.25">
      <c r="A279" s="1">
        <f t="shared" si="37"/>
        <v>278</v>
      </c>
      <c r="C279" s="8" t="s">
        <v>17</v>
      </c>
      <c r="D279" s="2">
        <v>42887</v>
      </c>
      <c r="E279" s="3">
        <f>26000/100000</f>
        <v>0.26</v>
      </c>
      <c r="F279" t="s">
        <v>18</v>
      </c>
      <c r="G279" t="s">
        <v>19</v>
      </c>
      <c r="H279" t="s">
        <v>20</v>
      </c>
      <c r="I279" s="6" t="s">
        <v>442</v>
      </c>
      <c r="J279" s="61" t="s">
        <v>22</v>
      </c>
      <c r="L279" s="5" t="str">
        <f t="shared" si="31"/>
        <v>00278</v>
      </c>
      <c r="M279" s="47" t="str">
        <f t="shared" si="32"/>
        <v>01 de junio de 2017</v>
      </c>
      <c r="N279" s="323">
        <f t="shared" si="36"/>
        <v>1</v>
      </c>
      <c r="O279" s="25">
        <f t="shared" si="33"/>
        <v>42887</v>
      </c>
      <c r="P279" s="5" t="str">
        <f>TEXT(E279,"#.##0,00")</f>
        <v>0,26</v>
      </c>
      <c r="Q279" s="4" t="str">
        <f t="shared" si="35"/>
        <v>Cero Bolívares con 26/100</v>
      </c>
    </row>
    <row r="280" spans="1:17" x14ac:dyDescent="0.25">
      <c r="A280" s="1">
        <f t="shared" si="37"/>
        <v>279</v>
      </c>
      <c r="C280" s="8" t="s">
        <v>17</v>
      </c>
      <c r="D280" s="2">
        <v>42890</v>
      </c>
      <c r="E280" s="3">
        <f>26000/100000</f>
        <v>0.26</v>
      </c>
      <c r="F280" t="s">
        <v>443</v>
      </c>
      <c r="G280" t="s">
        <v>444</v>
      </c>
      <c r="H280" t="s">
        <v>75</v>
      </c>
      <c r="I280" s="6" t="s">
        <v>445</v>
      </c>
      <c r="J280" s="61" t="s">
        <v>22</v>
      </c>
      <c r="L280" s="5" t="str">
        <f t="shared" si="31"/>
        <v>00279</v>
      </c>
      <c r="M280" s="47" t="str">
        <f t="shared" si="32"/>
        <v>04 de junio de 2017</v>
      </c>
      <c r="N280" s="323">
        <f t="shared" si="36"/>
        <v>4</v>
      </c>
      <c r="O280" s="25">
        <f t="shared" si="33"/>
        <v>42887</v>
      </c>
      <c r="P280" s="5" t="str">
        <f t="shared" ref="P280:P302" si="38">TEXT(E280,"#.##0,00")</f>
        <v>0,26</v>
      </c>
      <c r="Q280" s="4" t="str">
        <f t="shared" si="35"/>
        <v>Cero Bolívares con 26/100</v>
      </c>
    </row>
    <row r="281" spans="1:17" x14ac:dyDescent="0.25">
      <c r="A281" s="1">
        <f t="shared" si="37"/>
        <v>280</v>
      </c>
      <c r="C281" s="8" t="s">
        <v>17</v>
      </c>
      <c r="D281" s="2">
        <v>42890</v>
      </c>
      <c r="E281" s="3">
        <f>17000/100000</f>
        <v>0.17</v>
      </c>
      <c r="F281" t="s">
        <v>230</v>
      </c>
      <c r="G281" t="s">
        <v>231</v>
      </c>
      <c r="H281" t="s">
        <v>232</v>
      </c>
      <c r="I281" s="6" t="s">
        <v>395</v>
      </c>
      <c r="J281" s="61" t="s">
        <v>22</v>
      </c>
      <c r="L281" s="5" t="str">
        <f t="shared" si="31"/>
        <v>00280</v>
      </c>
      <c r="M281" s="47" t="str">
        <f t="shared" si="32"/>
        <v>04 de junio de 2017</v>
      </c>
      <c r="N281" s="323">
        <f t="shared" si="36"/>
        <v>4</v>
      </c>
      <c r="O281" s="25">
        <f t="shared" si="33"/>
        <v>42887</v>
      </c>
      <c r="P281" s="5" t="str">
        <f t="shared" si="38"/>
        <v>0,17</v>
      </c>
      <c r="Q281" s="4" t="str">
        <f t="shared" si="35"/>
        <v>Cero Bolívares con 17/100</v>
      </c>
    </row>
    <row r="282" spans="1:17" x14ac:dyDescent="0.25">
      <c r="A282" s="1">
        <f t="shared" si="37"/>
        <v>281</v>
      </c>
      <c r="C282" s="8" t="s">
        <v>17</v>
      </c>
      <c r="D282" s="2">
        <v>42891</v>
      </c>
      <c r="E282" s="3">
        <f>10000/100000</f>
        <v>0.1</v>
      </c>
      <c r="F282" t="s">
        <v>48</v>
      </c>
      <c r="G282" t="s">
        <v>49</v>
      </c>
      <c r="H282" t="s">
        <v>50</v>
      </c>
      <c r="I282" s="6" t="s">
        <v>446</v>
      </c>
      <c r="J282" s="61" t="s">
        <v>22</v>
      </c>
      <c r="L282" s="5" t="str">
        <f t="shared" si="31"/>
        <v>00281</v>
      </c>
      <c r="M282" s="47" t="str">
        <f t="shared" si="32"/>
        <v>05 de junio de 2017</v>
      </c>
      <c r="N282" s="323">
        <f t="shared" si="36"/>
        <v>5</v>
      </c>
      <c r="O282" s="25">
        <f t="shared" si="33"/>
        <v>42887</v>
      </c>
      <c r="P282" s="5" t="str">
        <f t="shared" si="38"/>
        <v>0,10</v>
      </c>
      <c r="Q282" s="4" t="str">
        <f t="shared" si="35"/>
        <v>Cero Bolívares con 10/100</v>
      </c>
    </row>
    <row r="283" spans="1:17" x14ac:dyDescent="0.25">
      <c r="A283" s="1">
        <f t="shared" si="37"/>
        <v>282</v>
      </c>
      <c r="C283" s="8" t="s">
        <v>17</v>
      </c>
      <c r="D283" s="2">
        <v>42891</v>
      </c>
      <c r="E283" s="3">
        <f>26000/100000</f>
        <v>0.26</v>
      </c>
      <c r="F283" t="s">
        <v>148</v>
      </c>
      <c r="G283" t="s">
        <v>149</v>
      </c>
      <c r="H283" t="s">
        <v>150</v>
      </c>
      <c r="I283" s="6" t="s">
        <v>420</v>
      </c>
      <c r="J283" s="61" t="s">
        <v>22</v>
      </c>
      <c r="L283" s="5" t="str">
        <f t="shared" si="31"/>
        <v>00282</v>
      </c>
      <c r="M283" s="47" t="str">
        <f t="shared" si="32"/>
        <v>05 de junio de 2017</v>
      </c>
      <c r="N283" s="323">
        <f t="shared" si="36"/>
        <v>5</v>
      </c>
      <c r="O283" s="25">
        <f t="shared" si="33"/>
        <v>42887</v>
      </c>
      <c r="P283" s="5" t="str">
        <f t="shared" si="38"/>
        <v>0,26</v>
      </c>
      <c r="Q283" s="4" t="str">
        <f t="shared" si="35"/>
        <v>Cero Bolívares con 26/100</v>
      </c>
    </row>
    <row r="284" spans="1:17" x14ac:dyDescent="0.25">
      <c r="A284" s="1">
        <f t="shared" si="37"/>
        <v>283</v>
      </c>
      <c r="C284" s="8" t="s">
        <v>17</v>
      </c>
      <c r="D284" s="2">
        <v>42892</v>
      </c>
      <c r="E284" s="3">
        <f>15000/100000</f>
        <v>0.15</v>
      </c>
      <c r="F284" t="s">
        <v>181</v>
      </c>
      <c r="G284" t="s">
        <v>182</v>
      </c>
      <c r="H284" t="s">
        <v>183</v>
      </c>
      <c r="I284" s="6" t="s">
        <v>446</v>
      </c>
      <c r="J284" s="61" t="s">
        <v>22</v>
      </c>
      <c r="L284" s="5" t="str">
        <f t="shared" si="31"/>
        <v>00283</v>
      </c>
      <c r="M284" s="47" t="str">
        <f t="shared" si="32"/>
        <v>06 de junio de 2017</v>
      </c>
      <c r="N284" s="323">
        <f t="shared" si="36"/>
        <v>6</v>
      </c>
      <c r="O284" s="25">
        <f t="shared" si="33"/>
        <v>42887</v>
      </c>
      <c r="P284" s="5" t="str">
        <f t="shared" si="38"/>
        <v>0,15</v>
      </c>
      <c r="Q284" s="4" t="str">
        <f t="shared" si="35"/>
        <v>Cero Bolívares con 15/100</v>
      </c>
    </row>
    <row r="285" spans="1:17" x14ac:dyDescent="0.25">
      <c r="A285" s="1">
        <f t="shared" si="37"/>
        <v>284</v>
      </c>
      <c r="C285" s="8" t="s">
        <v>17</v>
      </c>
      <c r="D285" s="2">
        <v>42892</v>
      </c>
      <c r="E285" s="3">
        <f>26000/100000</f>
        <v>0.26</v>
      </c>
      <c r="F285" t="s">
        <v>162</v>
      </c>
      <c r="G285" t="s">
        <v>163</v>
      </c>
      <c r="H285" t="s">
        <v>164</v>
      </c>
      <c r="I285" s="161" t="s">
        <v>420</v>
      </c>
      <c r="J285" s="61" t="s">
        <v>22</v>
      </c>
      <c r="L285" s="5" t="str">
        <f t="shared" si="31"/>
        <v>00284</v>
      </c>
      <c r="M285" s="47" t="str">
        <f t="shared" si="32"/>
        <v>06 de junio de 2017</v>
      </c>
      <c r="N285" s="323">
        <f t="shared" si="36"/>
        <v>6</v>
      </c>
      <c r="O285" s="25">
        <f t="shared" si="33"/>
        <v>42887</v>
      </c>
      <c r="P285" s="5" t="str">
        <f t="shared" si="38"/>
        <v>0,26</v>
      </c>
      <c r="Q285" s="4" t="str">
        <f t="shared" si="35"/>
        <v>Cero Bolívares con 26/100</v>
      </c>
    </row>
    <row r="286" spans="1:17" x14ac:dyDescent="0.25">
      <c r="A286" s="1">
        <f t="shared" si="37"/>
        <v>285</v>
      </c>
      <c r="C286" s="8" t="s">
        <v>17</v>
      </c>
      <c r="D286" s="2">
        <v>42893</v>
      </c>
      <c r="E286" s="3">
        <f>9000/100000+26000/100000</f>
        <v>0.35</v>
      </c>
      <c r="F286" t="s">
        <v>167</v>
      </c>
      <c r="G286" t="s">
        <v>168</v>
      </c>
      <c r="H286" t="s">
        <v>169</v>
      </c>
      <c r="I286" s="6" t="s">
        <v>447</v>
      </c>
      <c r="J286" s="61" t="s">
        <v>22</v>
      </c>
      <c r="L286" s="5" t="str">
        <f t="shared" si="31"/>
        <v>00285</v>
      </c>
      <c r="M286" s="47" t="str">
        <f t="shared" si="32"/>
        <v>07 de junio de 2017</v>
      </c>
      <c r="N286" s="323">
        <f t="shared" si="36"/>
        <v>7</v>
      </c>
      <c r="O286" s="25">
        <f t="shared" si="33"/>
        <v>42887</v>
      </c>
      <c r="P286" s="5" t="str">
        <f t="shared" si="38"/>
        <v>0,35</v>
      </c>
      <c r="Q286" s="4" t="str">
        <f t="shared" si="35"/>
        <v>Cero Bolívares con 35/100</v>
      </c>
    </row>
    <row r="287" spans="1:17" x14ac:dyDescent="0.25">
      <c r="A287" s="1">
        <f t="shared" si="37"/>
        <v>286</v>
      </c>
      <c r="C287" s="8" t="s">
        <v>17</v>
      </c>
      <c r="D287" s="2">
        <v>42893</v>
      </c>
      <c r="E287" s="3">
        <f>26000/100000</f>
        <v>0.26</v>
      </c>
      <c r="F287" t="s">
        <v>24</v>
      </c>
      <c r="G287" t="s">
        <v>25</v>
      </c>
      <c r="H287" t="s">
        <v>26</v>
      </c>
      <c r="I287" s="6" t="s">
        <v>445</v>
      </c>
      <c r="J287" s="61" t="s">
        <v>22</v>
      </c>
      <c r="L287" s="5" t="str">
        <f t="shared" si="31"/>
        <v>00286</v>
      </c>
      <c r="M287" s="47" t="str">
        <f t="shared" si="32"/>
        <v>07 de junio de 2017</v>
      </c>
      <c r="N287" s="323">
        <f t="shared" si="36"/>
        <v>7</v>
      </c>
      <c r="O287" s="25">
        <f t="shared" si="33"/>
        <v>42887</v>
      </c>
      <c r="P287" s="5" t="str">
        <f t="shared" si="38"/>
        <v>0,26</v>
      </c>
      <c r="Q287" s="4" t="str">
        <f t="shared" si="35"/>
        <v>Cero Bolívares con 26/100</v>
      </c>
    </row>
    <row r="288" spans="1:17" x14ac:dyDescent="0.25">
      <c r="A288" s="1">
        <f t="shared" si="37"/>
        <v>287</v>
      </c>
      <c r="C288" s="8" t="s">
        <v>17</v>
      </c>
      <c r="D288" s="2">
        <v>42893</v>
      </c>
      <c r="E288" s="3">
        <f>27000/100000</f>
        <v>0.27</v>
      </c>
      <c r="F288" t="s">
        <v>44</v>
      </c>
      <c r="G288" t="s">
        <v>45</v>
      </c>
      <c r="H288" t="s">
        <v>46</v>
      </c>
      <c r="I288" s="6" t="s">
        <v>445</v>
      </c>
      <c r="J288" s="61" t="s">
        <v>22</v>
      </c>
      <c r="L288" s="5" t="str">
        <f t="shared" si="31"/>
        <v>00287</v>
      </c>
      <c r="M288" s="47" t="str">
        <f t="shared" si="32"/>
        <v>07 de junio de 2017</v>
      </c>
      <c r="N288" s="323">
        <f t="shared" si="36"/>
        <v>7</v>
      </c>
      <c r="O288" s="25">
        <f t="shared" si="33"/>
        <v>42887</v>
      </c>
      <c r="P288" s="5" t="str">
        <f t="shared" si="38"/>
        <v>0,27</v>
      </c>
      <c r="Q288" s="4" t="str">
        <f t="shared" si="35"/>
        <v>Cero Bolívares con 27/100</v>
      </c>
    </row>
    <row r="289" spans="1:17" x14ac:dyDescent="0.25">
      <c r="A289" s="1">
        <f t="shared" si="37"/>
        <v>288</v>
      </c>
      <c r="C289" s="8" t="s">
        <v>17</v>
      </c>
      <c r="D289" s="2">
        <v>42893</v>
      </c>
      <c r="E289" s="3">
        <f t="shared" ref="E289:E296" si="39">26000/100000</f>
        <v>0.26</v>
      </c>
      <c r="F289" t="s">
        <v>107</v>
      </c>
      <c r="G289" t="s">
        <v>108</v>
      </c>
      <c r="H289" t="s">
        <v>109</v>
      </c>
      <c r="I289" s="6" t="s">
        <v>420</v>
      </c>
      <c r="J289" s="61" t="s">
        <v>22</v>
      </c>
      <c r="L289" s="5" t="str">
        <f t="shared" si="31"/>
        <v>00288</v>
      </c>
      <c r="M289" s="47" t="str">
        <f t="shared" si="32"/>
        <v>07 de junio de 2017</v>
      </c>
      <c r="N289" s="323">
        <f t="shared" si="36"/>
        <v>7</v>
      </c>
      <c r="O289" s="25">
        <f t="shared" si="33"/>
        <v>42887</v>
      </c>
      <c r="P289" s="5" t="str">
        <f t="shared" si="38"/>
        <v>0,26</v>
      </c>
      <c r="Q289" s="4" t="str">
        <f t="shared" si="35"/>
        <v>Cero Bolívares con 26/100</v>
      </c>
    </row>
    <row r="290" spans="1:17" x14ac:dyDescent="0.25">
      <c r="A290" s="1">
        <f t="shared" si="37"/>
        <v>289</v>
      </c>
      <c r="C290" s="8" t="s">
        <v>17</v>
      </c>
      <c r="D290" s="2">
        <v>42888</v>
      </c>
      <c r="E290" s="3">
        <f t="shared" si="39"/>
        <v>0.26</v>
      </c>
      <c r="F290" t="s">
        <v>62</v>
      </c>
      <c r="G290" t="s">
        <v>63</v>
      </c>
      <c r="H290" t="s">
        <v>64</v>
      </c>
      <c r="I290" s="6" t="s">
        <v>420</v>
      </c>
      <c r="J290" s="61" t="s">
        <v>22</v>
      </c>
      <c r="L290" s="5" t="str">
        <f t="shared" si="31"/>
        <v>00289</v>
      </c>
      <c r="M290" s="47" t="str">
        <f t="shared" si="32"/>
        <v>02 de junio de 2017</v>
      </c>
      <c r="N290" s="323">
        <f t="shared" si="36"/>
        <v>2</v>
      </c>
      <c r="O290" s="25">
        <f t="shared" si="33"/>
        <v>42887</v>
      </c>
      <c r="P290" s="5" t="str">
        <f t="shared" si="38"/>
        <v>0,26</v>
      </c>
      <c r="Q290" s="4" t="str">
        <f t="shared" si="35"/>
        <v>Cero Bolívares con 26/100</v>
      </c>
    </row>
    <row r="291" spans="1:17" x14ac:dyDescent="0.25">
      <c r="A291" s="1">
        <f t="shared" si="37"/>
        <v>290</v>
      </c>
      <c r="C291" s="8" t="s">
        <v>17</v>
      </c>
      <c r="D291" s="2">
        <v>42888</v>
      </c>
      <c r="E291" s="3">
        <f t="shared" si="39"/>
        <v>0.26</v>
      </c>
      <c r="F291" t="s">
        <v>353</v>
      </c>
      <c r="G291" t="s">
        <v>354</v>
      </c>
      <c r="H291" t="s">
        <v>355</v>
      </c>
      <c r="I291" s="6" t="s">
        <v>420</v>
      </c>
      <c r="J291" s="61" t="s">
        <v>22</v>
      </c>
      <c r="L291" s="5" t="str">
        <f t="shared" si="31"/>
        <v>00290</v>
      </c>
      <c r="M291" s="47" t="str">
        <f t="shared" si="32"/>
        <v>02 de junio de 2017</v>
      </c>
      <c r="N291" s="323">
        <f t="shared" si="36"/>
        <v>2</v>
      </c>
      <c r="O291" s="25">
        <f t="shared" si="33"/>
        <v>42887</v>
      </c>
      <c r="P291" s="5" t="str">
        <f t="shared" si="38"/>
        <v>0,26</v>
      </c>
      <c r="Q291" s="4" t="str">
        <f t="shared" si="35"/>
        <v>Cero Bolívares con 26/100</v>
      </c>
    </row>
    <row r="292" spans="1:17" x14ac:dyDescent="0.25">
      <c r="A292" s="1">
        <f t="shared" si="37"/>
        <v>291</v>
      </c>
      <c r="C292" s="8" t="s">
        <v>17</v>
      </c>
      <c r="D292" s="2">
        <v>42890</v>
      </c>
      <c r="E292" s="3">
        <f t="shared" si="39"/>
        <v>0.26</v>
      </c>
      <c r="F292" t="s">
        <v>90</v>
      </c>
      <c r="G292" t="s">
        <v>91</v>
      </c>
      <c r="H292" t="s">
        <v>92</v>
      </c>
      <c r="I292" s="6" t="s">
        <v>445</v>
      </c>
      <c r="J292" s="61" t="s">
        <v>22</v>
      </c>
      <c r="L292" s="5" t="str">
        <f t="shared" si="31"/>
        <v>00291</v>
      </c>
      <c r="M292" s="47" t="str">
        <f t="shared" si="32"/>
        <v>04 de junio de 2017</v>
      </c>
      <c r="N292" s="323">
        <f t="shared" si="36"/>
        <v>4</v>
      </c>
      <c r="O292" s="25">
        <f t="shared" si="33"/>
        <v>42887</v>
      </c>
      <c r="P292" s="5" t="str">
        <f t="shared" si="38"/>
        <v>0,26</v>
      </c>
      <c r="Q292" s="4" t="str">
        <f t="shared" si="35"/>
        <v>Cero Bolívares con 26/100</v>
      </c>
    </row>
    <row r="293" spans="1:17" x14ac:dyDescent="0.25">
      <c r="A293" s="1">
        <f t="shared" si="37"/>
        <v>292</v>
      </c>
      <c r="C293" s="8" t="s">
        <v>17</v>
      </c>
      <c r="D293" s="2">
        <v>42892</v>
      </c>
      <c r="E293" s="3">
        <f t="shared" si="39"/>
        <v>0.26</v>
      </c>
      <c r="F293" t="s">
        <v>80</v>
      </c>
      <c r="G293" t="s">
        <v>81</v>
      </c>
      <c r="H293" t="s">
        <v>82</v>
      </c>
      <c r="I293" s="6" t="s">
        <v>445</v>
      </c>
      <c r="J293" s="61" t="s">
        <v>22</v>
      </c>
      <c r="L293" s="5" t="str">
        <f t="shared" si="31"/>
        <v>00292</v>
      </c>
      <c r="M293" s="47" t="str">
        <f t="shared" si="32"/>
        <v>06 de junio de 2017</v>
      </c>
      <c r="N293" s="323">
        <f t="shared" si="36"/>
        <v>6</v>
      </c>
      <c r="O293" s="25">
        <f t="shared" si="33"/>
        <v>42887</v>
      </c>
      <c r="P293" s="5" t="str">
        <f t="shared" si="38"/>
        <v>0,26</v>
      </c>
      <c r="Q293" s="4" t="str">
        <f t="shared" si="35"/>
        <v>Cero Bolívares con 26/100</v>
      </c>
    </row>
    <row r="294" spans="1:17" x14ac:dyDescent="0.25">
      <c r="A294" s="1">
        <f t="shared" si="37"/>
        <v>293</v>
      </c>
      <c r="C294" s="8" t="s">
        <v>17</v>
      </c>
      <c r="D294" s="2">
        <v>42872</v>
      </c>
      <c r="E294" s="3">
        <f t="shared" si="39"/>
        <v>0.26</v>
      </c>
      <c r="F294" t="s">
        <v>287</v>
      </c>
      <c r="G294" t="s">
        <v>288</v>
      </c>
      <c r="H294" t="s">
        <v>289</v>
      </c>
      <c r="I294" s="6" t="s">
        <v>420</v>
      </c>
      <c r="J294" s="61" t="s">
        <v>22</v>
      </c>
      <c r="L294" s="5" t="str">
        <f t="shared" si="31"/>
        <v>00293</v>
      </c>
      <c r="M294" s="47" t="str">
        <f t="shared" si="32"/>
        <v>17 de mayo de 2017</v>
      </c>
      <c r="N294" s="323">
        <f t="shared" si="36"/>
        <v>17</v>
      </c>
      <c r="O294" s="25">
        <f t="shared" si="33"/>
        <v>42856</v>
      </c>
      <c r="P294" s="5" t="str">
        <f t="shared" si="38"/>
        <v>0,26</v>
      </c>
      <c r="Q294" s="4" t="str">
        <f t="shared" si="35"/>
        <v>Cero Bolívares con 26/100</v>
      </c>
    </row>
    <row r="295" spans="1:17" x14ac:dyDescent="0.25">
      <c r="A295" s="1">
        <f t="shared" si="37"/>
        <v>294</v>
      </c>
      <c r="C295" s="8" t="s">
        <v>17</v>
      </c>
      <c r="D295" s="2">
        <v>42888</v>
      </c>
      <c r="E295" s="3">
        <f t="shared" si="39"/>
        <v>0.26</v>
      </c>
      <c r="F295" t="s">
        <v>296</v>
      </c>
      <c r="G295" t="s">
        <v>297</v>
      </c>
      <c r="H295" t="s">
        <v>298</v>
      </c>
      <c r="I295" s="6" t="s">
        <v>420</v>
      </c>
      <c r="J295" s="61" t="s">
        <v>22</v>
      </c>
      <c r="L295" s="5" t="str">
        <f t="shared" si="31"/>
        <v>00294</v>
      </c>
      <c r="M295" s="47" t="str">
        <f t="shared" si="32"/>
        <v>02 de junio de 2017</v>
      </c>
      <c r="N295" s="323">
        <f t="shared" si="36"/>
        <v>2</v>
      </c>
      <c r="O295" s="25">
        <f t="shared" si="33"/>
        <v>42887</v>
      </c>
      <c r="P295" s="5" t="str">
        <f t="shared" si="38"/>
        <v>0,26</v>
      </c>
      <c r="Q295" s="4" t="str">
        <f t="shared" si="35"/>
        <v>Cero Bolívares con 26/100</v>
      </c>
    </row>
    <row r="296" spans="1:17" x14ac:dyDescent="0.25">
      <c r="A296" s="1">
        <f t="shared" si="37"/>
        <v>295</v>
      </c>
      <c r="C296" s="8" t="s">
        <v>17</v>
      </c>
      <c r="D296" s="2">
        <v>42895</v>
      </c>
      <c r="E296" s="3">
        <f t="shared" si="39"/>
        <v>0.26</v>
      </c>
      <c r="F296" t="s">
        <v>103</v>
      </c>
      <c r="G296" t="s">
        <v>104</v>
      </c>
      <c r="H296" t="s">
        <v>105</v>
      </c>
      <c r="I296" s="6" t="s">
        <v>445</v>
      </c>
      <c r="J296" s="61" t="s">
        <v>22</v>
      </c>
      <c r="L296" s="5" t="str">
        <f t="shared" si="31"/>
        <v>00295</v>
      </c>
      <c r="M296" s="47" t="str">
        <f t="shared" si="32"/>
        <v>09 de junio de 2017</v>
      </c>
      <c r="N296" s="323">
        <f t="shared" si="36"/>
        <v>9</v>
      </c>
      <c r="O296" s="25">
        <f t="shared" si="33"/>
        <v>42887</v>
      </c>
      <c r="P296" s="5" t="str">
        <f t="shared" si="38"/>
        <v>0,26</v>
      </c>
      <c r="Q296" s="4" t="str">
        <f t="shared" si="35"/>
        <v>Cero Bolívares con 26/100</v>
      </c>
    </row>
    <row r="297" spans="1:17" x14ac:dyDescent="0.25">
      <c r="A297" s="1">
        <f t="shared" si="37"/>
        <v>296</v>
      </c>
      <c r="C297" s="8" t="s">
        <v>17</v>
      </c>
      <c r="D297" s="2">
        <v>42895</v>
      </c>
      <c r="E297" s="3">
        <f>2*26000/100000</f>
        <v>0.52</v>
      </c>
      <c r="F297" t="s">
        <v>337</v>
      </c>
      <c r="G297" t="s">
        <v>338</v>
      </c>
      <c r="H297" t="s">
        <v>339</v>
      </c>
      <c r="I297" s="6" t="s">
        <v>448</v>
      </c>
      <c r="J297" s="61" t="s">
        <v>22</v>
      </c>
      <c r="L297" s="5" t="str">
        <f t="shared" si="31"/>
        <v>00296</v>
      </c>
      <c r="M297" s="47" t="str">
        <f t="shared" si="32"/>
        <v>09 de junio de 2017</v>
      </c>
      <c r="N297" s="323">
        <f t="shared" si="36"/>
        <v>9</v>
      </c>
      <c r="O297" s="25">
        <f t="shared" si="33"/>
        <v>42887</v>
      </c>
      <c r="P297" s="5" t="str">
        <f t="shared" si="38"/>
        <v>0,52</v>
      </c>
      <c r="Q297" s="4" t="str">
        <f t="shared" si="35"/>
        <v>Cero Bolívares con 52/100</v>
      </c>
    </row>
    <row r="298" spans="1:17" x14ac:dyDescent="0.25">
      <c r="A298" s="1">
        <f t="shared" si="37"/>
        <v>297</v>
      </c>
      <c r="C298" s="8" t="s">
        <v>17</v>
      </c>
      <c r="D298" s="2">
        <v>42887</v>
      </c>
      <c r="E298" s="3">
        <f>17000/100000</f>
        <v>0.17</v>
      </c>
      <c r="F298" t="s">
        <v>362</v>
      </c>
      <c r="G298" t="s">
        <v>363</v>
      </c>
      <c r="H298" t="s">
        <v>364</v>
      </c>
      <c r="I298" s="6" t="s">
        <v>395</v>
      </c>
      <c r="J298" s="61" t="s">
        <v>22</v>
      </c>
      <c r="L298" s="5" t="str">
        <f t="shared" si="31"/>
        <v>00297</v>
      </c>
      <c r="M298" s="47" t="str">
        <f t="shared" si="32"/>
        <v>01 de junio de 2017</v>
      </c>
      <c r="N298" s="323">
        <f t="shared" si="36"/>
        <v>1</v>
      </c>
      <c r="O298" s="25">
        <f t="shared" si="33"/>
        <v>42887</v>
      </c>
      <c r="P298" s="5" t="str">
        <f t="shared" si="38"/>
        <v>0,17</v>
      </c>
      <c r="Q298" s="4" t="str">
        <f t="shared" si="35"/>
        <v>Cero Bolívares con 17/100</v>
      </c>
    </row>
    <row r="299" spans="1:17" x14ac:dyDescent="0.25">
      <c r="A299" s="1">
        <f t="shared" si="37"/>
        <v>298</v>
      </c>
      <c r="C299" s="8" t="s">
        <v>17</v>
      </c>
      <c r="D299" s="2">
        <v>42902</v>
      </c>
      <c r="E299" s="3">
        <f>26000*2/100000+13000/100000-9000/100000</f>
        <v>0.56000000000000005</v>
      </c>
      <c r="F299" t="s">
        <v>100</v>
      </c>
      <c r="G299" t="s">
        <v>95</v>
      </c>
      <c r="H299" t="s">
        <v>101</v>
      </c>
      <c r="I299" s="6" t="s">
        <v>449</v>
      </c>
      <c r="J299" s="61" t="s">
        <v>22</v>
      </c>
      <c r="L299" s="5" t="str">
        <f t="shared" si="31"/>
        <v>00298</v>
      </c>
      <c r="M299" s="47" t="str">
        <f t="shared" si="32"/>
        <v>16 de junio de 2017</v>
      </c>
      <c r="N299" s="323">
        <f t="shared" si="36"/>
        <v>16</v>
      </c>
      <c r="O299" s="25">
        <f t="shared" si="33"/>
        <v>42887</v>
      </c>
      <c r="P299" s="5" t="str">
        <f t="shared" si="38"/>
        <v>0,56</v>
      </c>
      <c r="Q299" s="4" t="str">
        <f t="shared" si="35"/>
        <v>Cero Bolívares con 56/100</v>
      </c>
    </row>
    <row r="300" spans="1:17" x14ac:dyDescent="0.25">
      <c r="A300" s="1">
        <f t="shared" si="37"/>
        <v>299</v>
      </c>
      <c r="C300" s="8" t="s">
        <v>17</v>
      </c>
      <c r="D300" s="2">
        <v>42902</v>
      </c>
      <c r="E300" s="3">
        <f>4000*2/100000</f>
        <v>0.08</v>
      </c>
      <c r="F300" t="s">
        <v>94</v>
      </c>
      <c r="G300" t="s">
        <v>95</v>
      </c>
      <c r="H300" t="s">
        <v>96</v>
      </c>
      <c r="I300" s="6" t="s">
        <v>450</v>
      </c>
      <c r="J300" s="61" t="s">
        <v>22</v>
      </c>
      <c r="L300" s="5" t="str">
        <f t="shared" si="31"/>
        <v>00299</v>
      </c>
      <c r="M300" s="47" t="str">
        <f t="shared" si="32"/>
        <v>16 de junio de 2017</v>
      </c>
      <c r="N300" s="323">
        <f t="shared" si="36"/>
        <v>16</v>
      </c>
      <c r="O300" s="25">
        <f t="shared" si="33"/>
        <v>42887</v>
      </c>
      <c r="P300" s="5" t="str">
        <f t="shared" si="38"/>
        <v>0,08</v>
      </c>
      <c r="Q300" s="4" t="str">
        <f t="shared" si="35"/>
        <v>Cero Bolívares con 08/100</v>
      </c>
    </row>
    <row r="301" spans="1:17" x14ac:dyDescent="0.25">
      <c r="A301" s="1">
        <f t="shared" si="37"/>
        <v>300</v>
      </c>
      <c r="C301" s="8" t="s">
        <v>17</v>
      </c>
      <c r="D301" s="2">
        <v>42894</v>
      </c>
      <c r="E301" s="3">
        <f>20000/100000</f>
        <v>0.2</v>
      </c>
      <c r="F301" t="s">
        <v>177</v>
      </c>
      <c r="G301" s="18" t="s">
        <v>58</v>
      </c>
      <c r="H301" t="s">
        <v>179</v>
      </c>
      <c r="I301" s="6" t="s">
        <v>420</v>
      </c>
      <c r="J301" s="61" t="s">
        <v>22</v>
      </c>
      <c r="L301" s="5" t="str">
        <f t="shared" si="31"/>
        <v>00300</v>
      </c>
      <c r="M301" s="47" t="str">
        <f t="shared" si="32"/>
        <v>08 de junio de 2017</v>
      </c>
      <c r="N301" s="323">
        <f t="shared" si="36"/>
        <v>8</v>
      </c>
      <c r="O301" s="25">
        <f t="shared" si="33"/>
        <v>42887</v>
      </c>
      <c r="P301" s="5" t="str">
        <f t="shared" si="38"/>
        <v>0,20</v>
      </c>
      <c r="Q301" s="4" t="str">
        <f t="shared" si="35"/>
        <v>Cero Bolívares con 20/100</v>
      </c>
    </row>
    <row r="302" spans="1:17" x14ac:dyDescent="0.25">
      <c r="A302" s="1">
        <f t="shared" si="37"/>
        <v>301</v>
      </c>
      <c r="C302" s="8" t="s">
        <v>17</v>
      </c>
      <c r="D302" s="2">
        <v>42870</v>
      </c>
      <c r="E302" s="3">
        <f>17000/100000</f>
        <v>0.17</v>
      </c>
      <c r="F302" t="s">
        <v>206</v>
      </c>
      <c r="G302" t="s">
        <v>207</v>
      </c>
      <c r="H302" t="s">
        <v>208</v>
      </c>
      <c r="I302" s="6" t="s">
        <v>395</v>
      </c>
      <c r="J302" s="61" t="s">
        <v>22</v>
      </c>
      <c r="L302" s="5" t="str">
        <f t="shared" si="31"/>
        <v>00301</v>
      </c>
      <c r="M302" s="47" t="str">
        <f t="shared" si="32"/>
        <v>15 de mayo de 2017</v>
      </c>
      <c r="N302" s="323">
        <f t="shared" si="36"/>
        <v>15</v>
      </c>
      <c r="O302" s="25">
        <f t="shared" si="33"/>
        <v>42856</v>
      </c>
      <c r="P302" s="5" t="str">
        <f t="shared" si="38"/>
        <v>0,17</v>
      </c>
      <c r="Q302" s="4" t="str">
        <f t="shared" si="35"/>
        <v>Cero Bolívares con 17/100</v>
      </c>
    </row>
    <row r="303" spans="1:17" x14ac:dyDescent="0.25">
      <c r="A303" s="1">
        <f t="shared" si="37"/>
        <v>302</v>
      </c>
      <c r="C303" s="8" t="s">
        <v>17</v>
      </c>
      <c r="D303" s="2">
        <v>42891</v>
      </c>
      <c r="E303" s="3">
        <f>26000/100000</f>
        <v>0.26</v>
      </c>
      <c r="F303" t="s">
        <v>107</v>
      </c>
      <c r="G303" t="s">
        <v>108</v>
      </c>
      <c r="H303" t="s">
        <v>109</v>
      </c>
      <c r="I303" s="6" t="s">
        <v>445</v>
      </c>
      <c r="J303" s="61" t="s">
        <v>22</v>
      </c>
      <c r="L303" s="5" t="str">
        <f t="shared" si="31"/>
        <v>00302</v>
      </c>
      <c r="M303" s="47" t="str">
        <f t="shared" si="32"/>
        <v>05 de junio de 2017</v>
      </c>
      <c r="N303" s="323">
        <f t="shared" si="36"/>
        <v>5</v>
      </c>
      <c r="O303" s="25">
        <f t="shared" si="33"/>
        <v>42887</v>
      </c>
      <c r="P303" s="5" t="str">
        <f t="shared" ref="P303:P314" si="40">TEXT(E303,"#.##0,00")</f>
        <v>0,26</v>
      </c>
      <c r="Q303" s="4" t="str">
        <f t="shared" si="35"/>
        <v>Cero Bolívares con 26/100</v>
      </c>
    </row>
    <row r="304" spans="1:17" x14ac:dyDescent="0.25">
      <c r="A304" s="1">
        <f t="shared" si="37"/>
        <v>303</v>
      </c>
      <c r="C304" s="8" t="s">
        <v>17</v>
      </c>
      <c r="D304" s="2">
        <v>42900</v>
      </c>
      <c r="E304" s="3">
        <f>10000/100000</f>
        <v>0.1</v>
      </c>
      <c r="F304" t="s">
        <v>230</v>
      </c>
      <c r="G304" t="s">
        <v>231</v>
      </c>
      <c r="H304" t="s">
        <v>232</v>
      </c>
      <c r="I304" s="6" t="s">
        <v>451</v>
      </c>
      <c r="J304" s="61" t="s">
        <v>452</v>
      </c>
      <c r="L304" s="5" t="str">
        <f t="shared" si="31"/>
        <v>00303</v>
      </c>
      <c r="M304" s="47" t="str">
        <f t="shared" si="32"/>
        <v>14 de junio de 2017</v>
      </c>
      <c r="N304" s="323">
        <f t="shared" si="36"/>
        <v>14</v>
      </c>
      <c r="O304" s="25">
        <f t="shared" si="33"/>
        <v>42887</v>
      </c>
      <c r="P304" s="5" t="str">
        <f t="shared" si="40"/>
        <v>0,10</v>
      </c>
      <c r="Q304" s="4" t="str">
        <f t="shared" si="35"/>
        <v>Cero Bolívares con 10/100</v>
      </c>
    </row>
    <row r="305" spans="1:17" x14ac:dyDescent="0.25">
      <c r="A305" s="1">
        <f t="shared" si="37"/>
        <v>304</v>
      </c>
      <c r="C305" s="8" t="s">
        <v>17</v>
      </c>
      <c r="D305" s="2">
        <v>42900</v>
      </c>
      <c r="E305" s="3">
        <f>40000/100000</f>
        <v>0.4</v>
      </c>
      <c r="F305" s="23" t="s">
        <v>422</v>
      </c>
      <c r="G305" s="18" t="s">
        <v>58</v>
      </c>
      <c r="H305" t="s">
        <v>423</v>
      </c>
      <c r="I305" s="6" t="s">
        <v>445</v>
      </c>
      <c r="J305" s="61" t="s">
        <v>22</v>
      </c>
      <c r="L305" s="5" t="str">
        <f t="shared" si="31"/>
        <v>00304</v>
      </c>
      <c r="M305" s="47" t="str">
        <f t="shared" si="32"/>
        <v>14 de junio de 2017</v>
      </c>
      <c r="N305" s="323">
        <f t="shared" si="36"/>
        <v>14</v>
      </c>
      <c r="O305" s="25">
        <f t="shared" si="33"/>
        <v>42887</v>
      </c>
      <c r="P305" s="5" t="str">
        <f t="shared" si="40"/>
        <v>0,40</v>
      </c>
      <c r="Q305" s="4" t="str">
        <f t="shared" si="35"/>
        <v>Cero Bolívares con 40/100</v>
      </c>
    </row>
    <row r="306" spans="1:17" x14ac:dyDescent="0.25">
      <c r="A306" s="1">
        <f t="shared" si="37"/>
        <v>305</v>
      </c>
      <c r="C306" s="8" t="s">
        <v>17</v>
      </c>
      <c r="D306" s="2">
        <v>42900</v>
      </c>
      <c r="E306" s="3">
        <f>7000/100000</f>
        <v>7.0000000000000007E-2</v>
      </c>
      <c r="F306" s="23" t="s">
        <v>422</v>
      </c>
      <c r="G306" s="18" t="s">
        <v>58</v>
      </c>
      <c r="H306" t="s">
        <v>423</v>
      </c>
      <c r="I306" s="6" t="s">
        <v>451</v>
      </c>
      <c r="J306" s="61" t="s">
        <v>452</v>
      </c>
      <c r="L306" s="5" t="str">
        <f t="shared" si="31"/>
        <v>00305</v>
      </c>
      <c r="M306" s="47" t="str">
        <f t="shared" si="32"/>
        <v>14 de junio de 2017</v>
      </c>
      <c r="N306" s="323">
        <f t="shared" si="36"/>
        <v>14</v>
      </c>
      <c r="O306" s="25">
        <f t="shared" si="33"/>
        <v>42887</v>
      </c>
      <c r="P306" s="5" t="str">
        <f t="shared" si="40"/>
        <v>0,07</v>
      </c>
      <c r="Q306" s="4" t="str">
        <f t="shared" si="35"/>
        <v>Cero Bolívares con 07/100</v>
      </c>
    </row>
    <row r="307" spans="1:17" x14ac:dyDescent="0.25">
      <c r="A307" s="1">
        <f t="shared" si="37"/>
        <v>306</v>
      </c>
      <c r="C307" s="8" t="s">
        <v>17</v>
      </c>
      <c r="D307" s="2">
        <v>42900</v>
      </c>
      <c r="E307" s="3">
        <f>7000/100000</f>
        <v>7.0000000000000007E-2</v>
      </c>
      <c r="F307" t="s">
        <v>148</v>
      </c>
      <c r="G307" t="s">
        <v>149</v>
      </c>
      <c r="H307" t="s">
        <v>150</v>
      </c>
      <c r="I307" s="6" t="s">
        <v>451</v>
      </c>
      <c r="J307" s="61" t="s">
        <v>452</v>
      </c>
      <c r="L307" s="5" t="str">
        <f t="shared" si="31"/>
        <v>00306</v>
      </c>
      <c r="M307" s="47" t="str">
        <f t="shared" si="32"/>
        <v>14 de junio de 2017</v>
      </c>
      <c r="N307" s="323">
        <f t="shared" si="36"/>
        <v>14</v>
      </c>
      <c r="O307" s="25">
        <f t="shared" si="33"/>
        <v>42887</v>
      </c>
      <c r="P307" s="5" t="str">
        <f t="shared" si="40"/>
        <v>0,07</v>
      </c>
      <c r="Q307" s="4" t="str">
        <f t="shared" si="35"/>
        <v>Cero Bolívares con 07/100</v>
      </c>
    </row>
    <row r="308" spans="1:17" x14ac:dyDescent="0.25">
      <c r="A308" s="1">
        <f t="shared" si="37"/>
        <v>307</v>
      </c>
      <c r="C308" s="8" t="s">
        <v>17</v>
      </c>
      <c r="D308" s="2">
        <v>42900</v>
      </c>
      <c r="E308" s="3">
        <f>26000*2/100000</f>
        <v>0.52</v>
      </c>
      <c r="F308" t="s">
        <v>239</v>
      </c>
      <c r="G308" s="73" t="s">
        <v>240</v>
      </c>
      <c r="H308" t="s">
        <v>241</v>
      </c>
      <c r="I308" s="6" t="s">
        <v>448</v>
      </c>
      <c r="J308" s="61" t="s">
        <v>22</v>
      </c>
      <c r="L308" s="5" t="str">
        <f t="shared" si="31"/>
        <v>00307</v>
      </c>
      <c r="M308" s="47" t="str">
        <f t="shared" si="32"/>
        <v>14 de junio de 2017</v>
      </c>
      <c r="N308" s="323">
        <f t="shared" si="36"/>
        <v>14</v>
      </c>
      <c r="O308" s="25">
        <f t="shared" si="33"/>
        <v>42887</v>
      </c>
      <c r="P308" s="5" t="str">
        <f t="shared" si="40"/>
        <v>0,52</v>
      </c>
      <c r="Q308" s="4" t="str">
        <f t="shared" si="35"/>
        <v>Cero Bolívares con 52/100</v>
      </c>
    </row>
    <row r="309" spans="1:17" x14ac:dyDescent="0.25">
      <c r="A309" s="1">
        <f t="shared" si="37"/>
        <v>308</v>
      </c>
      <c r="C309" s="8" t="s">
        <v>17</v>
      </c>
      <c r="D309" s="2">
        <v>42900</v>
      </c>
      <c r="E309" s="3">
        <f>7000/100000</f>
        <v>7.0000000000000007E-2</v>
      </c>
      <c r="F309" t="s">
        <v>239</v>
      </c>
      <c r="G309" s="73" t="s">
        <v>240</v>
      </c>
      <c r="H309" t="s">
        <v>241</v>
      </c>
      <c r="I309" s="6" t="s">
        <v>451</v>
      </c>
      <c r="J309" s="61" t="s">
        <v>452</v>
      </c>
      <c r="L309" s="5" t="str">
        <f t="shared" si="31"/>
        <v>00308</v>
      </c>
      <c r="M309" s="47" t="str">
        <f t="shared" si="32"/>
        <v>14 de junio de 2017</v>
      </c>
      <c r="N309" s="323">
        <f t="shared" si="36"/>
        <v>14</v>
      </c>
      <c r="O309" s="25">
        <f t="shared" si="33"/>
        <v>42887</v>
      </c>
      <c r="P309" s="5" t="str">
        <f t="shared" si="40"/>
        <v>0,07</v>
      </c>
      <c r="Q309" s="4" t="str">
        <f t="shared" si="35"/>
        <v>Cero Bolívares con 07/100</v>
      </c>
    </row>
    <row r="310" spans="1:17" x14ac:dyDescent="0.25">
      <c r="A310" s="1">
        <f t="shared" si="37"/>
        <v>309</v>
      </c>
      <c r="C310" s="8" t="s">
        <v>17</v>
      </c>
      <c r="D310" s="2">
        <v>42900</v>
      </c>
      <c r="E310" s="3">
        <f>17000*2/100000</f>
        <v>0.34</v>
      </c>
      <c r="F310" t="s">
        <v>264</v>
      </c>
      <c r="G310" t="s">
        <v>265</v>
      </c>
      <c r="H310" t="s">
        <v>266</v>
      </c>
      <c r="I310" s="6" t="s">
        <v>453</v>
      </c>
      <c r="J310" s="61" t="s">
        <v>22</v>
      </c>
      <c r="L310" s="5" t="str">
        <f t="shared" si="31"/>
        <v>00309</v>
      </c>
      <c r="M310" s="47" t="str">
        <f t="shared" si="32"/>
        <v>14 de junio de 2017</v>
      </c>
      <c r="N310" s="323">
        <f t="shared" si="36"/>
        <v>14</v>
      </c>
      <c r="O310" s="25">
        <f t="shared" si="33"/>
        <v>42887</v>
      </c>
      <c r="P310" s="5" t="str">
        <f t="shared" si="40"/>
        <v>0,34</v>
      </c>
      <c r="Q310" s="4" t="str">
        <f t="shared" si="35"/>
        <v>Cero Bolívares con 34/100</v>
      </c>
    </row>
    <row r="311" spans="1:17" x14ac:dyDescent="0.25">
      <c r="A311" s="1">
        <f t="shared" si="37"/>
        <v>310</v>
      </c>
      <c r="C311" s="8" t="s">
        <v>17</v>
      </c>
      <c r="D311" s="2">
        <v>42900</v>
      </c>
      <c r="E311" s="3">
        <f>7000/100000</f>
        <v>7.0000000000000007E-2</v>
      </c>
      <c r="F311" t="s">
        <v>264</v>
      </c>
      <c r="G311" t="s">
        <v>265</v>
      </c>
      <c r="H311" t="s">
        <v>266</v>
      </c>
      <c r="I311" s="6" t="s">
        <v>451</v>
      </c>
      <c r="J311" s="61" t="s">
        <v>452</v>
      </c>
      <c r="L311" s="5" t="str">
        <f t="shared" si="31"/>
        <v>00310</v>
      </c>
      <c r="M311" s="47" t="str">
        <f t="shared" si="32"/>
        <v>14 de junio de 2017</v>
      </c>
      <c r="N311" s="323">
        <f t="shared" si="36"/>
        <v>14</v>
      </c>
      <c r="O311" s="25">
        <f t="shared" si="33"/>
        <v>42887</v>
      </c>
      <c r="P311" s="5" t="str">
        <f t="shared" si="40"/>
        <v>0,07</v>
      </c>
      <c r="Q311" s="4" t="str">
        <f t="shared" si="35"/>
        <v>Cero Bolívares con 07/100</v>
      </c>
    </row>
    <row r="312" spans="1:17" x14ac:dyDescent="0.25">
      <c r="A312" s="1">
        <f t="shared" si="37"/>
        <v>311</v>
      </c>
      <c r="C312" s="8" t="s">
        <v>17</v>
      </c>
      <c r="D312" s="2">
        <v>42900</v>
      </c>
      <c r="E312" s="3">
        <f>7000/100000</f>
        <v>7.0000000000000007E-2</v>
      </c>
      <c r="F312" t="s">
        <v>44</v>
      </c>
      <c r="G312" t="s">
        <v>45</v>
      </c>
      <c r="H312" t="s">
        <v>46</v>
      </c>
      <c r="I312" s="6" t="s">
        <v>451</v>
      </c>
      <c r="J312" s="61" t="s">
        <v>452</v>
      </c>
      <c r="L312" s="5" t="str">
        <f t="shared" si="31"/>
        <v>00311</v>
      </c>
      <c r="M312" s="47" t="str">
        <f t="shared" si="32"/>
        <v>14 de junio de 2017</v>
      </c>
      <c r="N312" s="323">
        <f t="shared" si="36"/>
        <v>14</v>
      </c>
      <c r="O312" s="25">
        <f t="shared" si="33"/>
        <v>42887</v>
      </c>
      <c r="P312" s="5" t="str">
        <f t="shared" si="40"/>
        <v>0,07</v>
      </c>
      <c r="Q312" s="4" t="str">
        <f t="shared" si="35"/>
        <v>Cero Bolívares con 07/100</v>
      </c>
    </row>
    <row r="313" spans="1:17" x14ac:dyDescent="0.25">
      <c r="A313" s="1">
        <f t="shared" si="37"/>
        <v>312</v>
      </c>
      <c r="C313" s="8" t="s">
        <v>17</v>
      </c>
      <c r="D313" s="2">
        <v>42900</v>
      </c>
      <c r="E313" s="3">
        <f>13000/100000</f>
        <v>0.13</v>
      </c>
      <c r="F313" t="s">
        <v>401</v>
      </c>
      <c r="G313" t="s">
        <v>402</v>
      </c>
      <c r="H313" t="s">
        <v>403</v>
      </c>
      <c r="I313" s="6" t="s">
        <v>446</v>
      </c>
      <c r="J313" s="61" t="s">
        <v>22</v>
      </c>
      <c r="L313" s="5" t="str">
        <f t="shared" si="31"/>
        <v>00312</v>
      </c>
      <c r="M313" s="47" t="str">
        <f t="shared" si="32"/>
        <v>14 de junio de 2017</v>
      </c>
      <c r="N313" s="323">
        <f t="shared" si="36"/>
        <v>14</v>
      </c>
      <c r="O313" s="25">
        <f t="shared" si="33"/>
        <v>42887</v>
      </c>
      <c r="P313" s="5" t="str">
        <f t="shared" si="40"/>
        <v>0,13</v>
      </c>
      <c r="Q313" s="4" t="str">
        <f t="shared" si="35"/>
        <v>Cero Bolívares con 13/100</v>
      </c>
    </row>
    <row r="314" spans="1:17" x14ac:dyDescent="0.25">
      <c r="A314" s="1">
        <f t="shared" si="37"/>
        <v>313</v>
      </c>
      <c r="C314" s="8" t="s">
        <v>17</v>
      </c>
      <c r="D314" s="2">
        <v>42900</v>
      </c>
      <c r="E314" s="3">
        <f>7000/100000</f>
        <v>7.0000000000000007E-2</v>
      </c>
      <c r="F314" t="s">
        <v>24</v>
      </c>
      <c r="G314" t="s">
        <v>25</v>
      </c>
      <c r="H314" t="s">
        <v>26</v>
      </c>
      <c r="I314" s="6" t="s">
        <v>451</v>
      </c>
      <c r="J314" s="61" t="s">
        <v>452</v>
      </c>
      <c r="L314" s="5" t="str">
        <f t="shared" si="31"/>
        <v>00313</v>
      </c>
      <c r="M314" s="47" t="str">
        <f t="shared" si="32"/>
        <v>14 de junio de 2017</v>
      </c>
      <c r="N314" s="323">
        <f t="shared" si="36"/>
        <v>14</v>
      </c>
      <c r="O314" s="25">
        <f t="shared" si="33"/>
        <v>42887</v>
      </c>
      <c r="P314" s="5" t="str">
        <f t="shared" si="40"/>
        <v>0,07</v>
      </c>
      <c r="Q314" s="4" t="str">
        <f t="shared" si="35"/>
        <v>Cero Bolívares con 07/100</v>
      </c>
    </row>
    <row r="315" spans="1:17" x14ac:dyDescent="0.25">
      <c r="A315" s="1">
        <f t="shared" si="37"/>
        <v>314</v>
      </c>
      <c r="C315" s="8" t="s">
        <v>17</v>
      </c>
      <c r="D315" s="2">
        <v>42900</v>
      </c>
      <c r="E315" s="3">
        <f>7000/100000</f>
        <v>7.0000000000000007E-2</v>
      </c>
      <c r="F315" t="s">
        <v>454</v>
      </c>
      <c r="G315" s="18" t="s">
        <v>58</v>
      </c>
      <c r="H315" t="s">
        <v>455</v>
      </c>
      <c r="I315" s="6" t="s">
        <v>451</v>
      </c>
      <c r="J315" s="61" t="s">
        <v>452</v>
      </c>
      <c r="L315" s="5" t="str">
        <f t="shared" si="31"/>
        <v>00314</v>
      </c>
      <c r="M315" s="47" t="str">
        <f t="shared" si="32"/>
        <v>14 de junio de 2017</v>
      </c>
      <c r="N315" s="323">
        <f t="shared" si="36"/>
        <v>14</v>
      </c>
      <c r="O315" s="25">
        <f t="shared" si="33"/>
        <v>42887</v>
      </c>
      <c r="P315" s="5" t="str">
        <f>TEXT(E315,"#.##0,00")</f>
        <v>0,07</v>
      </c>
      <c r="Q315" s="4" t="str">
        <f t="shared" si="35"/>
        <v>Cero Bolívares con 07/100</v>
      </c>
    </row>
    <row r="316" spans="1:17" x14ac:dyDescent="0.25">
      <c r="A316" s="1">
        <f t="shared" si="37"/>
        <v>315</v>
      </c>
      <c r="C316" s="8" t="s">
        <v>17</v>
      </c>
      <c r="D316" s="2">
        <v>42901</v>
      </c>
      <c r="E316" s="3">
        <f>15000/100000</f>
        <v>0.15</v>
      </c>
      <c r="F316" t="s">
        <v>397</v>
      </c>
      <c r="G316" s="48" t="s">
        <v>29</v>
      </c>
      <c r="H316" t="s">
        <v>398</v>
      </c>
      <c r="I316" s="6" t="s">
        <v>456</v>
      </c>
      <c r="J316" s="61" t="s">
        <v>22</v>
      </c>
      <c r="L316" s="5" t="str">
        <f t="shared" si="31"/>
        <v>00315</v>
      </c>
      <c r="M316" s="47" t="str">
        <f t="shared" si="32"/>
        <v>15 de junio de 2017</v>
      </c>
      <c r="N316" s="323">
        <f t="shared" si="36"/>
        <v>15</v>
      </c>
      <c r="O316" s="25">
        <f t="shared" si="33"/>
        <v>42887</v>
      </c>
      <c r="P316" s="5" t="str">
        <f>TEXT(E316,"#.##0,00")</f>
        <v>0,15</v>
      </c>
      <c r="Q316" s="4" t="str">
        <f t="shared" si="35"/>
        <v>Cero Bolívares con 15/100</v>
      </c>
    </row>
    <row r="317" spans="1:17" x14ac:dyDescent="0.25">
      <c r="A317" s="1">
        <f t="shared" si="37"/>
        <v>316</v>
      </c>
      <c r="C317" s="8" t="s">
        <v>17</v>
      </c>
      <c r="D317" s="2">
        <v>42901</v>
      </c>
      <c r="E317" s="3">
        <f>5000/100000</f>
        <v>0.05</v>
      </c>
      <c r="F317" t="s">
        <v>397</v>
      </c>
      <c r="G317" s="48" t="s">
        <v>29</v>
      </c>
      <c r="H317" t="s">
        <v>398</v>
      </c>
      <c r="I317" s="6" t="s">
        <v>457</v>
      </c>
      <c r="J317" s="61" t="s">
        <v>452</v>
      </c>
      <c r="L317" s="5" t="str">
        <f t="shared" si="31"/>
        <v>00316</v>
      </c>
      <c r="M317" s="47" t="str">
        <f t="shared" si="32"/>
        <v>15 de junio de 2017</v>
      </c>
      <c r="N317" s="323">
        <f t="shared" si="36"/>
        <v>15</v>
      </c>
      <c r="O317" s="25">
        <f t="shared" si="33"/>
        <v>42887</v>
      </c>
      <c r="P317" s="5" t="str">
        <f t="shared" ref="P317:P323" si="41">TEXT(E317,"#.##0,00")</f>
        <v>0,05</v>
      </c>
      <c r="Q317" s="4" t="str">
        <f t="shared" si="35"/>
        <v>Cero Bolívares con 05/100</v>
      </c>
    </row>
    <row r="318" spans="1:17" x14ac:dyDescent="0.25">
      <c r="A318" s="1">
        <f t="shared" si="37"/>
        <v>317</v>
      </c>
      <c r="C318" s="8" t="s">
        <v>17</v>
      </c>
      <c r="D318" s="2">
        <v>42901</v>
      </c>
      <c r="E318" s="3">
        <f>20000/100000</f>
        <v>0.2</v>
      </c>
      <c r="F318" t="s">
        <v>28</v>
      </c>
      <c r="G318" t="s">
        <v>29</v>
      </c>
      <c r="H318" t="s">
        <v>30</v>
      </c>
      <c r="I318" s="6" t="s">
        <v>446</v>
      </c>
      <c r="J318" s="61" t="s">
        <v>22</v>
      </c>
      <c r="L318" s="5" t="str">
        <f t="shared" si="31"/>
        <v>00317</v>
      </c>
      <c r="M318" s="47" t="str">
        <f t="shared" si="32"/>
        <v>15 de junio de 2017</v>
      </c>
      <c r="N318" s="323">
        <f t="shared" si="36"/>
        <v>15</v>
      </c>
      <c r="O318" s="25">
        <f t="shared" si="33"/>
        <v>42887</v>
      </c>
      <c r="P318" s="5" t="str">
        <f t="shared" si="41"/>
        <v>0,20</v>
      </c>
      <c r="Q318" s="4" t="str">
        <f t="shared" si="35"/>
        <v>Cero Bolívares con 20/100</v>
      </c>
    </row>
    <row r="319" spans="1:17" x14ac:dyDescent="0.25">
      <c r="A319" s="1">
        <f t="shared" si="37"/>
        <v>318</v>
      </c>
      <c r="C319" s="8" t="s">
        <v>17</v>
      </c>
      <c r="D319" s="2">
        <v>42901</v>
      </c>
      <c r="E319" s="3">
        <f>7000/100000</f>
        <v>7.0000000000000007E-2</v>
      </c>
      <c r="F319" t="s">
        <v>107</v>
      </c>
      <c r="G319" t="s">
        <v>108</v>
      </c>
      <c r="H319" t="s">
        <v>109</v>
      </c>
      <c r="I319" s="6" t="s">
        <v>451</v>
      </c>
      <c r="J319" s="61" t="s">
        <v>452</v>
      </c>
      <c r="L319" s="5" t="str">
        <f t="shared" si="31"/>
        <v>00318</v>
      </c>
      <c r="M319" s="47" t="str">
        <f t="shared" si="32"/>
        <v>15 de junio de 2017</v>
      </c>
      <c r="N319" s="323">
        <f t="shared" si="36"/>
        <v>15</v>
      </c>
      <c r="O319" s="25">
        <f t="shared" si="33"/>
        <v>42887</v>
      </c>
      <c r="P319" s="5" t="str">
        <f t="shared" si="41"/>
        <v>0,07</v>
      </c>
      <c r="Q319" s="4" t="str">
        <f t="shared" si="35"/>
        <v>Cero Bolívares con 07/100</v>
      </c>
    </row>
    <row r="320" spans="1:17" x14ac:dyDescent="0.25">
      <c r="A320" s="1">
        <f t="shared" si="37"/>
        <v>319</v>
      </c>
      <c r="C320" s="8" t="s">
        <v>17</v>
      </c>
      <c r="D320" s="2">
        <v>42901</v>
      </c>
      <c r="E320" s="3">
        <f>1500/100000</f>
        <v>1.4999999999999999E-2</v>
      </c>
      <c r="F320" t="s">
        <v>107</v>
      </c>
      <c r="G320" t="s">
        <v>108</v>
      </c>
      <c r="H320" t="s">
        <v>109</v>
      </c>
      <c r="I320" s="6" t="s">
        <v>458</v>
      </c>
      <c r="J320" s="61" t="s">
        <v>459</v>
      </c>
      <c r="L320" s="5" t="str">
        <f t="shared" si="31"/>
        <v>00319</v>
      </c>
      <c r="M320" s="47" t="str">
        <f t="shared" si="32"/>
        <v>15 de junio de 2017</v>
      </c>
      <c r="N320" s="323">
        <f t="shared" si="36"/>
        <v>15</v>
      </c>
      <c r="O320" s="25">
        <f t="shared" si="33"/>
        <v>42887</v>
      </c>
      <c r="P320" s="5" t="str">
        <f t="shared" si="41"/>
        <v>0,02</v>
      </c>
      <c r="Q320" s="4" t="str">
        <f t="shared" si="35"/>
        <v>Cero Bolívares con 02/100</v>
      </c>
    </row>
    <row r="321" spans="1:17" x14ac:dyDescent="0.25">
      <c r="A321" s="1">
        <f t="shared" si="37"/>
        <v>320</v>
      </c>
      <c r="C321" s="8" t="s">
        <v>17</v>
      </c>
      <c r="D321" s="2">
        <v>42901</v>
      </c>
      <c r="E321" s="3">
        <f>7000/100000</f>
        <v>7.0000000000000007E-2</v>
      </c>
      <c r="F321" t="s">
        <v>36</v>
      </c>
      <c r="G321" t="s">
        <v>37</v>
      </c>
      <c r="H321" t="s">
        <v>38</v>
      </c>
      <c r="I321" s="6" t="s">
        <v>451</v>
      </c>
      <c r="J321" s="61" t="s">
        <v>452</v>
      </c>
      <c r="L321" s="5" t="str">
        <f t="shared" si="31"/>
        <v>00320</v>
      </c>
      <c r="M321" s="47" t="str">
        <f t="shared" si="32"/>
        <v>15 de junio de 2017</v>
      </c>
      <c r="N321" s="323">
        <f t="shared" si="36"/>
        <v>15</v>
      </c>
      <c r="O321" s="25">
        <f t="shared" si="33"/>
        <v>42887</v>
      </c>
      <c r="P321" s="5" t="str">
        <f t="shared" si="41"/>
        <v>0,07</v>
      </c>
      <c r="Q321" s="4" t="str">
        <f t="shared" si="35"/>
        <v>Cero Bolívares con 07/100</v>
      </c>
    </row>
    <row r="322" spans="1:17" x14ac:dyDescent="0.25">
      <c r="A322" s="1">
        <f t="shared" si="37"/>
        <v>321</v>
      </c>
      <c r="C322" s="8" t="s">
        <v>17</v>
      </c>
      <c r="D322" s="2">
        <v>42902</v>
      </c>
      <c r="E322" s="3">
        <f>7000/100000</f>
        <v>7.0000000000000007E-2</v>
      </c>
      <c r="F322" t="s">
        <v>201</v>
      </c>
      <c r="G322" t="s">
        <v>202</v>
      </c>
      <c r="H322" t="s">
        <v>203</v>
      </c>
      <c r="I322" s="6" t="s">
        <v>451</v>
      </c>
      <c r="J322" s="61" t="s">
        <v>452</v>
      </c>
      <c r="L322" s="5" t="str">
        <f t="shared" ref="L322:L385" si="42">IF(ISBLANK(A322),"",TEXT(A322,"00000"))</f>
        <v>00321</v>
      </c>
      <c r="M322" s="47" t="str">
        <f t="shared" ref="M322:M385" si="43">IF(ISBLANK(D322),"",TEXT(D322,"dd")&amp;" de "&amp;TEXT(D322,"mmmm")&amp;" de "&amp;TEXT(YEAR(D322),"0"))</f>
        <v>16 de junio de 2017</v>
      </c>
      <c r="N322" s="323">
        <f t="shared" si="36"/>
        <v>16</v>
      </c>
      <c r="O322" s="25">
        <f t="shared" ref="O322:O385" si="44">DATE(YEAR(D322),MONTH(D322),1)</f>
        <v>42887</v>
      </c>
      <c r="P322" s="5" t="str">
        <f t="shared" si="41"/>
        <v>0,07</v>
      </c>
      <c r="Q322" s="4" t="str">
        <f t="shared" ref="Q322:Q366" si="45">CONVERTIRNUM(E322)</f>
        <v>Cero Bolívares con 07/100</v>
      </c>
    </row>
    <row r="323" spans="1:17" x14ac:dyDescent="0.25">
      <c r="A323" s="1">
        <f t="shared" si="37"/>
        <v>322</v>
      </c>
      <c r="C323" s="8" t="s">
        <v>17</v>
      </c>
      <c r="D323" s="2">
        <v>42902</v>
      </c>
      <c r="E323" s="3">
        <f>7000/100000</f>
        <v>7.0000000000000007E-2</v>
      </c>
      <c r="F323" t="s">
        <v>100</v>
      </c>
      <c r="G323" t="s">
        <v>95</v>
      </c>
      <c r="H323" t="s">
        <v>101</v>
      </c>
      <c r="I323" s="6" t="s">
        <v>451</v>
      </c>
      <c r="J323" s="61" t="s">
        <v>452</v>
      </c>
      <c r="L323" s="5" t="str">
        <f t="shared" si="42"/>
        <v>00322</v>
      </c>
      <c r="M323" s="47" t="str">
        <f t="shared" si="43"/>
        <v>16 de junio de 2017</v>
      </c>
      <c r="N323" s="323">
        <f t="shared" ref="N323:N386" si="46">DAY(D323)</f>
        <v>16</v>
      </c>
      <c r="O323" s="25">
        <f t="shared" si="44"/>
        <v>42887</v>
      </c>
      <c r="P323" s="5" t="str">
        <f t="shared" si="41"/>
        <v>0,07</v>
      </c>
      <c r="Q323" s="4" t="str">
        <f t="shared" si="45"/>
        <v>Cero Bolívares con 07/100</v>
      </c>
    </row>
    <row r="324" spans="1:17" x14ac:dyDescent="0.25">
      <c r="A324" s="1">
        <f t="shared" ref="A324:A387" si="47">A323+1</f>
        <v>323</v>
      </c>
      <c r="C324" s="8" t="s">
        <v>17</v>
      </c>
      <c r="D324" s="2">
        <v>42902</v>
      </c>
      <c r="E324" s="3">
        <f>27000/100000</f>
        <v>0.27</v>
      </c>
      <c r="F324" t="s">
        <v>201</v>
      </c>
      <c r="G324" t="s">
        <v>202</v>
      </c>
      <c r="H324" t="s">
        <v>203</v>
      </c>
      <c r="I324" s="6" t="s">
        <v>460</v>
      </c>
      <c r="J324" s="61" t="s">
        <v>22</v>
      </c>
      <c r="L324" s="5" t="str">
        <f t="shared" si="42"/>
        <v>00323</v>
      </c>
      <c r="M324" s="47" t="str">
        <f t="shared" si="43"/>
        <v>16 de junio de 2017</v>
      </c>
      <c r="N324" s="323">
        <f t="shared" si="46"/>
        <v>16</v>
      </c>
      <c r="O324" s="25">
        <f t="shared" si="44"/>
        <v>42887</v>
      </c>
      <c r="P324" s="5" t="str">
        <f t="shared" ref="P324:P329" si="48">TEXT(E324,"#.##0,00")</f>
        <v>0,27</v>
      </c>
      <c r="Q324" s="4" t="str">
        <f t="shared" si="45"/>
        <v>Cero Bolívares con 27/100</v>
      </c>
    </row>
    <row r="325" spans="1:17" x14ac:dyDescent="0.25">
      <c r="A325" s="1">
        <f t="shared" si="47"/>
        <v>324</v>
      </c>
      <c r="C325" s="8" t="s">
        <v>17</v>
      </c>
      <c r="D325" s="2">
        <v>42902</v>
      </c>
      <c r="E325" s="3">
        <f>26000/100000</f>
        <v>0.26</v>
      </c>
      <c r="F325" t="s">
        <v>353</v>
      </c>
      <c r="G325" t="s">
        <v>354</v>
      </c>
      <c r="H325" t="s">
        <v>355</v>
      </c>
      <c r="I325" s="6" t="s">
        <v>461</v>
      </c>
      <c r="J325" s="61" t="s">
        <v>22</v>
      </c>
      <c r="L325" s="5" t="str">
        <f t="shared" si="42"/>
        <v>00324</v>
      </c>
      <c r="M325" s="47" t="str">
        <f t="shared" si="43"/>
        <v>16 de junio de 2017</v>
      </c>
      <c r="N325" s="323">
        <f t="shared" si="46"/>
        <v>16</v>
      </c>
      <c r="O325" s="25">
        <f t="shared" si="44"/>
        <v>42887</v>
      </c>
      <c r="P325" s="5" t="str">
        <f t="shared" si="48"/>
        <v>0,26</v>
      </c>
      <c r="Q325" s="4" t="str">
        <f t="shared" si="45"/>
        <v>Cero Bolívares con 26/100</v>
      </c>
    </row>
    <row r="326" spans="1:17" x14ac:dyDescent="0.25">
      <c r="A326" s="1">
        <f t="shared" si="47"/>
        <v>325</v>
      </c>
      <c r="C326" s="8" t="s">
        <v>17</v>
      </c>
      <c r="D326" s="2">
        <v>42902</v>
      </c>
      <c r="E326" s="3">
        <f>7000/100000</f>
        <v>7.0000000000000007E-2</v>
      </c>
      <c r="F326" t="s">
        <v>48</v>
      </c>
      <c r="G326" t="s">
        <v>49</v>
      </c>
      <c r="H326" t="s">
        <v>50</v>
      </c>
      <c r="I326" s="6" t="s">
        <v>451</v>
      </c>
      <c r="J326" s="61" t="s">
        <v>452</v>
      </c>
      <c r="L326" s="5" t="str">
        <f t="shared" si="42"/>
        <v>00325</v>
      </c>
      <c r="M326" s="47" t="str">
        <f t="shared" si="43"/>
        <v>16 de junio de 2017</v>
      </c>
      <c r="N326" s="323">
        <f t="shared" si="46"/>
        <v>16</v>
      </c>
      <c r="O326" s="25">
        <f t="shared" si="44"/>
        <v>42887</v>
      </c>
      <c r="P326" s="5" t="str">
        <f t="shared" si="48"/>
        <v>0,07</v>
      </c>
      <c r="Q326" s="4" t="str">
        <f t="shared" si="45"/>
        <v>Cero Bolívares con 07/100</v>
      </c>
    </row>
    <row r="327" spans="1:17" x14ac:dyDescent="0.25">
      <c r="A327" s="1">
        <f t="shared" si="47"/>
        <v>326</v>
      </c>
      <c r="C327" s="8" t="s">
        <v>17</v>
      </c>
      <c r="D327" s="2">
        <v>42902</v>
      </c>
      <c r="E327" s="3">
        <f>26000/100000</f>
        <v>0.26</v>
      </c>
      <c r="F327" t="s">
        <v>36</v>
      </c>
      <c r="G327" t="s">
        <v>37</v>
      </c>
      <c r="H327" t="s">
        <v>38</v>
      </c>
      <c r="I327" s="6" t="s">
        <v>445</v>
      </c>
      <c r="J327" s="61" t="s">
        <v>22</v>
      </c>
      <c r="L327" s="5" t="str">
        <f t="shared" si="42"/>
        <v>00326</v>
      </c>
      <c r="M327" s="47" t="str">
        <f t="shared" si="43"/>
        <v>16 de junio de 2017</v>
      </c>
      <c r="N327" s="323">
        <f t="shared" si="46"/>
        <v>16</v>
      </c>
      <c r="O327" s="25">
        <f t="shared" si="44"/>
        <v>42887</v>
      </c>
      <c r="P327" s="5" t="str">
        <f t="shared" si="48"/>
        <v>0,26</v>
      </c>
      <c r="Q327" s="4" t="str">
        <f t="shared" si="45"/>
        <v>Cero Bolívares con 26/100</v>
      </c>
    </row>
    <row r="328" spans="1:17" x14ac:dyDescent="0.25">
      <c r="A328" s="1">
        <f t="shared" si="47"/>
        <v>327</v>
      </c>
      <c r="C328" s="8" t="s">
        <v>17</v>
      </c>
      <c r="D328" s="2">
        <v>42903</v>
      </c>
      <c r="E328" s="3">
        <f>26000/100000</f>
        <v>0.26</v>
      </c>
      <c r="F328" t="s">
        <v>197</v>
      </c>
      <c r="G328" t="s">
        <v>198</v>
      </c>
      <c r="H328" t="s">
        <v>199</v>
      </c>
      <c r="I328" s="6" t="s">
        <v>420</v>
      </c>
      <c r="J328" s="61" t="s">
        <v>22</v>
      </c>
      <c r="L328" s="5" t="str">
        <f t="shared" si="42"/>
        <v>00327</v>
      </c>
      <c r="M328" s="47" t="str">
        <f t="shared" si="43"/>
        <v>17 de junio de 2017</v>
      </c>
      <c r="N328" s="323">
        <f t="shared" si="46"/>
        <v>17</v>
      </c>
      <c r="O328" s="25">
        <f t="shared" si="44"/>
        <v>42887</v>
      </c>
      <c r="P328" s="5" t="str">
        <f t="shared" si="48"/>
        <v>0,26</v>
      </c>
      <c r="Q328" s="4" t="str">
        <f t="shared" si="45"/>
        <v>Cero Bolívares con 26/100</v>
      </c>
    </row>
    <row r="329" spans="1:17" x14ac:dyDescent="0.25">
      <c r="A329" s="1">
        <f t="shared" si="47"/>
        <v>328</v>
      </c>
      <c r="C329" s="8" t="s">
        <v>17</v>
      </c>
      <c r="D329" s="2">
        <v>42905</v>
      </c>
      <c r="E329" s="3">
        <f>56000/100000</f>
        <v>0.56000000000000005</v>
      </c>
      <c r="F329" t="s">
        <v>185</v>
      </c>
      <c r="G329" t="s">
        <v>186</v>
      </c>
      <c r="H329" t="s">
        <v>187</v>
      </c>
      <c r="I329" s="6" t="s">
        <v>462</v>
      </c>
      <c r="J329" s="61" t="s">
        <v>22</v>
      </c>
      <c r="L329" s="5" t="str">
        <f t="shared" si="42"/>
        <v>00328</v>
      </c>
      <c r="M329" s="47" t="str">
        <f t="shared" si="43"/>
        <v>19 de junio de 2017</v>
      </c>
      <c r="N329" s="323">
        <f t="shared" si="46"/>
        <v>19</v>
      </c>
      <c r="O329" s="25">
        <f t="shared" si="44"/>
        <v>42887</v>
      </c>
      <c r="P329" s="5" t="str">
        <f t="shared" si="48"/>
        <v>0,56</v>
      </c>
      <c r="Q329" s="4" t="str">
        <f t="shared" si="45"/>
        <v>Cero Bolívares con 56/100</v>
      </c>
    </row>
    <row r="330" spans="1:17" x14ac:dyDescent="0.25">
      <c r="A330" s="1">
        <f t="shared" si="47"/>
        <v>329</v>
      </c>
      <c r="C330" s="8" t="s">
        <v>17</v>
      </c>
      <c r="D330" s="2">
        <v>42905</v>
      </c>
      <c r="E330" s="3">
        <f>7000/100000</f>
        <v>7.0000000000000007E-2</v>
      </c>
      <c r="F330" t="s">
        <v>90</v>
      </c>
      <c r="G330" t="s">
        <v>91</v>
      </c>
      <c r="H330" t="s">
        <v>92</v>
      </c>
      <c r="I330" s="6" t="s">
        <v>451</v>
      </c>
      <c r="J330" s="61" t="s">
        <v>452</v>
      </c>
      <c r="L330" s="5" t="str">
        <f t="shared" si="42"/>
        <v>00329</v>
      </c>
      <c r="M330" s="47" t="str">
        <f t="shared" si="43"/>
        <v>19 de junio de 2017</v>
      </c>
      <c r="N330" s="323">
        <f t="shared" si="46"/>
        <v>19</v>
      </c>
      <c r="O330" s="25">
        <f t="shared" si="44"/>
        <v>42887</v>
      </c>
      <c r="P330" s="5" t="str">
        <f>TEXT(E330,"#.##0,00")</f>
        <v>0,07</v>
      </c>
      <c r="Q330" s="4" t="str">
        <f t="shared" si="45"/>
        <v>Cero Bolívares con 07/100</v>
      </c>
    </row>
    <row r="331" spans="1:17" x14ac:dyDescent="0.25">
      <c r="A331" s="1">
        <f t="shared" si="47"/>
        <v>330</v>
      </c>
      <c r="C331" s="8" t="s">
        <v>17</v>
      </c>
      <c r="D331" s="2">
        <v>42906</v>
      </c>
      <c r="E331" s="3">
        <f>7000/100000</f>
        <v>7.0000000000000007E-2</v>
      </c>
      <c r="F331" t="s">
        <v>296</v>
      </c>
      <c r="G331" t="s">
        <v>297</v>
      </c>
      <c r="H331" t="s">
        <v>298</v>
      </c>
      <c r="I331" s="6" t="s">
        <v>451</v>
      </c>
      <c r="J331" s="61" t="s">
        <v>452</v>
      </c>
      <c r="L331" s="5" t="str">
        <f t="shared" si="42"/>
        <v>00330</v>
      </c>
      <c r="M331" s="47" t="str">
        <f t="shared" si="43"/>
        <v>20 de junio de 2017</v>
      </c>
      <c r="N331" s="323">
        <f t="shared" si="46"/>
        <v>20</v>
      </c>
      <c r="O331" s="25">
        <f t="shared" si="44"/>
        <v>42887</v>
      </c>
      <c r="P331" s="5" t="str">
        <f>TEXT(E331,"#.##0,00")</f>
        <v>0,07</v>
      </c>
      <c r="Q331" s="4" t="str">
        <f t="shared" si="45"/>
        <v>Cero Bolívares con 07/100</v>
      </c>
    </row>
    <row r="332" spans="1:17" ht="15.75" customHeight="1" x14ac:dyDescent="0.25">
      <c r="A332" s="1">
        <f t="shared" si="47"/>
        <v>331</v>
      </c>
      <c r="C332" s="8" t="s">
        <v>17</v>
      </c>
      <c r="D332" s="2">
        <v>42906</v>
      </c>
      <c r="E332" s="3">
        <f>7000/100000</f>
        <v>7.0000000000000007E-2</v>
      </c>
      <c r="F332" t="s">
        <v>181</v>
      </c>
      <c r="G332" t="s">
        <v>182</v>
      </c>
      <c r="H332" t="s">
        <v>183</v>
      </c>
      <c r="I332" s="6" t="s">
        <v>451</v>
      </c>
      <c r="J332" s="61" t="s">
        <v>452</v>
      </c>
      <c r="L332" s="5" t="str">
        <f t="shared" si="42"/>
        <v>00331</v>
      </c>
      <c r="M332" s="47" t="str">
        <f t="shared" si="43"/>
        <v>20 de junio de 2017</v>
      </c>
      <c r="N332" s="323">
        <f t="shared" si="46"/>
        <v>20</v>
      </c>
      <c r="O332" s="25">
        <f t="shared" si="44"/>
        <v>42887</v>
      </c>
      <c r="P332" s="5" t="str">
        <f>TEXT(E332,"#.##0,00")</f>
        <v>0,07</v>
      </c>
      <c r="Q332" s="4" t="str">
        <f t="shared" si="45"/>
        <v>Cero Bolívares con 07/100</v>
      </c>
    </row>
    <row r="333" spans="1:17" x14ac:dyDescent="0.25">
      <c r="A333" s="1">
        <f t="shared" si="47"/>
        <v>332</v>
      </c>
      <c r="C333" s="8" t="s">
        <v>17</v>
      </c>
      <c r="D333" s="2">
        <v>42907</v>
      </c>
      <c r="E333" s="3">
        <f>13000/100000</f>
        <v>0.13</v>
      </c>
      <c r="F333" t="s">
        <v>185</v>
      </c>
      <c r="G333" t="s">
        <v>186</v>
      </c>
      <c r="H333" t="s">
        <v>187</v>
      </c>
      <c r="I333" s="6" t="s">
        <v>463</v>
      </c>
      <c r="J333" s="61" t="s">
        <v>22</v>
      </c>
      <c r="L333" s="5" t="str">
        <f t="shared" si="42"/>
        <v>00332</v>
      </c>
      <c r="M333" s="47" t="str">
        <f t="shared" si="43"/>
        <v>21 de junio de 2017</v>
      </c>
      <c r="N333" s="323">
        <f t="shared" si="46"/>
        <v>21</v>
      </c>
      <c r="O333" s="25">
        <f t="shared" si="44"/>
        <v>42887</v>
      </c>
      <c r="P333" s="5" t="str">
        <f>TEXT(E333,"#.##0,00")</f>
        <v>0,13</v>
      </c>
      <c r="Q333" s="4" t="str">
        <f t="shared" si="45"/>
        <v>Cero Bolívares con 13/100</v>
      </c>
    </row>
    <row r="334" spans="1:17" x14ac:dyDescent="0.25">
      <c r="A334" s="1">
        <f t="shared" si="47"/>
        <v>333</v>
      </c>
      <c r="C334" s="8" t="s">
        <v>17</v>
      </c>
      <c r="D334" s="2">
        <v>42907</v>
      </c>
      <c r="E334" s="3">
        <f>7000/100000</f>
        <v>7.0000000000000007E-2</v>
      </c>
      <c r="F334" t="s">
        <v>185</v>
      </c>
      <c r="G334" t="s">
        <v>186</v>
      </c>
      <c r="H334" t="s">
        <v>187</v>
      </c>
      <c r="I334" s="6" t="s">
        <v>451</v>
      </c>
      <c r="J334" s="61" t="s">
        <v>452</v>
      </c>
      <c r="L334" s="5" t="str">
        <f t="shared" si="42"/>
        <v>00333</v>
      </c>
      <c r="M334" s="47" t="str">
        <f t="shared" si="43"/>
        <v>21 de junio de 2017</v>
      </c>
      <c r="N334" s="323">
        <f t="shared" si="46"/>
        <v>21</v>
      </c>
      <c r="O334" s="25">
        <f t="shared" si="44"/>
        <v>42887</v>
      </c>
      <c r="P334" s="5" t="str">
        <f>TEXT(E334,"#.##0,00")</f>
        <v>0,07</v>
      </c>
      <c r="Q334" s="4" t="str">
        <f t="shared" si="45"/>
        <v>Cero Bolívares con 07/100</v>
      </c>
    </row>
    <row r="335" spans="1:17" x14ac:dyDescent="0.25">
      <c r="A335" s="1">
        <f t="shared" si="47"/>
        <v>334</v>
      </c>
      <c r="C335" s="8" t="s">
        <v>17</v>
      </c>
      <c r="D335" s="2">
        <v>42907</v>
      </c>
      <c r="E335" s="3">
        <f>7500/100000</f>
        <v>7.4999999999999997E-2</v>
      </c>
      <c r="F335" t="s">
        <v>464</v>
      </c>
      <c r="G335" t="s">
        <v>465</v>
      </c>
      <c r="H335" t="s">
        <v>466</v>
      </c>
      <c r="I335" s="6" t="s">
        <v>451</v>
      </c>
      <c r="J335" s="61" t="s">
        <v>452</v>
      </c>
      <c r="L335" s="5" t="str">
        <f t="shared" si="42"/>
        <v>00334</v>
      </c>
      <c r="M335" s="47" t="str">
        <f t="shared" si="43"/>
        <v>21 de junio de 2017</v>
      </c>
      <c r="N335" s="323">
        <f t="shared" si="46"/>
        <v>21</v>
      </c>
      <c r="O335" s="25">
        <f t="shared" si="44"/>
        <v>42887</v>
      </c>
      <c r="P335" s="5" t="str">
        <f t="shared" ref="P335:P350" si="49">TEXT(E335,"#.##0,00")</f>
        <v>0,08</v>
      </c>
      <c r="Q335" s="4" t="str">
        <f t="shared" si="45"/>
        <v>Cero Bolívares con 08/100</v>
      </c>
    </row>
    <row r="336" spans="1:17" x14ac:dyDescent="0.25">
      <c r="A336" s="1">
        <f t="shared" si="47"/>
        <v>335</v>
      </c>
      <c r="C336" s="8" t="s">
        <v>17</v>
      </c>
      <c r="D336" s="2">
        <v>42907</v>
      </c>
      <c r="E336" s="3">
        <f>7000/100000</f>
        <v>7.0000000000000007E-2</v>
      </c>
      <c r="F336" t="s">
        <v>319</v>
      </c>
      <c r="G336" s="18" t="s">
        <v>58</v>
      </c>
      <c r="H336" t="s">
        <v>320</v>
      </c>
      <c r="I336" s="6" t="s">
        <v>451</v>
      </c>
      <c r="J336" s="61" t="s">
        <v>452</v>
      </c>
      <c r="L336" s="5" t="str">
        <f t="shared" si="42"/>
        <v>00335</v>
      </c>
      <c r="M336" s="47" t="str">
        <f t="shared" si="43"/>
        <v>21 de junio de 2017</v>
      </c>
      <c r="N336" s="323">
        <f t="shared" si="46"/>
        <v>21</v>
      </c>
      <c r="O336" s="25">
        <f t="shared" si="44"/>
        <v>42887</v>
      </c>
      <c r="P336" s="5" t="str">
        <f t="shared" si="49"/>
        <v>0,07</v>
      </c>
      <c r="Q336" s="4" t="str">
        <f t="shared" si="45"/>
        <v>Cero Bolívares con 07/100</v>
      </c>
    </row>
    <row r="337" spans="1:17" x14ac:dyDescent="0.25">
      <c r="A337" s="1">
        <f t="shared" si="47"/>
        <v>336</v>
      </c>
      <c r="C337" s="8" t="s">
        <v>17</v>
      </c>
      <c r="D337" s="2">
        <v>42907</v>
      </c>
      <c r="E337" s="3">
        <f>30000/100000</f>
        <v>0.3</v>
      </c>
      <c r="F337" s="20" t="s">
        <v>57</v>
      </c>
      <c r="G337" s="18" t="s">
        <v>58</v>
      </c>
      <c r="H337" s="21" t="s">
        <v>59</v>
      </c>
      <c r="I337" s="6" t="s">
        <v>445</v>
      </c>
      <c r="J337" s="61" t="s">
        <v>22</v>
      </c>
      <c r="K337" s="22"/>
      <c r="L337" s="5" t="str">
        <f t="shared" si="42"/>
        <v>00336</v>
      </c>
      <c r="M337" s="47" t="str">
        <f t="shared" si="43"/>
        <v>21 de junio de 2017</v>
      </c>
      <c r="N337" s="323">
        <f t="shared" si="46"/>
        <v>21</v>
      </c>
      <c r="O337" s="25">
        <f t="shared" si="44"/>
        <v>42887</v>
      </c>
      <c r="P337" s="5" t="str">
        <f t="shared" si="49"/>
        <v>0,30</v>
      </c>
      <c r="Q337" s="4" t="str">
        <f t="shared" si="45"/>
        <v>Cero Bolívares con 30/100</v>
      </c>
    </row>
    <row r="338" spans="1:17" x14ac:dyDescent="0.25">
      <c r="A338" s="1">
        <f t="shared" si="47"/>
        <v>337</v>
      </c>
      <c r="C338" s="8" t="s">
        <v>17</v>
      </c>
      <c r="D338" s="2">
        <v>42907</v>
      </c>
      <c r="E338" s="3">
        <f>7000/100000</f>
        <v>7.0000000000000007E-2</v>
      </c>
      <c r="F338" s="20" t="s">
        <v>57</v>
      </c>
      <c r="G338" s="18" t="s">
        <v>58</v>
      </c>
      <c r="H338" s="21" t="s">
        <v>59</v>
      </c>
      <c r="I338" s="6" t="s">
        <v>451</v>
      </c>
      <c r="J338" s="61" t="s">
        <v>452</v>
      </c>
      <c r="K338" s="22"/>
      <c r="L338" s="5" t="str">
        <f t="shared" si="42"/>
        <v>00337</v>
      </c>
      <c r="M338" s="47" t="str">
        <f t="shared" si="43"/>
        <v>21 de junio de 2017</v>
      </c>
      <c r="N338" s="323">
        <f t="shared" si="46"/>
        <v>21</v>
      </c>
      <c r="O338" s="25">
        <f t="shared" si="44"/>
        <v>42887</v>
      </c>
      <c r="P338" s="5" t="str">
        <f t="shared" si="49"/>
        <v>0,07</v>
      </c>
      <c r="Q338" s="4" t="str">
        <f t="shared" si="45"/>
        <v>Cero Bolívares con 07/100</v>
      </c>
    </row>
    <row r="339" spans="1:17" x14ac:dyDescent="0.25">
      <c r="A339" s="1">
        <f t="shared" si="47"/>
        <v>338</v>
      </c>
      <c r="C339" s="8" t="s">
        <v>17</v>
      </c>
      <c r="D339" s="2">
        <v>42907</v>
      </c>
      <c r="E339" s="3">
        <f>5000/100000</f>
        <v>0.05</v>
      </c>
      <c r="F339" t="s">
        <v>177</v>
      </c>
      <c r="G339" s="48" t="s">
        <v>178</v>
      </c>
      <c r="H339" t="s">
        <v>179</v>
      </c>
      <c r="I339" s="6" t="s">
        <v>467</v>
      </c>
      <c r="J339" s="61" t="s">
        <v>452</v>
      </c>
      <c r="L339" s="5" t="str">
        <f t="shared" si="42"/>
        <v>00338</v>
      </c>
      <c r="M339" s="47" t="str">
        <f t="shared" si="43"/>
        <v>21 de junio de 2017</v>
      </c>
      <c r="N339" s="323">
        <f t="shared" si="46"/>
        <v>21</v>
      </c>
      <c r="O339" s="25">
        <f t="shared" si="44"/>
        <v>42887</v>
      </c>
      <c r="P339" s="5" t="str">
        <f t="shared" si="49"/>
        <v>0,05</v>
      </c>
      <c r="Q339" s="4" t="str">
        <f t="shared" si="45"/>
        <v>Cero Bolívares con 05/100</v>
      </c>
    </row>
    <row r="340" spans="1:17" x14ac:dyDescent="0.25">
      <c r="A340" s="1">
        <f t="shared" si="47"/>
        <v>339</v>
      </c>
      <c r="C340" s="8" t="s">
        <v>17</v>
      </c>
      <c r="D340" s="2">
        <v>42907</v>
      </c>
      <c r="E340" s="3">
        <f>9000/100000</f>
        <v>0.09</v>
      </c>
      <c r="F340" t="s">
        <v>219</v>
      </c>
      <c r="G340" t="s">
        <v>220</v>
      </c>
      <c r="H340" t="s">
        <v>221</v>
      </c>
      <c r="I340" s="6" t="s">
        <v>463</v>
      </c>
      <c r="J340" s="61" t="s">
        <v>22</v>
      </c>
      <c r="L340" s="5" t="str">
        <f t="shared" si="42"/>
        <v>00339</v>
      </c>
      <c r="M340" s="47" t="str">
        <f t="shared" si="43"/>
        <v>21 de junio de 2017</v>
      </c>
      <c r="N340" s="323">
        <f t="shared" si="46"/>
        <v>21</v>
      </c>
      <c r="O340" s="25">
        <f t="shared" si="44"/>
        <v>42887</v>
      </c>
      <c r="P340" s="5" t="str">
        <f t="shared" si="49"/>
        <v>0,09</v>
      </c>
      <c r="Q340" s="4" t="str">
        <f t="shared" si="45"/>
        <v>Cero Bolívares con 09/100</v>
      </c>
    </row>
    <row r="341" spans="1:17" x14ac:dyDescent="0.25">
      <c r="A341" s="1">
        <f t="shared" si="47"/>
        <v>340</v>
      </c>
      <c r="C341" s="8" t="s">
        <v>17</v>
      </c>
      <c r="D341" s="2">
        <v>42907</v>
      </c>
      <c r="E341" s="3">
        <f>7000/100000</f>
        <v>7.0000000000000007E-2</v>
      </c>
      <c r="F341" t="s">
        <v>219</v>
      </c>
      <c r="G341" t="s">
        <v>220</v>
      </c>
      <c r="H341" t="s">
        <v>221</v>
      </c>
      <c r="I341" s="6" t="s">
        <v>451</v>
      </c>
      <c r="J341" s="61" t="s">
        <v>452</v>
      </c>
      <c r="L341" s="5" t="str">
        <f t="shared" si="42"/>
        <v>00340</v>
      </c>
      <c r="M341" s="47" t="str">
        <f t="shared" si="43"/>
        <v>21 de junio de 2017</v>
      </c>
      <c r="N341" s="323">
        <f t="shared" si="46"/>
        <v>21</v>
      </c>
      <c r="O341" s="25">
        <f t="shared" si="44"/>
        <v>42887</v>
      </c>
      <c r="P341" s="5" t="str">
        <f t="shared" si="49"/>
        <v>0,07</v>
      </c>
      <c r="Q341" s="4" t="str">
        <f t="shared" si="45"/>
        <v>Cero Bolívares con 07/100</v>
      </c>
    </row>
    <row r="342" spans="1:17" x14ac:dyDescent="0.25">
      <c r="A342" s="1">
        <f t="shared" si="47"/>
        <v>341</v>
      </c>
      <c r="C342" s="8" t="s">
        <v>17</v>
      </c>
      <c r="D342" s="2">
        <v>42907</v>
      </c>
      <c r="E342" s="3">
        <f>7000/100000</f>
        <v>7.0000000000000007E-2</v>
      </c>
      <c r="F342" t="s">
        <v>162</v>
      </c>
      <c r="G342" t="s">
        <v>163</v>
      </c>
      <c r="H342" t="s">
        <v>164</v>
      </c>
      <c r="I342" s="6" t="s">
        <v>451</v>
      </c>
      <c r="J342" s="61" t="s">
        <v>452</v>
      </c>
      <c r="L342" s="5" t="str">
        <f t="shared" si="42"/>
        <v>00341</v>
      </c>
      <c r="M342" s="47" t="str">
        <f t="shared" si="43"/>
        <v>21 de junio de 2017</v>
      </c>
      <c r="N342" s="323">
        <f t="shared" si="46"/>
        <v>21</v>
      </c>
      <c r="O342" s="25">
        <f t="shared" si="44"/>
        <v>42887</v>
      </c>
      <c r="P342" s="5" t="str">
        <f t="shared" si="49"/>
        <v>0,07</v>
      </c>
      <c r="Q342" s="4" t="str">
        <f t="shared" si="45"/>
        <v>Cero Bolívares con 07/100</v>
      </c>
    </row>
    <row r="343" spans="1:17" x14ac:dyDescent="0.25">
      <c r="A343" s="1">
        <f t="shared" si="47"/>
        <v>342</v>
      </c>
      <c r="C343" s="8" t="s">
        <v>17</v>
      </c>
      <c r="D343" s="2">
        <v>42907</v>
      </c>
      <c r="E343" s="3">
        <f>7000/100000</f>
        <v>7.0000000000000007E-2</v>
      </c>
      <c r="F343" t="s">
        <v>66</v>
      </c>
      <c r="G343" t="s">
        <v>67</v>
      </c>
      <c r="H343" t="s">
        <v>68</v>
      </c>
      <c r="I343" s="6" t="s">
        <v>451</v>
      </c>
      <c r="J343" s="61" t="s">
        <v>452</v>
      </c>
      <c r="L343" s="5" t="str">
        <f t="shared" si="42"/>
        <v>00342</v>
      </c>
      <c r="M343" s="47" t="str">
        <f t="shared" si="43"/>
        <v>21 de junio de 2017</v>
      </c>
      <c r="N343" s="323">
        <f t="shared" si="46"/>
        <v>21</v>
      </c>
      <c r="O343" s="25">
        <f t="shared" si="44"/>
        <v>42887</v>
      </c>
      <c r="P343" s="5" t="str">
        <f t="shared" si="49"/>
        <v>0,07</v>
      </c>
      <c r="Q343" s="4" t="str">
        <f t="shared" si="45"/>
        <v>Cero Bolívares con 07/100</v>
      </c>
    </row>
    <row r="344" spans="1:17" x14ac:dyDescent="0.25">
      <c r="A344" s="1">
        <f t="shared" si="47"/>
        <v>343</v>
      </c>
      <c r="C344" s="8" t="s">
        <v>17</v>
      </c>
      <c r="D344" s="2">
        <v>42907</v>
      </c>
      <c r="E344" s="3">
        <f>26000/100000</f>
        <v>0.26</v>
      </c>
      <c r="F344" t="s">
        <v>152</v>
      </c>
      <c r="G344" t="s">
        <v>153</v>
      </c>
      <c r="H344" t="s">
        <v>154</v>
      </c>
      <c r="I344" s="6" t="s">
        <v>445</v>
      </c>
      <c r="J344" s="61" t="s">
        <v>22</v>
      </c>
      <c r="L344" s="5" t="str">
        <f t="shared" si="42"/>
        <v>00343</v>
      </c>
      <c r="M344" s="47" t="str">
        <f t="shared" si="43"/>
        <v>21 de junio de 2017</v>
      </c>
      <c r="N344" s="323">
        <f t="shared" si="46"/>
        <v>21</v>
      </c>
      <c r="O344" s="25">
        <f t="shared" si="44"/>
        <v>42887</v>
      </c>
      <c r="P344" s="5" t="str">
        <f t="shared" si="49"/>
        <v>0,26</v>
      </c>
      <c r="Q344" s="4" t="str">
        <f t="shared" si="45"/>
        <v>Cero Bolívares con 26/100</v>
      </c>
    </row>
    <row r="345" spans="1:17" x14ac:dyDescent="0.25">
      <c r="A345" s="1">
        <f t="shared" si="47"/>
        <v>344</v>
      </c>
      <c r="C345" s="8" t="s">
        <v>17</v>
      </c>
      <c r="D345" s="2">
        <v>42907</v>
      </c>
      <c r="E345" s="3">
        <f>7000/100000</f>
        <v>7.0000000000000007E-2</v>
      </c>
      <c r="F345" t="s">
        <v>152</v>
      </c>
      <c r="G345" t="s">
        <v>153</v>
      </c>
      <c r="H345" t="s">
        <v>154</v>
      </c>
      <c r="I345" s="6" t="s">
        <v>451</v>
      </c>
      <c r="J345" s="61" t="s">
        <v>452</v>
      </c>
      <c r="L345" s="5" t="str">
        <f t="shared" si="42"/>
        <v>00344</v>
      </c>
      <c r="M345" s="47" t="str">
        <f t="shared" si="43"/>
        <v>21 de junio de 2017</v>
      </c>
      <c r="N345" s="323">
        <f t="shared" si="46"/>
        <v>21</v>
      </c>
      <c r="O345" s="25">
        <f t="shared" si="44"/>
        <v>42887</v>
      </c>
      <c r="P345" s="5" t="str">
        <f t="shared" si="49"/>
        <v>0,07</v>
      </c>
      <c r="Q345" s="4" t="str">
        <f t="shared" si="45"/>
        <v>Cero Bolívares con 07/100</v>
      </c>
    </row>
    <row r="346" spans="1:17" x14ac:dyDescent="0.25">
      <c r="A346" s="1">
        <f t="shared" si="47"/>
        <v>345</v>
      </c>
      <c r="C346" s="8" t="s">
        <v>17</v>
      </c>
      <c r="D346" s="2">
        <v>42908</v>
      </c>
      <c r="E346" s="3">
        <f>7000/100000</f>
        <v>7.0000000000000007E-2</v>
      </c>
      <c r="F346" t="s">
        <v>103</v>
      </c>
      <c r="G346" t="s">
        <v>104</v>
      </c>
      <c r="H346" t="s">
        <v>105</v>
      </c>
      <c r="I346" s="6" t="s">
        <v>451</v>
      </c>
      <c r="J346" s="61" t="s">
        <v>452</v>
      </c>
      <c r="L346" s="5" t="str">
        <f t="shared" si="42"/>
        <v>00345</v>
      </c>
      <c r="M346" s="47" t="str">
        <f t="shared" si="43"/>
        <v>22 de junio de 2017</v>
      </c>
      <c r="N346" s="323">
        <f t="shared" si="46"/>
        <v>22</v>
      </c>
      <c r="O346" s="25">
        <f t="shared" si="44"/>
        <v>42887</v>
      </c>
      <c r="P346" s="5" t="str">
        <f t="shared" si="49"/>
        <v>0,07</v>
      </c>
      <c r="Q346" s="4" t="str">
        <f t="shared" si="45"/>
        <v>Cero Bolívares con 07/100</v>
      </c>
    </row>
    <row r="347" spans="1:17" x14ac:dyDescent="0.25">
      <c r="A347" s="1">
        <f t="shared" si="47"/>
        <v>346</v>
      </c>
      <c r="C347" s="8" t="s">
        <v>17</v>
      </c>
      <c r="D347" s="2">
        <v>42908</v>
      </c>
      <c r="E347" s="3">
        <f>3000/100000</f>
        <v>0.03</v>
      </c>
      <c r="F347" t="s">
        <v>324</v>
      </c>
      <c r="G347" t="s">
        <v>325</v>
      </c>
      <c r="H347" t="s">
        <v>326</v>
      </c>
      <c r="I347" s="6" t="s">
        <v>457</v>
      </c>
      <c r="J347" s="61" t="s">
        <v>452</v>
      </c>
      <c r="L347" s="5" t="str">
        <f t="shared" si="42"/>
        <v>00346</v>
      </c>
      <c r="M347" s="47" t="str">
        <f t="shared" si="43"/>
        <v>22 de junio de 2017</v>
      </c>
      <c r="N347" s="323">
        <f t="shared" si="46"/>
        <v>22</v>
      </c>
      <c r="O347" s="25">
        <f t="shared" si="44"/>
        <v>42887</v>
      </c>
      <c r="P347" s="5" t="str">
        <f t="shared" si="49"/>
        <v>0,03</v>
      </c>
      <c r="Q347" s="4" t="str">
        <f t="shared" si="45"/>
        <v>Cero Bolívares con 03/100</v>
      </c>
    </row>
    <row r="348" spans="1:17" x14ac:dyDescent="0.25">
      <c r="A348" s="1">
        <f t="shared" si="47"/>
        <v>347</v>
      </c>
      <c r="C348" s="8" t="s">
        <v>17</v>
      </c>
      <c r="D348" s="2">
        <v>42908</v>
      </c>
      <c r="E348" s="3">
        <f>7000/100000</f>
        <v>7.0000000000000007E-2</v>
      </c>
      <c r="F348" t="s">
        <v>259</v>
      </c>
      <c r="G348" s="18" t="s">
        <v>58</v>
      </c>
      <c r="H348" t="s">
        <v>261</v>
      </c>
      <c r="I348" s="6" t="s">
        <v>451</v>
      </c>
      <c r="J348" s="61" t="s">
        <v>452</v>
      </c>
      <c r="L348" s="5" t="str">
        <f t="shared" si="42"/>
        <v>00347</v>
      </c>
      <c r="M348" s="47" t="str">
        <f t="shared" si="43"/>
        <v>22 de junio de 2017</v>
      </c>
      <c r="N348" s="323">
        <f t="shared" si="46"/>
        <v>22</v>
      </c>
      <c r="O348" s="25">
        <f t="shared" si="44"/>
        <v>42887</v>
      </c>
      <c r="P348" s="5" t="str">
        <f t="shared" si="49"/>
        <v>0,07</v>
      </c>
      <c r="Q348" s="4" t="str">
        <f t="shared" si="45"/>
        <v>Cero Bolívares con 07/100</v>
      </c>
    </row>
    <row r="349" spans="1:17" x14ac:dyDescent="0.25">
      <c r="A349" s="1">
        <f t="shared" si="47"/>
        <v>348</v>
      </c>
      <c r="C349" s="8" t="s">
        <v>17</v>
      </c>
      <c r="D349" s="2">
        <v>42908</v>
      </c>
      <c r="E349" s="3">
        <f>4320/100000</f>
        <v>4.3200000000000002E-2</v>
      </c>
      <c r="F349" t="s">
        <v>28</v>
      </c>
      <c r="G349" t="s">
        <v>29</v>
      </c>
      <c r="H349" t="s">
        <v>30</v>
      </c>
      <c r="I349" s="6" t="s">
        <v>457</v>
      </c>
      <c r="J349" s="61" t="s">
        <v>452</v>
      </c>
      <c r="L349" s="5" t="str">
        <f t="shared" si="42"/>
        <v>00348</v>
      </c>
      <c r="M349" s="47" t="str">
        <f t="shared" si="43"/>
        <v>22 de junio de 2017</v>
      </c>
      <c r="N349" s="323">
        <f t="shared" si="46"/>
        <v>22</v>
      </c>
      <c r="O349" s="25">
        <f t="shared" si="44"/>
        <v>42887</v>
      </c>
      <c r="P349" s="5" t="str">
        <f t="shared" si="49"/>
        <v>0,04</v>
      </c>
      <c r="Q349" s="4" t="str">
        <f t="shared" si="45"/>
        <v>Cero Bolívares con 04/100</v>
      </c>
    </row>
    <row r="350" spans="1:17" x14ac:dyDescent="0.25">
      <c r="A350" s="1">
        <f t="shared" si="47"/>
        <v>349</v>
      </c>
      <c r="C350" s="8" t="s">
        <v>17</v>
      </c>
      <c r="D350" s="2">
        <v>42908</v>
      </c>
      <c r="E350" s="3">
        <f>26000/100000</f>
        <v>0.26</v>
      </c>
      <c r="F350" t="s">
        <v>211</v>
      </c>
      <c r="G350" t="s">
        <v>212</v>
      </c>
      <c r="H350" t="s">
        <v>213</v>
      </c>
      <c r="I350" s="6" t="s">
        <v>445</v>
      </c>
      <c r="J350" s="61" t="s">
        <v>22</v>
      </c>
      <c r="L350" s="5" t="str">
        <f t="shared" si="42"/>
        <v>00349</v>
      </c>
      <c r="M350" s="47" t="str">
        <f t="shared" si="43"/>
        <v>22 de junio de 2017</v>
      </c>
      <c r="N350" s="323">
        <f t="shared" si="46"/>
        <v>22</v>
      </c>
      <c r="O350" s="25">
        <f t="shared" si="44"/>
        <v>42887</v>
      </c>
      <c r="P350" s="5" t="str">
        <f t="shared" si="49"/>
        <v>0,26</v>
      </c>
      <c r="Q350" s="4" t="str">
        <f t="shared" si="45"/>
        <v>Cero Bolívares con 26/100</v>
      </c>
    </row>
    <row r="351" spans="1:17" x14ac:dyDescent="0.25">
      <c r="A351" s="1">
        <f t="shared" si="47"/>
        <v>350</v>
      </c>
      <c r="C351" s="8" t="s">
        <v>17</v>
      </c>
      <c r="D351" s="2">
        <v>42908</v>
      </c>
      <c r="E351" s="3">
        <f>7000/100000</f>
        <v>7.0000000000000007E-2</v>
      </c>
      <c r="F351" t="s">
        <v>211</v>
      </c>
      <c r="G351" t="s">
        <v>212</v>
      </c>
      <c r="H351" t="s">
        <v>213</v>
      </c>
      <c r="I351" s="6" t="s">
        <v>451</v>
      </c>
      <c r="J351" s="61" t="s">
        <v>452</v>
      </c>
      <c r="L351" s="5" t="str">
        <f t="shared" si="42"/>
        <v>00350</v>
      </c>
      <c r="M351" s="47" t="str">
        <f t="shared" si="43"/>
        <v>22 de junio de 2017</v>
      </c>
      <c r="N351" s="323">
        <f t="shared" si="46"/>
        <v>22</v>
      </c>
      <c r="O351" s="25">
        <f t="shared" si="44"/>
        <v>42887</v>
      </c>
      <c r="P351" s="5" t="str">
        <f t="shared" ref="P351:P366" si="50">TEXT(E351,"#.##0,00")</f>
        <v>0,07</v>
      </c>
      <c r="Q351" s="4" t="str">
        <f t="shared" si="45"/>
        <v>Cero Bolívares con 07/100</v>
      </c>
    </row>
    <row r="352" spans="1:17" x14ac:dyDescent="0.25">
      <c r="A352" s="1">
        <f t="shared" si="47"/>
        <v>351</v>
      </c>
      <c r="C352" s="8" t="s">
        <v>17</v>
      </c>
      <c r="D352" s="2">
        <v>42908</v>
      </c>
      <c r="E352" s="3">
        <f>26000/100000</f>
        <v>0.26</v>
      </c>
      <c r="F352" t="s">
        <v>230</v>
      </c>
      <c r="G352" t="s">
        <v>231</v>
      </c>
      <c r="H352" t="s">
        <v>232</v>
      </c>
      <c r="I352" s="6" t="s">
        <v>420</v>
      </c>
      <c r="J352" s="61" t="s">
        <v>22</v>
      </c>
      <c r="L352" s="5" t="str">
        <f t="shared" si="42"/>
        <v>00351</v>
      </c>
      <c r="M352" s="47" t="str">
        <f t="shared" si="43"/>
        <v>22 de junio de 2017</v>
      </c>
      <c r="N352" s="323">
        <f t="shared" si="46"/>
        <v>22</v>
      </c>
      <c r="O352" s="25">
        <f t="shared" si="44"/>
        <v>42887</v>
      </c>
      <c r="P352" s="5" t="str">
        <f t="shared" si="50"/>
        <v>0,26</v>
      </c>
      <c r="Q352" s="4" t="str">
        <f t="shared" si="45"/>
        <v>Cero Bolívares con 26/100</v>
      </c>
    </row>
    <row r="353" spans="1:17" x14ac:dyDescent="0.25">
      <c r="A353" s="1">
        <f t="shared" si="47"/>
        <v>352</v>
      </c>
      <c r="C353" s="8" t="s">
        <v>17</v>
      </c>
      <c r="D353" s="2">
        <v>42908</v>
      </c>
      <c r="E353" s="3">
        <f>7000/100000</f>
        <v>7.0000000000000007E-2</v>
      </c>
      <c r="F353" t="s">
        <v>138</v>
      </c>
      <c r="G353" t="s">
        <v>139</v>
      </c>
      <c r="H353" t="s">
        <v>140</v>
      </c>
      <c r="I353" s="6" t="s">
        <v>451</v>
      </c>
      <c r="J353" s="61" t="s">
        <v>452</v>
      </c>
      <c r="L353" s="5" t="str">
        <f t="shared" si="42"/>
        <v>00352</v>
      </c>
      <c r="M353" s="47" t="str">
        <f t="shared" si="43"/>
        <v>22 de junio de 2017</v>
      </c>
      <c r="N353" s="323">
        <f t="shared" si="46"/>
        <v>22</v>
      </c>
      <c r="O353" s="25">
        <f t="shared" si="44"/>
        <v>42887</v>
      </c>
      <c r="P353" s="5" t="str">
        <f t="shared" si="50"/>
        <v>0,07</v>
      </c>
      <c r="Q353" s="4" t="str">
        <f t="shared" si="45"/>
        <v>Cero Bolívares con 07/100</v>
      </c>
    </row>
    <row r="354" spans="1:17" x14ac:dyDescent="0.25">
      <c r="A354" s="1">
        <f t="shared" si="47"/>
        <v>353</v>
      </c>
      <c r="C354" s="8" t="s">
        <v>17</v>
      </c>
      <c r="D354" s="2">
        <v>42909</v>
      </c>
      <c r="E354" s="3">
        <f>7000/100000</f>
        <v>7.0000000000000007E-2</v>
      </c>
      <c r="F354" t="s">
        <v>312</v>
      </c>
      <c r="G354" t="s">
        <v>313</v>
      </c>
      <c r="H354" t="s">
        <v>314</v>
      </c>
      <c r="I354" s="6" t="s">
        <v>451</v>
      </c>
      <c r="J354" s="61" t="s">
        <v>452</v>
      </c>
      <c r="L354" s="5" t="str">
        <f t="shared" si="42"/>
        <v>00353</v>
      </c>
      <c r="M354" s="47" t="str">
        <f t="shared" si="43"/>
        <v>23 de junio de 2017</v>
      </c>
      <c r="N354" s="323">
        <f t="shared" si="46"/>
        <v>23</v>
      </c>
      <c r="O354" s="25">
        <f t="shared" si="44"/>
        <v>42887</v>
      </c>
      <c r="P354" s="5" t="str">
        <f t="shared" si="50"/>
        <v>0,07</v>
      </c>
      <c r="Q354" s="4" t="str">
        <f t="shared" si="45"/>
        <v>Cero Bolívares con 07/100</v>
      </c>
    </row>
    <row r="355" spans="1:17" x14ac:dyDescent="0.25">
      <c r="A355" s="1">
        <f t="shared" si="47"/>
        <v>354</v>
      </c>
      <c r="C355" s="8" t="s">
        <v>17</v>
      </c>
      <c r="D355" s="2">
        <v>42910</v>
      </c>
      <c r="E355" s="3">
        <f>30000/100000</f>
        <v>0.3</v>
      </c>
      <c r="F355" t="s">
        <v>412</v>
      </c>
      <c r="G355" t="s">
        <v>413</v>
      </c>
      <c r="H355" t="s">
        <v>414</v>
      </c>
      <c r="I355" s="6" t="s">
        <v>468</v>
      </c>
      <c r="J355" s="61" t="s">
        <v>22</v>
      </c>
      <c r="L355" s="5" t="str">
        <f t="shared" si="42"/>
        <v>00354</v>
      </c>
      <c r="M355" s="47" t="str">
        <f t="shared" si="43"/>
        <v>24 de junio de 2017</v>
      </c>
      <c r="N355" s="323">
        <f t="shared" si="46"/>
        <v>24</v>
      </c>
      <c r="O355" s="25">
        <f t="shared" si="44"/>
        <v>42887</v>
      </c>
      <c r="P355" s="5" t="str">
        <f t="shared" si="50"/>
        <v>0,30</v>
      </c>
      <c r="Q355" s="4" t="str">
        <f t="shared" si="45"/>
        <v>Cero Bolívares con 30/100</v>
      </c>
    </row>
    <row r="356" spans="1:17" x14ac:dyDescent="0.25">
      <c r="A356" s="1">
        <f t="shared" si="47"/>
        <v>355</v>
      </c>
      <c r="C356" s="8" t="s">
        <v>17</v>
      </c>
      <c r="D356" s="2">
        <v>42910</v>
      </c>
      <c r="E356" s="3">
        <f>20000/100000</f>
        <v>0.2</v>
      </c>
      <c r="F356" t="s">
        <v>118</v>
      </c>
      <c r="G356" t="s">
        <v>119</v>
      </c>
      <c r="H356" t="s">
        <v>120</v>
      </c>
      <c r="I356" s="6" t="s">
        <v>446</v>
      </c>
      <c r="J356" s="61" t="s">
        <v>22</v>
      </c>
      <c r="L356" s="5" t="str">
        <f t="shared" si="42"/>
        <v>00355</v>
      </c>
      <c r="M356" s="47" t="str">
        <f t="shared" si="43"/>
        <v>24 de junio de 2017</v>
      </c>
      <c r="N356" s="323">
        <f t="shared" si="46"/>
        <v>24</v>
      </c>
      <c r="O356" s="25">
        <f t="shared" si="44"/>
        <v>42887</v>
      </c>
      <c r="P356" s="5" t="str">
        <f t="shared" si="50"/>
        <v>0,20</v>
      </c>
      <c r="Q356" s="4" t="str">
        <f t="shared" si="45"/>
        <v>Cero Bolívares con 20/100</v>
      </c>
    </row>
    <row r="357" spans="1:17" x14ac:dyDescent="0.25">
      <c r="A357" s="1">
        <f t="shared" si="47"/>
        <v>356</v>
      </c>
      <c r="C357" s="8" t="s">
        <v>17</v>
      </c>
      <c r="D357" s="2">
        <v>42912</v>
      </c>
      <c r="E357" s="3">
        <f>7000/100000</f>
        <v>7.0000000000000007E-2</v>
      </c>
      <c r="F357" t="s">
        <v>80</v>
      </c>
      <c r="G357" t="s">
        <v>81</v>
      </c>
      <c r="H357" t="s">
        <v>82</v>
      </c>
      <c r="I357" s="6" t="s">
        <v>451</v>
      </c>
      <c r="J357" s="61" t="s">
        <v>452</v>
      </c>
      <c r="L357" s="5" t="str">
        <f t="shared" si="42"/>
        <v>00356</v>
      </c>
      <c r="M357" s="47" t="str">
        <f t="shared" si="43"/>
        <v>26 de junio de 2017</v>
      </c>
      <c r="N357" s="323">
        <f t="shared" si="46"/>
        <v>26</v>
      </c>
      <c r="O357" s="25">
        <f t="shared" si="44"/>
        <v>42887</v>
      </c>
      <c r="P357" s="5" t="str">
        <f t="shared" si="50"/>
        <v>0,07</v>
      </c>
      <c r="Q357" s="4" t="str">
        <f t="shared" si="45"/>
        <v>Cero Bolívares con 07/100</v>
      </c>
    </row>
    <row r="358" spans="1:17" x14ac:dyDescent="0.25">
      <c r="A358" s="1">
        <f t="shared" si="47"/>
        <v>357</v>
      </c>
      <c r="C358" s="8" t="s">
        <v>17</v>
      </c>
      <c r="D358" s="2">
        <v>42912</v>
      </c>
      <c r="E358" s="3">
        <f>26000/100000</f>
        <v>0.26</v>
      </c>
      <c r="F358" t="s">
        <v>126</v>
      </c>
      <c r="G358" t="s">
        <v>127</v>
      </c>
      <c r="H358" t="s">
        <v>128</v>
      </c>
      <c r="I358" s="6" t="s">
        <v>445</v>
      </c>
      <c r="J358" s="61" t="s">
        <v>22</v>
      </c>
      <c r="L358" s="5" t="str">
        <f t="shared" si="42"/>
        <v>00357</v>
      </c>
      <c r="M358" s="47" t="str">
        <f t="shared" si="43"/>
        <v>26 de junio de 2017</v>
      </c>
      <c r="N358" s="323">
        <f t="shared" si="46"/>
        <v>26</v>
      </c>
      <c r="O358" s="25">
        <f t="shared" si="44"/>
        <v>42887</v>
      </c>
      <c r="P358" s="5" t="str">
        <f t="shared" si="50"/>
        <v>0,26</v>
      </c>
      <c r="Q358" s="4" t="str">
        <f t="shared" si="45"/>
        <v>Cero Bolívares con 26/100</v>
      </c>
    </row>
    <row r="359" spans="1:17" x14ac:dyDescent="0.25">
      <c r="A359" s="1">
        <f t="shared" si="47"/>
        <v>358</v>
      </c>
      <c r="C359" s="8" t="s">
        <v>17</v>
      </c>
      <c r="D359" s="2">
        <v>42912</v>
      </c>
      <c r="E359" s="3">
        <f>26000/100000</f>
        <v>0.26</v>
      </c>
      <c r="F359" t="s">
        <v>362</v>
      </c>
      <c r="G359" t="s">
        <v>363</v>
      </c>
      <c r="H359" t="s">
        <v>364</v>
      </c>
      <c r="I359" s="6" t="s">
        <v>420</v>
      </c>
      <c r="J359" s="61" t="s">
        <v>22</v>
      </c>
      <c r="L359" s="5" t="str">
        <f t="shared" si="42"/>
        <v>00358</v>
      </c>
      <c r="M359" s="47" t="str">
        <f t="shared" si="43"/>
        <v>26 de junio de 2017</v>
      </c>
      <c r="N359" s="323">
        <f t="shared" si="46"/>
        <v>26</v>
      </c>
      <c r="O359" s="25">
        <f t="shared" si="44"/>
        <v>42887</v>
      </c>
      <c r="P359" s="5" t="str">
        <f t="shared" si="50"/>
        <v>0,26</v>
      </c>
      <c r="Q359" s="4" t="str">
        <f t="shared" si="45"/>
        <v>Cero Bolívares con 26/100</v>
      </c>
    </row>
    <row r="360" spans="1:17" x14ac:dyDescent="0.25">
      <c r="A360" s="1">
        <f t="shared" si="47"/>
        <v>359</v>
      </c>
      <c r="C360" s="8" t="s">
        <v>17</v>
      </c>
      <c r="D360" s="2">
        <v>42912</v>
      </c>
      <c r="E360" s="3">
        <f>7000/100000</f>
        <v>7.0000000000000007E-2</v>
      </c>
      <c r="F360" t="s">
        <v>362</v>
      </c>
      <c r="G360" t="s">
        <v>363</v>
      </c>
      <c r="H360" t="s">
        <v>364</v>
      </c>
      <c r="I360" s="6" t="s">
        <v>451</v>
      </c>
      <c r="J360" s="61" t="s">
        <v>452</v>
      </c>
      <c r="L360" s="5" t="str">
        <f t="shared" si="42"/>
        <v>00359</v>
      </c>
      <c r="M360" s="47" t="str">
        <f t="shared" si="43"/>
        <v>26 de junio de 2017</v>
      </c>
      <c r="N360" s="323">
        <f t="shared" si="46"/>
        <v>26</v>
      </c>
      <c r="O360" s="25">
        <f t="shared" si="44"/>
        <v>42887</v>
      </c>
      <c r="P360" s="5" t="str">
        <f t="shared" si="50"/>
        <v>0,07</v>
      </c>
      <c r="Q360" s="4" t="str">
        <f t="shared" si="45"/>
        <v>Cero Bolívares con 07/100</v>
      </c>
    </row>
    <row r="361" spans="1:17" x14ac:dyDescent="0.25">
      <c r="A361" s="1">
        <f t="shared" si="47"/>
        <v>360</v>
      </c>
      <c r="C361" s="8" t="s">
        <v>17</v>
      </c>
      <c r="D361" s="2">
        <v>42912</v>
      </c>
      <c r="E361" s="3">
        <f>7000/100000</f>
        <v>7.0000000000000007E-2</v>
      </c>
      <c r="F361" t="s">
        <v>303</v>
      </c>
      <c r="G361" s="18" t="s">
        <v>58</v>
      </c>
      <c r="H361" t="s">
        <v>304</v>
      </c>
      <c r="I361" s="6" t="s">
        <v>451</v>
      </c>
      <c r="J361" s="61" t="s">
        <v>452</v>
      </c>
      <c r="L361" s="5" t="str">
        <f t="shared" si="42"/>
        <v>00360</v>
      </c>
      <c r="M361" s="47" t="str">
        <f t="shared" si="43"/>
        <v>26 de junio de 2017</v>
      </c>
      <c r="N361" s="323">
        <f t="shared" si="46"/>
        <v>26</v>
      </c>
      <c r="O361" s="25">
        <f t="shared" si="44"/>
        <v>42887</v>
      </c>
      <c r="P361" s="5" t="str">
        <f t="shared" si="50"/>
        <v>0,07</v>
      </c>
      <c r="Q361" s="4" t="str">
        <f t="shared" si="45"/>
        <v>Cero Bolívares con 07/100</v>
      </c>
    </row>
    <row r="362" spans="1:17" x14ac:dyDescent="0.25">
      <c r="A362" s="1">
        <f t="shared" si="47"/>
        <v>361</v>
      </c>
      <c r="C362" s="8" t="s">
        <v>17</v>
      </c>
      <c r="D362" s="2">
        <v>42913</v>
      </c>
      <c r="E362" s="3">
        <f>7000/100000</f>
        <v>7.0000000000000007E-2</v>
      </c>
      <c r="F362" t="s">
        <v>443</v>
      </c>
      <c r="G362" t="s">
        <v>444</v>
      </c>
      <c r="H362" t="s">
        <v>75</v>
      </c>
      <c r="I362" s="6" t="s">
        <v>451</v>
      </c>
      <c r="J362" s="61" t="s">
        <v>452</v>
      </c>
      <c r="L362" s="5" t="str">
        <f t="shared" si="42"/>
        <v>00361</v>
      </c>
      <c r="M362" s="47" t="str">
        <f t="shared" si="43"/>
        <v>27 de junio de 2017</v>
      </c>
      <c r="N362" s="323">
        <f t="shared" si="46"/>
        <v>27</v>
      </c>
      <c r="O362" s="25">
        <f t="shared" si="44"/>
        <v>42887</v>
      </c>
      <c r="P362" s="5" t="str">
        <f t="shared" si="50"/>
        <v>0,07</v>
      </c>
      <c r="Q362" s="4" t="str">
        <f t="shared" si="45"/>
        <v>Cero Bolívares con 07/100</v>
      </c>
    </row>
    <row r="363" spans="1:17" x14ac:dyDescent="0.25">
      <c r="A363" s="1">
        <f t="shared" si="47"/>
        <v>362</v>
      </c>
      <c r="C363" s="8" t="s">
        <v>17</v>
      </c>
      <c r="D363" s="2">
        <v>42914</v>
      </c>
      <c r="E363" s="3">
        <f>3000/100000</f>
        <v>0.03</v>
      </c>
      <c r="F363" t="s">
        <v>144</v>
      </c>
      <c r="G363" t="s">
        <v>145</v>
      </c>
      <c r="H363" t="s">
        <v>146</v>
      </c>
      <c r="I363" s="6" t="s">
        <v>427</v>
      </c>
      <c r="J363" s="61" t="s">
        <v>22</v>
      </c>
      <c r="L363" s="5" t="str">
        <f t="shared" si="42"/>
        <v>00362</v>
      </c>
      <c r="M363" s="47" t="str">
        <f t="shared" si="43"/>
        <v>28 de junio de 2017</v>
      </c>
      <c r="N363" s="323">
        <f t="shared" si="46"/>
        <v>28</v>
      </c>
      <c r="O363" s="25">
        <f t="shared" si="44"/>
        <v>42887</v>
      </c>
      <c r="P363" s="5" t="str">
        <f t="shared" si="50"/>
        <v>0,03</v>
      </c>
      <c r="Q363" s="4" t="str">
        <f t="shared" si="45"/>
        <v>Cero Bolívares con 03/100</v>
      </c>
    </row>
    <row r="364" spans="1:17" x14ac:dyDescent="0.25">
      <c r="A364" s="1">
        <f t="shared" si="47"/>
        <v>363</v>
      </c>
      <c r="C364" s="8" t="s">
        <v>17</v>
      </c>
      <c r="D364" s="2">
        <v>42906</v>
      </c>
      <c r="E364" s="3">
        <f>26000/100000</f>
        <v>0.26</v>
      </c>
      <c r="F364" t="s">
        <v>122</v>
      </c>
      <c r="G364" t="s">
        <v>123</v>
      </c>
      <c r="H364" t="s">
        <v>124</v>
      </c>
      <c r="I364" s="6" t="s">
        <v>445</v>
      </c>
      <c r="J364" s="61" t="s">
        <v>22</v>
      </c>
      <c r="L364" s="5" t="str">
        <f t="shared" si="42"/>
        <v>00363</v>
      </c>
      <c r="M364" s="47" t="str">
        <f t="shared" si="43"/>
        <v>20 de junio de 2017</v>
      </c>
      <c r="N364" s="323">
        <f t="shared" si="46"/>
        <v>20</v>
      </c>
      <c r="O364" s="25">
        <f t="shared" si="44"/>
        <v>42887</v>
      </c>
      <c r="P364" s="5" t="str">
        <f t="shared" si="50"/>
        <v>0,26</v>
      </c>
      <c r="Q364" s="4" t="str">
        <f t="shared" si="45"/>
        <v>Cero Bolívares con 26/100</v>
      </c>
    </row>
    <row r="365" spans="1:17" x14ac:dyDescent="0.25">
      <c r="A365" s="319">
        <f t="shared" si="47"/>
        <v>364</v>
      </c>
      <c r="B365" s="574"/>
      <c r="C365" s="12" t="s">
        <v>225</v>
      </c>
      <c r="D365" s="17">
        <v>42914</v>
      </c>
      <c r="E365" s="13">
        <f>7000/100000</f>
        <v>7.0000000000000007E-2</v>
      </c>
      <c r="F365" s="14" t="s">
        <v>103</v>
      </c>
      <c r="G365" s="14" t="s">
        <v>104</v>
      </c>
      <c r="H365" s="14" t="s">
        <v>105</v>
      </c>
      <c r="I365" s="15" t="s">
        <v>469</v>
      </c>
      <c r="J365" s="62" t="s">
        <v>426</v>
      </c>
      <c r="K365" s="16"/>
      <c r="L365" s="5" t="str">
        <f t="shared" si="42"/>
        <v>00364</v>
      </c>
      <c r="M365" s="47" t="str">
        <f t="shared" si="43"/>
        <v>28 de junio de 2017</v>
      </c>
      <c r="N365" s="323">
        <f t="shared" si="46"/>
        <v>28</v>
      </c>
      <c r="O365" s="25">
        <f t="shared" si="44"/>
        <v>42887</v>
      </c>
      <c r="P365" s="5" t="str">
        <f t="shared" si="50"/>
        <v>0,07</v>
      </c>
      <c r="Q365" s="4" t="str">
        <f t="shared" si="45"/>
        <v>Cero Bolívares con 07/100</v>
      </c>
    </row>
    <row r="366" spans="1:17" x14ac:dyDescent="0.25">
      <c r="A366" s="1">
        <f t="shared" si="47"/>
        <v>365</v>
      </c>
      <c r="C366" s="8" t="s">
        <v>17</v>
      </c>
      <c r="D366" s="2">
        <v>42914</v>
      </c>
      <c r="E366" s="3">
        <f>17000/100000</f>
        <v>0.17</v>
      </c>
      <c r="F366" t="s">
        <v>53</v>
      </c>
      <c r="G366" t="s">
        <v>54</v>
      </c>
      <c r="H366" t="s">
        <v>55</v>
      </c>
      <c r="I366" s="6" t="s">
        <v>395</v>
      </c>
      <c r="J366" s="61" t="s">
        <v>22</v>
      </c>
      <c r="L366" s="5" t="str">
        <f t="shared" si="42"/>
        <v>00365</v>
      </c>
      <c r="M366" s="47" t="str">
        <f t="shared" si="43"/>
        <v>28 de junio de 2017</v>
      </c>
      <c r="N366" s="323">
        <f t="shared" si="46"/>
        <v>28</v>
      </c>
      <c r="O366" s="25">
        <f t="shared" si="44"/>
        <v>42887</v>
      </c>
      <c r="P366" s="5" t="str">
        <f t="shared" si="50"/>
        <v>0,17</v>
      </c>
      <c r="Q366" s="4" t="str">
        <f t="shared" si="45"/>
        <v>Cero Bolívares con 17/100</v>
      </c>
    </row>
    <row r="367" spans="1:17" x14ac:dyDescent="0.25">
      <c r="A367" s="1">
        <f t="shared" si="47"/>
        <v>366</v>
      </c>
      <c r="C367" s="8" t="s">
        <v>17</v>
      </c>
      <c r="D367" s="2">
        <v>42914</v>
      </c>
      <c r="E367" s="3">
        <f>26000*2/100000</f>
        <v>0.52</v>
      </c>
      <c r="F367" t="s">
        <v>53</v>
      </c>
      <c r="G367" t="s">
        <v>54</v>
      </c>
      <c r="H367" t="s">
        <v>55</v>
      </c>
      <c r="I367" s="6" t="s">
        <v>448</v>
      </c>
      <c r="J367" s="61" t="s">
        <v>22</v>
      </c>
      <c r="L367" s="5" t="str">
        <f t="shared" si="42"/>
        <v>00366</v>
      </c>
      <c r="M367" s="47" t="str">
        <f t="shared" si="43"/>
        <v>28 de junio de 2017</v>
      </c>
      <c r="N367" s="323">
        <f t="shared" si="46"/>
        <v>28</v>
      </c>
      <c r="O367" s="25">
        <f t="shared" si="44"/>
        <v>42887</v>
      </c>
      <c r="P367" s="5" t="str">
        <f>TEXT(E367,"#.##0,00")</f>
        <v>0,52</v>
      </c>
      <c r="Q367" s="4" t="str">
        <f>CONVERTIRNUM(E367)</f>
        <v>Cero Bolívares con 52/100</v>
      </c>
    </row>
    <row r="368" spans="1:17" x14ac:dyDescent="0.25">
      <c r="A368" s="1">
        <f t="shared" si="47"/>
        <v>367</v>
      </c>
      <c r="C368" s="8" t="s">
        <v>17</v>
      </c>
      <c r="D368" s="2">
        <v>42915</v>
      </c>
      <c r="E368" s="3">
        <f>7000/100000</f>
        <v>7.0000000000000007E-2</v>
      </c>
      <c r="F368" t="s">
        <v>353</v>
      </c>
      <c r="G368" t="s">
        <v>354</v>
      </c>
      <c r="H368" t="s">
        <v>355</v>
      </c>
      <c r="I368" s="6" t="s">
        <v>451</v>
      </c>
      <c r="J368" s="61" t="s">
        <v>452</v>
      </c>
      <c r="L368" s="5" t="str">
        <f t="shared" si="42"/>
        <v>00367</v>
      </c>
      <c r="M368" s="47" t="str">
        <f t="shared" si="43"/>
        <v>29 de junio de 2017</v>
      </c>
      <c r="N368" s="323">
        <f t="shared" si="46"/>
        <v>29</v>
      </c>
      <c r="O368" s="25">
        <f t="shared" si="44"/>
        <v>42887</v>
      </c>
      <c r="P368" s="5" t="str">
        <f>TEXT(E368,"#.##0,00")</f>
        <v>0,07</v>
      </c>
      <c r="Q368" s="4" t="str">
        <f>CONVERTIRNUM(E368)</f>
        <v>Cero Bolívares con 07/100</v>
      </c>
    </row>
    <row r="369" spans="1:17" x14ac:dyDescent="0.25">
      <c r="A369" s="1">
        <f t="shared" si="47"/>
        <v>368</v>
      </c>
      <c r="C369" s="8" t="s">
        <v>17</v>
      </c>
      <c r="D369" s="2">
        <v>42916</v>
      </c>
      <c r="E369" s="3">
        <f>2000/100000</f>
        <v>0.02</v>
      </c>
      <c r="F369" t="s">
        <v>177</v>
      </c>
      <c r="G369" s="48" t="s">
        <v>178</v>
      </c>
      <c r="H369" t="s">
        <v>179</v>
      </c>
      <c r="I369" s="6" t="s">
        <v>470</v>
      </c>
      <c r="J369" s="61" t="s">
        <v>452</v>
      </c>
      <c r="L369" s="5" t="str">
        <f t="shared" si="42"/>
        <v>00368</v>
      </c>
      <c r="M369" s="47" t="str">
        <f t="shared" si="43"/>
        <v>30 de junio de 2017</v>
      </c>
      <c r="N369" s="323">
        <f t="shared" si="46"/>
        <v>30</v>
      </c>
      <c r="O369" s="25">
        <f t="shared" si="44"/>
        <v>42887</v>
      </c>
      <c r="P369" s="5" t="str">
        <f>TEXT(E369,"#.##0,00")</f>
        <v>0,02</v>
      </c>
      <c r="Q369" s="4" t="str">
        <f>CONVERTIRNUM(E369)</f>
        <v>Cero Bolívares con 02/100</v>
      </c>
    </row>
    <row r="370" spans="1:17" x14ac:dyDescent="0.25">
      <c r="A370" s="1">
        <f t="shared" si="47"/>
        <v>369</v>
      </c>
      <c r="C370" s="8" t="s">
        <v>17</v>
      </c>
      <c r="D370" s="2">
        <v>42916</v>
      </c>
      <c r="E370" s="3">
        <f>7000/100000</f>
        <v>7.0000000000000007E-2</v>
      </c>
      <c r="F370" t="s">
        <v>417</v>
      </c>
      <c r="G370" t="s">
        <v>418</v>
      </c>
      <c r="H370" t="s">
        <v>419</v>
      </c>
      <c r="I370" s="6" t="s">
        <v>451</v>
      </c>
      <c r="J370" s="61" t="s">
        <v>452</v>
      </c>
      <c r="L370" s="5" t="str">
        <f t="shared" si="42"/>
        <v>00369</v>
      </c>
      <c r="M370" s="47" t="str">
        <f t="shared" si="43"/>
        <v>30 de junio de 2017</v>
      </c>
      <c r="N370" s="323">
        <f t="shared" si="46"/>
        <v>30</v>
      </c>
      <c r="O370" s="25">
        <f t="shared" si="44"/>
        <v>42887</v>
      </c>
      <c r="P370" s="5" t="str">
        <f>TEXT(E370,"#.##0,00")</f>
        <v>0,07</v>
      </c>
      <c r="Q370" s="4" t="str">
        <f>CONVERTIRNUM(E370)</f>
        <v>Cero Bolívares con 07/100</v>
      </c>
    </row>
    <row r="371" spans="1:17" x14ac:dyDescent="0.25">
      <c r="A371" s="1">
        <f t="shared" si="47"/>
        <v>370</v>
      </c>
      <c r="C371" s="8" t="s">
        <v>17</v>
      </c>
      <c r="D371" s="2">
        <v>42916</v>
      </c>
      <c r="E371" s="3">
        <f>5000/100000</f>
        <v>0.05</v>
      </c>
      <c r="F371" t="s">
        <v>471</v>
      </c>
      <c r="G371" s="18" t="s">
        <v>58</v>
      </c>
      <c r="H371" t="s">
        <v>472</v>
      </c>
      <c r="I371" s="6" t="s">
        <v>457</v>
      </c>
      <c r="J371" s="61" t="s">
        <v>452</v>
      </c>
      <c r="L371" s="5" t="str">
        <f t="shared" si="42"/>
        <v>00370</v>
      </c>
      <c r="M371" s="47" t="str">
        <f t="shared" si="43"/>
        <v>30 de junio de 2017</v>
      </c>
      <c r="N371" s="323">
        <f t="shared" si="46"/>
        <v>30</v>
      </c>
      <c r="O371" s="25">
        <f t="shared" si="44"/>
        <v>42887</v>
      </c>
      <c r="P371" s="5" t="str">
        <f t="shared" ref="P371:P384" si="51">TEXT(E371,"#.##0,00")</f>
        <v>0,05</v>
      </c>
      <c r="Q371" s="4" t="str">
        <f t="shared" ref="Q371:Q384" si="52">CONVERTIRNUM(E371)</f>
        <v>Cero Bolívares con 05/100</v>
      </c>
    </row>
    <row r="372" spans="1:17" x14ac:dyDescent="0.25">
      <c r="A372" s="1">
        <f t="shared" si="47"/>
        <v>371</v>
      </c>
      <c r="C372" s="8" t="s">
        <v>17</v>
      </c>
      <c r="D372" s="2">
        <v>42916</v>
      </c>
      <c r="E372" s="3">
        <f>27000/100000</f>
        <v>0.27</v>
      </c>
      <c r="F372" t="s">
        <v>44</v>
      </c>
      <c r="G372" t="s">
        <v>45</v>
      </c>
      <c r="H372" t="s">
        <v>46</v>
      </c>
      <c r="I372" s="6" t="s">
        <v>473</v>
      </c>
      <c r="J372" s="61" t="s">
        <v>22</v>
      </c>
      <c r="L372" s="5" t="str">
        <f t="shared" si="42"/>
        <v>00371</v>
      </c>
      <c r="M372" s="47" t="str">
        <f t="shared" si="43"/>
        <v>30 de junio de 2017</v>
      </c>
      <c r="N372" s="323">
        <f t="shared" si="46"/>
        <v>30</v>
      </c>
      <c r="O372" s="25">
        <f t="shared" si="44"/>
        <v>42887</v>
      </c>
      <c r="P372" s="5" t="str">
        <f t="shared" si="51"/>
        <v>0,27</v>
      </c>
      <c r="Q372" s="4" t="str">
        <f t="shared" si="52"/>
        <v>Cero Bolívares con 27/100</v>
      </c>
    </row>
    <row r="373" spans="1:17" x14ac:dyDescent="0.25">
      <c r="A373" s="1">
        <f t="shared" si="47"/>
        <v>372</v>
      </c>
      <c r="C373" s="8" t="s">
        <v>17</v>
      </c>
      <c r="D373" s="2">
        <v>42918</v>
      </c>
      <c r="E373" s="3">
        <f>5000/100000</f>
        <v>0.05</v>
      </c>
      <c r="F373" t="s">
        <v>118</v>
      </c>
      <c r="G373" t="s">
        <v>119</v>
      </c>
      <c r="H373" t="s">
        <v>120</v>
      </c>
      <c r="I373" s="6" t="s">
        <v>457</v>
      </c>
      <c r="J373" s="61" t="s">
        <v>452</v>
      </c>
      <c r="L373" s="5" t="str">
        <f t="shared" si="42"/>
        <v>00372</v>
      </c>
      <c r="M373" s="47" t="str">
        <f t="shared" si="43"/>
        <v>02 de julio de 2017</v>
      </c>
      <c r="N373" s="323">
        <f t="shared" si="46"/>
        <v>2</v>
      </c>
      <c r="O373" s="25">
        <f t="shared" si="44"/>
        <v>42917</v>
      </c>
      <c r="P373" s="5" t="str">
        <f t="shared" si="51"/>
        <v>0,05</v>
      </c>
      <c r="Q373" s="4" t="str">
        <f t="shared" si="52"/>
        <v>Cero Bolívares con 05/100</v>
      </c>
    </row>
    <row r="374" spans="1:17" x14ac:dyDescent="0.25">
      <c r="A374" s="1">
        <f t="shared" si="47"/>
        <v>373</v>
      </c>
      <c r="C374" s="8" t="s">
        <v>17</v>
      </c>
      <c r="D374" s="2">
        <v>42918</v>
      </c>
      <c r="E374" s="3">
        <f>17000*2/100000</f>
        <v>0.34</v>
      </c>
      <c r="F374" t="s">
        <v>334</v>
      </c>
      <c r="G374" t="s">
        <v>85</v>
      </c>
      <c r="H374" t="s">
        <v>335</v>
      </c>
      <c r="I374" s="6" t="s">
        <v>474</v>
      </c>
      <c r="J374" s="61" t="s">
        <v>22</v>
      </c>
      <c r="L374" s="5" t="str">
        <f t="shared" si="42"/>
        <v>00373</v>
      </c>
      <c r="M374" s="47" t="str">
        <f t="shared" si="43"/>
        <v>02 de julio de 2017</v>
      </c>
      <c r="N374" s="323">
        <f t="shared" si="46"/>
        <v>2</v>
      </c>
      <c r="O374" s="25">
        <f t="shared" si="44"/>
        <v>42917</v>
      </c>
      <c r="P374" s="5" t="str">
        <f t="shared" si="51"/>
        <v>0,34</v>
      </c>
      <c r="Q374" s="4" t="str">
        <f t="shared" si="52"/>
        <v>Cero Bolívares con 34/100</v>
      </c>
    </row>
    <row r="375" spans="1:17" x14ac:dyDescent="0.25">
      <c r="A375" s="1">
        <f t="shared" si="47"/>
        <v>374</v>
      </c>
      <c r="C375" s="8" t="s">
        <v>17</v>
      </c>
      <c r="D375" s="2">
        <v>42918</v>
      </c>
      <c r="E375" s="3">
        <f>7000/100000</f>
        <v>7.0000000000000007E-2</v>
      </c>
      <c r="F375" t="s">
        <v>334</v>
      </c>
      <c r="G375" t="s">
        <v>85</v>
      </c>
      <c r="H375" t="s">
        <v>335</v>
      </c>
      <c r="I375" s="6" t="s">
        <v>451</v>
      </c>
      <c r="J375" s="61" t="s">
        <v>452</v>
      </c>
      <c r="L375" s="5" t="str">
        <f t="shared" si="42"/>
        <v>00374</v>
      </c>
      <c r="M375" s="47" t="str">
        <f t="shared" si="43"/>
        <v>02 de julio de 2017</v>
      </c>
      <c r="N375" s="323">
        <f t="shared" si="46"/>
        <v>2</v>
      </c>
      <c r="O375" s="25">
        <f t="shared" si="44"/>
        <v>42917</v>
      </c>
      <c r="P375" s="5" t="str">
        <f t="shared" si="51"/>
        <v>0,07</v>
      </c>
      <c r="Q375" s="4" t="str">
        <f t="shared" si="52"/>
        <v>Cero Bolívares con 07/100</v>
      </c>
    </row>
    <row r="376" spans="1:17" x14ac:dyDescent="0.25">
      <c r="A376" s="1">
        <f t="shared" si="47"/>
        <v>375</v>
      </c>
      <c r="C376" s="8" t="s">
        <v>17</v>
      </c>
      <c r="D376" s="2">
        <v>42917</v>
      </c>
      <c r="E376" s="3">
        <f>26000/100000</f>
        <v>0.26</v>
      </c>
      <c r="F376" t="s">
        <v>18</v>
      </c>
      <c r="G376" t="s">
        <v>19</v>
      </c>
      <c r="H376" t="s">
        <v>20</v>
      </c>
      <c r="I376" s="6" t="s">
        <v>475</v>
      </c>
      <c r="J376" s="61" t="s">
        <v>22</v>
      </c>
      <c r="L376" s="5" t="str">
        <f t="shared" si="42"/>
        <v>00375</v>
      </c>
      <c r="M376" s="47" t="str">
        <f t="shared" si="43"/>
        <v>01 de julio de 2017</v>
      </c>
      <c r="N376" s="323">
        <f t="shared" si="46"/>
        <v>1</v>
      </c>
      <c r="O376" s="25">
        <f t="shared" si="44"/>
        <v>42917</v>
      </c>
      <c r="P376" s="5" t="str">
        <f t="shared" si="51"/>
        <v>0,26</v>
      </c>
      <c r="Q376" s="4" t="str">
        <f t="shared" si="52"/>
        <v>Cero Bolívares con 26/100</v>
      </c>
    </row>
    <row r="377" spans="1:17" x14ac:dyDescent="0.25">
      <c r="A377" s="178">
        <f t="shared" si="47"/>
        <v>376</v>
      </c>
      <c r="C377" s="8" t="s">
        <v>17</v>
      </c>
      <c r="D377" s="2">
        <v>42917</v>
      </c>
      <c r="E377" s="3">
        <f>26000/100000</f>
        <v>0.26</v>
      </c>
      <c r="F377" t="s">
        <v>438</v>
      </c>
      <c r="G377" t="s">
        <v>439</v>
      </c>
      <c r="H377" t="s">
        <v>440</v>
      </c>
      <c r="I377" s="6" t="s">
        <v>476</v>
      </c>
      <c r="J377" s="61" t="s">
        <v>22</v>
      </c>
      <c r="L377" s="5" t="str">
        <f t="shared" si="42"/>
        <v>00376</v>
      </c>
      <c r="M377" s="47" t="str">
        <f t="shared" si="43"/>
        <v>01 de julio de 2017</v>
      </c>
      <c r="N377" s="323">
        <f t="shared" si="46"/>
        <v>1</v>
      </c>
      <c r="O377" s="25">
        <f t="shared" si="44"/>
        <v>42917</v>
      </c>
      <c r="P377" s="5" t="str">
        <f t="shared" si="51"/>
        <v>0,26</v>
      </c>
      <c r="Q377" s="4" t="str">
        <f t="shared" si="52"/>
        <v>Cero Bolívares con 26/100</v>
      </c>
    </row>
    <row r="378" spans="1:17" x14ac:dyDescent="0.25">
      <c r="A378" s="1">
        <f t="shared" si="47"/>
        <v>377</v>
      </c>
      <c r="C378" s="8" t="s">
        <v>17</v>
      </c>
      <c r="D378" s="2">
        <v>42918</v>
      </c>
      <c r="E378" s="3">
        <f>7000/100000</f>
        <v>7.0000000000000007E-2</v>
      </c>
      <c r="F378" t="s">
        <v>126</v>
      </c>
      <c r="G378" t="s">
        <v>127</v>
      </c>
      <c r="H378" t="s">
        <v>128</v>
      </c>
      <c r="I378" s="6" t="s">
        <v>451</v>
      </c>
      <c r="J378" s="61" t="s">
        <v>452</v>
      </c>
      <c r="L378" s="5" t="str">
        <f t="shared" si="42"/>
        <v>00377</v>
      </c>
      <c r="M378" s="47" t="str">
        <f t="shared" si="43"/>
        <v>02 de julio de 2017</v>
      </c>
      <c r="N378" s="323">
        <f t="shared" si="46"/>
        <v>2</v>
      </c>
      <c r="O378" s="25">
        <f t="shared" si="44"/>
        <v>42917</v>
      </c>
      <c r="P378" s="5" t="str">
        <f t="shared" si="51"/>
        <v>0,07</v>
      </c>
      <c r="Q378" s="4" t="str">
        <f t="shared" si="52"/>
        <v>Cero Bolívares con 07/100</v>
      </c>
    </row>
    <row r="379" spans="1:17" x14ac:dyDescent="0.25">
      <c r="A379" s="1">
        <f t="shared" si="47"/>
        <v>378</v>
      </c>
      <c r="C379" s="8" t="s">
        <v>17</v>
      </c>
      <c r="D379" s="2">
        <v>42919</v>
      </c>
      <c r="E379" s="3">
        <f>26000/100000</f>
        <v>0.26</v>
      </c>
      <c r="F379" t="s">
        <v>40</v>
      </c>
      <c r="G379" t="s">
        <v>41</v>
      </c>
      <c r="H379" t="s">
        <v>42</v>
      </c>
      <c r="I379" s="6" t="s">
        <v>473</v>
      </c>
      <c r="J379" s="61" t="s">
        <v>22</v>
      </c>
      <c r="L379" s="5" t="str">
        <f t="shared" si="42"/>
        <v>00378</v>
      </c>
      <c r="M379" s="47" t="str">
        <f t="shared" si="43"/>
        <v>03 de julio de 2017</v>
      </c>
      <c r="N379" s="323">
        <f t="shared" si="46"/>
        <v>3</v>
      </c>
      <c r="O379" s="25">
        <f t="shared" si="44"/>
        <v>42917</v>
      </c>
      <c r="P379" s="5" t="str">
        <f t="shared" si="51"/>
        <v>0,26</v>
      </c>
      <c r="Q379" s="4" t="str">
        <f t="shared" si="52"/>
        <v>Cero Bolívares con 26/100</v>
      </c>
    </row>
    <row r="380" spans="1:17" x14ac:dyDescent="0.25">
      <c r="A380" s="1">
        <f t="shared" si="47"/>
        <v>379</v>
      </c>
      <c r="C380" s="8" t="s">
        <v>17</v>
      </c>
      <c r="D380" s="2">
        <v>42919</v>
      </c>
      <c r="E380" s="3">
        <f>7000/100000</f>
        <v>7.0000000000000007E-2</v>
      </c>
      <c r="F380" t="s">
        <v>40</v>
      </c>
      <c r="G380" t="s">
        <v>41</v>
      </c>
      <c r="H380" t="s">
        <v>42</v>
      </c>
      <c r="I380" s="6" t="s">
        <v>451</v>
      </c>
      <c r="J380" s="61" t="s">
        <v>452</v>
      </c>
      <c r="L380" s="5" t="str">
        <f t="shared" si="42"/>
        <v>00379</v>
      </c>
      <c r="M380" s="47" t="str">
        <f t="shared" si="43"/>
        <v>03 de julio de 2017</v>
      </c>
      <c r="N380" s="323">
        <f t="shared" si="46"/>
        <v>3</v>
      </c>
      <c r="O380" s="25">
        <f t="shared" si="44"/>
        <v>42917</v>
      </c>
      <c r="P380" s="5" t="str">
        <f t="shared" si="51"/>
        <v>0,07</v>
      </c>
      <c r="Q380" s="4" t="str">
        <f t="shared" si="52"/>
        <v>Cero Bolívares con 07/100</v>
      </c>
    </row>
    <row r="381" spans="1:17" x14ac:dyDescent="0.25">
      <c r="A381" s="1">
        <f t="shared" si="47"/>
        <v>380</v>
      </c>
      <c r="C381" s="8" t="s">
        <v>17</v>
      </c>
      <c r="D381" s="2">
        <v>42919</v>
      </c>
      <c r="E381" s="3">
        <f>25000/100000</f>
        <v>0.25</v>
      </c>
      <c r="F381" t="s">
        <v>36</v>
      </c>
      <c r="G381" t="s">
        <v>37</v>
      </c>
      <c r="H381" t="s">
        <v>38</v>
      </c>
      <c r="I381" s="6" t="s">
        <v>473</v>
      </c>
      <c r="J381" s="61" t="s">
        <v>22</v>
      </c>
      <c r="L381" s="5" t="str">
        <f t="shared" si="42"/>
        <v>00380</v>
      </c>
      <c r="M381" s="47" t="str">
        <f t="shared" si="43"/>
        <v>03 de julio de 2017</v>
      </c>
      <c r="N381" s="323">
        <f t="shared" si="46"/>
        <v>3</v>
      </c>
      <c r="O381" s="25">
        <f t="shared" si="44"/>
        <v>42917</v>
      </c>
      <c r="P381" s="5" t="str">
        <f t="shared" si="51"/>
        <v>0,25</v>
      </c>
      <c r="Q381" s="4" t="str">
        <f t="shared" si="52"/>
        <v>Cero Bolívares con 25/100</v>
      </c>
    </row>
    <row r="382" spans="1:17" x14ac:dyDescent="0.25">
      <c r="A382" s="1">
        <f t="shared" si="47"/>
        <v>381</v>
      </c>
      <c r="C382" s="8" t="s">
        <v>17</v>
      </c>
      <c r="D382" s="2">
        <v>42919</v>
      </c>
      <c r="E382" s="3">
        <f>3387/100000+17000/100000+17000/100000+26000/100000+26000/100000</f>
        <v>0.89387000000000005</v>
      </c>
      <c r="F382" t="s">
        <v>32</v>
      </c>
      <c r="G382" t="s">
        <v>33</v>
      </c>
      <c r="H382" t="s">
        <v>34</v>
      </c>
      <c r="I382" s="6" t="s">
        <v>477</v>
      </c>
      <c r="J382" s="61" t="s">
        <v>22</v>
      </c>
      <c r="L382" s="5" t="str">
        <f t="shared" si="42"/>
        <v>00381</v>
      </c>
      <c r="M382" s="47" t="str">
        <f t="shared" si="43"/>
        <v>03 de julio de 2017</v>
      </c>
      <c r="N382" s="323">
        <f t="shared" si="46"/>
        <v>3</v>
      </c>
      <c r="O382" s="25">
        <f t="shared" si="44"/>
        <v>42917</v>
      </c>
      <c r="P382" s="5" t="str">
        <f t="shared" si="51"/>
        <v>0,89</v>
      </c>
      <c r="Q382" s="4" t="str">
        <f t="shared" si="52"/>
        <v>Cero Bolívares con 89/100</v>
      </c>
    </row>
    <row r="383" spans="1:17" x14ac:dyDescent="0.25">
      <c r="A383" s="1">
        <f t="shared" si="47"/>
        <v>382</v>
      </c>
      <c r="C383" s="8" t="s">
        <v>17</v>
      </c>
      <c r="D383" s="2">
        <v>42919</v>
      </c>
      <c r="E383" s="3">
        <f>15000/100000</f>
        <v>0.15</v>
      </c>
      <c r="F383" t="s">
        <v>84</v>
      </c>
      <c r="G383" t="s">
        <v>85</v>
      </c>
      <c r="H383" t="s">
        <v>86</v>
      </c>
      <c r="I383" s="9" t="s">
        <v>478</v>
      </c>
      <c r="J383" s="61" t="s">
        <v>22</v>
      </c>
      <c r="L383" s="5" t="str">
        <f t="shared" si="42"/>
        <v>00382</v>
      </c>
      <c r="M383" s="47" t="str">
        <f t="shared" si="43"/>
        <v>03 de julio de 2017</v>
      </c>
      <c r="N383" s="323">
        <f t="shared" si="46"/>
        <v>3</v>
      </c>
      <c r="O383" s="25">
        <f t="shared" si="44"/>
        <v>42917</v>
      </c>
      <c r="P383" s="5" t="str">
        <f t="shared" si="51"/>
        <v>0,15</v>
      </c>
      <c r="Q383" s="4" t="str">
        <f t="shared" si="52"/>
        <v>Cero Bolívares con 15/100</v>
      </c>
    </row>
    <row r="384" spans="1:17" x14ac:dyDescent="0.25">
      <c r="A384" s="1">
        <f t="shared" si="47"/>
        <v>383</v>
      </c>
      <c r="C384" s="8" t="s">
        <v>17</v>
      </c>
      <c r="D384" s="2">
        <v>42919</v>
      </c>
      <c r="E384" s="3">
        <f>7000/100000</f>
        <v>7.0000000000000007E-2</v>
      </c>
      <c r="F384" t="s">
        <v>84</v>
      </c>
      <c r="G384" t="s">
        <v>85</v>
      </c>
      <c r="H384" t="s">
        <v>86</v>
      </c>
      <c r="I384" s="6" t="s">
        <v>451</v>
      </c>
      <c r="J384" s="61" t="s">
        <v>452</v>
      </c>
      <c r="L384" s="5" t="str">
        <f t="shared" si="42"/>
        <v>00383</v>
      </c>
      <c r="M384" s="47" t="str">
        <f t="shared" si="43"/>
        <v>03 de julio de 2017</v>
      </c>
      <c r="N384" s="323">
        <f t="shared" si="46"/>
        <v>3</v>
      </c>
      <c r="O384" s="25">
        <f t="shared" si="44"/>
        <v>42917</v>
      </c>
      <c r="P384" s="5" t="str">
        <f t="shared" si="51"/>
        <v>0,07</v>
      </c>
      <c r="Q384" s="4" t="str">
        <f t="shared" si="52"/>
        <v>Cero Bolívares con 07/100</v>
      </c>
    </row>
    <row r="385" spans="1:17" x14ac:dyDescent="0.25">
      <c r="A385" s="1">
        <f t="shared" si="47"/>
        <v>384</v>
      </c>
      <c r="C385" s="8" t="s">
        <v>17</v>
      </c>
      <c r="D385" s="2">
        <v>42920</v>
      </c>
      <c r="E385" s="3">
        <f>94000/100000</f>
        <v>0.94</v>
      </c>
      <c r="F385" t="s">
        <v>479</v>
      </c>
      <c r="G385" t="s">
        <v>480</v>
      </c>
      <c r="H385" t="s">
        <v>481</v>
      </c>
      <c r="I385" s="6" t="s">
        <v>482</v>
      </c>
      <c r="J385" s="61" t="s">
        <v>22</v>
      </c>
      <c r="L385" s="5" t="str">
        <f t="shared" si="42"/>
        <v>00384</v>
      </c>
      <c r="M385" s="47" t="str">
        <f t="shared" si="43"/>
        <v>04 de julio de 2017</v>
      </c>
      <c r="N385" s="323">
        <f t="shared" si="46"/>
        <v>4</v>
      </c>
      <c r="O385" s="25">
        <f t="shared" si="44"/>
        <v>42917</v>
      </c>
      <c r="P385" s="5" t="str">
        <f t="shared" ref="P385:P402" si="53">TEXT(E385,"#.##0,00")</f>
        <v>0,94</v>
      </c>
      <c r="Q385" s="4" t="str">
        <f t="shared" ref="Q385:Q402" si="54">CONVERTIRNUM(E385)</f>
        <v>Cero Bolívares con 94/100</v>
      </c>
    </row>
    <row r="386" spans="1:17" x14ac:dyDescent="0.25">
      <c r="A386" s="1">
        <f t="shared" si="47"/>
        <v>385</v>
      </c>
      <c r="C386" s="8" t="s">
        <v>17</v>
      </c>
      <c r="D386" s="2">
        <v>42920</v>
      </c>
      <c r="E386" s="3">
        <f>7000/100000</f>
        <v>7.0000000000000007E-2</v>
      </c>
      <c r="F386" t="s">
        <v>243</v>
      </c>
      <c r="G386" t="s">
        <v>244</v>
      </c>
      <c r="H386" t="s">
        <v>245</v>
      </c>
      <c r="I386" s="6" t="s">
        <v>451</v>
      </c>
      <c r="J386" s="61" t="s">
        <v>452</v>
      </c>
      <c r="L386" s="5" t="str">
        <f t="shared" ref="L386:L449" si="55">IF(ISBLANK(A386),"",TEXT(A386,"00000"))</f>
        <v>00385</v>
      </c>
      <c r="M386" s="47" t="str">
        <f t="shared" ref="M386:M449" si="56">IF(ISBLANK(D386),"",TEXT(D386,"dd")&amp;" de "&amp;TEXT(D386,"mmmm")&amp;" de "&amp;TEXT(YEAR(D386),"0"))</f>
        <v>04 de julio de 2017</v>
      </c>
      <c r="N386" s="323">
        <f t="shared" si="46"/>
        <v>4</v>
      </c>
      <c r="O386" s="25">
        <f t="shared" ref="O386:O449" si="57">DATE(YEAR(D386),MONTH(D386),1)</f>
        <v>42917</v>
      </c>
      <c r="P386" s="5" t="str">
        <f t="shared" si="53"/>
        <v>0,07</v>
      </c>
      <c r="Q386" s="4" t="str">
        <f t="shared" si="54"/>
        <v>Cero Bolívares con 07/100</v>
      </c>
    </row>
    <row r="387" spans="1:17" x14ac:dyDescent="0.25">
      <c r="A387" s="1">
        <f t="shared" si="47"/>
        <v>386</v>
      </c>
      <c r="C387" s="8" t="s">
        <v>17</v>
      </c>
      <c r="D387" s="2">
        <v>42921</v>
      </c>
      <c r="E387" s="3">
        <f>10000/100000</f>
        <v>0.1</v>
      </c>
      <c r="F387" t="s">
        <v>48</v>
      </c>
      <c r="G387" t="s">
        <v>49</v>
      </c>
      <c r="H387" t="s">
        <v>50</v>
      </c>
      <c r="I387" s="6" t="s">
        <v>478</v>
      </c>
      <c r="J387" s="61" t="s">
        <v>22</v>
      </c>
      <c r="L387" s="5" t="str">
        <f t="shared" si="55"/>
        <v>00386</v>
      </c>
      <c r="M387" s="47" t="str">
        <f t="shared" si="56"/>
        <v>05 de julio de 2017</v>
      </c>
      <c r="N387" s="323">
        <f t="shared" ref="N387:N450" si="58">DAY(D387)</f>
        <v>5</v>
      </c>
      <c r="O387" s="25">
        <f t="shared" si="57"/>
        <v>42917</v>
      </c>
      <c r="P387" s="5" t="str">
        <f t="shared" si="53"/>
        <v>0,10</v>
      </c>
      <c r="Q387" s="4" t="str">
        <f t="shared" si="54"/>
        <v>Cero Bolívares con 10/100</v>
      </c>
    </row>
    <row r="388" spans="1:17" x14ac:dyDescent="0.25">
      <c r="A388" s="1">
        <f t="shared" ref="A388:A451" si="59">A387+1</f>
        <v>387</v>
      </c>
      <c r="C388" s="8" t="s">
        <v>17</v>
      </c>
      <c r="D388" s="2">
        <v>42922</v>
      </c>
      <c r="E388" s="3">
        <f>20000/100000</f>
        <v>0.2</v>
      </c>
      <c r="F388" t="s">
        <v>312</v>
      </c>
      <c r="G388" t="s">
        <v>313</v>
      </c>
      <c r="H388" t="s">
        <v>314</v>
      </c>
      <c r="I388" s="6" t="s">
        <v>446</v>
      </c>
      <c r="J388" s="61" t="s">
        <v>22</v>
      </c>
      <c r="L388" s="5" t="str">
        <f t="shared" si="55"/>
        <v>00387</v>
      </c>
      <c r="M388" s="47" t="str">
        <f t="shared" si="56"/>
        <v>06 de julio de 2017</v>
      </c>
      <c r="N388" s="323">
        <f t="shared" si="58"/>
        <v>6</v>
      </c>
      <c r="O388" s="25">
        <f t="shared" si="57"/>
        <v>42917</v>
      </c>
      <c r="P388" s="5" t="str">
        <f t="shared" si="53"/>
        <v>0,20</v>
      </c>
      <c r="Q388" s="4" t="str">
        <f t="shared" si="54"/>
        <v>Cero Bolívares con 20/100</v>
      </c>
    </row>
    <row r="389" spans="1:17" x14ac:dyDescent="0.25">
      <c r="A389" s="1">
        <f t="shared" si="59"/>
        <v>388</v>
      </c>
      <c r="C389" s="8" t="s">
        <v>17</v>
      </c>
      <c r="D389" s="2">
        <v>42922</v>
      </c>
      <c r="E389" s="3">
        <f>26000/100000</f>
        <v>0.26</v>
      </c>
      <c r="F389" t="s">
        <v>483</v>
      </c>
      <c r="G389" t="s">
        <v>484</v>
      </c>
      <c r="H389" t="s">
        <v>485</v>
      </c>
      <c r="I389" s="6" t="s">
        <v>445</v>
      </c>
      <c r="J389" s="61" t="s">
        <v>22</v>
      </c>
      <c r="L389" s="5" t="str">
        <f t="shared" si="55"/>
        <v>00388</v>
      </c>
      <c r="M389" s="47" t="str">
        <f t="shared" si="56"/>
        <v>06 de julio de 2017</v>
      </c>
      <c r="N389" s="323">
        <f t="shared" si="58"/>
        <v>6</v>
      </c>
      <c r="O389" s="25">
        <f t="shared" si="57"/>
        <v>42917</v>
      </c>
      <c r="P389" s="5" t="str">
        <f t="shared" si="53"/>
        <v>0,26</v>
      </c>
      <c r="Q389" s="4" t="str">
        <f t="shared" si="54"/>
        <v>Cero Bolívares con 26/100</v>
      </c>
    </row>
    <row r="390" spans="1:17" x14ac:dyDescent="0.25">
      <c r="A390" s="1">
        <f t="shared" si="59"/>
        <v>389</v>
      </c>
      <c r="C390" s="8" t="s">
        <v>17</v>
      </c>
      <c r="D390" s="2">
        <v>42922</v>
      </c>
      <c r="E390" s="3">
        <f>4000/100000</f>
        <v>0.04</v>
      </c>
      <c r="F390" t="s">
        <v>483</v>
      </c>
      <c r="G390" t="s">
        <v>484</v>
      </c>
      <c r="H390" t="s">
        <v>485</v>
      </c>
      <c r="I390" s="6" t="s">
        <v>457</v>
      </c>
      <c r="J390" s="61" t="s">
        <v>452</v>
      </c>
      <c r="L390" s="5" t="str">
        <f t="shared" si="55"/>
        <v>00389</v>
      </c>
      <c r="M390" s="47" t="str">
        <f t="shared" si="56"/>
        <v>06 de julio de 2017</v>
      </c>
      <c r="N390" s="323">
        <f t="shared" si="58"/>
        <v>6</v>
      </c>
      <c r="O390" s="25">
        <f t="shared" si="57"/>
        <v>42917</v>
      </c>
      <c r="P390" s="5" t="str">
        <f t="shared" si="53"/>
        <v>0,04</v>
      </c>
      <c r="Q390" s="4" t="str">
        <f t="shared" si="54"/>
        <v>Cero Bolívares con 04/100</v>
      </c>
    </row>
    <row r="391" spans="1:17" x14ac:dyDescent="0.25">
      <c r="A391" s="1">
        <f t="shared" si="59"/>
        <v>390</v>
      </c>
      <c r="C391" s="8" t="s">
        <v>17</v>
      </c>
      <c r="D391" s="2">
        <v>42922</v>
      </c>
      <c r="E391" s="3">
        <f>26000/100000</f>
        <v>0.26</v>
      </c>
      <c r="F391" t="s">
        <v>90</v>
      </c>
      <c r="G391" t="s">
        <v>91</v>
      </c>
      <c r="H391" t="s">
        <v>92</v>
      </c>
      <c r="I391" s="6" t="s">
        <v>473</v>
      </c>
      <c r="J391" s="61" t="s">
        <v>22</v>
      </c>
      <c r="L391" s="5" t="str">
        <f t="shared" si="55"/>
        <v>00390</v>
      </c>
      <c r="M391" s="47" t="str">
        <f t="shared" si="56"/>
        <v>06 de julio de 2017</v>
      </c>
      <c r="N391" s="323">
        <f t="shared" si="58"/>
        <v>6</v>
      </c>
      <c r="O391" s="25">
        <f t="shared" si="57"/>
        <v>42917</v>
      </c>
      <c r="P391" s="5" t="str">
        <f t="shared" si="53"/>
        <v>0,26</v>
      </c>
      <c r="Q391" s="4" t="str">
        <f t="shared" si="54"/>
        <v>Cero Bolívares con 26/100</v>
      </c>
    </row>
    <row r="392" spans="1:17" x14ac:dyDescent="0.25">
      <c r="A392" s="1">
        <f t="shared" si="59"/>
        <v>391</v>
      </c>
      <c r="C392" s="8" t="s">
        <v>17</v>
      </c>
      <c r="D392" s="2">
        <v>42923</v>
      </c>
      <c r="E392" s="3">
        <f>2*26000/100000</f>
        <v>0.52</v>
      </c>
      <c r="F392" t="s">
        <v>114</v>
      </c>
      <c r="G392" t="s">
        <v>115</v>
      </c>
      <c r="H392" t="s">
        <v>116</v>
      </c>
      <c r="I392" s="6" t="s">
        <v>486</v>
      </c>
      <c r="J392" s="61" t="s">
        <v>22</v>
      </c>
      <c r="L392" s="5" t="str">
        <f t="shared" si="55"/>
        <v>00391</v>
      </c>
      <c r="M392" s="47" t="str">
        <f t="shared" si="56"/>
        <v>07 de julio de 2017</v>
      </c>
      <c r="N392" s="323">
        <f t="shared" si="58"/>
        <v>7</v>
      </c>
      <c r="O392" s="25">
        <f t="shared" si="57"/>
        <v>42917</v>
      </c>
      <c r="P392" s="5" t="str">
        <f t="shared" si="53"/>
        <v>0,52</v>
      </c>
      <c r="Q392" s="4" t="str">
        <f t="shared" si="54"/>
        <v>Cero Bolívares con 52/100</v>
      </c>
    </row>
    <row r="393" spans="1:17" x14ac:dyDescent="0.25">
      <c r="A393" s="1">
        <f t="shared" si="59"/>
        <v>392</v>
      </c>
      <c r="C393" s="8" t="s">
        <v>17</v>
      </c>
      <c r="D393" s="2">
        <v>42923</v>
      </c>
      <c r="E393" s="3">
        <f>7000/100000</f>
        <v>7.0000000000000007E-2</v>
      </c>
      <c r="F393" t="s">
        <v>114</v>
      </c>
      <c r="G393" t="s">
        <v>115</v>
      </c>
      <c r="H393" t="s">
        <v>116</v>
      </c>
      <c r="I393" s="6" t="s">
        <v>451</v>
      </c>
      <c r="J393" s="61" t="s">
        <v>452</v>
      </c>
      <c r="L393" s="5" t="str">
        <f t="shared" si="55"/>
        <v>00392</v>
      </c>
      <c r="M393" s="47" t="str">
        <f t="shared" si="56"/>
        <v>07 de julio de 2017</v>
      </c>
      <c r="N393" s="323">
        <f t="shared" si="58"/>
        <v>7</v>
      </c>
      <c r="O393" s="25">
        <f t="shared" si="57"/>
        <v>42917</v>
      </c>
      <c r="P393" s="5" t="str">
        <f t="shared" si="53"/>
        <v>0,07</v>
      </c>
      <c r="Q393" s="4" t="str">
        <f t="shared" si="54"/>
        <v>Cero Bolívares con 07/100</v>
      </c>
    </row>
    <row r="394" spans="1:17" x14ac:dyDescent="0.25">
      <c r="A394" s="1">
        <f t="shared" si="59"/>
        <v>393</v>
      </c>
      <c r="C394" s="8" t="s">
        <v>17</v>
      </c>
      <c r="D394" s="2">
        <v>42892</v>
      </c>
      <c r="E394" s="3">
        <f>26000/100000</f>
        <v>0.26</v>
      </c>
      <c r="F394" t="s">
        <v>319</v>
      </c>
      <c r="G394" s="18" t="s">
        <v>58</v>
      </c>
      <c r="H394" t="s">
        <v>320</v>
      </c>
      <c r="I394" s="6" t="s">
        <v>445</v>
      </c>
      <c r="J394" s="61" t="s">
        <v>22</v>
      </c>
      <c r="L394" s="5" t="str">
        <f t="shared" si="55"/>
        <v>00393</v>
      </c>
      <c r="M394" s="47" t="str">
        <f t="shared" si="56"/>
        <v>06 de junio de 2017</v>
      </c>
      <c r="N394" s="323">
        <f t="shared" si="58"/>
        <v>6</v>
      </c>
      <c r="O394" s="25">
        <f t="shared" si="57"/>
        <v>42887</v>
      </c>
      <c r="P394" s="5" t="str">
        <f t="shared" si="53"/>
        <v>0,26</v>
      </c>
      <c r="Q394" s="4" t="str">
        <f t="shared" si="54"/>
        <v>Cero Bolívares con 26/100</v>
      </c>
    </row>
    <row r="395" spans="1:17" x14ac:dyDescent="0.25">
      <c r="A395" s="1">
        <f t="shared" si="59"/>
        <v>394</v>
      </c>
      <c r="C395" s="8" t="s">
        <v>17</v>
      </c>
      <c r="D395" s="2">
        <v>42925</v>
      </c>
      <c r="E395" s="3">
        <f>26000/100000</f>
        <v>0.26</v>
      </c>
      <c r="F395" t="s">
        <v>24</v>
      </c>
      <c r="G395" t="s">
        <v>25</v>
      </c>
      <c r="H395" t="s">
        <v>26</v>
      </c>
      <c r="I395" s="6" t="s">
        <v>473</v>
      </c>
      <c r="J395" s="61" t="s">
        <v>22</v>
      </c>
      <c r="L395" s="5" t="str">
        <f t="shared" si="55"/>
        <v>00394</v>
      </c>
      <c r="M395" s="47" t="str">
        <f t="shared" si="56"/>
        <v>09 de julio de 2017</v>
      </c>
      <c r="N395" s="323">
        <f t="shared" si="58"/>
        <v>9</v>
      </c>
      <c r="O395" s="25">
        <f t="shared" si="57"/>
        <v>42917</v>
      </c>
      <c r="P395" s="5" t="str">
        <f t="shared" si="53"/>
        <v>0,26</v>
      </c>
      <c r="Q395" s="4" t="str">
        <f t="shared" si="54"/>
        <v>Cero Bolívares con 26/100</v>
      </c>
    </row>
    <row r="396" spans="1:17" x14ac:dyDescent="0.25">
      <c r="A396" s="1">
        <f t="shared" si="59"/>
        <v>395</v>
      </c>
      <c r="C396" s="8" t="s">
        <v>17</v>
      </c>
      <c r="D396" s="2">
        <v>42926</v>
      </c>
      <c r="E396" s="3">
        <f>7000/100000</f>
        <v>7.0000000000000007E-2</v>
      </c>
      <c r="F396" t="s">
        <v>122</v>
      </c>
      <c r="G396" t="s">
        <v>123</v>
      </c>
      <c r="H396" t="s">
        <v>124</v>
      </c>
      <c r="I396" s="6" t="s">
        <v>451</v>
      </c>
      <c r="J396" s="61" t="s">
        <v>452</v>
      </c>
      <c r="L396" s="5" t="str">
        <f t="shared" si="55"/>
        <v>00395</v>
      </c>
      <c r="M396" s="47" t="str">
        <f t="shared" si="56"/>
        <v>10 de julio de 2017</v>
      </c>
      <c r="N396" s="323">
        <f t="shared" si="58"/>
        <v>10</v>
      </c>
      <c r="O396" s="25">
        <f t="shared" si="57"/>
        <v>42917</v>
      </c>
      <c r="P396" s="5" t="str">
        <f t="shared" si="53"/>
        <v>0,07</v>
      </c>
      <c r="Q396" s="4" t="str">
        <f t="shared" si="54"/>
        <v>Cero Bolívares con 07/100</v>
      </c>
    </row>
    <row r="397" spans="1:17" x14ac:dyDescent="0.25">
      <c r="A397" s="1">
        <f t="shared" si="59"/>
        <v>396</v>
      </c>
      <c r="C397" s="8" t="s">
        <v>17</v>
      </c>
      <c r="D397" s="2">
        <v>42926</v>
      </c>
      <c r="E397" s="3">
        <f>26000/100000</f>
        <v>0.26</v>
      </c>
      <c r="F397" t="s">
        <v>206</v>
      </c>
      <c r="G397" t="s">
        <v>207</v>
      </c>
      <c r="H397" t="s">
        <v>208</v>
      </c>
      <c r="I397" s="6" t="s">
        <v>445</v>
      </c>
      <c r="J397" s="61" t="s">
        <v>22</v>
      </c>
      <c r="L397" s="5" t="str">
        <f t="shared" si="55"/>
        <v>00396</v>
      </c>
      <c r="M397" s="47" t="str">
        <f t="shared" si="56"/>
        <v>10 de julio de 2017</v>
      </c>
      <c r="N397" s="323">
        <f t="shared" si="58"/>
        <v>10</v>
      </c>
      <c r="O397" s="25">
        <f t="shared" si="57"/>
        <v>42917</v>
      </c>
      <c r="P397" s="5" t="str">
        <f t="shared" si="53"/>
        <v>0,26</v>
      </c>
      <c r="Q397" s="4" t="str">
        <f t="shared" si="54"/>
        <v>Cero Bolívares con 26/100</v>
      </c>
    </row>
    <row r="398" spans="1:17" x14ac:dyDescent="0.25">
      <c r="A398" s="1">
        <f t="shared" si="59"/>
        <v>397</v>
      </c>
      <c r="C398" s="8" t="s">
        <v>17</v>
      </c>
      <c r="D398" s="2">
        <v>42888</v>
      </c>
      <c r="E398" s="3">
        <f>26000/100000</f>
        <v>0.26</v>
      </c>
      <c r="F398" t="s">
        <v>40</v>
      </c>
      <c r="G398" t="s">
        <v>41</v>
      </c>
      <c r="H398" t="s">
        <v>42</v>
      </c>
      <c r="I398" s="6" t="s">
        <v>445</v>
      </c>
      <c r="J398" s="61" t="s">
        <v>22</v>
      </c>
      <c r="L398" s="5" t="str">
        <f t="shared" si="55"/>
        <v>00397</v>
      </c>
      <c r="M398" s="47" t="str">
        <f t="shared" si="56"/>
        <v>02 de junio de 2017</v>
      </c>
      <c r="N398" s="323">
        <f t="shared" si="58"/>
        <v>2</v>
      </c>
      <c r="O398" s="25">
        <f t="shared" si="57"/>
        <v>42887</v>
      </c>
      <c r="P398" s="5" t="str">
        <f t="shared" si="53"/>
        <v>0,26</v>
      </c>
      <c r="Q398" s="4" t="str">
        <f t="shared" si="54"/>
        <v>Cero Bolívares con 26/100</v>
      </c>
    </row>
    <row r="399" spans="1:17" x14ac:dyDescent="0.25">
      <c r="A399" s="1">
        <f t="shared" si="59"/>
        <v>398</v>
      </c>
      <c r="C399" s="8" t="s">
        <v>17</v>
      </c>
      <c r="D399" s="2">
        <v>42927</v>
      </c>
      <c r="E399" s="3">
        <f>26000/100000</f>
        <v>0.26</v>
      </c>
      <c r="F399" t="s">
        <v>148</v>
      </c>
      <c r="G399" t="s">
        <v>149</v>
      </c>
      <c r="H399" t="s">
        <v>150</v>
      </c>
      <c r="I399" s="6" t="s">
        <v>445</v>
      </c>
      <c r="J399" s="61" t="s">
        <v>22</v>
      </c>
      <c r="L399" s="5" t="str">
        <f t="shared" si="55"/>
        <v>00398</v>
      </c>
      <c r="M399" s="47" t="str">
        <f t="shared" si="56"/>
        <v>11 de julio de 2017</v>
      </c>
      <c r="N399" s="323">
        <f t="shared" si="58"/>
        <v>11</v>
      </c>
      <c r="O399" s="25">
        <f t="shared" si="57"/>
        <v>42917</v>
      </c>
      <c r="P399" s="5" t="str">
        <f t="shared" si="53"/>
        <v>0,26</v>
      </c>
      <c r="Q399" s="4" t="str">
        <f t="shared" si="54"/>
        <v>Cero Bolívares con 26/100</v>
      </c>
    </row>
    <row r="400" spans="1:17" x14ac:dyDescent="0.25">
      <c r="A400" s="1">
        <f t="shared" si="59"/>
        <v>399</v>
      </c>
      <c r="C400" s="8" t="s">
        <v>17</v>
      </c>
      <c r="D400" s="2">
        <v>42900</v>
      </c>
      <c r="E400" s="3">
        <f>26000/100000</f>
        <v>0.26</v>
      </c>
      <c r="F400" t="s">
        <v>70</v>
      </c>
      <c r="G400" t="s">
        <v>71</v>
      </c>
      <c r="H400" t="s">
        <v>72</v>
      </c>
      <c r="I400" s="6" t="s">
        <v>445</v>
      </c>
      <c r="J400" s="61" t="s">
        <v>22</v>
      </c>
      <c r="L400" s="5" t="str">
        <f t="shared" si="55"/>
        <v>00399</v>
      </c>
      <c r="M400" s="47" t="str">
        <f t="shared" si="56"/>
        <v>14 de junio de 2017</v>
      </c>
      <c r="N400" s="323">
        <f t="shared" si="58"/>
        <v>14</v>
      </c>
      <c r="O400" s="25">
        <f t="shared" si="57"/>
        <v>42887</v>
      </c>
      <c r="P400" s="5" t="str">
        <f t="shared" si="53"/>
        <v>0,26</v>
      </c>
      <c r="Q400" s="4" t="str">
        <f t="shared" si="54"/>
        <v>Cero Bolívares con 26/100</v>
      </c>
    </row>
    <row r="401" spans="1:17" x14ac:dyDescent="0.25">
      <c r="A401" s="1">
        <f t="shared" si="59"/>
        <v>400</v>
      </c>
      <c r="C401" s="8" t="s">
        <v>17</v>
      </c>
      <c r="D401" s="2">
        <v>42900</v>
      </c>
      <c r="E401" s="3">
        <f>7000/100000</f>
        <v>7.0000000000000007E-2</v>
      </c>
      <c r="F401" t="s">
        <v>70</v>
      </c>
      <c r="G401" t="s">
        <v>71</v>
      </c>
      <c r="H401" t="s">
        <v>72</v>
      </c>
      <c r="I401" s="6" t="s">
        <v>451</v>
      </c>
      <c r="J401" s="61" t="s">
        <v>452</v>
      </c>
      <c r="L401" s="5" t="str">
        <f t="shared" si="55"/>
        <v>00400</v>
      </c>
      <c r="M401" s="47" t="str">
        <f t="shared" si="56"/>
        <v>14 de junio de 2017</v>
      </c>
      <c r="N401" s="323">
        <f t="shared" si="58"/>
        <v>14</v>
      </c>
      <c r="O401" s="25">
        <f t="shared" si="57"/>
        <v>42887</v>
      </c>
      <c r="P401" s="5" t="str">
        <f t="shared" si="53"/>
        <v>0,07</v>
      </c>
      <c r="Q401" s="4" t="str">
        <f t="shared" si="54"/>
        <v>Cero Bolívares con 07/100</v>
      </c>
    </row>
    <row r="402" spans="1:17" x14ac:dyDescent="0.25">
      <c r="A402" s="1">
        <f t="shared" si="59"/>
        <v>401</v>
      </c>
      <c r="C402" s="8" t="s">
        <v>17</v>
      </c>
      <c r="D402" s="2">
        <v>42927</v>
      </c>
      <c r="E402" s="3">
        <f>26000/100000</f>
        <v>0.26</v>
      </c>
      <c r="F402" t="s">
        <v>443</v>
      </c>
      <c r="G402" t="s">
        <v>444</v>
      </c>
      <c r="H402" t="s">
        <v>75</v>
      </c>
      <c r="I402" s="6" t="s">
        <v>473</v>
      </c>
      <c r="J402" s="61" t="s">
        <v>22</v>
      </c>
      <c r="L402" s="5" t="str">
        <f t="shared" si="55"/>
        <v>00401</v>
      </c>
      <c r="M402" s="47" t="str">
        <f t="shared" si="56"/>
        <v>11 de julio de 2017</v>
      </c>
      <c r="N402" s="323">
        <f t="shared" si="58"/>
        <v>11</v>
      </c>
      <c r="O402" s="25">
        <f t="shared" si="57"/>
        <v>42917</v>
      </c>
      <c r="P402" s="5" t="str">
        <f t="shared" si="53"/>
        <v>0,26</v>
      </c>
      <c r="Q402" s="4" t="str">
        <f t="shared" si="54"/>
        <v>Cero Bolívares con 26/100</v>
      </c>
    </row>
    <row r="403" spans="1:17" x14ac:dyDescent="0.25">
      <c r="A403" s="1">
        <f t="shared" si="59"/>
        <v>402</v>
      </c>
      <c r="C403" s="8" t="s">
        <v>17</v>
      </c>
      <c r="D403" s="2">
        <v>42927</v>
      </c>
      <c r="E403" s="3">
        <f>26000/100000</f>
        <v>0.26</v>
      </c>
      <c r="F403" t="s">
        <v>70</v>
      </c>
      <c r="G403" t="s">
        <v>71</v>
      </c>
      <c r="H403" t="s">
        <v>72</v>
      </c>
      <c r="I403" s="6" t="s">
        <v>473</v>
      </c>
      <c r="J403" s="61" t="s">
        <v>22</v>
      </c>
      <c r="L403" s="5" t="str">
        <f t="shared" si="55"/>
        <v>00402</v>
      </c>
      <c r="M403" s="47" t="str">
        <f t="shared" si="56"/>
        <v>11 de julio de 2017</v>
      </c>
      <c r="N403" s="323">
        <f t="shared" si="58"/>
        <v>11</v>
      </c>
      <c r="O403" s="25">
        <f t="shared" si="57"/>
        <v>42917</v>
      </c>
      <c r="P403" s="5" t="str">
        <f>TEXT(E403,"#.##0,00")</f>
        <v>0,26</v>
      </c>
      <c r="Q403" s="4" t="str">
        <f>CONVERTIRNUM(E403)</f>
        <v>Cero Bolívares con 26/100</v>
      </c>
    </row>
    <row r="404" spans="1:17" x14ac:dyDescent="0.25">
      <c r="A404" s="1">
        <f t="shared" si="59"/>
        <v>403</v>
      </c>
      <c r="C404" s="8" t="s">
        <v>17</v>
      </c>
      <c r="D404" s="2">
        <v>42927</v>
      </c>
      <c r="E404" s="3">
        <f>5000/100000</f>
        <v>0.05</v>
      </c>
      <c r="F404" t="s">
        <v>291</v>
      </c>
      <c r="G404" t="s">
        <v>292</v>
      </c>
      <c r="H404" t="s">
        <v>293</v>
      </c>
      <c r="I404" s="6" t="s">
        <v>457</v>
      </c>
      <c r="J404" s="61" t="s">
        <v>452</v>
      </c>
      <c r="L404" s="5" t="str">
        <f t="shared" si="55"/>
        <v>00403</v>
      </c>
      <c r="M404" s="47" t="str">
        <f t="shared" si="56"/>
        <v>11 de julio de 2017</v>
      </c>
      <c r="N404" s="323">
        <f t="shared" si="58"/>
        <v>11</v>
      </c>
      <c r="O404" s="25">
        <f t="shared" si="57"/>
        <v>42917</v>
      </c>
      <c r="P404" s="5" t="str">
        <f>TEXT(E404,"#.##0,00")</f>
        <v>0,05</v>
      </c>
      <c r="Q404" s="4" t="str">
        <f>CONVERTIRNUM(E404)</f>
        <v>Cero Bolívares con 05/100</v>
      </c>
    </row>
    <row r="405" spans="1:17" x14ac:dyDescent="0.25">
      <c r="A405" s="1">
        <f t="shared" si="59"/>
        <v>404</v>
      </c>
      <c r="C405" s="8" t="s">
        <v>225</v>
      </c>
      <c r="D405" s="2">
        <v>42927</v>
      </c>
      <c r="F405" t="s">
        <v>291</v>
      </c>
      <c r="G405" t="s">
        <v>292</v>
      </c>
      <c r="H405" t="s">
        <v>293</v>
      </c>
      <c r="I405" s="6" t="s">
        <v>487</v>
      </c>
      <c r="J405" s="61" t="s">
        <v>488</v>
      </c>
      <c r="L405" s="5" t="str">
        <f t="shared" si="55"/>
        <v>00404</v>
      </c>
      <c r="M405" s="5" t="str">
        <f t="shared" si="56"/>
        <v>11 de julio de 2017</v>
      </c>
      <c r="N405" s="323">
        <f t="shared" si="58"/>
        <v>11</v>
      </c>
      <c r="O405" s="25">
        <f t="shared" si="57"/>
        <v>42917</v>
      </c>
      <c r="P405" s="49" t="s">
        <v>489</v>
      </c>
      <c r="Q405" s="50" t="s">
        <v>490</v>
      </c>
    </row>
    <row r="406" spans="1:17" x14ac:dyDescent="0.25">
      <c r="A406" s="1">
        <f t="shared" si="59"/>
        <v>405</v>
      </c>
      <c r="C406" s="8" t="s">
        <v>17</v>
      </c>
      <c r="D406" s="2">
        <v>42928</v>
      </c>
      <c r="E406" s="3">
        <f>66000/100000</f>
        <v>0.66</v>
      </c>
      <c r="F406" t="s">
        <v>342</v>
      </c>
      <c r="G406" t="s">
        <v>343</v>
      </c>
      <c r="H406" t="s">
        <v>344</v>
      </c>
      <c r="I406" s="6" t="s">
        <v>491</v>
      </c>
      <c r="J406" s="61" t="s">
        <v>22</v>
      </c>
      <c r="L406" s="5" t="str">
        <f t="shared" si="55"/>
        <v>00405</v>
      </c>
      <c r="M406" s="47" t="str">
        <f t="shared" si="56"/>
        <v>12 de julio de 2017</v>
      </c>
      <c r="N406" s="323">
        <f t="shared" si="58"/>
        <v>12</v>
      </c>
      <c r="O406" s="25">
        <f t="shared" si="57"/>
        <v>42917</v>
      </c>
      <c r="P406" s="5" t="str">
        <f>TEXT(E406,"#.##0,00")</f>
        <v>0,66</v>
      </c>
      <c r="Q406" s="4" t="str">
        <f>CONVERTIRNUM(E406)</f>
        <v>Cero Bolívares con 66/100</v>
      </c>
    </row>
    <row r="407" spans="1:17" x14ac:dyDescent="0.25">
      <c r="A407" s="1">
        <f t="shared" si="59"/>
        <v>406</v>
      </c>
      <c r="C407" s="8" t="s">
        <v>17</v>
      </c>
      <c r="D407" s="2">
        <v>42928</v>
      </c>
      <c r="E407" s="3">
        <f>26000/100000</f>
        <v>0.26</v>
      </c>
      <c r="F407" t="s">
        <v>243</v>
      </c>
      <c r="G407" t="s">
        <v>244</v>
      </c>
      <c r="H407" t="s">
        <v>245</v>
      </c>
      <c r="I407" s="6" t="s">
        <v>473</v>
      </c>
      <c r="J407" s="61" t="s">
        <v>22</v>
      </c>
      <c r="L407" s="5" t="str">
        <f t="shared" si="55"/>
        <v>00406</v>
      </c>
      <c r="M407" s="47" t="str">
        <f t="shared" si="56"/>
        <v>12 de julio de 2017</v>
      </c>
      <c r="N407" s="323">
        <f t="shared" si="58"/>
        <v>12</v>
      </c>
      <c r="O407" s="25">
        <f t="shared" si="57"/>
        <v>42917</v>
      </c>
      <c r="P407" s="5" t="str">
        <f>TEXT(E407,"#.##0,00")</f>
        <v>0,26</v>
      </c>
      <c r="Q407" s="4" t="str">
        <f>CONVERTIRNUM(E407)</f>
        <v>Cero Bolívares con 26/100</v>
      </c>
    </row>
    <row r="408" spans="1:17" x14ac:dyDescent="0.25">
      <c r="A408" s="1">
        <f t="shared" si="59"/>
        <v>407</v>
      </c>
      <c r="C408" s="8" t="s">
        <v>17</v>
      </c>
      <c r="D408" s="2">
        <v>42928</v>
      </c>
      <c r="E408" s="3">
        <f>26000/100000</f>
        <v>0.26</v>
      </c>
      <c r="F408" t="s">
        <v>407</v>
      </c>
      <c r="G408" t="s">
        <v>408</v>
      </c>
      <c r="H408" t="s">
        <v>409</v>
      </c>
      <c r="I408" s="6" t="s">
        <v>486</v>
      </c>
      <c r="J408" s="61" t="s">
        <v>22</v>
      </c>
      <c r="L408" s="5" t="str">
        <f t="shared" si="55"/>
        <v>00407</v>
      </c>
      <c r="M408" s="47" t="str">
        <f t="shared" si="56"/>
        <v>12 de julio de 2017</v>
      </c>
      <c r="N408" s="323">
        <f t="shared" si="58"/>
        <v>12</v>
      </c>
      <c r="O408" s="25">
        <f t="shared" si="57"/>
        <v>42917</v>
      </c>
      <c r="P408" s="5" t="str">
        <f>TEXT(E408,"#.##0,00")</f>
        <v>0,26</v>
      </c>
      <c r="Q408" s="4" t="str">
        <f>CONVERTIRNUM(E408)</f>
        <v>Cero Bolívares con 26/100</v>
      </c>
    </row>
    <row r="409" spans="1:17" x14ac:dyDescent="0.25">
      <c r="A409" s="1">
        <f t="shared" si="59"/>
        <v>408</v>
      </c>
      <c r="C409" s="8" t="s">
        <v>17</v>
      </c>
      <c r="D409" s="2">
        <v>42928</v>
      </c>
      <c r="E409" s="3">
        <f>7000/100000</f>
        <v>7.0000000000000007E-2</v>
      </c>
      <c r="F409" t="s">
        <v>407</v>
      </c>
      <c r="G409" t="s">
        <v>408</v>
      </c>
      <c r="H409" t="s">
        <v>409</v>
      </c>
      <c r="I409" s="6" t="s">
        <v>451</v>
      </c>
      <c r="J409" s="61" t="s">
        <v>452</v>
      </c>
      <c r="L409" s="5" t="str">
        <f t="shared" si="55"/>
        <v>00408</v>
      </c>
      <c r="M409" s="47" t="str">
        <f t="shared" si="56"/>
        <v>12 de julio de 2017</v>
      </c>
      <c r="N409" s="323">
        <f t="shared" si="58"/>
        <v>12</v>
      </c>
      <c r="O409" s="25">
        <f t="shared" si="57"/>
        <v>42917</v>
      </c>
      <c r="P409" s="5" t="str">
        <f t="shared" ref="P409:P425" si="60">TEXT(E409,"#.##0,00")</f>
        <v>0,07</v>
      </c>
      <c r="Q409" s="4" t="str">
        <f t="shared" ref="Q409:Q425" si="61">CONVERTIRNUM(E409)</f>
        <v>Cero Bolívares con 07/100</v>
      </c>
    </row>
    <row r="410" spans="1:17" x14ac:dyDescent="0.25">
      <c r="A410" s="1">
        <f t="shared" si="59"/>
        <v>409</v>
      </c>
      <c r="C410" s="8" t="s">
        <v>17</v>
      </c>
      <c r="D410" s="2">
        <v>42928</v>
      </c>
      <c r="E410" s="3">
        <f>26000/100000</f>
        <v>0.26</v>
      </c>
      <c r="F410" t="s">
        <v>107</v>
      </c>
      <c r="G410" t="s">
        <v>108</v>
      </c>
      <c r="H410" t="s">
        <v>109</v>
      </c>
      <c r="I410" s="6" t="s">
        <v>473</v>
      </c>
      <c r="J410" s="61" t="s">
        <v>22</v>
      </c>
      <c r="L410" s="5" t="str">
        <f t="shared" si="55"/>
        <v>00409</v>
      </c>
      <c r="M410" s="47" t="str">
        <f t="shared" si="56"/>
        <v>12 de julio de 2017</v>
      </c>
      <c r="N410" s="323">
        <f t="shared" si="58"/>
        <v>12</v>
      </c>
      <c r="O410" s="25">
        <f t="shared" si="57"/>
        <v>42917</v>
      </c>
      <c r="P410" s="5" t="str">
        <f t="shared" si="60"/>
        <v>0,26</v>
      </c>
      <c r="Q410" s="4" t="str">
        <f t="shared" si="61"/>
        <v>Cero Bolívares con 26/100</v>
      </c>
    </row>
    <row r="411" spans="1:17" x14ac:dyDescent="0.25">
      <c r="A411" s="1">
        <f t="shared" si="59"/>
        <v>410</v>
      </c>
      <c r="C411" s="85" t="s">
        <v>17</v>
      </c>
      <c r="D411" s="2">
        <v>42928</v>
      </c>
      <c r="E411" s="3">
        <f>10000/100000</f>
        <v>0.1</v>
      </c>
      <c r="F411" t="s">
        <v>492</v>
      </c>
      <c r="G411" s="18" t="s">
        <v>58</v>
      </c>
      <c r="H411" t="s">
        <v>493</v>
      </c>
      <c r="I411" s="6" t="s">
        <v>494</v>
      </c>
      <c r="J411" s="61" t="s">
        <v>22</v>
      </c>
      <c r="L411" s="5" t="str">
        <f t="shared" si="55"/>
        <v>00410</v>
      </c>
      <c r="M411" s="47" t="str">
        <f t="shared" si="56"/>
        <v>12 de julio de 2017</v>
      </c>
      <c r="N411" s="323">
        <f t="shared" si="58"/>
        <v>12</v>
      </c>
      <c r="O411" s="25">
        <f t="shared" si="57"/>
        <v>42917</v>
      </c>
      <c r="P411" s="5" t="str">
        <f t="shared" si="60"/>
        <v>0,10</v>
      </c>
      <c r="Q411" s="4" t="str">
        <f t="shared" si="61"/>
        <v>Cero Bolívares con 10/100</v>
      </c>
    </row>
    <row r="412" spans="1:17" x14ac:dyDescent="0.25">
      <c r="A412" s="1">
        <f t="shared" si="59"/>
        <v>411</v>
      </c>
      <c r="C412" s="8" t="s">
        <v>17</v>
      </c>
      <c r="D412" s="2">
        <v>42920</v>
      </c>
      <c r="E412" s="3">
        <f>18000/100000</f>
        <v>0.18</v>
      </c>
      <c r="F412" t="s">
        <v>264</v>
      </c>
      <c r="G412" t="s">
        <v>265</v>
      </c>
      <c r="H412" t="s">
        <v>266</v>
      </c>
      <c r="I412" s="6" t="s">
        <v>495</v>
      </c>
      <c r="J412" s="61" t="s">
        <v>22</v>
      </c>
      <c r="L412" s="5" t="str">
        <f t="shared" si="55"/>
        <v>00411</v>
      </c>
      <c r="M412" s="47" t="str">
        <f t="shared" si="56"/>
        <v>04 de julio de 2017</v>
      </c>
      <c r="N412" s="323">
        <f t="shared" si="58"/>
        <v>4</v>
      </c>
      <c r="O412" s="25">
        <f t="shared" si="57"/>
        <v>42917</v>
      </c>
      <c r="P412" s="5" t="str">
        <f t="shared" si="60"/>
        <v>0,18</v>
      </c>
      <c r="Q412" s="4" t="str">
        <f t="shared" si="61"/>
        <v>Cero Bolívares con 18/100</v>
      </c>
    </row>
    <row r="413" spans="1:17" x14ac:dyDescent="0.25">
      <c r="A413" s="1">
        <f t="shared" si="59"/>
        <v>412</v>
      </c>
      <c r="C413" s="8" t="s">
        <v>17</v>
      </c>
      <c r="D413" s="2">
        <v>42928</v>
      </c>
      <c r="E413" s="3">
        <f>26000/100000</f>
        <v>0.26</v>
      </c>
      <c r="F413" t="s">
        <v>138</v>
      </c>
      <c r="G413" t="s">
        <v>139</v>
      </c>
      <c r="H413" t="s">
        <v>140</v>
      </c>
      <c r="I413" s="6" t="s">
        <v>445</v>
      </c>
      <c r="J413" s="61" t="s">
        <v>22</v>
      </c>
      <c r="L413" s="5" t="str">
        <f t="shared" si="55"/>
        <v>00412</v>
      </c>
      <c r="M413" s="47" t="str">
        <f t="shared" si="56"/>
        <v>12 de julio de 2017</v>
      </c>
      <c r="N413" s="323">
        <f t="shared" si="58"/>
        <v>12</v>
      </c>
      <c r="O413" s="25">
        <f t="shared" si="57"/>
        <v>42917</v>
      </c>
      <c r="P413" s="5" t="str">
        <f t="shared" si="60"/>
        <v>0,26</v>
      </c>
      <c r="Q413" s="4" t="str">
        <f t="shared" si="61"/>
        <v>Cero Bolívares con 26/100</v>
      </c>
    </row>
    <row r="414" spans="1:17" x14ac:dyDescent="0.25">
      <c r="A414" s="1">
        <f t="shared" si="59"/>
        <v>413</v>
      </c>
      <c r="C414" s="8" t="s">
        <v>17</v>
      </c>
      <c r="D414" s="2">
        <v>42929</v>
      </c>
      <c r="E414" s="3">
        <f>26000/100000</f>
        <v>0.26</v>
      </c>
      <c r="F414" t="s">
        <v>162</v>
      </c>
      <c r="G414" t="s">
        <v>163</v>
      </c>
      <c r="H414" t="s">
        <v>164</v>
      </c>
      <c r="I414" s="6" t="s">
        <v>445</v>
      </c>
      <c r="J414" s="61" t="s">
        <v>22</v>
      </c>
      <c r="L414" s="5" t="str">
        <f t="shared" si="55"/>
        <v>00413</v>
      </c>
      <c r="M414" s="47" t="str">
        <f t="shared" si="56"/>
        <v>13 de julio de 2017</v>
      </c>
      <c r="N414" s="323">
        <f t="shared" si="58"/>
        <v>13</v>
      </c>
      <c r="O414" s="25">
        <f t="shared" si="57"/>
        <v>42917</v>
      </c>
      <c r="P414" s="5" t="str">
        <f t="shared" si="60"/>
        <v>0,26</v>
      </c>
      <c r="Q414" s="4" t="str">
        <f t="shared" si="61"/>
        <v>Cero Bolívares con 26/100</v>
      </c>
    </row>
    <row r="415" spans="1:17" x14ac:dyDescent="0.25">
      <c r="A415" s="1">
        <f t="shared" si="59"/>
        <v>414</v>
      </c>
      <c r="C415" s="8" t="s">
        <v>17</v>
      </c>
      <c r="D415" s="2">
        <v>42930</v>
      </c>
      <c r="E415" s="3">
        <f>17000*2/100000</f>
        <v>0.34</v>
      </c>
      <c r="F415" t="s">
        <v>410</v>
      </c>
      <c r="G415" s="18" t="s">
        <v>58</v>
      </c>
      <c r="H415" t="s">
        <v>411</v>
      </c>
      <c r="I415" s="6" t="s">
        <v>496</v>
      </c>
      <c r="J415" s="61" t="s">
        <v>22</v>
      </c>
      <c r="L415" s="5" t="str">
        <f t="shared" si="55"/>
        <v>00414</v>
      </c>
      <c r="M415" s="47" t="str">
        <f t="shared" si="56"/>
        <v>14 de julio de 2017</v>
      </c>
      <c r="N415" s="323">
        <f t="shared" si="58"/>
        <v>14</v>
      </c>
      <c r="O415" s="25">
        <f t="shared" si="57"/>
        <v>42917</v>
      </c>
      <c r="P415" s="5" t="str">
        <f t="shared" si="60"/>
        <v>0,34</v>
      </c>
      <c r="Q415" s="4" t="str">
        <f t="shared" si="61"/>
        <v>Cero Bolívares con 34/100</v>
      </c>
    </row>
    <row r="416" spans="1:17" x14ac:dyDescent="0.25">
      <c r="A416" s="1">
        <f t="shared" si="59"/>
        <v>415</v>
      </c>
      <c r="C416" s="8" t="s">
        <v>17</v>
      </c>
      <c r="D416" s="2">
        <v>42930</v>
      </c>
      <c r="E416" s="3">
        <f>27000/100000</f>
        <v>0.27</v>
      </c>
      <c r="F416" t="s">
        <v>201</v>
      </c>
      <c r="G416" t="s">
        <v>202</v>
      </c>
      <c r="H416" t="s">
        <v>203</v>
      </c>
      <c r="I416" s="6" t="s">
        <v>497</v>
      </c>
      <c r="J416" s="61" t="s">
        <v>22</v>
      </c>
      <c r="L416" s="5" t="str">
        <f t="shared" si="55"/>
        <v>00415</v>
      </c>
      <c r="M416" s="47" t="str">
        <f t="shared" si="56"/>
        <v>14 de julio de 2017</v>
      </c>
      <c r="N416" s="323">
        <f t="shared" si="58"/>
        <v>14</v>
      </c>
      <c r="O416" s="25">
        <f t="shared" si="57"/>
        <v>42917</v>
      </c>
      <c r="P416" s="5" t="str">
        <f t="shared" si="60"/>
        <v>0,27</v>
      </c>
      <c r="Q416" s="4" t="str">
        <f t="shared" si="61"/>
        <v>Cero Bolívares con 27/100</v>
      </c>
    </row>
    <row r="417" spans="1:17" x14ac:dyDescent="0.25">
      <c r="A417" s="1">
        <f t="shared" si="59"/>
        <v>416</v>
      </c>
      <c r="C417" s="8" t="s">
        <v>17</v>
      </c>
      <c r="D417" s="2">
        <v>42920</v>
      </c>
      <c r="E417" s="3">
        <f>12000/100000</f>
        <v>0.12</v>
      </c>
      <c r="F417" t="s">
        <v>130</v>
      </c>
      <c r="G417" t="s">
        <v>131</v>
      </c>
      <c r="H417" t="s">
        <v>132</v>
      </c>
      <c r="I417" s="6" t="s">
        <v>427</v>
      </c>
      <c r="J417" s="61" t="s">
        <v>22</v>
      </c>
      <c r="L417" s="5" t="str">
        <f t="shared" si="55"/>
        <v>00416</v>
      </c>
      <c r="M417" s="47" t="str">
        <f t="shared" si="56"/>
        <v>04 de julio de 2017</v>
      </c>
      <c r="N417" s="323">
        <f t="shared" si="58"/>
        <v>4</v>
      </c>
      <c r="O417" s="25">
        <f t="shared" si="57"/>
        <v>42917</v>
      </c>
      <c r="P417" s="5" t="str">
        <f t="shared" si="60"/>
        <v>0,12</v>
      </c>
      <c r="Q417" s="4" t="str">
        <f t="shared" si="61"/>
        <v>Cero Bolívares con 12/100</v>
      </c>
    </row>
    <row r="418" spans="1:17" x14ac:dyDescent="0.25">
      <c r="A418" s="1">
        <f t="shared" si="59"/>
        <v>417</v>
      </c>
      <c r="C418" s="8" t="s">
        <v>17</v>
      </c>
      <c r="D418" s="2">
        <v>42930</v>
      </c>
      <c r="E418" s="3">
        <f>26000/100000</f>
        <v>0.26</v>
      </c>
      <c r="F418" t="s">
        <v>80</v>
      </c>
      <c r="G418" t="s">
        <v>81</v>
      </c>
      <c r="H418" t="s">
        <v>82</v>
      </c>
      <c r="I418" s="6" t="s">
        <v>473</v>
      </c>
      <c r="J418" s="61" t="s">
        <v>22</v>
      </c>
      <c r="L418" s="5" t="str">
        <f t="shared" si="55"/>
        <v>00417</v>
      </c>
      <c r="M418" s="47" t="str">
        <f t="shared" si="56"/>
        <v>14 de julio de 2017</v>
      </c>
      <c r="N418" s="323">
        <f t="shared" si="58"/>
        <v>14</v>
      </c>
      <c r="O418" s="25">
        <f t="shared" si="57"/>
        <v>42917</v>
      </c>
      <c r="P418" s="5" t="str">
        <f t="shared" si="60"/>
        <v>0,26</v>
      </c>
      <c r="Q418" s="4" t="str">
        <f t="shared" si="61"/>
        <v>Cero Bolívares con 26/100</v>
      </c>
    </row>
    <row r="419" spans="1:17" x14ac:dyDescent="0.25">
      <c r="A419" s="1">
        <f t="shared" si="59"/>
        <v>418</v>
      </c>
      <c r="C419" s="8" t="s">
        <v>17</v>
      </c>
      <c r="D419" s="2">
        <v>42930</v>
      </c>
      <c r="E419" s="3">
        <f>20000/100000</f>
        <v>0.2</v>
      </c>
      <c r="F419" t="s">
        <v>181</v>
      </c>
      <c r="G419" t="s">
        <v>182</v>
      </c>
      <c r="H419" t="s">
        <v>183</v>
      </c>
      <c r="I419" s="6" t="s">
        <v>478</v>
      </c>
      <c r="J419" s="61" t="s">
        <v>22</v>
      </c>
      <c r="L419" s="5" t="str">
        <f t="shared" si="55"/>
        <v>00418</v>
      </c>
      <c r="M419" s="47" t="str">
        <f t="shared" si="56"/>
        <v>14 de julio de 2017</v>
      </c>
      <c r="N419" s="323">
        <f t="shared" si="58"/>
        <v>14</v>
      </c>
      <c r="O419" s="25">
        <f t="shared" si="57"/>
        <v>42917</v>
      </c>
      <c r="P419" s="5" t="str">
        <f t="shared" si="60"/>
        <v>0,20</v>
      </c>
      <c r="Q419" s="4" t="str">
        <f t="shared" si="61"/>
        <v>Cero Bolívares con 20/100</v>
      </c>
    </row>
    <row r="420" spans="1:17" x14ac:dyDescent="0.25">
      <c r="A420" s="1">
        <f t="shared" si="59"/>
        <v>419</v>
      </c>
      <c r="C420" s="8" t="s">
        <v>17</v>
      </c>
      <c r="D420" s="2">
        <v>42916</v>
      </c>
      <c r="E420" s="3">
        <f>26000/100000</f>
        <v>0.26</v>
      </c>
      <c r="F420" t="s">
        <v>62</v>
      </c>
      <c r="G420" t="s">
        <v>63</v>
      </c>
      <c r="H420" t="s">
        <v>64</v>
      </c>
      <c r="I420" s="6" t="s">
        <v>445</v>
      </c>
      <c r="J420" s="61" t="s">
        <v>22</v>
      </c>
      <c r="L420" s="5" t="str">
        <f t="shared" si="55"/>
        <v>00419</v>
      </c>
      <c r="M420" s="47" t="str">
        <f t="shared" si="56"/>
        <v>30 de junio de 2017</v>
      </c>
      <c r="N420" s="323">
        <f t="shared" si="58"/>
        <v>30</v>
      </c>
      <c r="O420" s="25">
        <f t="shared" si="57"/>
        <v>42887</v>
      </c>
      <c r="P420" s="5" t="str">
        <f t="shared" si="60"/>
        <v>0,26</v>
      </c>
      <c r="Q420" s="4" t="str">
        <f t="shared" si="61"/>
        <v>Cero Bolívares con 26/100</v>
      </c>
    </row>
    <row r="421" spans="1:17" x14ac:dyDescent="0.25">
      <c r="A421" s="1">
        <f t="shared" si="59"/>
        <v>420</v>
      </c>
      <c r="C421" s="8" t="s">
        <v>17</v>
      </c>
      <c r="D421" s="2">
        <v>42931</v>
      </c>
      <c r="E421" s="3">
        <f>15000/100000</f>
        <v>0.15</v>
      </c>
      <c r="F421" t="s">
        <v>401</v>
      </c>
      <c r="G421" t="s">
        <v>402</v>
      </c>
      <c r="H421" t="s">
        <v>403</v>
      </c>
      <c r="I421" s="6" t="s">
        <v>478</v>
      </c>
      <c r="J421" s="61" t="s">
        <v>22</v>
      </c>
      <c r="L421" s="5" t="str">
        <f t="shared" si="55"/>
        <v>00420</v>
      </c>
      <c r="M421" s="47" t="str">
        <f t="shared" si="56"/>
        <v>15 de julio de 2017</v>
      </c>
      <c r="N421" s="323">
        <f t="shared" si="58"/>
        <v>15</v>
      </c>
      <c r="O421" s="25">
        <f t="shared" si="57"/>
        <v>42917</v>
      </c>
      <c r="P421" s="5" t="str">
        <f t="shared" si="60"/>
        <v>0,15</v>
      </c>
      <c r="Q421" s="4" t="str">
        <f t="shared" si="61"/>
        <v>Cero Bolívares con 15/100</v>
      </c>
    </row>
    <row r="422" spans="1:17" x14ac:dyDescent="0.25">
      <c r="A422" s="1">
        <f t="shared" si="59"/>
        <v>421</v>
      </c>
      <c r="C422" s="8" t="s">
        <v>17</v>
      </c>
      <c r="D422" s="2">
        <v>42933</v>
      </c>
      <c r="E422" s="3">
        <f>26000/100000</f>
        <v>0.26</v>
      </c>
      <c r="F422" t="s">
        <v>362</v>
      </c>
      <c r="G422" t="s">
        <v>363</v>
      </c>
      <c r="H422" t="s">
        <v>364</v>
      </c>
      <c r="I422" s="6" t="s">
        <v>445</v>
      </c>
      <c r="J422" s="61" t="s">
        <v>22</v>
      </c>
      <c r="L422" s="5" t="str">
        <f t="shared" si="55"/>
        <v>00421</v>
      </c>
      <c r="M422" s="47" t="str">
        <f t="shared" si="56"/>
        <v>17 de julio de 2017</v>
      </c>
      <c r="N422" s="323">
        <f t="shared" si="58"/>
        <v>17</v>
      </c>
      <c r="O422" s="25">
        <f t="shared" si="57"/>
        <v>42917</v>
      </c>
      <c r="P422" s="5" t="str">
        <f t="shared" si="60"/>
        <v>0,26</v>
      </c>
      <c r="Q422" s="4" t="str">
        <f t="shared" si="61"/>
        <v>Cero Bolívares con 26/100</v>
      </c>
    </row>
    <row r="423" spans="1:17" x14ac:dyDescent="0.25">
      <c r="A423" s="1">
        <f t="shared" si="59"/>
        <v>422</v>
      </c>
      <c r="C423" s="8" t="s">
        <v>17</v>
      </c>
      <c r="D423" s="2">
        <v>42933</v>
      </c>
      <c r="E423" s="3">
        <f>30000/100000</f>
        <v>0.3</v>
      </c>
      <c r="F423" s="20" t="s">
        <v>57</v>
      </c>
      <c r="G423" s="18" t="s">
        <v>58</v>
      </c>
      <c r="H423" s="21" t="s">
        <v>59</v>
      </c>
      <c r="I423" s="6" t="s">
        <v>473</v>
      </c>
      <c r="J423" s="61" t="s">
        <v>22</v>
      </c>
      <c r="K423" s="22"/>
      <c r="L423" s="5" t="str">
        <f t="shared" si="55"/>
        <v>00422</v>
      </c>
      <c r="M423" s="47" t="str">
        <f t="shared" si="56"/>
        <v>17 de julio de 2017</v>
      </c>
      <c r="N423" s="323">
        <f t="shared" si="58"/>
        <v>17</v>
      </c>
      <c r="O423" s="25">
        <f t="shared" si="57"/>
        <v>42917</v>
      </c>
      <c r="P423" s="5" t="str">
        <f t="shared" si="60"/>
        <v>0,30</v>
      </c>
      <c r="Q423" s="4" t="str">
        <f t="shared" si="61"/>
        <v>Cero Bolívares con 30/100</v>
      </c>
    </row>
    <row r="424" spans="1:17" x14ac:dyDescent="0.25">
      <c r="A424" s="1">
        <f t="shared" si="59"/>
        <v>423</v>
      </c>
      <c r="C424" s="8" t="s">
        <v>17</v>
      </c>
      <c r="D424" s="2">
        <v>42933</v>
      </c>
      <c r="E424" s="3">
        <f>6000/100000</f>
        <v>0.06</v>
      </c>
      <c r="F424" t="s">
        <v>177</v>
      </c>
      <c r="G424" s="18" t="s">
        <v>58</v>
      </c>
      <c r="H424" t="s">
        <v>179</v>
      </c>
      <c r="I424" s="6" t="s">
        <v>498</v>
      </c>
      <c r="J424" s="61" t="s">
        <v>22</v>
      </c>
      <c r="L424" s="5" t="str">
        <f t="shared" si="55"/>
        <v>00423</v>
      </c>
      <c r="M424" s="47" t="str">
        <f t="shared" si="56"/>
        <v>17 de julio de 2017</v>
      </c>
      <c r="N424" s="323">
        <f t="shared" si="58"/>
        <v>17</v>
      </c>
      <c r="O424" s="25">
        <f t="shared" si="57"/>
        <v>42917</v>
      </c>
      <c r="P424" s="5" t="str">
        <f t="shared" si="60"/>
        <v>0,06</v>
      </c>
      <c r="Q424" s="4" t="str">
        <f t="shared" si="61"/>
        <v>Cero Bolívares con 06/100</v>
      </c>
    </row>
    <row r="425" spans="1:17" x14ac:dyDescent="0.25">
      <c r="A425" s="1">
        <f t="shared" si="59"/>
        <v>424</v>
      </c>
      <c r="C425" s="8" t="s">
        <v>17</v>
      </c>
      <c r="D425" s="2">
        <v>42934</v>
      </c>
      <c r="E425" s="3">
        <f>9000/100000</f>
        <v>0.09</v>
      </c>
      <c r="F425" t="s">
        <v>70</v>
      </c>
      <c r="G425" t="s">
        <v>71</v>
      </c>
      <c r="H425" t="s">
        <v>72</v>
      </c>
      <c r="I425" s="6" t="s">
        <v>499</v>
      </c>
      <c r="J425" s="61" t="s">
        <v>22</v>
      </c>
      <c r="L425" s="5" t="str">
        <f t="shared" si="55"/>
        <v>00424</v>
      </c>
      <c r="M425" s="47" t="str">
        <f t="shared" si="56"/>
        <v>18 de julio de 2017</v>
      </c>
      <c r="N425" s="323">
        <f t="shared" si="58"/>
        <v>18</v>
      </c>
      <c r="O425" s="25">
        <f t="shared" si="57"/>
        <v>42917</v>
      </c>
      <c r="P425" s="5" t="str">
        <f t="shared" si="60"/>
        <v>0,09</v>
      </c>
      <c r="Q425" s="4" t="str">
        <f t="shared" si="61"/>
        <v>Cero Bolívares con 09/100</v>
      </c>
    </row>
    <row r="426" spans="1:17" x14ac:dyDescent="0.25">
      <c r="A426" s="1">
        <f t="shared" si="59"/>
        <v>425</v>
      </c>
      <c r="C426" s="8" t="s">
        <v>17</v>
      </c>
      <c r="D426" s="2">
        <v>42934</v>
      </c>
      <c r="E426" s="3">
        <f>10000/100000</f>
        <v>0.1</v>
      </c>
      <c r="F426" s="20" t="s">
        <v>57</v>
      </c>
      <c r="G426" s="18" t="s">
        <v>58</v>
      </c>
      <c r="H426" s="21" t="s">
        <v>59</v>
      </c>
      <c r="I426" s="6" t="s">
        <v>499</v>
      </c>
      <c r="J426" s="61" t="s">
        <v>22</v>
      </c>
      <c r="K426" s="22"/>
      <c r="L426" s="5" t="str">
        <f t="shared" si="55"/>
        <v>00425</v>
      </c>
      <c r="M426" s="47" t="str">
        <f t="shared" si="56"/>
        <v>18 de julio de 2017</v>
      </c>
      <c r="N426" s="323">
        <f t="shared" si="58"/>
        <v>18</v>
      </c>
      <c r="O426" s="25">
        <f t="shared" si="57"/>
        <v>42917</v>
      </c>
      <c r="P426" s="5" t="str">
        <f t="shared" ref="P426:P443" si="62">TEXT(E426,"#.##0,00")</f>
        <v>0,10</v>
      </c>
      <c r="Q426" s="4" t="str">
        <f t="shared" ref="Q426:Q443" si="63">CONVERTIRNUM(E426)</f>
        <v>Cero Bolívares con 10/100</v>
      </c>
    </row>
    <row r="427" spans="1:17" x14ac:dyDescent="0.25">
      <c r="A427" s="1">
        <f t="shared" si="59"/>
        <v>426</v>
      </c>
      <c r="C427" s="8" t="s">
        <v>17</v>
      </c>
      <c r="D427" s="2">
        <v>42934</v>
      </c>
      <c r="E427" s="3">
        <f>26000/100000</f>
        <v>0.26</v>
      </c>
      <c r="F427" t="s">
        <v>177</v>
      </c>
      <c r="G427" s="18" t="s">
        <v>58</v>
      </c>
      <c r="H427" t="s">
        <v>179</v>
      </c>
      <c r="I427" s="6" t="s">
        <v>445</v>
      </c>
      <c r="J427" s="61" t="s">
        <v>22</v>
      </c>
      <c r="L427" s="5" t="str">
        <f t="shared" si="55"/>
        <v>00426</v>
      </c>
      <c r="M427" s="47" t="str">
        <f t="shared" si="56"/>
        <v>18 de julio de 2017</v>
      </c>
      <c r="N427" s="323">
        <f t="shared" si="58"/>
        <v>18</v>
      </c>
      <c r="O427" s="25">
        <f t="shared" si="57"/>
        <v>42917</v>
      </c>
      <c r="P427" s="5" t="str">
        <f t="shared" si="62"/>
        <v>0,26</v>
      </c>
      <c r="Q427" s="4" t="str">
        <f t="shared" si="63"/>
        <v>Cero Bolívares con 26/100</v>
      </c>
    </row>
    <row r="428" spans="1:17" x14ac:dyDescent="0.25">
      <c r="A428" s="1">
        <f t="shared" si="59"/>
        <v>427</v>
      </c>
      <c r="C428" s="8" t="s">
        <v>17</v>
      </c>
      <c r="D428" s="2">
        <v>42934</v>
      </c>
      <c r="E428" s="3">
        <f>35000/100000</f>
        <v>0.35</v>
      </c>
      <c r="F428" t="s">
        <v>483</v>
      </c>
      <c r="G428" t="s">
        <v>484</v>
      </c>
      <c r="H428" t="s">
        <v>485</v>
      </c>
      <c r="I428" s="6" t="s">
        <v>500</v>
      </c>
      <c r="J428" s="61" t="s">
        <v>22</v>
      </c>
      <c r="L428" s="5" t="str">
        <f t="shared" si="55"/>
        <v>00427</v>
      </c>
      <c r="M428" s="47" t="str">
        <f t="shared" si="56"/>
        <v>18 de julio de 2017</v>
      </c>
      <c r="N428" s="323">
        <f t="shared" si="58"/>
        <v>18</v>
      </c>
      <c r="O428" s="25">
        <f t="shared" si="57"/>
        <v>42917</v>
      </c>
      <c r="P428" s="5" t="str">
        <f t="shared" si="62"/>
        <v>0,35</v>
      </c>
      <c r="Q428" s="4" t="str">
        <f t="shared" si="63"/>
        <v>Cero Bolívares con 35/100</v>
      </c>
    </row>
    <row r="429" spans="1:17" x14ac:dyDescent="0.25">
      <c r="A429" s="1">
        <f t="shared" si="59"/>
        <v>428</v>
      </c>
      <c r="C429" s="8" t="s">
        <v>17</v>
      </c>
      <c r="D429" s="2">
        <v>42934</v>
      </c>
      <c r="E429" s="3">
        <f>35000/100000</f>
        <v>0.35</v>
      </c>
      <c r="F429" t="s">
        <v>152</v>
      </c>
      <c r="G429" t="s">
        <v>153</v>
      </c>
      <c r="H429" t="s">
        <v>154</v>
      </c>
      <c r="I429" s="6" t="s">
        <v>500</v>
      </c>
      <c r="J429" s="61" t="s">
        <v>22</v>
      </c>
      <c r="L429" s="5" t="str">
        <f t="shared" si="55"/>
        <v>00428</v>
      </c>
      <c r="M429" s="47" t="str">
        <f t="shared" si="56"/>
        <v>18 de julio de 2017</v>
      </c>
      <c r="N429" s="323">
        <f t="shared" si="58"/>
        <v>18</v>
      </c>
      <c r="O429" s="25">
        <f t="shared" si="57"/>
        <v>42917</v>
      </c>
      <c r="P429" s="5" t="str">
        <f t="shared" si="62"/>
        <v>0,35</v>
      </c>
      <c r="Q429" s="4" t="str">
        <f t="shared" si="63"/>
        <v>Cero Bolívares con 35/100</v>
      </c>
    </row>
    <row r="430" spans="1:17" x14ac:dyDescent="0.25">
      <c r="A430" s="1">
        <f t="shared" si="59"/>
        <v>429</v>
      </c>
      <c r="C430" s="8" t="s">
        <v>17</v>
      </c>
      <c r="D430" s="2">
        <v>42934</v>
      </c>
      <c r="E430" s="3">
        <f>36000/100000</f>
        <v>0.36</v>
      </c>
      <c r="F430" t="s">
        <v>324</v>
      </c>
      <c r="G430" t="s">
        <v>325</v>
      </c>
      <c r="H430" t="s">
        <v>326</v>
      </c>
      <c r="I430" s="6" t="s">
        <v>501</v>
      </c>
      <c r="J430" s="61" t="s">
        <v>22</v>
      </c>
      <c r="L430" s="5" t="str">
        <f t="shared" si="55"/>
        <v>00429</v>
      </c>
      <c r="M430" s="47" t="str">
        <f t="shared" si="56"/>
        <v>18 de julio de 2017</v>
      </c>
      <c r="N430" s="323">
        <f t="shared" si="58"/>
        <v>18</v>
      </c>
      <c r="O430" s="25">
        <f t="shared" si="57"/>
        <v>42917</v>
      </c>
      <c r="P430" s="5" t="str">
        <f t="shared" si="62"/>
        <v>0,36</v>
      </c>
      <c r="Q430" s="4" t="str">
        <f t="shared" si="63"/>
        <v>Cero Bolívares con 36/100</v>
      </c>
    </row>
    <row r="431" spans="1:17" x14ac:dyDescent="0.25">
      <c r="A431" s="1">
        <f t="shared" si="59"/>
        <v>430</v>
      </c>
      <c r="C431" s="8" t="s">
        <v>17</v>
      </c>
      <c r="D431" s="2">
        <v>42929</v>
      </c>
      <c r="E431" s="3">
        <f>20000/100000</f>
        <v>0.2</v>
      </c>
      <c r="F431" t="s">
        <v>284</v>
      </c>
      <c r="G431" t="s">
        <v>276</v>
      </c>
      <c r="H431" t="s">
        <v>285</v>
      </c>
      <c r="I431" s="6" t="s">
        <v>502</v>
      </c>
      <c r="J431" s="61" t="s">
        <v>22</v>
      </c>
      <c r="L431" s="5" t="str">
        <f t="shared" si="55"/>
        <v>00430</v>
      </c>
      <c r="M431" s="47" t="str">
        <f t="shared" si="56"/>
        <v>13 de julio de 2017</v>
      </c>
      <c r="N431" s="323">
        <f t="shared" si="58"/>
        <v>13</v>
      </c>
      <c r="O431" s="25">
        <f t="shared" si="57"/>
        <v>42917</v>
      </c>
      <c r="P431" s="5" t="str">
        <f t="shared" si="62"/>
        <v>0,20</v>
      </c>
      <c r="Q431" s="4" t="str">
        <f t="shared" si="63"/>
        <v>Cero Bolívares con 20/100</v>
      </c>
    </row>
    <row r="432" spans="1:17" x14ac:dyDescent="0.25">
      <c r="A432" s="1">
        <f t="shared" si="59"/>
        <v>431</v>
      </c>
      <c r="C432" s="8" t="s">
        <v>17</v>
      </c>
      <c r="D432" s="2">
        <v>42934</v>
      </c>
      <c r="E432" s="3">
        <f>9000/100000</f>
        <v>0.09</v>
      </c>
      <c r="F432" t="s">
        <v>18</v>
      </c>
      <c r="G432" t="s">
        <v>19</v>
      </c>
      <c r="H432" t="s">
        <v>20</v>
      </c>
      <c r="I432" s="6" t="s">
        <v>503</v>
      </c>
      <c r="J432" s="61" t="s">
        <v>22</v>
      </c>
      <c r="L432" s="5" t="str">
        <f t="shared" si="55"/>
        <v>00431</v>
      </c>
      <c r="M432" s="47" t="str">
        <f t="shared" si="56"/>
        <v>18 de julio de 2017</v>
      </c>
      <c r="N432" s="323">
        <f t="shared" si="58"/>
        <v>18</v>
      </c>
      <c r="O432" s="25">
        <f t="shared" si="57"/>
        <v>42917</v>
      </c>
      <c r="P432" s="5" t="str">
        <f t="shared" si="62"/>
        <v>0,09</v>
      </c>
      <c r="Q432" s="4" t="str">
        <f t="shared" si="63"/>
        <v>Cero Bolívares con 09/100</v>
      </c>
    </row>
    <row r="433" spans="1:17" x14ac:dyDescent="0.25">
      <c r="A433" s="178">
        <f t="shared" si="59"/>
        <v>432</v>
      </c>
      <c r="C433" s="8" t="s">
        <v>17</v>
      </c>
      <c r="D433" s="2">
        <v>42934</v>
      </c>
      <c r="E433" s="3">
        <f>9000/100000</f>
        <v>0.09</v>
      </c>
      <c r="F433" t="s">
        <v>438</v>
      </c>
      <c r="G433" t="s">
        <v>439</v>
      </c>
      <c r="H433" t="s">
        <v>440</v>
      </c>
      <c r="I433" s="6" t="s">
        <v>504</v>
      </c>
      <c r="J433" s="61" t="s">
        <v>22</v>
      </c>
      <c r="L433" s="5" t="str">
        <f t="shared" si="55"/>
        <v>00432</v>
      </c>
      <c r="M433" s="47" t="str">
        <f t="shared" si="56"/>
        <v>18 de julio de 2017</v>
      </c>
      <c r="N433" s="323">
        <f t="shared" si="58"/>
        <v>18</v>
      </c>
      <c r="O433" s="25">
        <f t="shared" si="57"/>
        <v>42917</v>
      </c>
      <c r="P433" s="5" t="str">
        <f t="shared" si="62"/>
        <v>0,09</v>
      </c>
      <c r="Q433" s="4" t="str">
        <f t="shared" si="63"/>
        <v>Cero Bolívares con 09/100</v>
      </c>
    </row>
    <row r="434" spans="1:17" x14ac:dyDescent="0.25">
      <c r="A434" s="1">
        <f t="shared" si="59"/>
        <v>433</v>
      </c>
      <c r="C434" s="8" t="s">
        <v>17</v>
      </c>
      <c r="D434" s="2">
        <v>42934</v>
      </c>
      <c r="E434" s="3">
        <f>9000/100000</f>
        <v>0.09</v>
      </c>
      <c r="F434" t="s">
        <v>100</v>
      </c>
      <c r="G434" t="s">
        <v>95</v>
      </c>
      <c r="H434" t="s">
        <v>101</v>
      </c>
      <c r="I434" s="6" t="s">
        <v>499</v>
      </c>
      <c r="J434" s="61" t="s">
        <v>22</v>
      </c>
      <c r="L434" s="5" t="str">
        <f t="shared" si="55"/>
        <v>00433</v>
      </c>
      <c r="M434" s="47" t="str">
        <f t="shared" si="56"/>
        <v>18 de julio de 2017</v>
      </c>
      <c r="N434" s="323">
        <f t="shared" si="58"/>
        <v>18</v>
      </c>
      <c r="O434" s="25">
        <f t="shared" si="57"/>
        <v>42917</v>
      </c>
      <c r="P434" s="5" t="str">
        <f t="shared" si="62"/>
        <v>0,09</v>
      </c>
      <c r="Q434" s="4" t="str">
        <f t="shared" si="63"/>
        <v>Cero Bolívares con 09/100</v>
      </c>
    </row>
    <row r="435" spans="1:17" x14ac:dyDescent="0.25">
      <c r="A435" s="1">
        <f t="shared" si="59"/>
        <v>434</v>
      </c>
      <c r="C435" s="8" t="s">
        <v>17</v>
      </c>
      <c r="D435" s="2">
        <v>42934</v>
      </c>
      <c r="E435" s="3">
        <f>9000/100000</f>
        <v>0.09</v>
      </c>
      <c r="F435" t="s">
        <v>80</v>
      </c>
      <c r="G435" t="s">
        <v>81</v>
      </c>
      <c r="H435" t="s">
        <v>82</v>
      </c>
      <c r="I435" s="6" t="s">
        <v>499</v>
      </c>
      <c r="J435" s="61" t="s">
        <v>22</v>
      </c>
      <c r="L435" s="5" t="str">
        <f t="shared" si="55"/>
        <v>00434</v>
      </c>
      <c r="M435" s="47" t="str">
        <f t="shared" si="56"/>
        <v>18 de julio de 2017</v>
      </c>
      <c r="N435" s="323">
        <f t="shared" si="58"/>
        <v>18</v>
      </c>
      <c r="O435" s="25">
        <f t="shared" si="57"/>
        <v>42917</v>
      </c>
      <c r="P435" s="5" t="str">
        <f t="shared" si="62"/>
        <v>0,09</v>
      </c>
      <c r="Q435" s="4" t="str">
        <f t="shared" si="63"/>
        <v>Cero Bolívares con 09/100</v>
      </c>
    </row>
    <row r="436" spans="1:17" x14ac:dyDescent="0.25">
      <c r="A436" s="1">
        <f t="shared" si="59"/>
        <v>435</v>
      </c>
      <c r="C436" s="8" t="s">
        <v>17</v>
      </c>
      <c r="D436" s="2">
        <v>42935</v>
      </c>
      <c r="E436" s="3">
        <f>10000/100000</f>
        <v>0.1</v>
      </c>
      <c r="F436" t="s">
        <v>36</v>
      </c>
      <c r="G436" t="s">
        <v>37</v>
      </c>
      <c r="H436" t="s">
        <v>38</v>
      </c>
      <c r="I436" s="6" t="s">
        <v>499</v>
      </c>
      <c r="J436" s="61" t="s">
        <v>22</v>
      </c>
      <c r="L436" s="5" t="str">
        <f t="shared" si="55"/>
        <v>00435</v>
      </c>
      <c r="M436" s="47" t="str">
        <f t="shared" si="56"/>
        <v>19 de julio de 2017</v>
      </c>
      <c r="N436" s="323">
        <f t="shared" si="58"/>
        <v>19</v>
      </c>
      <c r="O436" s="25">
        <f t="shared" si="57"/>
        <v>42917</v>
      </c>
      <c r="P436" s="5" t="str">
        <f t="shared" si="62"/>
        <v>0,10</v>
      </c>
      <c r="Q436" s="4" t="str">
        <f t="shared" si="63"/>
        <v>Cero Bolívares con 10/100</v>
      </c>
    </row>
    <row r="437" spans="1:17" x14ac:dyDescent="0.25">
      <c r="A437" s="1">
        <f t="shared" si="59"/>
        <v>436</v>
      </c>
      <c r="C437" s="8" t="s">
        <v>17</v>
      </c>
      <c r="D437" s="2">
        <v>42935</v>
      </c>
      <c r="E437" s="3">
        <f>25000/100000</f>
        <v>0.25</v>
      </c>
      <c r="F437" t="s">
        <v>28</v>
      </c>
      <c r="G437" t="s">
        <v>29</v>
      </c>
      <c r="H437" t="s">
        <v>30</v>
      </c>
      <c r="I437" s="6" t="s">
        <v>478</v>
      </c>
      <c r="J437" s="61" t="s">
        <v>22</v>
      </c>
      <c r="L437" s="5" t="str">
        <f t="shared" si="55"/>
        <v>00436</v>
      </c>
      <c r="M437" s="47" t="str">
        <f t="shared" si="56"/>
        <v>19 de julio de 2017</v>
      </c>
      <c r="N437" s="323">
        <f t="shared" si="58"/>
        <v>19</v>
      </c>
      <c r="O437" s="25">
        <f t="shared" si="57"/>
        <v>42917</v>
      </c>
      <c r="P437" s="5" t="str">
        <f t="shared" si="62"/>
        <v>0,25</v>
      </c>
      <c r="Q437" s="4" t="str">
        <f t="shared" si="63"/>
        <v>Cero Bolívares con 25/100</v>
      </c>
    </row>
    <row r="438" spans="1:17" x14ac:dyDescent="0.25">
      <c r="A438" s="1">
        <f t="shared" si="59"/>
        <v>437</v>
      </c>
      <c r="C438" s="8" t="s">
        <v>17</v>
      </c>
      <c r="D438" s="2">
        <v>42935</v>
      </c>
      <c r="E438" s="3">
        <f>9000/100000</f>
        <v>0.09</v>
      </c>
      <c r="F438" t="s">
        <v>44</v>
      </c>
      <c r="G438" t="s">
        <v>45</v>
      </c>
      <c r="H438" t="s">
        <v>46</v>
      </c>
      <c r="I438" s="6" t="s">
        <v>499</v>
      </c>
      <c r="J438" s="61" t="s">
        <v>22</v>
      </c>
      <c r="L438" s="5" t="str">
        <f t="shared" si="55"/>
        <v>00437</v>
      </c>
      <c r="M438" s="47" t="str">
        <f t="shared" si="56"/>
        <v>19 de julio de 2017</v>
      </c>
      <c r="N438" s="323">
        <f t="shared" si="58"/>
        <v>19</v>
      </c>
      <c r="O438" s="25">
        <f t="shared" si="57"/>
        <v>42917</v>
      </c>
      <c r="P438" s="5" t="str">
        <f t="shared" si="62"/>
        <v>0,09</v>
      </c>
      <c r="Q438" s="4" t="str">
        <f t="shared" si="63"/>
        <v>Cero Bolívares con 09/100</v>
      </c>
    </row>
    <row r="439" spans="1:17" x14ac:dyDescent="0.25">
      <c r="A439" s="1">
        <f t="shared" si="59"/>
        <v>438</v>
      </c>
      <c r="C439" s="8" t="s">
        <v>17</v>
      </c>
      <c r="D439" s="2">
        <v>42935</v>
      </c>
      <c r="E439" s="3">
        <f>30000/100000</f>
        <v>0.3</v>
      </c>
      <c r="F439" t="s">
        <v>353</v>
      </c>
      <c r="G439" t="s">
        <v>354</v>
      </c>
      <c r="H439" t="s">
        <v>355</v>
      </c>
      <c r="I439" s="6" t="s">
        <v>478</v>
      </c>
      <c r="J439" s="61" t="s">
        <v>22</v>
      </c>
      <c r="L439" s="5" t="str">
        <f t="shared" si="55"/>
        <v>00438</v>
      </c>
      <c r="M439" s="47" t="str">
        <f t="shared" si="56"/>
        <v>19 de julio de 2017</v>
      </c>
      <c r="N439" s="323">
        <f t="shared" si="58"/>
        <v>19</v>
      </c>
      <c r="O439" s="25">
        <f t="shared" si="57"/>
        <v>42917</v>
      </c>
      <c r="P439" s="5" t="str">
        <f t="shared" si="62"/>
        <v>0,30</v>
      </c>
      <c r="Q439" s="4" t="str">
        <f t="shared" si="63"/>
        <v>Cero Bolívares con 30/100</v>
      </c>
    </row>
    <row r="440" spans="1:17" x14ac:dyDescent="0.25">
      <c r="A440" s="1">
        <f t="shared" si="59"/>
        <v>439</v>
      </c>
      <c r="C440" s="8" t="s">
        <v>17</v>
      </c>
      <c r="D440" s="2">
        <v>42934</v>
      </c>
      <c r="E440" s="3">
        <f>52000/100000</f>
        <v>0.52</v>
      </c>
      <c r="F440" t="s">
        <v>215</v>
      </c>
      <c r="G440" t="s">
        <v>216</v>
      </c>
      <c r="H440" t="s">
        <v>217</v>
      </c>
      <c r="I440" s="6" t="s">
        <v>505</v>
      </c>
      <c r="J440" s="61" t="s">
        <v>22</v>
      </c>
      <c r="L440" s="5" t="str">
        <f t="shared" si="55"/>
        <v>00439</v>
      </c>
      <c r="M440" s="47" t="str">
        <f t="shared" si="56"/>
        <v>18 de julio de 2017</v>
      </c>
      <c r="N440" s="323">
        <f t="shared" si="58"/>
        <v>18</v>
      </c>
      <c r="O440" s="25">
        <f t="shared" si="57"/>
        <v>42917</v>
      </c>
      <c r="P440" s="5" t="str">
        <f t="shared" si="62"/>
        <v>0,52</v>
      </c>
      <c r="Q440" s="4" t="str">
        <f t="shared" si="63"/>
        <v>Cero Bolívares con 52/100</v>
      </c>
    </row>
    <row r="441" spans="1:17" x14ac:dyDescent="0.25">
      <c r="A441" s="1">
        <f t="shared" si="59"/>
        <v>440</v>
      </c>
      <c r="C441" s="8" t="s">
        <v>17</v>
      </c>
      <c r="D441" s="2">
        <v>42935</v>
      </c>
      <c r="E441" s="3">
        <f>9000/100000</f>
        <v>0.09</v>
      </c>
      <c r="F441" t="s">
        <v>107</v>
      </c>
      <c r="G441" t="s">
        <v>108</v>
      </c>
      <c r="H441" t="s">
        <v>109</v>
      </c>
      <c r="I441" s="6" t="s">
        <v>499</v>
      </c>
      <c r="J441" s="61" t="s">
        <v>22</v>
      </c>
      <c r="L441" s="5" t="str">
        <f t="shared" si="55"/>
        <v>00440</v>
      </c>
      <c r="M441" s="47" t="str">
        <f t="shared" si="56"/>
        <v>19 de julio de 2017</v>
      </c>
      <c r="N441" s="323">
        <f t="shared" si="58"/>
        <v>19</v>
      </c>
      <c r="O441" s="25">
        <f t="shared" si="57"/>
        <v>42917</v>
      </c>
      <c r="P441" s="5" t="str">
        <f t="shared" si="62"/>
        <v>0,09</v>
      </c>
      <c r="Q441" s="4" t="str">
        <f t="shared" si="63"/>
        <v>Cero Bolívares con 09/100</v>
      </c>
    </row>
    <row r="442" spans="1:17" x14ac:dyDescent="0.25">
      <c r="A442" s="1">
        <f t="shared" si="59"/>
        <v>441</v>
      </c>
      <c r="C442" s="8" t="s">
        <v>17</v>
      </c>
      <c r="D442" s="2">
        <v>42935</v>
      </c>
      <c r="E442" s="3">
        <f>9000/100000</f>
        <v>0.09</v>
      </c>
      <c r="F442" t="s">
        <v>90</v>
      </c>
      <c r="G442" t="s">
        <v>91</v>
      </c>
      <c r="H442" t="s">
        <v>92</v>
      </c>
      <c r="I442" s="6" t="s">
        <v>499</v>
      </c>
      <c r="J442" s="61" t="s">
        <v>22</v>
      </c>
      <c r="L442" s="5" t="str">
        <f t="shared" si="55"/>
        <v>00441</v>
      </c>
      <c r="M442" s="47" t="str">
        <f t="shared" si="56"/>
        <v>19 de julio de 2017</v>
      </c>
      <c r="N442" s="323">
        <f t="shared" si="58"/>
        <v>19</v>
      </c>
      <c r="O442" s="25">
        <f t="shared" si="57"/>
        <v>42917</v>
      </c>
      <c r="P442" s="5" t="str">
        <f t="shared" si="62"/>
        <v>0,09</v>
      </c>
      <c r="Q442" s="4" t="str">
        <f t="shared" si="63"/>
        <v>Cero Bolívares con 09/100</v>
      </c>
    </row>
    <row r="443" spans="1:17" x14ac:dyDescent="0.25">
      <c r="A443" s="1">
        <f t="shared" si="59"/>
        <v>442</v>
      </c>
      <c r="C443" s="8" t="s">
        <v>17</v>
      </c>
      <c r="D443" s="2">
        <v>42933</v>
      </c>
      <c r="E443" s="3">
        <f>15000/100000</f>
        <v>0.15</v>
      </c>
      <c r="F443" t="s">
        <v>130</v>
      </c>
      <c r="G443" t="s">
        <v>131</v>
      </c>
      <c r="H443" t="s">
        <v>132</v>
      </c>
      <c r="I443" s="6" t="s">
        <v>446</v>
      </c>
      <c r="J443" s="61" t="s">
        <v>22</v>
      </c>
      <c r="L443" s="5" t="str">
        <f t="shared" si="55"/>
        <v>00442</v>
      </c>
      <c r="M443" s="47" t="str">
        <f t="shared" si="56"/>
        <v>17 de julio de 2017</v>
      </c>
      <c r="N443" s="323">
        <f t="shared" si="58"/>
        <v>17</v>
      </c>
      <c r="O443" s="25">
        <f t="shared" si="57"/>
        <v>42917</v>
      </c>
      <c r="P443" s="5" t="str">
        <f t="shared" si="62"/>
        <v>0,15</v>
      </c>
      <c r="Q443" s="4" t="str">
        <f t="shared" si="63"/>
        <v>Cero Bolívares con 15/100</v>
      </c>
    </row>
    <row r="444" spans="1:17" x14ac:dyDescent="0.25">
      <c r="A444" s="1">
        <f t="shared" si="59"/>
        <v>443</v>
      </c>
      <c r="C444" s="8" t="s">
        <v>17</v>
      </c>
      <c r="D444" s="2">
        <v>42936</v>
      </c>
      <c r="E444" s="3">
        <f>5100/100000</f>
        <v>5.0999999999999997E-2</v>
      </c>
      <c r="F444" t="s">
        <v>324</v>
      </c>
      <c r="G444" t="s">
        <v>325</v>
      </c>
      <c r="H444" t="s">
        <v>326</v>
      </c>
      <c r="I444" s="6" t="s">
        <v>506</v>
      </c>
      <c r="J444" s="61" t="s">
        <v>22</v>
      </c>
      <c r="L444" s="5" t="str">
        <f t="shared" si="55"/>
        <v>00443</v>
      </c>
      <c r="M444" s="47" t="str">
        <f t="shared" si="56"/>
        <v>20 de julio de 2017</v>
      </c>
      <c r="N444" s="323">
        <f t="shared" si="58"/>
        <v>20</v>
      </c>
      <c r="O444" s="25">
        <f t="shared" si="57"/>
        <v>42917</v>
      </c>
      <c r="P444" s="5" t="str">
        <f t="shared" ref="P444:P459" si="64">TEXT(E444,"#.##0,00")</f>
        <v>0,05</v>
      </c>
      <c r="Q444" s="4" t="str">
        <f t="shared" ref="Q444:Q459" si="65">CONVERTIRNUM(E444)</f>
        <v>Cero Bolívares con 05/100</v>
      </c>
    </row>
    <row r="445" spans="1:17" x14ac:dyDescent="0.25">
      <c r="A445" s="1">
        <f t="shared" si="59"/>
        <v>444</v>
      </c>
      <c r="C445" s="8" t="s">
        <v>17</v>
      </c>
      <c r="D445" s="2">
        <v>42936</v>
      </c>
      <c r="E445" s="3">
        <f>35000/100000</f>
        <v>0.35</v>
      </c>
      <c r="F445" t="s">
        <v>103</v>
      </c>
      <c r="G445" t="s">
        <v>104</v>
      </c>
      <c r="H445" t="s">
        <v>105</v>
      </c>
      <c r="I445" s="6" t="s">
        <v>500</v>
      </c>
      <c r="J445" s="61" t="s">
        <v>22</v>
      </c>
      <c r="L445" s="5" t="str">
        <f t="shared" si="55"/>
        <v>00444</v>
      </c>
      <c r="M445" s="47" t="str">
        <f t="shared" si="56"/>
        <v>20 de julio de 2017</v>
      </c>
      <c r="N445" s="323">
        <f t="shared" si="58"/>
        <v>20</v>
      </c>
      <c r="O445" s="25">
        <f t="shared" si="57"/>
        <v>42917</v>
      </c>
      <c r="P445" s="5" t="str">
        <f t="shared" si="64"/>
        <v>0,35</v>
      </c>
      <c r="Q445" s="4" t="str">
        <f t="shared" si="65"/>
        <v>Cero Bolívares con 35/100</v>
      </c>
    </row>
    <row r="446" spans="1:17" x14ac:dyDescent="0.25">
      <c r="A446" s="1">
        <f t="shared" si="59"/>
        <v>445</v>
      </c>
      <c r="C446" s="8" t="s">
        <v>17</v>
      </c>
      <c r="D446" s="2">
        <v>42936</v>
      </c>
      <c r="E446" s="3">
        <f>25000/100000</f>
        <v>0.25</v>
      </c>
      <c r="F446" t="s">
        <v>134</v>
      </c>
      <c r="G446" t="s">
        <v>135</v>
      </c>
      <c r="H446" t="s">
        <v>136</v>
      </c>
      <c r="I446" s="6" t="s">
        <v>445</v>
      </c>
      <c r="J446" s="61" t="s">
        <v>22</v>
      </c>
      <c r="L446" s="5" t="str">
        <f t="shared" si="55"/>
        <v>00445</v>
      </c>
      <c r="M446" s="47" t="str">
        <f t="shared" si="56"/>
        <v>20 de julio de 2017</v>
      </c>
      <c r="N446" s="323">
        <f t="shared" si="58"/>
        <v>20</v>
      </c>
      <c r="O446" s="25">
        <f t="shared" si="57"/>
        <v>42917</v>
      </c>
      <c r="P446" s="5" t="str">
        <f t="shared" si="64"/>
        <v>0,25</v>
      </c>
      <c r="Q446" s="4" t="str">
        <f t="shared" si="65"/>
        <v>Cero Bolívares con 25/100</v>
      </c>
    </row>
    <row r="447" spans="1:17" x14ac:dyDescent="0.25">
      <c r="A447" s="1">
        <f t="shared" si="59"/>
        <v>446</v>
      </c>
      <c r="C447" s="8" t="s">
        <v>17</v>
      </c>
      <c r="D447" s="2">
        <v>42937</v>
      </c>
      <c r="E447" s="3">
        <f>5000/100000</f>
        <v>0.05</v>
      </c>
      <c r="F447" t="s">
        <v>144</v>
      </c>
      <c r="G447" t="s">
        <v>145</v>
      </c>
      <c r="H447" t="s">
        <v>146</v>
      </c>
      <c r="I447" s="6" t="s">
        <v>478</v>
      </c>
      <c r="J447" s="61" t="s">
        <v>22</v>
      </c>
      <c r="L447" s="5" t="str">
        <f t="shared" si="55"/>
        <v>00446</v>
      </c>
      <c r="M447" s="47" t="str">
        <f t="shared" si="56"/>
        <v>21 de julio de 2017</v>
      </c>
      <c r="N447" s="323">
        <f t="shared" si="58"/>
        <v>21</v>
      </c>
      <c r="O447" s="25">
        <f t="shared" si="57"/>
        <v>42917</v>
      </c>
      <c r="P447" s="5" t="str">
        <f t="shared" si="64"/>
        <v>0,05</v>
      </c>
      <c r="Q447" s="4" t="str">
        <f t="shared" si="65"/>
        <v>Cero Bolívares con 05/100</v>
      </c>
    </row>
    <row r="448" spans="1:17" x14ac:dyDescent="0.25">
      <c r="A448" s="1">
        <f t="shared" si="59"/>
        <v>447</v>
      </c>
      <c r="C448" s="8" t="s">
        <v>17</v>
      </c>
      <c r="D448" s="2">
        <v>42939</v>
      </c>
      <c r="E448" s="3">
        <f>9000/100000</f>
        <v>0.09</v>
      </c>
      <c r="F448" t="s">
        <v>24</v>
      </c>
      <c r="G448" t="s">
        <v>25</v>
      </c>
      <c r="H448" t="s">
        <v>26</v>
      </c>
      <c r="I448" s="6" t="s">
        <v>499</v>
      </c>
      <c r="J448" s="61" t="s">
        <v>22</v>
      </c>
      <c r="L448" s="5" t="str">
        <f t="shared" si="55"/>
        <v>00447</v>
      </c>
      <c r="M448" s="47" t="str">
        <f t="shared" si="56"/>
        <v>23 de julio de 2017</v>
      </c>
      <c r="N448" s="323">
        <f t="shared" si="58"/>
        <v>23</v>
      </c>
      <c r="O448" s="25">
        <f t="shared" si="57"/>
        <v>42917</v>
      </c>
      <c r="P448" s="5" t="str">
        <f t="shared" si="64"/>
        <v>0,09</v>
      </c>
      <c r="Q448" s="4" t="str">
        <f t="shared" si="65"/>
        <v>Cero Bolívares con 09/100</v>
      </c>
    </row>
    <row r="449" spans="1:17" x14ac:dyDescent="0.25">
      <c r="A449" s="1">
        <f t="shared" si="59"/>
        <v>448</v>
      </c>
      <c r="C449" s="8" t="s">
        <v>17</v>
      </c>
      <c r="D449" s="2">
        <v>42893</v>
      </c>
      <c r="E449" s="3">
        <f>26000/100000</f>
        <v>0.26</v>
      </c>
      <c r="F449" t="s">
        <v>66</v>
      </c>
      <c r="G449" t="s">
        <v>67</v>
      </c>
      <c r="H449" t="s">
        <v>68</v>
      </c>
      <c r="I449" s="6" t="s">
        <v>473</v>
      </c>
      <c r="J449" s="61" t="s">
        <v>22</v>
      </c>
      <c r="L449" s="5" t="str">
        <f t="shared" si="55"/>
        <v>00448</v>
      </c>
      <c r="M449" s="47" t="str">
        <f t="shared" si="56"/>
        <v>07 de junio de 2017</v>
      </c>
      <c r="N449" s="323">
        <f t="shared" si="58"/>
        <v>7</v>
      </c>
      <c r="O449" s="25">
        <f t="shared" si="57"/>
        <v>42887</v>
      </c>
      <c r="P449" s="5" t="str">
        <f t="shared" si="64"/>
        <v>0,26</v>
      </c>
      <c r="Q449" s="4" t="str">
        <f t="shared" si="65"/>
        <v>Cero Bolívares con 26/100</v>
      </c>
    </row>
    <row r="450" spans="1:17" x14ac:dyDescent="0.25">
      <c r="A450" s="1">
        <f t="shared" si="59"/>
        <v>449</v>
      </c>
      <c r="C450" s="8" t="s">
        <v>17</v>
      </c>
      <c r="D450" s="2">
        <v>42939</v>
      </c>
      <c r="E450" s="3">
        <f>44000/100000</f>
        <v>0.44</v>
      </c>
      <c r="F450" t="s">
        <v>66</v>
      </c>
      <c r="G450" t="s">
        <v>67</v>
      </c>
      <c r="H450" t="s">
        <v>68</v>
      </c>
      <c r="I450" s="6" t="s">
        <v>507</v>
      </c>
      <c r="J450" s="61" t="s">
        <v>22</v>
      </c>
      <c r="L450" s="5" t="str">
        <f t="shared" ref="L450:L513" si="66">IF(ISBLANK(A450),"",TEXT(A450,"00000"))</f>
        <v>00449</v>
      </c>
      <c r="M450" s="47" t="str">
        <f t="shared" ref="M450:M513" si="67">IF(ISBLANK(D450),"",TEXT(D450,"dd")&amp;" de "&amp;TEXT(D450,"mmmm")&amp;" de "&amp;TEXT(YEAR(D450),"0"))</f>
        <v>23 de julio de 2017</v>
      </c>
      <c r="N450" s="323">
        <f t="shared" si="58"/>
        <v>23</v>
      </c>
      <c r="O450" s="25">
        <f t="shared" ref="O450:O513" si="68">DATE(YEAR(D450),MONTH(D450),1)</f>
        <v>42917</v>
      </c>
      <c r="P450" s="5" t="str">
        <f t="shared" si="64"/>
        <v>0,44</v>
      </c>
      <c r="Q450" s="4" t="str">
        <f t="shared" si="65"/>
        <v>Cero Bolívares con 44/100</v>
      </c>
    </row>
    <row r="451" spans="1:17" x14ac:dyDescent="0.25">
      <c r="A451" s="1">
        <f t="shared" si="59"/>
        <v>450</v>
      </c>
      <c r="C451" s="8" t="s">
        <v>17</v>
      </c>
      <c r="D451" s="2">
        <v>42940</v>
      </c>
      <c r="E451" s="3">
        <f>2*54000/100000</f>
        <v>1.08</v>
      </c>
      <c r="F451" s="23" t="s">
        <v>422</v>
      </c>
      <c r="G451" s="18" t="s">
        <v>58</v>
      </c>
      <c r="H451" t="s">
        <v>423</v>
      </c>
      <c r="I451" s="6" t="s">
        <v>508</v>
      </c>
      <c r="J451" s="61" t="s">
        <v>22</v>
      </c>
      <c r="L451" s="5" t="str">
        <f t="shared" si="66"/>
        <v>00450</v>
      </c>
      <c r="M451" s="47" t="str">
        <f t="shared" si="67"/>
        <v>24 de julio de 2017</v>
      </c>
      <c r="N451" s="323">
        <f t="shared" ref="N451:N514" si="69">DAY(D451)</f>
        <v>24</v>
      </c>
      <c r="O451" s="25">
        <f t="shared" si="68"/>
        <v>42917</v>
      </c>
      <c r="P451" s="5" t="str">
        <f t="shared" si="64"/>
        <v>1,08</v>
      </c>
      <c r="Q451" s="4" t="str">
        <f t="shared" si="65"/>
        <v>Un Bolívares con 08/100</v>
      </c>
    </row>
    <row r="452" spans="1:17" x14ac:dyDescent="0.25">
      <c r="A452" s="319">
        <f t="shared" ref="A452:A515" si="70">A451+1</f>
        <v>451</v>
      </c>
      <c r="B452" s="574"/>
      <c r="C452" s="12" t="s">
        <v>225</v>
      </c>
      <c r="D452" s="17">
        <v>42831</v>
      </c>
      <c r="E452" s="13">
        <f>14000/100000</f>
        <v>0.14000000000000001</v>
      </c>
      <c r="F452" s="14" t="s">
        <v>275</v>
      </c>
      <c r="G452" s="14" t="s">
        <v>276</v>
      </c>
      <c r="H452" s="14" t="s">
        <v>277</v>
      </c>
      <c r="I452" s="15" t="s">
        <v>509</v>
      </c>
      <c r="J452" s="62" t="s">
        <v>426</v>
      </c>
      <c r="K452" s="16"/>
      <c r="L452" s="5" t="str">
        <f t="shared" si="66"/>
        <v>00451</v>
      </c>
      <c r="M452" s="47" t="str">
        <f t="shared" si="67"/>
        <v>06 de abril de 2017</v>
      </c>
      <c r="N452" s="323">
        <f t="shared" si="69"/>
        <v>6</v>
      </c>
      <c r="O452" s="25">
        <f t="shared" si="68"/>
        <v>42826</v>
      </c>
      <c r="P452" s="5" t="str">
        <f t="shared" si="64"/>
        <v>0,14</v>
      </c>
      <c r="Q452" s="4" t="str">
        <f t="shared" si="65"/>
        <v>Cero Bolívares con 14/100</v>
      </c>
    </row>
    <row r="453" spans="1:17" x14ac:dyDescent="0.25">
      <c r="A453" s="319">
        <f t="shared" si="70"/>
        <v>452</v>
      </c>
      <c r="B453" s="574"/>
      <c r="C453" s="12" t="s">
        <v>225</v>
      </c>
      <c r="D453" s="17">
        <v>42865</v>
      </c>
      <c r="E453" s="13">
        <f>17000/100000</f>
        <v>0.17</v>
      </c>
      <c r="F453" s="14" t="s">
        <v>275</v>
      </c>
      <c r="G453" s="14" t="s">
        <v>276</v>
      </c>
      <c r="H453" s="14" t="s">
        <v>277</v>
      </c>
      <c r="I453" s="15" t="s">
        <v>510</v>
      </c>
      <c r="J453" s="62" t="s">
        <v>426</v>
      </c>
      <c r="K453" s="16"/>
      <c r="L453" s="5" t="str">
        <f t="shared" si="66"/>
        <v>00452</v>
      </c>
      <c r="M453" s="47" t="str">
        <f t="shared" si="67"/>
        <v>10 de mayo de 2017</v>
      </c>
      <c r="N453" s="323">
        <f t="shared" si="69"/>
        <v>10</v>
      </c>
      <c r="O453" s="25">
        <f t="shared" si="68"/>
        <v>42856</v>
      </c>
      <c r="P453" s="5" t="str">
        <f t="shared" si="64"/>
        <v>0,17</v>
      </c>
      <c r="Q453" s="4" t="str">
        <f t="shared" si="65"/>
        <v>Cero Bolívares con 17/100</v>
      </c>
    </row>
    <row r="454" spans="1:17" x14ac:dyDescent="0.25">
      <c r="A454" s="319">
        <f t="shared" si="70"/>
        <v>453</v>
      </c>
      <c r="B454" s="574"/>
      <c r="C454" s="12" t="s">
        <v>225</v>
      </c>
      <c r="D454" s="17">
        <v>42929</v>
      </c>
      <c r="E454" s="13">
        <f>20000/100000</f>
        <v>0.2</v>
      </c>
      <c r="F454" s="14" t="s">
        <v>275</v>
      </c>
      <c r="G454" s="14" t="s">
        <v>276</v>
      </c>
      <c r="H454" s="14" t="s">
        <v>277</v>
      </c>
      <c r="I454" s="15" t="s">
        <v>511</v>
      </c>
      <c r="J454" s="62" t="s">
        <v>426</v>
      </c>
      <c r="K454" s="16"/>
      <c r="L454" s="5" t="str">
        <f t="shared" si="66"/>
        <v>00453</v>
      </c>
      <c r="M454" s="47" t="str">
        <f t="shared" si="67"/>
        <v>13 de julio de 2017</v>
      </c>
      <c r="N454" s="323">
        <f t="shared" si="69"/>
        <v>13</v>
      </c>
      <c r="O454" s="25">
        <f t="shared" si="68"/>
        <v>42917</v>
      </c>
      <c r="P454" s="5" t="str">
        <f t="shared" si="64"/>
        <v>0,20</v>
      </c>
      <c r="Q454" s="4" t="str">
        <f t="shared" si="65"/>
        <v>Cero Bolívares con 20/100</v>
      </c>
    </row>
    <row r="455" spans="1:17" x14ac:dyDescent="0.25">
      <c r="A455" s="1">
        <f t="shared" si="70"/>
        <v>454</v>
      </c>
      <c r="C455" s="8" t="s">
        <v>17</v>
      </c>
      <c r="D455" s="2">
        <v>42944</v>
      </c>
      <c r="E455" s="3">
        <f>20000/100000</f>
        <v>0.2</v>
      </c>
      <c r="F455" t="s">
        <v>118</v>
      </c>
      <c r="G455" t="s">
        <v>119</v>
      </c>
      <c r="H455" t="s">
        <v>120</v>
      </c>
      <c r="I455" s="6" t="s">
        <v>478</v>
      </c>
      <c r="J455" s="61" t="s">
        <v>22</v>
      </c>
      <c r="L455" s="5" t="str">
        <f t="shared" si="66"/>
        <v>00454</v>
      </c>
      <c r="M455" s="47" t="str">
        <f t="shared" si="67"/>
        <v>28 de julio de 2017</v>
      </c>
      <c r="N455" s="323">
        <f t="shared" si="69"/>
        <v>28</v>
      </c>
      <c r="O455" s="25">
        <f t="shared" si="68"/>
        <v>42917</v>
      </c>
      <c r="P455" s="5" t="str">
        <f t="shared" si="64"/>
        <v>0,20</v>
      </c>
      <c r="Q455" s="4" t="str">
        <f t="shared" si="65"/>
        <v>Cero Bolívares con 20/100</v>
      </c>
    </row>
    <row r="456" spans="1:17" x14ac:dyDescent="0.25">
      <c r="A456" s="1">
        <f t="shared" si="70"/>
        <v>455</v>
      </c>
      <c r="C456" s="8" t="s">
        <v>17</v>
      </c>
      <c r="D456" s="2">
        <v>42945</v>
      </c>
      <c r="E456" s="3">
        <f>35000/100000</f>
        <v>0.35</v>
      </c>
      <c r="F456" t="s">
        <v>126</v>
      </c>
      <c r="G456" t="s">
        <v>127</v>
      </c>
      <c r="H456" t="s">
        <v>128</v>
      </c>
      <c r="I456" s="6" t="s">
        <v>500</v>
      </c>
      <c r="J456" s="61" t="s">
        <v>22</v>
      </c>
      <c r="L456" s="5" t="str">
        <f t="shared" si="66"/>
        <v>00455</v>
      </c>
      <c r="M456" s="47" t="str">
        <f t="shared" si="67"/>
        <v>29 de julio de 2017</v>
      </c>
      <c r="N456" s="323">
        <f t="shared" si="69"/>
        <v>29</v>
      </c>
      <c r="O456" s="25">
        <f t="shared" si="68"/>
        <v>42917</v>
      </c>
      <c r="P456" s="5" t="str">
        <f t="shared" si="64"/>
        <v>0,35</v>
      </c>
      <c r="Q456" s="4" t="str">
        <f t="shared" si="65"/>
        <v>Cero Bolívares con 35/100</v>
      </c>
    </row>
    <row r="457" spans="1:17" x14ac:dyDescent="0.25">
      <c r="A457" s="1">
        <f t="shared" si="70"/>
        <v>456</v>
      </c>
      <c r="C457" s="8" t="s">
        <v>17</v>
      </c>
      <c r="D457" s="2">
        <v>42936</v>
      </c>
      <c r="E457" s="3">
        <f>35000/100000</f>
        <v>0.35</v>
      </c>
      <c r="F457" t="s">
        <v>185</v>
      </c>
      <c r="G457" t="s">
        <v>186</v>
      </c>
      <c r="H457" t="s">
        <v>187</v>
      </c>
      <c r="I457" s="6" t="s">
        <v>500</v>
      </c>
      <c r="J457" s="61" t="s">
        <v>22</v>
      </c>
      <c r="L457" s="5" t="str">
        <f t="shared" si="66"/>
        <v>00456</v>
      </c>
      <c r="M457" s="47" t="str">
        <f t="shared" si="67"/>
        <v>20 de julio de 2017</v>
      </c>
      <c r="N457" s="323">
        <f t="shared" si="69"/>
        <v>20</v>
      </c>
      <c r="O457" s="25">
        <f t="shared" si="68"/>
        <v>42917</v>
      </c>
      <c r="P457" s="5" t="str">
        <f t="shared" si="64"/>
        <v>0,35</v>
      </c>
      <c r="Q457" s="4" t="str">
        <f t="shared" si="65"/>
        <v>Cero Bolívares con 35/100</v>
      </c>
    </row>
    <row r="458" spans="1:17" x14ac:dyDescent="0.25">
      <c r="A458" s="178">
        <f t="shared" si="70"/>
        <v>457</v>
      </c>
      <c r="C458" s="8" t="s">
        <v>17</v>
      </c>
      <c r="D458" s="2">
        <v>42945</v>
      </c>
      <c r="E458" s="3">
        <f>7000/100000</f>
        <v>7.0000000000000007E-2</v>
      </c>
      <c r="F458" t="s">
        <v>438</v>
      </c>
      <c r="G458" t="s">
        <v>439</v>
      </c>
      <c r="H458" t="s">
        <v>440</v>
      </c>
      <c r="I458" s="6" t="s">
        <v>512</v>
      </c>
      <c r="J458" s="61" t="s">
        <v>452</v>
      </c>
      <c r="L458" s="5" t="str">
        <f t="shared" si="66"/>
        <v>00457</v>
      </c>
      <c r="M458" s="47" t="str">
        <f t="shared" si="67"/>
        <v>29 de julio de 2017</v>
      </c>
      <c r="N458" s="323">
        <f t="shared" si="69"/>
        <v>29</v>
      </c>
      <c r="O458" s="25">
        <f t="shared" si="68"/>
        <v>42917</v>
      </c>
      <c r="P458" s="5" t="str">
        <f t="shared" si="64"/>
        <v>0,07</v>
      </c>
      <c r="Q458" s="4" t="str">
        <f t="shared" si="65"/>
        <v>Cero Bolívares con 07/100</v>
      </c>
    </row>
    <row r="459" spans="1:17" x14ac:dyDescent="0.25">
      <c r="A459" s="1">
        <f t="shared" si="70"/>
        <v>458</v>
      </c>
      <c r="C459" s="8" t="s">
        <v>17</v>
      </c>
      <c r="D459" s="2">
        <v>42948</v>
      </c>
      <c r="E459" s="3">
        <f>15000/100000</f>
        <v>0.15</v>
      </c>
      <c r="F459" t="s">
        <v>84</v>
      </c>
      <c r="G459" t="s">
        <v>85</v>
      </c>
      <c r="H459" t="s">
        <v>86</v>
      </c>
      <c r="I459" s="6" t="s">
        <v>513</v>
      </c>
      <c r="J459" s="61" t="s">
        <v>22</v>
      </c>
      <c r="L459" s="5" t="str">
        <f t="shared" si="66"/>
        <v>00458</v>
      </c>
      <c r="M459" s="47" t="str">
        <f t="shared" si="67"/>
        <v>01 de agosto de 2017</v>
      </c>
      <c r="N459" s="323">
        <f t="shared" si="69"/>
        <v>1</v>
      </c>
      <c r="O459" s="25">
        <f t="shared" si="68"/>
        <v>42948</v>
      </c>
      <c r="P459" s="5" t="str">
        <f t="shared" si="64"/>
        <v>0,15</v>
      </c>
      <c r="Q459" s="4" t="str">
        <f t="shared" si="65"/>
        <v>Cero Bolívares con 15/100</v>
      </c>
    </row>
    <row r="460" spans="1:17" x14ac:dyDescent="0.25">
      <c r="A460" s="1">
        <f t="shared" si="70"/>
        <v>459</v>
      </c>
      <c r="C460" s="8" t="s">
        <v>17</v>
      </c>
      <c r="D460" s="2">
        <v>42949</v>
      </c>
      <c r="E460" s="3">
        <f>35000/100000</f>
        <v>0.35</v>
      </c>
      <c r="F460" t="s">
        <v>134</v>
      </c>
      <c r="G460" t="s">
        <v>135</v>
      </c>
      <c r="H460" t="s">
        <v>136</v>
      </c>
      <c r="I460" s="6" t="s">
        <v>500</v>
      </c>
      <c r="J460" s="61" t="s">
        <v>22</v>
      </c>
      <c r="L460" s="5" t="str">
        <f t="shared" si="66"/>
        <v>00459</v>
      </c>
      <c r="M460" s="47" t="str">
        <f t="shared" si="67"/>
        <v>02 de agosto de 2017</v>
      </c>
      <c r="N460" s="323">
        <f t="shared" si="69"/>
        <v>2</v>
      </c>
      <c r="O460" s="25">
        <f t="shared" si="68"/>
        <v>42948</v>
      </c>
      <c r="P460" s="5" t="str">
        <f t="shared" ref="P460:P498" si="71">TEXT(E460,"#.##0,00")</f>
        <v>0,35</v>
      </c>
      <c r="Q460" s="4" t="str">
        <f t="shared" ref="Q460:Q498" si="72">CONVERTIRNUM(E460)</f>
        <v>Cero Bolívares con 35/100</v>
      </c>
    </row>
    <row r="461" spans="1:17" x14ac:dyDescent="0.25">
      <c r="A461" s="1">
        <f t="shared" si="70"/>
        <v>460</v>
      </c>
      <c r="C461" s="8" t="s">
        <v>17</v>
      </c>
      <c r="D461" s="2">
        <v>42949</v>
      </c>
      <c r="E461" s="3">
        <f>35000/100000</f>
        <v>0.35</v>
      </c>
      <c r="F461" t="s">
        <v>230</v>
      </c>
      <c r="G461" t="s">
        <v>231</v>
      </c>
      <c r="H461" t="s">
        <v>232</v>
      </c>
      <c r="I461" s="6" t="s">
        <v>500</v>
      </c>
      <c r="J461" s="61" t="s">
        <v>22</v>
      </c>
      <c r="L461" s="5" t="str">
        <f t="shared" si="66"/>
        <v>00460</v>
      </c>
      <c r="M461" s="47" t="str">
        <f t="shared" si="67"/>
        <v>02 de agosto de 2017</v>
      </c>
      <c r="N461" s="323">
        <f t="shared" si="69"/>
        <v>2</v>
      </c>
      <c r="O461" s="25">
        <f t="shared" si="68"/>
        <v>42948</v>
      </c>
      <c r="P461" s="5" t="str">
        <f t="shared" si="71"/>
        <v>0,35</v>
      </c>
      <c r="Q461" s="4" t="str">
        <f t="shared" si="72"/>
        <v>Cero Bolívares con 35/100</v>
      </c>
    </row>
    <row r="462" spans="1:17" x14ac:dyDescent="0.25">
      <c r="A462" s="1">
        <f t="shared" si="70"/>
        <v>461</v>
      </c>
      <c r="C462" s="8" t="s">
        <v>17</v>
      </c>
      <c r="D462" s="2">
        <v>42949</v>
      </c>
      <c r="E462" s="3">
        <f>35000/100000</f>
        <v>0.35</v>
      </c>
      <c r="F462" t="s">
        <v>44</v>
      </c>
      <c r="G462" t="s">
        <v>45</v>
      </c>
      <c r="H462" t="s">
        <v>46</v>
      </c>
      <c r="I462" s="6" t="s">
        <v>514</v>
      </c>
      <c r="J462" s="61" t="s">
        <v>22</v>
      </c>
      <c r="L462" s="5" t="str">
        <f t="shared" si="66"/>
        <v>00461</v>
      </c>
      <c r="M462" s="47" t="str">
        <f t="shared" si="67"/>
        <v>02 de agosto de 2017</v>
      </c>
      <c r="N462" s="323">
        <f t="shared" si="69"/>
        <v>2</v>
      </c>
      <c r="O462" s="25">
        <f t="shared" si="68"/>
        <v>42948</v>
      </c>
      <c r="P462" s="5" t="str">
        <f t="shared" si="71"/>
        <v>0,35</v>
      </c>
      <c r="Q462" s="4" t="str">
        <f t="shared" si="72"/>
        <v>Cero Bolívares con 35/100</v>
      </c>
    </row>
    <row r="463" spans="1:17" x14ac:dyDescent="0.25">
      <c r="A463" s="1">
        <f t="shared" si="70"/>
        <v>462</v>
      </c>
      <c r="C463" s="8" t="s">
        <v>17</v>
      </c>
      <c r="D463" s="2">
        <v>42927</v>
      </c>
      <c r="E463" s="3">
        <f>26000/100000</f>
        <v>0.26</v>
      </c>
      <c r="F463" t="s">
        <v>122</v>
      </c>
      <c r="G463" t="s">
        <v>123</v>
      </c>
      <c r="H463" t="s">
        <v>124</v>
      </c>
      <c r="I463" s="6" t="s">
        <v>473</v>
      </c>
      <c r="J463" s="61" t="s">
        <v>22</v>
      </c>
      <c r="L463" s="5" t="str">
        <f t="shared" si="66"/>
        <v>00462</v>
      </c>
      <c r="M463" s="47" t="str">
        <f t="shared" si="67"/>
        <v>11 de julio de 2017</v>
      </c>
      <c r="N463" s="323">
        <f t="shared" si="69"/>
        <v>11</v>
      </c>
      <c r="O463" s="25">
        <f t="shared" si="68"/>
        <v>42917</v>
      </c>
      <c r="P463" s="5" t="str">
        <f t="shared" si="71"/>
        <v>0,26</v>
      </c>
      <c r="Q463" s="4" t="str">
        <f t="shared" si="72"/>
        <v>Cero Bolívares con 26/100</v>
      </c>
    </row>
    <row r="464" spans="1:17" x14ac:dyDescent="0.25">
      <c r="A464" s="1">
        <f t="shared" si="70"/>
        <v>463</v>
      </c>
      <c r="C464" s="8" t="s">
        <v>17</v>
      </c>
      <c r="D464" s="51">
        <v>42949</v>
      </c>
      <c r="E464" s="3">
        <f>26000/100000</f>
        <v>0.26</v>
      </c>
      <c r="F464" t="s">
        <v>259</v>
      </c>
      <c r="G464" s="18" t="s">
        <v>58</v>
      </c>
      <c r="H464" t="s">
        <v>261</v>
      </c>
      <c r="I464" s="6" t="s">
        <v>445</v>
      </c>
      <c r="J464" s="61" t="s">
        <v>22</v>
      </c>
      <c r="L464" s="5" t="str">
        <f t="shared" si="66"/>
        <v>00463</v>
      </c>
      <c r="M464" s="47" t="str">
        <f t="shared" si="67"/>
        <v>02 de agosto de 2017</v>
      </c>
      <c r="N464" s="323">
        <f t="shared" si="69"/>
        <v>2</v>
      </c>
      <c r="O464" s="25">
        <f t="shared" si="68"/>
        <v>42948</v>
      </c>
      <c r="P464" s="5" t="str">
        <f t="shared" si="71"/>
        <v>0,26</v>
      </c>
      <c r="Q464" s="4" t="str">
        <f t="shared" si="72"/>
        <v>Cero Bolívares con 26/100</v>
      </c>
    </row>
    <row r="465" spans="1:17" x14ac:dyDescent="0.25">
      <c r="A465" s="1">
        <f t="shared" si="70"/>
        <v>464</v>
      </c>
      <c r="C465" s="8" t="s">
        <v>17</v>
      </c>
      <c r="D465" s="2">
        <v>42949</v>
      </c>
      <c r="E465" s="3">
        <f>10000/100000</f>
        <v>0.1</v>
      </c>
      <c r="F465" t="s">
        <v>303</v>
      </c>
      <c r="G465" s="18" t="s">
        <v>58</v>
      </c>
      <c r="H465" t="s">
        <v>304</v>
      </c>
      <c r="I465" s="6" t="s">
        <v>474</v>
      </c>
      <c r="J465" s="61" t="s">
        <v>22</v>
      </c>
      <c r="L465" s="5" t="str">
        <f t="shared" si="66"/>
        <v>00464</v>
      </c>
      <c r="M465" s="47" t="str">
        <f t="shared" si="67"/>
        <v>02 de agosto de 2017</v>
      </c>
      <c r="N465" s="323">
        <f t="shared" si="69"/>
        <v>2</v>
      </c>
      <c r="O465" s="25">
        <f t="shared" si="68"/>
        <v>42948</v>
      </c>
      <c r="P465" s="5" t="str">
        <f t="shared" si="71"/>
        <v>0,10</v>
      </c>
      <c r="Q465" s="4" t="str">
        <f t="shared" si="72"/>
        <v>Cero Bolívares con 10/100</v>
      </c>
    </row>
    <row r="466" spans="1:17" x14ac:dyDescent="0.25">
      <c r="A466" s="1">
        <f t="shared" si="70"/>
        <v>465</v>
      </c>
      <c r="C466" s="8" t="s">
        <v>17</v>
      </c>
      <c r="D466" s="2">
        <v>42949</v>
      </c>
      <c r="E466" s="3">
        <f>33000/100000</f>
        <v>0.33</v>
      </c>
      <c r="F466" t="s">
        <v>201</v>
      </c>
      <c r="G466" t="s">
        <v>202</v>
      </c>
      <c r="H466" t="s">
        <v>203</v>
      </c>
      <c r="I466" s="6" t="s">
        <v>499</v>
      </c>
      <c r="J466" s="61" t="s">
        <v>22</v>
      </c>
      <c r="L466" s="5" t="str">
        <f t="shared" si="66"/>
        <v>00465</v>
      </c>
      <c r="M466" s="47" t="str">
        <f t="shared" si="67"/>
        <v>02 de agosto de 2017</v>
      </c>
      <c r="N466" s="323">
        <f t="shared" si="69"/>
        <v>2</v>
      </c>
      <c r="O466" s="25">
        <f t="shared" si="68"/>
        <v>42948</v>
      </c>
      <c r="P466" s="5" t="str">
        <f t="shared" si="71"/>
        <v>0,33</v>
      </c>
      <c r="Q466" s="4" t="str">
        <f t="shared" si="72"/>
        <v>Cero Bolívares con 33/100</v>
      </c>
    </row>
    <row r="467" spans="1:17" x14ac:dyDescent="0.25">
      <c r="A467" s="1">
        <f t="shared" si="70"/>
        <v>466</v>
      </c>
      <c r="C467" s="8" t="s">
        <v>17</v>
      </c>
      <c r="D467" s="2">
        <v>42950</v>
      </c>
      <c r="E467" s="3">
        <f>35000/100000</f>
        <v>0.35</v>
      </c>
      <c r="F467" t="s">
        <v>40</v>
      </c>
      <c r="G467" t="s">
        <v>41</v>
      </c>
      <c r="H467" t="s">
        <v>42</v>
      </c>
      <c r="I467" s="6" t="s">
        <v>514</v>
      </c>
      <c r="J467" s="61" t="s">
        <v>22</v>
      </c>
      <c r="L467" s="5" t="str">
        <f t="shared" si="66"/>
        <v>00466</v>
      </c>
      <c r="M467" s="47" t="str">
        <f t="shared" si="67"/>
        <v>03 de agosto de 2017</v>
      </c>
      <c r="N467" s="323">
        <f t="shared" si="69"/>
        <v>3</v>
      </c>
      <c r="O467" s="25">
        <f t="shared" si="68"/>
        <v>42948</v>
      </c>
      <c r="P467" s="5" t="str">
        <f t="shared" si="71"/>
        <v>0,35</v>
      </c>
      <c r="Q467" s="4" t="str">
        <f t="shared" si="72"/>
        <v>Cero Bolívares con 35/100</v>
      </c>
    </row>
    <row r="468" spans="1:17" x14ac:dyDescent="0.25">
      <c r="A468" s="1">
        <f t="shared" si="70"/>
        <v>467</v>
      </c>
      <c r="C468" s="8" t="s">
        <v>17</v>
      </c>
      <c r="D468" s="2">
        <v>42950</v>
      </c>
      <c r="E468" s="3">
        <f>20000/100000</f>
        <v>0.2</v>
      </c>
      <c r="F468" t="s">
        <v>177</v>
      </c>
      <c r="G468" s="18" t="s">
        <v>58</v>
      </c>
      <c r="H468" t="s">
        <v>179</v>
      </c>
      <c r="I468" s="6" t="s">
        <v>473</v>
      </c>
      <c r="J468" s="61" t="s">
        <v>22</v>
      </c>
      <c r="L468" s="5" t="str">
        <f t="shared" si="66"/>
        <v>00467</v>
      </c>
      <c r="M468" s="47" t="str">
        <f t="shared" si="67"/>
        <v>03 de agosto de 2017</v>
      </c>
      <c r="N468" s="323">
        <f t="shared" si="69"/>
        <v>3</v>
      </c>
      <c r="O468" s="25">
        <f t="shared" si="68"/>
        <v>42948</v>
      </c>
      <c r="P468" s="5" t="str">
        <f t="shared" si="71"/>
        <v>0,20</v>
      </c>
      <c r="Q468" s="4" t="str">
        <f t="shared" si="72"/>
        <v>Cero Bolívares con 20/100</v>
      </c>
    </row>
    <row r="469" spans="1:17" x14ac:dyDescent="0.25">
      <c r="A469" s="1">
        <f t="shared" si="70"/>
        <v>468</v>
      </c>
      <c r="C469" s="8" t="s">
        <v>17</v>
      </c>
      <c r="D469" s="2">
        <v>42950</v>
      </c>
      <c r="E469" s="3">
        <f>20000/100000</f>
        <v>0.2</v>
      </c>
      <c r="F469" t="s">
        <v>334</v>
      </c>
      <c r="G469" t="s">
        <v>85</v>
      </c>
      <c r="H469" t="s">
        <v>335</v>
      </c>
      <c r="I469" s="6" t="s">
        <v>513</v>
      </c>
      <c r="J469" s="61" t="s">
        <v>22</v>
      </c>
      <c r="L469" s="5" t="str">
        <f t="shared" si="66"/>
        <v>00468</v>
      </c>
      <c r="M469" s="47" t="str">
        <f t="shared" si="67"/>
        <v>03 de agosto de 2017</v>
      </c>
      <c r="N469" s="323">
        <f t="shared" si="69"/>
        <v>3</v>
      </c>
      <c r="O469" s="25">
        <f t="shared" si="68"/>
        <v>42948</v>
      </c>
      <c r="P469" s="5" t="str">
        <f t="shared" si="71"/>
        <v>0,20</v>
      </c>
      <c r="Q469" s="4" t="str">
        <f t="shared" si="72"/>
        <v>Cero Bolívares con 20/100</v>
      </c>
    </row>
    <row r="470" spans="1:17" x14ac:dyDescent="0.25">
      <c r="A470" s="1">
        <f t="shared" si="70"/>
        <v>469</v>
      </c>
      <c r="C470" s="8" t="s">
        <v>17</v>
      </c>
      <c r="D470" s="2">
        <v>42950</v>
      </c>
      <c r="E470" s="3">
        <f>18000/100000</f>
        <v>0.18</v>
      </c>
      <c r="F470" t="s">
        <v>167</v>
      </c>
      <c r="G470" t="s">
        <v>168</v>
      </c>
      <c r="H470" t="s">
        <v>169</v>
      </c>
      <c r="I470" s="6" t="s">
        <v>478</v>
      </c>
      <c r="J470" s="61" t="s">
        <v>22</v>
      </c>
      <c r="L470" s="5" t="str">
        <f t="shared" si="66"/>
        <v>00469</v>
      </c>
      <c r="M470" s="47" t="str">
        <f t="shared" si="67"/>
        <v>03 de agosto de 2017</v>
      </c>
      <c r="N470" s="323">
        <f t="shared" si="69"/>
        <v>3</v>
      </c>
      <c r="O470" s="25">
        <f t="shared" si="68"/>
        <v>42948</v>
      </c>
      <c r="P470" s="5" t="str">
        <f t="shared" si="71"/>
        <v>0,18</v>
      </c>
      <c r="Q470" s="4" t="str">
        <f t="shared" si="72"/>
        <v>Cero Bolívares con 18/100</v>
      </c>
    </row>
    <row r="471" spans="1:17" x14ac:dyDescent="0.25">
      <c r="A471" s="1">
        <f t="shared" si="70"/>
        <v>470</v>
      </c>
      <c r="C471" s="8" t="s">
        <v>17</v>
      </c>
      <c r="D471" s="2">
        <v>42951</v>
      </c>
      <c r="E471" s="3">
        <f>35000/100000</f>
        <v>0.35</v>
      </c>
      <c r="F471" t="s">
        <v>32</v>
      </c>
      <c r="G471" t="s">
        <v>33</v>
      </c>
      <c r="H471" t="s">
        <v>34</v>
      </c>
      <c r="I471" s="6" t="s">
        <v>515</v>
      </c>
      <c r="J471" s="61" t="s">
        <v>22</v>
      </c>
      <c r="L471" s="5" t="str">
        <f t="shared" si="66"/>
        <v>00470</v>
      </c>
      <c r="M471" s="47" t="str">
        <f t="shared" si="67"/>
        <v>04 de agosto de 2017</v>
      </c>
      <c r="N471" s="323">
        <f t="shared" si="69"/>
        <v>4</v>
      </c>
      <c r="O471" s="25">
        <f t="shared" si="68"/>
        <v>42948</v>
      </c>
      <c r="P471" s="5" t="str">
        <f t="shared" si="71"/>
        <v>0,35</v>
      </c>
      <c r="Q471" s="4" t="str">
        <f t="shared" si="72"/>
        <v>Cero Bolívares con 35/100</v>
      </c>
    </row>
    <row r="472" spans="1:17" x14ac:dyDescent="0.25">
      <c r="A472" s="1">
        <f t="shared" si="70"/>
        <v>471</v>
      </c>
      <c r="C472" s="8" t="s">
        <v>17</v>
      </c>
      <c r="D472" s="2">
        <v>42951</v>
      </c>
      <c r="E472" s="3">
        <f>15000/100000</f>
        <v>0.15</v>
      </c>
      <c r="F472" t="s">
        <v>48</v>
      </c>
      <c r="G472" t="s">
        <v>49</v>
      </c>
      <c r="H472" t="s">
        <v>50</v>
      </c>
      <c r="I472" s="6" t="s">
        <v>513</v>
      </c>
      <c r="J472" s="61" t="s">
        <v>22</v>
      </c>
      <c r="L472" s="5" t="str">
        <f t="shared" si="66"/>
        <v>00471</v>
      </c>
      <c r="M472" s="47" t="str">
        <f t="shared" si="67"/>
        <v>04 de agosto de 2017</v>
      </c>
      <c r="N472" s="323">
        <f t="shared" si="69"/>
        <v>4</v>
      </c>
      <c r="O472" s="25">
        <f t="shared" si="68"/>
        <v>42948</v>
      </c>
      <c r="P472" s="5" t="str">
        <f t="shared" si="71"/>
        <v>0,15</v>
      </c>
      <c r="Q472" s="4" t="str">
        <f t="shared" si="72"/>
        <v>Cero Bolívares con 15/100</v>
      </c>
    </row>
    <row r="473" spans="1:17" x14ac:dyDescent="0.25">
      <c r="A473" s="1">
        <f t="shared" si="70"/>
        <v>472</v>
      </c>
      <c r="C473" s="8" t="s">
        <v>17</v>
      </c>
      <c r="D473" s="2">
        <v>42953</v>
      </c>
      <c r="E473" s="3">
        <f>35000/100000</f>
        <v>0.35</v>
      </c>
      <c r="F473" t="s">
        <v>162</v>
      </c>
      <c r="G473" t="s">
        <v>163</v>
      </c>
      <c r="H473" t="s">
        <v>164</v>
      </c>
      <c r="I473" s="6" t="s">
        <v>500</v>
      </c>
      <c r="J473" s="61" t="s">
        <v>22</v>
      </c>
      <c r="L473" s="5" t="str">
        <f t="shared" si="66"/>
        <v>00472</v>
      </c>
      <c r="M473" s="47" t="str">
        <f t="shared" si="67"/>
        <v>06 de agosto de 2017</v>
      </c>
      <c r="N473" s="323">
        <f t="shared" si="69"/>
        <v>6</v>
      </c>
      <c r="O473" s="25">
        <f t="shared" si="68"/>
        <v>42948</v>
      </c>
      <c r="P473" s="5" t="str">
        <f t="shared" si="71"/>
        <v>0,35</v>
      </c>
      <c r="Q473" s="4" t="str">
        <f t="shared" si="72"/>
        <v>Cero Bolívares con 35/100</v>
      </c>
    </row>
    <row r="474" spans="1:17" x14ac:dyDescent="0.25">
      <c r="A474" s="1">
        <f t="shared" si="70"/>
        <v>473</v>
      </c>
      <c r="C474" s="8" t="s">
        <v>17</v>
      </c>
      <c r="D474" s="2">
        <v>42953</v>
      </c>
      <c r="E474" s="3">
        <f>35000/100000</f>
        <v>0.35</v>
      </c>
      <c r="F474" t="s">
        <v>18</v>
      </c>
      <c r="G474" t="s">
        <v>19</v>
      </c>
      <c r="H474" t="s">
        <v>20</v>
      </c>
      <c r="I474" s="6" t="s">
        <v>516</v>
      </c>
      <c r="J474" s="61" t="s">
        <v>22</v>
      </c>
      <c r="L474" s="5" t="str">
        <f t="shared" si="66"/>
        <v>00473</v>
      </c>
      <c r="M474" s="47" t="str">
        <f t="shared" si="67"/>
        <v>06 de agosto de 2017</v>
      </c>
      <c r="N474" s="323">
        <f t="shared" si="69"/>
        <v>6</v>
      </c>
      <c r="O474" s="25">
        <f t="shared" si="68"/>
        <v>42948</v>
      </c>
      <c r="P474" s="5" t="str">
        <f t="shared" si="71"/>
        <v>0,35</v>
      </c>
      <c r="Q474" s="4" t="str">
        <f t="shared" si="72"/>
        <v>Cero Bolívares con 35/100</v>
      </c>
    </row>
    <row r="475" spans="1:17" x14ac:dyDescent="0.25">
      <c r="A475" s="178">
        <f t="shared" si="70"/>
        <v>474</v>
      </c>
      <c r="C475" s="8" t="s">
        <v>17</v>
      </c>
      <c r="D475" s="2">
        <v>42953</v>
      </c>
      <c r="E475" s="3">
        <f>35000/100000</f>
        <v>0.35</v>
      </c>
      <c r="F475" t="s">
        <v>438</v>
      </c>
      <c r="G475" t="s">
        <v>439</v>
      </c>
      <c r="H475" t="s">
        <v>440</v>
      </c>
      <c r="I475" s="6" t="s">
        <v>517</v>
      </c>
      <c r="J475" s="61" t="s">
        <v>22</v>
      </c>
      <c r="L475" s="5" t="str">
        <f t="shared" si="66"/>
        <v>00474</v>
      </c>
      <c r="M475" s="47" t="str">
        <f t="shared" si="67"/>
        <v>06 de agosto de 2017</v>
      </c>
      <c r="N475" s="323">
        <f t="shared" si="69"/>
        <v>6</v>
      </c>
      <c r="O475" s="25">
        <f t="shared" si="68"/>
        <v>42948</v>
      </c>
      <c r="P475" s="5" t="str">
        <f t="shared" si="71"/>
        <v>0,35</v>
      </c>
      <c r="Q475" s="4" t="str">
        <f t="shared" si="72"/>
        <v>Cero Bolívares con 35/100</v>
      </c>
    </row>
    <row r="476" spans="1:17" x14ac:dyDescent="0.25">
      <c r="A476" s="1">
        <f t="shared" si="70"/>
        <v>475</v>
      </c>
      <c r="C476" s="8" t="s">
        <v>17</v>
      </c>
      <c r="D476" s="2">
        <v>42954</v>
      </c>
      <c r="E476" s="3">
        <f>30000/100000</f>
        <v>0.3</v>
      </c>
      <c r="F476" t="s">
        <v>312</v>
      </c>
      <c r="G476" t="s">
        <v>313</v>
      </c>
      <c r="H476" t="s">
        <v>314</v>
      </c>
      <c r="I476" s="6" t="s">
        <v>478</v>
      </c>
      <c r="J476" s="61" t="s">
        <v>22</v>
      </c>
      <c r="L476" s="5" t="str">
        <f t="shared" si="66"/>
        <v>00475</v>
      </c>
      <c r="M476" s="47" t="str">
        <f t="shared" si="67"/>
        <v>07 de agosto de 2017</v>
      </c>
      <c r="N476" s="323">
        <f t="shared" si="69"/>
        <v>7</v>
      </c>
      <c r="O476" s="25">
        <f t="shared" si="68"/>
        <v>42948</v>
      </c>
      <c r="P476" s="5" t="str">
        <f t="shared" si="71"/>
        <v>0,30</v>
      </c>
      <c r="Q476" s="4" t="str">
        <f t="shared" si="72"/>
        <v>Cero Bolívares con 30/100</v>
      </c>
    </row>
    <row r="477" spans="1:17" x14ac:dyDescent="0.25">
      <c r="A477" s="1">
        <f t="shared" si="70"/>
        <v>476</v>
      </c>
      <c r="C477" s="8" t="s">
        <v>17</v>
      </c>
      <c r="D477" s="2">
        <v>42954</v>
      </c>
      <c r="E477" s="3">
        <f>35000/100000</f>
        <v>0.35</v>
      </c>
      <c r="F477" t="s">
        <v>211</v>
      </c>
      <c r="G477" t="s">
        <v>212</v>
      </c>
      <c r="H477" t="s">
        <v>213</v>
      </c>
      <c r="I477" s="6" t="s">
        <v>500</v>
      </c>
      <c r="J477" s="61" t="s">
        <v>22</v>
      </c>
      <c r="L477" s="5" t="str">
        <f t="shared" si="66"/>
        <v>00476</v>
      </c>
      <c r="M477" s="47" t="str">
        <f t="shared" si="67"/>
        <v>07 de agosto de 2017</v>
      </c>
      <c r="N477" s="323">
        <f t="shared" si="69"/>
        <v>7</v>
      </c>
      <c r="O477" s="25">
        <f t="shared" si="68"/>
        <v>42948</v>
      </c>
      <c r="P477" s="5" t="str">
        <f t="shared" si="71"/>
        <v>0,35</v>
      </c>
      <c r="Q477" s="4" t="str">
        <f t="shared" si="72"/>
        <v>Cero Bolívares con 35/100</v>
      </c>
    </row>
    <row r="478" spans="1:17" x14ac:dyDescent="0.25">
      <c r="A478" s="1">
        <f t="shared" si="70"/>
        <v>477</v>
      </c>
      <c r="C478" s="8" t="s">
        <v>17</v>
      </c>
      <c r="D478" s="2">
        <v>42955</v>
      </c>
      <c r="E478" s="3">
        <f>35000/100000</f>
        <v>0.35</v>
      </c>
      <c r="F478" t="s">
        <v>24</v>
      </c>
      <c r="G478" t="s">
        <v>25</v>
      </c>
      <c r="H478" t="s">
        <v>26</v>
      </c>
      <c r="I478" s="6" t="s">
        <v>514</v>
      </c>
      <c r="J478" s="61" t="s">
        <v>22</v>
      </c>
      <c r="L478" s="5" t="str">
        <f t="shared" si="66"/>
        <v>00477</v>
      </c>
      <c r="M478" s="47" t="str">
        <f t="shared" si="67"/>
        <v>08 de agosto de 2017</v>
      </c>
      <c r="N478" s="323">
        <f t="shared" si="69"/>
        <v>8</v>
      </c>
      <c r="O478" s="25">
        <f t="shared" si="68"/>
        <v>42948</v>
      </c>
      <c r="P478" s="5" t="str">
        <f t="shared" si="71"/>
        <v>0,35</v>
      </c>
      <c r="Q478" s="4" t="str">
        <f t="shared" si="72"/>
        <v>Cero Bolívares con 35/100</v>
      </c>
    </row>
    <row r="479" spans="1:17" x14ac:dyDescent="0.25">
      <c r="A479" s="1">
        <f t="shared" si="70"/>
        <v>478</v>
      </c>
      <c r="C479" s="8" t="s">
        <v>17</v>
      </c>
      <c r="D479" s="2">
        <v>42956</v>
      </c>
      <c r="E479" s="3">
        <f>4000/100000</f>
        <v>0.04</v>
      </c>
      <c r="F479" t="s">
        <v>94</v>
      </c>
      <c r="G479" t="s">
        <v>95</v>
      </c>
      <c r="H479" t="s">
        <v>96</v>
      </c>
      <c r="I479" s="6" t="s">
        <v>513</v>
      </c>
      <c r="J479" s="61" t="s">
        <v>22</v>
      </c>
      <c r="L479" s="5" t="str">
        <f t="shared" si="66"/>
        <v>00478</v>
      </c>
      <c r="M479" s="47" t="str">
        <f t="shared" si="67"/>
        <v>09 de agosto de 2017</v>
      </c>
      <c r="N479" s="323">
        <f t="shared" si="69"/>
        <v>9</v>
      </c>
      <c r="O479" s="25">
        <f t="shared" si="68"/>
        <v>42948</v>
      </c>
      <c r="P479" s="5" t="str">
        <f t="shared" si="71"/>
        <v>0,04</v>
      </c>
      <c r="Q479" s="4" t="str">
        <f t="shared" si="72"/>
        <v>Cero Bolívares con 04/100</v>
      </c>
    </row>
    <row r="480" spans="1:17" x14ac:dyDescent="0.25">
      <c r="A480" s="1">
        <f t="shared" si="70"/>
        <v>479</v>
      </c>
      <c r="C480" s="8" t="s">
        <v>17</v>
      </c>
      <c r="D480" s="2">
        <v>42956</v>
      </c>
      <c r="E480" s="3">
        <f>31000/100000</f>
        <v>0.31</v>
      </c>
      <c r="F480" t="s">
        <v>100</v>
      </c>
      <c r="G480" t="s">
        <v>95</v>
      </c>
      <c r="H480" t="s">
        <v>101</v>
      </c>
      <c r="I480" s="6" t="s">
        <v>518</v>
      </c>
      <c r="J480" s="61" t="s">
        <v>22</v>
      </c>
      <c r="L480" s="5" t="str">
        <f t="shared" si="66"/>
        <v>00479</v>
      </c>
      <c r="M480" s="47" t="str">
        <f t="shared" si="67"/>
        <v>09 de agosto de 2017</v>
      </c>
      <c r="N480" s="323">
        <f t="shared" si="69"/>
        <v>9</v>
      </c>
      <c r="O480" s="25">
        <f t="shared" si="68"/>
        <v>42948</v>
      </c>
      <c r="P480" s="5" t="str">
        <f t="shared" si="71"/>
        <v>0,31</v>
      </c>
      <c r="Q480" s="4" t="str">
        <f t="shared" si="72"/>
        <v>Cero Bolívares con 31/100</v>
      </c>
    </row>
    <row r="481" spans="1:17" x14ac:dyDescent="0.25">
      <c r="A481" s="1">
        <f t="shared" si="70"/>
        <v>480</v>
      </c>
      <c r="C481" s="8" t="s">
        <v>17</v>
      </c>
      <c r="D481" s="2">
        <v>42956</v>
      </c>
      <c r="E481" s="3">
        <f>26000/100000</f>
        <v>0.26</v>
      </c>
      <c r="F481" t="s">
        <v>324</v>
      </c>
      <c r="G481" t="s">
        <v>325</v>
      </c>
      <c r="H481" t="s">
        <v>326</v>
      </c>
      <c r="I481" s="6" t="s">
        <v>519</v>
      </c>
      <c r="J481" s="61" t="s">
        <v>22</v>
      </c>
      <c r="L481" s="5" t="str">
        <f t="shared" si="66"/>
        <v>00480</v>
      </c>
      <c r="M481" s="47" t="str">
        <f t="shared" si="67"/>
        <v>09 de agosto de 2017</v>
      </c>
      <c r="N481" s="323">
        <f t="shared" si="69"/>
        <v>9</v>
      </c>
      <c r="O481" s="25">
        <f t="shared" si="68"/>
        <v>42948</v>
      </c>
      <c r="P481" s="5" t="str">
        <f t="shared" si="71"/>
        <v>0,26</v>
      </c>
      <c r="Q481" s="4" t="str">
        <f t="shared" si="72"/>
        <v>Cero Bolívares con 26/100</v>
      </c>
    </row>
    <row r="482" spans="1:17" x14ac:dyDescent="0.25">
      <c r="A482" s="1">
        <f t="shared" si="70"/>
        <v>481</v>
      </c>
      <c r="C482" s="8" t="s">
        <v>17</v>
      </c>
      <c r="D482" s="2">
        <v>42956</v>
      </c>
      <c r="E482" s="3">
        <f>35000/100000</f>
        <v>0.35</v>
      </c>
      <c r="F482" t="s">
        <v>407</v>
      </c>
      <c r="G482" t="s">
        <v>408</v>
      </c>
      <c r="H482" t="s">
        <v>409</v>
      </c>
      <c r="I482" s="6" t="s">
        <v>500</v>
      </c>
      <c r="J482" s="61" t="s">
        <v>22</v>
      </c>
      <c r="L482" s="5" t="str">
        <f t="shared" si="66"/>
        <v>00481</v>
      </c>
      <c r="M482" s="47" t="str">
        <f t="shared" si="67"/>
        <v>09 de agosto de 2017</v>
      </c>
      <c r="N482" s="323">
        <f t="shared" si="69"/>
        <v>9</v>
      </c>
      <c r="O482" s="25">
        <f t="shared" si="68"/>
        <v>42948</v>
      </c>
      <c r="P482" s="5" t="str">
        <f t="shared" si="71"/>
        <v>0,35</v>
      </c>
      <c r="Q482" s="4" t="str">
        <f t="shared" si="72"/>
        <v>Cero Bolívares con 35/100</v>
      </c>
    </row>
    <row r="483" spans="1:17" x14ac:dyDescent="0.25">
      <c r="A483" s="1">
        <f t="shared" si="70"/>
        <v>482</v>
      </c>
      <c r="C483" s="8" t="s">
        <v>17</v>
      </c>
      <c r="D483" s="2">
        <v>42957</v>
      </c>
      <c r="E483" s="3">
        <f>35000/100000</f>
        <v>0.35</v>
      </c>
      <c r="F483" t="s">
        <v>70</v>
      </c>
      <c r="G483" t="s">
        <v>71</v>
      </c>
      <c r="H483" t="s">
        <v>72</v>
      </c>
      <c r="I483" s="6" t="s">
        <v>514</v>
      </c>
      <c r="J483" s="61" t="s">
        <v>22</v>
      </c>
      <c r="L483" s="5" t="str">
        <f t="shared" si="66"/>
        <v>00482</v>
      </c>
      <c r="M483" s="47" t="str">
        <f t="shared" si="67"/>
        <v>10 de agosto de 2017</v>
      </c>
      <c r="N483" s="323">
        <f t="shared" si="69"/>
        <v>10</v>
      </c>
      <c r="O483" s="25">
        <f t="shared" si="68"/>
        <v>42948</v>
      </c>
      <c r="P483" s="5" t="str">
        <f t="shared" si="71"/>
        <v>0,35</v>
      </c>
      <c r="Q483" s="4" t="str">
        <f t="shared" si="72"/>
        <v>Cero Bolívares con 35/100</v>
      </c>
    </row>
    <row r="484" spans="1:17" x14ac:dyDescent="0.25">
      <c r="A484" s="1">
        <f t="shared" si="70"/>
        <v>483</v>
      </c>
      <c r="C484" s="8" t="s">
        <v>17</v>
      </c>
      <c r="D484" s="2">
        <v>42957</v>
      </c>
      <c r="E484" s="3">
        <f>35000/100000</f>
        <v>0.35</v>
      </c>
      <c r="F484" t="s">
        <v>103</v>
      </c>
      <c r="G484" t="s">
        <v>104</v>
      </c>
      <c r="H484" t="s">
        <v>105</v>
      </c>
      <c r="I484" s="6" t="s">
        <v>514</v>
      </c>
      <c r="J484" s="61" t="s">
        <v>22</v>
      </c>
      <c r="L484" s="5" t="str">
        <f t="shared" si="66"/>
        <v>00483</v>
      </c>
      <c r="M484" s="47" t="str">
        <f t="shared" si="67"/>
        <v>10 de agosto de 2017</v>
      </c>
      <c r="N484" s="323">
        <f t="shared" si="69"/>
        <v>10</v>
      </c>
      <c r="O484" s="25">
        <f t="shared" si="68"/>
        <v>42948</v>
      </c>
      <c r="P484" s="5" t="str">
        <f t="shared" si="71"/>
        <v>0,35</v>
      </c>
      <c r="Q484" s="4" t="str">
        <f t="shared" si="72"/>
        <v>Cero Bolívares con 35/100</v>
      </c>
    </row>
    <row r="485" spans="1:17" x14ac:dyDescent="0.25">
      <c r="A485" s="1">
        <f t="shared" si="70"/>
        <v>484</v>
      </c>
      <c r="C485" s="8" t="s">
        <v>17</v>
      </c>
      <c r="D485" s="2">
        <v>42957</v>
      </c>
      <c r="E485" s="3">
        <f>26000/100000</f>
        <v>0.26</v>
      </c>
      <c r="F485" t="s">
        <v>264</v>
      </c>
      <c r="G485" t="s">
        <v>265</v>
      </c>
      <c r="H485" t="s">
        <v>266</v>
      </c>
      <c r="I485" s="6" t="s">
        <v>473</v>
      </c>
      <c r="J485" s="61" t="s">
        <v>22</v>
      </c>
      <c r="L485" s="5" t="str">
        <f t="shared" si="66"/>
        <v>00484</v>
      </c>
      <c r="M485" s="47" t="str">
        <f t="shared" si="67"/>
        <v>10 de agosto de 2017</v>
      </c>
      <c r="N485" s="323">
        <f t="shared" si="69"/>
        <v>10</v>
      </c>
      <c r="O485" s="25">
        <f t="shared" si="68"/>
        <v>42948</v>
      </c>
      <c r="P485" s="5" t="str">
        <f t="shared" si="71"/>
        <v>0,26</v>
      </c>
      <c r="Q485" s="4" t="str">
        <f t="shared" si="72"/>
        <v>Cero Bolívares con 26/100</v>
      </c>
    </row>
    <row r="486" spans="1:17" x14ac:dyDescent="0.25">
      <c r="A486" s="1">
        <f t="shared" si="70"/>
        <v>485</v>
      </c>
      <c r="C486" s="8" t="s">
        <v>17</v>
      </c>
      <c r="D486" s="2">
        <v>42957</v>
      </c>
      <c r="E486" s="3">
        <f>35000/100000</f>
        <v>0.35</v>
      </c>
      <c r="F486" t="s">
        <v>36</v>
      </c>
      <c r="G486" t="s">
        <v>37</v>
      </c>
      <c r="H486" t="s">
        <v>38</v>
      </c>
      <c r="I486" s="6" t="s">
        <v>520</v>
      </c>
      <c r="J486" s="61" t="s">
        <v>22</v>
      </c>
      <c r="L486" s="5" t="str">
        <f t="shared" si="66"/>
        <v>00485</v>
      </c>
      <c r="M486" s="47" t="str">
        <f t="shared" si="67"/>
        <v>10 de agosto de 2017</v>
      </c>
      <c r="N486" s="323">
        <f t="shared" si="69"/>
        <v>10</v>
      </c>
      <c r="O486" s="25">
        <f t="shared" si="68"/>
        <v>42948</v>
      </c>
      <c r="P486" s="5" t="str">
        <f t="shared" si="71"/>
        <v>0,35</v>
      </c>
      <c r="Q486" s="4" t="str">
        <f t="shared" si="72"/>
        <v>Cero Bolívares con 35/100</v>
      </c>
    </row>
    <row r="487" spans="1:17" x14ac:dyDescent="0.25">
      <c r="A487" s="1">
        <f t="shared" si="70"/>
        <v>486</v>
      </c>
      <c r="C487" s="8" t="s">
        <v>17</v>
      </c>
      <c r="D487" s="2">
        <v>42957</v>
      </c>
      <c r="E487" s="3">
        <f>13000/100000</f>
        <v>0.13</v>
      </c>
      <c r="F487" t="s">
        <v>337</v>
      </c>
      <c r="G487" t="s">
        <v>338</v>
      </c>
      <c r="H487" t="s">
        <v>339</v>
      </c>
      <c r="I487" s="6" t="s">
        <v>473</v>
      </c>
      <c r="J487" s="61" t="s">
        <v>22</v>
      </c>
      <c r="L487" s="5" t="str">
        <f t="shared" si="66"/>
        <v>00486</v>
      </c>
      <c r="M487" s="47" t="str">
        <f t="shared" si="67"/>
        <v>10 de agosto de 2017</v>
      </c>
      <c r="N487" s="323">
        <f t="shared" si="69"/>
        <v>10</v>
      </c>
      <c r="O487" s="25">
        <f t="shared" si="68"/>
        <v>42948</v>
      </c>
      <c r="P487" s="5" t="str">
        <f t="shared" si="71"/>
        <v>0,13</v>
      </c>
      <c r="Q487" s="4" t="str">
        <f t="shared" si="72"/>
        <v>Cero Bolívares con 13/100</v>
      </c>
    </row>
    <row r="488" spans="1:17" x14ac:dyDescent="0.25">
      <c r="A488" s="1">
        <f t="shared" si="70"/>
        <v>487</v>
      </c>
      <c r="C488" s="8" t="s">
        <v>17</v>
      </c>
      <c r="D488" s="2">
        <v>42957</v>
      </c>
      <c r="E488" s="3">
        <f>7000/100000</f>
        <v>7.0000000000000007E-2</v>
      </c>
      <c r="F488" t="s">
        <v>337</v>
      </c>
      <c r="G488" t="s">
        <v>338</v>
      </c>
      <c r="H488" t="s">
        <v>339</v>
      </c>
      <c r="I488" s="6" t="s">
        <v>451</v>
      </c>
      <c r="J488" s="61" t="s">
        <v>452</v>
      </c>
      <c r="L488" s="5" t="str">
        <f t="shared" si="66"/>
        <v>00487</v>
      </c>
      <c r="M488" s="47" t="str">
        <f t="shared" si="67"/>
        <v>10 de agosto de 2017</v>
      </c>
      <c r="N488" s="323">
        <f t="shared" si="69"/>
        <v>10</v>
      </c>
      <c r="O488" s="25">
        <f t="shared" si="68"/>
        <v>42948</v>
      </c>
      <c r="P488" s="5" t="str">
        <f t="shared" si="71"/>
        <v>0,07</v>
      </c>
      <c r="Q488" s="4" t="str">
        <f t="shared" si="72"/>
        <v>Cero Bolívares con 07/100</v>
      </c>
    </row>
    <row r="489" spans="1:17" x14ac:dyDescent="0.25">
      <c r="A489" s="1">
        <f t="shared" si="70"/>
        <v>488</v>
      </c>
      <c r="C489" s="8" t="s">
        <v>17</v>
      </c>
      <c r="D489" s="2">
        <v>42957</v>
      </c>
      <c r="E489" s="3">
        <f>35000/100000</f>
        <v>0.35</v>
      </c>
      <c r="F489" t="s">
        <v>443</v>
      </c>
      <c r="G489" t="s">
        <v>444</v>
      </c>
      <c r="H489" t="s">
        <v>75</v>
      </c>
      <c r="I489" s="6" t="s">
        <v>514</v>
      </c>
      <c r="J489" s="61" t="s">
        <v>22</v>
      </c>
      <c r="L489" s="5" t="str">
        <f t="shared" si="66"/>
        <v>00488</v>
      </c>
      <c r="M489" s="47" t="str">
        <f t="shared" si="67"/>
        <v>10 de agosto de 2017</v>
      </c>
      <c r="N489" s="323">
        <f t="shared" si="69"/>
        <v>10</v>
      </c>
      <c r="O489" s="25">
        <f t="shared" si="68"/>
        <v>42948</v>
      </c>
      <c r="P489" s="5" t="str">
        <f t="shared" si="71"/>
        <v>0,35</v>
      </c>
      <c r="Q489" s="4" t="str">
        <f t="shared" si="72"/>
        <v>Cero Bolívares con 35/100</v>
      </c>
    </row>
    <row r="490" spans="1:17" x14ac:dyDescent="0.25">
      <c r="A490" s="1">
        <f t="shared" si="70"/>
        <v>489</v>
      </c>
      <c r="C490" s="8" t="s">
        <v>17</v>
      </c>
      <c r="D490" s="2">
        <v>42960</v>
      </c>
      <c r="E490" s="3">
        <f>26000/100000</f>
        <v>0.26</v>
      </c>
      <c r="F490" t="s">
        <v>287</v>
      </c>
      <c r="G490" t="s">
        <v>288</v>
      </c>
      <c r="H490" t="s">
        <v>289</v>
      </c>
      <c r="I490" s="6" t="s">
        <v>445</v>
      </c>
      <c r="J490" s="61" t="s">
        <v>22</v>
      </c>
      <c r="L490" s="5" t="str">
        <f t="shared" si="66"/>
        <v>00489</v>
      </c>
      <c r="M490" s="47" t="str">
        <f t="shared" si="67"/>
        <v>13 de agosto de 2017</v>
      </c>
      <c r="N490" s="323">
        <f t="shared" si="69"/>
        <v>13</v>
      </c>
      <c r="O490" s="25">
        <f t="shared" si="68"/>
        <v>42948</v>
      </c>
      <c r="P490" s="5" t="str">
        <f t="shared" si="71"/>
        <v>0,26</v>
      </c>
      <c r="Q490" s="4" t="str">
        <f t="shared" si="72"/>
        <v>Cero Bolívares con 26/100</v>
      </c>
    </row>
    <row r="491" spans="1:17" x14ac:dyDescent="0.25">
      <c r="A491" s="1">
        <f t="shared" si="70"/>
        <v>490</v>
      </c>
      <c r="C491" s="8" t="s">
        <v>17</v>
      </c>
      <c r="D491" s="2">
        <v>42960</v>
      </c>
      <c r="E491" s="3">
        <f>7000/100000</f>
        <v>7.0000000000000007E-2</v>
      </c>
      <c r="F491" t="s">
        <v>287</v>
      </c>
      <c r="G491" t="s">
        <v>288</v>
      </c>
      <c r="H491" t="s">
        <v>289</v>
      </c>
      <c r="I491" s="6" t="s">
        <v>451</v>
      </c>
      <c r="J491" s="61" t="s">
        <v>452</v>
      </c>
      <c r="L491" s="5" t="str">
        <f t="shared" si="66"/>
        <v>00490</v>
      </c>
      <c r="M491" s="47" t="str">
        <f t="shared" si="67"/>
        <v>13 de agosto de 2017</v>
      </c>
      <c r="N491" s="323">
        <f t="shared" si="69"/>
        <v>13</v>
      </c>
      <c r="O491" s="25">
        <f t="shared" si="68"/>
        <v>42948</v>
      </c>
      <c r="P491" s="5" t="str">
        <f t="shared" si="71"/>
        <v>0,07</v>
      </c>
      <c r="Q491" s="4" t="str">
        <f t="shared" si="72"/>
        <v>Cero Bolívares con 07/100</v>
      </c>
    </row>
    <row r="492" spans="1:17" x14ac:dyDescent="0.25">
      <c r="A492" s="1">
        <f t="shared" si="70"/>
        <v>491</v>
      </c>
      <c r="C492" s="8" t="s">
        <v>17</v>
      </c>
      <c r="D492" s="2">
        <v>42961</v>
      </c>
      <c r="E492" s="3">
        <f>35000/100000</f>
        <v>0.35</v>
      </c>
      <c r="F492" t="s">
        <v>90</v>
      </c>
      <c r="G492" t="s">
        <v>91</v>
      </c>
      <c r="H492" t="s">
        <v>92</v>
      </c>
      <c r="I492" s="6" t="s">
        <v>514</v>
      </c>
      <c r="J492" s="61" t="s">
        <v>22</v>
      </c>
      <c r="L492" s="5" t="str">
        <f t="shared" si="66"/>
        <v>00491</v>
      </c>
      <c r="M492" s="47" t="str">
        <f t="shared" si="67"/>
        <v>14 de agosto de 2017</v>
      </c>
      <c r="N492" s="323">
        <f t="shared" si="69"/>
        <v>14</v>
      </c>
      <c r="O492" s="25">
        <f t="shared" si="68"/>
        <v>42948</v>
      </c>
      <c r="P492" s="5" t="str">
        <f t="shared" si="71"/>
        <v>0,35</v>
      </c>
      <c r="Q492" s="4" t="str">
        <f t="shared" si="72"/>
        <v>Cero Bolívares con 35/100</v>
      </c>
    </row>
    <row r="493" spans="1:17" x14ac:dyDescent="0.25">
      <c r="A493" s="1">
        <f t="shared" si="70"/>
        <v>492</v>
      </c>
      <c r="C493" s="8" t="s">
        <v>17</v>
      </c>
      <c r="D493" s="2">
        <v>42961</v>
      </c>
      <c r="E493" s="3">
        <f>9000/100000</f>
        <v>0.09</v>
      </c>
      <c r="F493" t="s">
        <v>264</v>
      </c>
      <c r="G493" t="s">
        <v>265</v>
      </c>
      <c r="H493" t="s">
        <v>266</v>
      </c>
      <c r="I493" s="6" t="s">
        <v>499</v>
      </c>
      <c r="J493" s="61" t="s">
        <v>22</v>
      </c>
      <c r="L493" s="5" t="str">
        <f t="shared" si="66"/>
        <v>00492</v>
      </c>
      <c r="M493" s="47" t="str">
        <f t="shared" si="67"/>
        <v>14 de agosto de 2017</v>
      </c>
      <c r="N493" s="323">
        <f t="shared" si="69"/>
        <v>14</v>
      </c>
      <c r="O493" s="25">
        <f t="shared" si="68"/>
        <v>42948</v>
      </c>
      <c r="P493" s="5" t="str">
        <f t="shared" si="71"/>
        <v>0,09</v>
      </c>
      <c r="Q493" s="4" t="str">
        <f t="shared" si="72"/>
        <v>Cero Bolívares con 09/100</v>
      </c>
    </row>
    <row r="494" spans="1:17" x14ac:dyDescent="0.25">
      <c r="A494" s="1">
        <f t="shared" si="70"/>
        <v>493</v>
      </c>
      <c r="C494" s="8" t="s">
        <v>17</v>
      </c>
      <c r="D494" s="2">
        <v>42961</v>
      </c>
      <c r="E494" s="3">
        <f>18000/100000</f>
        <v>0.18</v>
      </c>
      <c r="F494" t="s">
        <v>264</v>
      </c>
      <c r="G494" t="s">
        <v>265</v>
      </c>
      <c r="H494" t="s">
        <v>266</v>
      </c>
      <c r="I494" s="6" t="s">
        <v>521</v>
      </c>
      <c r="J494" s="61" t="s">
        <v>368</v>
      </c>
      <c r="L494" s="5" t="str">
        <f t="shared" si="66"/>
        <v>00493</v>
      </c>
      <c r="M494" s="47" t="str">
        <f t="shared" si="67"/>
        <v>14 de agosto de 2017</v>
      </c>
      <c r="N494" s="323">
        <f t="shared" si="69"/>
        <v>14</v>
      </c>
      <c r="O494" s="25">
        <f t="shared" si="68"/>
        <v>42948</v>
      </c>
      <c r="P494" s="5" t="str">
        <f t="shared" si="71"/>
        <v>0,18</v>
      </c>
      <c r="Q494" s="4" t="str">
        <f t="shared" si="72"/>
        <v>Cero Bolívares con 18/100</v>
      </c>
    </row>
    <row r="495" spans="1:17" x14ac:dyDescent="0.25">
      <c r="A495" s="1">
        <f t="shared" si="70"/>
        <v>494</v>
      </c>
      <c r="C495" s="8" t="s">
        <v>17</v>
      </c>
      <c r="D495" s="2">
        <v>42962</v>
      </c>
      <c r="E495" s="3">
        <f>15000/100000</f>
        <v>0.15</v>
      </c>
      <c r="F495" t="s">
        <v>401</v>
      </c>
      <c r="G495" t="s">
        <v>402</v>
      </c>
      <c r="H495" t="s">
        <v>403</v>
      </c>
      <c r="I495" s="6" t="s">
        <v>513</v>
      </c>
      <c r="J495" s="61" t="s">
        <v>22</v>
      </c>
      <c r="L495" s="5" t="str">
        <f t="shared" si="66"/>
        <v>00494</v>
      </c>
      <c r="M495" s="47" t="str">
        <f t="shared" si="67"/>
        <v>15 de agosto de 2017</v>
      </c>
      <c r="N495" s="323">
        <f t="shared" si="69"/>
        <v>15</v>
      </c>
      <c r="O495" s="25">
        <f t="shared" si="68"/>
        <v>42948</v>
      </c>
      <c r="P495" s="5" t="str">
        <f t="shared" si="71"/>
        <v>0,15</v>
      </c>
      <c r="Q495" s="4" t="str">
        <f t="shared" si="72"/>
        <v>Cero Bolívares con 15/100</v>
      </c>
    </row>
    <row r="496" spans="1:17" x14ac:dyDescent="0.25">
      <c r="A496" s="1">
        <f t="shared" si="70"/>
        <v>495</v>
      </c>
      <c r="C496" s="8" t="s">
        <v>17</v>
      </c>
      <c r="D496" s="2">
        <v>42962</v>
      </c>
      <c r="E496" s="3">
        <f>20000/100000</f>
        <v>0.2</v>
      </c>
      <c r="F496" t="s">
        <v>181</v>
      </c>
      <c r="G496" t="s">
        <v>182</v>
      </c>
      <c r="H496" t="s">
        <v>183</v>
      </c>
      <c r="I496" s="6" t="s">
        <v>513</v>
      </c>
      <c r="J496" s="61" t="s">
        <v>22</v>
      </c>
      <c r="L496" s="5" t="str">
        <f t="shared" si="66"/>
        <v>00495</v>
      </c>
      <c r="M496" s="47" t="str">
        <f t="shared" si="67"/>
        <v>15 de agosto de 2017</v>
      </c>
      <c r="N496" s="323">
        <f t="shared" si="69"/>
        <v>15</v>
      </c>
      <c r="O496" s="25">
        <f t="shared" si="68"/>
        <v>42948</v>
      </c>
      <c r="P496" s="5" t="str">
        <f t="shared" si="71"/>
        <v>0,20</v>
      </c>
      <c r="Q496" s="4" t="str">
        <f t="shared" si="72"/>
        <v>Cero Bolívares con 20/100</v>
      </c>
    </row>
    <row r="497" spans="1:17" x14ac:dyDescent="0.25">
      <c r="A497" s="1">
        <f t="shared" si="70"/>
        <v>496</v>
      </c>
      <c r="C497" s="8" t="s">
        <v>17</v>
      </c>
      <c r="D497" s="2">
        <v>42962</v>
      </c>
      <c r="E497" s="3">
        <f>35000/100000</f>
        <v>0.35</v>
      </c>
      <c r="F497" t="s">
        <v>152</v>
      </c>
      <c r="G497" t="s">
        <v>153</v>
      </c>
      <c r="H497" t="s">
        <v>154</v>
      </c>
      <c r="I497" s="6" t="s">
        <v>514</v>
      </c>
      <c r="J497" s="61" t="s">
        <v>22</v>
      </c>
      <c r="L497" s="5" t="str">
        <f t="shared" si="66"/>
        <v>00496</v>
      </c>
      <c r="M497" s="47" t="str">
        <f t="shared" si="67"/>
        <v>15 de agosto de 2017</v>
      </c>
      <c r="N497" s="323">
        <f t="shared" si="69"/>
        <v>15</v>
      </c>
      <c r="O497" s="25">
        <f t="shared" si="68"/>
        <v>42948</v>
      </c>
      <c r="P497" s="5" t="str">
        <f t="shared" si="71"/>
        <v>0,35</v>
      </c>
      <c r="Q497" s="4" t="str">
        <f t="shared" si="72"/>
        <v>Cero Bolívares con 35/100</v>
      </c>
    </row>
    <row r="498" spans="1:17" x14ac:dyDescent="0.25">
      <c r="A498" s="1">
        <f t="shared" si="70"/>
        <v>497</v>
      </c>
      <c r="C498" s="8" t="s">
        <v>17</v>
      </c>
      <c r="D498" s="2">
        <v>42911</v>
      </c>
      <c r="E498" s="3">
        <f>26000/100000</f>
        <v>0.26</v>
      </c>
      <c r="F498" t="s">
        <v>296</v>
      </c>
      <c r="G498" t="s">
        <v>297</v>
      </c>
      <c r="H498" t="s">
        <v>298</v>
      </c>
      <c r="I498" s="6" t="s">
        <v>445</v>
      </c>
      <c r="J498" s="61" t="s">
        <v>22</v>
      </c>
      <c r="L498" s="5" t="str">
        <f t="shared" si="66"/>
        <v>00497</v>
      </c>
      <c r="M498" s="47" t="str">
        <f t="shared" si="67"/>
        <v>25 de junio de 2017</v>
      </c>
      <c r="N498" s="323">
        <f t="shared" si="69"/>
        <v>25</v>
      </c>
      <c r="O498" s="25">
        <f t="shared" si="68"/>
        <v>42887</v>
      </c>
      <c r="P498" s="5" t="str">
        <f t="shared" si="71"/>
        <v>0,26</v>
      </c>
      <c r="Q498" s="4" t="str">
        <f t="shared" si="72"/>
        <v>Cero Bolívares con 26/100</v>
      </c>
    </row>
    <row r="499" spans="1:17" x14ac:dyDescent="0.25">
      <c r="A499" s="1">
        <f t="shared" si="70"/>
        <v>498</v>
      </c>
      <c r="C499" s="8" t="s">
        <v>17</v>
      </c>
      <c r="D499" s="2">
        <v>42963</v>
      </c>
      <c r="E499" s="3">
        <f>9000/100000</f>
        <v>0.09</v>
      </c>
      <c r="F499" t="s">
        <v>122</v>
      </c>
      <c r="G499" t="s">
        <v>123</v>
      </c>
      <c r="H499" t="s">
        <v>124</v>
      </c>
      <c r="I499" s="6" t="s">
        <v>499</v>
      </c>
      <c r="J499" s="61" t="s">
        <v>22</v>
      </c>
      <c r="L499" s="5" t="str">
        <f t="shared" si="66"/>
        <v>00498</v>
      </c>
      <c r="M499" s="47" t="str">
        <f t="shared" si="67"/>
        <v>16 de agosto de 2017</v>
      </c>
      <c r="N499" s="323">
        <f t="shared" si="69"/>
        <v>16</v>
      </c>
      <c r="O499" s="25">
        <f t="shared" si="68"/>
        <v>42948</v>
      </c>
      <c r="P499" s="5" t="str">
        <f t="shared" ref="P499:P519" si="73">TEXT(E499,"#.##0,00")</f>
        <v>0,09</v>
      </c>
      <c r="Q499" s="4" t="str">
        <f t="shared" ref="Q499:Q519" si="74">CONVERTIRNUM(E499)</f>
        <v>Cero Bolívares con 09/100</v>
      </c>
    </row>
    <row r="500" spans="1:17" x14ac:dyDescent="0.25">
      <c r="A500" s="1">
        <f t="shared" si="70"/>
        <v>499</v>
      </c>
      <c r="C500" s="8" t="s">
        <v>17</v>
      </c>
      <c r="D500" s="2">
        <v>42963</v>
      </c>
      <c r="E500" s="3">
        <f>35000/100000</f>
        <v>0.35</v>
      </c>
      <c r="F500" t="s">
        <v>122</v>
      </c>
      <c r="G500" t="s">
        <v>123</v>
      </c>
      <c r="H500" t="s">
        <v>124</v>
      </c>
      <c r="I500" s="6" t="s">
        <v>514</v>
      </c>
      <c r="J500" s="61" t="s">
        <v>22</v>
      </c>
      <c r="L500" s="5" t="str">
        <f t="shared" si="66"/>
        <v>00499</v>
      </c>
      <c r="M500" s="47" t="str">
        <f t="shared" si="67"/>
        <v>16 de agosto de 2017</v>
      </c>
      <c r="N500" s="323">
        <f t="shared" si="69"/>
        <v>16</v>
      </c>
      <c r="O500" s="25">
        <f t="shared" si="68"/>
        <v>42948</v>
      </c>
      <c r="P500" s="5" t="str">
        <f t="shared" si="73"/>
        <v>0,35</v>
      </c>
      <c r="Q500" s="4" t="str">
        <f t="shared" si="74"/>
        <v>Cero Bolívares con 35/100</v>
      </c>
    </row>
    <row r="501" spans="1:17" x14ac:dyDescent="0.25">
      <c r="A501" s="1">
        <f t="shared" si="70"/>
        <v>500</v>
      </c>
      <c r="C501" s="8" t="s">
        <v>17</v>
      </c>
      <c r="D501" s="2">
        <v>42944</v>
      </c>
      <c r="E501" s="3">
        <f>35000/100000</f>
        <v>0.35</v>
      </c>
      <c r="F501" t="s">
        <v>62</v>
      </c>
      <c r="G501" t="s">
        <v>63</v>
      </c>
      <c r="H501" t="s">
        <v>64</v>
      </c>
      <c r="I501" s="6" t="s">
        <v>500</v>
      </c>
      <c r="J501" s="61" t="s">
        <v>22</v>
      </c>
      <c r="L501" s="5" t="str">
        <f t="shared" si="66"/>
        <v>00500</v>
      </c>
      <c r="M501" s="47" t="str">
        <f t="shared" si="67"/>
        <v>28 de julio de 2017</v>
      </c>
      <c r="N501" s="323">
        <f t="shared" si="69"/>
        <v>28</v>
      </c>
      <c r="O501" s="25">
        <f t="shared" si="68"/>
        <v>42917</v>
      </c>
      <c r="P501" s="5" t="str">
        <f t="shared" si="73"/>
        <v>0,35</v>
      </c>
      <c r="Q501" s="4" t="str">
        <f t="shared" si="74"/>
        <v>Cero Bolívares con 35/100</v>
      </c>
    </row>
    <row r="502" spans="1:17" x14ac:dyDescent="0.25">
      <c r="A502" s="1">
        <f t="shared" si="70"/>
        <v>501</v>
      </c>
      <c r="C502" s="8" t="s">
        <v>17</v>
      </c>
      <c r="D502" s="2">
        <v>42941</v>
      </c>
      <c r="E502" s="3">
        <f>35000/100000</f>
        <v>0.35</v>
      </c>
      <c r="F502" t="s">
        <v>296</v>
      </c>
      <c r="G502" t="s">
        <v>297</v>
      </c>
      <c r="H502" t="s">
        <v>298</v>
      </c>
      <c r="I502" s="6" t="s">
        <v>500</v>
      </c>
      <c r="J502" s="61" t="s">
        <v>22</v>
      </c>
      <c r="L502" s="5" t="str">
        <f t="shared" si="66"/>
        <v>00501</v>
      </c>
      <c r="M502" s="47" t="str">
        <f t="shared" si="67"/>
        <v>25 de julio de 2017</v>
      </c>
      <c r="N502" s="323">
        <f t="shared" si="69"/>
        <v>25</v>
      </c>
      <c r="O502" s="25">
        <f t="shared" si="68"/>
        <v>42917</v>
      </c>
      <c r="P502" s="5" t="str">
        <f t="shared" si="73"/>
        <v>0,35</v>
      </c>
      <c r="Q502" s="4" t="str">
        <f t="shared" si="74"/>
        <v>Cero Bolívares con 35/100</v>
      </c>
    </row>
    <row r="503" spans="1:17" x14ac:dyDescent="0.25">
      <c r="A503" s="1">
        <f t="shared" si="70"/>
        <v>502</v>
      </c>
      <c r="C503" s="8" t="s">
        <v>17</v>
      </c>
      <c r="D503" s="2">
        <v>42964</v>
      </c>
      <c r="E503" s="3">
        <f>40000/100000</f>
        <v>0.4</v>
      </c>
      <c r="F503" s="20" t="s">
        <v>57</v>
      </c>
      <c r="G503" s="18" t="s">
        <v>58</v>
      </c>
      <c r="H503" s="21" t="s">
        <v>59</v>
      </c>
      <c r="I503" s="6" t="s">
        <v>514</v>
      </c>
      <c r="J503" s="61" t="s">
        <v>22</v>
      </c>
      <c r="K503" s="22"/>
      <c r="L503" s="5" t="str">
        <f t="shared" si="66"/>
        <v>00502</v>
      </c>
      <c r="M503" s="47" t="str">
        <f t="shared" si="67"/>
        <v>17 de agosto de 2017</v>
      </c>
      <c r="N503" s="323">
        <f t="shared" si="69"/>
        <v>17</v>
      </c>
      <c r="O503" s="25">
        <f t="shared" si="68"/>
        <v>42948</v>
      </c>
      <c r="P503" s="5" t="str">
        <f t="shared" si="73"/>
        <v>0,40</v>
      </c>
      <c r="Q503" s="4" t="str">
        <f t="shared" si="74"/>
        <v>Cero Bolívares con 40/100</v>
      </c>
    </row>
    <row r="504" spans="1:17" x14ac:dyDescent="0.25">
      <c r="A504" s="1">
        <f t="shared" si="70"/>
        <v>503</v>
      </c>
      <c r="C504" s="8" t="s">
        <v>17</v>
      </c>
      <c r="D504" s="2">
        <v>42946</v>
      </c>
      <c r="E504" s="3">
        <f>62000/100000</f>
        <v>0.62</v>
      </c>
      <c r="F504" t="s">
        <v>197</v>
      </c>
      <c r="G504" t="s">
        <v>198</v>
      </c>
      <c r="H504" t="s">
        <v>199</v>
      </c>
      <c r="I504" s="6" t="s">
        <v>522</v>
      </c>
      <c r="J504" s="61" t="s">
        <v>22</v>
      </c>
      <c r="L504" s="5" t="str">
        <f t="shared" si="66"/>
        <v>00503</v>
      </c>
      <c r="M504" s="47" t="str">
        <f t="shared" si="67"/>
        <v>30 de julio de 2017</v>
      </c>
      <c r="N504" s="323">
        <f t="shared" si="69"/>
        <v>30</v>
      </c>
      <c r="O504" s="25">
        <f t="shared" si="68"/>
        <v>42917</v>
      </c>
      <c r="P504" s="5" t="str">
        <f t="shared" si="73"/>
        <v>0,62</v>
      </c>
      <c r="Q504" s="4" t="str">
        <f t="shared" si="74"/>
        <v>Cero Bolívares con 62/100</v>
      </c>
    </row>
    <row r="505" spans="1:17" x14ac:dyDescent="0.25">
      <c r="A505" s="1">
        <f t="shared" si="70"/>
        <v>504</v>
      </c>
      <c r="C505" s="8" t="s">
        <v>17</v>
      </c>
      <c r="D505" s="2">
        <v>42964</v>
      </c>
      <c r="E505" s="3">
        <f>15000/100000</f>
        <v>0.15</v>
      </c>
      <c r="F505" t="s">
        <v>177</v>
      </c>
      <c r="G505" s="18" t="s">
        <v>58</v>
      </c>
      <c r="H505" t="s">
        <v>179</v>
      </c>
      <c r="I505" s="6" t="s">
        <v>499</v>
      </c>
      <c r="J505" s="61" t="s">
        <v>22</v>
      </c>
      <c r="L505" s="5" t="str">
        <f t="shared" si="66"/>
        <v>00504</v>
      </c>
      <c r="M505" s="47" t="str">
        <f t="shared" si="67"/>
        <v>17 de agosto de 2017</v>
      </c>
      <c r="N505" s="323">
        <f t="shared" si="69"/>
        <v>17</v>
      </c>
      <c r="O505" s="25">
        <f t="shared" si="68"/>
        <v>42948</v>
      </c>
      <c r="P505" s="5" t="str">
        <f t="shared" si="73"/>
        <v>0,15</v>
      </c>
      <c r="Q505" s="4" t="str">
        <f t="shared" si="74"/>
        <v>Cero Bolívares con 15/100</v>
      </c>
    </row>
    <row r="506" spans="1:17" x14ac:dyDescent="0.25">
      <c r="A506" s="1">
        <f t="shared" si="70"/>
        <v>505</v>
      </c>
      <c r="C506" s="8" t="s">
        <v>17</v>
      </c>
      <c r="D506" s="2">
        <v>42964</v>
      </c>
      <c r="E506" s="3">
        <f>5000/100000</f>
        <v>0.05</v>
      </c>
      <c r="F506" t="s">
        <v>144</v>
      </c>
      <c r="G506" t="s">
        <v>145</v>
      </c>
      <c r="H506" t="s">
        <v>146</v>
      </c>
      <c r="I506" s="6" t="s">
        <v>513</v>
      </c>
      <c r="J506" s="61" t="s">
        <v>22</v>
      </c>
      <c r="L506" s="5" t="str">
        <f t="shared" si="66"/>
        <v>00505</v>
      </c>
      <c r="M506" s="47" t="str">
        <f t="shared" si="67"/>
        <v>17 de agosto de 2017</v>
      </c>
      <c r="N506" s="323">
        <f t="shared" si="69"/>
        <v>17</v>
      </c>
      <c r="O506" s="25">
        <f t="shared" si="68"/>
        <v>42948</v>
      </c>
      <c r="P506" s="5" t="str">
        <f t="shared" si="73"/>
        <v>0,05</v>
      </c>
      <c r="Q506" s="4" t="str">
        <f t="shared" si="74"/>
        <v>Cero Bolívares con 05/100</v>
      </c>
    </row>
    <row r="507" spans="1:17" x14ac:dyDescent="0.25">
      <c r="A507" s="1">
        <f t="shared" si="70"/>
        <v>506</v>
      </c>
      <c r="C507" s="8" t="s">
        <v>17</v>
      </c>
      <c r="D507" s="2">
        <v>42964</v>
      </c>
      <c r="E507" s="3">
        <f>35000/100000</f>
        <v>0.35</v>
      </c>
      <c r="F507" t="s">
        <v>107</v>
      </c>
      <c r="G507" t="s">
        <v>108</v>
      </c>
      <c r="H507" t="s">
        <v>109</v>
      </c>
      <c r="I507" s="6" t="s">
        <v>514</v>
      </c>
      <c r="J507" s="61" t="s">
        <v>22</v>
      </c>
      <c r="L507" s="5" t="str">
        <f t="shared" si="66"/>
        <v>00506</v>
      </c>
      <c r="M507" s="47" t="str">
        <f t="shared" si="67"/>
        <v>17 de agosto de 2017</v>
      </c>
      <c r="N507" s="323">
        <f t="shared" si="69"/>
        <v>17</v>
      </c>
      <c r="O507" s="25">
        <f t="shared" si="68"/>
        <v>42948</v>
      </c>
      <c r="P507" s="5" t="str">
        <f t="shared" si="73"/>
        <v>0,35</v>
      </c>
      <c r="Q507" s="4" t="str">
        <f t="shared" si="74"/>
        <v>Cero Bolívares con 35/100</v>
      </c>
    </row>
    <row r="508" spans="1:17" x14ac:dyDescent="0.25">
      <c r="A508" s="1">
        <f t="shared" si="70"/>
        <v>507</v>
      </c>
      <c r="C508" s="8" t="s">
        <v>17</v>
      </c>
      <c r="D508" s="2">
        <v>42934</v>
      </c>
      <c r="E508" s="3">
        <f>20000/100000</f>
        <v>0.2</v>
      </c>
      <c r="F508" t="s">
        <v>118</v>
      </c>
      <c r="G508" t="s">
        <v>119</v>
      </c>
      <c r="H508" t="s">
        <v>120</v>
      </c>
      <c r="I508" s="6" t="s">
        <v>513</v>
      </c>
      <c r="J508" s="61" t="s">
        <v>22</v>
      </c>
      <c r="L508" s="5" t="str">
        <f t="shared" si="66"/>
        <v>00507</v>
      </c>
      <c r="M508" s="47" t="str">
        <f t="shared" si="67"/>
        <v>18 de julio de 2017</v>
      </c>
      <c r="N508" s="323">
        <f t="shared" si="69"/>
        <v>18</v>
      </c>
      <c r="O508" s="25">
        <f t="shared" si="68"/>
        <v>42917</v>
      </c>
      <c r="P508" s="5" t="str">
        <f t="shared" si="73"/>
        <v>0,20</v>
      </c>
      <c r="Q508" s="4" t="str">
        <f t="shared" si="74"/>
        <v>Cero Bolívares con 20/100</v>
      </c>
    </row>
    <row r="509" spans="1:17" x14ac:dyDescent="0.25">
      <c r="A509" s="1">
        <f t="shared" si="70"/>
        <v>508</v>
      </c>
      <c r="C509" s="8" t="s">
        <v>17</v>
      </c>
      <c r="D509" s="2">
        <v>42965</v>
      </c>
      <c r="E509" s="3">
        <f>20000/100000</f>
        <v>0.2</v>
      </c>
      <c r="F509" t="s">
        <v>28</v>
      </c>
      <c r="G509" t="s">
        <v>29</v>
      </c>
      <c r="H509" t="s">
        <v>30</v>
      </c>
      <c r="I509" s="6" t="s">
        <v>513</v>
      </c>
      <c r="J509" s="61" t="s">
        <v>22</v>
      </c>
      <c r="L509" s="5" t="str">
        <f t="shared" si="66"/>
        <v>00508</v>
      </c>
      <c r="M509" s="47" t="str">
        <f t="shared" si="67"/>
        <v>18 de agosto de 2017</v>
      </c>
      <c r="N509" s="323">
        <f t="shared" si="69"/>
        <v>18</v>
      </c>
      <c r="O509" s="25">
        <f t="shared" si="68"/>
        <v>42948</v>
      </c>
      <c r="P509" s="5" t="str">
        <f t="shared" si="73"/>
        <v>0,20</v>
      </c>
      <c r="Q509" s="4" t="str">
        <f t="shared" si="74"/>
        <v>Cero Bolívares con 20/100</v>
      </c>
    </row>
    <row r="510" spans="1:17" x14ac:dyDescent="0.25">
      <c r="A510" s="1">
        <f t="shared" si="70"/>
        <v>509</v>
      </c>
      <c r="C510" s="8" t="s">
        <v>17</v>
      </c>
      <c r="D510" s="2">
        <v>42965</v>
      </c>
      <c r="E510" s="3">
        <f>6000/100000+6500/100000</f>
        <v>0.125</v>
      </c>
      <c r="F510" t="s">
        <v>397</v>
      </c>
      <c r="G510" s="48" t="s">
        <v>29</v>
      </c>
      <c r="H510" t="s">
        <v>398</v>
      </c>
      <c r="I510" s="6" t="s">
        <v>523</v>
      </c>
      <c r="J510" s="61" t="s">
        <v>22</v>
      </c>
      <c r="L510" s="5" t="str">
        <f t="shared" si="66"/>
        <v>00509</v>
      </c>
      <c r="M510" s="47" t="str">
        <f t="shared" si="67"/>
        <v>18 de agosto de 2017</v>
      </c>
      <c r="N510" s="323">
        <f t="shared" si="69"/>
        <v>18</v>
      </c>
      <c r="O510" s="25">
        <f t="shared" si="68"/>
        <v>42948</v>
      </c>
      <c r="P510" s="5" t="str">
        <f t="shared" si="73"/>
        <v>0,13</v>
      </c>
      <c r="Q510" s="4" t="str">
        <f t="shared" si="74"/>
        <v>Cero Bolívares con 12/100</v>
      </c>
    </row>
    <row r="511" spans="1:17" x14ac:dyDescent="0.25">
      <c r="A511" s="1">
        <f t="shared" si="70"/>
        <v>510</v>
      </c>
      <c r="C511" s="8" t="s">
        <v>17</v>
      </c>
      <c r="D511" s="2">
        <v>42965</v>
      </c>
      <c r="E511" s="3">
        <f>17000/100000+26000/100000+26000/100000+35000/100000+35000/100000</f>
        <v>1.3900000000000001</v>
      </c>
      <c r="F511" t="s">
        <v>280</v>
      </c>
      <c r="G511" t="s">
        <v>281</v>
      </c>
      <c r="H511" t="s">
        <v>282</v>
      </c>
      <c r="I511" s="6" t="s">
        <v>524</v>
      </c>
      <c r="J511" s="61" t="s">
        <v>22</v>
      </c>
      <c r="L511" s="5" t="str">
        <f t="shared" si="66"/>
        <v>00510</v>
      </c>
      <c r="M511" s="47" t="str">
        <f t="shared" si="67"/>
        <v>18 de agosto de 2017</v>
      </c>
      <c r="N511" s="323">
        <f t="shared" si="69"/>
        <v>18</v>
      </c>
      <c r="O511" s="25">
        <f t="shared" si="68"/>
        <v>42948</v>
      </c>
      <c r="P511" s="5" t="str">
        <f t="shared" si="73"/>
        <v>1,39</v>
      </c>
      <c r="Q511" s="4" t="str">
        <f t="shared" si="74"/>
        <v>Un Bolívares con 39/100</v>
      </c>
    </row>
    <row r="512" spans="1:17" x14ac:dyDescent="0.25">
      <c r="A512" s="1">
        <f t="shared" si="70"/>
        <v>511</v>
      </c>
      <c r="C512" s="8" t="s">
        <v>17</v>
      </c>
      <c r="D512" s="2">
        <v>42966</v>
      </c>
      <c r="E512" s="3">
        <f>35000/100000+35000/100000</f>
        <v>0.7</v>
      </c>
      <c r="F512" t="s">
        <v>138</v>
      </c>
      <c r="G512" t="s">
        <v>139</v>
      </c>
      <c r="H512" t="s">
        <v>140</v>
      </c>
      <c r="I512" s="6" t="s">
        <v>508</v>
      </c>
      <c r="J512" s="61" t="s">
        <v>22</v>
      </c>
      <c r="L512" s="5" t="str">
        <f t="shared" si="66"/>
        <v>00511</v>
      </c>
      <c r="M512" s="47" t="str">
        <f t="shared" si="67"/>
        <v>19 de agosto de 2017</v>
      </c>
      <c r="N512" s="323">
        <f t="shared" si="69"/>
        <v>19</v>
      </c>
      <c r="O512" s="25">
        <f t="shared" si="68"/>
        <v>42948</v>
      </c>
      <c r="P512" s="5" t="str">
        <f t="shared" si="73"/>
        <v>0,70</v>
      </c>
      <c r="Q512" s="4" t="str">
        <f t="shared" si="74"/>
        <v>Cero Bolívares con 70/100</v>
      </c>
    </row>
    <row r="513" spans="1:17" x14ac:dyDescent="0.25">
      <c r="A513" s="1">
        <f t="shared" si="70"/>
        <v>512</v>
      </c>
      <c r="C513" s="8" t="s">
        <v>17</v>
      </c>
      <c r="D513" s="2">
        <v>42966</v>
      </c>
      <c r="E513" s="3">
        <f>30000/100000</f>
        <v>0.3</v>
      </c>
      <c r="F513" t="s">
        <v>353</v>
      </c>
      <c r="G513" t="s">
        <v>354</v>
      </c>
      <c r="H513" t="s">
        <v>355</v>
      </c>
      <c r="I513" s="6" t="s">
        <v>513</v>
      </c>
      <c r="J513" s="61" t="s">
        <v>22</v>
      </c>
      <c r="L513" s="5" t="str">
        <f t="shared" si="66"/>
        <v>00512</v>
      </c>
      <c r="M513" s="47" t="str">
        <f t="shared" si="67"/>
        <v>19 de agosto de 2017</v>
      </c>
      <c r="N513" s="323">
        <f t="shared" si="69"/>
        <v>19</v>
      </c>
      <c r="O513" s="25">
        <f t="shared" si="68"/>
        <v>42948</v>
      </c>
      <c r="P513" s="5" t="str">
        <f t="shared" si="73"/>
        <v>0,30</v>
      </c>
      <c r="Q513" s="4" t="str">
        <f t="shared" si="74"/>
        <v>Cero Bolívares con 30/100</v>
      </c>
    </row>
    <row r="514" spans="1:17" x14ac:dyDescent="0.25">
      <c r="A514" s="1">
        <f t="shared" si="70"/>
        <v>513</v>
      </c>
      <c r="C514" s="8" t="s">
        <v>17</v>
      </c>
      <c r="D514" s="2">
        <v>42966</v>
      </c>
      <c r="E514" s="3">
        <f>35000/100000</f>
        <v>0.35</v>
      </c>
      <c r="F514" t="s">
        <v>362</v>
      </c>
      <c r="G514" t="s">
        <v>363</v>
      </c>
      <c r="H514" t="s">
        <v>364</v>
      </c>
      <c r="I514" s="6" t="s">
        <v>500</v>
      </c>
      <c r="J514" s="61" t="s">
        <v>22</v>
      </c>
      <c r="L514" s="5" t="str">
        <f t="shared" ref="L514:L577" si="75">IF(ISBLANK(A514),"",TEXT(A514,"00000"))</f>
        <v>00513</v>
      </c>
      <c r="M514" s="47" t="str">
        <f t="shared" ref="M514:M577" si="76">IF(ISBLANK(D514),"",TEXT(D514,"dd")&amp;" de "&amp;TEXT(D514,"mmmm")&amp;" de "&amp;TEXT(YEAR(D514),"0"))</f>
        <v>19 de agosto de 2017</v>
      </c>
      <c r="N514" s="323">
        <f t="shared" si="69"/>
        <v>19</v>
      </c>
      <c r="O514" s="25">
        <f t="shared" ref="O514:O577" si="77">DATE(YEAR(D514),MONTH(D514),1)</f>
        <v>42948</v>
      </c>
      <c r="P514" s="5" t="str">
        <f t="shared" si="73"/>
        <v>0,35</v>
      </c>
      <c r="Q514" s="4" t="str">
        <f t="shared" si="74"/>
        <v>Cero Bolívares con 35/100</v>
      </c>
    </row>
    <row r="515" spans="1:17" x14ac:dyDescent="0.25">
      <c r="A515" s="1">
        <f t="shared" si="70"/>
        <v>514</v>
      </c>
      <c r="C515" s="8" t="s">
        <v>17</v>
      </c>
      <c r="D515" s="2">
        <v>42966</v>
      </c>
      <c r="E515" s="3">
        <f>35000/100000</f>
        <v>0.35</v>
      </c>
      <c r="F515" t="s">
        <v>483</v>
      </c>
      <c r="G515" t="s">
        <v>484</v>
      </c>
      <c r="H515" t="s">
        <v>485</v>
      </c>
      <c r="I515" s="6" t="s">
        <v>514</v>
      </c>
      <c r="J515" s="61" t="s">
        <v>22</v>
      </c>
      <c r="L515" s="5" t="str">
        <f t="shared" si="75"/>
        <v>00514</v>
      </c>
      <c r="M515" s="47" t="str">
        <f t="shared" si="76"/>
        <v>19 de agosto de 2017</v>
      </c>
      <c r="N515" s="323">
        <f t="shared" ref="N515:N578" si="78">DAY(D515)</f>
        <v>19</v>
      </c>
      <c r="O515" s="25">
        <f t="shared" si="77"/>
        <v>42948</v>
      </c>
      <c r="P515" s="5" t="str">
        <f t="shared" si="73"/>
        <v>0,35</v>
      </c>
      <c r="Q515" s="4" t="str">
        <f t="shared" si="74"/>
        <v>Cero Bolívares con 35/100</v>
      </c>
    </row>
    <row r="516" spans="1:17" x14ac:dyDescent="0.25">
      <c r="A516" s="1">
        <f t="shared" ref="A516:A579" si="79">A515+1</f>
        <v>515</v>
      </c>
      <c r="C516" s="8" t="s">
        <v>17</v>
      </c>
      <c r="D516" s="2">
        <v>42967</v>
      </c>
      <c r="E516" s="3">
        <f>35000/100000</f>
        <v>0.35</v>
      </c>
      <c r="F516" t="s">
        <v>80</v>
      </c>
      <c r="G516" t="s">
        <v>81</v>
      </c>
      <c r="H516" t="s">
        <v>82</v>
      </c>
      <c r="I516" s="6" t="s">
        <v>514</v>
      </c>
      <c r="J516" s="61" t="s">
        <v>22</v>
      </c>
      <c r="L516" s="5" t="str">
        <f t="shared" si="75"/>
        <v>00515</v>
      </c>
      <c r="M516" s="47" t="str">
        <f t="shared" si="76"/>
        <v>20 de agosto de 2017</v>
      </c>
      <c r="N516" s="323">
        <f t="shared" si="78"/>
        <v>20</v>
      </c>
      <c r="O516" s="25">
        <f t="shared" si="77"/>
        <v>42948</v>
      </c>
      <c r="P516" s="5" t="str">
        <f t="shared" si="73"/>
        <v>0,35</v>
      </c>
      <c r="Q516" s="4" t="str">
        <f t="shared" si="74"/>
        <v>Cero Bolívares con 35/100</v>
      </c>
    </row>
    <row r="517" spans="1:17" x14ac:dyDescent="0.25">
      <c r="A517" s="1">
        <f t="shared" si="79"/>
        <v>516</v>
      </c>
      <c r="C517" s="8" t="s">
        <v>17</v>
      </c>
      <c r="D517" s="2">
        <v>42963</v>
      </c>
      <c r="E517" s="3">
        <f>26000/100000+35000/100000</f>
        <v>0.61</v>
      </c>
      <c r="F517" t="s">
        <v>248</v>
      </c>
      <c r="G517" t="s">
        <v>249</v>
      </c>
      <c r="H517" t="s">
        <v>250</v>
      </c>
      <c r="I517" s="6" t="s">
        <v>525</v>
      </c>
      <c r="J517" s="61" t="s">
        <v>22</v>
      </c>
      <c r="L517" s="5" t="str">
        <f t="shared" si="75"/>
        <v>00516</v>
      </c>
      <c r="M517" s="47" t="str">
        <f t="shared" si="76"/>
        <v>16 de agosto de 2017</v>
      </c>
      <c r="N517" s="323">
        <f t="shared" si="78"/>
        <v>16</v>
      </c>
      <c r="O517" s="25">
        <f t="shared" si="77"/>
        <v>42948</v>
      </c>
      <c r="P517" s="5" t="str">
        <f t="shared" si="73"/>
        <v>0,61</v>
      </c>
      <c r="Q517" s="4" t="str">
        <f t="shared" si="74"/>
        <v>Cero Bolívares con 61/100</v>
      </c>
    </row>
    <row r="518" spans="1:17" x14ac:dyDescent="0.25">
      <c r="A518" s="1">
        <f t="shared" si="79"/>
        <v>517</v>
      </c>
      <c r="C518" s="8" t="s">
        <v>17</v>
      </c>
      <c r="D518" s="2">
        <v>42967</v>
      </c>
      <c r="E518" s="3">
        <f>15000/100000</f>
        <v>0.15</v>
      </c>
      <c r="F518" t="s">
        <v>130</v>
      </c>
      <c r="G518" t="s">
        <v>131</v>
      </c>
      <c r="H518" t="s">
        <v>132</v>
      </c>
      <c r="I518" s="6" t="s">
        <v>478</v>
      </c>
      <c r="J518" s="61" t="s">
        <v>22</v>
      </c>
      <c r="L518" s="5" t="str">
        <f t="shared" si="75"/>
        <v>00517</v>
      </c>
      <c r="M518" s="47" t="str">
        <f t="shared" si="76"/>
        <v>20 de agosto de 2017</v>
      </c>
      <c r="N518" s="323">
        <f t="shared" si="78"/>
        <v>20</v>
      </c>
      <c r="O518" s="25">
        <f t="shared" si="77"/>
        <v>42948</v>
      </c>
      <c r="P518" s="5" t="str">
        <f t="shared" si="73"/>
        <v>0,15</v>
      </c>
      <c r="Q518" s="4" t="str">
        <f t="shared" si="74"/>
        <v>Cero Bolívares con 15/100</v>
      </c>
    </row>
    <row r="519" spans="1:17" x14ac:dyDescent="0.25">
      <c r="A519" s="1">
        <f t="shared" si="79"/>
        <v>518</v>
      </c>
      <c r="C519" s="8" t="s">
        <v>17</v>
      </c>
      <c r="D519" s="2">
        <v>42968</v>
      </c>
      <c r="E519" s="3">
        <f>9000/100000+35000/100000</f>
        <v>0.43999999999999995</v>
      </c>
      <c r="F519" t="s">
        <v>243</v>
      </c>
      <c r="G519" t="s">
        <v>244</v>
      </c>
      <c r="H519" t="s">
        <v>245</v>
      </c>
      <c r="I519" s="6" t="s">
        <v>526</v>
      </c>
      <c r="J519" s="61" t="s">
        <v>22</v>
      </c>
      <c r="L519" s="5" t="str">
        <f t="shared" si="75"/>
        <v>00518</v>
      </c>
      <c r="M519" s="47" t="str">
        <f t="shared" si="76"/>
        <v>21 de agosto de 2017</v>
      </c>
      <c r="N519" s="323">
        <f t="shared" si="78"/>
        <v>21</v>
      </c>
      <c r="O519" s="25">
        <f t="shared" si="77"/>
        <v>42948</v>
      </c>
      <c r="P519" s="5" t="str">
        <f t="shared" si="73"/>
        <v>0,44</v>
      </c>
      <c r="Q519" s="4" t="str">
        <f t="shared" si="74"/>
        <v>Cero Bolívares con 44/100</v>
      </c>
    </row>
    <row r="520" spans="1:17" x14ac:dyDescent="0.25">
      <c r="A520" s="1">
        <f t="shared" si="79"/>
        <v>519</v>
      </c>
      <c r="C520" s="8" t="s">
        <v>17</v>
      </c>
      <c r="D520" s="2">
        <v>42970</v>
      </c>
      <c r="E520" s="3">
        <f>35000/100000</f>
        <v>0.35</v>
      </c>
      <c r="F520" t="s">
        <v>248</v>
      </c>
      <c r="G520" t="s">
        <v>249</v>
      </c>
      <c r="H520" t="s">
        <v>250</v>
      </c>
      <c r="I520" s="6" t="s">
        <v>514</v>
      </c>
      <c r="J520" s="61" t="s">
        <v>22</v>
      </c>
      <c r="L520" s="5" t="str">
        <f t="shared" si="75"/>
        <v>00519</v>
      </c>
      <c r="M520" s="47" t="str">
        <f t="shared" si="76"/>
        <v>23 de agosto de 2017</v>
      </c>
      <c r="N520" s="323">
        <f t="shared" si="78"/>
        <v>23</v>
      </c>
      <c r="O520" s="25">
        <f t="shared" si="77"/>
        <v>42948</v>
      </c>
      <c r="P520" s="5" t="str">
        <f t="shared" ref="P520:P552" si="80">TEXT(E520,"#.##0,00")</f>
        <v>0,35</v>
      </c>
      <c r="Q520" s="4" t="str">
        <f t="shared" ref="Q520:Q552" si="81">CONVERTIRNUM(E520)</f>
        <v>Cero Bolívares con 35/100</v>
      </c>
    </row>
    <row r="521" spans="1:17" x14ac:dyDescent="0.25">
      <c r="A521" s="1">
        <f t="shared" si="79"/>
        <v>520</v>
      </c>
      <c r="C521" s="8" t="s">
        <v>17</v>
      </c>
      <c r="D521" s="2">
        <v>42972</v>
      </c>
      <c r="E521" s="3">
        <f>18000/100000</f>
        <v>0.18</v>
      </c>
      <c r="F521" t="s">
        <v>130</v>
      </c>
      <c r="G521" t="s">
        <v>131</v>
      </c>
      <c r="H521" t="s">
        <v>132</v>
      </c>
      <c r="I521" s="6" t="s">
        <v>513</v>
      </c>
      <c r="J521" s="61" t="s">
        <v>22</v>
      </c>
      <c r="L521" s="5" t="str">
        <f t="shared" si="75"/>
        <v>00520</v>
      </c>
      <c r="M521" s="47" t="str">
        <f t="shared" si="76"/>
        <v>25 de agosto de 2017</v>
      </c>
      <c r="N521" s="323">
        <f t="shared" si="78"/>
        <v>25</v>
      </c>
      <c r="O521" s="25">
        <f t="shared" si="77"/>
        <v>42948</v>
      </c>
      <c r="P521" s="5" t="str">
        <f t="shared" si="80"/>
        <v>0,18</v>
      </c>
      <c r="Q521" s="4" t="str">
        <f t="shared" si="81"/>
        <v>Cero Bolívares con 18/100</v>
      </c>
    </row>
    <row r="522" spans="1:17" x14ac:dyDescent="0.25">
      <c r="A522" s="1">
        <f t="shared" si="79"/>
        <v>521</v>
      </c>
      <c r="C522" s="8" t="s">
        <v>17</v>
      </c>
      <c r="D522" s="2">
        <v>42975</v>
      </c>
      <c r="E522" s="3">
        <f>35000*2/100000</f>
        <v>0.7</v>
      </c>
      <c r="F522" t="s">
        <v>53</v>
      </c>
      <c r="G522" t="s">
        <v>54</v>
      </c>
      <c r="H522" t="s">
        <v>55</v>
      </c>
      <c r="I522" s="6" t="s">
        <v>508</v>
      </c>
      <c r="J522" s="61" t="s">
        <v>22</v>
      </c>
      <c r="L522" s="5" t="str">
        <f t="shared" si="75"/>
        <v>00521</v>
      </c>
      <c r="M522" s="47" t="str">
        <f t="shared" si="76"/>
        <v>28 de agosto de 2017</v>
      </c>
      <c r="N522" s="323">
        <f t="shared" si="78"/>
        <v>28</v>
      </c>
      <c r="O522" s="25">
        <f t="shared" si="77"/>
        <v>42948</v>
      </c>
      <c r="P522" s="5" t="str">
        <f t="shared" si="80"/>
        <v>0,70</v>
      </c>
      <c r="Q522" s="4" t="str">
        <f t="shared" si="81"/>
        <v>Cero Bolívares con 70/100</v>
      </c>
    </row>
    <row r="523" spans="1:17" x14ac:dyDescent="0.25">
      <c r="A523" s="1">
        <f t="shared" si="79"/>
        <v>522</v>
      </c>
      <c r="C523" s="8" t="s">
        <v>17</v>
      </c>
      <c r="D523" s="2">
        <v>42971</v>
      </c>
      <c r="E523" s="3">
        <f>36000/100000</f>
        <v>0.36</v>
      </c>
      <c r="F523" t="s">
        <v>148</v>
      </c>
      <c r="G523" t="s">
        <v>149</v>
      </c>
      <c r="H523" t="s">
        <v>150</v>
      </c>
      <c r="I523" s="6" t="s">
        <v>527</v>
      </c>
      <c r="J523" s="61" t="s">
        <v>22</v>
      </c>
      <c r="L523" s="5" t="str">
        <f t="shared" si="75"/>
        <v>00522</v>
      </c>
      <c r="M523" s="47" t="str">
        <f t="shared" si="76"/>
        <v>24 de agosto de 2017</v>
      </c>
      <c r="N523" s="323">
        <f t="shared" si="78"/>
        <v>24</v>
      </c>
      <c r="O523" s="25">
        <f t="shared" si="77"/>
        <v>42948</v>
      </c>
      <c r="P523" s="5" t="str">
        <f t="shared" si="80"/>
        <v>0,36</v>
      </c>
      <c r="Q523" s="4" t="str">
        <f t="shared" si="81"/>
        <v>Cero Bolívares con 36/100</v>
      </c>
    </row>
    <row r="524" spans="1:17" x14ac:dyDescent="0.25">
      <c r="A524" s="1">
        <f t="shared" si="79"/>
        <v>523</v>
      </c>
      <c r="C524" s="8" t="s">
        <v>17</v>
      </c>
      <c r="D524" s="2">
        <v>42977</v>
      </c>
      <c r="E524" s="3">
        <f>35000/100000</f>
        <v>0.35</v>
      </c>
      <c r="F524" t="s">
        <v>44</v>
      </c>
      <c r="G524" t="s">
        <v>45</v>
      </c>
      <c r="H524" t="s">
        <v>46</v>
      </c>
      <c r="I524" s="6" t="s">
        <v>528</v>
      </c>
      <c r="J524" s="61" t="s">
        <v>22</v>
      </c>
      <c r="L524" s="5" t="str">
        <f t="shared" si="75"/>
        <v>00523</v>
      </c>
      <c r="M524" s="47" t="str">
        <f t="shared" si="76"/>
        <v>30 de agosto de 2017</v>
      </c>
      <c r="N524" s="323">
        <f t="shared" si="78"/>
        <v>30</v>
      </c>
      <c r="O524" s="25">
        <f t="shared" si="77"/>
        <v>42948</v>
      </c>
      <c r="P524" s="5" t="str">
        <f t="shared" si="80"/>
        <v>0,35</v>
      </c>
      <c r="Q524" s="4" t="str">
        <f t="shared" si="81"/>
        <v>Cero Bolívares con 35/100</v>
      </c>
    </row>
    <row r="525" spans="1:17" x14ac:dyDescent="0.25">
      <c r="A525" s="1">
        <f t="shared" si="79"/>
        <v>524</v>
      </c>
      <c r="C525" s="8" t="s">
        <v>17</v>
      </c>
      <c r="D525" s="2">
        <v>42978</v>
      </c>
      <c r="E525" s="3">
        <f>70000/100000</f>
        <v>0.7</v>
      </c>
      <c r="F525" t="s">
        <v>296</v>
      </c>
      <c r="G525" t="s">
        <v>297</v>
      </c>
      <c r="H525" t="s">
        <v>298</v>
      </c>
      <c r="I525" s="6" t="s">
        <v>529</v>
      </c>
      <c r="J525" s="61" t="s">
        <v>22</v>
      </c>
      <c r="L525" s="5" t="str">
        <f t="shared" si="75"/>
        <v>00524</v>
      </c>
      <c r="M525" s="47" t="str">
        <f t="shared" si="76"/>
        <v>31 de agosto de 2017</v>
      </c>
      <c r="N525" s="323">
        <f t="shared" si="78"/>
        <v>31</v>
      </c>
      <c r="O525" s="25">
        <f t="shared" si="77"/>
        <v>42948</v>
      </c>
      <c r="P525" s="5" t="str">
        <f t="shared" si="80"/>
        <v>0,70</v>
      </c>
      <c r="Q525" s="4" t="str">
        <f t="shared" si="81"/>
        <v>Cero Bolívares con 70/100</v>
      </c>
    </row>
    <row r="526" spans="1:17" x14ac:dyDescent="0.25">
      <c r="A526" s="1">
        <f t="shared" si="79"/>
        <v>525</v>
      </c>
      <c r="C526" s="8" t="s">
        <v>17</v>
      </c>
      <c r="D526" s="2">
        <v>42977</v>
      </c>
      <c r="E526" s="3">
        <f>10000/100000</f>
        <v>0.1</v>
      </c>
      <c r="F526" t="s">
        <v>417</v>
      </c>
      <c r="G526" t="s">
        <v>418</v>
      </c>
      <c r="H526" t="s">
        <v>419</v>
      </c>
      <c r="I526" s="6" t="s">
        <v>513</v>
      </c>
      <c r="J526" s="61" t="s">
        <v>22</v>
      </c>
      <c r="L526" s="5" t="str">
        <f t="shared" si="75"/>
        <v>00525</v>
      </c>
      <c r="M526" s="47" t="str">
        <f t="shared" si="76"/>
        <v>30 de agosto de 2017</v>
      </c>
      <c r="N526" s="323">
        <f t="shared" si="78"/>
        <v>30</v>
      </c>
      <c r="O526" s="25">
        <f t="shared" si="77"/>
        <v>42948</v>
      </c>
      <c r="P526" s="5" t="str">
        <f t="shared" si="80"/>
        <v>0,10</v>
      </c>
      <c r="Q526" s="4" t="str">
        <f t="shared" si="81"/>
        <v>Cero Bolívares con 10/100</v>
      </c>
    </row>
    <row r="527" spans="1:17" x14ac:dyDescent="0.25">
      <c r="A527" s="1">
        <f t="shared" si="79"/>
        <v>526</v>
      </c>
      <c r="C527" s="8" t="s">
        <v>17</v>
      </c>
      <c r="D527" s="2">
        <v>42978</v>
      </c>
      <c r="E527" s="3">
        <f>72000/100000</f>
        <v>0.72</v>
      </c>
      <c r="F527" t="s">
        <v>259</v>
      </c>
      <c r="G527" s="18" t="s">
        <v>58</v>
      </c>
      <c r="H527" t="s">
        <v>261</v>
      </c>
      <c r="I527" s="6" t="s">
        <v>530</v>
      </c>
      <c r="J527" s="61" t="s">
        <v>22</v>
      </c>
      <c r="L527" s="5" t="str">
        <f t="shared" si="75"/>
        <v>00526</v>
      </c>
      <c r="M527" s="47" t="str">
        <f t="shared" si="76"/>
        <v>31 de agosto de 2017</v>
      </c>
      <c r="N527" s="323">
        <f t="shared" si="78"/>
        <v>31</v>
      </c>
      <c r="O527" s="25">
        <f t="shared" si="77"/>
        <v>42948</v>
      </c>
      <c r="P527" s="5" t="str">
        <f t="shared" si="80"/>
        <v>0,72</v>
      </c>
      <c r="Q527" s="4" t="str">
        <f t="shared" si="81"/>
        <v>Cero Bolívares con 72/100</v>
      </c>
    </row>
    <row r="528" spans="1:17" x14ac:dyDescent="0.25">
      <c r="A528" s="1">
        <f t="shared" si="79"/>
        <v>527</v>
      </c>
      <c r="C528" s="8" t="s">
        <v>17</v>
      </c>
      <c r="D528" s="2">
        <v>42978</v>
      </c>
      <c r="E528" s="3">
        <f>35000/100000</f>
        <v>0.35</v>
      </c>
      <c r="F528" t="s">
        <v>80</v>
      </c>
      <c r="G528" t="s">
        <v>81</v>
      </c>
      <c r="H528" t="s">
        <v>82</v>
      </c>
      <c r="I528" s="6" t="s">
        <v>528</v>
      </c>
      <c r="J528" s="61" t="s">
        <v>22</v>
      </c>
      <c r="L528" s="5" t="str">
        <f t="shared" si="75"/>
        <v>00527</v>
      </c>
      <c r="M528" s="47" t="str">
        <f t="shared" si="76"/>
        <v>31 de agosto de 2017</v>
      </c>
      <c r="N528" s="323">
        <f t="shared" si="78"/>
        <v>31</v>
      </c>
      <c r="O528" s="25">
        <f t="shared" si="77"/>
        <v>42948</v>
      </c>
      <c r="P528" s="5" t="str">
        <f t="shared" si="80"/>
        <v>0,35</v>
      </c>
      <c r="Q528" s="4" t="str">
        <f t="shared" si="81"/>
        <v>Cero Bolívares con 35/100</v>
      </c>
    </row>
    <row r="529" spans="1:17" x14ac:dyDescent="0.25">
      <c r="A529" s="1">
        <f t="shared" si="79"/>
        <v>528</v>
      </c>
      <c r="C529" s="8" t="s">
        <v>17</v>
      </c>
      <c r="D529" s="2">
        <v>42947</v>
      </c>
      <c r="E529" s="3">
        <f>35000/100000</f>
        <v>0.35</v>
      </c>
      <c r="F529" t="s">
        <v>126</v>
      </c>
      <c r="G529" t="s">
        <v>127</v>
      </c>
      <c r="H529" t="s">
        <v>128</v>
      </c>
      <c r="I529" s="6" t="s">
        <v>514</v>
      </c>
      <c r="J529" s="61" t="s">
        <v>22</v>
      </c>
      <c r="L529" s="5" t="str">
        <f t="shared" si="75"/>
        <v>00528</v>
      </c>
      <c r="M529" s="47" t="str">
        <f t="shared" si="76"/>
        <v>31 de julio de 2017</v>
      </c>
      <c r="N529" s="323">
        <f t="shared" si="78"/>
        <v>31</v>
      </c>
      <c r="O529" s="25">
        <f t="shared" si="77"/>
        <v>42917</v>
      </c>
      <c r="P529" s="5" t="str">
        <f t="shared" si="80"/>
        <v>0,35</v>
      </c>
      <c r="Q529" s="4" t="str">
        <f t="shared" si="81"/>
        <v>Cero Bolívares con 35/100</v>
      </c>
    </row>
    <row r="530" spans="1:17" x14ac:dyDescent="0.25">
      <c r="A530" s="1">
        <f t="shared" si="79"/>
        <v>529</v>
      </c>
      <c r="C530" s="8" t="s">
        <v>17</v>
      </c>
      <c r="D530" s="2">
        <v>42979</v>
      </c>
      <c r="E530" s="3">
        <f>100000/100000</f>
        <v>1</v>
      </c>
      <c r="F530" t="s">
        <v>252</v>
      </c>
      <c r="G530" t="s">
        <v>253</v>
      </c>
      <c r="H530" t="s">
        <v>254</v>
      </c>
      <c r="I530" s="6" t="s">
        <v>531</v>
      </c>
      <c r="J530" s="61" t="s">
        <v>22</v>
      </c>
      <c r="L530" s="5" t="str">
        <f t="shared" si="75"/>
        <v>00529</v>
      </c>
      <c r="M530" s="47" t="str">
        <f t="shared" si="76"/>
        <v>01 de septiembre de 2017</v>
      </c>
      <c r="N530" s="323">
        <f t="shared" si="78"/>
        <v>1</v>
      </c>
      <c r="O530" s="25">
        <f t="shared" si="77"/>
        <v>42979</v>
      </c>
      <c r="P530" s="5" t="str">
        <f t="shared" si="80"/>
        <v>1,00</v>
      </c>
      <c r="Q530" s="4" t="str">
        <f t="shared" si="81"/>
        <v>Un Bolívar con 00/100</v>
      </c>
    </row>
    <row r="531" spans="1:17" x14ac:dyDescent="0.25">
      <c r="A531" s="1">
        <f t="shared" si="79"/>
        <v>530</v>
      </c>
      <c r="C531" s="8" t="s">
        <v>17</v>
      </c>
      <c r="D531" s="2">
        <v>42979</v>
      </c>
      <c r="E531" s="3">
        <f t="shared" ref="E531:E536" si="82">35000/100000</f>
        <v>0.35</v>
      </c>
      <c r="F531" t="s">
        <v>24</v>
      </c>
      <c r="G531" t="s">
        <v>25</v>
      </c>
      <c r="H531" t="s">
        <v>26</v>
      </c>
      <c r="I531" s="6" t="s">
        <v>528</v>
      </c>
      <c r="J531" s="61" t="s">
        <v>22</v>
      </c>
      <c r="L531" s="5" t="str">
        <f t="shared" si="75"/>
        <v>00530</v>
      </c>
      <c r="M531" s="47" t="str">
        <f t="shared" si="76"/>
        <v>01 de septiembre de 2017</v>
      </c>
      <c r="N531" s="323">
        <f t="shared" si="78"/>
        <v>1</v>
      </c>
      <c r="O531" s="25">
        <f t="shared" si="77"/>
        <v>42979</v>
      </c>
      <c r="P531" s="5" t="str">
        <f t="shared" si="80"/>
        <v>0,35</v>
      </c>
      <c r="Q531" s="4" t="str">
        <f t="shared" si="81"/>
        <v>Cero Bolívares con 35/100</v>
      </c>
    </row>
    <row r="532" spans="1:17" x14ac:dyDescent="0.25">
      <c r="A532" s="1">
        <f t="shared" si="79"/>
        <v>531</v>
      </c>
      <c r="C532" s="8" t="s">
        <v>17</v>
      </c>
      <c r="D532" s="2">
        <v>42979</v>
      </c>
      <c r="E532" s="3">
        <f t="shared" si="82"/>
        <v>0.35</v>
      </c>
      <c r="F532" t="s">
        <v>319</v>
      </c>
      <c r="G532" s="18" t="s">
        <v>58</v>
      </c>
      <c r="H532" t="s">
        <v>320</v>
      </c>
      <c r="I532" s="6" t="s">
        <v>500</v>
      </c>
      <c r="J532" s="61" t="s">
        <v>22</v>
      </c>
      <c r="L532" s="5" t="str">
        <f t="shared" si="75"/>
        <v>00531</v>
      </c>
      <c r="M532" s="47" t="str">
        <f t="shared" si="76"/>
        <v>01 de septiembre de 2017</v>
      </c>
      <c r="N532" s="323">
        <f t="shared" si="78"/>
        <v>1</v>
      </c>
      <c r="O532" s="25">
        <f t="shared" si="77"/>
        <v>42979</v>
      </c>
      <c r="P532" s="5" t="str">
        <f t="shared" si="80"/>
        <v>0,35</v>
      </c>
      <c r="Q532" s="4" t="str">
        <f t="shared" si="81"/>
        <v>Cero Bolívares con 35/100</v>
      </c>
    </row>
    <row r="533" spans="1:17" x14ac:dyDescent="0.25">
      <c r="A533" s="1">
        <f t="shared" si="79"/>
        <v>532</v>
      </c>
      <c r="C533" s="8" t="s">
        <v>17</v>
      </c>
      <c r="D533" s="2">
        <v>42979</v>
      </c>
      <c r="E533" s="3">
        <f t="shared" si="82"/>
        <v>0.35</v>
      </c>
      <c r="F533" t="s">
        <v>319</v>
      </c>
      <c r="G533" s="18" t="s">
        <v>58</v>
      </c>
      <c r="H533" t="s">
        <v>320</v>
      </c>
      <c r="I533" s="6" t="s">
        <v>514</v>
      </c>
      <c r="J533" s="61" t="s">
        <v>22</v>
      </c>
      <c r="L533" s="5" t="str">
        <f t="shared" si="75"/>
        <v>00532</v>
      </c>
      <c r="M533" s="47" t="str">
        <f t="shared" si="76"/>
        <v>01 de septiembre de 2017</v>
      </c>
      <c r="N533" s="323">
        <f t="shared" si="78"/>
        <v>1</v>
      </c>
      <c r="O533" s="25">
        <f t="shared" si="77"/>
        <v>42979</v>
      </c>
      <c r="P533" s="5" t="str">
        <f t="shared" si="80"/>
        <v>0,35</v>
      </c>
      <c r="Q533" s="4" t="str">
        <f t="shared" si="81"/>
        <v>Cero Bolívares con 35/100</v>
      </c>
    </row>
    <row r="534" spans="1:17" x14ac:dyDescent="0.25">
      <c r="A534" s="1">
        <f t="shared" si="79"/>
        <v>533</v>
      </c>
      <c r="C534" s="8" t="s">
        <v>17</v>
      </c>
      <c r="D534" s="2">
        <v>42979</v>
      </c>
      <c r="E534" s="3">
        <f t="shared" si="82"/>
        <v>0.35</v>
      </c>
      <c r="F534" t="s">
        <v>62</v>
      </c>
      <c r="G534" t="s">
        <v>63</v>
      </c>
      <c r="H534" t="s">
        <v>64</v>
      </c>
      <c r="I534" s="6" t="s">
        <v>514</v>
      </c>
      <c r="J534" s="61" t="s">
        <v>22</v>
      </c>
      <c r="L534" s="5" t="str">
        <f t="shared" si="75"/>
        <v>00533</v>
      </c>
      <c r="M534" s="47" t="str">
        <f t="shared" si="76"/>
        <v>01 de septiembre de 2017</v>
      </c>
      <c r="N534" s="323">
        <f t="shared" si="78"/>
        <v>1</v>
      </c>
      <c r="O534" s="25">
        <f t="shared" si="77"/>
        <v>42979</v>
      </c>
      <c r="P534" s="5" t="str">
        <f t="shared" si="80"/>
        <v>0,35</v>
      </c>
      <c r="Q534" s="4" t="str">
        <f t="shared" si="81"/>
        <v>Cero Bolívares con 35/100</v>
      </c>
    </row>
    <row r="535" spans="1:17" x14ac:dyDescent="0.25">
      <c r="A535" s="178">
        <f t="shared" si="79"/>
        <v>534</v>
      </c>
      <c r="C535" s="8" t="s">
        <v>17</v>
      </c>
      <c r="D535" s="2">
        <v>42979</v>
      </c>
      <c r="E535" s="3">
        <f t="shared" si="82"/>
        <v>0.35</v>
      </c>
      <c r="F535" t="s">
        <v>438</v>
      </c>
      <c r="G535" t="s">
        <v>439</v>
      </c>
      <c r="H535" t="s">
        <v>440</v>
      </c>
      <c r="I535" s="6" t="s">
        <v>532</v>
      </c>
      <c r="J535" s="61" t="s">
        <v>22</v>
      </c>
      <c r="L535" s="5" t="str">
        <f t="shared" si="75"/>
        <v>00534</v>
      </c>
      <c r="M535" s="47" t="str">
        <f t="shared" si="76"/>
        <v>01 de septiembre de 2017</v>
      </c>
      <c r="N535" s="323">
        <f t="shared" si="78"/>
        <v>1</v>
      </c>
      <c r="O535" s="25">
        <f t="shared" si="77"/>
        <v>42979</v>
      </c>
      <c r="P535" s="5" t="str">
        <f t="shared" si="80"/>
        <v>0,35</v>
      </c>
      <c r="Q535" s="4" t="str">
        <f t="shared" si="81"/>
        <v>Cero Bolívares con 35/100</v>
      </c>
    </row>
    <row r="536" spans="1:17" x14ac:dyDescent="0.25">
      <c r="A536" s="1">
        <f t="shared" si="79"/>
        <v>535</v>
      </c>
      <c r="C536" s="8" t="s">
        <v>17</v>
      </c>
      <c r="D536" s="2">
        <v>42979</v>
      </c>
      <c r="E536" s="3">
        <f t="shared" si="82"/>
        <v>0.35</v>
      </c>
      <c r="F536" t="s">
        <v>18</v>
      </c>
      <c r="G536" t="s">
        <v>19</v>
      </c>
      <c r="H536" t="s">
        <v>20</v>
      </c>
      <c r="I536" s="6" t="s">
        <v>533</v>
      </c>
      <c r="J536" s="61" t="s">
        <v>22</v>
      </c>
      <c r="L536" s="5" t="str">
        <f t="shared" si="75"/>
        <v>00535</v>
      </c>
      <c r="M536" s="47" t="str">
        <f t="shared" si="76"/>
        <v>01 de septiembre de 2017</v>
      </c>
      <c r="N536" s="323">
        <f t="shared" si="78"/>
        <v>1</v>
      </c>
      <c r="O536" s="25">
        <f t="shared" si="77"/>
        <v>42979</v>
      </c>
      <c r="P536" s="5" t="str">
        <f t="shared" si="80"/>
        <v>0,35</v>
      </c>
      <c r="Q536" s="4" t="str">
        <f t="shared" si="81"/>
        <v>Cero Bolívares con 35/100</v>
      </c>
    </row>
    <row r="537" spans="1:17" x14ac:dyDescent="0.25">
      <c r="A537" s="1">
        <f t="shared" si="79"/>
        <v>536</v>
      </c>
      <c r="C537" s="8" t="s">
        <v>17</v>
      </c>
      <c r="D537" s="2">
        <v>42979</v>
      </c>
      <c r="E537" s="3">
        <f>20000/100000</f>
        <v>0.2</v>
      </c>
      <c r="F537" t="s">
        <v>84</v>
      </c>
      <c r="G537" t="s">
        <v>85</v>
      </c>
      <c r="H537" t="s">
        <v>86</v>
      </c>
      <c r="I537" s="6" t="s">
        <v>534</v>
      </c>
      <c r="J537" s="61" t="s">
        <v>22</v>
      </c>
      <c r="L537" s="5" t="str">
        <f t="shared" si="75"/>
        <v>00536</v>
      </c>
      <c r="M537" s="47" t="str">
        <f t="shared" si="76"/>
        <v>01 de septiembre de 2017</v>
      </c>
      <c r="N537" s="323">
        <f t="shared" si="78"/>
        <v>1</v>
      </c>
      <c r="O537" s="25">
        <f t="shared" si="77"/>
        <v>42979</v>
      </c>
      <c r="P537" s="5" t="str">
        <f t="shared" si="80"/>
        <v>0,20</v>
      </c>
      <c r="Q537" s="4" t="str">
        <f t="shared" si="81"/>
        <v>Cero Bolívares con 20/100</v>
      </c>
    </row>
    <row r="538" spans="1:17" x14ac:dyDescent="0.25">
      <c r="A538" s="1">
        <f t="shared" si="79"/>
        <v>537</v>
      </c>
      <c r="C538" s="8" t="s">
        <v>17</v>
      </c>
      <c r="D538" s="2">
        <v>42979</v>
      </c>
      <c r="E538" s="3">
        <f>35000/100000</f>
        <v>0.35</v>
      </c>
      <c r="F538" t="s">
        <v>239</v>
      </c>
      <c r="G538" s="73" t="s">
        <v>240</v>
      </c>
      <c r="H538" t="s">
        <v>241</v>
      </c>
      <c r="I538" s="6" t="s">
        <v>500</v>
      </c>
      <c r="J538" s="61" t="s">
        <v>22</v>
      </c>
      <c r="L538" s="5" t="str">
        <f t="shared" si="75"/>
        <v>00537</v>
      </c>
      <c r="M538" s="47" t="str">
        <f t="shared" si="76"/>
        <v>01 de septiembre de 2017</v>
      </c>
      <c r="N538" s="323">
        <f t="shared" si="78"/>
        <v>1</v>
      </c>
      <c r="O538" s="25">
        <f t="shared" si="77"/>
        <v>42979</v>
      </c>
      <c r="P538" s="5" t="str">
        <f t="shared" si="80"/>
        <v>0,35</v>
      </c>
      <c r="Q538" s="4" t="str">
        <f t="shared" si="81"/>
        <v>Cero Bolívares con 35/100</v>
      </c>
    </row>
    <row r="539" spans="1:17" x14ac:dyDescent="0.25">
      <c r="A539" s="1">
        <f t="shared" si="79"/>
        <v>538</v>
      </c>
      <c r="C539" s="8" t="s">
        <v>17</v>
      </c>
      <c r="D539" s="2">
        <v>42981</v>
      </c>
      <c r="E539" s="3">
        <f>70000/100000</f>
        <v>0.7</v>
      </c>
      <c r="F539" t="s">
        <v>66</v>
      </c>
      <c r="G539" t="s">
        <v>67</v>
      </c>
      <c r="H539" t="s">
        <v>68</v>
      </c>
      <c r="I539" s="6" t="s">
        <v>535</v>
      </c>
      <c r="J539" s="61" t="s">
        <v>22</v>
      </c>
      <c r="L539" s="5" t="str">
        <f t="shared" si="75"/>
        <v>00538</v>
      </c>
      <c r="M539" s="47" t="str">
        <f t="shared" si="76"/>
        <v>03 de septiembre de 2017</v>
      </c>
      <c r="N539" s="323">
        <f t="shared" si="78"/>
        <v>3</v>
      </c>
      <c r="O539" s="25">
        <f t="shared" si="77"/>
        <v>42979</v>
      </c>
      <c r="P539" s="5" t="str">
        <f t="shared" si="80"/>
        <v>0,70</v>
      </c>
      <c r="Q539" s="4" t="str">
        <f t="shared" si="81"/>
        <v>Cero Bolívares con 70/100</v>
      </c>
    </row>
    <row r="540" spans="1:17" x14ac:dyDescent="0.25">
      <c r="A540" s="1">
        <f t="shared" si="79"/>
        <v>539</v>
      </c>
      <c r="C540" s="8" t="s">
        <v>17</v>
      </c>
      <c r="D540" s="2">
        <v>42982</v>
      </c>
      <c r="E540" s="3">
        <f>70000/100000</f>
        <v>0.7</v>
      </c>
      <c r="F540" t="s">
        <v>114</v>
      </c>
      <c r="G540" t="s">
        <v>115</v>
      </c>
      <c r="H540" t="s">
        <v>116</v>
      </c>
      <c r="I540" s="6" t="s">
        <v>529</v>
      </c>
      <c r="J540" s="61" t="s">
        <v>22</v>
      </c>
      <c r="L540" s="5" t="str">
        <f t="shared" si="75"/>
        <v>00539</v>
      </c>
      <c r="M540" s="47" t="str">
        <f t="shared" si="76"/>
        <v>04 de septiembre de 2017</v>
      </c>
      <c r="N540" s="323">
        <f t="shared" si="78"/>
        <v>4</v>
      </c>
      <c r="O540" s="25">
        <f t="shared" si="77"/>
        <v>42979</v>
      </c>
      <c r="P540" s="5" t="str">
        <f t="shared" si="80"/>
        <v>0,70</v>
      </c>
      <c r="Q540" s="4" t="str">
        <f t="shared" si="81"/>
        <v>Cero Bolívares con 70/100</v>
      </c>
    </row>
    <row r="541" spans="1:17" x14ac:dyDescent="0.25">
      <c r="A541" s="1">
        <f t="shared" si="79"/>
        <v>540</v>
      </c>
      <c r="C541" s="8" t="s">
        <v>17</v>
      </c>
      <c r="D541" s="2">
        <v>42982</v>
      </c>
      <c r="E541" s="3">
        <f>35000/100000</f>
        <v>0.35</v>
      </c>
      <c r="F541" t="s">
        <v>211</v>
      </c>
      <c r="G541" t="s">
        <v>212</v>
      </c>
      <c r="H541" t="s">
        <v>213</v>
      </c>
      <c r="I541" s="6" t="s">
        <v>514</v>
      </c>
      <c r="J541" s="61" t="s">
        <v>22</v>
      </c>
      <c r="L541" s="5" t="str">
        <f t="shared" si="75"/>
        <v>00540</v>
      </c>
      <c r="M541" s="47" t="str">
        <f t="shared" si="76"/>
        <v>04 de septiembre de 2017</v>
      </c>
      <c r="N541" s="323">
        <f t="shared" si="78"/>
        <v>4</v>
      </c>
      <c r="O541" s="25">
        <f t="shared" si="77"/>
        <v>42979</v>
      </c>
      <c r="P541" s="5" t="str">
        <f t="shared" si="80"/>
        <v>0,35</v>
      </c>
      <c r="Q541" s="4" t="str">
        <f t="shared" si="81"/>
        <v>Cero Bolívares con 35/100</v>
      </c>
    </row>
    <row r="542" spans="1:17" x14ac:dyDescent="0.25">
      <c r="A542" s="1">
        <f t="shared" si="79"/>
        <v>541</v>
      </c>
      <c r="C542" s="8" t="s">
        <v>17</v>
      </c>
      <c r="D542" s="2">
        <v>42983</v>
      </c>
      <c r="E542" s="3">
        <f>35000/100000</f>
        <v>0.35</v>
      </c>
      <c r="F542" t="s">
        <v>407</v>
      </c>
      <c r="G542" t="s">
        <v>408</v>
      </c>
      <c r="H542" t="s">
        <v>409</v>
      </c>
      <c r="I542" s="6" t="s">
        <v>514</v>
      </c>
      <c r="J542" s="61" t="s">
        <v>22</v>
      </c>
      <c r="L542" s="5" t="str">
        <f t="shared" si="75"/>
        <v>00541</v>
      </c>
      <c r="M542" s="47" t="str">
        <f t="shared" si="76"/>
        <v>05 de septiembre de 2017</v>
      </c>
      <c r="N542" s="323">
        <f t="shared" si="78"/>
        <v>5</v>
      </c>
      <c r="O542" s="25">
        <f t="shared" si="77"/>
        <v>42979</v>
      </c>
      <c r="P542" s="5" t="str">
        <f t="shared" si="80"/>
        <v>0,35</v>
      </c>
      <c r="Q542" s="4" t="str">
        <f t="shared" si="81"/>
        <v>Cero Bolívares con 35/100</v>
      </c>
    </row>
    <row r="543" spans="1:17" x14ac:dyDescent="0.25">
      <c r="A543" s="1">
        <f t="shared" si="79"/>
        <v>542</v>
      </c>
      <c r="C543" s="8" t="s">
        <v>17</v>
      </c>
      <c r="D543" s="2">
        <v>42983</v>
      </c>
      <c r="E543" s="3">
        <f>35000/100000</f>
        <v>0.35</v>
      </c>
      <c r="F543" t="s">
        <v>70</v>
      </c>
      <c r="G543" t="s">
        <v>71</v>
      </c>
      <c r="H543" t="s">
        <v>72</v>
      </c>
      <c r="I543" s="6" t="s">
        <v>528</v>
      </c>
      <c r="J543" s="61" t="s">
        <v>22</v>
      </c>
      <c r="L543" s="5" t="str">
        <f t="shared" si="75"/>
        <v>00542</v>
      </c>
      <c r="M543" s="47" t="str">
        <f t="shared" si="76"/>
        <v>05 de septiembre de 2017</v>
      </c>
      <c r="N543" s="323">
        <f t="shared" si="78"/>
        <v>5</v>
      </c>
      <c r="O543" s="25">
        <f t="shared" si="77"/>
        <v>42979</v>
      </c>
      <c r="P543" s="5" t="str">
        <f t="shared" si="80"/>
        <v>0,35</v>
      </c>
      <c r="Q543" s="4" t="str">
        <f t="shared" si="81"/>
        <v>Cero Bolívares con 35/100</v>
      </c>
    </row>
    <row r="544" spans="1:17" x14ac:dyDescent="0.25">
      <c r="A544" s="1">
        <f t="shared" si="79"/>
        <v>543</v>
      </c>
      <c r="C544" s="8" t="s">
        <v>17</v>
      </c>
      <c r="D544" s="2">
        <v>42983</v>
      </c>
      <c r="E544" s="3">
        <f>3*35000/100000</f>
        <v>1.05</v>
      </c>
      <c r="F544" t="s">
        <v>219</v>
      </c>
      <c r="G544" t="s">
        <v>220</v>
      </c>
      <c r="H544" t="s">
        <v>221</v>
      </c>
      <c r="I544" s="6" t="s">
        <v>536</v>
      </c>
      <c r="J544" s="61" t="s">
        <v>22</v>
      </c>
      <c r="L544" s="5" t="str">
        <f t="shared" si="75"/>
        <v>00543</v>
      </c>
      <c r="M544" s="47" t="str">
        <f t="shared" si="76"/>
        <v>05 de septiembre de 2017</v>
      </c>
      <c r="N544" s="323">
        <f t="shared" si="78"/>
        <v>5</v>
      </c>
      <c r="O544" s="25">
        <f t="shared" si="77"/>
        <v>42979</v>
      </c>
      <c r="P544" s="5" t="str">
        <f t="shared" si="80"/>
        <v>1,05</v>
      </c>
      <c r="Q544" s="4" t="str">
        <f t="shared" si="81"/>
        <v>Un Bolívares con 05/100</v>
      </c>
    </row>
    <row r="545" spans="1:17" x14ac:dyDescent="0.25">
      <c r="A545" s="1">
        <f t="shared" si="79"/>
        <v>544</v>
      </c>
      <c r="C545" s="8" t="s">
        <v>17</v>
      </c>
      <c r="D545" s="2">
        <v>42984</v>
      </c>
      <c r="E545" s="3">
        <f>35000/100000</f>
        <v>0.35</v>
      </c>
      <c r="F545" t="s">
        <v>90</v>
      </c>
      <c r="G545" t="s">
        <v>91</v>
      </c>
      <c r="H545" t="s">
        <v>92</v>
      </c>
      <c r="I545" s="6" t="s">
        <v>528</v>
      </c>
      <c r="J545" s="61" t="s">
        <v>22</v>
      </c>
      <c r="L545" s="5" t="str">
        <f t="shared" si="75"/>
        <v>00544</v>
      </c>
      <c r="M545" s="47" t="str">
        <f t="shared" si="76"/>
        <v>06 de septiembre de 2017</v>
      </c>
      <c r="N545" s="323">
        <f t="shared" si="78"/>
        <v>6</v>
      </c>
      <c r="O545" s="25">
        <f t="shared" si="77"/>
        <v>42979</v>
      </c>
      <c r="P545" s="5" t="str">
        <f t="shared" si="80"/>
        <v>0,35</v>
      </c>
      <c r="Q545" s="4" t="str">
        <f t="shared" si="81"/>
        <v>Cero Bolívares con 35/100</v>
      </c>
    </row>
    <row r="546" spans="1:17" x14ac:dyDescent="0.25">
      <c r="A546" s="1">
        <f t="shared" si="79"/>
        <v>545</v>
      </c>
      <c r="C546" s="8" t="s">
        <v>17</v>
      </c>
      <c r="D546" s="2">
        <v>42984</v>
      </c>
      <c r="E546" s="3">
        <f>54000/100000</f>
        <v>0.54</v>
      </c>
      <c r="F546" s="23" t="s">
        <v>422</v>
      </c>
      <c r="G546" s="18" t="s">
        <v>58</v>
      </c>
      <c r="H546" t="s">
        <v>423</v>
      </c>
      <c r="I546" s="6" t="s">
        <v>528</v>
      </c>
      <c r="J546" s="61" t="s">
        <v>22</v>
      </c>
      <c r="L546" s="5" t="str">
        <f t="shared" si="75"/>
        <v>00545</v>
      </c>
      <c r="M546" s="47" t="str">
        <f t="shared" si="76"/>
        <v>06 de septiembre de 2017</v>
      </c>
      <c r="N546" s="323">
        <f t="shared" si="78"/>
        <v>6</v>
      </c>
      <c r="O546" s="25">
        <f t="shared" si="77"/>
        <v>42979</v>
      </c>
      <c r="P546" s="5" t="str">
        <f t="shared" si="80"/>
        <v>0,54</v>
      </c>
      <c r="Q546" s="4" t="str">
        <f t="shared" si="81"/>
        <v>Cero Bolívares con 54/100</v>
      </c>
    </row>
    <row r="547" spans="1:17" x14ac:dyDescent="0.25">
      <c r="A547" s="1">
        <f t="shared" si="79"/>
        <v>546</v>
      </c>
      <c r="C547" s="8" t="s">
        <v>17</v>
      </c>
      <c r="D547" s="2">
        <v>42984</v>
      </c>
      <c r="E547" s="3">
        <f>15000/100000</f>
        <v>0.15</v>
      </c>
      <c r="F547" t="s">
        <v>48</v>
      </c>
      <c r="G547" t="s">
        <v>49</v>
      </c>
      <c r="H547" t="s">
        <v>50</v>
      </c>
      <c r="I547" s="6" t="s">
        <v>534</v>
      </c>
      <c r="J547" s="61" t="s">
        <v>22</v>
      </c>
      <c r="L547" s="5" t="str">
        <f t="shared" si="75"/>
        <v>00546</v>
      </c>
      <c r="M547" s="47" t="str">
        <f t="shared" si="76"/>
        <v>06 de septiembre de 2017</v>
      </c>
      <c r="N547" s="323">
        <f t="shared" si="78"/>
        <v>6</v>
      </c>
      <c r="O547" s="25">
        <f t="shared" si="77"/>
        <v>42979</v>
      </c>
      <c r="P547" s="5" t="str">
        <f t="shared" si="80"/>
        <v>0,15</v>
      </c>
      <c r="Q547" s="4" t="str">
        <f t="shared" si="81"/>
        <v>Cero Bolívares con 15/100</v>
      </c>
    </row>
    <row r="548" spans="1:17" x14ac:dyDescent="0.25">
      <c r="A548" s="1">
        <f t="shared" si="79"/>
        <v>547</v>
      </c>
      <c r="C548" s="8" t="s">
        <v>17</v>
      </c>
      <c r="D548" s="2">
        <v>42970</v>
      </c>
      <c r="E548" s="3">
        <f>35000/100000</f>
        <v>0.35</v>
      </c>
      <c r="F548" t="s">
        <v>185</v>
      </c>
      <c r="G548" t="s">
        <v>186</v>
      </c>
      <c r="H548" t="s">
        <v>187</v>
      </c>
      <c r="I548" s="6" t="s">
        <v>514</v>
      </c>
      <c r="J548" s="61" t="s">
        <v>22</v>
      </c>
      <c r="L548" s="5" t="str">
        <f t="shared" si="75"/>
        <v>00547</v>
      </c>
      <c r="M548" s="47" t="str">
        <f t="shared" si="76"/>
        <v>23 de agosto de 2017</v>
      </c>
      <c r="N548" s="323">
        <f t="shared" si="78"/>
        <v>23</v>
      </c>
      <c r="O548" s="25">
        <f t="shared" si="77"/>
        <v>42948</v>
      </c>
      <c r="P548" s="5" t="str">
        <f t="shared" si="80"/>
        <v>0,35</v>
      </c>
      <c r="Q548" s="4" t="str">
        <f t="shared" si="81"/>
        <v>Cero Bolívares con 35/100</v>
      </c>
    </row>
    <row r="549" spans="1:17" x14ac:dyDescent="0.25">
      <c r="A549" s="1">
        <f t="shared" si="79"/>
        <v>548</v>
      </c>
      <c r="C549" s="8" t="s">
        <v>17</v>
      </c>
      <c r="D549" s="2">
        <v>42971</v>
      </c>
      <c r="E549" s="3">
        <f>35000/100000</f>
        <v>0.35</v>
      </c>
      <c r="F549" t="s">
        <v>134</v>
      </c>
      <c r="G549" t="s">
        <v>135</v>
      </c>
      <c r="H549" t="s">
        <v>136</v>
      </c>
      <c r="I549" s="6" t="s">
        <v>514</v>
      </c>
      <c r="J549" s="61" t="s">
        <v>22</v>
      </c>
      <c r="L549" s="5" t="str">
        <f t="shared" si="75"/>
        <v>00548</v>
      </c>
      <c r="M549" s="47" t="str">
        <f t="shared" si="76"/>
        <v>24 de agosto de 2017</v>
      </c>
      <c r="N549" s="323">
        <f t="shared" si="78"/>
        <v>24</v>
      </c>
      <c r="O549" s="25">
        <f t="shared" si="77"/>
        <v>42948</v>
      </c>
      <c r="P549" s="5" t="str">
        <f t="shared" si="80"/>
        <v>0,35</v>
      </c>
      <c r="Q549" s="4" t="str">
        <f t="shared" si="81"/>
        <v>Cero Bolívares con 35/100</v>
      </c>
    </row>
    <row r="550" spans="1:17" x14ac:dyDescent="0.25">
      <c r="A550" s="1">
        <f t="shared" si="79"/>
        <v>549</v>
      </c>
      <c r="C550" s="8" t="s">
        <v>17</v>
      </c>
      <c r="D550" s="2">
        <v>42985</v>
      </c>
      <c r="E550" s="3">
        <f>35000/100000</f>
        <v>0.35</v>
      </c>
      <c r="F550" t="s">
        <v>206</v>
      </c>
      <c r="G550" t="s">
        <v>207</v>
      </c>
      <c r="H550" t="s">
        <v>208</v>
      </c>
      <c r="I550" s="6" t="s">
        <v>500</v>
      </c>
      <c r="J550" s="61" t="s">
        <v>22</v>
      </c>
      <c r="L550" s="5" t="str">
        <f t="shared" si="75"/>
        <v>00549</v>
      </c>
      <c r="M550" s="47" t="str">
        <f t="shared" si="76"/>
        <v>07 de septiembre de 2017</v>
      </c>
      <c r="N550" s="323">
        <f t="shared" si="78"/>
        <v>7</v>
      </c>
      <c r="O550" s="25">
        <f t="shared" si="77"/>
        <v>42979</v>
      </c>
      <c r="P550" s="5" t="str">
        <f t="shared" si="80"/>
        <v>0,35</v>
      </c>
      <c r="Q550" s="4" t="str">
        <f t="shared" si="81"/>
        <v>Cero Bolívares con 35/100</v>
      </c>
    </row>
    <row r="551" spans="1:17" x14ac:dyDescent="0.25">
      <c r="A551" s="1">
        <f t="shared" si="79"/>
        <v>550</v>
      </c>
      <c r="C551" s="8" t="s">
        <v>17</v>
      </c>
      <c r="D551" s="2">
        <v>42988</v>
      </c>
      <c r="E551" s="3">
        <f>15000/100000</f>
        <v>0.15</v>
      </c>
      <c r="F551" t="s">
        <v>167</v>
      </c>
      <c r="G551" t="s">
        <v>168</v>
      </c>
      <c r="H551" t="s">
        <v>169</v>
      </c>
      <c r="I551" s="6" t="s">
        <v>513</v>
      </c>
      <c r="J551" s="61" t="s">
        <v>22</v>
      </c>
      <c r="L551" s="5" t="str">
        <f t="shared" si="75"/>
        <v>00550</v>
      </c>
      <c r="M551" s="47" t="str">
        <f t="shared" si="76"/>
        <v>10 de septiembre de 2017</v>
      </c>
      <c r="N551" s="323">
        <f t="shared" si="78"/>
        <v>10</v>
      </c>
      <c r="O551" s="25">
        <f t="shared" si="77"/>
        <v>42979</v>
      </c>
      <c r="P551" s="5" t="str">
        <f t="shared" si="80"/>
        <v>0,15</v>
      </c>
      <c r="Q551" s="4" t="str">
        <f t="shared" si="81"/>
        <v>Cero Bolívares con 15/100</v>
      </c>
    </row>
    <row r="552" spans="1:17" x14ac:dyDescent="0.25">
      <c r="A552" s="1">
        <f t="shared" si="79"/>
        <v>551</v>
      </c>
      <c r="C552" s="8" t="s">
        <v>17</v>
      </c>
      <c r="D552" s="2">
        <v>42989</v>
      </c>
      <c r="E552" s="3">
        <f>60000/100000</f>
        <v>0.6</v>
      </c>
      <c r="F552" t="s">
        <v>324</v>
      </c>
      <c r="G552" t="s">
        <v>325</v>
      </c>
      <c r="H552" t="s">
        <v>326</v>
      </c>
      <c r="I552" s="6" t="s">
        <v>523</v>
      </c>
      <c r="J552" s="61" t="s">
        <v>22</v>
      </c>
      <c r="L552" s="5" t="str">
        <f t="shared" si="75"/>
        <v>00551</v>
      </c>
      <c r="M552" s="47" t="str">
        <f t="shared" si="76"/>
        <v>11 de septiembre de 2017</v>
      </c>
      <c r="N552" s="323">
        <f t="shared" si="78"/>
        <v>11</v>
      </c>
      <c r="O552" s="25">
        <f t="shared" si="77"/>
        <v>42979</v>
      </c>
      <c r="P552" s="5" t="str">
        <f t="shared" si="80"/>
        <v>0,60</v>
      </c>
      <c r="Q552" s="4" t="str">
        <f t="shared" si="81"/>
        <v>Cero Bolívares con 60/100</v>
      </c>
    </row>
    <row r="553" spans="1:17" x14ac:dyDescent="0.25">
      <c r="A553" s="1">
        <f t="shared" si="79"/>
        <v>552</v>
      </c>
      <c r="C553" s="8" t="s">
        <v>17</v>
      </c>
      <c r="D553" s="2">
        <v>42990</v>
      </c>
      <c r="E553" s="3">
        <f>35000/100000</f>
        <v>0.35</v>
      </c>
      <c r="F553" t="s">
        <v>324</v>
      </c>
      <c r="G553" t="s">
        <v>325</v>
      </c>
      <c r="H553" t="s">
        <v>326</v>
      </c>
      <c r="I553" s="6" t="s">
        <v>528</v>
      </c>
      <c r="J553" s="61" t="s">
        <v>22</v>
      </c>
      <c r="L553" s="5" t="str">
        <f t="shared" si="75"/>
        <v>00552</v>
      </c>
      <c r="M553" s="47" t="str">
        <f t="shared" si="76"/>
        <v>12 de septiembre de 2017</v>
      </c>
      <c r="N553" s="323">
        <f t="shared" si="78"/>
        <v>12</v>
      </c>
      <c r="O553" s="25">
        <f t="shared" si="77"/>
        <v>42979</v>
      </c>
      <c r="P553" s="5" t="str">
        <f>TEXT(E553,"#.##0,00")</f>
        <v>0,35</v>
      </c>
      <c r="Q553" s="4" t="str">
        <f>CONVERTIRNUM(E553)</f>
        <v>Cero Bolívares con 35/100</v>
      </c>
    </row>
    <row r="554" spans="1:17" x14ac:dyDescent="0.25">
      <c r="A554" s="1">
        <f t="shared" si="79"/>
        <v>553</v>
      </c>
      <c r="C554" s="8" t="s">
        <v>17</v>
      </c>
      <c r="D554" s="2">
        <v>42991</v>
      </c>
      <c r="E554" s="3">
        <f>9000/100000</f>
        <v>0.09</v>
      </c>
      <c r="F554" t="s">
        <v>114</v>
      </c>
      <c r="G554" t="s">
        <v>115</v>
      </c>
      <c r="H554" t="s">
        <v>116</v>
      </c>
      <c r="I554" s="6" t="s">
        <v>499</v>
      </c>
      <c r="J554" s="61" t="s">
        <v>22</v>
      </c>
      <c r="L554" s="5" t="str">
        <f t="shared" si="75"/>
        <v>00553</v>
      </c>
      <c r="M554" s="47" t="str">
        <f t="shared" si="76"/>
        <v>13 de septiembre de 2017</v>
      </c>
      <c r="N554" s="323">
        <f t="shared" si="78"/>
        <v>13</v>
      </c>
      <c r="O554" s="25">
        <f t="shared" si="77"/>
        <v>42979</v>
      </c>
      <c r="P554" s="5" t="str">
        <f>TEXT(E554,"#.##0,00")</f>
        <v>0,09</v>
      </c>
      <c r="Q554" s="4" t="str">
        <f>CONVERTIRNUM(E554)</f>
        <v>Cero Bolívares con 09/100</v>
      </c>
    </row>
    <row r="555" spans="1:17" x14ac:dyDescent="0.25">
      <c r="A555" s="1">
        <f t="shared" si="79"/>
        <v>554</v>
      </c>
      <c r="C555" s="8" t="s">
        <v>17</v>
      </c>
      <c r="D555" s="2">
        <v>42991</v>
      </c>
      <c r="E555" s="3">
        <f>35000/100000</f>
        <v>0.35</v>
      </c>
      <c r="F555" t="s">
        <v>100</v>
      </c>
      <c r="G555" t="s">
        <v>95</v>
      </c>
      <c r="H555" t="s">
        <v>101</v>
      </c>
      <c r="I555" s="6" t="s">
        <v>528</v>
      </c>
      <c r="J555" s="61" t="s">
        <v>22</v>
      </c>
      <c r="L555" s="5" t="str">
        <f t="shared" si="75"/>
        <v>00554</v>
      </c>
      <c r="M555" s="47" t="str">
        <f t="shared" si="76"/>
        <v>13 de septiembre de 2017</v>
      </c>
      <c r="N555" s="323">
        <f t="shared" si="78"/>
        <v>13</v>
      </c>
      <c r="O555" s="25">
        <f t="shared" si="77"/>
        <v>42979</v>
      </c>
      <c r="P555" s="5" t="str">
        <f>TEXT(E555,"#.##0,00")</f>
        <v>0,35</v>
      </c>
      <c r="Q555" s="4" t="str">
        <f>CONVERTIRNUM(E555)</f>
        <v>Cero Bolívares con 35/100</v>
      </c>
    </row>
    <row r="556" spans="1:17" x14ac:dyDescent="0.25">
      <c r="A556" s="1">
        <f t="shared" si="79"/>
        <v>555</v>
      </c>
      <c r="C556" s="8" t="s">
        <v>17</v>
      </c>
      <c r="D556" s="2">
        <v>42991</v>
      </c>
      <c r="E556" s="3">
        <f>3000/100000</f>
        <v>0.03</v>
      </c>
      <c r="F556" t="s">
        <v>94</v>
      </c>
      <c r="G556" t="s">
        <v>95</v>
      </c>
      <c r="H556" t="s">
        <v>96</v>
      </c>
      <c r="I556" s="6" t="s">
        <v>534</v>
      </c>
      <c r="J556" s="61" t="s">
        <v>22</v>
      </c>
      <c r="L556" s="5" t="str">
        <f t="shared" si="75"/>
        <v>00555</v>
      </c>
      <c r="M556" s="47" t="str">
        <f t="shared" si="76"/>
        <v>13 de septiembre de 2017</v>
      </c>
      <c r="N556" s="323">
        <f t="shared" si="78"/>
        <v>13</v>
      </c>
      <c r="O556" s="25">
        <f t="shared" si="77"/>
        <v>42979</v>
      </c>
      <c r="P556" s="5" t="str">
        <f>TEXT(E556,"#.##0,00")</f>
        <v>0,03</v>
      </c>
      <c r="Q556" s="4" t="str">
        <f>CONVERTIRNUM(E556)</f>
        <v>Cero Bolívares con 03/100</v>
      </c>
    </row>
    <row r="557" spans="1:17" x14ac:dyDescent="0.25">
      <c r="A557" s="1">
        <f t="shared" si="79"/>
        <v>556</v>
      </c>
      <c r="C557" s="8" t="s">
        <v>17</v>
      </c>
      <c r="D557" s="2">
        <v>42991</v>
      </c>
      <c r="E557" s="3">
        <f>3*35000/100000</f>
        <v>1.05</v>
      </c>
      <c r="F557" t="s">
        <v>537</v>
      </c>
      <c r="G557" t="s">
        <v>538</v>
      </c>
      <c r="H557" t="s">
        <v>539</v>
      </c>
      <c r="I557" s="6" t="s">
        <v>536</v>
      </c>
      <c r="J557" s="61" t="s">
        <v>22</v>
      </c>
      <c r="L557" s="5" t="str">
        <f t="shared" si="75"/>
        <v>00556</v>
      </c>
      <c r="M557" s="47" t="str">
        <f t="shared" si="76"/>
        <v>13 de septiembre de 2017</v>
      </c>
      <c r="N557" s="323">
        <f t="shared" si="78"/>
        <v>13</v>
      </c>
      <c r="O557" s="25">
        <f t="shared" si="77"/>
        <v>42979</v>
      </c>
      <c r="P557" s="5" t="str">
        <f t="shared" ref="P557:P578" si="83">TEXT(E557,"#.##0,00")</f>
        <v>1,05</v>
      </c>
      <c r="Q557" s="4" t="str">
        <f t="shared" ref="Q557:Q578" si="84">CONVERTIRNUM(E557)</f>
        <v>Un Bolívares con 05/100</v>
      </c>
    </row>
    <row r="558" spans="1:17" x14ac:dyDescent="0.25">
      <c r="A558" s="1">
        <f t="shared" si="79"/>
        <v>557</v>
      </c>
      <c r="C558" s="8" t="s">
        <v>17</v>
      </c>
      <c r="D558" s="2">
        <v>42992</v>
      </c>
      <c r="E558" s="3">
        <f>14900/100000</f>
        <v>0.14899999999999999</v>
      </c>
      <c r="F558" t="s">
        <v>397</v>
      </c>
      <c r="G558" s="48" t="s">
        <v>29</v>
      </c>
      <c r="H558" t="s">
        <v>398</v>
      </c>
      <c r="I558" s="6" t="s">
        <v>534</v>
      </c>
      <c r="J558" s="61" t="s">
        <v>22</v>
      </c>
      <c r="L558" s="5" t="str">
        <f t="shared" si="75"/>
        <v>00557</v>
      </c>
      <c r="M558" s="47" t="str">
        <f t="shared" si="76"/>
        <v>14 de septiembre de 2017</v>
      </c>
      <c r="N558" s="323">
        <f t="shared" si="78"/>
        <v>14</v>
      </c>
      <c r="O558" s="25">
        <f t="shared" si="77"/>
        <v>42979</v>
      </c>
      <c r="P558" s="5" t="str">
        <f t="shared" si="83"/>
        <v>0,15</v>
      </c>
      <c r="Q558" s="4" t="str">
        <f t="shared" si="84"/>
        <v>Cero Bolívares con 15/100</v>
      </c>
    </row>
    <row r="559" spans="1:17" x14ac:dyDescent="0.25">
      <c r="A559" s="1">
        <f t="shared" si="79"/>
        <v>558</v>
      </c>
      <c r="C559" s="8" t="s">
        <v>17</v>
      </c>
      <c r="D559" s="2">
        <v>42992</v>
      </c>
      <c r="E559" s="3">
        <f>20000/100000</f>
        <v>0.2</v>
      </c>
      <c r="F559" t="s">
        <v>28</v>
      </c>
      <c r="G559" t="s">
        <v>29</v>
      </c>
      <c r="H559" t="s">
        <v>30</v>
      </c>
      <c r="I559" s="6" t="s">
        <v>534</v>
      </c>
      <c r="J559" s="61" t="s">
        <v>22</v>
      </c>
      <c r="L559" s="5" t="str">
        <f t="shared" si="75"/>
        <v>00558</v>
      </c>
      <c r="M559" s="47" t="str">
        <f t="shared" si="76"/>
        <v>14 de septiembre de 2017</v>
      </c>
      <c r="N559" s="323">
        <f t="shared" si="78"/>
        <v>14</v>
      </c>
      <c r="O559" s="25">
        <f t="shared" si="77"/>
        <v>42979</v>
      </c>
      <c r="P559" s="5" t="str">
        <f t="shared" si="83"/>
        <v>0,20</v>
      </c>
      <c r="Q559" s="4" t="str">
        <f t="shared" si="84"/>
        <v>Cero Bolívares con 20/100</v>
      </c>
    </row>
    <row r="560" spans="1:17" x14ac:dyDescent="0.25">
      <c r="A560" s="1">
        <f t="shared" si="79"/>
        <v>559</v>
      </c>
      <c r="C560" s="8" t="s">
        <v>17</v>
      </c>
      <c r="D560" s="2">
        <v>42993</v>
      </c>
      <c r="E560" s="3">
        <f>35000/100000</f>
        <v>0.35</v>
      </c>
      <c r="F560" t="s">
        <v>103</v>
      </c>
      <c r="G560" t="s">
        <v>104</v>
      </c>
      <c r="H560" t="s">
        <v>105</v>
      </c>
      <c r="I560" s="6" t="s">
        <v>528</v>
      </c>
      <c r="J560" s="61" t="s">
        <v>22</v>
      </c>
      <c r="L560" s="5" t="str">
        <f t="shared" si="75"/>
        <v>00559</v>
      </c>
      <c r="M560" s="47" t="str">
        <f t="shared" si="76"/>
        <v>15 de septiembre de 2017</v>
      </c>
      <c r="N560" s="323">
        <f t="shared" si="78"/>
        <v>15</v>
      </c>
      <c r="O560" s="25">
        <f t="shared" si="77"/>
        <v>42979</v>
      </c>
      <c r="P560" s="5" t="str">
        <f t="shared" si="83"/>
        <v>0,35</v>
      </c>
      <c r="Q560" s="4" t="str">
        <f t="shared" si="84"/>
        <v>Cero Bolívares con 35/100</v>
      </c>
    </row>
    <row r="561" spans="1:17" x14ac:dyDescent="0.25">
      <c r="A561" s="1">
        <f t="shared" si="79"/>
        <v>560</v>
      </c>
      <c r="C561" s="8" t="s">
        <v>17</v>
      </c>
      <c r="D561" s="2">
        <v>42993</v>
      </c>
      <c r="E561" s="3">
        <f>35000/100000</f>
        <v>0.35</v>
      </c>
      <c r="F561" t="s">
        <v>122</v>
      </c>
      <c r="G561" t="s">
        <v>123</v>
      </c>
      <c r="H561" t="s">
        <v>124</v>
      </c>
      <c r="I561" s="6" t="s">
        <v>528</v>
      </c>
      <c r="J561" s="61" t="s">
        <v>22</v>
      </c>
      <c r="L561" s="5" t="str">
        <f t="shared" si="75"/>
        <v>00560</v>
      </c>
      <c r="M561" s="47" t="str">
        <f t="shared" si="76"/>
        <v>15 de septiembre de 2017</v>
      </c>
      <c r="N561" s="323">
        <f t="shared" si="78"/>
        <v>15</v>
      </c>
      <c r="O561" s="25">
        <f t="shared" si="77"/>
        <v>42979</v>
      </c>
      <c r="P561" s="5" t="str">
        <f t="shared" si="83"/>
        <v>0,35</v>
      </c>
      <c r="Q561" s="4" t="str">
        <f t="shared" si="84"/>
        <v>Cero Bolívares con 35/100</v>
      </c>
    </row>
    <row r="562" spans="1:17" x14ac:dyDescent="0.25">
      <c r="A562" s="1">
        <f t="shared" si="79"/>
        <v>561</v>
      </c>
      <c r="C562" s="8" t="s">
        <v>17</v>
      </c>
      <c r="D562" s="2">
        <v>42993</v>
      </c>
      <c r="E562" s="3">
        <f>17000/100000</f>
        <v>0.17</v>
      </c>
      <c r="F562" t="s">
        <v>401</v>
      </c>
      <c r="G562" t="s">
        <v>402</v>
      </c>
      <c r="H562" t="s">
        <v>403</v>
      </c>
      <c r="I562" s="6" t="s">
        <v>534</v>
      </c>
      <c r="J562" s="61" t="s">
        <v>22</v>
      </c>
      <c r="L562" s="5" t="str">
        <f t="shared" si="75"/>
        <v>00561</v>
      </c>
      <c r="M562" s="47" t="str">
        <f t="shared" si="76"/>
        <v>15 de septiembre de 2017</v>
      </c>
      <c r="N562" s="323">
        <f t="shared" si="78"/>
        <v>15</v>
      </c>
      <c r="O562" s="25">
        <f t="shared" si="77"/>
        <v>42979</v>
      </c>
      <c r="P562" s="5" t="str">
        <f t="shared" si="83"/>
        <v>0,17</v>
      </c>
      <c r="Q562" s="4" t="str">
        <f t="shared" si="84"/>
        <v>Cero Bolívares con 17/100</v>
      </c>
    </row>
    <row r="563" spans="1:17" x14ac:dyDescent="0.25">
      <c r="A563" s="1">
        <f t="shared" si="79"/>
        <v>562</v>
      </c>
      <c r="C563" s="8" t="s">
        <v>17</v>
      </c>
      <c r="D563" s="2">
        <v>42993</v>
      </c>
      <c r="E563" s="3">
        <f>35000/100000</f>
        <v>0.35</v>
      </c>
      <c r="F563" t="s">
        <v>152</v>
      </c>
      <c r="G563" t="s">
        <v>153</v>
      </c>
      <c r="H563" t="s">
        <v>154</v>
      </c>
      <c r="I563" s="6" t="s">
        <v>528</v>
      </c>
      <c r="J563" s="61" t="s">
        <v>22</v>
      </c>
      <c r="L563" s="5" t="str">
        <f t="shared" si="75"/>
        <v>00562</v>
      </c>
      <c r="M563" s="47" t="str">
        <f t="shared" si="76"/>
        <v>15 de septiembre de 2017</v>
      </c>
      <c r="N563" s="323">
        <f t="shared" si="78"/>
        <v>15</v>
      </c>
      <c r="O563" s="25">
        <f t="shared" si="77"/>
        <v>42979</v>
      </c>
      <c r="P563" s="5" t="str">
        <f t="shared" si="83"/>
        <v>0,35</v>
      </c>
      <c r="Q563" s="4" t="str">
        <f t="shared" si="84"/>
        <v>Cero Bolívares con 35/100</v>
      </c>
    </row>
    <row r="564" spans="1:17" x14ac:dyDescent="0.25">
      <c r="A564" s="1">
        <f t="shared" si="79"/>
        <v>563</v>
      </c>
      <c r="C564" s="8" t="s">
        <v>17</v>
      </c>
      <c r="D564" s="2">
        <v>42994</v>
      </c>
      <c r="E564" s="3">
        <f>20000/100000</f>
        <v>0.2</v>
      </c>
      <c r="F564" t="s">
        <v>181</v>
      </c>
      <c r="G564" t="s">
        <v>182</v>
      </c>
      <c r="H564" t="s">
        <v>183</v>
      </c>
      <c r="I564" s="6" t="s">
        <v>534</v>
      </c>
      <c r="J564" s="61" t="s">
        <v>22</v>
      </c>
      <c r="L564" s="5" t="str">
        <f t="shared" si="75"/>
        <v>00563</v>
      </c>
      <c r="M564" s="47" t="str">
        <f t="shared" si="76"/>
        <v>16 de septiembre de 2017</v>
      </c>
      <c r="N564" s="323">
        <f t="shared" si="78"/>
        <v>16</v>
      </c>
      <c r="O564" s="25">
        <f t="shared" si="77"/>
        <v>42979</v>
      </c>
      <c r="P564" s="5" t="str">
        <f t="shared" si="83"/>
        <v>0,20</v>
      </c>
      <c r="Q564" s="4" t="str">
        <f t="shared" si="84"/>
        <v>Cero Bolívares con 20/100</v>
      </c>
    </row>
    <row r="565" spans="1:17" x14ac:dyDescent="0.25">
      <c r="A565" s="1">
        <f t="shared" si="79"/>
        <v>564</v>
      </c>
      <c r="C565" s="8" t="s">
        <v>17</v>
      </c>
      <c r="D565" s="2">
        <v>42996</v>
      </c>
      <c r="E565" s="3">
        <f>35000/100000</f>
        <v>0.35</v>
      </c>
      <c r="F565" t="s">
        <v>201</v>
      </c>
      <c r="G565" t="s">
        <v>202</v>
      </c>
      <c r="H565" t="s">
        <v>203</v>
      </c>
      <c r="I565" s="6" t="s">
        <v>514</v>
      </c>
      <c r="J565" s="61" t="s">
        <v>22</v>
      </c>
      <c r="L565" s="5" t="str">
        <f t="shared" si="75"/>
        <v>00564</v>
      </c>
      <c r="M565" s="47" t="str">
        <f t="shared" si="76"/>
        <v>18 de septiembre de 2017</v>
      </c>
      <c r="N565" s="323">
        <f t="shared" si="78"/>
        <v>18</v>
      </c>
      <c r="O565" s="25">
        <f t="shared" si="77"/>
        <v>42979</v>
      </c>
      <c r="P565" s="5" t="str">
        <f t="shared" si="83"/>
        <v>0,35</v>
      </c>
      <c r="Q565" s="4" t="str">
        <f t="shared" si="84"/>
        <v>Cero Bolívares con 35/100</v>
      </c>
    </row>
    <row r="566" spans="1:17" x14ac:dyDescent="0.25">
      <c r="A566" s="1">
        <f t="shared" si="79"/>
        <v>565</v>
      </c>
      <c r="C566" s="8" t="s">
        <v>17</v>
      </c>
      <c r="D566" s="2">
        <v>42996</v>
      </c>
      <c r="E566" s="3">
        <f>35000/100000</f>
        <v>0.35</v>
      </c>
      <c r="F566" t="s">
        <v>107</v>
      </c>
      <c r="G566" t="s">
        <v>108</v>
      </c>
      <c r="H566" t="s">
        <v>109</v>
      </c>
      <c r="I566" s="6" t="s">
        <v>528</v>
      </c>
      <c r="J566" s="61" t="s">
        <v>22</v>
      </c>
      <c r="L566" s="5" t="str">
        <f t="shared" si="75"/>
        <v>00565</v>
      </c>
      <c r="M566" s="47" t="str">
        <f t="shared" si="76"/>
        <v>18 de septiembre de 2017</v>
      </c>
      <c r="N566" s="323">
        <f t="shared" si="78"/>
        <v>18</v>
      </c>
      <c r="O566" s="25">
        <f t="shared" si="77"/>
        <v>42979</v>
      </c>
      <c r="P566" s="5" t="str">
        <f t="shared" si="83"/>
        <v>0,35</v>
      </c>
      <c r="Q566" s="4" t="str">
        <f t="shared" si="84"/>
        <v>Cero Bolívares con 35/100</v>
      </c>
    </row>
    <row r="567" spans="1:17" x14ac:dyDescent="0.25">
      <c r="A567" s="1">
        <f t="shared" si="79"/>
        <v>566</v>
      </c>
      <c r="C567" s="8" t="s">
        <v>17</v>
      </c>
      <c r="D567" s="2">
        <v>42996</v>
      </c>
      <c r="E567" s="3">
        <f>20000/100000</f>
        <v>0.2</v>
      </c>
      <c r="F567" t="s">
        <v>284</v>
      </c>
      <c r="G567" t="s">
        <v>276</v>
      </c>
      <c r="H567" t="s">
        <v>285</v>
      </c>
      <c r="I567" s="6" t="s">
        <v>523</v>
      </c>
      <c r="J567" s="61" t="s">
        <v>22</v>
      </c>
      <c r="L567" s="5" t="str">
        <f t="shared" si="75"/>
        <v>00566</v>
      </c>
      <c r="M567" s="47" t="str">
        <f t="shared" si="76"/>
        <v>18 de septiembre de 2017</v>
      </c>
      <c r="N567" s="323">
        <f t="shared" si="78"/>
        <v>18</v>
      </c>
      <c r="O567" s="25">
        <f t="shared" si="77"/>
        <v>42979</v>
      </c>
      <c r="P567" s="5" t="str">
        <f t="shared" si="83"/>
        <v>0,20</v>
      </c>
      <c r="Q567" s="4" t="str">
        <f t="shared" si="84"/>
        <v>Cero Bolívares con 20/100</v>
      </c>
    </row>
    <row r="568" spans="1:17" x14ac:dyDescent="0.25">
      <c r="A568" s="1">
        <f t="shared" si="79"/>
        <v>567</v>
      </c>
      <c r="C568" s="8" t="s">
        <v>17</v>
      </c>
      <c r="D568" s="2">
        <v>42996</v>
      </c>
      <c r="E568" s="3">
        <f>35000/100000</f>
        <v>0.35</v>
      </c>
      <c r="F568" t="s">
        <v>36</v>
      </c>
      <c r="G568" t="s">
        <v>37</v>
      </c>
      <c r="H568" t="s">
        <v>38</v>
      </c>
      <c r="I568" s="6" t="s">
        <v>540</v>
      </c>
      <c r="J568" s="61" t="s">
        <v>22</v>
      </c>
      <c r="L568" s="5" t="str">
        <f t="shared" si="75"/>
        <v>00567</v>
      </c>
      <c r="M568" s="47" t="str">
        <f t="shared" si="76"/>
        <v>18 de septiembre de 2017</v>
      </c>
      <c r="N568" s="323">
        <f t="shared" si="78"/>
        <v>18</v>
      </c>
      <c r="O568" s="25">
        <f t="shared" si="77"/>
        <v>42979</v>
      </c>
      <c r="P568" s="5" t="str">
        <f t="shared" si="83"/>
        <v>0,35</v>
      </c>
      <c r="Q568" s="4" t="str">
        <f t="shared" si="84"/>
        <v>Cero Bolívares con 35/100</v>
      </c>
    </row>
    <row r="569" spans="1:17" x14ac:dyDescent="0.25">
      <c r="A569" s="1">
        <f t="shared" si="79"/>
        <v>568</v>
      </c>
      <c r="C569" s="8" t="s">
        <v>17</v>
      </c>
      <c r="D569" s="2">
        <v>42997</v>
      </c>
      <c r="E569" s="3">
        <f>35000/100000</f>
        <v>0.35</v>
      </c>
      <c r="F569" t="s">
        <v>40</v>
      </c>
      <c r="G569" t="s">
        <v>41</v>
      </c>
      <c r="H569" t="s">
        <v>42</v>
      </c>
      <c r="I569" s="6" t="s">
        <v>528</v>
      </c>
      <c r="J569" s="61" t="s">
        <v>22</v>
      </c>
      <c r="L569" s="5" t="str">
        <f t="shared" si="75"/>
        <v>00568</v>
      </c>
      <c r="M569" s="47" t="str">
        <f t="shared" si="76"/>
        <v>19 de septiembre de 2017</v>
      </c>
      <c r="N569" s="323">
        <f t="shared" si="78"/>
        <v>19</v>
      </c>
      <c r="O569" s="25">
        <f t="shared" si="77"/>
        <v>42979</v>
      </c>
      <c r="P569" s="5" t="str">
        <f t="shared" si="83"/>
        <v>0,35</v>
      </c>
      <c r="Q569" s="4" t="str">
        <f t="shared" si="84"/>
        <v>Cero Bolívares con 35/100</v>
      </c>
    </row>
    <row r="570" spans="1:17" x14ac:dyDescent="0.25">
      <c r="A570" s="1">
        <f t="shared" si="79"/>
        <v>569</v>
      </c>
      <c r="C570" s="8" t="s">
        <v>17</v>
      </c>
      <c r="D570" s="2">
        <v>42997</v>
      </c>
      <c r="E570" s="3">
        <f>35000/100000</f>
        <v>0.35</v>
      </c>
      <c r="F570" t="s">
        <v>211</v>
      </c>
      <c r="G570" t="s">
        <v>212</v>
      </c>
      <c r="H570" t="s">
        <v>213</v>
      </c>
      <c r="I570" s="6" t="s">
        <v>528</v>
      </c>
      <c r="J570" s="61" t="s">
        <v>22</v>
      </c>
      <c r="L570" s="5" t="str">
        <f t="shared" si="75"/>
        <v>00569</v>
      </c>
      <c r="M570" s="47" t="str">
        <f t="shared" si="76"/>
        <v>19 de septiembre de 2017</v>
      </c>
      <c r="N570" s="323">
        <f t="shared" si="78"/>
        <v>19</v>
      </c>
      <c r="O570" s="25">
        <f t="shared" si="77"/>
        <v>42979</v>
      </c>
      <c r="P570" s="5" t="str">
        <f t="shared" si="83"/>
        <v>0,35</v>
      </c>
      <c r="Q570" s="4" t="str">
        <f t="shared" si="84"/>
        <v>Cero Bolívares con 35/100</v>
      </c>
    </row>
    <row r="571" spans="1:17" x14ac:dyDescent="0.25">
      <c r="A571" s="1">
        <f t="shared" si="79"/>
        <v>570</v>
      </c>
      <c r="C571" s="8" t="s">
        <v>17</v>
      </c>
      <c r="D571" s="2">
        <v>42997</v>
      </c>
      <c r="E571" s="3">
        <f>2*35000/100000</f>
        <v>0.7</v>
      </c>
      <c r="F571" t="s">
        <v>287</v>
      </c>
      <c r="G571" t="s">
        <v>288</v>
      </c>
      <c r="H571" t="s">
        <v>289</v>
      </c>
      <c r="I571" s="6" t="s">
        <v>508</v>
      </c>
      <c r="J571" s="61" t="s">
        <v>22</v>
      </c>
      <c r="L571" s="5" t="str">
        <f t="shared" si="75"/>
        <v>00570</v>
      </c>
      <c r="M571" s="47" t="str">
        <f t="shared" si="76"/>
        <v>19 de septiembre de 2017</v>
      </c>
      <c r="N571" s="323">
        <f t="shared" si="78"/>
        <v>19</v>
      </c>
      <c r="O571" s="25">
        <f t="shared" si="77"/>
        <v>42979</v>
      </c>
      <c r="P571" s="5" t="str">
        <f t="shared" si="83"/>
        <v>0,70</v>
      </c>
      <c r="Q571" s="4" t="str">
        <f t="shared" si="84"/>
        <v>Cero Bolívares con 70/100</v>
      </c>
    </row>
    <row r="572" spans="1:17" x14ac:dyDescent="0.25">
      <c r="A572" s="1">
        <f t="shared" si="79"/>
        <v>571</v>
      </c>
      <c r="C572" s="8" t="s">
        <v>17</v>
      </c>
      <c r="D572" s="2">
        <v>42998</v>
      </c>
      <c r="E572" s="3">
        <f>35000/100000</f>
        <v>0.35</v>
      </c>
      <c r="F572" t="s">
        <v>134</v>
      </c>
      <c r="G572" t="s">
        <v>135</v>
      </c>
      <c r="H572" t="s">
        <v>136</v>
      </c>
      <c r="I572" s="6" t="s">
        <v>528</v>
      </c>
      <c r="J572" s="61" t="s">
        <v>22</v>
      </c>
      <c r="L572" s="5" t="str">
        <f t="shared" si="75"/>
        <v>00571</v>
      </c>
      <c r="M572" s="47" t="str">
        <f t="shared" si="76"/>
        <v>20 de septiembre de 2017</v>
      </c>
      <c r="N572" s="323">
        <f t="shared" si="78"/>
        <v>20</v>
      </c>
      <c r="O572" s="25">
        <f t="shared" si="77"/>
        <v>42979</v>
      </c>
      <c r="P572" s="5" t="str">
        <f t="shared" si="83"/>
        <v>0,35</v>
      </c>
      <c r="Q572" s="4" t="str">
        <f t="shared" si="84"/>
        <v>Cero Bolívares con 35/100</v>
      </c>
    </row>
    <row r="573" spans="1:17" x14ac:dyDescent="0.25">
      <c r="A573" s="1">
        <f t="shared" si="79"/>
        <v>572</v>
      </c>
      <c r="C573" s="8" t="s">
        <v>17</v>
      </c>
      <c r="D573" s="2">
        <v>42998</v>
      </c>
      <c r="E573" s="3">
        <f>35000/100000</f>
        <v>0.35</v>
      </c>
      <c r="F573" t="s">
        <v>443</v>
      </c>
      <c r="G573" t="s">
        <v>444</v>
      </c>
      <c r="H573" t="s">
        <v>75</v>
      </c>
      <c r="I573" s="6" t="s">
        <v>528</v>
      </c>
      <c r="J573" s="61" t="s">
        <v>22</v>
      </c>
      <c r="L573" s="5" t="str">
        <f t="shared" si="75"/>
        <v>00572</v>
      </c>
      <c r="M573" s="47" t="str">
        <f t="shared" si="76"/>
        <v>20 de septiembre de 2017</v>
      </c>
      <c r="N573" s="323">
        <f t="shared" si="78"/>
        <v>20</v>
      </c>
      <c r="O573" s="25">
        <f t="shared" si="77"/>
        <v>42979</v>
      </c>
      <c r="P573" s="5" t="str">
        <f t="shared" si="83"/>
        <v>0,35</v>
      </c>
      <c r="Q573" s="4" t="str">
        <f t="shared" si="84"/>
        <v>Cero Bolívares con 35/100</v>
      </c>
    </row>
    <row r="574" spans="1:17" x14ac:dyDescent="0.25">
      <c r="A574" s="1">
        <f t="shared" si="79"/>
        <v>573</v>
      </c>
      <c r="C574" s="8" t="s">
        <v>17</v>
      </c>
      <c r="D574" s="2">
        <v>42998</v>
      </c>
      <c r="E574" s="3">
        <f>35000/100000</f>
        <v>0.35</v>
      </c>
      <c r="F574" t="s">
        <v>230</v>
      </c>
      <c r="G574" t="s">
        <v>231</v>
      </c>
      <c r="H574" t="s">
        <v>232</v>
      </c>
      <c r="I574" s="6" t="s">
        <v>514</v>
      </c>
      <c r="J574" s="61" t="s">
        <v>22</v>
      </c>
      <c r="L574" s="5" t="str">
        <f t="shared" si="75"/>
        <v>00573</v>
      </c>
      <c r="M574" s="47" t="str">
        <f t="shared" si="76"/>
        <v>20 de septiembre de 2017</v>
      </c>
      <c r="N574" s="323">
        <f t="shared" si="78"/>
        <v>20</v>
      </c>
      <c r="O574" s="25">
        <f t="shared" si="77"/>
        <v>42979</v>
      </c>
      <c r="P574" s="5" t="str">
        <f t="shared" si="83"/>
        <v>0,35</v>
      </c>
      <c r="Q574" s="4" t="str">
        <f t="shared" si="84"/>
        <v>Cero Bolívares con 35/100</v>
      </c>
    </row>
    <row r="575" spans="1:17" x14ac:dyDescent="0.25">
      <c r="A575" s="1">
        <f t="shared" si="79"/>
        <v>574</v>
      </c>
      <c r="C575" s="8" t="s">
        <v>17</v>
      </c>
      <c r="D575" s="2">
        <v>42999</v>
      </c>
      <c r="E575" s="3">
        <f>35000/100000</f>
        <v>0.35</v>
      </c>
      <c r="F575" t="s">
        <v>18</v>
      </c>
      <c r="G575" t="s">
        <v>19</v>
      </c>
      <c r="H575" t="s">
        <v>20</v>
      </c>
      <c r="I575" s="6" t="s">
        <v>541</v>
      </c>
      <c r="J575" s="61" t="s">
        <v>227</v>
      </c>
      <c r="L575" s="5" t="str">
        <f t="shared" si="75"/>
        <v>00574</v>
      </c>
      <c r="M575" s="47" t="str">
        <f t="shared" si="76"/>
        <v>21 de septiembre de 2017</v>
      </c>
      <c r="N575" s="323">
        <f t="shared" si="78"/>
        <v>21</v>
      </c>
      <c r="O575" s="25">
        <f t="shared" si="77"/>
        <v>42979</v>
      </c>
      <c r="P575" s="5" t="str">
        <f t="shared" si="83"/>
        <v>0,35</v>
      </c>
      <c r="Q575" s="4" t="str">
        <f t="shared" si="84"/>
        <v>Cero Bolívares con 35/100</v>
      </c>
    </row>
    <row r="576" spans="1:17" x14ac:dyDescent="0.25">
      <c r="A576" s="1">
        <f t="shared" si="79"/>
        <v>575</v>
      </c>
      <c r="C576" s="8" t="s">
        <v>17</v>
      </c>
      <c r="D576" s="2">
        <v>42999</v>
      </c>
      <c r="E576" s="3">
        <f>10000/100000</f>
        <v>0.1</v>
      </c>
      <c r="F576" t="s">
        <v>303</v>
      </c>
      <c r="G576" s="18" t="s">
        <v>58</v>
      </c>
      <c r="H576" t="s">
        <v>304</v>
      </c>
      <c r="I576" s="6" t="s">
        <v>513</v>
      </c>
      <c r="J576" s="61" t="s">
        <v>22</v>
      </c>
      <c r="L576" s="5" t="str">
        <f t="shared" si="75"/>
        <v>00575</v>
      </c>
      <c r="M576" s="47" t="str">
        <f t="shared" si="76"/>
        <v>21 de septiembre de 2017</v>
      </c>
      <c r="N576" s="323">
        <f t="shared" si="78"/>
        <v>21</v>
      </c>
      <c r="O576" s="25">
        <f t="shared" si="77"/>
        <v>42979</v>
      </c>
      <c r="P576" s="5" t="str">
        <f t="shared" si="83"/>
        <v>0,10</v>
      </c>
      <c r="Q576" s="4" t="str">
        <f t="shared" si="84"/>
        <v>Cero Bolívares con 10/100</v>
      </c>
    </row>
    <row r="577" spans="1:17" x14ac:dyDescent="0.25">
      <c r="A577" s="1">
        <f t="shared" si="79"/>
        <v>576</v>
      </c>
      <c r="C577" s="8" t="s">
        <v>17</v>
      </c>
      <c r="D577" s="2">
        <v>42999</v>
      </c>
      <c r="E577" s="3">
        <f>35000/100000</f>
        <v>0.35</v>
      </c>
      <c r="F577" t="s">
        <v>197</v>
      </c>
      <c r="G577" t="s">
        <v>198</v>
      </c>
      <c r="H577" t="s">
        <v>199</v>
      </c>
      <c r="I577" s="6" t="s">
        <v>542</v>
      </c>
      <c r="J577" s="61" t="s">
        <v>22</v>
      </c>
      <c r="L577" s="5" t="str">
        <f t="shared" si="75"/>
        <v>00576</v>
      </c>
      <c r="M577" s="47" t="str">
        <f t="shared" si="76"/>
        <v>21 de septiembre de 2017</v>
      </c>
      <c r="N577" s="323">
        <f t="shared" si="78"/>
        <v>21</v>
      </c>
      <c r="O577" s="25">
        <f t="shared" si="77"/>
        <v>42979</v>
      </c>
      <c r="P577" s="5" t="str">
        <f t="shared" si="83"/>
        <v>0,35</v>
      </c>
      <c r="Q577" s="4" t="str">
        <f t="shared" si="84"/>
        <v>Cero Bolívares con 35/100</v>
      </c>
    </row>
    <row r="578" spans="1:17" x14ac:dyDescent="0.25">
      <c r="A578" s="1">
        <f t="shared" si="79"/>
        <v>577</v>
      </c>
      <c r="C578" s="8" t="s">
        <v>17</v>
      </c>
      <c r="D578" s="2">
        <v>42999</v>
      </c>
      <c r="E578" s="3">
        <f>25000/100000</f>
        <v>0.25</v>
      </c>
      <c r="F578" t="s">
        <v>342</v>
      </c>
      <c r="G578" t="s">
        <v>343</v>
      </c>
      <c r="H578" t="s">
        <v>344</v>
      </c>
      <c r="I578" s="6" t="s">
        <v>478</v>
      </c>
      <c r="J578" s="61" t="s">
        <v>22</v>
      </c>
      <c r="L578" s="5" t="str">
        <f t="shared" ref="L578:L641" si="85">IF(ISBLANK(A578),"",TEXT(A578,"00000"))</f>
        <v>00577</v>
      </c>
      <c r="M578" s="47" t="str">
        <f t="shared" ref="M578:M641" si="86">IF(ISBLANK(D578),"",TEXT(D578,"dd")&amp;" de "&amp;TEXT(D578,"mmmm")&amp;" de "&amp;TEXT(YEAR(D578),"0"))</f>
        <v>21 de septiembre de 2017</v>
      </c>
      <c r="N578" s="323">
        <f t="shared" si="78"/>
        <v>21</v>
      </c>
      <c r="O578" s="25">
        <f t="shared" ref="O578:O641" si="87">DATE(YEAR(D578),MONTH(D578),1)</f>
        <v>42979</v>
      </c>
      <c r="P578" s="5" t="str">
        <f t="shared" si="83"/>
        <v>0,25</v>
      </c>
      <c r="Q578" s="4" t="str">
        <f t="shared" si="84"/>
        <v>Cero Bolívares con 25/100</v>
      </c>
    </row>
    <row r="579" spans="1:17" x14ac:dyDescent="0.25">
      <c r="A579" s="1">
        <f t="shared" si="79"/>
        <v>578</v>
      </c>
      <c r="C579" s="8" t="s">
        <v>17</v>
      </c>
      <c r="D579" s="2">
        <v>42999</v>
      </c>
      <c r="E579" s="3">
        <f>30000/100000</f>
        <v>0.3</v>
      </c>
      <c r="F579" t="s">
        <v>342</v>
      </c>
      <c r="G579" t="s">
        <v>343</v>
      </c>
      <c r="H579" t="s">
        <v>344</v>
      </c>
      <c r="I579" s="6" t="s">
        <v>513</v>
      </c>
      <c r="J579" s="61" t="s">
        <v>22</v>
      </c>
      <c r="L579" s="5" t="str">
        <f t="shared" si="85"/>
        <v>00578</v>
      </c>
      <c r="M579" s="47" t="str">
        <f t="shared" si="86"/>
        <v>21 de septiembre de 2017</v>
      </c>
      <c r="N579" s="323">
        <f t="shared" ref="N579:N642" si="88">DAY(D579)</f>
        <v>21</v>
      </c>
      <c r="O579" s="25">
        <f t="shared" si="87"/>
        <v>42979</v>
      </c>
      <c r="P579" s="5" t="str">
        <f t="shared" ref="P579:P590" si="89">TEXT(E579,"#.##0,00")</f>
        <v>0,30</v>
      </c>
      <c r="Q579" s="4" t="str">
        <f t="shared" ref="Q579:Q590" si="90">CONVERTIRNUM(E579)</f>
        <v>Cero Bolívares con 30/100</v>
      </c>
    </row>
    <row r="580" spans="1:17" x14ac:dyDescent="0.25">
      <c r="A580" s="1">
        <f t="shared" ref="A580:A643" si="91">A579+1</f>
        <v>579</v>
      </c>
      <c r="C580" s="8" t="s">
        <v>17</v>
      </c>
      <c r="D580" s="2">
        <v>43000</v>
      </c>
      <c r="E580" s="3">
        <f>35000/100000</f>
        <v>0.35</v>
      </c>
      <c r="F580" t="s">
        <v>319</v>
      </c>
      <c r="G580" s="18" t="s">
        <v>58</v>
      </c>
      <c r="H580" t="s">
        <v>320</v>
      </c>
      <c r="I580" s="6" t="s">
        <v>528</v>
      </c>
      <c r="J580" s="61" t="s">
        <v>22</v>
      </c>
      <c r="L580" s="5" t="str">
        <f t="shared" si="85"/>
        <v>00579</v>
      </c>
      <c r="M580" s="47" t="str">
        <f t="shared" si="86"/>
        <v>22 de septiembre de 2017</v>
      </c>
      <c r="N580" s="323">
        <f t="shared" si="88"/>
        <v>22</v>
      </c>
      <c r="O580" s="25">
        <f t="shared" si="87"/>
        <v>42979</v>
      </c>
      <c r="P580" s="5" t="str">
        <f t="shared" si="89"/>
        <v>0,35</v>
      </c>
      <c r="Q580" s="4" t="str">
        <f t="shared" si="90"/>
        <v>Cero Bolívares con 35/100</v>
      </c>
    </row>
    <row r="581" spans="1:17" x14ac:dyDescent="0.25">
      <c r="A581" s="1">
        <f t="shared" si="91"/>
        <v>580</v>
      </c>
      <c r="C581" s="8" t="s">
        <v>17</v>
      </c>
      <c r="D581" s="2">
        <v>43001</v>
      </c>
      <c r="E581" s="3">
        <f>7*3000/100000</f>
        <v>0.21</v>
      </c>
      <c r="F581" t="s">
        <v>433</v>
      </c>
      <c r="G581" t="s">
        <v>434</v>
      </c>
      <c r="H581" t="s">
        <v>435</v>
      </c>
      <c r="I581" s="6" t="s">
        <v>543</v>
      </c>
      <c r="J581" s="61" t="s">
        <v>22</v>
      </c>
      <c r="L581" s="5" t="str">
        <f t="shared" si="85"/>
        <v>00580</v>
      </c>
      <c r="M581" s="47" t="str">
        <f t="shared" si="86"/>
        <v>23 de septiembre de 2017</v>
      </c>
      <c r="N581" s="323">
        <f t="shared" si="88"/>
        <v>23</v>
      </c>
      <c r="O581" s="25">
        <f t="shared" si="87"/>
        <v>42979</v>
      </c>
      <c r="P581" s="5" t="str">
        <f t="shared" si="89"/>
        <v>0,21</v>
      </c>
      <c r="Q581" s="4" t="str">
        <f t="shared" si="90"/>
        <v>Cero Bolívares con 21/100</v>
      </c>
    </row>
    <row r="582" spans="1:17" x14ac:dyDescent="0.25">
      <c r="A582" s="1">
        <f t="shared" si="91"/>
        <v>581</v>
      </c>
      <c r="C582" s="8" t="s">
        <v>17</v>
      </c>
      <c r="D582" s="2">
        <v>43003</v>
      </c>
      <c r="E582" s="3">
        <f>40000/100000</f>
        <v>0.4</v>
      </c>
      <c r="F582" s="20" t="s">
        <v>57</v>
      </c>
      <c r="G582" s="18" t="s">
        <v>58</v>
      </c>
      <c r="H582" s="21" t="s">
        <v>59</v>
      </c>
      <c r="I582" s="6" t="s">
        <v>528</v>
      </c>
      <c r="J582" s="61" t="s">
        <v>22</v>
      </c>
      <c r="K582" s="22"/>
      <c r="L582" s="5" t="str">
        <f t="shared" si="85"/>
        <v>00581</v>
      </c>
      <c r="M582" s="47" t="str">
        <f t="shared" si="86"/>
        <v>25 de septiembre de 2017</v>
      </c>
      <c r="N582" s="323">
        <f t="shared" si="88"/>
        <v>25</v>
      </c>
      <c r="O582" s="25">
        <f t="shared" si="87"/>
        <v>42979</v>
      </c>
      <c r="P582" s="5" t="str">
        <f t="shared" si="89"/>
        <v>0,40</v>
      </c>
      <c r="Q582" s="4" t="str">
        <f t="shared" si="90"/>
        <v>Cero Bolívares con 40/100</v>
      </c>
    </row>
    <row r="583" spans="1:17" x14ac:dyDescent="0.25">
      <c r="A583" s="1">
        <f t="shared" si="91"/>
        <v>582</v>
      </c>
      <c r="C583" s="8" t="s">
        <v>17</v>
      </c>
      <c r="D583" s="2">
        <v>43003</v>
      </c>
      <c r="E583" s="3">
        <f t="shared" ref="E583:E589" si="92">35000/100000</f>
        <v>0.35</v>
      </c>
      <c r="F583" t="s">
        <v>177</v>
      </c>
      <c r="G583" s="18" t="s">
        <v>58</v>
      </c>
      <c r="H583" t="s">
        <v>179</v>
      </c>
      <c r="I583" s="6" t="s">
        <v>514</v>
      </c>
      <c r="J583" s="61" t="s">
        <v>22</v>
      </c>
      <c r="L583" s="5" t="str">
        <f t="shared" si="85"/>
        <v>00582</v>
      </c>
      <c r="M583" s="47" t="str">
        <f t="shared" si="86"/>
        <v>25 de septiembre de 2017</v>
      </c>
      <c r="N583" s="323">
        <f t="shared" si="88"/>
        <v>25</v>
      </c>
      <c r="O583" s="25">
        <f t="shared" si="87"/>
        <v>42979</v>
      </c>
      <c r="P583" s="5" t="str">
        <f t="shared" si="89"/>
        <v>0,35</v>
      </c>
      <c r="Q583" s="4" t="str">
        <f t="shared" si="90"/>
        <v>Cero Bolívares con 35/100</v>
      </c>
    </row>
    <row r="584" spans="1:17" x14ac:dyDescent="0.25">
      <c r="A584" s="1">
        <f t="shared" si="91"/>
        <v>583</v>
      </c>
      <c r="C584" s="8" t="s">
        <v>17</v>
      </c>
      <c r="D584" s="2">
        <v>43003</v>
      </c>
      <c r="E584" s="3">
        <f t="shared" si="92"/>
        <v>0.35</v>
      </c>
      <c r="F584" t="s">
        <v>362</v>
      </c>
      <c r="G584" t="s">
        <v>363</v>
      </c>
      <c r="H584" t="s">
        <v>364</v>
      </c>
      <c r="I584" s="6" t="s">
        <v>514</v>
      </c>
      <c r="J584" s="61" t="s">
        <v>22</v>
      </c>
      <c r="L584" s="5" t="str">
        <f t="shared" si="85"/>
        <v>00583</v>
      </c>
      <c r="M584" s="47" t="str">
        <f t="shared" si="86"/>
        <v>25 de septiembre de 2017</v>
      </c>
      <c r="N584" s="323">
        <f t="shared" si="88"/>
        <v>25</v>
      </c>
      <c r="O584" s="25">
        <f t="shared" si="87"/>
        <v>42979</v>
      </c>
      <c r="P584" s="5" t="str">
        <f t="shared" si="89"/>
        <v>0,35</v>
      </c>
      <c r="Q584" s="4" t="str">
        <f t="shared" si="90"/>
        <v>Cero Bolívares con 35/100</v>
      </c>
    </row>
    <row r="585" spans="1:17" x14ac:dyDescent="0.25">
      <c r="A585" s="1">
        <f t="shared" si="91"/>
        <v>584</v>
      </c>
      <c r="C585" s="8" t="s">
        <v>17</v>
      </c>
      <c r="D585" s="2">
        <v>43004</v>
      </c>
      <c r="E585" s="3">
        <f t="shared" si="92"/>
        <v>0.35</v>
      </c>
      <c r="F585" t="s">
        <v>280</v>
      </c>
      <c r="G585" t="s">
        <v>281</v>
      </c>
      <c r="H585" t="s">
        <v>282</v>
      </c>
      <c r="I585" s="6" t="s">
        <v>528</v>
      </c>
      <c r="J585" s="61" t="s">
        <v>22</v>
      </c>
      <c r="L585" s="5" t="str">
        <f t="shared" si="85"/>
        <v>00584</v>
      </c>
      <c r="M585" s="47" t="str">
        <f t="shared" si="86"/>
        <v>26 de septiembre de 2017</v>
      </c>
      <c r="N585" s="323">
        <f t="shared" si="88"/>
        <v>26</v>
      </c>
      <c r="O585" s="25">
        <f t="shared" si="87"/>
        <v>42979</v>
      </c>
      <c r="P585" s="5" t="str">
        <f t="shared" si="89"/>
        <v>0,35</v>
      </c>
      <c r="Q585" s="4" t="str">
        <f t="shared" si="90"/>
        <v>Cero Bolívares con 35/100</v>
      </c>
    </row>
    <row r="586" spans="1:17" x14ac:dyDescent="0.25">
      <c r="A586" s="1">
        <f t="shared" si="91"/>
        <v>585</v>
      </c>
      <c r="C586" s="8" t="s">
        <v>17</v>
      </c>
      <c r="D586" s="2">
        <v>43007</v>
      </c>
      <c r="E586" s="3">
        <f t="shared" si="92"/>
        <v>0.35</v>
      </c>
      <c r="F586" t="s">
        <v>62</v>
      </c>
      <c r="G586" t="s">
        <v>63</v>
      </c>
      <c r="H586" t="s">
        <v>64</v>
      </c>
      <c r="I586" s="6" t="s">
        <v>528</v>
      </c>
      <c r="J586" s="61" t="s">
        <v>22</v>
      </c>
      <c r="L586" s="5" t="str">
        <f t="shared" si="85"/>
        <v>00585</v>
      </c>
      <c r="M586" s="47" t="str">
        <f t="shared" si="86"/>
        <v>29 de septiembre de 2017</v>
      </c>
      <c r="N586" s="323">
        <f t="shared" si="88"/>
        <v>29</v>
      </c>
      <c r="O586" s="25">
        <f t="shared" si="87"/>
        <v>42979</v>
      </c>
      <c r="P586" s="5" t="str">
        <f t="shared" si="89"/>
        <v>0,35</v>
      </c>
      <c r="Q586" s="4" t="str">
        <f t="shared" si="90"/>
        <v>Cero Bolívares con 35/100</v>
      </c>
    </row>
    <row r="587" spans="1:17" x14ac:dyDescent="0.25">
      <c r="A587" s="1">
        <f t="shared" si="91"/>
        <v>586</v>
      </c>
      <c r="C587" s="8" t="s">
        <v>17</v>
      </c>
      <c r="D587" s="2">
        <v>43010</v>
      </c>
      <c r="E587" s="3">
        <f t="shared" si="92"/>
        <v>0.35</v>
      </c>
      <c r="F587" t="s">
        <v>407</v>
      </c>
      <c r="G587" t="s">
        <v>408</v>
      </c>
      <c r="H587" t="s">
        <v>409</v>
      </c>
      <c r="I587" s="6" t="s">
        <v>528</v>
      </c>
      <c r="J587" s="61" t="s">
        <v>22</v>
      </c>
      <c r="L587" s="5" t="str">
        <f t="shared" si="85"/>
        <v>00586</v>
      </c>
      <c r="M587" s="47" t="str">
        <f t="shared" si="86"/>
        <v>02 de octubre de 2017</v>
      </c>
      <c r="N587" s="323">
        <f t="shared" si="88"/>
        <v>2</v>
      </c>
      <c r="O587" s="25">
        <f t="shared" si="87"/>
        <v>43009</v>
      </c>
      <c r="P587" s="5" t="str">
        <f t="shared" si="89"/>
        <v>0,35</v>
      </c>
      <c r="Q587" s="4" t="str">
        <f t="shared" si="90"/>
        <v>Cero Bolívares con 35/100</v>
      </c>
    </row>
    <row r="588" spans="1:17" x14ac:dyDescent="0.25">
      <c r="A588" s="1">
        <f t="shared" si="91"/>
        <v>587</v>
      </c>
      <c r="C588" s="8" t="s">
        <v>17</v>
      </c>
      <c r="D588" s="2">
        <v>43010</v>
      </c>
      <c r="E588" s="3">
        <f t="shared" si="92"/>
        <v>0.35</v>
      </c>
      <c r="F588" t="s">
        <v>148</v>
      </c>
      <c r="G588" t="s">
        <v>149</v>
      </c>
      <c r="H588" t="s">
        <v>150</v>
      </c>
      <c r="I588" s="6" t="s">
        <v>544</v>
      </c>
      <c r="J588" s="61" t="s">
        <v>22</v>
      </c>
      <c r="L588" s="5" t="str">
        <f t="shared" si="85"/>
        <v>00587</v>
      </c>
      <c r="M588" s="47" t="str">
        <f t="shared" si="86"/>
        <v>02 de octubre de 2017</v>
      </c>
      <c r="N588" s="323">
        <f t="shared" si="88"/>
        <v>2</v>
      </c>
      <c r="O588" s="25">
        <f t="shared" si="87"/>
        <v>43009</v>
      </c>
      <c r="P588" s="5" t="str">
        <f t="shared" si="89"/>
        <v>0,35</v>
      </c>
      <c r="Q588" s="4" t="str">
        <f t="shared" si="90"/>
        <v>Cero Bolívares con 35/100</v>
      </c>
    </row>
    <row r="589" spans="1:17" x14ac:dyDescent="0.25">
      <c r="A589" s="1">
        <f t="shared" si="91"/>
        <v>588</v>
      </c>
      <c r="C589" s="8" t="s">
        <v>17</v>
      </c>
      <c r="D589" s="2">
        <v>43011</v>
      </c>
      <c r="E589" s="3">
        <f t="shared" si="92"/>
        <v>0.35</v>
      </c>
      <c r="F589" t="s">
        <v>44</v>
      </c>
      <c r="G589" t="s">
        <v>45</v>
      </c>
      <c r="H589" t="s">
        <v>46</v>
      </c>
      <c r="I589" s="6" t="s">
        <v>545</v>
      </c>
      <c r="J589" s="61" t="s">
        <v>22</v>
      </c>
      <c r="L589" s="5" t="str">
        <f t="shared" si="85"/>
        <v>00588</v>
      </c>
      <c r="M589" s="47" t="str">
        <f t="shared" si="86"/>
        <v>03 de octubre de 2017</v>
      </c>
      <c r="N589" s="323">
        <f t="shared" si="88"/>
        <v>3</v>
      </c>
      <c r="O589" s="25">
        <f t="shared" si="87"/>
        <v>43009</v>
      </c>
      <c r="P589" s="5" t="str">
        <f t="shared" si="89"/>
        <v>0,35</v>
      </c>
      <c r="Q589" s="4" t="str">
        <f t="shared" si="90"/>
        <v>Cero Bolívares con 35/100</v>
      </c>
    </row>
    <row r="590" spans="1:17" x14ac:dyDescent="0.25">
      <c r="A590" s="1">
        <f t="shared" si="91"/>
        <v>589</v>
      </c>
      <c r="C590" s="8" t="s">
        <v>17</v>
      </c>
      <c r="D590" s="2">
        <v>43011</v>
      </c>
      <c r="E590" s="3">
        <f>22000/100000</f>
        <v>0.22</v>
      </c>
      <c r="F590" t="s">
        <v>337</v>
      </c>
      <c r="G590" t="s">
        <v>338</v>
      </c>
      <c r="H590" t="s">
        <v>339</v>
      </c>
      <c r="I590" s="6" t="s">
        <v>499</v>
      </c>
      <c r="J590" s="61" t="s">
        <v>22</v>
      </c>
      <c r="L590" s="5" t="str">
        <f t="shared" si="85"/>
        <v>00589</v>
      </c>
      <c r="M590" s="47" t="str">
        <f t="shared" si="86"/>
        <v>03 de octubre de 2017</v>
      </c>
      <c r="N590" s="323">
        <f t="shared" si="88"/>
        <v>3</v>
      </c>
      <c r="O590" s="25">
        <f t="shared" si="87"/>
        <v>43009</v>
      </c>
      <c r="P590" s="5" t="str">
        <f t="shared" si="89"/>
        <v>0,22</v>
      </c>
      <c r="Q590" s="4" t="str">
        <f t="shared" si="90"/>
        <v>Cero Bolívares con 22/100</v>
      </c>
    </row>
    <row r="591" spans="1:17" x14ac:dyDescent="0.25">
      <c r="A591" s="1">
        <f t="shared" si="91"/>
        <v>590</v>
      </c>
      <c r="C591" s="8" t="s">
        <v>17</v>
      </c>
      <c r="D591" s="2">
        <v>43011</v>
      </c>
      <c r="E591" s="3">
        <f>35000/100000</f>
        <v>0.35</v>
      </c>
      <c r="F591" t="s">
        <v>337</v>
      </c>
      <c r="G591" t="s">
        <v>338</v>
      </c>
      <c r="H591" t="s">
        <v>339</v>
      </c>
      <c r="I591" s="6" t="s">
        <v>514</v>
      </c>
      <c r="J591" s="61" t="s">
        <v>22</v>
      </c>
      <c r="L591" s="5" t="str">
        <f t="shared" si="85"/>
        <v>00590</v>
      </c>
      <c r="M591" s="47" t="str">
        <f t="shared" si="86"/>
        <v>03 de octubre de 2017</v>
      </c>
      <c r="N591" s="323">
        <f t="shared" si="88"/>
        <v>3</v>
      </c>
      <c r="O591" s="25">
        <f t="shared" si="87"/>
        <v>43009</v>
      </c>
      <c r="P591" s="5" t="str">
        <f t="shared" ref="P591:P601" si="93">TEXT(E591,"#.##0,00")</f>
        <v>0,35</v>
      </c>
      <c r="Q591" s="4" t="str">
        <f t="shared" ref="Q591:Q601" si="94">CONVERTIRNUM(E591)</f>
        <v>Cero Bolívares con 35/100</v>
      </c>
    </row>
    <row r="592" spans="1:17" x14ac:dyDescent="0.25">
      <c r="A592" s="1">
        <f t="shared" si="91"/>
        <v>591</v>
      </c>
      <c r="C592" s="8" t="s">
        <v>17</v>
      </c>
      <c r="D592" s="2">
        <v>43011</v>
      </c>
      <c r="E592" s="3">
        <f>20000/100000</f>
        <v>0.2</v>
      </c>
      <c r="F592" t="s">
        <v>118</v>
      </c>
      <c r="G592" t="s">
        <v>119</v>
      </c>
      <c r="H592" t="s">
        <v>120</v>
      </c>
      <c r="I592" s="6" t="s">
        <v>534</v>
      </c>
      <c r="J592" s="61" t="s">
        <v>22</v>
      </c>
      <c r="L592" s="5" t="str">
        <f t="shared" si="85"/>
        <v>00591</v>
      </c>
      <c r="M592" s="47" t="str">
        <f t="shared" si="86"/>
        <v>03 de octubre de 2017</v>
      </c>
      <c r="N592" s="323">
        <f t="shared" si="88"/>
        <v>3</v>
      </c>
      <c r="O592" s="25">
        <f t="shared" si="87"/>
        <v>43009</v>
      </c>
      <c r="P592" s="5" t="str">
        <f t="shared" si="93"/>
        <v>0,20</v>
      </c>
      <c r="Q592" s="4" t="str">
        <f t="shared" si="94"/>
        <v>Cero Bolívares con 20/100</v>
      </c>
    </row>
    <row r="593" spans="1:17" x14ac:dyDescent="0.25">
      <c r="A593" s="1">
        <f t="shared" si="91"/>
        <v>592</v>
      </c>
      <c r="C593" s="8" t="s">
        <v>17</v>
      </c>
      <c r="D593" s="2">
        <v>43011</v>
      </c>
      <c r="E593" s="3">
        <f>70000/100000</f>
        <v>0.7</v>
      </c>
      <c r="F593" t="s">
        <v>248</v>
      </c>
      <c r="G593" t="s">
        <v>249</v>
      </c>
      <c r="H593" t="s">
        <v>250</v>
      </c>
      <c r="I593" s="6" t="s">
        <v>535</v>
      </c>
      <c r="J593" s="61" t="s">
        <v>22</v>
      </c>
      <c r="L593" s="5" t="str">
        <f t="shared" si="85"/>
        <v>00592</v>
      </c>
      <c r="M593" s="47" t="str">
        <f t="shared" si="86"/>
        <v>03 de octubre de 2017</v>
      </c>
      <c r="N593" s="323">
        <f t="shared" si="88"/>
        <v>3</v>
      </c>
      <c r="O593" s="25">
        <f t="shared" si="87"/>
        <v>43009</v>
      </c>
      <c r="P593" s="5" t="str">
        <f t="shared" si="93"/>
        <v>0,70</v>
      </c>
      <c r="Q593" s="4" t="str">
        <f t="shared" si="94"/>
        <v>Cero Bolívares con 70/100</v>
      </c>
    </row>
    <row r="594" spans="1:17" x14ac:dyDescent="0.25">
      <c r="A594" s="1">
        <f t="shared" si="91"/>
        <v>593</v>
      </c>
      <c r="C594" s="8" t="s">
        <v>17</v>
      </c>
      <c r="D594" s="2">
        <v>43012</v>
      </c>
      <c r="E594" s="3">
        <f>15000/100000</f>
        <v>0.15</v>
      </c>
      <c r="F594" t="s">
        <v>48</v>
      </c>
      <c r="G594" t="s">
        <v>49</v>
      </c>
      <c r="H594" t="s">
        <v>50</v>
      </c>
      <c r="I594" s="6" t="s">
        <v>546</v>
      </c>
      <c r="J594" s="61" t="s">
        <v>22</v>
      </c>
      <c r="L594" s="5" t="str">
        <f t="shared" si="85"/>
        <v>00593</v>
      </c>
      <c r="M594" s="47" t="str">
        <f t="shared" si="86"/>
        <v>04 de octubre de 2017</v>
      </c>
      <c r="N594" s="323">
        <f t="shared" si="88"/>
        <v>4</v>
      </c>
      <c r="O594" s="25">
        <f t="shared" si="87"/>
        <v>43009</v>
      </c>
      <c r="P594" s="5" t="str">
        <f t="shared" si="93"/>
        <v>0,15</v>
      </c>
      <c r="Q594" s="4" t="str">
        <f t="shared" si="94"/>
        <v>Cero Bolívares con 15/100</v>
      </c>
    </row>
    <row r="595" spans="1:17" x14ac:dyDescent="0.25">
      <c r="A595" s="1">
        <f t="shared" si="91"/>
        <v>594</v>
      </c>
      <c r="C595" s="8" t="s">
        <v>17</v>
      </c>
      <c r="D595" s="2">
        <v>43012</v>
      </c>
      <c r="E595" s="3">
        <f>35000/100000</f>
        <v>0.35</v>
      </c>
      <c r="F595" t="s">
        <v>80</v>
      </c>
      <c r="G595" t="s">
        <v>81</v>
      </c>
      <c r="H595" t="s">
        <v>82</v>
      </c>
      <c r="I595" s="6" t="s">
        <v>545</v>
      </c>
      <c r="J595" s="61" t="s">
        <v>22</v>
      </c>
      <c r="L595" s="5" t="str">
        <f t="shared" si="85"/>
        <v>00594</v>
      </c>
      <c r="M595" s="47" t="str">
        <f t="shared" si="86"/>
        <v>04 de octubre de 2017</v>
      </c>
      <c r="N595" s="323">
        <f t="shared" si="88"/>
        <v>4</v>
      </c>
      <c r="O595" s="25">
        <f t="shared" si="87"/>
        <v>43009</v>
      </c>
      <c r="P595" s="5" t="str">
        <f t="shared" si="93"/>
        <v>0,35</v>
      </c>
      <c r="Q595" s="4" t="str">
        <f t="shared" si="94"/>
        <v>Cero Bolívares con 35/100</v>
      </c>
    </row>
    <row r="596" spans="1:17" x14ac:dyDescent="0.25">
      <c r="A596" s="1">
        <f t="shared" si="91"/>
        <v>595</v>
      </c>
      <c r="C596" s="8" t="s">
        <v>17</v>
      </c>
      <c r="D596" s="2">
        <v>43012</v>
      </c>
      <c r="E596" s="3">
        <f>70000/100000</f>
        <v>0.7</v>
      </c>
      <c r="F596" t="s">
        <v>264</v>
      </c>
      <c r="G596" t="s">
        <v>265</v>
      </c>
      <c r="H596" t="s">
        <v>266</v>
      </c>
      <c r="I596" s="6" t="s">
        <v>529</v>
      </c>
      <c r="J596" s="61" t="s">
        <v>22</v>
      </c>
      <c r="L596" s="5" t="str">
        <f t="shared" si="85"/>
        <v>00595</v>
      </c>
      <c r="M596" s="47" t="str">
        <f t="shared" si="86"/>
        <v>04 de octubre de 2017</v>
      </c>
      <c r="N596" s="323">
        <f t="shared" si="88"/>
        <v>4</v>
      </c>
      <c r="O596" s="25">
        <f t="shared" si="87"/>
        <v>43009</v>
      </c>
      <c r="P596" s="5" t="str">
        <f t="shared" si="93"/>
        <v>0,70</v>
      </c>
      <c r="Q596" s="4" t="str">
        <f t="shared" si="94"/>
        <v>Cero Bolívares con 70/100</v>
      </c>
    </row>
    <row r="597" spans="1:17" x14ac:dyDescent="0.25">
      <c r="A597" s="1">
        <f t="shared" si="91"/>
        <v>596</v>
      </c>
      <c r="C597" s="8" t="s">
        <v>17</v>
      </c>
      <c r="D597" s="2">
        <v>43012</v>
      </c>
      <c r="E597" s="3">
        <f>35000/100000</f>
        <v>0.35</v>
      </c>
      <c r="F597" t="s">
        <v>70</v>
      </c>
      <c r="G597" t="s">
        <v>71</v>
      </c>
      <c r="H597" t="s">
        <v>72</v>
      </c>
      <c r="I597" s="6" t="s">
        <v>545</v>
      </c>
      <c r="J597" s="61" t="s">
        <v>22</v>
      </c>
      <c r="L597" s="5" t="str">
        <f t="shared" si="85"/>
        <v>00596</v>
      </c>
      <c r="M597" s="47" t="str">
        <f t="shared" si="86"/>
        <v>04 de octubre de 2017</v>
      </c>
      <c r="N597" s="323">
        <f t="shared" si="88"/>
        <v>4</v>
      </c>
      <c r="O597" s="25">
        <f t="shared" si="87"/>
        <v>43009</v>
      </c>
      <c r="P597" s="5" t="str">
        <f t="shared" si="93"/>
        <v>0,35</v>
      </c>
      <c r="Q597" s="4" t="str">
        <f t="shared" si="94"/>
        <v>Cero Bolívares con 35/100</v>
      </c>
    </row>
    <row r="598" spans="1:17" x14ac:dyDescent="0.25">
      <c r="A598" s="1">
        <f t="shared" si="91"/>
        <v>597</v>
      </c>
      <c r="C598" s="8" t="s">
        <v>17</v>
      </c>
      <c r="D598" s="2">
        <v>43012</v>
      </c>
      <c r="E598" s="3">
        <f>25000/100000</f>
        <v>0.25</v>
      </c>
      <c r="F598" t="s">
        <v>84</v>
      </c>
      <c r="G598" t="s">
        <v>85</v>
      </c>
      <c r="H598" t="s">
        <v>86</v>
      </c>
      <c r="I598" s="6" t="s">
        <v>546</v>
      </c>
      <c r="J598" s="61" t="s">
        <v>22</v>
      </c>
      <c r="L598" s="5" t="str">
        <f t="shared" si="85"/>
        <v>00597</v>
      </c>
      <c r="M598" s="47" t="str">
        <f t="shared" si="86"/>
        <v>04 de octubre de 2017</v>
      </c>
      <c r="N598" s="323">
        <f t="shared" si="88"/>
        <v>4</v>
      </c>
      <c r="O598" s="25">
        <f t="shared" si="87"/>
        <v>43009</v>
      </c>
      <c r="P598" s="5" t="str">
        <f t="shared" si="93"/>
        <v>0,25</v>
      </c>
      <c r="Q598" s="4" t="str">
        <f t="shared" si="94"/>
        <v>Cero Bolívares con 25/100</v>
      </c>
    </row>
    <row r="599" spans="1:17" x14ac:dyDescent="0.25">
      <c r="A599" s="1">
        <f t="shared" si="91"/>
        <v>598</v>
      </c>
      <c r="C599" s="8" t="s">
        <v>17</v>
      </c>
      <c r="D599" s="2">
        <v>43013</v>
      </c>
      <c r="E599" s="3">
        <f>35000/100000</f>
        <v>0.35</v>
      </c>
      <c r="F599" t="s">
        <v>18</v>
      </c>
      <c r="G599" t="s">
        <v>19</v>
      </c>
      <c r="H599" t="s">
        <v>20</v>
      </c>
      <c r="I599" s="6" t="s">
        <v>547</v>
      </c>
      <c r="J599" s="61" t="s">
        <v>22</v>
      </c>
      <c r="L599" s="5" t="str">
        <f t="shared" si="85"/>
        <v>00598</v>
      </c>
      <c r="M599" s="47" t="str">
        <f t="shared" si="86"/>
        <v>05 de octubre de 2017</v>
      </c>
      <c r="N599" s="323">
        <f t="shared" si="88"/>
        <v>5</v>
      </c>
      <c r="O599" s="25">
        <f t="shared" si="87"/>
        <v>43009</v>
      </c>
      <c r="P599" s="5" t="str">
        <f t="shared" si="93"/>
        <v>0,35</v>
      </c>
      <c r="Q599" s="4" t="str">
        <f t="shared" si="94"/>
        <v>Cero Bolívares con 35/100</v>
      </c>
    </row>
    <row r="600" spans="1:17" x14ac:dyDescent="0.25">
      <c r="A600" s="178">
        <f t="shared" si="91"/>
        <v>599</v>
      </c>
      <c r="C600" s="8" t="s">
        <v>17</v>
      </c>
      <c r="D600" s="2">
        <v>43013</v>
      </c>
      <c r="E600" s="3">
        <f>35000/100000</f>
        <v>0.35</v>
      </c>
      <c r="F600" t="s">
        <v>438</v>
      </c>
      <c r="G600" t="s">
        <v>439</v>
      </c>
      <c r="H600" t="s">
        <v>440</v>
      </c>
      <c r="I600" s="6" t="s">
        <v>548</v>
      </c>
      <c r="J600" s="61" t="s">
        <v>22</v>
      </c>
      <c r="L600" s="5" t="str">
        <f t="shared" si="85"/>
        <v>00599</v>
      </c>
      <c r="M600" s="47" t="str">
        <f t="shared" si="86"/>
        <v>05 de octubre de 2017</v>
      </c>
      <c r="N600" s="323">
        <f t="shared" si="88"/>
        <v>5</v>
      </c>
      <c r="O600" s="25">
        <f t="shared" si="87"/>
        <v>43009</v>
      </c>
      <c r="P600" s="5" t="str">
        <f t="shared" si="93"/>
        <v>0,35</v>
      </c>
      <c r="Q600" s="4" t="str">
        <f t="shared" si="94"/>
        <v>Cero Bolívares con 35/100</v>
      </c>
    </row>
    <row r="601" spans="1:17" x14ac:dyDescent="0.25">
      <c r="A601" s="1">
        <f t="shared" si="91"/>
        <v>600</v>
      </c>
      <c r="C601" s="8" t="s">
        <v>17</v>
      </c>
      <c r="D601" s="2">
        <v>42998</v>
      </c>
      <c r="E601" s="3">
        <f>10000/100000</f>
        <v>0.1</v>
      </c>
      <c r="F601" t="s">
        <v>144</v>
      </c>
      <c r="G601" t="s">
        <v>145</v>
      </c>
      <c r="H601" t="s">
        <v>146</v>
      </c>
      <c r="I601" s="6" t="s">
        <v>534</v>
      </c>
      <c r="J601" s="61" t="s">
        <v>22</v>
      </c>
      <c r="L601" s="5" t="str">
        <f t="shared" si="85"/>
        <v>00600</v>
      </c>
      <c r="M601" s="47" t="str">
        <f t="shared" si="86"/>
        <v>20 de septiembre de 2017</v>
      </c>
      <c r="N601" s="323">
        <f t="shared" si="88"/>
        <v>20</v>
      </c>
      <c r="O601" s="25">
        <f t="shared" si="87"/>
        <v>42979</v>
      </c>
      <c r="P601" s="5" t="str">
        <f t="shared" si="93"/>
        <v>0,10</v>
      </c>
      <c r="Q601" s="4" t="str">
        <f t="shared" si="94"/>
        <v>Cero Bolívares con 10/100</v>
      </c>
    </row>
    <row r="602" spans="1:17" x14ac:dyDescent="0.25">
      <c r="A602" s="1">
        <f t="shared" si="91"/>
        <v>601</v>
      </c>
      <c r="C602" s="8" t="s">
        <v>17</v>
      </c>
      <c r="D602" s="2">
        <v>43013</v>
      </c>
      <c r="E602" s="3">
        <f>10000/100000</f>
        <v>0.1</v>
      </c>
      <c r="F602" t="s">
        <v>144</v>
      </c>
      <c r="G602" t="s">
        <v>145</v>
      </c>
      <c r="H602" t="s">
        <v>146</v>
      </c>
      <c r="I602" s="6" t="s">
        <v>546</v>
      </c>
      <c r="J602" s="61" t="s">
        <v>22</v>
      </c>
      <c r="L602" s="5" t="str">
        <f t="shared" si="85"/>
        <v>00601</v>
      </c>
      <c r="M602" s="47" t="str">
        <f t="shared" si="86"/>
        <v>05 de octubre de 2017</v>
      </c>
      <c r="N602" s="323">
        <f t="shared" si="88"/>
        <v>5</v>
      </c>
      <c r="O602" s="25">
        <f t="shared" si="87"/>
        <v>43009</v>
      </c>
      <c r="P602" s="5" t="str">
        <f t="shared" ref="P602:P619" si="95">TEXT(E602,"#.##0,00")</f>
        <v>0,10</v>
      </c>
      <c r="Q602" s="4" t="str">
        <f t="shared" ref="Q602:Q619" si="96">CONVERTIRNUM(E602)</f>
        <v>Cero Bolívares con 10/100</v>
      </c>
    </row>
    <row r="603" spans="1:17" x14ac:dyDescent="0.25">
      <c r="A603" s="1">
        <f t="shared" si="91"/>
        <v>602</v>
      </c>
      <c r="C603" s="8" t="s">
        <v>17</v>
      </c>
      <c r="D603" s="2">
        <v>43014</v>
      </c>
      <c r="E603" s="3">
        <f>10000/100000</f>
        <v>0.1</v>
      </c>
      <c r="F603" t="s">
        <v>417</v>
      </c>
      <c r="G603" t="s">
        <v>418</v>
      </c>
      <c r="H603" t="s">
        <v>419</v>
      </c>
      <c r="I603" s="6" t="s">
        <v>534</v>
      </c>
      <c r="J603" s="61" t="s">
        <v>22</v>
      </c>
      <c r="L603" s="5" t="str">
        <f t="shared" si="85"/>
        <v>00602</v>
      </c>
      <c r="M603" s="47" t="str">
        <f t="shared" si="86"/>
        <v>06 de octubre de 2017</v>
      </c>
      <c r="N603" s="323">
        <f t="shared" si="88"/>
        <v>6</v>
      </c>
      <c r="O603" s="25">
        <f t="shared" si="87"/>
        <v>43009</v>
      </c>
      <c r="P603" s="5" t="str">
        <f t="shared" si="95"/>
        <v>0,10</v>
      </c>
      <c r="Q603" s="4" t="str">
        <f t="shared" si="96"/>
        <v>Cero Bolívares con 10/100</v>
      </c>
    </row>
    <row r="604" spans="1:17" x14ac:dyDescent="0.25">
      <c r="A604" s="1">
        <f t="shared" si="91"/>
        <v>603</v>
      </c>
      <c r="C604" s="8" t="s">
        <v>17</v>
      </c>
      <c r="D604" s="2">
        <v>43014</v>
      </c>
      <c r="E604" s="3">
        <f>35000/100000</f>
        <v>0.35</v>
      </c>
      <c r="F604" t="s">
        <v>126</v>
      </c>
      <c r="G604" t="s">
        <v>127</v>
      </c>
      <c r="H604" t="s">
        <v>128</v>
      </c>
      <c r="I604" s="6" t="s">
        <v>528</v>
      </c>
      <c r="J604" s="61" t="s">
        <v>22</v>
      </c>
      <c r="L604" s="5" t="str">
        <f t="shared" si="85"/>
        <v>00603</v>
      </c>
      <c r="M604" s="47" t="str">
        <f t="shared" si="86"/>
        <v>06 de octubre de 2017</v>
      </c>
      <c r="N604" s="323">
        <f t="shared" si="88"/>
        <v>6</v>
      </c>
      <c r="O604" s="25">
        <f t="shared" si="87"/>
        <v>43009</v>
      </c>
      <c r="P604" s="5" t="str">
        <f t="shared" si="95"/>
        <v>0,35</v>
      </c>
      <c r="Q604" s="4" t="str">
        <f t="shared" si="96"/>
        <v>Cero Bolívares con 35/100</v>
      </c>
    </row>
    <row r="605" spans="1:17" x14ac:dyDescent="0.25">
      <c r="A605" s="1">
        <f t="shared" si="91"/>
        <v>604</v>
      </c>
      <c r="C605" s="8" t="s">
        <v>17</v>
      </c>
      <c r="D605" s="2">
        <v>43014</v>
      </c>
      <c r="E605" s="3">
        <f>54000/100000</f>
        <v>0.54</v>
      </c>
      <c r="F605" s="23" t="s">
        <v>422</v>
      </c>
      <c r="G605" s="18" t="s">
        <v>58</v>
      </c>
      <c r="H605" t="s">
        <v>423</v>
      </c>
      <c r="I605" s="6" t="s">
        <v>545</v>
      </c>
      <c r="J605" s="61" t="s">
        <v>22</v>
      </c>
      <c r="L605" s="5" t="str">
        <f t="shared" si="85"/>
        <v>00604</v>
      </c>
      <c r="M605" s="47" t="str">
        <f t="shared" si="86"/>
        <v>06 de octubre de 2017</v>
      </c>
      <c r="N605" s="323">
        <f t="shared" si="88"/>
        <v>6</v>
      </c>
      <c r="O605" s="25">
        <f t="shared" si="87"/>
        <v>43009</v>
      </c>
      <c r="P605" s="5" t="str">
        <f t="shared" si="95"/>
        <v>0,54</v>
      </c>
      <c r="Q605" s="4" t="str">
        <f t="shared" si="96"/>
        <v>Cero Bolívares con 54/100</v>
      </c>
    </row>
    <row r="606" spans="1:17" x14ac:dyDescent="0.25">
      <c r="A606" s="178">
        <f t="shared" si="91"/>
        <v>605</v>
      </c>
      <c r="C606" s="8" t="s">
        <v>225</v>
      </c>
      <c r="D606" s="2">
        <v>43017</v>
      </c>
      <c r="E606" s="3">
        <f>156000/100000</f>
        <v>1.56</v>
      </c>
      <c r="F606" t="s">
        <v>438</v>
      </c>
      <c r="G606" t="s">
        <v>439</v>
      </c>
      <c r="H606" t="s">
        <v>440</v>
      </c>
      <c r="I606" s="6" t="s">
        <v>549</v>
      </c>
      <c r="J606" s="61" t="s">
        <v>227</v>
      </c>
      <c r="L606" s="5" t="str">
        <f t="shared" si="85"/>
        <v>00605</v>
      </c>
      <c r="M606" s="47" t="str">
        <f t="shared" si="86"/>
        <v>09 de octubre de 2017</v>
      </c>
      <c r="N606" s="323">
        <f t="shared" si="88"/>
        <v>9</v>
      </c>
      <c r="O606" s="25">
        <f t="shared" si="87"/>
        <v>43009</v>
      </c>
      <c r="P606" s="5" t="str">
        <f t="shared" si="95"/>
        <v>1,56</v>
      </c>
      <c r="Q606" s="4" t="str">
        <f t="shared" si="96"/>
        <v>Un Bolívares con 56/100</v>
      </c>
    </row>
    <row r="607" spans="1:17" x14ac:dyDescent="0.25">
      <c r="A607" s="1">
        <f t="shared" si="91"/>
        <v>606</v>
      </c>
      <c r="C607" s="8" t="s">
        <v>17</v>
      </c>
      <c r="D607" s="2">
        <v>43018</v>
      </c>
      <c r="E607" s="3">
        <f>35000/100000</f>
        <v>0.35</v>
      </c>
      <c r="F607" t="s">
        <v>24</v>
      </c>
      <c r="G607" t="s">
        <v>25</v>
      </c>
      <c r="H607" t="s">
        <v>26</v>
      </c>
      <c r="I607" s="6" t="s">
        <v>545</v>
      </c>
      <c r="J607" s="61" t="s">
        <v>22</v>
      </c>
      <c r="L607" s="5" t="str">
        <f t="shared" si="85"/>
        <v>00606</v>
      </c>
      <c r="M607" s="47" t="str">
        <f t="shared" si="86"/>
        <v>10 de octubre de 2017</v>
      </c>
      <c r="N607" s="323">
        <f t="shared" si="88"/>
        <v>10</v>
      </c>
      <c r="O607" s="25">
        <f t="shared" si="87"/>
        <v>43009</v>
      </c>
      <c r="P607" s="5" t="str">
        <f t="shared" si="95"/>
        <v>0,35</v>
      </c>
      <c r="Q607" s="4" t="str">
        <f t="shared" si="96"/>
        <v>Cero Bolívares con 35/100</v>
      </c>
    </row>
    <row r="608" spans="1:17" x14ac:dyDescent="0.25">
      <c r="A608" s="1">
        <f t="shared" si="91"/>
        <v>607</v>
      </c>
      <c r="C608" s="8" t="s">
        <v>17</v>
      </c>
      <c r="D608" s="2">
        <v>43019</v>
      </c>
      <c r="E608" s="3">
        <f>35000/100000</f>
        <v>0.35</v>
      </c>
      <c r="F608" t="s">
        <v>100</v>
      </c>
      <c r="G608" t="s">
        <v>95</v>
      </c>
      <c r="H608" t="s">
        <v>101</v>
      </c>
      <c r="I608" s="6" t="s">
        <v>545</v>
      </c>
      <c r="J608" s="61" t="s">
        <v>22</v>
      </c>
      <c r="L608" s="5" t="str">
        <f t="shared" si="85"/>
        <v>00607</v>
      </c>
      <c r="M608" s="47" t="str">
        <f t="shared" si="86"/>
        <v>11 de octubre de 2017</v>
      </c>
      <c r="N608" s="323">
        <f t="shared" si="88"/>
        <v>11</v>
      </c>
      <c r="O608" s="25">
        <f t="shared" si="87"/>
        <v>43009</v>
      </c>
      <c r="P608" s="5" t="str">
        <f t="shared" si="95"/>
        <v>0,35</v>
      </c>
      <c r="Q608" s="4" t="str">
        <f t="shared" si="96"/>
        <v>Cero Bolívares con 35/100</v>
      </c>
    </row>
    <row r="609" spans="1:17" x14ac:dyDescent="0.25">
      <c r="A609" s="1">
        <f t="shared" si="91"/>
        <v>608</v>
      </c>
      <c r="C609" s="8" t="s">
        <v>17</v>
      </c>
      <c r="D609" s="2">
        <v>43019</v>
      </c>
      <c r="E609" s="3">
        <f>5000/100000</f>
        <v>0.05</v>
      </c>
      <c r="F609" t="s">
        <v>94</v>
      </c>
      <c r="G609" t="s">
        <v>95</v>
      </c>
      <c r="H609" t="s">
        <v>96</v>
      </c>
      <c r="I609" s="6" t="s">
        <v>546</v>
      </c>
      <c r="J609" s="61" t="s">
        <v>22</v>
      </c>
      <c r="L609" s="5" t="str">
        <f t="shared" si="85"/>
        <v>00608</v>
      </c>
      <c r="M609" s="47" t="str">
        <f t="shared" si="86"/>
        <v>11 de octubre de 2017</v>
      </c>
      <c r="N609" s="323">
        <f t="shared" si="88"/>
        <v>11</v>
      </c>
      <c r="O609" s="25">
        <f t="shared" si="87"/>
        <v>43009</v>
      </c>
      <c r="P609" s="5" t="str">
        <f t="shared" si="95"/>
        <v>0,05</v>
      </c>
      <c r="Q609" s="4" t="str">
        <f t="shared" si="96"/>
        <v>Cero Bolívares con 05/100</v>
      </c>
    </row>
    <row r="610" spans="1:17" x14ac:dyDescent="0.25">
      <c r="A610" s="1">
        <f t="shared" si="91"/>
        <v>609</v>
      </c>
      <c r="C610" s="8" t="s">
        <v>17</v>
      </c>
      <c r="D610" s="2">
        <v>43019</v>
      </c>
      <c r="E610" s="3">
        <f>35000/100000</f>
        <v>0.35</v>
      </c>
      <c r="F610" t="s">
        <v>103</v>
      </c>
      <c r="G610" t="s">
        <v>104</v>
      </c>
      <c r="H610" t="s">
        <v>105</v>
      </c>
      <c r="I610" s="6" t="s">
        <v>545</v>
      </c>
      <c r="J610" s="61" t="s">
        <v>22</v>
      </c>
      <c r="L610" s="5" t="str">
        <f t="shared" si="85"/>
        <v>00609</v>
      </c>
      <c r="M610" s="47" t="str">
        <f t="shared" si="86"/>
        <v>11 de octubre de 2017</v>
      </c>
      <c r="N610" s="323">
        <f t="shared" si="88"/>
        <v>11</v>
      </c>
      <c r="O610" s="25">
        <f t="shared" si="87"/>
        <v>43009</v>
      </c>
      <c r="P610" s="5" t="str">
        <f t="shared" si="95"/>
        <v>0,35</v>
      </c>
      <c r="Q610" s="4" t="str">
        <f t="shared" si="96"/>
        <v>Cero Bolívares con 35/100</v>
      </c>
    </row>
    <row r="611" spans="1:17" x14ac:dyDescent="0.25">
      <c r="A611" s="1">
        <f t="shared" si="91"/>
        <v>610</v>
      </c>
      <c r="C611" s="8" t="s">
        <v>17</v>
      </c>
      <c r="D611" s="2">
        <v>43019</v>
      </c>
      <c r="E611" s="3">
        <f>35000/100000</f>
        <v>0.35</v>
      </c>
      <c r="F611" t="s">
        <v>148</v>
      </c>
      <c r="G611" t="s">
        <v>149</v>
      </c>
      <c r="H611" t="s">
        <v>150</v>
      </c>
      <c r="I611" s="6" t="s">
        <v>550</v>
      </c>
      <c r="J611" s="61" t="s">
        <v>22</v>
      </c>
      <c r="L611" s="5" t="str">
        <f t="shared" si="85"/>
        <v>00610</v>
      </c>
      <c r="M611" s="47" t="str">
        <f t="shared" si="86"/>
        <v>11 de octubre de 2017</v>
      </c>
      <c r="N611" s="323">
        <f t="shared" si="88"/>
        <v>11</v>
      </c>
      <c r="O611" s="25">
        <f t="shared" si="87"/>
        <v>43009</v>
      </c>
      <c r="P611" s="5" t="str">
        <f t="shared" si="95"/>
        <v>0,35</v>
      </c>
      <c r="Q611" s="4" t="str">
        <f t="shared" si="96"/>
        <v>Cero Bolívares con 35/100</v>
      </c>
    </row>
    <row r="612" spans="1:17" x14ac:dyDescent="0.25">
      <c r="A612" s="1">
        <f t="shared" si="91"/>
        <v>611</v>
      </c>
      <c r="C612" s="8" t="s">
        <v>17</v>
      </c>
      <c r="D612" s="2">
        <v>43020</v>
      </c>
      <c r="E612" s="3">
        <f>35000/100000+35000/100000</f>
        <v>0.7</v>
      </c>
      <c r="F612" t="s">
        <v>138</v>
      </c>
      <c r="G612" t="s">
        <v>139</v>
      </c>
      <c r="H612" t="s">
        <v>140</v>
      </c>
      <c r="I612" s="6" t="s">
        <v>535</v>
      </c>
      <c r="J612" s="61" t="s">
        <v>22</v>
      </c>
      <c r="L612" s="5" t="str">
        <f t="shared" si="85"/>
        <v>00611</v>
      </c>
      <c r="M612" s="47" t="str">
        <f t="shared" si="86"/>
        <v>12 de octubre de 2017</v>
      </c>
      <c r="N612" s="323">
        <f t="shared" si="88"/>
        <v>12</v>
      </c>
      <c r="O612" s="25">
        <f t="shared" si="87"/>
        <v>43009</v>
      </c>
      <c r="P612" s="5" t="str">
        <f t="shared" si="95"/>
        <v>0,70</v>
      </c>
      <c r="Q612" s="4" t="str">
        <f t="shared" si="96"/>
        <v>Cero Bolívares con 70/100</v>
      </c>
    </row>
    <row r="613" spans="1:17" x14ac:dyDescent="0.25">
      <c r="A613" s="1">
        <f t="shared" si="91"/>
        <v>612</v>
      </c>
      <c r="C613" s="8" t="s">
        <v>17</v>
      </c>
      <c r="D613" s="2">
        <v>43023</v>
      </c>
      <c r="E613" s="3">
        <f>35000/100000</f>
        <v>0.35</v>
      </c>
      <c r="F613" t="s">
        <v>211</v>
      </c>
      <c r="G613" t="s">
        <v>212</v>
      </c>
      <c r="H613" t="s">
        <v>213</v>
      </c>
      <c r="I613" s="6" t="s">
        <v>545</v>
      </c>
      <c r="J613" s="61" t="s">
        <v>22</v>
      </c>
      <c r="L613" s="5" t="str">
        <f t="shared" si="85"/>
        <v>00612</v>
      </c>
      <c r="M613" s="47" t="str">
        <f t="shared" si="86"/>
        <v>15 de octubre de 2017</v>
      </c>
      <c r="N613" s="323">
        <f t="shared" si="88"/>
        <v>15</v>
      </c>
      <c r="O613" s="25">
        <f t="shared" si="87"/>
        <v>43009</v>
      </c>
      <c r="P613" s="5" t="str">
        <f t="shared" si="95"/>
        <v>0,35</v>
      </c>
      <c r="Q613" s="4" t="str">
        <f t="shared" si="96"/>
        <v>Cero Bolívares con 35/100</v>
      </c>
    </row>
    <row r="614" spans="1:17" x14ac:dyDescent="0.25">
      <c r="A614" s="1">
        <f t="shared" si="91"/>
        <v>613</v>
      </c>
      <c r="C614" s="8" t="s">
        <v>17</v>
      </c>
      <c r="D614" s="2">
        <v>43023</v>
      </c>
      <c r="E614" s="3">
        <f>35000/100000</f>
        <v>0.35</v>
      </c>
      <c r="F614" t="s">
        <v>443</v>
      </c>
      <c r="G614" t="s">
        <v>444</v>
      </c>
      <c r="H614" t="s">
        <v>75</v>
      </c>
      <c r="I614" s="6" t="s">
        <v>545</v>
      </c>
      <c r="J614" s="61" t="s">
        <v>22</v>
      </c>
      <c r="L614" s="5" t="str">
        <f t="shared" si="85"/>
        <v>00613</v>
      </c>
      <c r="M614" s="47" t="str">
        <f t="shared" si="86"/>
        <v>15 de octubre de 2017</v>
      </c>
      <c r="N614" s="323">
        <f t="shared" si="88"/>
        <v>15</v>
      </c>
      <c r="O614" s="25">
        <f t="shared" si="87"/>
        <v>43009</v>
      </c>
      <c r="P614" s="5" t="str">
        <f t="shared" si="95"/>
        <v>0,35</v>
      </c>
      <c r="Q614" s="4" t="str">
        <f t="shared" si="96"/>
        <v>Cero Bolívares con 35/100</v>
      </c>
    </row>
    <row r="615" spans="1:17" x14ac:dyDescent="0.25">
      <c r="A615" s="1">
        <f t="shared" si="91"/>
        <v>614</v>
      </c>
      <c r="C615" s="8" t="s">
        <v>17</v>
      </c>
      <c r="D615" s="2">
        <v>43022</v>
      </c>
      <c r="E615" s="3">
        <f>35000/100000</f>
        <v>0.35</v>
      </c>
      <c r="F615" t="s">
        <v>36</v>
      </c>
      <c r="G615" t="s">
        <v>37</v>
      </c>
      <c r="H615" t="s">
        <v>38</v>
      </c>
      <c r="I615" s="6" t="s">
        <v>551</v>
      </c>
      <c r="J615" s="61" t="s">
        <v>22</v>
      </c>
      <c r="L615" s="5" t="str">
        <f t="shared" si="85"/>
        <v>00614</v>
      </c>
      <c r="M615" s="47" t="str">
        <f t="shared" si="86"/>
        <v>14 de octubre de 2017</v>
      </c>
      <c r="N615" s="323">
        <f t="shared" si="88"/>
        <v>14</v>
      </c>
      <c r="O615" s="25">
        <f t="shared" si="87"/>
        <v>43009</v>
      </c>
      <c r="P615" s="5" t="str">
        <f t="shared" si="95"/>
        <v>0,35</v>
      </c>
      <c r="Q615" s="4" t="str">
        <f t="shared" si="96"/>
        <v>Cero Bolívares con 35/100</v>
      </c>
    </row>
    <row r="616" spans="1:17" x14ac:dyDescent="0.25">
      <c r="A616" s="1">
        <f t="shared" si="91"/>
        <v>615</v>
      </c>
      <c r="C616" s="8" t="s">
        <v>17</v>
      </c>
      <c r="D616" s="2">
        <v>43024</v>
      </c>
      <c r="E616" s="3">
        <f>35000/100000</f>
        <v>0.35</v>
      </c>
      <c r="F616" t="s">
        <v>152</v>
      </c>
      <c r="G616" t="s">
        <v>153</v>
      </c>
      <c r="H616" t="s">
        <v>154</v>
      </c>
      <c r="I616" s="6" t="s">
        <v>552</v>
      </c>
      <c r="J616" s="61" t="s">
        <v>22</v>
      </c>
      <c r="L616" s="5" t="str">
        <f t="shared" si="85"/>
        <v>00615</v>
      </c>
      <c r="M616" s="47" t="str">
        <f t="shared" si="86"/>
        <v>16 de octubre de 2017</v>
      </c>
      <c r="N616" s="323">
        <f t="shared" si="88"/>
        <v>16</v>
      </c>
      <c r="O616" s="25">
        <f t="shared" si="87"/>
        <v>43009</v>
      </c>
      <c r="P616" s="5" t="str">
        <f t="shared" si="95"/>
        <v>0,35</v>
      </c>
      <c r="Q616" s="4" t="str">
        <f t="shared" si="96"/>
        <v>Cero Bolívares con 35/100</v>
      </c>
    </row>
    <row r="617" spans="1:17" x14ac:dyDescent="0.25">
      <c r="A617" s="1">
        <f t="shared" si="91"/>
        <v>616</v>
      </c>
      <c r="C617" s="8" t="s">
        <v>17</v>
      </c>
      <c r="D617" s="2">
        <v>43024</v>
      </c>
      <c r="E617" s="3">
        <f>35000/100000</f>
        <v>0.35</v>
      </c>
      <c r="F617" t="s">
        <v>483</v>
      </c>
      <c r="G617" t="s">
        <v>484</v>
      </c>
      <c r="H617" t="s">
        <v>485</v>
      </c>
      <c r="I617" s="6" t="s">
        <v>528</v>
      </c>
      <c r="J617" s="61" t="s">
        <v>22</v>
      </c>
      <c r="L617" s="5" t="str">
        <f t="shared" si="85"/>
        <v>00616</v>
      </c>
      <c r="M617" s="47" t="str">
        <f t="shared" si="86"/>
        <v>16 de octubre de 2017</v>
      </c>
      <c r="N617" s="323">
        <f t="shared" si="88"/>
        <v>16</v>
      </c>
      <c r="O617" s="25">
        <f t="shared" si="87"/>
        <v>43009</v>
      </c>
      <c r="P617" s="5" t="str">
        <f t="shared" si="95"/>
        <v>0,35</v>
      </c>
      <c r="Q617" s="4" t="str">
        <f t="shared" si="96"/>
        <v>Cero Bolívares con 35/100</v>
      </c>
    </row>
    <row r="618" spans="1:17" x14ac:dyDescent="0.25">
      <c r="A618" s="1">
        <f t="shared" si="91"/>
        <v>617</v>
      </c>
      <c r="C618" s="8" t="s">
        <v>17</v>
      </c>
      <c r="D618" s="2">
        <v>43024</v>
      </c>
      <c r="E618" s="3">
        <f>15000/100000</f>
        <v>0.15</v>
      </c>
      <c r="F618" t="s">
        <v>401</v>
      </c>
      <c r="G618" t="s">
        <v>402</v>
      </c>
      <c r="H618" t="s">
        <v>403</v>
      </c>
      <c r="I618" s="6" t="s">
        <v>546</v>
      </c>
      <c r="J618" s="61" t="s">
        <v>22</v>
      </c>
      <c r="L618" s="5" t="str">
        <f t="shared" si="85"/>
        <v>00617</v>
      </c>
      <c r="M618" s="47" t="str">
        <f t="shared" si="86"/>
        <v>16 de octubre de 2017</v>
      </c>
      <c r="N618" s="323">
        <f t="shared" si="88"/>
        <v>16</v>
      </c>
      <c r="O618" s="25">
        <f t="shared" si="87"/>
        <v>43009</v>
      </c>
      <c r="P618" s="5" t="str">
        <f t="shared" si="95"/>
        <v>0,15</v>
      </c>
      <c r="Q618" s="4" t="str">
        <f t="shared" si="96"/>
        <v>Cero Bolívares con 15/100</v>
      </c>
    </row>
    <row r="619" spans="1:17" x14ac:dyDescent="0.25">
      <c r="A619" s="1">
        <f t="shared" si="91"/>
        <v>618</v>
      </c>
      <c r="C619" s="8" t="s">
        <v>17</v>
      </c>
      <c r="D619" s="2">
        <v>43024</v>
      </c>
      <c r="E619" s="3">
        <f>20000/100000</f>
        <v>0.2</v>
      </c>
      <c r="F619" t="s">
        <v>130</v>
      </c>
      <c r="G619" t="s">
        <v>131</v>
      </c>
      <c r="H619" t="s">
        <v>132</v>
      </c>
      <c r="I619" s="6" t="s">
        <v>546</v>
      </c>
      <c r="J619" s="61" t="s">
        <v>22</v>
      </c>
      <c r="L619" s="5" t="str">
        <f t="shared" si="85"/>
        <v>00618</v>
      </c>
      <c r="M619" s="47" t="str">
        <f t="shared" si="86"/>
        <v>16 de octubre de 2017</v>
      </c>
      <c r="N619" s="323">
        <f t="shared" si="88"/>
        <v>16</v>
      </c>
      <c r="O619" s="25">
        <f t="shared" si="87"/>
        <v>43009</v>
      </c>
      <c r="P619" s="5" t="str">
        <f t="shared" si="95"/>
        <v>0,20</v>
      </c>
      <c r="Q619" s="4" t="str">
        <f t="shared" si="96"/>
        <v>Cero Bolívares con 20/100</v>
      </c>
    </row>
    <row r="620" spans="1:17" x14ac:dyDescent="0.25">
      <c r="A620" s="1">
        <f t="shared" si="91"/>
        <v>619</v>
      </c>
      <c r="C620" s="8" t="s">
        <v>17</v>
      </c>
      <c r="D620" s="2">
        <v>43026</v>
      </c>
      <c r="E620" s="3">
        <f>20000/100000</f>
        <v>0.2</v>
      </c>
      <c r="F620" t="s">
        <v>130</v>
      </c>
      <c r="G620" t="s">
        <v>131</v>
      </c>
      <c r="H620" t="s">
        <v>132</v>
      </c>
      <c r="I620" s="6" t="s">
        <v>534</v>
      </c>
      <c r="J620" s="61" t="s">
        <v>22</v>
      </c>
      <c r="L620" s="5" t="str">
        <f t="shared" si="85"/>
        <v>00619</v>
      </c>
      <c r="M620" s="47" t="str">
        <f t="shared" si="86"/>
        <v>18 de octubre de 2017</v>
      </c>
      <c r="N620" s="323">
        <f t="shared" si="88"/>
        <v>18</v>
      </c>
      <c r="O620" s="25">
        <f t="shared" si="87"/>
        <v>43009</v>
      </c>
      <c r="P620" s="5" t="str">
        <f t="shared" ref="P620:P646" si="97">TEXT(E620,"#.##0,00")</f>
        <v>0,20</v>
      </c>
      <c r="Q620" s="4" t="str">
        <f t="shared" ref="Q620:Q646" si="98">CONVERTIRNUM(E620)</f>
        <v>Cero Bolívares con 20/100</v>
      </c>
    </row>
    <row r="621" spans="1:17" x14ac:dyDescent="0.25">
      <c r="A621" s="1">
        <f t="shared" si="91"/>
        <v>620</v>
      </c>
      <c r="C621" s="8" t="s">
        <v>17</v>
      </c>
      <c r="D621" s="2">
        <v>43026</v>
      </c>
      <c r="E621" s="3">
        <f>35000/100000</f>
        <v>0.35</v>
      </c>
      <c r="F621" t="s">
        <v>185</v>
      </c>
      <c r="G621" t="s">
        <v>186</v>
      </c>
      <c r="H621" t="s">
        <v>187</v>
      </c>
      <c r="I621" s="6" t="s">
        <v>528</v>
      </c>
      <c r="J621" s="61" t="s">
        <v>22</v>
      </c>
      <c r="L621" s="5" t="str">
        <f t="shared" si="85"/>
        <v>00620</v>
      </c>
      <c r="M621" s="47" t="str">
        <f t="shared" si="86"/>
        <v>18 de octubre de 2017</v>
      </c>
      <c r="N621" s="323">
        <f t="shared" si="88"/>
        <v>18</v>
      </c>
      <c r="O621" s="25">
        <f t="shared" si="87"/>
        <v>43009</v>
      </c>
      <c r="P621" s="5" t="str">
        <f t="shared" si="97"/>
        <v>0,35</v>
      </c>
      <c r="Q621" s="4" t="str">
        <f t="shared" si="98"/>
        <v>Cero Bolívares con 35/100</v>
      </c>
    </row>
    <row r="622" spans="1:17" x14ac:dyDescent="0.25">
      <c r="A622" s="1">
        <f t="shared" si="91"/>
        <v>621</v>
      </c>
      <c r="C622" s="8" t="s">
        <v>17</v>
      </c>
      <c r="D622" s="2">
        <v>43027</v>
      </c>
      <c r="E622" s="3">
        <f>35000/100000</f>
        <v>0.35</v>
      </c>
      <c r="F622" t="s">
        <v>122</v>
      </c>
      <c r="G622" t="s">
        <v>123</v>
      </c>
      <c r="H622" t="s">
        <v>124</v>
      </c>
      <c r="I622" s="6" t="s">
        <v>545</v>
      </c>
      <c r="J622" s="61" t="s">
        <v>22</v>
      </c>
      <c r="L622" s="5" t="str">
        <f t="shared" si="85"/>
        <v>00621</v>
      </c>
      <c r="M622" s="47" t="str">
        <f t="shared" si="86"/>
        <v>19 de octubre de 2017</v>
      </c>
      <c r="N622" s="323">
        <f t="shared" si="88"/>
        <v>19</v>
      </c>
      <c r="O622" s="25">
        <f t="shared" si="87"/>
        <v>43009</v>
      </c>
      <c r="P622" s="5" t="str">
        <f t="shared" si="97"/>
        <v>0,35</v>
      </c>
      <c r="Q622" s="4" t="str">
        <f t="shared" si="98"/>
        <v>Cero Bolívares con 35/100</v>
      </c>
    </row>
    <row r="623" spans="1:17" x14ac:dyDescent="0.25">
      <c r="A623" s="1">
        <f t="shared" si="91"/>
        <v>622</v>
      </c>
      <c r="C623" s="8" t="s">
        <v>17</v>
      </c>
      <c r="D623" s="2">
        <v>43028</v>
      </c>
      <c r="E623" s="3">
        <f>40000/100000</f>
        <v>0.4</v>
      </c>
      <c r="F623" s="20" t="s">
        <v>57</v>
      </c>
      <c r="G623" s="18" t="s">
        <v>58</v>
      </c>
      <c r="H623" s="21" t="s">
        <v>59</v>
      </c>
      <c r="I623" s="6" t="s">
        <v>545</v>
      </c>
      <c r="J623" s="61" t="s">
        <v>22</v>
      </c>
      <c r="K623" s="22"/>
      <c r="L623" s="5" t="str">
        <f t="shared" si="85"/>
        <v>00622</v>
      </c>
      <c r="M623" s="47" t="str">
        <f t="shared" si="86"/>
        <v>20 de octubre de 2017</v>
      </c>
      <c r="N623" s="323">
        <f t="shared" si="88"/>
        <v>20</v>
      </c>
      <c r="O623" s="25">
        <f t="shared" si="87"/>
        <v>43009</v>
      </c>
      <c r="P623" s="5" t="str">
        <f t="shared" si="97"/>
        <v>0,40</v>
      </c>
      <c r="Q623" s="4" t="str">
        <f t="shared" si="98"/>
        <v>Cero Bolívares con 40/100</v>
      </c>
    </row>
    <row r="624" spans="1:17" x14ac:dyDescent="0.25">
      <c r="A624" s="1">
        <f t="shared" si="91"/>
        <v>623</v>
      </c>
      <c r="C624" s="8" t="s">
        <v>17</v>
      </c>
      <c r="D624" s="2">
        <v>43029</v>
      </c>
      <c r="E624" s="3">
        <f>35000*2/100000</f>
        <v>0.7</v>
      </c>
      <c r="F624" t="s">
        <v>53</v>
      </c>
      <c r="G624" t="s">
        <v>54</v>
      </c>
      <c r="H624" t="s">
        <v>55</v>
      </c>
      <c r="I624" s="6" t="s">
        <v>535</v>
      </c>
      <c r="J624" s="61" t="s">
        <v>22</v>
      </c>
      <c r="L624" s="5" t="str">
        <f t="shared" si="85"/>
        <v>00623</v>
      </c>
      <c r="M624" s="47" t="str">
        <f t="shared" si="86"/>
        <v>21 de octubre de 2017</v>
      </c>
      <c r="N624" s="323">
        <f t="shared" si="88"/>
        <v>21</v>
      </c>
      <c r="O624" s="25">
        <f t="shared" si="87"/>
        <v>43009</v>
      </c>
      <c r="P624" s="5" t="str">
        <f t="shared" si="97"/>
        <v>0,70</v>
      </c>
      <c r="Q624" s="4" t="str">
        <f t="shared" si="98"/>
        <v>Cero Bolívares con 70/100</v>
      </c>
    </row>
    <row r="625" spans="1:17" x14ac:dyDescent="0.25">
      <c r="A625" s="1">
        <f t="shared" si="91"/>
        <v>624</v>
      </c>
      <c r="C625" s="8" t="s">
        <v>17</v>
      </c>
      <c r="D625" s="2">
        <v>43029</v>
      </c>
      <c r="E625" s="3">
        <f>35000/100000</f>
        <v>0.35</v>
      </c>
      <c r="F625" t="s">
        <v>201</v>
      </c>
      <c r="G625" t="s">
        <v>202</v>
      </c>
      <c r="H625" t="s">
        <v>203</v>
      </c>
      <c r="I625" s="6" t="s">
        <v>528</v>
      </c>
      <c r="J625" s="61" t="s">
        <v>22</v>
      </c>
      <c r="L625" s="5" t="str">
        <f t="shared" si="85"/>
        <v>00624</v>
      </c>
      <c r="M625" s="47" t="str">
        <f t="shared" si="86"/>
        <v>21 de octubre de 2017</v>
      </c>
      <c r="N625" s="323">
        <f t="shared" si="88"/>
        <v>21</v>
      </c>
      <c r="O625" s="25">
        <f t="shared" si="87"/>
        <v>43009</v>
      </c>
      <c r="P625" s="5" t="str">
        <f t="shared" si="97"/>
        <v>0,35</v>
      </c>
      <c r="Q625" s="4" t="str">
        <f t="shared" si="98"/>
        <v>Cero Bolívares con 35/100</v>
      </c>
    </row>
    <row r="626" spans="1:17" x14ac:dyDescent="0.25">
      <c r="A626" s="1">
        <f t="shared" si="91"/>
        <v>625</v>
      </c>
      <c r="C626" s="8" t="s">
        <v>17</v>
      </c>
      <c r="D626" s="2">
        <v>43029</v>
      </c>
      <c r="E626" s="3">
        <f>35000/100000</f>
        <v>0.35</v>
      </c>
      <c r="F626" t="s">
        <v>230</v>
      </c>
      <c r="G626" t="s">
        <v>231</v>
      </c>
      <c r="H626" t="s">
        <v>232</v>
      </c>
      <c r="I626" s="6" t="s">
        <v>528</v>
      </c>
      <c r="J626" s="61" t="s">
        <v>22</v>
      </c>
      <c r="L626" s="5" t="str">
        <f t="shared" si="85"/>
        <v>00625</v>
      </c>
      <c r="M626" s="47" t="str">
        <f t="shared" si="86"/>
        <v>21 de octubre de 2017</v>
      </c>
      <c r="N626" s="323">
        <f t="shared" si="88"/>
        <v>21</v>
      </c>
      <c r="O626" s="25">
        <f t="shared" si="87"/>
        <v>43009</v>
      </c>
      <c r="P626" s="5" t="str">
        <f t="shared" si="97"/>
        <v>0,35</v>
      </c>
      <c r="Q626" s="4" t="str">
        <f t="shared" si="98"/>
        <v>Cero Bolívares con 35/100</v>
      </c>
    </row>
    <row r="627" spans="1:17" x14ac:dyDescent="0.25">
      <c r="A627" s="1">
        <f t="shared" si="91"/>
        <v>626</v>
      </c>
      <c r="C627" s="8" t="s">
        <v>17</v>
      </c>
      <c r="D627" s="2">
        <v>43031</v>
      </c>
      <c r="E627" s="3">
        <f>35000/100000</f>
        <v>0.35</v>
      </c>
      <c r="F627" t="s">
        <v>134</v>
      </c>
      <c r="G627" t="s">
        <v>135</v>
      </c>
      <c r="H627" t="s">
        <v>136</v>
      </c>
      <c r="I627" s="6" t="s">
        <v>545</v>
      </c>
      <c r="J627" s="61" t="s">
        <v>22</v>
      </c>
      <c r="L627" s="5" t="str">
        <f t="shared" si="85"/>
        <v>00626</v>
      </c>
      <c r="M627" s="47" t="str">
        <f t="shared" si="86"/>
        <v>23 de octubre de 2017</v>
      </c>
      <c r="N627" s="323">
        <f t="shared" si="88"/>
        <v>23</v>
      </c>
      <c r="O627" s="25">
        <f t="shared" si="87"/>
        <v>43009</v>
      </c>
      <c r="P627" s="5" t="str">
        <f t="shared" si="97"/>
        <v>0,35</v>
      </c>
      <c r="Q627" s="4" t="str">
        <f t="shared" si="98"/>
        <v>Cero Bolívares con 35/100</v>
      </c>
    </row>
    <row r="628" spans="1:17" x14ac:dyDescent="0.25">
      <c r="A628" s="1">
        <f t="shared" si="91"/>
        <v>627</v>
      </c>
      <c r="C628" s="8" t="s">
        <v>17</v>
      </c>
      <c r="D628" s="2">
        <v>43031</v>
      </c>
      <c r="E628" s="3">
        <f>35000/100000</f>
        <v>0.35</v>
      </c>
      <c r="F628" t="s">
        <v>107</v>
      </c>
      <c r="G628" t="s">
        <v>108</v>
      </c>
      <c r="H628" t="s">
        <v>109</v>
      </c>
      <c r="I628" s="6" t="s">
        <v>545</v>
      </c>
      <c r="J628" s="61" t="s">
        <v>22</v>
      </c>
      <c r="L628" s="5" t="str">
        <f t="shared" si="85"/>
        <v>00627</v>
      </c>
      <c r="M628" s="47" t="str">
        <f t="shared" si="86"/>
        <v>23 de octubre de 2017</v>
      </c>
      <c r="N628" s="323">
        <f t="shared" si="88"/>
        <v>23</v>
      </c>
      <c r="O628" s="25">
        <f t="shared" si="87"/>
        <v>43009</v>
      </c>
      <c r="P628" s="5" t="str">
        <f t="shared" si="97"/>
        <v>0,35</v>
      </c>
      <c r="Q628" s="4" t="str">
        <f t="shared" si="98"/>
        <v>Cero Bolívares con 35/100</v>
      </c>
    </row>
    <row r="629" spans="1:17" x14ac:dyDescent="0.25">
      <c r="A629" s="1">
        <f t="shared" si="91"/>
        <v>628</v>
      </c>
      <c r="C629" s="8" t="s">
        <v>17</v>
      </c>
      <c r="D629" s="2">
        <v>43031</v>
      </c>
      <c r="E629" s="3">
        <f>35000/100000</f>
        <v>0.35</v>
      </c>
      <c r="F629" t="s">
        <v>40</v>
      </c>
      <c r="G629" t="s">
        <v>41</v>
      </c>
      <c r="H629" t="s">
        <v>42</v>
      </c>
      <c r="I629" s="6" t="s">
        <v>545</v>
      </c>
      <c r="J629" s="61" t="s">
        <v>22</v>
      </c>
      <c r="L629" s="5" t="str">
        <f t="shared" si="85"/>
        <v>00628</v>
      </c>
      <c r="M629" s="47" t="str">
        <f t="shared" si="86"/>
        <v>23 de octubre de 2017</v>
      </c>
      <c r="N629" s="323">
        <f t="shared" si="88"/>
        <v>23</v>
      </c>
      <c r="O629" s="25">
        <f t="shared" si="87"/>
        <v>43009</v>
      </c>
      <c r="P629" s="5" t="str">
        <f t="shared" si="97"/>
        <v>0,35</v>
      </c>
      <c r="Q629" s="4" t="str">
        <f t="shared" si="98"/>
        <v>Cero Bolívares con 35/100</v>
      </c>
    </row>
    <row r="630" spans="1:17" x14ac:dyDescent="0.25">
      <c r="A630" s="1">
        <f t="shared" si="91"/>
        <v>629</v>
      </c>
      <c r="C630" s="8" t="s">
        <v>17</v>
      </c>
      <c r="D630" s="2">
        <v>43031</v>
      </c>
      <c r="E630" s="3">
        <f>70000/100000</f>
        <v>0.7</v>
      </c>
      <c r="F630" t="s">
        <v>362</v>
      </c>
      <c r="G630" t="s">
        <v>363</v>
      </c>
      <c r="H630" t="s">
        <v>364</v>
      </c>
      <c r="I630" s="6" t="s">
        <v>535</v>
      </c>
      <c r="J630" s="61" t="s">
        <v>22</v>
      </c>
      <c r="L630" s="5" t="str">
        <f t="shared" si="85"/>
        <v>00629</v>
      </c>
      <c r="M630" s="47" t="str">
        <f t="shared" si="86"/>
        <v>23 de octubre de 2017</v>
      </c>
      <c r="N630" s="323">
        <f t="shared" si="88"/>
        <v>23</v>
      </c>
      <c r="O630" s="25">
        <f t="shared" si="87"/>
        <v>43009</v>
      </c>
      <c r="P630" s="5" t="str">
        <f t="shared" si="97"/>
        <v>0,70</v>
      </c>
      <c r="Q630" s="4" t="str">
        <f t="shared" si="98"/>
        <v>Cero Bolívares con 70/100</v>
      </c>
    </row>
    <row r="631" spans="1:17" x14ac:dyDescent="0.25">
      <c r="A631" s="1">
        <f t="shared" si="91"/>
        <v>630</v>
      </c>
      <c r="C631" s="8" t="s">
        <v>17</v>
      </c>
      <c r="D631" s="2">
        <v>43031</v>
      </c>
      <c r="E631" s="3">
        <f>70000/100000</f>
        <v>0.7</v>
      </c>
      <c r="F631" t="s">
        <v>239</v>
      </c>
      <c r="G631" s="73" t="s">
        <v>240</v>
      </c>
      <c r="H631" t="s">
        <v>241</v>
      </c>
      <c r="I631" s="6" t="s">
        <v>529</v>
      </c>
      <c r="J631" s="61" t="s">
        <v>22</v>
      </c>
      <c r="L631" s="5" t="str">
        <f t="shared" si="85"/>
        <v>00630</v>
      </c>
      <c r="M631" s="47" t="str">
        <f t="shared" si="86"/>
        <v>23 de octubre de 2017</v>
      </c>
      <c r="N631" s="323">
        <f t="shared" si="88"/>
        <v>23</v>
      </c>
      <c r="O631" s="25">
        <f t="shared" si="87"/>
        <v>43009</v>
      </c>
      <c r="P631" s="5" t="str">
        <f t="shared" si="97"/>
        <v>0,70</v>
      </c>
      <c r="Q631" s="4" t="str">
        <f t="shared" si="98"/>
        <v>Cero Bolívares con 70/100</v>
      </c>
    </row>
    <row r="632" spans="1:17" x14ac:dyDescent="0.25">
      <c r="A632" s="1">
        <f t="shared" si="91"/>
        <v>631</v>
      </c>
      <c r="C632" s="8" t="s">
        <v>17</v>
      </c>
      <c r="D632" s="2">
        <v>43033</v>
      </c>
      <c r="E632" s="3">
        <f>30000/100000</f>
        <v>0.3</v>
      </c>
      <c r="F632" t="s">
        <v>342</v>
      </c>
      <c r="G632" t="s">
        <v>343</v>
      </c>
      <c r="H632" t="s">
        <v>344</v>
      </c>
      <c r="I632" s="6" t="s">
        <v>534</v>
      </c>
      <c r="J632" s="61" t="s">
        <v>22</v>
      </c>
      <c r="L632" s="5" t="str">
        <f t="shared" si="85"/>
        <v>00631</v>
      </c>
      <c r="M632" s="47" t="str">
        <f t="shared" si="86"/>
        <v>25 de octubre de 2017</v>
      </c>
      <c r="N632" s="323">
        <f t="shared" si="88"/>
        <v>25</v>
      </c>
      <c r="O632" s="25">
        <f t="shared" si="87"/>
        <v>43009</v>
      </c>
      <c r="P632" s="5" t="str">
        <f t="shared" si="97"/>
        <v>0,30</v>
      </c>
      <c r="Q632" s="4" t="str">
        <f t="shared" si="98"/>
        <v>Cero Bolívares con 30/100</v>
      </c>
    </row>
    <row r="633" spans="1:17" x14ac:dyDescent="0.25">
      <c r="A633" s="1">
        <f t="shared" si="91"/>
        <v>632</v>
      </c>
      <c r="C633" s="8" t="s">
        <v>17</v>
      </c>
      <c r="D633" s="2">
        <v>43034</v>
      </c>
      <c r="E633" s="3">
        <f>15000/100000</f>
        <v>0.15</v>
      </c>
      <c r="F633" t="s">
        <v>167</v>
      </c>
      <c r="G633" t="s">
        <v>168</v>
      </c>
      <c r="H633" t="s">
        <v>169</v>
      </c>
      <c r="I633" s="6" t="s">
        <v>534</v>
      </c>
      <c r="J633" s="61" t="s">
        <v>22</v>
      </c>
      <c r="L633" s="5" t="str">
        <f t="shared" si="85"/>
        <v>00632</v>
      </c>
      <c r="M633" s="47" t="str">
        <f t="shared" si="86"/>
        <v>26 de octubre de 2017</v>
      </c>
      <c r="N633" s="323">
        <f t="shared" si="88"/>
        <v>26</v>
      </c>
      <c r="O633" s="25">
        <f t="shared" si="87"/>
        <v>43009</v>
      </c>
      <c r="P633" s="5" t="str">
        <f t="shared" si="97"/>
        <v>0,15</v>
      </c>
      <c r="Q633" s="4" t="str">
        <f t="shared" si="98"/>
        <v>Cero Bolívares con 15/100</v>
      </c>
    </row>
    <row r="634" spans="1:17" x14ac:dyDescent="0.25">
      <c r="A634" s="1">
        <f t="shared" si="91"/>
        <v>633</v>
      </c>
      <c r="C634" s="8" t="s">
        <v>17</v>
      </c>
      <c r="D634" s="2">
        <v>43035</v>
      </c>
      <c r="E634" s="3">
        <f>35000/100000</f>
        <v>0.35</v>
      </c>
      <c r="F634" t="s">
        <v>126</v>
      </c>
      <c r="G634" t="s">
        <v>127</v>
      </c>
      <c r="H634" t="s">
        <v>128</v>
      </c>
      <c r="I634" s="6" t="s">
        <v>545</v>
      </c>
      <c r="J634" s="61" t="s">
        <v>22</v>
      </c>
      <c r="L634" s="5" t="str">
        <f t="shared" si="85"/>
        <v>00633</v>
      </c>
      <c r="M634" s="47" t="str">
        <f t="shared" si="86"/>
        <v>27 de octubre de 2017</v>
      </c>
      <c r="N634" s="323">
        <f t="shared" si="88"/>
        <v>27</v>
      </c>
      <c r="O634" s="25">
        <f t="shared" si="87"/>
        <v>43009</v>
      </c>
      <c r="P634" s="5" t="str">
        <f t="shared" si="97"/>
        <v>0,35</v>
      </c>
      <c r="Q634" s="4" t="str">
        <f t="shared" si="98"/>
        <v>Cero Bolívares con 35/100</v>
      </c>
    </row>
    <row r="635" spans="1:17" x14ac:dyDescent="0.25">
      <c r="A635" s="1">
        <f t="shared" si="91"/>
        <v>634</v>
      </c>
      <c r="C635" s="8" t="s">
        <v>17</v>
      </c>
      <c r="D635" s="2">
        <v>43035</v>
      </c>
      <c r="E635" s="3">
        <f>35000*3/100000</f>
        <v>1.05</v>
      </c>
      <c r="F635" t="s">
        <v>243</v>
      </c>
      <c r="G635" t="s">
        <v>244</v>
      </c>
      <c r="H635" t="s">
        <v>245</v>
      </c>
      <c r="I635" s="6" t="s">
        <v>553</v>
      </c>
      <c r="J635" s="61" t="s">
        <v>22</v>
      </c>
      <c r="L635" s="5" t="str">
        <f t="shared" si="85"/>
        <v>00634</v>
      </c>
      <c r="M635" s="47" t="str">
        <f t="shared" si="86"/>
        <v>27 de octubre de 2017</v>
      </c>
      <c r="N635" s="323">
        <f t="shared" si="88"/>
        <v>27</v>
      </c>
      <c r="O635" s="25">
        <f t="shared" si="87"/>
        <v>43009</v>
      </c>
      <c r="P635" s="5" t="str">
        <f t="shared" si="97"/>
        <v>1,05</v>
      </c>
      <c r="Q635" s="4" t="str">
        <f t="shared" si="98"/>
        <v>Un Bolívares con 05/100</v>
      </c>
    </row>
    <row r="636" spans="1:17" x14ac:dyDescent="0.25">
      <c r="A636" s="1">
        <f t="shared" si="91"/>
        <v>635</v>
      </c>
      <c r="C636" s="8" t="s">
        <v>17</v>
      </c>
      <c r="D636" s="2">
        <v>43035</v>
      </c>
      <c r="E636" s="3">
        <f>70000/100000</f>
        <v>0.7</v>
      </c>
      <c r="F636" t="s">
        <v>197</v>
      </c>
      <c r="G636" t="s">
        <v>198</v>
      </c>
      <c r="H636" t="s">
        <v>199</v>
      </c>
      <c r="I636" s="6" t="s">
        <v>554</v>
      </c>
      <c r="J636" s="61" t="s">
        <v>22</v>
      </c>
      <c r="L636" s="5" t="str">
        <f t="shared" si="85"/>
        <v>00635</v>
      </c>
      <c r="M636" s="47" t="str">
        <f t="shared" si="86"/>
        <v>27 de octubre de 2017</v>
      </c>
      <c r="N636" s="323">
        <f t="shared" si="88"/>
        <v>27</v>
      </c>
      <c r="O636" s="25">
        <f t="shared" si="87"/>
        <v>43009</v>
      </c>
      <c r="P636" s="5" t="str">
        <f t="shared" si="97"/>
        <v>0,70</v>
      </c>
      <c r="Q636" s="4" t="str">
        <f t="shared" si="98"/>
        <v>Cero Bolívares con 70/100</v>
      </c>
    </row>
    <row r="637" spans="1:17" x14ac:dyDescent="0.25">
      <c r="A637" s="1">
        <f t="shared" si="91"/>
        <v>636</v>
      </c>
      <c r="C637" s="8" t="s">
        <v>17</v>
      </c>
      <c r="D637" s="2">
        <v>43037</v>
      </c>
      <c r="E637" s="3">
        <f>60000/100000</f>
        <v>0.6</v>
      </c>
      <c r="F637" t="s">
        <v>412</v>
      </c>
      <c r="G637" t="s">
        <v>413</v>
      </c>
      <c r="H637" t="s">
        <v>414</v>
      </c>
      <c r="I637" s="6" t="s">
        <v>531</v>
      </c>
      <c r="J637" s="61" t="s">
        <v>22</v>
      </c>
      <c r="L637" s="5" t="str">
        <f t="shared" si="85"/>
        <v>00636</v>
      </c>
      <c r="M637" s="47" t="str">
        <f t="shared" si="86"/>
        <v>29 de octubre de 2017</v>
      </c>
      <c r="N637" s="323">
        <f t="shared" si="88"/>
        <v>29</v>
      </c>
      <c r="O637" s="25">
        <f t="shared" si="87"/>
        <v>43009</v>
      </c>
      <c r="P637" s="5" t="str">
        <f t="shared" si="97"/>
        <v>0,60</v>
      </c>
      <c r="Q637" s="4" t="str">
        <f t="shared" si="98"/>
        <v>Cero Bolívares con 60/100</v>
      </c>
    </row>
    <row r="638" spans="1:17" x14ac:dyDescent="0.25">
      <c r="A638" s="1">
        <f t="shared" si="91"/>
        <v>637</v>
      </c>
      <c r="C638" s="8" t="s">
        <v>17</v>
      </c>
      <c r="D638" s="2">
        <v>43038</v>
      </c>
      <c r="E638" s="3">
        <f>20000/100000</f>
        <v>0.2</v>
      </c>
      <c r="F638" t="s">
        <v>397</v>
      </c>
      <c r="G638" s="48" t="s">
        <v>29</v>
      </c>
      <c r="H638" t="s">
        <v>398</v>
      </c>
      <c r="I638" s="6" t="s">
        <v>546</v>
      </c>
      <c r="J638" s="61" t="s">
        <v>22</v>
      </c>
      <c r="L638" s="5" t="str">
        <f t="shared" si="85"/>
        <v>00637</v>
      </c>
      <c r="M638" s="47" t="str">
        <f t="shared" si="86"/>
        <v>30 de octubre de 2017</v>
      </c>
      <c r="N638" s="323">
        <f t="shared" si="88"/>
        <v>30</v>
      </c>
      <c r="O638" s="25">
        <f t="shared" si="87"/>
        <v>43009</v>
      </c>
      <c r="P638" s="5" t="str">
        <f t="shared" si="97"/>
        <v>0,20</v>
      </c>
      <c r="Q638" s="4" t="str">
        <f t="shared" si="98"/>
        <v>Cero Bolívares con 20/100</v>
      </c>
    </row>
    <row r="639" spans="1:17" x14ac:dyDescent="0.25">
      <c r="A639" s="1">
        <f t="shared" si="91"/>
        <v>638</v>
      </c>
      <c r="C639" s="8" t="s">
        <v>17</v>
      </c>
      <c r="D639" s="2">
        <v>43038</v>
      </c>
      <c r="E639" s="3">
        <f>20000/100000</f>
        <v>0.2</v>
      </c>
      <c r="F639" t="s">
        <v>28</v>
      </c>
      <c r="G639" t="s">
        <v>29</v>
      </c>
      <c r="H639" t="s">
        <v>30</v>
      </c>
      <c r="I639" s="6" t="s">
        <v>546</v>
      </c>
      <c r="J639" s="61" t="s">
        <v>22</v>
      </c>
      <c r="L639" s="5" t="str">
        <f t="shared" si="85"/>
        <v>00638</v>
      </c>
      <c r="M639" s="47" t="str">
        <f t="shared" si="86"/>
        <v>30 de octubre de 2017</v>
      </c>
      <c r="N639" s="323">
        <f t="shared" si="88"/>
        <v>30</v>
      </c>
      <c r="O639" s="25">
        <f t="shared" si="87"/>
        <v>43009</v>
      </c>
      <c r="P639" s="5" t="str">
        <f t="shared" si="97"/>
        <v>0,20</v>
      </c>
      <c r="Q639" s="4" t="str">
        <f t="shared" si="98"/>
        <v>Cero Bolívares con 20/100</v>
      </c>
    </row>
    <row r="640" spans="1:17" x14ac:dyDescent="0.25">
      <c r="A640" s="1">
        <f t="shared" si="91"/>
        <v>639</v>
      </c>
      <c r="C640" s="8" t="s">
        <v>17</v>
      </c>
      <c r="D640" s="2">
        <v>43039</v>
      </c>
      <c r="E640" s="3">
        <f>35000/100000</f>
        <v>0.35</v>
      </c>
      <c r="F640" t="s">
        <v>296</v>
      </c>
      <c r="G640" t="s">
        <v>297</v>
      </c>
      <c r="H640" t="s">
        <v>298</v>
      </c>
      <c r="I640" s="6" t="s">
        <v>545</v>
      </c>
      <c r="J640" s="61" t="s">
        <v>22</v>
      </c>
      <c r="L640" s="5" t="str">
        <f t="shared" si="85"/>
        <v>00639</v>
      </c>
      <c r="M640" s="47" t="str">
        <f t="shared" si="86"/>
        <v>31 de octubre de 2017</v>
      </c>
      <c r="N640" s="323">
        <f t="shared" si="88"/>
        <v>31</v>
      </c>
      <c r="O640" s="25">
        <f t="shared" si="87"/>
        <v>43009</v>
      </c>
      <c r="P640" s="5" t="str">
        <f t="shared" si="97"/>
        <v>0,35</v>
      </c>
      <c r="Q640" s="4" t="str">
        <f t="shared" si="98"/>
        <v>Cero Bolívares con 35/100</v>
      </c>
    </row>
    <row r="641" spans="1:17" x14ac:dyDescent="0.25">
      <c r="A641" s="1">
        <f t="shared" si="91"/>
        <v>640</v>
      </c>
      <c r="C641" s="8" t="s">
        <v>17</v>
      </c>
      <c r="D641" s="2">
        <v>43027</v>
      </c>
      <c r="E641" s="3">
        <f>20000/100000</f>
        <v>0.2</v>
      </c>
      <c r="F641" t="s">
        <v>181</v>
      </c>
      <c r="G641" t="s">
        <v>182</v>
      </c>
      <c r="H641" t="s">
        <v>183</v>
      </c>
      <c r="I641" s="6" t="s">
        <v>546</v>
      </c>
      <c r="J641" s="61" t="s">
        <v>22</v>
      </c>
      <c r="L641" s="5" t="str">
        <f t="shared" si="85"/>
        <v>00640</v>
      </c>
      <c r="M641" s="47" t="str">
        <f t="shared" si="86"/>
        <v>19 de octubre de 2017</v>
      </c>
      <c r="N641" s="323">
        <f t="shared" si="88"/>
        <v>19</v>
      </c>
      <c r="O641" s="25">
        <f t="shared" si="87"/>
        <v>43009</v>
      </c>
      <c r="P641" s="5" t="str">
        <f t="shared" si="97"/>
        <v>0,20</v>
      </c>
      <c r="Q641" s="4" t="str">
        <f t="shared" si="98"/>
        <v>Cero Bolívares con 20/100</v>
      </c>
    </row>
    <row r="642" spans="1:17" x14ac:dyDescent="0.25">
      <c r="A642" s="1">
        <f t="shared" si="91"/>
        <v>641</v>
      </c>
      <c r="C642" s="8" t="s">
        <v>17</v>
      </c>
      <c r="D642" s="2">
        <v>43040</v>
      </c>
      <c r="E642" s="3">
        <f>35000/100000</f>
        <v>0.35</v>
      </c>
      <c r="F642" t="s">
        <v>62</v>
      </c>
      <c r="G642" t="s">
        <v>63</v>
      </c>
      <c r="H642" t="s">
        <v>64</v>
      </c>
      <c r="I642" s="6" t="s">
        <v>545</v>
      </c>
      <c r="J642" s="61" t="s">
        <v>22</v>
      </c>
      <c r="L642" s="5" t="str">
        <f t="shared" ref="L642:L705" si="99">IF(ISBLANK(A642),"",TEXT(A642,"00000"))</f>
        <v>00641</v>
      </c>
      <c r="M642" s="47" t="str">
        <f t="shared" ref="M642:M705" si="100">IF(ISBLANK(D642),"",TEXT(D642,"dd")&amp;" de "&amp;TEXT(D642,"mmmm")&amp;" de "&amp;TEXT(YEAR(D642),"0"))</f>
        <v>01 de noviembre de 2017</v>
      </c>
      <c r="N642" s="323">
        <f t="shared" si="88"/>
        <v>1</v>
      </c>
      <c r="O642" s="25">
        <f t="shared" ref="O642:O705" si="101">DATE(YEAR(D642),MONTH(D642),1)</f>
        <v>43040</v>
      </c>
      <c r="P642" s="5" t="str">
        <f t="shared" si="97"/>
        <v>0,35</v>
      </c>
      <c r="Q642" s="4" t="str">
        <f t="shared" si="98"/>
        <v>Cero Bolívares con 35/100</v>
      </c>
    </row>
    <row r="643" spans="1:17" x14ac:dyDescent="0.25">
      <c r="A643" s="1">
        <f t="shared" si="91"/>
        <v>642</v>
      </c>
      <c r="C643" s="8" t="s">
        <v>17</v>
      </c>
      <c r="D643" s="2">
        <v>43040</v>
      </c>
      <c r="E643" s="3">
        <f>35000/100000</f>
        <v>0.35</v>
      </c>
      <c r="F643" t="s">
        <v>80</v>
      </c>
      <c r="G643" t="s">
        <v>81</v>
      </c>
      <c r="H643" t="s">
        <v>82</v>
      </c>
      <c r="I643" s="6" t="s">
        <v>555</v>
      </c>
      <c r="J643" s="61" t="s">
        <v>22</v>
      </c>
      <c r="L643" s="5" t="str">
        <f t="shared" si="99"/>
        <v>00642</v>
      </c>
      <c r="M643" s="47" t="str">
        <f t="shared" si="100"/>
        <v>01 de noviembre de 2017</v>
      </c>
      <c r="N643" s="323">
        <f t="shared" ref="N643:N706" si="102">DAY(D643)</f>
        <v>1</v>
      </c>
      <c r="O643" s="25">
        <f t="shared" si="101"/>
        <v>43040</v>
      </c>
      <c r="P643" s="5" t="str">
        <f t="shared" si="97"/>
        <v>0,35</v>
      </c>
      <c r="Q643" s="4" t="str">
        <f t="shared" si="98"/>
        <v>Cero Bolívares con 35/100</v>
      </c>
    </row>
    <row r="644" spans="1:17" x14ac:dyDescent="0.25">
      <c r="A644" s="1">
        <f t="shared" ref="A644:A707" si="103">A643+1</f>
        <v>643</v>
      </c>
      <c r="C644" s="8" t="s">
        <v>17</v>
      </c>
      <c r="D644" s="2">
        <v>43041</v>
      </c>
      <c r="E644" s="3">
        <f>35000/100000</f>
        <v>0.35</v>
      </c>
      <c r="F644" t="s">
        <v>44</v>
      </c>
      <c r="G644" t="s">
        <v>45</v>
      </c>
      <c r="H644" t="s">
        <v>46</v>
      </c>
      <c r="I644" s="6" t="s">
        <v>555</v>
      </c>
      <c r="J644" s="61" t="s">
        <v>22</v>
      </c>
      <c r="L644" s="5" t="str">
        <f t="shared" si="99"/>
        <v>00643</v>
      </c>
      <c r="M644" s="47" t="str">
        <f t="shared" si="100"/>
        <v>02 de noviembre de 2017</v>
      </c>
      <c r="N644" s="323">
        <f t="shared" si="102"/>
        <v>2</v>
      </c>
      <c r="O644" s="25">
        <f t="shared" si="101"/>
        <v>43040</v>
      </c>
      <c r="P644" s="5" t="str">
        <f t="shared" si="97"/>
        <v>0,35</v>
      </c>
      <c r="Q644" s="4" t="str">
        <f t="shared" si="98"/>
        <v>Cero Bolívares con 35/100</v>
      </c>
    </row>
    <row r="645" spans="1:17" x14ac:dyDescent="0.25">
      <c r="A645" s="1">
        <f t="shared" si="103"/>
        <v>644</v>
      </c>
      <c r="C645" s="8" t="s">
        <v>17</v>
      </c>
      <c r="D645" s="2">
        <v>43040</v>
      </c>
      <c r="E645" s="3">
        <f>33000/100000+35000/100000</f>
        <v>0.67999999999999994</v>
      </c>
      <c r="F645" t="s">
        <v>259</v>
      </c>
      <c r="G645" s="18" t="s">
        <v>58</v>
      </c>
      <c r="H645" t="s">
        <v>261</v>
      </c>
      <c r="I645" s="6" t="s">
        <v>556</v>
      </c>
      <c r="J645" s="61" t="s">
        <v>22</v>
      </c>
      <c r="L645" s="5" t="str">
        <f t="shared" si="99"/>
        <v>00644</v>
      </c>
      <c r="M645" s="47" t="str">
        <f t="shared" si="100"/>
        <v>01 de noviembre de 2017</v>
      </c>
      <c r="N645" s="323">
        <f t="shared" si="102"/>
        <v>1</v>
      </c>
      <c r="O645" s="25">
        <f t="shared" si="101"/>
        <v>43040</v>
      </c>
      <c r="P645" s="5" t="str">
        <f t="shared" si="97"/>
        <v>0,68</v>
      </c>
      <c r="Q645" s="4" t="str">
        <f t="shared" si="98"/>
        <v>Cero Bolívares con 68/100</v>
      </c>
    </row>
    <row r="646" spans="1:17" x14ac:dyDescent="0.25">
      <c r="A646" s="1">
        <f t="shared" si="103"/>
        <v>645</v>
      </c>
      <c r="C646" s="8" t="s">
        <v>17</v>
      </c>
      <c r="D646" s="2">
        <v>43041</v>
      </c>
      <c r="E646" s="3">
        <f>70000/100000</f>
        <v>0.7</v>
      </c>
      <c r="F646" t="s">
        <v>162</v>
      </c>
      <c r="G646" t="s">
        <v>163</v>
      </c>
      <c r="H646" t="s">
        <v>164</v>
      </c>
      <c r="I646" s="6" t="s">
        <v>529</v>
      </c>
      <c r="J646" s="61" t="s">
        <v>22</v>
      </c>
      <c r="L646" s="5" t="str">
        <f t="shared" si="99"/>
        <v>00645</v>
      </c>
      <c r="M646" s="47" t="str">
        <f t="shared" si="100"/>
        <v>02 de noviembre de 2017</v>
      </c>
      <c r="N646" s="323">
        <f t="shared" si="102"/>
        <v>2</v>
      </c>
      <c r="O646" s="25">
        <f t="shared" si="101"/>
        <v>43040</v>
      </c>
      <c r="P646" s="5" t="str">
        <f t="shared" si="97"/>
        <v>0,70</v>
      </c>
      <c r="Q646" s="4" t="str">
        <f t="shared" si="98"/>
        <v>Cero Bolívares con 70/100</v>
      </c>
    </row>
    <row r="647" spans="1:17" x14ac:dyDescent="0.25">
      <c r="A647" s="1">
        <f t="shared" si="103"/>
        <v>646</v>
      </c>
      <c r="C647" s="8" t="s">
        <v>17</v>
      </c>
      <c r="D647" s="2">
        <v>43041</v>
      </c>
      <c r="E647" s="3">
        <f>35000/100000</f>
        <v>0.35</v>
      </c>
      <c r="F647" t="s">
        <v>40</v>
      </c>
      <c r="G647" t="s">
        <v>41</v>
      </c>
      <c r="H647" t="s">
        <v>42</v>
      </c>
      <c r="I647" s="6" t="s">
        <v>555</v>
      </c>
      <c r="J647" s="61" t="s">
        <v>22</v>
      </c>
      <c r="L647" s="5" t="str">
        <f t="shared" si="99"/>
        <v>00646</v>
      </c>
      <c r="M647" s="47" t="str">
        <f t="shared" si="100"/>
        <v>02 de noviembre de 2017</v>
      </c>
      <c r="N647" s="323">
        <f t="shared" si="102"/>
        <v>2</v>
      </c>
      <c r="O647" s="25">
        <f t="shared" si="101"/>
        <v>43040</v>
      </c>
      <c r="P647" s="5" t="str">
        <f>TEXT(E647,"#.##0,00")</f>
        <v>0,35</v>
      </c>
      <c r="Q647" s="4" t="str">
        <f>CONVERTIRNUM(E647)</f>
        <v>Cero Bolívares con 35/100</v>
      </c>
    </row>
    <row r="648" spans="1:17" x14ac:dyDescent="0.25">
      <c r="A648" s="1">
        <f t="shared" si="103"/>
        <v>647</v>
      </c>
      <c r="C648" s="8" t="s">
        <v>17</v>
      </c>
      <c r="D648" s="2">
        <v>43041</v>
      </c>
      <c r="E648" s="3">
        <f>70000/100000</f>
        <v>0.7</v>
      </c>
      <c r="F648" t="s">
        <v>280</v>
      </c>
      <c r="G648" t="s">
        <v>281</v>
      </c>
      <c r="H648" t="s">
        <v>282</v>
      </c>
      <c r="I648" s="6" t="s">
        <v>557</v>
      </c>
      <c r="J648" s="61" t="s">
        <v>22</v>
      </c>
      <c r="L648" s="5" t="str">
        <f t="shared" si="99"/>
        <v>00647</v>
      </c>
      <c r="M648" s="47" t="str">
        <f t="shared" si="100"/>
        <v>02 de noviembre de 2017</v>
      </c>
      <c r="N648" s="323">
        <f t="shared" si="102"/>
        <v>2</v>
      </c>
      <c r="O648" s="25">
        <f t="shared" si="101"/>
        <v>43040</v>
      </c>
      <c r="P648" s="5" t="str">
        <f>TEXT(E648,"#.##0,00")</f>
        <v>0,70</v>
      </c>
      <c r="Q648" s="4" t="str">
        <f>CONVERTIRNUM(E648)</f>
        <v>Cero Bolívares con 70/100</v>
      </c>
    </row>
    <row r="649" spans="1:17" x14ac:dyDescent="0.25">
      <c r="A649" s="1">
        <f t="shared" si="103"/>
        <v>648</v>
      </c>
      <c r="C649" s="8" t="s">
        <v>17</v>
      </c>
      <c r="D649" s="2">
        <v>43041</v>
      </c>
      <c r="E649" s="3">
        <f>50000/100000</f>
        <v>0.5</v>
      </c>
      <c r="F649" t="s">
        <v>558</v>
      </c>
      <c r="G649" t="s">
        <v>559</v>
      </c>
      <c r="H649" t="s">
        <v>560</v>
      </c>
      <c r="I649" s="6" t="s">
        <v>561</v>
      </c>
      <c r="J649" s="61" t="s">
        <v>22</v>
      </c>
      <c r="L649" s="5" t="str">
        <f t="shared" si="99"/>
        <v>00648</v>
      </c>
      <c r="M649" s="47" t="str">
        <f t="shared" si="100"/>
        <v>02 de noviembre de 2017</v>
      </c>
      <c r="N649" s="323">
        <f t="shared" si="102"/>
        <v>2</v>
      </c>
      <c r="O649" s="25">
        <f t="shared" si="101"/>
        <v>43040</v>
      </c>
      <c r="P649" s="5" t="str">
        <f t="shared" ref="P649:P685" si="104">TEXT(E649,"#.##0,00")</f>
        <v>0,50</v>
      </c>
      <c r="Q649" s="4" t="str">
        <f t="shared" ref="Q649:Q685" si="105">CONVERTIRNUM(E649)</f>
        <v>Cero Bolívares con 50/100</v>
      </c>
    </row>
    <row r="650" spans="1:17" x14ac:dyDescent="0.25">
      <c r="A650" s="1">
        <f t="shared" si="103"/>
        <v>649</v>
      </c>
      <c r="C650" s="8" t="s">
        <v>17</v>
      </c>
      <c r="D650" s="2">
        <v>43042</v>
      </c>
      <c r="E650" s="3">
        <f>50000/100000</f>
        <v>0.5</v>
      </c>
      <c r="F650" t="s">
        <v>24</v>
      </c>
      <c r="G650" t="s">
        <v>25</v>
      </c>
      <c r="H650" t="s">
        <v>26</v>
      </c>
      <c r="I650" s="6" t="s">
        <v>561</v>
      </c>
      <c r="J650" s="61" t="s">
        <v>22</v>
      </c>
      <c r="L650" s="5" t="str">
        <f t="shared" si="99"/>
        <v>00649</v>
      </c>
      <c r="M650" s="47" t="str">
        <f t="shared" si="100"/>
        <v>03 de noviembre de 2017</v>
      </c>
      <c r="N650" s="323">
        <f t="shared" si="102"/>
        <v>3</v>
      </c>
      <c r="O650" s="25">
        <f t="shared" si="101"/>
        <v>43040</v>
      </c>
      <c r="P650" s="5" t="str">
        <f t="shared" si="104"/>
        <v>0,50</v>
      </c>
      <c r="Q650" s="4" t="str">
        <f t="shared" si="105"/>
        <v>Cero Bolívares con 50/100</v>
      </c>
    </row>
    <row r="651" spans="1:17" x14ac:dyDescent="0.25">
      <c r="A651" s="1">
        <f t="shared" si="103"/>
        <v>650</v>
      </c>
      <c r="C651" s="8" t="s">
        <v>17</v>
      </c>
      <c r="D651" s="2">
        <v>43043</v>
      </c>
      <c r="E651" s="3">
        <f>35000*3/100000</f>
        <v>1.05</v>
      </c>
      <c r="F651" t="s">
        <v>312</v>
      </c>
      <c r="G651" t="s">
        <v>313</v>
      </c>
      <c r="H651" t="s">
        <v>314</v>
      </c>
      <c r="I651" s="6" t="s">
        <v>562</v>
      </c>
      <c r="J651" s="61" t="s">
        <v>22</v>
      </c>
      <c r="L651" s="5" t="str">
        <f t="shared" si="99"/>
        <v>00650</v>
      </c>
      <c r="M651" s="47" t="str">
        <f t="shared" si="100"/>
        <v>04 de noviembre de 2017</v>
      </c>
      <c r="N651" s="323">
        <f t="shared" si="102"/>
        <v>4</v>
      </c>
      <c r="O651" s="25">
        <f t="shared" si="101"/>
        <v>43040</v>
      </c>
      <c r="P651" s="5" t="str">
        <f t="shared" si="104"/>
        <v>1,05</v>
      </c>
      <c r="Q651" s="4" t="str">
        <f t="shared" si="105"/>
        <v>Un Bolívares con 05/100</v>
      </c>
    </row>
    <row r="652" spans="1:17" x14ac:dyDescent="0.25">
      <c r="A652" s="1">
        <f t="shared" si="103"/>
        <v>651</v>
      </c>
      <c r="C652" s="8" t="s">
        <v>17</v>
      </c>
      <c r="D652" s="2">
        <v>43047</v>
      </c>
      <c r="E652" s="3">
        <f>36000/100000+4850/100000-5850/100000</f>
        <v>0.35</v>
      </c>
      <c r="F652" t="s">
        <v>324</v>
      </c>
      <c r="G652" t="s">
        <v>325</v>
      </c>
      <c r="H652" t="s">
        <v>326</v>
      </c>
      <c r="I652" s="6" t="s">
        <v>563</v>
      </c>
      <c r="J652" s="61" t="s">
        <v>22</v>
      </c>
      <c r="L652" s="5" t="str">
        <f t="shared" si="99"/>
        <v>00651</v>
      </c>
      <c r="M652" s="47" t="str">
        <f t="shared" si="100"/>
        <v>08 de noviembre de 2017</v>
      </c>
      <c r="N652" s="323">
        <f t="shared" si="102"/>
        <v>8</v>
      </c>
      <c r="O652" s="25">
        <f t="shared" si="101"/>
        <v>43040</v>
      </c>
      <c r="P652" s="5" t="str">
        <f t="shared" si="104"/>
        <v>0,35</v>
      </c>
      <c r="Q652" s="4" t="str">
        <f t="shared" si="105"/>
        <v>Cero Bolívares con 35/100</v>
      </c>
    </row>
    <row r="653" spans="1:17" x14ac:dyDescent="0.25">
      <c r="A653" s="1">
        <f t="shared" si="103"/>
        <v>652</v>
      </c>
      <c r="C653" s="8" t="s">
        <v>17</v>
      </c>
      <c r="D653" s="2">
        <v>43046</v>
      </c>
      <c r="E653" s="3">
        <f>50000/100000</f>
        <v>0.5</v>
      </c>
      <c r="F653" t="s">
        <v>18</v>
      </c>
      <c r="G653" t="s">
        <v>19</v>
      </c>
      <c r="H653" t="s">
        <v>20</v>
      </c>
      <c r="I653" s="6" t="s">
        <v>564</v>
      </c>
      <c r="J653" s="61" t="s">
        <v>22</v>
      </c>
      <c r="L653" s="5" t="str">
        <f t="shared" si="99"/>
        <v>00652</v>
      </c>
      <c r="M653" s="47" t="str">
        <f t="shared" si="100"/>
        <v>07 de noviembre de 2017</v>
      </c>
      <c r="N653" s="323">
        <f t="shared" si="102"/>
        <v>7</v>
      </c>
      <c r="O653" s="25">
        <f t="shared" si="101"/>
        <v>43040</v>
      </c>
      <c r="P653" s="5" t="str">
        <f t="shared" si="104"/>
        <v>0,50</v>
      </c>
      <c r="Q653" s="4" t="str">
        <f t="shared" si="105"/>
        <v>Cero Bolívares con 50/100</v>
      </c>
    </row>
    <row r="654" spans="1:17" x14ac:dyDescent="0.25">
      <c r="A654" s="178">
        <f t="shared" si="103"/>
        <v>653</v>
      </c>
      <c r="C654" s="8" t="s">
        <v>17</v>
      </c>
      <c r="D654" s="2">
        <v>43046</v>
      </c>
      <c r="E654" s="3">
        <f>50000/100000</f>
        <v>0.5</v>
      </c>
      <c r="F654" t="s">
        <v>438</v>
      </c>
      <c r="G654" t="s">
        <v>439</v>
      </c>
      <c r="H654" t="s">
        <v>440</v>
      </c>
      <c r="I654" s="6" t="s">
        <v>565</v>
      </c>
      <c r="J654" s="61" t="s">
        <v>22</v>
      </c>
      <c r="L654" s="5" t="str">
        <f t="shared" si="99"/>
        <v>00653</v>
      </c>
      <c r="M654" s="47" t="str">
        <f t="shared" si="100"/>
        <v>07 de noviembre de 2017</v>
      </c>
      <c r="N654" s="323">
        <f t="shared" si="102"/>
        <v>7</v>
      </c>
      <c r="O654" s="25">
        <f t="shared" si="101"/>
        <v>43040</v>
      </c>
      <c r="P654" s="5" t="str">
        <f t="shared" si="104"/>
        <v>0,50</v>
      </c>
      <c r="Q654" s="4" t="str">
        <f t="shared" si="105"/>
        <v>Cero Bolívares con 50/100</v>
      </c>
    </row>
    <row r="655" spans="1:17" x14ac:dyDescent="0.25">
      <c r="A655" s="1">
        <f t="shared" si="103"/>
        <v>654</v>
      </c>
      <c r="C655" s="8" t="s">
        <v>17</v>
      </c>
      <c r="D655" s="2">
        <v>43047</v>
      </c>
      <c r="E655" s="3">
        <f>50000/100000</f>
        <v>0.5</v>
      </c>
      <c r="F655" t="s">
        <v>70</v>
      </c>
      <c r="G655" t="s">
        <v>71</v>
      </c>
      <c r="H655" t="s">
        <v>72</v>
      </c>
      <c r="I655" s="6" t="s">
        <v>561</v>
      </c>
      <c r="J655" s="61" t="s">
        <v>22</v>
      </c>
      <c r="L655" s="5" t="str">
        <f t="shared" si="99"/>
        <v>00654</v>
      </c>
      <c r="M655" s="47" t="str">
        <f t="shared" si="100"/>
        <v>08 de noviembre de 2017</v>
      </c>
      <c r="N655" s="323">
        <f t="shared" si="102"/>
        <v>8</v>
      </c>
      <c r="O655" s="25">
        <f t="shared" si="101"/>
        <v>43040</v>
      </c>
      <c r="P655" s="5" t="str">
        <f t="shared" si="104"/>
        <v>0,50</v>
      </c>
      <c r="Q655" s="4" t="str">
        <f t="shared" si="105"/>
        <v>Cero Bolívares con 50/100</v>
      </c>
    </row>
    <row r="656" spans="1:17" x14ac:dyDescent="0.25">
      <c r="A656" s="1">
        <f t="shared" si="103"/>
        <v>655</v>
      </c>
      <c r="C656" s="8" t="s">
        <v>17</v>
      </c>
      <c r="D656" s="2">
        <v>43049</v>
      </c>
      <c r="E656" s="3">
        <f>30000/100000</f>
        <v>0.3</v>
      </c>
      <c r="F656" t="s">
        <v>84</v>
      </c>
      <c r="G656" t="s">
        <v>85</v>
      </c>
      <c r="H656" t="s">
        <v>86</v>
      </c>
      <c r="I656" s="6" t="s">
        <v>566</v>
      </c>
      <c r="J656" s="61" t="s">
        <v>22</v>
      </c>
      <c r="L656" s="5" t="str">
        <f t="shared" si="99"/>
        <v>00655</v>
      </c>
      <c r="M656" s="47" t="str">
        <f t="shared" si="100"/>
        <v>10 de noviembre de 2017</v>
      </c>
      <c r="N656" s="323">
        <f t="shared" si="102"/>
        <v>10</v>
      </c>
      <c r="O656" s="25">
        <f t="shared" si="101"/>
        <v>43040</v>
      </c>
      <c r="P656" s="5" t="str">
        <f t="shared" si="104"/>
        <v>0,30</v>
      </c>
      <c r="Q656" s="4" t="str">
        <f t="shared" si="105"/>
        <v>Cero Bolívares con 30/100</v>
      </c>
    </row>
    <row r="657" spans="1:17" x14ac:dyDescent="0.25">
      <c r="A657" s="1">
        <f t="shared" si="103"/>
        <v>656</v>
      </c>
      <c r="C657" s="8" t="s">
        <v>17</v>
      </c>
      <c r="D657" s="2">
        <v>43048</v>
      </c>
      <c r="E657" s="3">
        <f>50000/100000</f>
        <v>0.5</v>
      </c>
      <c r="F657" t="s">
        <v>185</v>
      </c>
      <c r="G657" t="s">
        <v>186</v>
      </c>
      <c r="H657" t="s">
        <v>187</v>
      </c>
      <c r="I657" s="6" t="s">
        <v>561</v>
      </c>
      <c r="J657" s="61" t="s">
        <v>22</v>
      </c>
      <c r="L657" s="5" t="str">
        <f t="shared" si="99"/>
        <v>00656</v>
      </c>
      <c r="M657" s="47" t="str">
        <f t="shared" si="100"/>
        <v>09 de noviembre de 2017</v>
      </c>
      <c r="N657" s="323">
        <f t="shared" si="102"/>
        <v>9</v>
      </c>
      <c r="O657" s="25">
        <f t="shared" si="101"/>
        <v>43040</v>
      </c>
      <c r="P657" s="5" t="str">
        <f t="shared" si="104"/>
        <v>0,50</v>
      </c>
      <c r="Q657" s="4" t="str">
        <f t="shared" si="105"/>
        <v>Cero Bolívares con 50/100</v>
      </c>
    </row>
    <row r="658" spans="1:17" x14ac:dyDescent="0.25">
      <c r="A658" s="1">
        <f t="shared" si="103"/>
        <v>657</v>
      </c>
      <c r="C658" s="8" t="s">
        <v>17</v>
      </c>
      <c r="D658" s="2">
        <v>43048</v>
      </c>
      <c r="E658" s="3">
        <f>35000/100000+50000/100000</f>
        <v>0.85</v>
      </c>
      <c r="F658" t="s">
        <v>162</v>
      </c>
      <c r="G658" t="s">
        <v>163</v>
      </c>
      <c r="H658" t="s">
        <v>164</v>
      </c>
      <c r="I658" s="6" t="s">
        <v>567</v>
      </c>
      <c r="J658" s="61" t="s">
        <v>22</v>
      </c>
      <c r="L658" s="5" t="str">
        <f t="shared" si="99"/>
        <v>00657</v>
      </c>
      <c r="M658" s="47" t="str">
        <f t="shared" si="100"/>
        <v>09 de noviembre de 2017</v>
      </c>
      <c r="N658" s="323">
        <f t="shared" si="102"/>
        <v>9</v>
      </c>
      <c r="O658" s="25">
        <f t="shared" si="101"/>
        <v>43040</v>
      </c>
      <c r="P658" s="5" t="str">
        <f t="shared" si="104"/>
        <v>0,85</v>
      </c>
      <c r="Q658" s="4" t="str">
        <f t="shared" si="105"/>
        <v>Cero Bolívares con 85/100</v>
      </c>
    </row>
    <row r="659" spans="1:17" x14ac:dyDescent="0.25">
      <c r="A659" s="1">
        <f t="shared" si="103"/>
        <v>658</v>
      </c>
      <c r="C659" s="8" t="s">
        <v>17</v>
      </c>
      <c r="D659" s="2">
        <v>43049</v>
      </c>
      <c r="E659" s="3">
        <f>35000/100000+50000/100000+50000/100000</f>
        <v>1.35</v>
      </c>
      <c r="F659" t="s">
        <v>90</v>
      </c>
      <c r="G659" t="s">
        <v>91</v>
      </c>
      <c r="H659" t="s">
        <v>92</v>
      </c>
      <c r="I659" s="6" t="s">
        <v>568</v>
      </c>
      <c r="J659" s="61" t="s">
        <v>22</v>
      </c>
      <c r="L659" s="5" t="str">
        <f t="shared" si="99"/>
        <v>00658</v>
      </c>
      <c r="M659" s="47" t="str">
        <f t="shared" si="100"/>
        <v>10 de noviembre de 2017</v>
      </c>
      <c r="N659" s="323">
        <f t="shared" si="102"/>
        <v>10</v>
      </c>
      <c r="O659" s="25">
        <f t="shared" si="101"/>
        <v>43040</v>
      </c>
      <c r="P659" s="5" t="str">
        <f t="shared" si="104"/>
        <v>1,35</v>
      </c>
      <c r="Q659" s="4" t="str">
        <f t="shared" si="105"/>
        <v>Un Bolívares con 35/100</v>
      </c>
    </row>
    <row r="660" spans="1:17" x14ac:dyDescent="0.25">
      <c r="A660" s="1">
        <f t="shared" si="103"/>
        <v>659</v>
      </c>
      <c r="C660" s="8" t="s">
        <v>17</v>
      </c>
      <c r="D660" s="2">
        <v>43049</v>
      </c>
      <c r="E660" s="3">
        <f>35000/100000</f>
        <v>0.35</v>
      </c>
      <c r="F660" t="s">
        <v>48</v>
      </c>
      <c r="G660" t="s">
        <v>49</v>
      </c>
      <c r="H660" t="s">
        <v>50</v>
      </c>
      <c r="I660" s="6" t="s">
        <v>566</v>
      </c>
      <c r="J660" s="61" t="s">
        <v>22</v>
      </c>
      <c r="L660" s="5" t="str">
        <f t="shared" si="99"/>
        <v>00659</v>
      </c>
      <c r="M660" s="47" t="str">
        <f t="shared" si="100"/>
        <v>10 de noviembre de 2017</v>
      </c>
      <c r="N660" s="323">
        <f t="shared" si="102"/>
        <v>10</v>
      </c>
      <c r="O660" s="25">
        <f t="shared" si="101"/>
        <v>43040</v>
      </c>
      <c r="P660" s="5" t="str">
        <f t="shared" si="104"/>
        <v>0,35</v>
      </c>
      <c r="Q660" s="4" t="str">
        <f t="shared" si="105"/>
        <v>Cero Bolívares con 35/100</v>
      </c>
    </row>
    <row r="661" spans="1:17" x14ac:dyDescent="0.25">
      <c r="A661" s="1">
        <f t="shared" si="103"/>
        <v>660</v>
      </c>
      <c r="C661" s="8" t="s">
        <v>17</v>
      </c>
      <c r="D661" s="2">
        <v>43050</v>
      </c>
      <c r="E661" s="3">
        <f>2*35000/100000+50000/100000</f>
        <v>1.2</v>
      </c>
      <c r="F661" t="s">
        <v>287</v>
      </c>
      <c r="G661" t="s">
        <v>288</v>
      </c>
      <c r="H661" t="s">
        <v>289</v>
      </c>
      <c r="I661" s="6" t="s">
        <v>569</v>
      </c>
      <c r="J661" s="61" t="s">
        <v>22</v>
      </c>
      <c r="L661" s="5" t="str">
        <f t="shared" si="99"/>
        <v>00660</v>
      </c>
      <c r="M661" s="47" t="str">
        <f t="shared" si="100"/>
        <v>11 de noviembre de 2017</v>
      </c>
      <c r="N661" s="323">
        <f t="shared" si="102"/>
        <v>11</v>
      </c>
      <c r="O661" s="25">
        <f t="shared" si="101"/>
        <v>43040</v>
      </c>
      <c r="P661" s="5" t="str">
        <f t="shared" si="104"/>
        <v>1,20</v>
      </c>
      <c r="Q661" s="4" t="str">
        <f t="shared" si="105"/>
        <v>Un Bolívares con 20/100</v>
      </c>
    </row>
    <row r="662" spans="1:17" x14ac:dyDescent="0.25">
      <c r="A662" s="1">
        <f t="shared" si="103"/>
        <v>661</v>
      </c>
      <c r="C662" s="8" t="s">
        <v>17</v>
      </c>
      <c r="D662" s="2">
        <v>43050</v>
      </c>
      <c r="E662" s="3">
        <f>50000/100000</f>
        <v>0.5</v>
      </c>
      <c r="F662" t="s">
        <v>36</v>
      </c>
      <c r="G662" t="s">
        <v>37</v>
      </c>
      <c r="H662" t="s">
        <v>38</v>
      </c>
      <c r="I662" s="6" t="s">
        <v>561</v>
      </c>
      <c r="J662" s="61" t="s">
        <v>22</v>
      </c>
      <c r="L662" s="5" t="str">
        <f t="shared" si="99"/>
        <v>00661</v>
      </c>
      <c r="M662" s="47" t="str">
        <f t="shared" si="100"/>
        <v>11 de noviembre de 2017</v>
      </c>
      <c r="N662" s="323">
        <f t="shared" si="102"/>
        <v>11</v>
      </c>
      <c r="O662" s="25">
        <f t="shared" si="101"/>
        <v>43040</v>
      </c>
      <c r="P662" s="5" t="str">
        <f t="shared" si="104"/>
        <v>0,50</v>
      </c>
      <c r="Q662" s="4" t="str">
        <f t="shared" si="105"/>
        <v>Cero Bolívares con 50/100</v>
      </c>
    </row>
    <row r="663" spans="1:17" x14ac:dyDescent="0.25">
      <c r="A663" s="1">
        <f t="shared" si="103"/>
        <v>662</v>
      </c>
      <c r="C663" s="8" t="s">
        <v>17</v>
      </c>
      <c r="D663" s="2">
        <v>43051</v>
      </c>
      <c r="E663" s="3">
        <f>35000/100000+50000/100000</f>
        <v>0.85</v>
      </c>
      <c r="F663" t="s">
        <v>219</v>
      </c>
      <c r="G663" t="s">
        <v>220</v>
      </c>
      <c r="H663" t="s">
        <v>221</v>
      </c>
      <c r="I663" s="6" t="s">
        <v>567</v>
      </c>
      <c r="J663" s="61" t="s">
        <v>22</v>
      </c>
      <c r="L663" s="5" t="str">
        <f t="shared" si="99"/>
        <v>00662</v>
      </c>
      <c r="M663" s="47" t="str">
        <f t="shared" si="100"/>
        <v>12 de noviembre de 2017</v>
      </c>
      <c r="N663" s="323">
        <f t="shared" si="102"/>
        <v>12</v>
      </c>
      <c r="O663" s="25">
        <f t="shared" si="101"/>
        <v>43040</v>
      </c>
      <c r="P663" s="5" t="str">
        <f t="shared" si="104"/>
        <v>0,85</v>
      </c>
      <c r="Q663" s="4" t="str">
        <f t="shared" si="105"/>
        <v>Cero Bolívares con 85/100</v>
      </c>
    </row>
    <row r="664" spans="1:17" x14ac:dyDescent="0.25">
      <c r="A664" s="1">
        <f t="shared" si="103"/>
        <v>663</v>
      </c>
      <c r="C664" s="8" t="s">
        <v>17</v>
      </c>
      <c r="D664" s="2">
        <v>43051</v>
      </c>
      <c r="E664" s="3">
        <f>10000/100000</f>
        <v>0.1</v>
      </c>
      <c r="F664" t="s">
        <v>144</v>
      </c>
      <c r="G664" t="s">
        <v>145</v>
      </c>
      <c r="H664" t="s">
        <v>146</v>
      </c>
      <c r="I664" s="6" t="s">
        <v>566</v>
      </c>
      <c r="J664" s="61" t="s">
        <v>22</v>
      </c>
      <c r="L664" s="5" t="str">
        <f t="shared" si="99"/>
        <v>00663</v>
      </c>
      <c r="M664" s="47" t="str">
        <f t="shared" si="100"/>
        <v>12 de noviembre de 2017</v>
      </c>
      <c r="N664" s="323">
        <f t="shared" si="102"/>
        <v>12</v>
      </c>
      <c r="O664" s="25">
        <f t="shared" si="101"/>
        <v>43040</v>
      </c>
      <c r="P664" s="5" t="str">
        <f t="shared" si="104"/>
        <v>0,10</v>
      </c>
      <c r="Q664" s="4" t="str">
        <f t="shared" si="105"/>
        <v>Cero Bolívares con 10/100</v>
      </c>
    </row>
    <row r="665" spans="1:17" x14ac:dyDescent="0.25">
      <c r="A665" s="1">
        <f t="shared" si="103"/>
        <v>664</v>
      </c>
      <c r="C665" s="8" t="s">
        <v>17</v>
      </c>
      <c r="D665" s="2">
        <v>43053</v>
      </c>
      <c r="E665" s="3">
        <f>50000/100000</f>
        <v>0.5</v>
      </c>
      <c r="F665" t="s">
        <v>107</v>
      </c>
      <c r="G665" t="s">
        <v>108</v>
      </c>
      <c r="H665" t="s">
        <v>109</v>
      </c>
      <c r="I665" s="6" t="s">
        <v>561</v>
      </c>
      <c r="J665" s="61" t="s">
        <v>22</v>
      </c>
      <c r="L665" s="5" t="str">
        <f t="shared" si="99"/>
        <v>00664</v>
      </c>
      <c r="M665" s="47" t="str">
        <f t="shared" si="100"/>
        <v>14 de noviembre de 2017</v>
      </c>
      <c r="N665" s="323">
        <f t="shared" si="102"/>
        <v>14</v>
      </c>
      <c r="O665" s="25">
        <f t="shared" si="101"/>
        <v>43040</v>
      </c>
      <c r="P665" s="5" t="str">
        <f t="shared" si="104"/>
        <v>0,50</v>
      </c>
      <c r="Q665" s="4" t="str">
        <f t="shared" si="105"/>
        <v>Cero Bolívares con 50/100</v>
      </c>
    </row>
    <row r="666" spans="1:17" x14ac:dyDescent="0.25">
      <c r="A666" s="1">
        <f t="shared" si="103"/>
        <v>665</v>
      </c>
      <c r="C666" s="8" t="s">
        <v>17</v>
      </c>
      <c r="D666" s="2">
        <v>43052</v>
      </c>
      <c r="E666" s="3">
        <f>20000/100000</f>
        <v>0.2</v>
      </c>
      <c r="F666" t="s">
        <v>118</v>
      </c>
      <c r="G666" t="s">
        <v>119</v>
      </c>
      <c r="H666" t="s">
        <v>120</v>
      </c>
      <c r="I666" s="6" t="s">
        <v>546</v>
      </c>
      <c r="J666" s="61" t="s">
        <v>22</v>
      </c>
      <c r="L666" s="5" t="str">
        <f t="shared" si="99"/>
        <v>00665</v>
      </c>
      <c r="M666" s="47" t="str">
        <f t="shared" si="100"/>
        <v>13 de noviembre de 2017</v>
      </c>
      <c r="N666" s="323">
        <f t="shared" si="102"/>
        <v>13</v>
      </c>
      <c r="O666" s="25">
        <f t="shared" si="101"/>
        <v>43040</v>
      </c>
      <c r="P666" s="5" t="str">
        <f t="shared" si="104"/>
        <v>0,20</v>
      </c>
      <c r="Q666" s="4" t="str">
        <f t="shared" si="105"/>
        <v>Cero Bolívares con 20/100</v>
      </c>
    </row>
    <row r="667" spans="1:17" x14ac:dyDescent="0.25">
      <c r="A667" s="1">
        <f t="shared" si="103"/>
        <v>666</v>
      </c>
      <c r="C667" s="8" t="s">
        <v>17</v>
      </c>
      <c r="D667" s="2">
        <v>43048</v>
      </c>
      <c r="E667" s="3">
        <f>35000/100000</f>
        <v>0.35</v>
      </c>
      <c r="F667" t="s">
        <v>319</v>
      </c>
      <c r="G667" s="18" t="s">
        <v>58</v>
      </c>
      <c r="H667" t="s">
        <v>320</v>
      </c>
      <c r="I667" s="6" t="s">
        <v>545</v>
      </c>
      <c r="J667" s="61" t="s">
        <v>22</v>
      </c>
      <c r="L667" s="5" t="str">
        <f t="shared" si="99"/>
        <v>00666</v>
      </c>
      <c r="M667" s="47" t="str">
        <f t="shared" si="100"/>
        <v>09 de noviembre de 2017</v>
      </c>
      <c r="N667" s="323">
        <f t="shared" si="102"/>
        <v>9</v>
      </c>
      <c r="O667" s="25">
        <f t="shared" si="101"/>
        <v>43040</v>
      </c>
      <c r="P667" s="5" t="str">
        <f t="shared" si="104"/>
        <v>0,35</v>
      </c>
      <c r="Q667" s="4" t="str">
        <f t="shared" si="105"/>
        <v>Cero Bolívares con 35/100</v>
      </c>
    </row>
    <row r="668" spans="1:17" x14ac:dyDescent="0.25">
      <c r="A668" s="1">
        <f t="shared" si="103"/>
        <v>667</v>
      </c>
      <c r="C668" s="8" t="s">
        <v>17</v>
      </c>
      <c r="D668" s="2">
        <v>43053</v>
      </c>
      <c r="E668" s="3">
        <f>35000/100000+50000/100000</f>
        <v>0.85</v>
      </c>
      <c r="F668" t="s">
        <v>264</v>
      </c>
      <c r="G668" t="s">
        <v>265</v>
      </c>
      <c r="H668" t="s">
        <v>266</v>
      </c>
      <c r="I668" s="6" t="s">
        <v>567</v>
      </c>
      <c r="J668" s="61" t="s">
        <v>22</v>
      </c>
      <c r="L668" s="5" t="str">
        <f t="shared" si="99"/>
        <v>00667</v>
      </c>
      <c r="M668" s="47" t="str">
        <f t="shared" si="100"/>
        <v>14 de noviembre de 2017</v>
      </c>
      <c r="N668" s="323">
        <f t="shared" si="102"/>
        <v>14</v>
      </c>
      <c r="O668" s="25">
        <f t="shared" si="101"/>
        <v>43040</v>
      </c>
      <c r="P668" s="5" t="str">
        <f t="shared" si="104"/>
        <v>0,85</v>
      </c>
      <c r="Q668" s="4" t="str">
        <f t="shared" si="105"/>
        <v>Cero Bolívares con 85/100</v>
      </c>
    </row>
    <row r="669" spans="1:17" x14ac:dyDescent="0.25">
      <c r="A669" s="1">
        <f t="shared" si="103"/>
        <v>668</v>
      </c>
      <c r="C669" s="8" t="s">
        <v>17</v>
      </c>
      <c r="D669" s="2">
        <v>43053</v>
      </c>
      <c r="E669" s="3">
        <f>35000/100000</f>
        <v>0.35</v>
      </c>
      <c r="F669" t="s">
        <v>201</v>
      </c>
      <c r="G669" t="s">
        <v>202</v>
      </c>
      <c r="H669" t="s">
        <v>203</v>
      </c>
      <c r="I669" s="6" t="s">
        <v>545</v>
      </c>
      <c r="J669" s="61" t="s">
        <v>22</v>
      </c>
      <c r="L669" s="5" t="str">
        <f t="shared" si="99"/>
        <v>00668</v>
      </c>
      <c r="M669" s="47" t="str">
        <f t="shared" si="100"/>
        <v>14 de noviembre de 2017</v>
      </c>
      <c r="N669" s="323">
        <f t="shared" si="102"/>
        <v>14</v>
      </c>
      <c r="O669" s="25">
        <f t="shared" si="101"/>
        <v>43040</v>
      </c>
      <c r="P669" s="5" t="str">
        <f t="shared" si="104"/>
        <v>0,35</v>
      </c>
      <c r="Q669" s="4" t="str">
        <f t="shared" si="105"/>
        <v>Cero Bolívares con 35/100</v>
      </c>
    </row>
    <row r="670" spans="1:17" x14ac:dyDescent="0.25">
      <c r="A670" s="1">
        <f t="shared" si="103"/>
        <v>669</v>
      </c>
      <c r="C670" s="8" t="s">
        <v>17</v>
      </c>
      <c r="D670" s="2">
        <v>43053</v>
      </c>
      <c r="E670" s="3">
        <f>2*50000/100000</f>
        <v>1</v>
      </c>
      <c r="F670" t="s">
        <v>66</v>
      </c>
      <c r="G670" t="s">
        <v>67</v>
      </c>
      <c r="H670" t="s">
        <v>68</v>
      </c>
      <c r="I670" s="6" t="s">
        <v>570</v>
      </c>
      <c r="J670" s="61" t="s">
        <v>22</v>
      </c>
      <c r="L670" s="5" t="str">
        <f t="shared" si="99"/>
        <v>00669</v>
      </c>
      <c r="M670" s="47" t="str">
        <f t="shared" si="100"/>
        <v>14 de noviembre de 2017</v>
      </c>
      <c r="N670" s="323">
        <f t="shared" si="102"/>
        <v>14</v>
      </c>
      <c r="O670" s="25">
        <f t="shared" si="101"/>
        <v>43040</v>
      </c>
      <c r="P670" s="5" t="str">
        <f t="shared" si="104"/>
        <v>1,00</v>
      </c>
      <c r="Q670" s="4" t="str">
        <f t="shared" si="105"/>
        <v>Un Bolívar con 00/100</v>
      </c>
    </row>
    <row r="671" spans="1:17" x14ac:dyDescent="0.25">
      <c r="A671" s="1">
        <f t="shared" si="103"/>
        <v>670</v>
      </c>
      <c r="C671" s="8" t="s">
        <v>17</v>
      </c>
      <c r="D671" s="2">
        <v>43054</v>
      </c>
      <c r="E671" s="3">
        <f>15000/100000</f>
        <v>0.15</v>
      </c>
      <c r="F671" t="s">
        <v>80</v>
      </c>
      <c r="G671" t="s">
        <v>81</v>
      </c>
      <c r="H671" t="s">
        <v>82</v>
      </c>
      <c r="I671" s="6" t="s">
        <v>571</v>
      </c>
      <c r="J671" s="61" t="s">
        <v>22</v>
      </c>
      <c r="L671" s="5" t="str">
        <f t="shared" si="99"/>
        <v>00670</v>
      </c>
      <c r="M671" s="47" t="str">
        <f t="shared" si="100"/>
        <v>15 de noviembre de 2017</v>
      </c>
      <c r="N671" s="323">
        <f t="shared" si="102"/>
        <v>15</v>
      </c>
      <c r="O671" s="25">
        <f t="shared" si="101"/>
        <v>43040</v>
      </c>
      <c r="P671" s="5" t="str">
        <f t="shared" si="104"/>
        <v>0,15</v>
      </c>
      <c r="Q671" s="4" t="str">
        <f t="shared" si="105"/>
        <v>Cero Bolívares con 15/100</v>
      </c>
    </row>
    <row r="672" spans="1:17" x14ac:dyDescent="0.25">
      <c r="A672" s="1">
        <f t="shared" si="103"/>
        <v>671</v>
      </c>
      <c r="C672" s="8" t="s">
        <v>17</v>
      </c>
      <c r="D672" s="2">
        <v>43054</v>
      </c>
      <c r="E672" s="3">
        <f>35000/100000+50000/100000+50000/100000+50000/100000</f>
        <v>1.85</v>
      </c>
      <c r="F672" t="s">
        <v>407</v>
      </c>
      <c r="G672" t="s">
        <v>408</v>
      </c>
      <c r="H672" t="s">
        <v>409</v>
      </c>
      <c r="I672" s="6" t="s">
        <v>572</v>
      </c>
      <c r="J672" s="61" t="s">
        <v>22</v>
      </c>
      <c r="L672" s="5" t="str">
        <f t="shared" si="99"/>
        <v>00671</v>
      </c>
      <c r="M672" s="47" t="str">
        <f t="shared" si="100"/>
        <v>15 de noviembre de 2017</v>
      </c>
      <c r="N672" s="323">
        <f t="shared" si="102"/>
        <v>15</v>
      </c>
      <c r="O672" s="25">
        <f t="shared" si="101"/>
        <v>43040</v>
      </c>
      <c r="P672" s="5" t="str">
        <f t="shared" si="104"/>
        <v>1,85</v>
      </c>
      <c r="Q672" s="4" t="str">
        <f t="shared" si="105"/>
        <v>Un Bolívares con 85/100</v>
      </c>
    </row>
    <row r="673" spans="1:17" x14ac:dyDescent="0.25">
      <c r="A673" s="1">
        <f t="shared" si="103"/>
        <v>672</v>
      </c>
      <c r="C673" s="8" t="s">
        <v>17</v>
      </c>
      <c r="D673" s="2">
        <v>43054</v>
      </c>
      <c r="E673" s="3">
        <f>15000/100000</f>
        <v>0.15</v>
      </c>
      <c r="F673" t="s">
        <v>401</v>
      </c>
      <c r="G673" t="s">
        <v>402</v>
      </c>
      <c r="H673" t="s">
        <v>403</v>
      </c>
      <c r="I673" s="6" t="s">
        <v>566</v>
      </c>
      <c r="J673" s="61" t="s">
        <v>22</v>
      </c>
      <c r="L673" s="5" t="str">
        <f t="shared" si="99"/>
        <v>00672</v>
      </c>
      <c r="M673" s="47" t="str">
        <f t="shared" si="100"/>
        <v>15 de noviembre de 2017</v>
      </c>
      <c r="N673" s="323">
        <f t="shared" si="102"/>
        <v>15</v>
      </c>
      <c r="O673" s="25">
        <f t="shared" si="101"/>
        <v>43040</v>
      </c>
      <c r="P673" s="5" t="str">
        <f t="shared" si="104"/>
        <v>0,15</v>
      </c>
      <c r="Q673" s="4" t="str">
        <f t="shared" si="105"/>
        <v>Cero Bolívares con 15/100</v>
      </c>
    </row>
    <row r="674" spans="1:17" x14ac:dyDescent="0.25">
      <c r="A674" s="1">
        <f t="shared" si="103"/>
        <v>673</v>
      </c>
      <c r="C674" s="8" t="s">
        <v>17</v>
      </c>
      <c r="D674" s="2">
        <v>43049</v>
      </c>
      <c r="E674" s="3">
        <f>15000/100000</f>
        <v>0.15</v>
      </c>
      <c r="F674" t="s">
        <v>44</v>
      </c>
      <c r="G674" t="s">
        <v>45</v>
      </c>
      <c r="H674" t="s">
        <v>46</v>
      </c>
      <c r="I674" s="6" t="s">
        <v>571</v>
      </c>
      <c r="J674" s="61" t="s">
        <v>22</v>
      </c>
      <c r="L674" s="5" t="str">
        <f t="shared" si="99"/>
        <v>00673</v>
      </c>
      <c r="M674" s="47" t="str">
        <f t="shared" si="100"/>
        <v>10 de noviembre de 2017</v>
      </c>
      <c r="N674" s="323">
        <f t="shared" si="102"/>
        <v>10</v>
      </c>
      <c r="O674" s="25">
        <f t="shared" si="101"/>
        <v>43040</v>
      </c>
      <c r="P674" s="5" t="str">
        <f t="shared" si="104"/>
        <v>0,15</v>
      </c>
      <c r="Q674" s="4" t="str">
        <f t="shared" si="105"/>
        <v>Cero Bolívares con 15/100</v>
      </c>
    </row>
    <row r="675" spans="1:17" x14ac:dyDescent="0.25">
      <c r="A675" s="1">
        <f t="shared" si="103"/>
        <v>674</v>
      </c>
      <c r="C675" s="8" t="s">
        <v>17</v>
      </c>
      <c r="D675" s="2">
        <v>43054</v>
      </c>
      <c r="E675" s="3">
        <f>35000/100000+50000/100000</f>
        <v>0.85</v>
      </c>
      <c r="F675" t="s">
        <v>483</v>
      </c>
      <c r="G675" t="s">
        <v>484</v>
      </c>
      <c r="H675" t="s">
        <v>485</v>
      </c>
      <c r="I675" s="6" t="s">
        <v>567</v>
      </c>
      <c r="J675" s="61" t="s">
        <v>22</v>
      </c>
      <c r="L675" s="5" t="str">
        <f t="shared" si="99"/>
        <v>00674</v>
      </c>
      <c r="M675" s="47" t="str">
        <f t="shared" si="100"/>
        <v>15 de noviembre de 2017</v>
      </c>
      <c r="N675" s="323">
        <f t="shared" si="102"/>
        <v>15</v>
      </c>
      <c r="O675" s="25">
        <f t="shared" si="101"/>
        <v>43040</v>
      </c>
      <c r="P675" s="5" t="str">
        <f t="shared" si="104"/>
        <v>0,85</v>
      </c>
      <c r="Q675" s="4" t="str">
        <f t="shared" si="105"/>
        <v>Cero Bolívares con 85/100</v>
      </c>
    </row>
    <row r="676" spans="1:17" x14ac:dyDescent="0.25">
      <c r="A676" s="1">
        <f t="shared" si="103"/>
        <v>675</v>
      </c>
      <c r="C676" s="8" t="s">
        <v>17</v>
      </c>
      <c r="D676" s="2">
        <v>43054</v>
      </c>
      <c r="E676" s="3">
        <f>35000/100000+50000/100000</f>
        <v>0.85</v>
      </c>
      <c r="F676" t="s">
        <v>239</v>
      </c>
      <c r="G676" s="73" t="s">
        <v>240</v>
      </c>
      <c r="H676" t="s">
        <v>241</v>
      </c>
      <c r="I676" s="6" t="s">
        <v>567</v>
      </c>
      <c r="J676" s="61" t="s">
        <v>22</v>
      </c>
      <c r="L676" s="5" t="str">
        <f t="shared" si="99"/>
        <v>00675</v>
      </c>
      <c r="M676" s="47" t="str">
        <f t="shared" si="100"/>
        <v>15 de noviembre de 2017</v>
      </c>
      <c r="N676" s="323">
        <f t="shared" si="102"/>
        <v>15</v>
      </c>
      <c r="O676" s="25">
        <f t="shared" si="101"/>
        <v>43040</v>
      </c>
      <c r="P676" s="5" t="str">
        <f t="shared" si="104"/>
        <v>0,85</v>
      </c>
      <c r="Q676" s="4" t="str">
        <f t="shared" si="105"/>
        <v>Cero Bolívares con 85/100</v>
      </c>
    </row>
    <row r="677" spans="1:17" x14ac:dyDescent="0.25">
      <c r="A677" s="1">
        <f t="shared" si="103"/>
        <v>676</v>
      </c>
      <c r="C677" s="8" t="s">
        <v>17</v>
      </c>
      <c r="D677" s="2">
        <v>43054</v>
      </c>
      <c r="E677" s="3">
        <f>50000/100000</f>
        <v>0.5</v>
      </c>
      <c r="F677" t="s">
        <v>100</v>
      </c>
      <c r="G677" t="s">
        <v>95</v>
      </c>
      <c r="H677" t="s">
        <v>101</v>
      </c>
      <c r="I677" s="6" t="s">
        <v>561</v>
      </c>
      <c r="J677" s="61" t="s">
        <v>22</v>
      </c>
      <c r="L677" s="5" t="str">
        <f t="shared" si="99"/>
        <v>00676</v>
      </c>
      <c r="M677" s="47" t="str">
        <f t="shared" si="100"/>
        <v>15 de noviembre de 2017</v>
      </c>
      <c r="N677" s="323">
        <f t="shared" si="102"/>
        <v>15</v>
      </c>
      <c r="O677" s="25">
        <f t="shared" si="101"/>
        <v>43040</v>
      </c>
      <c r="P677" s="5" t="str">
        <f t="shared" si="104"/>
        <v>0,50</v>
      </c>
      <c r="Q677" s="4" t="str">
        <f t="shared" si="105"/>
        <v>Cero Bolívares con 50/100</v>
      </c>
    </row>
    <row r="678" spans="1:17" x14ac:dyDescent="0.25">
      <c r="A678" s="1">
        <f t="shared" si="103"/>
        <v>677</v>
      </c>
      <c r="C678" s="8" t="s">
        <v>17</v>
      </c>
      <c r="D678" s="2">
        <v>43055</v>
      </c>
      <c r="E678" s="3">
        <f>54000/100000</f>
        <v>0.54</v>
      </c>
      <c r="F678" s="20" t="s">
        <v>57</v>
      </c>
      <c r="G678" s="18" t="s">
        <v>58</v>
      </c>
      <c r="H678" s="21" t="s">
        <v>59</v>
      </c>
      <c r="I678" s="6" t="s">
        <v>561</v>
      </c>
      <c r="J678" s="61" t="s">
        <v>22</v>
      </c>
      <c r="K678" s="22"/>
      <c r="L678" s="5" t="str">
        <f t="shared" si="99"/>
        <v>00677</v>
      </c>
      <c r="M678" s="47" t="str">
        <f t="shared" si="100"/>
        <v>16 de noviembre de 2017</v>
      </c>
      <c r="N678" s="323">
        <f t="shared" si="102"/>
        <v>16</v>
      </c>
      <c r="O678" s="25">
        <f t="shared" si="101"/>
        <v>43040</v>
      </c>
      <c r="P678" s="5" t="str">
        <f t="shared" si="104"/>
        <v>0,54</v>
      </c>
      <c r="Q678" s="4" t="str">
        <f t="shared" si="105"/>
        <v>Cero Bolívares con 54/100</v>
      </c>
    </row>
    <row r="679" spans="1:17" x14ac:dyDescent="0.25">
      <c r="A679" s="1">
        <f t="shared" si="103"/>
        <v>678</v>
      </c>
      <c r="C679" s="8" t="s">
        <v>17</v>
      </c>
      <c r="D679" s="2">
        <v>43055</v>
      </c>
      <c r="E679" s="3">
        <f>35000/100000</f>
        <v>0.35</v>
      </c>
      <c r="F679" t="s">
        <v>537</v>
      </c>
      <c r="G679" t="s">
        <v>538</v>
      </c>
      <c r="H679" t="s">
        <v>539</v>
      </c>
      <c r="I679" s="6" t="s">
        <v>545</v>
      </c>
      <c r="J679" s="61" t="s">
        <v>22</v>
      </c>
      <c r="L679" s="5" t="str">
        <f t="shared" si="99"/>
        <v>00678</v>
      </c>
      <c r="M679" s="47" t="str">
        <f t="shared" si="100"/>
        <v>16 de noviembre de 2017</v>
      </c>
      <c r="N679" s="323">
        <f t="shared" si="102"/>
        <v>16</v>
      </c>
      <c r="O679" s="25">
        <f t="shared" si="101"/>
        <v>43040</v>
      </c>
      <c r="P679" s="5" t="str">
        <f t="shared" si="104"/>
        <v>0,35</v>
      </c>
      <c r="Q679" s="4" t="str">
        <f t="shared" si="105"/>
        <v>Cero Bolívares con 35/100</v>
      </c>
    </row>
    <row r="680" spans="1:17" x14ac:dyDescent="0.25">
      <c r="A680" s="1">
        <f t="shared" si="103"/>
        <v>679</v>
      </c>
      <c r="C680" s="8" t="s">
        <v>17</v>
      </c>
      <c r="D680" s="2">
        <v>43056</v>
      </c>
      <c r="E680" s="3">
        <f>50000/100000</f>
        <v>0.5</v>
      </c>
      <c r="F680" t="s">
        <v>122</v>
      </c>
      <c r="G680" t="s">
        <v>123</v>
      </c>
      <c r="H680" t="s">
        <v>124</v>
      </c>
      <c r="I680" s="6" t="s">
        <v>561</v>
      </c>
      <c r="J680" s="61" t="s">
        <v>22</v>
      </c>
      <c r="L680" s="5" t="str">
        <f t="shared" si="99"/>
        <v>00679</v>
      </c>
      <c r="M680" s="47" t="str">
        <f t="shared" si="100"/>
        <v>17 de noviembre de 2017</v>
      </c>
      <c r="N680" s="323">
        <f t="shared" si="102"/>
        <v>17</v>
      </c>
      <c r="O680" s="25">
        <f t="shared" si="101"/>
        <v>43040</v>
      </c>
      <c r="P680" s="5" t="str">
        <f t="shared" si="104"/>
        <v>0,50</v>
      </c>
      <c r="Q680" s="4" t="str">
        <f t="shared" si="105"/>
        <v>Cero Bolívares con 50/100</v>
      </c>
    </row>
    <row r="681" spans="1:17" x14ac:dyDescent="0.25">
      <c r="A681" s="1">
        <f t="shared" si="103"/>
        <v>680</v>
      </c>
      <c r="C681" s="8" t="s">
        <v>17</v>
      </c>
      <c r="D681" s="2">
        <v>43056</v>
      </c>
      <c r="E681" s="3">
        <f>35600/100000+14400/100000</f>
        <v>0.5</v>
      </c>
      <c r="F681" t="s">
        <v>152</v>
      </c>
      <c r="G681" t="s">
        <v>153</v>
      </c>
      <c r="H681" t="s">
        <v>154</v>
      </c>
      <c r="I681" s="6" t="s">
        <v>573</v>
      </c>
      <c r="J681" s="61" t="s">
        <v>22</v>
      </c>
      <c r="L681" s="5" t="str">
        <f t="shared" si="99"/>
        <v>00680</v>
      </c>
      <c r="M681" s="47" t="str">
        <f t="shared" si="100"/>
        <v>17 de noviembre de 2017</v>
      </c>
      <c r="N681" s="323">
        <f t="shared" si="102"/>
        <v>17</v>
      </c>
      <c r="O681" s="25">
        <f t="shared" si="101"/>
        <v>43040</v>
      </c>
      <c r="P681" s="5" t="str">
        <f t="shared" si="104"/>
        <v>0,50</v>
      </c>
      <c r="Q681" s="4" t="str">
        <f t="shared" si="105"/>
        <v>Cero Bolívares con 50/100</v>
      </c>
    </row>
    <row r="682" spans="1:17" x14ac:dyDescent="0.25">
      <c r="A682" s="1">
        <f t="shared" si="103"/>
        <v>681</v>
      </c>
      <c r="C682" s="8" t="s">
        <v>17</v>
      </c>
      <c r="D682" s="2">
        <v>43056</v>
      </c>
      <c r="E682" s="3">
        <f>50000/100000</f>
        <v>0.5</v>
      </c>
      <c r="F682" t="s">
        <v>134</v>
      </c>
      <c r="G682" t="s">
        <v>135</v>
      </c>
      <c r="H682" t="s">
        <v>136</v>
      </c>
      <c r="I682" s="6" t="s">
        <v>561</v>
      </c>
      <c r="J682" s="61" t="s">
        <v>22</v>
      </c>
      <c r="L682" s="5" t="str">
        <f t="shared" si="99"/>
        <v>00681</v>
      </c>
      <c r="M682" s="47" t="str">
        <f t="shared" si="100"/>
        <v>17 de noviembre de 2017</v>
      </c>
      <c r="N682" s="323">
        <f t="shared" si="102"/>
        <v>17</v>
      </c>
      <c r="O682" s="25">
        <f t="shared" si="101"/>
        <v>43040</v>
      </c>
      <c r="P682" s="5" t="str">
        <f t="shared" si="104"/>
        <v>0,50</v>
      </c>
      <c r="Q682" s="4" t="str">
        <f t="shared" si="105"/>
        <v>Cero Bolívares con 50/100</v>
      </c>
    </row>
    <row r="683" spans="1:17" x14ac:dyDescent="0.25">
      <c r="A683" s="1">
        <f t="shared" si="103"/>
        <v>682</v>
      </c>
      <c r="C683" s="8" t="s">
        <v>17</v>
      </c>
      <c r="D683" s="2">
        <v>43056</v>
      </c>
      <c r="E683" s="3">
        <f>100000/100000</f>
        <v>1</v>
      </c>
      <c r="F683" t="s">
        <v>177</v>
      </c>
      <c r="G683" s="18" t="s">
        <v>58</v>
      </c>
      <c r="H683" t="s">
        <v>179</v>
      </c>
      <c r="I683" s="6" t="s">
        <v>574</v>
      </c>
      <c r="J683" s="61" t="s">
        <v>22</v>
      </c>
      <c r="L683" s="5" t="str">
        <f t="shared" si="99"/>
        <v>00682</v>
      </c>
      <c r="M683" s="47" t="str">
        <f t="shared" si="100"/>
        <v>17 de noviembre de 2017</v>
      </c>
      <c r="N683" s="323">
        <f t="shared" si="102"/>
        <v>17</v>
      </c>
      <c r="O683" s="25">
        <f t="shared" si="101"/>
        <v>43040</v>
      </c>
      <c r="P683" s="5" t="str">
        <f t="shared" si="104"/>
        <v>1,00</v>
      </c>
      <c r="Q683" s="4" t="str">
        <f t="shared" si="105"/>
        <v>Un Bolívar con 00/100</v>
      </c>
    </row>
    <row r="684" spans="1:17" x14ac:dyDescent="0.25">
      <c r="A684" s="1">
        <f t="shared" si="103"/>
        <v>683</v>
      </c>
      <c r="C684" s="8" t="s">
        <v>17</v>
      </c>
      <c r="D684" s="2">
        <v>43056</v>
      </c>
      <c r="E684" s="3">
        <f>40000/100000</f>
        <v>0.4</v>
      </c>
      <c r="F684" t="s">
        <v>181</v>
      </c>
      <c r="G684" t="s">
        <v>182</v>
      </c>
      <c r="H684" t="s">
        <v>183</v>
      </c>
      <c r="I684" s="6" t="s">
        <v>566</v>
      </c>
      <c r="J684" s="61" t="s">
        <v>22</v>
      </c>
      <c r="L684" s="5" t="str">
        <f t="shared" si="99"/>
        <v>00683</v>
      </c>
      <c r="M684" s="47" t="str">
        <f t="shared" si="100"/>
        <v>17 de noviembre de 2017</v>
      </c>
      <c r="N684" s="323">
        <f t="shared" si="102"/>
        <v>17</v>
      </c>
      <c r="O684" s="25">
        <f t="shared" si="101"/>
        <v>43040</v>
      </c>
      <c r="P684" s="5" t="str">
        <f t="shared" si="104"/>
        <v>0,40</v>
      </c>
      <c r="Q684" s="4" t="str">
        <f t="shared" si="105"/>
        <v>Cero Bolívares con 40/100</v>
      </c>
    </row>
    <row r="685" spans="1:17" x14ac:dyDescent="0.25">
      <c r="A685" s="1">
        <f t="shared" si="103"/>
        <v>684</v>
      </c>
      <c r="C685" s="8" t="s">
        <v>17</v>
      </c>
      <c r="D685" s="2">
        <v>43058</v>
      </c>
      <c r="E685" s="3">
        <f>35000/100000</f>
        <v>0.35</v>
      </c>
      <c r="F685" t="s">
        <v>230</v>
      </c>
      <c r="G685" t="s">
        <v>231</v>
      </c>
      <c r="H685" t="s">
        <v>232</v>
      </c>
      <c r="I685" s="6" t="s">
        <v>545</v>
      </c>
      <c r="J685" s="61" t="s">
        <v>22</v>
      </c>
      <c r="L685" s="5" t="str">
        <f t="shared" si="99"/>
        <v>00684</v>
      </c>
      <c r="M685" s="47" t="str">
        <f t="shared" si="100"/>
        <v>19 de noviembre de 2017</v>
      </c>
      <c r="N685" s="323">
        <f t="shared" si="102"/>
        <v>19</v>
      </c>
      <c r="O685" s="25">
        <f t="shared" si="101"/>
        <v>43040</v>
      </c>
      <c r="P685" s="5" t="str">
        <f t="shared" si="104"/>
        <v>0,35</v>
      </c>
      <c r="Q685" s="4" t="str">
        <f t="shared" si="105"/>
        <v>Cero Bolívares con 35/100</v>
      </c>
    </row>
    <row r="686" spans="1:17" x14ac:dyDescent="0.25">
      <c r="A686" s="1">
        <f t="shared" si="103"/>
        <v>685</v>
      </c>
      <c r="C686" s="8" t="s">
        <v>17</v>
      </c>
      <c r="D686" s="2">
        <v>43058</v>
      </c>
      <c r="E686" s="3">
        <f>50000/100000</f>
        <v>0.5</v>
      </c>
      <c r="F686" t="s">
        <v>319</v>
      </c>
      <c r="G686" s="18" t="s">
        <v>58</v>
      </c>
      <c r="H686" t="s">
        <v>320</v>
      </c>
      <c r="I686" s="6" t="s">
        <v>561</v>
      </c>
      <c r="J686" s="61" t="s">
        <v>22</v>
      </c>
      <c r="L686" s="5" t="str">
        <f t="shared" si="99"/>
        <v>00685</v>
      </c>
      <c r="M686" s="47" t="str">
        <f t="shared" si="100"/>
        <v>19 de noviembre de 2017</v>
      </c>
      <c r="N686" s="323">
        <f t="shared" si="102"/>
        <v>19</v>
      </c>
      <c r="O686" s="25">
        <f t="shared" si="101"/>
        <v>43040</v>
      </c>
      <c r="P686" s="5" t="str">
        <f>TEXT(E686,"#.##0,00")</f>
        <v>0,50</v>
      </c>
      <c r="Q686" s="4" t="str">
        <f>CONVERTIRNUM(E686)</f>
        <v>Cero Bolívares con 50/100</v>
      </c>
    </row>
    <row r="687" spans="1:17" x14ac:dyDescent="0.25">
      <c r="A687" s="1">
        <f t="shared" si="103"/>
        <v>686</v>
      </c>
      <c r="C687" s="8" t="s">
        <v>17</v>
      </c>
      <c r="D687" s="2">
        <v>43059</v>
      </c>
      <c r="E687" s="3">
        <f>50000/100000</f>
        <v>0.5</v>
      </c>
      <c r="F687" t="s">
        <v>558</v>
      </c>
      <c r="G687" t="s">
        <v>559</v>
      </c>
      <c r="H687" t="s">
        <v>560</v>
      </c>
      <c r="I687" s="6" t="s">
        <v>575</v>
      </c>
      <c r="J687" s="61" t="s">
        <v>22</v>
      </c>
      <c r="L687" s="5" t="str">
        <f t="shared" si="99"/>
        <v>00686</v>
      </c>
      <c r="M687" s="47" t="str">
        <f t="shared" si="100"/>
        <v>20 de noviembre de 2017</v>
      </c>
      <c r="N687" s="323">
        <f t="shared" si="102"/>
        <v>20</v>
      </c>
      <c r="O687" s="25">
        <f t="shared" si="101"/>
        <v>43040</v>
      </c>
      <c r="P687" s="5" t="str">
        <f>TEXT(E687,"#.##0,00")</f>
        <v>0,50</v>
      </c>
      <c r="Q687" s="4" t="str">
        <f>CONVERTIRNUM(E687)</f>
        <v>Cero Bolívares con 50/100</v>
      </c>
    </row>
    <row r="688" spans="1:17" x14ac:dyDescent="0.25">
      <c r="A688" s="1">
        <f t="shared" si="103"/>
        <v>687</v>
      </c>
      <c r="C688" s="8" t="s">
        <v>17</v>
      </c>
      <c r="D688" s="2">
        <v>43059</v>
      </c>
      <c r="E688" s="3">
        <f>20000*2/100000</f>
        <v>0.4</v>
      </c>
      <c r="F688" t="s">
        <v>303</v>
      </c>
      <c r="G688" s="18" t="s">
        <v>58</v>
      </c>
      <c r="H688" t="s">
        <v>304</v>
      </c>
      <c r="I688" s="6" t="s">
        <v>576</v>
      </c>
      <c r="J688" s="61" t="s">
        <v>22</v>
      </c>
      <c r="L688" s="5" t="str">
        <f t="shared" si="99"/>
        <v>00687</v>
      </c>
      <c r="M688" s="47" t="str">
        <f t="shared" si="100"/>
        <v>20 de noviembre de 2017</v>
      </c>
      <c r="N688" s="323">
        <f t="shared" si="102"/>
        <v>20</v>
      </c>
      <c r="O688" s="25">
        <f t="shared" si="101"/>
        <v>43040</v>
      </c>
      <c r="P688" s="5" t="str">
        <f>TEXT(E688,"#.##0,00")</f>
        <v>0,40</v>
      </c>
      <c r="Q688" s="4" t="str">
        <f>CONVERTIRNUM(E688)</f>
        <v>Cero Bolívares con 40/100</v>
      </c>
    </row>
    <row r="689" spans="1:17" x14ac:dyDescent="0.25">
      <c r="A689" s="1">
        <f t="shared" si="103"/>
        <v>688</v>
      </c>
      <c r="C689" s="8" t="s">
        <v>17</v>
      </c>
      <c r="D689" s="2">
        <v>43060</v>
      </c>
      <c r="E689" s="3">
        <f>35000*2/100000+50000*2/100000</f>
        <v>1.7</v>
      </c>
      <c r="F689" t="s">
        <v>353</v>
      </c>
      <c r="G689" t="s">
        <v>354</v>
      </c>
      <c r="H689" t="s">
        <v>355</v>
      </c>
      <c r="I689" s="6" t="s">
        <v>577</v>
      </c>
      <c r="J689" s="61" t="s">
        <v>22</v>
      </c>
      <c r="L689" s="5" t="str">
        <f t="shared" si="99"/>
        <v>00688</v>
      </c>
      <c r="M689" s="47" t="str">
        <f t="shared" si="100"/>
        <v>21 de noviembre de 2017</v>
      </c>
      <c r="N689" s="323">
        <f t="shared" si="102"/>
        <v>21</v>
      </c>
      <c r="O689" s="25">
        <f t="shared" si="101"/>
        <v>43040</v>
      </c>
      <c r="P689" s="5" t="str">
        <f>TEXT(E689,"#.##0,00")</f>
        <v>1,70</v>
      </c>
      <c r="Q689" s="4" t="str">
        <f>CONVERTIRNUM(E689)</f>
        <v>Un Bolívares con 70/100</v>
      </c>
    </row>
    <row r="690" spans="1:17" x14ac:dyDescent="0.25">
      <c r="A690" s="1">
        <f t="shared" si="103"/>
        <v>689</v>
      </c>
      <c r="C690" s="8" t="s">
        <v>17</v>
      </c>
      <c r="D690" s="2">
        <v>43061</v>
      </c>
      <c r="E690" s="3">
        <f>30000/100000</f>
        <v>0.3</v>
      </c>
      <c r="F690" t="s">
        <v>578</v>
      </c>
      <c r="G690" t="s">
        <v>579</v>
      </c>
      <c r="H690" t="s">
        <v>580</v>
      </c>
      <c r="I690" s="6" t="s">
        <v>566</v>
      </c>
      <c r="J690" s="61" t="s">
        <v>22</v>
      </c>
      <c r="L690" s="5" t="str">
        <f t="shared" si="99"/>
        <v>00689</v>
      </c>
      <c r="M690" s="47" t="str">
        <f t="shared" si="100"/>
        <v>22 de noviembre de 2017</v>
      </c>
      <c r="N690" s="323">
        <f t="shared" si="102"/>
        <v>22</v>
      </c>
      <c r="O690" s="25">
        <f t="shared" si="101"/>
        <v>43040</v>
      </c>
      <c r="P690" s="5" t="str">
        <f t="shared" ref="P690:P698" si="106">TEXT(E690,"#.##0,00")</f>
        <v>0,30</v>
      </c>
      <c r="Q690" s="4" t="str">
        <f t="shared" ref="Q690:Q698" si="107">CONVERTIRNUM(E690)</f>
        <v>Cero Bolívares con 30/100</v>
      </c>
    </row>
    <row r="691" spans="1:17" x14ac:dyDescent="0.25">
      <c r="A691" s="1">
        <f t="shared" si="103"/>
        <v>690</v>
      </c>
      <c r="C691" s="8" t="s">
        <v>17</v>
      </c>
      <c r="D691" s="2">
        <v>43061</v>
      </c>
      <c r="E691" s="3">
        <f>50000/100000</f>
        <v>0.5</v>
      </c>
      <c r="F691" t="s">
        <v>103</v>
      </c>
      <c r="G691" t="s">
        <v>104</v>
      </c>
      <c r="H691" t="s">
        <v>105</v>
      </c>
      <c r="I691" s="6" t="s">
        <v>561</v>
      </c>
      <c r="J691" s="61" t="s">
        <v>22</v>
      </c>
      <c r="L691" s="5" t="str">
        <f t="shared" si="99"/>
        <v>00690</v>
      </c>
      <c r="M691" s="47" t="str">
        <f t="shared" si="100"/>
        <v>22 de noviembre de 2017</v>
      </c>
      <c r="N691" s="323">
        <f t="shared" si="102"/>
        <v>22</v>
      </c>
      <c r="O691" s="25">
        <f t="shared" si="101"/>
        <v>43040</v>
      </c>
      <c r="P691" s="5" t="str">
        <f t="shared" si="106"/>
        <v>0,50</v>
      </c>
      <c r="Q691" s="4" t="str">
        <f t="shared" si="107"/>
        <v>Cero Bolívares con 50/100</v>
      </c>
    </row>
    <row r="692" spans="1:17" x14ac:dyDescent="0.25">
      <c r="A692" s="1">
        <f t="shared" si="103"/>
        <v>691</v>
      </c>
      <c r="C692" s="8" t="s">
        <v>17</v>
      </c>
      <c r="D692" s="2">
        <v>43062</v>
      </c>
      <c r="E692" s="3">
        <f>50000/100000</f>
        <v>0.5</v>
      </c>
      <c r="F692" t="s">
        <v>443</v>
      </c>
      <c r="G692" t="s">
        <v>444</v>
      </c>
      <c r="H692" t="s">
        <v>75</v>
      </c>
      <c r="I692" s="6" t="s">
        <v>561</v>
      </c>
      <c r="J692" s="61" t="s">
        <v>22</v>
      </c>
      <c r="L692" s="5" t="str">
        <f t="shared" si="99"/>
        <v>00691</v>
      </c>
      <c r="M692" s="47" t="str">
        <f t="shared" si="100"/>
        <v>23 de noviembre de 2017</v>
      </c>
      <c r="N692" s="323">
        <f t="shared" si="102"/>
        <v>23</v>
      </c>
      <c r="O692" s="25">
        <f t="shared" si="101"/>
        <v>43040</v>
      </c>
      <c r="P692" s="5" t="str">
        <f t="shared" si="106"/>
        <v>0,50</v>
      </c>
      <c r="Q692" s="4" t="str">
        <f t="shared" si="107"/>
        <v>Cero Bolívares con 50/100</v>
      </c>
    </row>
    <row r="693" spans="1:17" x14ac:dyDescent="0.25">
      <c r="A693" s="1">
        <f t="shared" si="103"/>
        <v>692</v>
      </c>
      <c r="C693" s="8" t="s">
        <v>17</v>
      </c>
      <c r="D693" s="2">
        <v>43067</v>
      </c>
      <c r="E693" s="3">
        <f>15000/100000+50000/100000</f>
        <v>0.65</v>
      </c>
      <c r="F693" t="s">
        <v>243</v>
      </c>
      <c r="G693" t="s">
        <v>244</v>
      </c>
      <c r="H693" t="s">
        <v>245</v>
      </c>
      <c r="I693" s="6" t="s">
        <v>581</v>
      </c>
      <c r="J693" s="61" t="s">
        <v>22</v>
      </c>
      <c r="L693" s="5" t="str">
        <f t="shared" si="99"/>
        <v>00692</v>
      </c>
      <c r="M693" s="47" t="str">
        <f t="shared" si="100"/>
        <v>28 de noviembre de 2017</v>
      </c>
      <c r="N693" s="323">
        <f t="shared" si="102"/>
        <v>28</v>
      </c>
      <c r="O693" s="25">
        <f t="shared" si="101"/>
        <v>43040</v>
      </c>
      <c r="P693" s="5" t="str">
        <f t="shared" si="106"/>
        <v>0,65</v>
      </c>
      <c r="Q693" s="4" t="str">
        <f t="shared" si="107"/>
        <v>Cero Bolívares con 65/100</v>
      </c>
    </row>
    <row r="694" spans="1:17" x14ac:dyDescent="0.25">
      <c r="A694" s="1">
        <f t="shared" si="103"/>
        <v>693</v>
      </c>
      <c r="C694" s="8" t="s">
        <v>17</v>
      </c>
      <c r="D694" s="2">
        <v>43067</v>
      </c>
      <c r="E694" s="3">
        <f>2*50000/100000</f>
        <v>1</v>
      </c>
      <c r="F694" t="s">
        <v>296</v>
      </c>
      <c r="G694" t="s">
        <v>297</v>
      </c>
      <c r="H694" t="s">
        <v>298</v>
      </c>
      <c r="I694" s="6" t="s">
        <v>570</v>
      </c>
      <c r="J694" s="61" t="s">
        <v>22</v>
      </c>
      <c r="L694" s="5" t="str">
        <f t="shared" si="99"/>
        <v>00693</v>
      </c>
      <c r="M694" s="47" t="str">
        <f t="shared" si="100"/>
        <v>28 de noviembre de 2017</v>
      </c>
      <c r="N694" s="323">
        <f t="shared" si="102"/>
        <v>28</v>
      </c>
      <c r="O694" s="25">
        <f t="shared" si="101"/>
        <v>43040</v>
      </c>
      <c r="P694" s="5" t="str">
        <f t="shared" si="106"/>
        <v>1,00</v>
      </c>
      <c r="Q694" s="4" t="str">
        <f t="shared" si="107"/>
        <v>Un Bolívar con 00/100</v>
      </c>
    </row>
    <row r="695" spans="1:17" x14ac:dyDescent="0.25">
      <c r="A695" s="1">
        <f t="shared" si="103"/>
        <v>694</v>
      </c>
      <c r="C695" s="8" t="s">
        <v>17</v>
      </c>
      <c r="D695" s="2">
        <v>43067</v>
      </c>
      <c r="E695" s="3">
        <f>2*50000/100000</f>
        <v>1</v>
      </c>
      <c r="F695" t="s">
        <v>324</v>
      </c>
      <c r="G695" t="s">
        <v>325</v>
      </c>
      <c r="H695" t="s">
        <v>326</v>
      </c>
      <c r="I695" s="6" t="s">
        <v>582</v>
      </c>
      <c r="J695" s="61" t="s">
        <v>22</v>
      </c>
      <c r="L695" s="5" t="str">
        <f t="shared" si="99"/>
        <v>00694</v>
      </c>
      <c r="M695" s="47" t="str">
        <f t="shared" si="100"/>
        <v>28 de noviembre de 2017</v>
      </c>
      <c r="N695" s="323">
        <f t="shared" si="102"/>
        <v>28</v>
      </c>
      <c r="O695" s="25">
        <f t="shared" si="101"/>
        <v>43040</v>
      </c>
      <c r="P695" s="5" t="str">
        <f t="shared" si="106"/>
        <v>1,00</v>
      </c>
      <c r="Q695" s="4" t="str">
        <f t="shared" si="107"/>
        <v>Un Bolívar con 00/100</v>
      </c>
    </row>
    <row r="696" spans="1:17" x14ac:dyDescent="0.25">
      <c r="A696" s="1">
        <f t="shared" si="103"/>
        <v>695</v>
      </c>
      <c r="C696" s="8" t="s">
        <v>17</v>
      </c>
      <c r="D696" s="2">
        <v>43068</v>
      </c>
      <c r="E696" s="3">
        <f>50000/100000</f>
        <v>0.5</v>
      </c>
      <c r="F696" t="s">
        <v>362</v>
      </c>
      <c r="G696" t="s">
        <v>363</v>
      </c>
      <c r="H696" t="s">
        <v>364</v>
      </c>
      <c r="I696" s="6" t="s">
        <v>561</v>
      </c>
      <c r="J696" s="61" t="s">
        <v>22</v>
      </c>
      <c r="L696" s="5" t="str">
        <f t="shared" si="99"/>
        <v>00695</v>
      </c>
      <c r="M696" s="47" t="str">
        <f t="shared" si="100"/>
        <v>29 de noviembre de 2017</v>
      </c>
      <c r="N696" s="323">
        <f t="shared" si="102"/>
        <v>29</v>
      </c>
      <c r="O696" s="25">
        <f t="shared" si="101"/>
        <v>43040</v>
      </c>
      <c r="P696" s="5" t="str">
        <f t="shared" si="106"/>
        <v>0,50</v>
      </c>
      <c r="Q696" s="4" t="str">
        <f t="shared" si="107"/>
        <v>Cero Bolívares con 50/100</v>
      </c>
    </row>
    <row r="697" spans="1:17" x14ac:dyDescent="0.25">
      <c r="A697" s="1">
        <f t="shared" si="103"/>
        <v>696</v>
      </c>
      <c r="C697" s="8" t="s">
        <v>17</v>
      </c>
      <c r="D697" s="2">
        <v>43072</v>
      </c>
      <c r="E697" s="3">
        <f>2*50000/100000</f>
        <v>1</v>
      </c>
      <c r="F697" t="s">
        <v>80</v>
      </c>
      <c r="G697" t="s">
        <v>81</v>
      </c>
      <c r="H697" t="s">
        <v>82</v>
      </c>
      <c r="I697" s="6" t="s">
        <v>583</v>
      </c>
      <c r="J697" s="61" t="s">
        <v>22</v>
      </c>
      <c r="L697" s="5" t="str">
        <f t="shared" si="99"/>
        <v>00696</v>
      </c>
      <c r="M697" s="47" t="str">
        <f t="shared" si="100"/>
        <v>03 de diciembre de 2017</v>
      </c>
      <c r="N697" s="323">
        <f t="shared" si="102"/>
        <v>3</v>
      </c>
      <c r="O697" s="25">
        <f t="shared" si="101"/>
        <v>43070</v>
      </c>
      <c r="P697" s="5" t="str">
        <f t="shared" si="106"/>
        <v>1,00</v>
      </c>
      <c r="Q697" s="4" t="str">
        <f t="shared" si="107"/>
        <v>Un Bolívar con 00/100</v>
      </c>
    </row>
    <row r="698" spans="1:17" x14ac:dyDescent="0.25">
      <c r="A698" s="1">
        <f t="shared" si="103"/>
        <v>697</v>
      </c>
      <c r="C698" s="8" t="s">
        <v>17</v>
      </c>
      <c r="D698" s="2">
        <v>43060</v>
      </c>
      <c r="E698" s="3">
        <f>71000/100000</f>
        <v>0.71</v>
      </c>
      <c r="F698" s="23" t="s">
        <v>422</v>
      </c>
      <c r="G698" s="18" t="s">
        <v>58</v>
      </c>
      <c r="H698" t="s">
        <v>423</v>
      </c>
      <c r="I698" s="6" t="s">
        <v>561</v>
      </c>
      <c r="J698" s="61" t="s">
        <v>22</v>
      </c>
      <c r="L698" s="5" t="str">
        <f t="shared" si="99"/>
        <v>00697</v>
      </c>
      <c r="M698" s="47" t="str">
        <f t="shared" si="100"/>
        <v>21 de noviembre de 2017</v>
      </c>
      <c r="N698" s="323">
        <f t="shared" si="102"/>
        <v>21</v>
      </c>
      <c r="O698" s="25">
        <f t="shared" si="101"/>
        <v>43040</v>
      </c>
      <c r="P698" s="5" t="str">
        <f t="shared" si="106"/>
        <v>0,71</v>
      </c>
      <c r="Q698" s="4" t="str">
        <f t="shared" si="107"/>
        <v>Cero Bolívares con 71/100</v>
      </c>
    </row>
    <row r="699" spans="1:17" x14ac:dyDescent="0.25">
      <c r="A699" s="1">
        <f t="shared" si="103"/>
        <v>698</v>
      </c>
      <c r="C699" s="8" t="s">
        <v>17</v>
      </c>
      <c r="D699" s="2">
        <v>43073</v>
      </c>
      <c r="E699" s="3">
        <f>50000/100000</f>
        <v>0.5</v>
      </c>
      <c r="F699" t="s">
        <v>126</v>
      </c>
      <c r="G699" t="s">
        <v>127</v>
      </c>
      <c r="H699" t="s">
        <v>128</v>
      </c>
      <c r="I699" s="6" t="s">
        <v>561</v>
      </c>
      <c r="J699" s="61" t="s">
        <v>22</v>
      </c>
      <c r="L699" s="5" t="str">
        <f t="shared" si="99"/>
        <v>00698</v>
      </c>
      <c r="M699" s="47" t="str">
        <f t="shared" si="100"/>
        <v>04 de diciembre de 2017</v>
      </c>
      <c r="N699" s="323">
        <f t="shared" si="102"/>
        <v>4</v>
      </c>
      <c r="O699" s="25">
        <f t="shared" si="101"/>
        <v>43070</v>
      </c>
      <c r="P699" s="5" t="str">
        <f t="shared" ref="P699:P724" si="108">TEXT(E699,"#.##0,00")</f>
        <v>0,50</v>
      </c>
      <c r="Q699" s="4" t="str">
        <f t="shared" ref="Q699:Q724" si="109">CONVERTIRNUM(E699)</f>
        <v>Cero Bolívares con 50/100</v>
      </c>
    </row>
    <row r="700" spans="1:17" x14ac:dyDescent="0.25">
      <c r="A700" s="1">
        <f t="shared" si="103"/>
        <v>699</v>
      </c>
      <c r="C700" s="8" t="s">
        <v>17</v>
      </c>
      <c r="D700" s="2">
        <v>43073</v>
      </c>
      <c r="E700" s="3">
        <f>32000/100000</f>
        <v>0.32</v>
      </c>
      <c r="F700" t="s">
        <v>28</v>
      </c>
      <c r="G700" t="s">
        <v>29</v>
      </c>
      <c r="H700" t="s">
        <v>30</v>
      </c>
      <c r="I700" s="6" t="s">
        <v>566</v>
      </c>
      <c r="J700" s="61" t="s">
        <v>22</v>
      </c>
      <c r="L700" s="5" t="str">
        <f t="shared" si="99"/>
        <v>00699</v>
      </c>
      <c r="M700" s="47" t="str">
        <f t="shared" si="100"/>
        <v>04 de diciembre de 2017</v>
      </c>
      <c r="N700" s="323">
        <f t="shared" si="102"/>
        <v>4</v>
      </c>
      <c r="O700" s="25">
        <f t="shared" si="101"/>
        <v>43070</v>
      </c>
      <c r="P700" s="5" t="str">
        <f t="shared" si="108"/>
        <v>0,32</v>
      </c>
      <c r="Q700" s="4" t="str">
        <f t="shared" si="109"/>
        <v>Cero Bolívares con 32/100</v>
      </c>
    </row>
    <row r="701" spans="1:17" x14ac:dyDescent="0.25">
      <c r="A701" s="1">
        <f t="shared" si="103"/>
        <v>700</v>
      </c>
      <c r="C701" s="8" t="s">
        <v>17</v>
      </c>
      <c r="D701" s="2">
        <v>43073</v>
      </c>
      <c r="E701" s="3">
        <f>18000/100000</f>
        <v>0.18</v>
      </c>
      <c r="F701" t="s">
        <v>397</v>
      </c>
      <c r="G701" s="48" t="s">
        <v>29</v>
      </c>
      <c r="H701" t="s">
        <v>398</v>
      </c>
      <c r="I701" s="6" t="s">
        <v>566</v>
      </c>
      <c r="J701" s="61" t="s">
        <v>22</v>
      </c>
      <c r="L701" s="5" t="str">
        <f t="shared" si="99"/>
        <v>00700</v>
      </c>
      <c r="M701" s="47" t="str">
        <f t="shared" si="100"/>
        <v>04 de diciembre de 2017</v>
      </c>
      <c r="N701" s="323">
        <f t="shared" si="102"/>
        <v>4</v>
      </c>
      <c r="O701" s="25">
        <f t="shared" si="101"/>
        <v>43070</v>
      </c>
      <c r="P701" s="5" t="str">
        <f t="shared" si="108"/>
        <v>0,18</v>
      </c>
      <c r="Q701" s="4" t="str">
        <f t="shared" si="109"/>
        <v>Cero Bolívares con 18/100</v>
      </c>
    </row>
    <row r="702" spans="1:17" x14ac:dyDescent="0.25">
      <c r="A702" s="1">
        <f t="shared" si="103"/>
        <v>701</v>
      </c>
      <c r="C702" s="8" t="s">
        <v>17</v>
      </c>
      <c r="D702" s="2">
        <v>43073</v>
      </c>
      <c r="E702" s="3">
        <f>25000/100000</f>
        <v>0.25</v>
      </c>
      <c r="F702" t="s">
        <v>167</v>
      </c>
      <c r="G702" t="s">
        <v>168</v>
      </c>
      <c r="H702" t="s">
        <v>169</v>
      </c>
      <c r="I702" s="6" t="s">
        <v>546</v>
      </c>
      <c r="J702" s="61" t="s">
        <v>22</v>
      </c>
      <c r="L702" s="5" t="str">
        <f t="shared" si="99"/>
        <v>00701</v>
      </c>
      <c r="M702" s="47" t="str">
        <f t="shared" si="100"/>
        <v>04 de diciembre de 2017</v>
      </c>
      <c r="N702" s="323">
        <f t="shared" si="102"/>
        <v>4</v>
      </c>
      <c r="O702" s="25">
        <f t="shared" si="101"/>
        <v>43070</v>
      </c>
      <c r="P702" s="5" t="str">
        <f t="shared" si="108"/>
        <v>0,25</v>
      </c>
      <c r="Q702" s="4" t="str">
        <f t="shared" si="109"/>
        <v>Cero Bolívares con 25/100</v>
      </c>
    </row>
    <row r="703" spans="1:17" x14ac:dyDescent="0.25">
      <c r="A703" s="1">
        <f t="shared" si="103"/>
        <v>702</v>
      </c>
      <c r="C703" s="8" t="s">
        <v>17</v>
      </c>
      <c r="D703" s="2">
        <v>43073</v>
      </c>
      <c r="E703" s="3">
        <f>100000/100000</f>
        <v>1</v>
      </c>
      <c r="F703" t="s">
        <v>53</v>
      </c>
      <c r="G703" t="s">
        <v>54</v>
      </c>
      <c r="H703" t="s">
        <v>55</v>
      </c>
      <c r="I703" s="6" t="s">
        <v>570</v>
      </c>
      <c r="J703" s="61" t="s">
        <v>22</v>
      </c>
      <c r="L703" s="5" t="str">
        <f t="shared" si="99"/>
        <v>00702</v>
      </c>
      <c r="M703" s="47" t="str">
        <f t="shared" si="100"/>
        <v>04 de diciembre de 2017</v>
      </c>
      <c r="N703" s="323">
        <f t="shared" si="102"/>
        <v>4</v>
      </c>
      <c r="O703" s="25">
        <f t="shared" si="101"/>
        <v>43070</v>
      </c>
      <c r="P703" s="5" t="str">
        <f t="shared" si="108"/>
        <v>1,00</v>
      </c>
      <c r="Q703" s="4" t="str">
        <f t="shared" si="109"/>
        <v>Un Bolívar con 00/100</v>
      </c>
    </row>
    <row r="704" spans="1:17" x14ac:dyDescent="0.25">
      <c r="A704" s="1">
        <f t="shared" si="103"/>
        <v>703</v>
      </c>
      <c r="C704" s="8" t="s">
        <v>17</v>
      </c>
      <c r="D704" s="2">
        <v>43073</v>
      </c>
      <c r="E704" s="3">
        <f>40000/100000</f>
        <v>0.4</v>
      </c>
      <c r="F704" t="s">
        <v>280</v>
      </c>
      <c r="G704" t="s">
        <v>281</v>
      </c>
      <c r="H704" t="s">
        <v>282</v>
      </c>
      <c r="I704" s="6" t="s">
        <v>584</v>
      </c>
      <c r="J704" s="61" t="s">
        <v>22</v>
      </c>
      <c r="L704" s="5" t="str">
        <f t="shared" si="99"/>
        <v>00703</v>
      </c>
      <c r="M704" s="47" t="str">
        <f t="shared" si="100"/>
        <v>04 de diciembre de 2017</v>
      </c>
      <c r="N704" s="323">
        <f t="shared" si="102"/>
        <v>4</v>
      </c>
      <c r="O704" s="25">
        <f t="shared" si="101"/>
        <v>43070</v>
      </c>
      <c r="P704" s="5" t="str">
        <f t="shared" si="108"/>
        <v>0,40</v>
      </c>
      <c r="Q704" s="4" t="str">
        <f t="shared" si="109"/>
        <v>Cero Bolívares con 40/100</v>
      </c>
    </row>
    <row r="705" spans="1:17" x14ac:dyDescent="0.25">
      <c r="A705" s="1">
        <f t="shared" si="103"/>
        <v>704</v>
      </c>
      <c r="C705" s="8" t="s">
        <v>17</v>
      </c>
      <c r="D705" s="2">
        <v>43073</v>
      </c>
      <c r="E705" s="3">
        <f>50000/100000</f>
        <v>0.5</v>
      </c>
      <c r="F705" t="s">
        <v>211</v>
      </c>
      <c r="G705" t="s">
        <v>212</v>
      </c>
      <c r="H705" t="s">
        <v>213</v>
      </c>
      <c r="I705" s="6" t="s">
        <v>561</v>
      </c>
      <c r="J705" s="61" t="s">
        <v>22</v>
      </c>
      <c r="L705" s="5" t="str">
        <f t="shared" si="99"/>
        <v>00704</v>
      </c>
      <c r="M705" s="47" t="str">
        <f t="shared" si="100"/>
        <v>04 de diciembre de 2017</v>
      </c>
      <c r="N705" s="323">
        <f t="shared" si="102"/>
        <v>4</v>
      </c>
      <c r="O705" s="25">
        <f t="shared" si="101"/>
        <v>43070</v>
      </c>
      <c r="P705" s="5" t="str">
        <f t="shared" si="108"/>
        <v>0,50</v>
      </c>
      <c r="Q705" s="4" t="str">
        <f t="shared" si="109"/>
        <v>Cero Bolívares con 50/100</v>
      </c>
    </row>
    <row r="706" spans="1:17" x14ac:dyDescent="0.25">
      <c r="A706" s="1">
        <f t="shared" si="103"/>
        <v>705</v>
      </c>
      <c r="C706" s="8" t="s">
        <v>17</v>
      </c>
      <c r="D706" s="2">
        <v>43074</v>
      </c>
      <c r="E706" s="3">
        <f>50000/100000</f>
        <v>0.5</v>
      </c>
      <c r="F706" t="s">
        <v>483</v>
      </c>
      <c r="G706" t="s">
        <v>484</v>
      </c>
      <c r="H706" t="s">
        <v>485</v>
      </c>
      <c r="I706" s="6" t="s">
        <v>575</v>
      </c>
      <c r="J706" s="61" t="s">
        <v>22</v>
      </c>
      <c r="L706" s="5" t="str">
        <f t="shared" ref="L706:L769" si="110">IF(ISBLANK(A706),"",TEXT(A706,"00000"))</f>
        <v>00705</v>
      </c>
      <c r="M706" s="47" t="str">
        <f t="shared" ref="M706:M769" si="111">IF(ISBLANK(D706),"",TEXT(D706,"dd")&amp;" de "&amp;TEXT(D706,"mmmm")&amp;" de "&amp;TEXT(YEAR(D706),"0"))</f>
        <v>05 de diciembre de 2017</v>
      </c>
      <c r="N706" s="323">
        <f t="shared" si="102"/>
        <v>5</v>
      </c>
      <c r="O706" s="25">
        <f t="shared" ref="O706:O769" si="112">DATE(YEAR(D706),MONTH(D706),1)</f>
        <v>43070</v>
      </c>
      <c r="P706" s="5" t="str">
        <f t="shared" si="108"/>
        <v>0,50</v>
      </c>
      <c r="Q706" s="4" t="str">
        <f t="shared" si="109"/>
        <v>Cero Bolívares con 50/100</v>
      </c>
    </row>
    <row r="707" spans="1:17" x14ac:dyDescent="0.25">
      <c r="A707" s="1">
        <f t="shared" si="103"/>
        <v>706</v>
      </c>
      <c r="C707" s="8" t="s">
        <v>17</v>
      </c>
      <c r="D707" s="2">
        <v>43074</v>
      </c>
      <c r="E707" s="3">
        <f>50000/100000</f>
        <v>0.5</v>
      </c>
      <c r="F707" t="s">
        <v>18</v>
      </c>
      <c r="G707" t="s">
        <v>19</v>
      </c>
      <c r="H707" t="s">
        <v>20</v>
      </c>
      <c r="I707" s="6" t="s">
        <v>585</v>
      </c>
      <c r="J707" s="61" t="s">
        <v>22</v>
      </c>
      <c r="L707" s="5" t="str">
        <f t="shared" si="110"/>
        <v>00706</v>
      </c>
      <c r="M707" s="47" t="str">
        <f t="shared" si="111"/>
        <v>05 de diciembre de 2017</v>
      </c>
      <c r="N707" s="323">
        <f t="shared" ref="N707:N770" si="113">DAY(D707)</f>
        <v>5</v>
      </c>
      <c r="O707" s="25">
        <f t="shared" si="112"/>
        <v>43070</v>
      </c>
      <c r="P707" s="5" t="str">
        <f t="shared" si="108"/>
        <v>0,50</v>
      </c>
      <c r="Q707" s="4" t="str">
        <f t="shared" si="109"/>
        <v>Cero Bolívares con 50/100</v>
      </c>
    </row>
    <row r="708" spans="1:17" x14ac:dyDescent="0.25">
      <c r="A708" s="178">
        <f t="shared" ref="A708:A771" si="114">A707+1</f>
        <v>707</v>
      </c>
      <c r="C708" s="8" t="s">
        <v>17</v>
      </c>
      <c r="D708" s="2">
        <v>43074</v>
      </c>
      <c r="E708" s="3">
        <f>50000/100000</f>
        <v>0.5</v>
      </c>
      <c r="F708" t="s">
        <v>438</v>
      </c>
      <c r="G708" t="s">
        <v>439</v>
      </c>
      <c r="H708" t="s">
        <v>440</v>
      </c>
      <c r="I708" s="6" t="s">
        <v>586</v>
      </c>
      <c r="J708" s="61" t="s">
        <v>22</v>
      </c>
      <c r="L708" s="5" t="str">
        <f t="shared" si="110"/>
        <v>00707</v>
      </c>
      <c r="M708" s="47" t="str">
        <f t="shared" si="111"/>
        <v>05 de diciembre de 2017</v>
      </c>
      <c r="N708" s="323">
        <f t="shared" si="113"/>
        <v>5</v>
      </c>
      <c r="O708" s="25">
        <f t="shared" si="112"/>
        <v>43070</v>
      </c>
      <c r="P708" s="5" t="str">
        <f t="shared" si="108"/>
        <v>0,50</v>
      </c>
      <c r="Q708" s="4" t="str">
        <f t="shared" si="109"/>
        <v>Cero Bolívares con 50/100</v>
      </c>
    </row>
    <row r="709" spans="1:17" x14ac:dyDescent="0.25">
      <c r="A709" s="1">
        <f t="shared" si="114"/>
        <v>708</v>
      </c>
      <c r="C709" s="8" t="s">
        <v>17</v>
      </c>
      <c r="D709" s="2">
        <v>43074</v>
      </c>
      <c r="E709" s="3">
        <f>35000/100000</f>
        <v>0.35</v>
      </c>
      <c r="F709" t="s">
        <v>48</v>
      </c>
      <c r="G709" t="s">
        <v>49</v>
      </c>
      <c r="H709" t="s">
        <v>50</v>
      </c>
      <c r="I709" s="6" t="s">
        <v>587</v>
      </c>
      <c r="J709" s="61" t="s">
        <v>22</v>
      </c>
      <c r="L709" s="5" t="str">
        <f t="shared" si="110"/>
        <v>00708</v>
      </c>
      <c r="M709" s="47" t="str">
        <f t="shared" si="111"/>
        <v>05 de diciembre de 2017</v>
      </c>
      <c r="N709" s="323">
        <f t="shared" si="113"/>
        <v>5</v>
      </c>
      <c r="O709" s="25">
        <f t="shared" si="112"/>
        <v>43070</v>
      </c>
      <c r="P709" s="5" t="str">
        <f t="shared" si="108"/>
        <v>0,35</v>
      </c>
      <c r="Q709" s="4" t="str">
        <f t="shared" si="109"/>
        <v>Cero Bolívares con 35/100</v>
      </c>
    </row>
    <row r="710" spans="1:17" x14ac:dyDescent="0.25">
      <c r="A710" s="1">
        <f t="shared" si="114"/>
        <v>709</v>
      </c>
      <c r="C710" s="8" t="s">
        <v>17</v>
      </c>
      <c r="D710" s="2">
        <v>43074</v>
      </c>
      <c r="E710" s="3">
        <f>50000/100000</f>
        <v>0.5</v>
      </c>
      <c r="F710" t="s">
        <v>70</v>
      </c>
      <c r="G710" t="s">
        <v>71</v>
      </c>
      <c r="H710" t="s">
        <v>72</v>
      </c>
      <c r="I710" s="6" t="s">
        <v>575</v>
      </c>
      <c r="J710" s="61" t="s">
        <v>22</v>
      </c>
      <c r="L710" s="5" t="str">
        <f t="shared" si="110"/>
        <v>00709</v>
      </c>
      <c r="M710" s="47" t="str">
        <f t="shared" si="111"/>
        <v>05 de diciembre de 2017</v>
      </c>
      <c r="N710" s="323">
        <f t="shared" si="113"/>
        <v>5</v>
      </c>
      <c r="O710" s="25">
        <f t="shared" si="112"/>
        <v>43070</v>
      </c>
      <c r="P710" s="5" t="str">
        <f t="shared" si="108"/>
        <v>0,50</v>
      </c>
      <c r="Q710" s="4" t="str">
        <f t="shared" si="109"/>
        <v>Cero Bolívares con 50/100</v>
      </c>
    </row>
    <row r="711" spans="1:17" x14ac:dyDescent="0.25">
      <c r="A711" s="1">
        <f t="shared" si="114"/>
        <v>710</v>
      </c>
      <c r="C711" s="8" t="s">
        <v>17</v>
      </c>
      <c r="D711" s="2">
        <v>43074</v>
      </c>
      <c r="E711" s="3">
        <f>50000/100000</f>
        <v>0.5</v>
      </c>
      <c r="F711" t="s">
        <v>44</v>
      </c>
      <c r="G711" t="s">
        <v>45</v>
      </c>
      <c r="H711" t="s">
        <v>46</v>
      </c>
      <c r="I711" s="6" t="s">
        <v>575</v>
      </c>
      <c r="J711" s="61" t="s">
        <v>22</v>
      </c>
      <c r="L711" s="5" t="str">
        <f t="shared" si="110"/>
        <v>00710</v>
      </c>
      <c r="M711" s="47" t="str">
        <f t="shared" si="111"/>
        <v>05 de diciembre de 2017</v>
      </c>
      <c r="N711" s="323">
        <f t="shared" si="113"/>
        <v>5</v>
      </c>
      <c r="O711" s="25">
        <f t="shared" si="112"/>
        <v>43070</v>
      </c>
      <c r="P711" s="5" t="str">
        <f t="shared" si="108"/>
        <v>0,50</v>
      </c>
      <c r="Q711" s="4" t="str">
        <f t="shared" si="109"/>
        <v>Cero Bolívares con 50/100</v>
      </c>
    </row>
    <row r="712" spans="1:17" x14ac:dyDescent="0.25">
      <c r="A712" s="1">
        <f t="shared" si="114"/>
        <v>711</v>
      </c>
      <c r="C712" s="8" t="s">
        <v>17</v>
      </c>
      <c r="D712" s="2">
        <v>43074</v>
      </c>
      <c r="E712" s="3">
        <f>30000/100000</f>
        <v>0.3</v>
      </c>
      <c r="F712" t="s">
        <v>84</v>
      </c>
      <c r="G712" t="s">
        <v>85</v>
      </c>
      <c r="H712" t="s">
        <v>86</v>
      </c>
      <c r="I712" s="6" t="s">
        <v>587</v>
      </c>
      <c r="J712" s="61" t="s">
        <v>22</v>
      </c>
      <c r="L712" s="5" t="str">
        <f t="shared" si="110"/>
        <v>00711</v>
      </c>
      <c r="M712" s="47" t="str">
        <f t="shared" si="111"/>
        <v>05 de diciembre de 2017</v>
      </c>
      <c r="N712" s="323">
        <f t="shared" si="113"/>
        <v>5</v>
      </c>
      <c r="O712" s="25">
        <f t="shared" si="112"/>
        <v>43070</v>
      </c>
      <c r="P712" s="5" t="str">
        <f t="shared" si="108"/>
        <v>0,30</v>
      </c>
      <c r="Q712" s="4" t="str">
        <f t="shared" si="109"/>
        <v>Cero Bolívares con 30/100</v>
      </c>
    </row>
    <row r="713" spans="1:17" x14ac:dyDescent="0.25">
      <c r="A713" s="1">
        <f t="shared" si="114"/>
        <v>712</v>
      </c>
      <c r="C713" s="8" t="s">
        <v>17</v>
      </c>
      <c r="D713" s="2">
        <v>43074</v>
      </c>
      <c r="E713" s="3">
        <f>34000/100000+50000/100000</f>
        <v>0.84000000000000008</v>
      </c>
      <c r="F713" t="s">
        <v>148</v>
      </c>
      <c r="G713" t="s">
        <v>149</v>
      </c>
      <c r="H713" t="s">
        <v>150</v>
      </c>
      <c r="I713" s="6" t="s">
        <v>588</v>
      </c>
      <c r="J713" s="61" t="s">
        <v>22</v>
      </c>
      <c r="L713" s="5" t="str">
        <f t="shared" si="110"/>
        <v>00712</v>
      </c>
      <c r="M713" s="47" t="str">
        <f t="shared" si="111"/>
        <v>05 de diciembre de 2017</v>
      </c>
      <c r="N713" s="323">
        <f t="shared" si="113"/>
        <v>5</v>
      </c>
      <c r="O713" s="25">
        <f t="shared" si="112"/>
        <v>43070</v>
      </c>
      <c r="P713" s="5" t="str">
        <f t="shared" si="108"/>
        <v>0,84</v>
      </c>
      <c r="Q713" s="4" t="str">
        <f t="shared" si="109"/>
        <v>Cero Bolívares con 84/100</v>
      </c>
    </row>
    <row r="714" spans="1:17" x14ac:dyDescent="0.25">
      <c r="A714" s="1">
        <f t="shared" si="114"/>
        <v>713</v>
      </c>
      <c r="C714" s="8" t="s">
        <v>17</v>
      </c>
      <c r="D714" s="2">
        <v>43075</v>
      </c>
      <c r="E714" s="3">
        <f>2*50000/100000</f>
        <v>1</v>
      </c>
      <c r="F714" t="s">
        <v>138</v>
      </c>
      <c r="G714" t="s">
        <v>139</v>
      </c>
      <c r="H714" t="s">
        <v>140</v>
      </c>
      <c r="I714" s="6" t="s">
        <v>570</v>
      </c>
      <c r="J714" s="61" t="s">
        <v>22</v>
      </c>
      <c r="L714" s="5" t="str">
        <f t="shared" si="110"/>
        <v>00713</v>
      </c>
      <c r="M714" s="47" t="str">
        <f t="shared" si="111"/>
        <v>06 de diciembre de 2017</v>
      </c>
      <c r="N714" s="323">
        <f t="shared" si="113"/>
        <v>6</v>
      </c>
      <c r="O714" s="25">
        <f t="shared" si="112"/>
        <v>43070</v>
      </c>
      <c r="P714" s="5" t="str">
        <f t="shared" si="108"/>
        <v>1,00</v>
      </c>
      <c r="Q714" s="4" t="str">
        <f t="shared" si="109"/>
        <v>Un Bolívar con 00/100</v>
      </c>
    </row>
    <row r="715" spans="1:17" x14ac:dyDescent="0.25">
      <c r="A715" s="1">
        <f t="shared" si="114"/>
        <v>714</v>
      </c>
      <c r="C715" s="8" t="s">
        <v>17</v>
      </c>
      <c r="D715" s="2">
        <v>43075</v>
      </c>
      <c r="E715" s="3">
        <f>34800/100000+15200/100000</f>
        <v>0.5</v>
      </c>
      <c r="F715" t="s">
        <v>152</v>
      </c>
      <c r="G715" t="s">
        <v>153</v>
      </c>
      <c r="H715" t="s">
        <v>154</v>
      </c>
      <c r="I715" s="6" t="s">
        <v>589</v>
      </c>
      <c r="J715" s="61" t="s">
        <v>22</v>
      </c>
      <c r="L715" s="5" t="str">
        <f t="shared" si="110"/>
        <v>00714</v>
      </c>
      <c r="M715" s="47" t="str">
        <f t="shared" si="111"/>
        <v>06 de diciembre de 2017</v>
      </c>
      <c r="N715" s="323">
        <f t="shared" si="113"/>
        <v>6</v>
      </c>
      <c r="O715" s="25">
        <f t="shared" si="112"/>
        <v>43070</v>
      </c>
      <c r="P715" s="5" t="str">
        <f t="shared" si="108"/>
        <v>0,50</v>
      </c>
      <c r="Q715" s="4" t="str">
        <f t="shared" si="109"/>
        <v>Cero Bolívares con 50/100</v>
      </c>
    </row>
    <row r="716" spans="1:17" x14ac:dyDescent="0.25">
      <c r="A716" s="1">
        <f t="shared" si="114"/>
        <v>715</v>
      </c>
      <c r="C716" s="8" t="s">
        <v>17</v>
      </c>
      <c r="D716" s="2">
        <v>43075</v>
      </c>
      <c r="E716" s="3">
        <f>30000/100000</f>
        <v>0.3</v>
      </c>
      <c r="F716" t="s">
        <v>130</v>
      </c>
      <c r="G716" t="s">
        <v>131</v>
      </c>
      <c r="H716" t="s">
        <v>132</v>
      </c>
      <c r="I716" s="6" t="s">
        <v>566</v>
      </c>
      <c r="J716" s="61" t="s">
        <v>22</v>
      </c>
      <c r="L716" s="5" t="str">
        <f t="shared" si="110"/>
        <v>00715</v>
      </c>
      <c r="M716" s="47" t="str">
        <f t="shared" si="111"/>
        <v>06 de diciembre de 2017</v>
      </c>
      <c r="N716" s="323">
        <f t="shared" si="113"/>
        <v>6</v>
      </c>
      <c r="O716" s="25">
        <f t="shared" si="112"/>
        <v>43070</v>
      </c>
      <c r="P716" s="5" t="str">
        <f t="shared" si="108"/>
        <v>0,30</v>
      </c>
      <c r="Q716" s="4" t="str">
        <f t="shared" si="109"/>
        <v>Cero Bolívares con 30/100</v>
      </c>
    </row>
    <row r="717" spans="1:17" x14ac:dyDescent="0.25">
      <c r="A717" s="1">
        <f t="shared" si="114"/>
        <v>716</v>
      </c>
      <c r="C717" s="8" t="s">
        <v>17</v>
      </c>
      <c r="D717" s="2">
        <v>43076</v>
      </c>
      <c r="E717" s="3">
        <f>35000/100000</f>
        <v>0.35</v>
      </c>
      <c r="F717" t="s">
        <v>32</v>
      </c>
      <c r="G717" t="s">
        <v>33</v>
      </c>
      <c r="H717" t="s">
        <v>34</v>
      </c>
      <c r="I717" s="6" t="s">
        <v>514</v>
      </c>
      <c r="J717" s="61" t="s">
        <v>22</v>
      </c>
      <c r="L717" s="5" t="str">
        <f t="shared" si="110"/>
        <v>00716</v>
      </c>
      <c r="M717" s="47" t="str">
        <f t="shared" si="111"/>
        <v>07 de diciembre de 2017</v>
      </c>
      <c r="N717" s="323">
        <f t="shared" si="113"/>
        <v>7</v>
      </c>
      <c r="O717" s="25">
        <f t="shared" si="112"/>
        <v>43070</v>
      </c>
      <c r="P717" s="5" t="str">
        <f t="shared" si="108"/>
        <v>0,35</v>
      </c>
      <c r="Q717" s="4" t="str">
        <f t="shared" si="109"/>
        <v>Cero Bolívares con 35/100</v>
      </c>
    </row>
    <row r="718" spans="1:17" x14ac:dyDescent="0.25">
      <c r="A718" s="1">
        <f t="shared" si="114"/>
        <v>717</v>
      </c>
      <c r="C718" s="8" t="s">
        <v>17</v>
      </c>
      <c r="D718" s="2">
        <v>43075</v>
      </c>
      <c r="E718" s="3">
        <f>3*40000/100000</f>
        <v>1.2</v>
      </c>
      <c r="F718" t="s">
        <v>252</v>
      </c>
      <c r="G718" t="s">
        <v>253</v>
      </c>
      <c r="H718" t="s">
        <v>254</v>
      </c>
      <c r="I718" s="6" t="s">
        <v>590</v>
      </c>
      <c r="J718" s="61" t="s">
        <v>22</v>
      </c>
      <c r="L718" s="5" t="str">
        <f t="shared" si="110"/>
        <v>00717</v>
      </c>
      <c r="M718" s="47" t="str">
        <f t="shared" si="111"/>
        <v>06 de diciembre de 2017</v>
      </c>
      <c r="N718" s="323">
        <f t="shared" si="113"/>
        <v>6</v>
      </c>
      <c r="O718" s="25">
        <f t="shared" si="112"/>
        <v>43070</v>
      </c>
      <c r="P718" s="5" t="str">
        <f t="shared" si="108"/>
        <v>1,20</v>
      </c>
      <c r="Q718" s="4" t="str">
        <f t="shared" si="109"/>
        <v>Un Bolívares con 20/100</v>
      </c>
    </row>
    <row r="719" spans="1:17" x14ac:dyDescent="0.25">
      <c r="A719" s="1">
        <f t="shared" si="114"/>
        <v>718</v>
      </c>
      <c r="C719" s="8" t="s">
        <v>17</v>
      </c>
      <c r="D719" s="2">
        <v>43075</v>
      </c>
      <c r="E719" s="3">
        <f>4*25000/100000</f>
        <v>1</v>
      </c>
      <c r="F719" t="s">
        <v>334</v>
      </c>
      <c r="G719" t="s">
        <v>85</v>
      </c>
      <c r="H719" t="s">
        <v>335</v>
      </c>
      <c r="I719" s="6" t="s">
        <v>591</v>
      </c>
      <c r="J719" s="61" t="s">
        <v>22</v>
      </c>
      <c r="L719" s="5" t="str">
        <f t="shared" si="110"/>
        <v>00718</v>
      </c>
      <c r="M719" s="47" t="str">
        <f t="shared" si="111"/>
        <v>06 de diciembre de 2017</v>
      </c>
      <c r="N719" s="323">
        <f t="shared" si="113"/>
        <v>6</v>
      </c>
      <c r="O719" s="25">
        <f t="shared" si="112"/>
        <v>43070</v>
      </c>
      <c r="P719" s="5" t="str">
        <f t="shared" si="108"/>
        <v>1,00</v>
      </c>
      <c r="Q719" s="4" t="str">
        <f t="shared" si="109"/>
        <v>Un Bolívar con 00/100</v>
      </c>
    </row>
    <row r="720" spans="1:17" x14ac:dyDescent="0.25">
      <c r="A720" s="1">
        <f t="shared" si="114"/>
        <v>719</v>
      </c>
      <c r="C720" s="8" t="s">
        <v>17</v>
      </c>
      <c r="D720" s="2">
        <v>43076</v>
      </c>
      <c r="E720" s="3">
        <f>15000/100000+2*50000/100000</f>
        <v>1.1499999999999999</v>
      </c>
      <c r="F720" t="s">
        <v>40</v>
      </c>
      <c r="G720" t="s">
        <v>41</v>
      </c>
      <c r="H720" t="s">
        <v>42</v>
      </c>
      <c r="I720" s="6" t="s">
        <v>592</v>
      </c>
      <c r="J720" s="61" t="s">
        <v>22</v>
      </c>
      <c r="L720" s="5" t="str">
        <f t="shared" si="110"/>
        <v>00719</v>
      </c>
      <c r="M720" s="47" t="str">
        <f t="shared" si="111"/>
        <v>07 de diciembre de 2017</v>
      </c>
      <c r="N720" s="323">
        <f t="shared" si="113"/>
        <v>7</v>
      </c>
      <c r="O720" s="25">
        <f t="shared" si="112"/>
        <v>43070</v>
      </c>
      <c r="P720" s="5" t="str">
        <f t="shared" si="108"/>
        <v>1,15</v>
      </c>
      <c r="Q720" s="4" t="str">
        <f t="shared" si="109"/>
        <v>Un Bolívares con 15/100</v>
      </c>
    </row>
    <row r="721" spans="1:17" x14ac:dyDescent="0.25">
      <c r="A721" s="1">
        <f t="shared" si="114"/>
        <v>720</v>
      </c>
      <c r="C721" s="8" t="s">
        <v>17</v>
      </c>
      <c r="D721" s="2">
        <v>43076</v>
      </c>
      <c r="E721" s="3">
        <f>50000/100000</f>
        <v>0.5</v>
      </c>
      <c r="F721" t="s">
        <v>62</v>
      </c>
      <c r="G721" t="s">
        <v>63</v>
      </c>
      <c r="H721" t="s">
        <v>64</v>
      </c>
      <c r="I721" s="6" t="s">
        <v>561</v>
      </c>
      <c r="J721" s="61" t="s">
        <v>22</v>
      </c>
      <c r="L721" s="5" t="str">
        <f t="shared" si="110"/>
        <v>00720</v>
      </c>
      <c r="M721" s="47" t="str">
        <f t="shared" si="111"/>
        <v>07 de diciembre de 2017</v>
      </c>
      <c r="N721" s="323">
        <f t="shared" si="113"/>
        <v>7</v>
      </c>
      <c r="O721" s="25">
        <f t="shared" si="112"/>
        <v>43070</v>
      </c>
      <c r="P721" s="5" t="str">
        <f t="shared" si="108"/>
        <v>0,50</v>
      </c>
      <c r="Q721" s="4" t="str">
        <f t="shared" si="109"/>
        <v>Cero Bolívares con 50/100</v>
      </c>
    </row>
    <row r="722" spans="1:17" x14ac:dyDescent="0.25">
      <c r="A722" s="1">
        <f t="shared" si="114"/>
        <v>721</v>
      </c>
      <c r="C722" s="8" t="s">
        <v>17</v>
      </c>
      <c r="D722" s="2">
        <v>43076</v>
      </c>
      <c r="E722" s="3">
        <f>50000/100000</f>
        <v>0.5</v>
      </c>
      <c r="F722" t="s">
        <v>24</v>
      </c>
      <c r="G722" t="s">
        <v>25</v>
      </c>
      <c r="H722" t="s">
        <v>26</v>
      </c>
      <c r="I722" s="6" t="s">
        <v>575</v>
      </c>
      <c r="J722" s="61" t="s">
        <v>22</v>
      </c>
      <c r="L722" s="5" t="str">
        <f t="shared" si="110"/>
        <v>00721</v>
      </c>
      <c r="M722" s="47" t="str">
        <f t="shared" si="111"/>
        <v>07 de diciembre de 2017</v>
      </c>
      <c r="N722" s="323">
        <f t="shared" si="113"/>
        <v>7</v>
      </c>
      <c r="O722" s="25">
        <f t="shared" si="112"/>
        <v>43070</v>
      </c>
      <c r="P722" s="5" t="str">
        <f t="shared" si="108"/>
        <v>0,50</v>
      </c>
      <c r="Q722" s="4" t="str">
        <f t="shared" si="109"/>
        <v>Cero Bolívares con 50/100</v>
      </c>
    </row>
    <row r="723" spans="1:17" x14ac:dyDescent="0.25">
      <c r="A723" s="1">
        <f t="shared" si="114"/>
        <v>722</v>
      </c>
      <c r="C723" s="8" t="s">
        <v>17</v>
      </c>
      <c r="D723" s="2">
        <v>43077</v>
      </c>
      <c r="E723" s="3">
        <f>54000/100000</f>
        <v>0.54</v>
      </c>
      <c r="F723" s="20" t="s">
        <v>57</v>
      </c>
      <c r="G723" s="18" t="s">
        <v>58</v>
      </c>
      <c r="H723" s="21" t="s">
        <v>59</v>
      </c>
      <c r="I723" s="6" t="s">
        <v>575</v>
      </c>
      <c r="J723" s="61" t="s">
        <v>22</v>
      </c>
      <c r="K723" s="22"/>
      <c r="L723" s="5" t="str">
        <f t="shared" si="110"/>
        <v>00722</v>
      </c>
      <c r="M723" s="47" t="str">
        <f t="shared" si="111"/>
        <v>08 de diciembre de 2017</v>
      </c>
      <c r="N723" s="323">
        <f t="shared" si="113"/>
        <v>8</v>
      </c>
      <c r="O723" s="25">
        <f t="shared" si="112"/>
        <v>43070</v>
      </c>
      <c r="P723" s="5" t="str">
        <f t="shared" si="108"/>
        <v>0,54</v>
      </c>
      <c r="Q723" s="4" t="str">
        <f t="shared" si="109"/>
        <v>Cero Bolívares con 54/100</v>
      </c>
    </row>
    <row r="724" spans="1:17" x14ac:dyDescent="0.25">
      <c r="A724" s="1">
        <f t="shared" si="114"/>
        <v>723</v>
      </c>
      <c r="C724" s="8" t="s">
        <v>17</v>
      </c>
      <c r="D724" s="2">
        <v>43077</v>
      </c>
      <c r="E724" s="3">
        <f>50000/100000</f>
        <v>0.5</v>
      </c>
      <c r="F724" t="s">
        <v>107</v>
      </c>
      <c r="G724" t="s">
        <v>108</v>
      </c>
      <c r="H724" t="s">
        <v>109</v>
      </c>
      <c r="I724" s="6" t="s">
        <v>575</v>
      </c>
      <c r="J724" s="61" t="s">
        <v>22</v>
      </c>
      <c r="L724" s="5" t="str">
        <f t="shared" si="110"/>
        <v>00723</v>
      </c>
      <c r="M724" s="47" t="str">
        <f t="shared" si="111"/>
        <v>08 de diciembre de 2017</v>
      </c>
      <c r="N724" s="323">
        <f t="shared" si="113"/>
        <v>8</v>
      </c>
      <c r="O724" s="25">
        <f t="shared" si="112"/>
        <v>43070</v>
      </c>
      <c r="P724" s="5" t="str">
        <f t="shared" si="108"/>
        <v>0,50</v>
      </c>
      <c r="Q724" s="4" t="str">
        <f t="shared" si="109"/>
        <v>Cero Bolívares con 50/100</v>
      </c>
    </row>
    <row r="725" spans="1:17" x14ac:dyDescent="0.25">
      <c r="A725" s="1">
        <f t="shared" si="114"/>
        <v>724</v>
      </c>
      <c r="C725" s="8" t="s">
        <v>17</v>
      </c>
      <c r="D725" s="2">
        <v>43077</v>
      </c>
      <c r="E725" s="3">
        <f>20000/100000</f>
        <v>0.2</v>
      </c>
      <c r="F725" t="s">
        <v>397</v>
      </c>
      <c r="G725" s="48" t="s">
        <v>29</v>
      </c>
      <c r="H725" t="s">
        <v>398</v>
      </c>
      <c r="I725" s="6" t="s">
        <v>587</v>
      </c>
      <c r="J725" s="61" t="s">
        <v>22</v>
      </c>
      <c r="L725" s="5" t="str">
        <f t="shared" si="110"/>
        <v>00724</v>
      </c>
      <c r="M725" s="47" t="str">
        <f t="shared" si="111"/>
        <v>08 de diciembre de 2017</v>
      </c>
      <c r="N725" s="323">
        <f t="shared" si="113"/>
        <v>8</v>
      </c>
      <c r="O725" s="25">
        <f t="shared" si="112"/>
        <v>43070</v>
      </c>
      <c r="P725" s="5" t="str">
        <f t="shared" ref="P725:P730" si="115">TEXT(E725,"#.##0,00")</f>
        <v>0,20</v>
      </c>
      <c r="Q725" s="4" t="str">
        <f t="shared" ref="Q725:Q730" si="116">CONVERTIRNUM(E725)</f>
        <v>Cero Bolívares con 20/100</v>
      </c>
    </row>
    <row r="726" spans="1:17" x14ac:dyDescent="0.25">
      <c r="A726" s="1">
        <f t="shared" si="114"/>
        <v>725</v>
      </c>
      <c r="C726" s="8" t="s">
        <v>17</v>
      </c>
      <c r="D726" s="2">
        <v>43081</v>
      </c>
      <c r="E726" s="3">
        <f>71000/100000</f>
        <v>0.71</v>
      </c>
      <c r="F726" s="23" t="s">
        <v>422</v>
      </c>
      <c r="G726" s="18" t="s">
        <v>58</v>
      </c>
      <c r="H726" t="s">
        <v>423</v>
      </c>
      <c r="I726" s="6" t="s">
        <v>575</v>
      </c>
      <c r="J726" s="61" t="s">
        <v>22</v>
      </c>
      <c r="L726" s="5" t="str">
        <f t="shared" si="110"/>
        <v>00725</v>
      </c>
      <c r="M726" s="47" t="str">
        <f t="shared" si="111"/>
        <v>12 de diciembre de 2017</v>
      </c>
      <c r="N726" s="323">
        <f t="shared" si="113"/>
        <v>12</v>
      </c>
      <c r="O726" s="25">
        <f t="shared" si="112"/>
        <v>43070</v>
      </c>
      <c r="P726" s="5" t="str">
        <f t="shared" si="115"/>
        <v>0,71</v>
      </c>
      <c r="Q726" s="4" t="str">
        <f t="shared" si="116"/>
        <v>Cero Bolívares con 71/100</v>
      </c>
    </row>
    <row r="727" spans="1:17" x14ac:dyDescent="0.25">
      <c r="A727" s="1">
        <f t="shared" si="114"/>
        <v>726</v>
      </c>
      <c r="C727" s="8" t="s">
        <v>17</v>
      </c>
      <c r="D727" s="2">
        <v>43081</v>
      </c>
      <c r="E727" s="3">
        <f>50000/100000</f>
        <v>0.5</v>
      </c>
      <c r="F727" t="s">
        <v>100</v>
      </c>
      <c r="G727" t="s">
        <v>95</v>
      </c>
      <c r="H727" t="s">
        <v>101</v>
      </c>
      <c r="I727" s="6" t="s">
        <v>575</v>
      </c>
      <c r="J727" s="61" t="s">
        <v>22</v>
      </c>
      <c r="L727" s="5" t="str">
        <f t="shared" si="110"/>
        <v>00726</v>
      </c>
      <c r="M727" s="47" t="str">
        <f t="shared" si="111"/>
        <v>12 de diciembre de 2017</v>
      </c>
      <c r="N727" s="323">
        <f t="shared" si="113"/>
        <v>12</v>
      </c>
      <c r="O727" s="25">
        <f t="shared" si="112"/>
        <v>43070</v>
      </c>
      <c r="P727" s="5" t="str">
        <f t="shared" si="115"/>
        <v>0,50</v>
      </c>
      <c r="Q727" s="4" t="str">
        <f t="shared" si="116"/>
        <v>Cero Bolívares con 50/100</v>
      </c>
    </row>
    <row r="728" spans="1:17" x14ac:dyDescent="0.25">
      <c r="A728" s="1">
        <f t="shared" si="114"/>
        <v>727</v>
      </c>
      <c r="C728" s="8" t="s">
        <v>17</v>
      </c>
      <c r="D728" s="2">
        <v>43081</v>
      </c>
      <c r="E728" s="3">
        <f>40000/100000</f>
        <v>0.4</v>
      </c>
      <c r="F728" t="s">
        <v>181</v>
      </c>
      <c r="G728" t="s">
        <v>182</v>
      </c>
      <c r="H728" t="s">
        <v>183</v>
      </c>
      <c r="I728" s="6" t="s">
        <v>587</v>
      </c>
      <c r="J728" s="61" t="s">
        <v>22</v>
      </c>
      <c r="L728" s="5" t="str">
        <f t="shared" si="110"/>
        <v>00727</v>
      </c>
      <c r="M728" s="47" t="str">
        <f t="shared" si="111"/>
        <v>12 de diciembre de 2017</v>
      </c>
      <c r="N728" s="323">
        <f t="shared" si="113"/>
        <v>12</v>
      </c>
      <c r="O728" s="25">
        <f t="shared" si="112"/>
        <v>43070</v>
      </c>
      <c r="P728" s="5" t="str">
        <f t="shared" si="115"/>
        <v>0,40</v>
      </c>
      <c r="Q728" s="4" t="str">
        <f t="shared" si="116"/>
        <v>Cero Bolívares con 40/100</v>
      </c>
    </row>
    <row r="729" spans="1:17" x14ac:dyDescent="0.25">
      <c r="A729" s="1">
        <f t="shared" si="114"/>
        <v>728</v>
      </c>
      <c r="C729" s="8" t="s">
        <v>17</v>
      </c>
      <c r="D729" s="2">
        <v>43082</v>
      </c>
      <c r="E729" s="3">
        <f>50000/100000</f>
        <v>0.5</v>
      </c>
      <c r="F729" t="s">
        <v>36</v>
      </c>
      <c r="G729" t="s">
        <v>37</v>
      </c>
      <c r="H729" t="s">
        <v>38</v>
      </c>
      <c r="I729" s="6" t="s">
        <v>575</v>
      </c>
      <c r="J729" s="61" t="s">
        <v>22</v>
      </c>
      <c r="L729" s="5" t="str">
        <f t="shared" si="110"/>
        <v>00728</v>
      </c>
      <c r="M729" s="47" t="str">
        <f t="shared" si="111"/>
        <v>13 de diciembre de 2017</v>
      </c>
      <c r="N729" s="323">
        <f t="shared" si="113"/>
        <v>13</v>
      </c>
      <c r="O729" s="25">
        <f t="shared" si="112"/>
        <v>43070</v>
      </c>
      <c r="P729" s="5" t="str">
        <f t="shared" si="115"/>
        <v>0,50</v>
      </c>
      <c r="Q729" s="4" t="str">
        <f t="shared" si="116"/>
        <v>Cero Bolívares con 50/100</v>
      </c>
    </row>
    <row r="730" spans="1:17" x14ac:dyDescent="0.25">
      <c r="A730" s="1">
        <f t="shared" si="114"/>
        <v>729</v>
      </c>
      <c r="C730" s="8" t="s">
        <v>17</v>
      </c>
      <c r="D730" s="2">
        <v>43080</v>
      </c>
      <c r="E730" s="3">
        <f>30000/100000</f>
        <v>0.3</v>
      </c>
      <c r="F730" t="s">
        <v>342</v>
      </c>
      <c r="G730" t="s">
        <v>343</v>
      </c>
      <c r="H730" t="s">
        <v>344</v>
      </c>
      <c r="I730" s="6" t="s">
        <v>546</v>
      </c>
      <c r="J730" s="61" t="s">
        <v>22</v>
      </c>
      <c r="L730" s="5" t="str">
        <f t="shared" si="110"/>
        <v>00729</v>
      </c>
      <c r="M730" s="47" t="str">
        <f t="shared" si="111"/>
        <v>11 de diciembre de 2017</v>
      </c>
      <c r="N730" s="323">
        <f t="shared" si="113"/>
        <v>11</v>
      </c>
      <c r="O730" s="25">
        <f t="shared" si="112"/>
        <v>43070</v>
      </c>
      <c r="P730" s="5" t="str">
        <f t="shared" si="115"/>
        <v>0,30</v>
      </c>
      <c r="Q730" s="4" t="str">
        <f t="shared" si="116"/>
        <v>Cero Bolívares con 30/100</v>
      </c>
    </row>
    <row r="731" spans="1:17" x14ac:dyDescent="0.25">
      <c r="A731" s="1">
        <f t="shared" si="114"/>
        <v>730</v>
      </c>
      <c r="C731" s="8" t="s">
        <v>17</v>
      </c>
      <c r="D731" s="2">
        <v>43080</v>
      </c>
      <c r="E731" s="3">
        <f>40000/100000</f>
        <v>0.4</v>
      </c>
      <c r="F731" t="s">
        <v>342</v>
      </c>
      <c r="G731" t="s">
        <v>343</v>
      </c>
      <c r="H731" t="s">
        <v>344</v>
      </c>
      <c r="I731" s="6" t="s">
        <v>566</v>
      </c>
      <c r="J731" s="61" t="s">
        <v>22</v>
      </c>
      <c r="L731" s="5" t="str">
        <f t="shared" si="110"/>
        <v>00730</v>
      </c>
      <c r="M731" s="47" t="str">
        <f t="shared" si="111"/>
        <v>11 de diciembre de 2017</v>
      </c>
      <c r="N731" s="323">
        <f t="shared" si="113"/>
        <v>11</v>
      </c>
      <c r="O731" s="25">
        <f t="shared" si="112"/>
        <v>43070</v>
      </c>
      <c r="P731" s="5" t="str">
        <f t="shared" ref="P731:P737" si="117">TEXT(E731,"#.##0,00")</f>
        <v>0,40</v>
      </c>
      <c r="Q731" s="4" t="str">
        <f t="shared" ref="Q731:Q737" si="118">CONVERTIRNUM(E731)</f>
        <v>Cero Bolívares con 40/100</v>
      </c>
    </row>
    <row r="732" spans="1:17" x14ac:dyDescent="0.25">
      <c r="A732" s="1">
        <f t="shared" si="114"/>
        <v>731</v>
      </c>
      <c r="C732" s="8" t="s">
        <v>17</v>
      </c>
      <c r="D732" s="2">
        <v>43079</v>
      </c>
      <c r="E732" s="3">
        <f>35000/100000+50000/100000</f>
        <v>0.85</v>
      </c>
      <c r="F732" t="s">
        <v>185</v>
      </c>
      <c r="G732" t="s">
        <v>186</v>
      </c>
      <c r="H732" t="s">
        <v>187</v>
      </c>
      <c r="I732" s="6" t="s">
        <v>593</v>
      </c>
      <c r="J732" s="61" t="s">
        <v>22</v>
      </c>
      <c r="L732" s="5" t="str">
        <f t="shared" si="110"/>
        <v>00731</v>
      </c>
      <c r="M732" s="47" t="str">
        <f t="shared" si="111"/>
        <v>10 de diciembre de 2017</v>
      </c>
      <c r="N732" s="323">
        <f t="shared" si="113"/>
        <v>10</v>
      </c>
      <c r="O732" s="25">
        <f t="shared" si="112"/>
        <v>43070</v>
      </c>
      <c r="P732" s="5" t="str">
        <f t="shared" si="117"/>
        <v>0,85</v>
      </c>
      <c r="Q732" s="4" t="str">
        <f t="shared" si="118"/>
        <v>Cero Bolívares con 85/100</v>
      </c>
    </row>
    <row r="733" spans="1:17" x14ac:dyDescent="0.25">
      <c r="A733" s="1">
        <f t="shared" si="114"/>
        <v>732</v>
      </c>
      <c r="C733" s="8" t="s">
        <v>17</v>
      </c>
      <c r="D733" s="2">
        <v>43082</v>
      </c>
      <c r="E733" s="3">
        <f>50000/100000</f>
        <v>0.5</v>
      </c>
      <c r="F733" t="s">
        <v>126</v>
      </c>
      <c r="G733" t="s">
        <v>127</v>
      </c>
      <c r="H733" t="s">
        <v>128</v>
      </c>
      <c r="I733" s="6" t="s">
        <v>575</v>
      </c>
      <c r="J733" s="61" t="s">
        <v>22</v>
      </c>
      <c r="L733" s="5" t="str">
        <f t="shared" si="110"/>
        <v>00732</v>
      </c>
      <c r="M733" s="47" t="str">
        <f t="shared" si="111"/>
        <v>13 de diciembre de 2017</v>
      </c>
      <c r="N733" s="323">
        <f t="shared" si="113"/>
        <v>13</v>
      </c>
      <c r="O733" s="25">
        <f t="shared" si="112"/>
        <v>43070</v>
      </c>
      <c r="P733" s="5" t="str">
        <f t="shared" si="117"/>
        <v>0,50</v>
      </c>
      <c r="Q733" s="4" t="str">
        <f t="shared" si="118"/>
        <v>Cero Bolívares con 50/100</v>
      </c>
    </row>
    <row r="734" spans="1:17" x14ac:dyDescent="0.25">
      <c r="A734" s="1">
        <f t="shared" si="114"/>
        <v>733</v>
      </c>
      <c r="C734" s="8" t="s">
        <v>17</v>
      </c>
      <c r="D734" s="2">
        <v>43084</v>
      </c>
      <c r="E734" s="3">
        <f>2*50000/100000</f>
        <v>1</v>
      </c>
      <c r="F734" t="s">
        <v>201</v>
      </c>
      <c r="G734" t="s">
        <v>202</v>
      </c>
      <c r="H734" t="s">
        <v>203</v>
      </c>
      <c r="I734" s="6" t="s">
        <v>570</v>
      </c>
      <c r="J734" s="61" t="s">
        <v>22</v>
      </c>
      <c r="L734" s="5" t="str">
        <f t="shared" si="110"/>
        <v>00733</v>
      </c>
      <c r="M734" s="47" t="str">
        <f t="shared" si="111"/>
        <v>15 de diciembre de 2017</v>
      </c>
      <c r="N734" s="323">
        <f t="shared" si="113"/>
        <v>15</v>
      </c>
      <c r="O734" s="25">
        <f t="shared" si="112"/>
        <v>43070</v>
      </c>
      <c r="P734" s="5" t="str">
        <f t="shared" si="117"/>
        <v>1,00</v>
      </c>
      <c r="Q734" s="4" t="str">
        <f t="shared" si="118"/>
        <v>Un Bolívar con 00/100</v>
      </c>
    </row>
    <row r="735" spans="1:17" x14ac:dyDescent="0.25">
      <c r="A735" s="1">
        <f t="shared" si="114"/>
        <v>734</v>
      </c>
      <c r="C735" s="8" t="s">
        <v>17</v>
      </c>
      <c r="D735" s="2">
        <v>43019</v>
      </c>
      <c r="E735" s="3">
        <f>35000/100000</f>
        <v>0.35</v>
      </c>
      <c r="F735" t="s">
        <v>206</v>
      </c>
      <c r="G735" t="s">
        <v>207</v>
      </c>
      <c r="H735" t="s">
        <v>208</v>
      </c>
      <c r="I735" s="6" t="s">
        <v>514</v>
      </c>
      <c r="J735" s="61" t="s">
        <v>22</v>
      </c>
      <c r="L735" s="5" t="str">
        <f t="shared" si="110"/>
        <v>00734</v>
      </c>
      <c r="M735" s="47" t="str">
        <f t="shared" si="111"/>
        <v>11 de octubre de 2017</v>
      </c>
      <c r="N735" s="323">
        <f t="shared" si="113"/>
        <v>11</v>
      </c>
      <c r="O735" s="25">
        <f t="shared" si="112"/>
        <v>43009</v>
      </c>
      <c r="P735" s="5" t="str">
        <f t="shared" si="117"/>
        <v>0,35</v>
      </c>
      <c r="Q735" s="4" t="str">
        <f t="shared" si="118"/>
        <v>Cero Bolívares con 35/100</v>
      </c>
    </row>
    <row r="736" spans="1:17" x14ac:dyDescent="0.25">
      <c r="A736" s="1">
        <f t="shared" si="114"/>
        <v>735</v>
      </c>
      <c r="C736" s="8" t="s">
        <v>17</v>
      </c>
      <c r="D736" s="2">
        <v>42923</v>
      </c>
      <c r="E736" s="3">
        <f>3000/100000</f>
        <v>0.03</v>
      </c>
      <c r="F736" t="s">
        <v>144</v>
      </c>
      <c r="G736" t="s">
        <v>145</v>
      </c>
      <c r="H736" t="s">
        <v>146</v>
      </c>
      <c r="I736" s="6" t="s">
        <v>446</v>
      </c>
      <c r="J736" s="61" t="s">
        <v>22</v>
      </c>
      <c r="L736" s="5" t="str">
        <f t="shared" si="110"/>
        <v>00735</v>
      </c>
      <c r="M736" s="47" t="str">
        <f t="shared" si="111"/>
        <v>07 de julio de 2017</v>
      </c>
      <c r="N736" s="323">
        <f t="shared" si="113"/>
        <v>7</v>
      </c>
      <c r="O736" s="25">
        <f t="shared" si="112"/>
        <v>42917</v>
      </c>
      <c r="P736" s="5" t="str">
        <f t="shared" si="117"/>
        <v>0,03</v>
      </c>
      <c r="Q736" s="4" t="str">
        <f t="shared" si="118"/>
        <v>Cero Bolívares con 03/100</v>
      </c>
    </row>
    <row r="737" spans="1:17" x14ac:dyDescent="0.25">
      <c r="A737" s="1">
        <f t="shared" si="114"/>
        <v>736</v>
      </c>
      <c r="C737" s="8" t="s">
        <v>17</v>
      </c>
      <c r="D737" s="2">
        <v>43086</v>
      </c>
      <c r="E737" s="3">
        <f>50000/100000</f>
        <v>0.5</v>
      </c>
      <c r="F737" t="s">
        <v>122</v>
      </c>
      <c r="G737" t="s">
        <v>123</v>
      </c>
      <c r="H737" t="s">
        <v>124</v>
      </c>
      <c r="I737" s="6" t="s">
        <v>575</v>
      </c>
      <c r="J737" s="61" t="s">
        <v>22</v>
      </c>
      <c r="L737" s="5" t="str">
        <f t="shared" si="110"/>
        <v>00736</v>
      </c>
      <c r="M737" s="47" t="str">
        <f t="shared" si="111"/>
        <v>17 de diciembre de 2017</v>
      </c>
      <c r="N737" s="323">
        <f t="shared" si="113"/>
        <v>17</v>
      </c>
      <c r="O737" s="25">
        <f t="shared" si="112"/>
        <v>43070</v>
      </c>
      <c r="P737" s="5" t="str">
        <f t="shared" si="117"/>
        <v>0,50</v>
      </c>
      <c r="Q737" s="4" t="str">
        <f t="shared" si="118"/>
        <v>Cero Bolívares con 50/100</v>
      </c>
    </row>
    <row r="738" spans="1:17" x14ac:dyDescent="0.25">
      <c r="A738" s="1">
        <f t="shared" si="114"/>
        <v>737</v>
      </c>
      <c r="C738" s="8" t="s">
        <v>17</v>
      </c>
      <c r="D738" s="2">
        <v>43087</v>
      </c>
      <c r="E738" s="3">
        <f>50000/100000</f>
        <v>0.5</v>
      </c>
      <c r="F738" t="s">
        <v>594</v>
      </c>
      <c r="G738" t="s">
        <v>595</v>
      </c>
      <c r="H738" t="s">
        <v>596</v>
      </c>
      <c r="I738" s="6" t="s">
        <v>575</v>
      </c>
      <c r="J738" s="61" t="s">
        <v>22</v>
      </c>
      <c r="L738" s="5" t="str">
        <f t="shared" si="110"/>
        <v>00737</v>
      </c>
      <c r="M738" s="47" t="str">
        <f t="shared" si="111"/>
        <v>18 de diciembre de 2017</v>
      </c>
      <c r="N738" s="323">
        <f t="shared" si="113"/>
        <v>18</v>
      </c>
      <c r="O738" s="25">
        <f t="shared" si="112"/>
        <v>43070</v>
      </c>
      <c r="P738" s="5" t="str">
        <f t="shared" ref="P738:P754" si="119">TEXT(E738,"#.##0,00")</f>
        <v>0,50</v>
      </c>
      <c r="Q738" s="4" t="str">
        <f t="shared" ref="Q738:Q754" si="120">CONVERTIRNUM(E738)</f>
        <v>Cero Bolívares con 50/100</v>
      </c>
    </row>
    <row r="739" spans="1:17" x14ac:dyDescent="0.25">
      <c r="A739" s="1">
        <f t="shared" si="114"/>
        <v>738</v>
      </c>
      <c r="C739" s="8" t="s">
        <v>17</v>
      </c>
      <c r="D739" s="2">
        <v>43088</v>
      </c>
      <c r="E739" s="3">
        <f>60000/100000</f>
        <v>0.6</v>
      </c>
      <c r="F739" t="s">
        <v>412</v>
      </c>
      <c r="G739" t="s">
        <v>413</v>
      </c>
      <c r="H739" t="s">
        <v>414</v>
      </c>
      <c r="I739" s="6" t="s">
        <v>590</v>
      </c>
      <c r="J739" s="61" t="s">
        <v>22</v>
      </c>
      <c r="L739" s="5" t="str">
        <f t="shared" si="110"/>
        <v>00738</v>
      </c>
      <c r="M739" s="47" t="str">
        <f t="shared" si="111"/>
        <v>19 de diciembre de 2017</v>
      </c>
      <c r="N739" s="323">
        <f t="shared" si="113"/>
        <v>19</v>
      </c>
      <c r="O739" s="25">
        <f t="shared" si="112"/>
        <v>43070</v>
      </c>
      <c r="P739" s="5" t="str">
        <f t="shared" si="119"/>
        <v>0,60</v>
      </c>
      <c r="Q739" s="4" t="str">
        <f t="shared" si="120"/>
        <v>Cero Bolívares con 60/100</v>
      </c>
    </row>
    <row r="740" spans="1:17" x14ac:dyDescent="0.25">
      <c r="A740" s="1">
        <f t="shared" si="114"/>
        <v>739</v>
      </c>
      <c r="C740" s="8" t="s">
        <v>17</v>
      </c>
      <c r="D740" s="2">
        <v>43089</v>
      </c>
      <c r="E740" s="3">
        <f>35000/100000+50000*2/100000</f>
        <v>1.35</v>
      </c>
      <c r="F740" t="s">
        <v>114</v>
      </c>
      <c r="G740" t="s">
        <v>115</v>
      </c>
      <c r="H740" t="s">
        <v>116</v>
      </c>
      <c r="I740" s="6" t="s">
        <v>568</v>
      </c>
      <c r="J740" s="61" t="s">
        <v>22</v>
      </c>
      <c r="L740" s="5" t="str">
        <f t="shared" si="110"/>
        <v>00739</v>
      </c>
      <c r="M740" s="47" t="str">
        <f t="shared" si="111"/>
        <v>20 de diciembre de 2017</v>
      </c>
      <c r="N740" s="323">
        <f t="shared" si="113"/>
        <v>20</v>
      </c>
      <c r="O740" s="25">
        <f t="shared" si="112"/>
        <v>43070</v>
      </c>
      <c r="P740" s="5" t="str">
        <f t="shared" si="119"/>
        <v>1,35</v>
      </c>
      <c r="Q740" s="4" t="str">
        <f t="shared" si="120"/>
        <v>Un Bolívares con 35/100</v>
      </c>
    </row>
    <row r="741" spans="1:17" x14ac:dyDescent="0.25">
      <c r="A741" s="1">
        <f t="shared" si="114"/>
        <v>740</v>
      </c>
      <c r="C741" s="8" t="s">
        <v>17</v>
      </c>
      <c r="D741" s="2">
        <v>43089</v>
      </c>
      <c r="E741" s="3">
        <f>40000/100000</f>
        <v>0.4</v>
      </c>
      <c r="F741" t="s">
        <v>342</v>
      </c>
      <c r="G741" t="s">
        <v>343</v>
      </c>
      <c r="H741" t="s">
        <v>344</v>
      </c>
      <c r="I741" s="6" t="s">
        <v>587</v>
      </c>
      <c r="J741" s="61" t="s">
        <v>22</v>
      </c>
      <c r="L741" s="5" t="str">
        <f t="shared" si="110"/>
        <v>00740</v>
      </c>
      <c r="M741" s="47" t="str">
        <f t="shared" si="111"/>
        <v>20 de diciembre de 2017</v>
      </c>
      <c r="N741" s="323">
        <f t="shared" si="113"/>
        <v>20</v>
      </c>
      <c r="O741" s="25">
        <f t="shared" si="112"/>
        <v>43070</v>
      </c>
      <c r="P741" s="5" t="str">
        <f t="shared" si="119"/>
        <v>0,40</v>
      </c>
      <c r="Q741" s="4" t="str">
        <f t="shared" si="120"/>
        <v>Cero Bolívares con 40/100</v>
      </c>
    </row>
    <row r="742" spans="1:17" x14ac:dyDescent="0.25">
      <c r="A742" s="1">
        <f t="shared" si="114"/>
        <v>741</v>
      </c>
      <c r="C742" s="8" t="s">
        <v>17</v>
      </c>
      <c r="D742" s="2">
        <v>43089</v>
      </c>
      <c r="E742" s="3">
        <f>25000/100000</f>
        <v>0.25</v>
      </c>
      <c r="F742" t="s">
        <v>280</v>
      </c>
      <c r="G742" t="s">
        <v>281</v>
      </c>
      <c r="H742" t="s">
        <v>282</v>
      </c>
      <c r="I742" s="6" t="s">
        <v>597</v>
      </c>
      <c r="J742" s="61" t="s">
        <v>22</v>
      </c>
      <c r="L742" s="5" t="str">
        <f t="shared" si="110"/>
        <v>00741</v>
      </c>
      <c r="M742" s="47" t="str">
        <f t="shared" si="111"/>
        <v>20 de diciembre de 2017</v>
      </c>
      <c r="N742" s="323">
        <f t="shared" si="113"/>
        <v>20</v>
      </c>
      <c r="O742" s="25">
        <f t="shared" si="112"/>
        <v>43070</v>
      </c>
      <c r="P742" s="5" t="str">
        <f t="shared" si="119"/>
        <v>0,25</v>
      </c>
      <c r="Q742" s="4" t="str">
        <f t="shared" si="120"/>
        <v>Cero Bolívares con 25/100</v>
      </c>
    </row>
    <row r="743" spans="1:17" x14ac:dyDescent="0.25">
      <c r="A743" s="1">
        <f t="shared" si="114"/>
        <v>742</v>
      </c>
      <c r="C743" s="8" t="s">
        <v>17</v>
      </c>
      <c r="D743" s="2">
        <v>43091</v>
      </c>
      <c r="E743" s="3">
        <f>17000/100000</f>
        <v>0.17</v>
      </c>
      <c r="F743" t="s">
        <v>401</v>
      </c>
      <c r="G743" t="s">
        <v>402</v>
      </c>
      <c r="H743" t="s">
        <v>403</v>
      </c>
      <c r="I743" s="6" t="s">
        <v>587</v>
      </c>
      <c r="J743" s="61" t="s">
        <v>22</v>
      </c>
      <c r="L743" s="5" t="str">
        <f t="shared" si="110"/>
        <v>00742</v>
      </c>
      <c r="M743" s="47" t="str">
        <f t="shared" si="111"/>
        <v>22 de diciembre de 2017</v>
      </c>
      <c r="N743" s="323">
        <f t="shared" si="113"/>
        <v>22</v>
      </c>
      <c r="O743" s="25">
        <f t="shared" si="112"/>
        <v>43070</v>
      </c>
      <c r="P743" s="5" t="str">
        <f t="shared" si="119"/>
        <v>0,17</v>
      </c>
      <c r="Q743" s="4" t="str">
        <f t="shared" si="120"/>
        <v>Cero Bolívares con 17/100</v>
      </c>
    </row>
    <row r="744" spans="1:17" x14ac:dyDescent="0.25">
      <c r="A744" s="1">
        <f t="shared" si="114"/>
        <v>743</v>
      </c>
      <c r="C744" s="8" t="s">
        <v>17</v>
      </c>
      <c r="D744" s="2">
        <v>43091</v>
      </c>
      <c r="E744" s="3">
        <f>15000/100000</f>
        <v>0.15</v>
      </c>
      <c r="F744" t="s">
        <v>118</v>
      </c>
      <c r="G744" t="s">
        <v>119</v>
      </c>
      <c r="H744" t="s">
        <v>120</v>
      </c>
      <c r="I744" s="6" t="s">
        <v>566</v>
      </c>
      <c r="J744" s="61" t="s">
        <v>22</v>
      </c>
      <c r="L744" s="5" t="str">
        <f t="shared" si="110"/>
        <v>00743</v>
      </c>
      <c r="M744" s="47" t="str">
        <f t="shared" si="111"/>
        <v>22 de diciembre de 2017</v>
      </c>
      <c r="N744" s="323">
        <f t="shared" si="113"/>
        <v>22</v>
      </c>
      <c r="O744" s="25">
        <f t="shared" si="112"/>
        <v>43070</v>
      </c>
      <c r="P744" s="5" t="str">
        <f t="shared" si="119"/>
        <v>0,15</v>
      </c>
      <c r="Q744" s="4" t="str">
        <f t="shared" si="120"/>
        <v>Cero Bolívares con 15/100</v>
      </c>
    </row>
    <row r="745" spans="1:17" x14ac:dyDescent="0.25">
      <c r="A745" s="1">
        <f t="shared" si="114"/>
        <v>744</v>
      </c>
      <c r="C745" s="8" t="s">
        <v>17</v>
      </c>
      <c r="D745" s="2">
        <v>43092</v>
      </c>
      <c r="E745" s="3">
        <f>100000/100000</f>
        <v>1</v>
      </c>
      <c r="F745" t="s">
        <v>287</v>
      </c>
      <c r="G745" t="s">
        <v>288</v>
      </c>
      <c r="H745" t="s">
        <v>289</v>
      </c>
      <c r="I745" s="6" t="s">
        <v>583</v>
      </c>
      <c r="J745" s="61" t="s">
        <v>22</v>
      </c>
      <c r="L745" s="5" t="str">
        <f t="shared" si="110"/>
        <v>00744</v>
      </c>
      <c r="M745" s="47" t="str">
        <f t="shared" si="111"/>
        <v>23 de diciembre de 2017</v>
      </c>
      <c r="N745" s="323">
        <f t="shared" si="113"/>
        <v>23</v>
      </c>
      <c r="O745" s="25">
        <f t="shared" si="112"/>
        <v>43070</v>
      </c>
      <c r="P745" s="5" t="str">
        <f t="shared" si="119"/>
        <v>1,00</v>
      </c>
      <c r="Q745" s="4" t="str">
        <f t="shared" si="120"/>
        <v>Un Bolívar con 00/100</v>
      </c>
    </row>
    <row r="746" spans="1:17" x14ac:dyDescent="0.25">
      <c r="A746" s="1">
        <f t="shared" si="114"/>
        <v>745</v>
      </c>
      <c r="C746" s="8" t="s">
        <v>17</v>
      </c>
      <c r="D746" s="2">
        <v>43095</v>
      </c>
      <c r="E746" s="3">
        <f>100000/100000</f>
        <v>1</v>
      </c>
      <c r="F746" t="s">
        <v>177</v>
      </c>
      <c r="G746" s="18" t="s">
        <v>58</v>
      </c>
      <c r="H746" t="s">
        <v>179</v>
      </c>
      <c r="I746" s="6" t="s">
        <v>598</v>
      </c>
      <c r="J746" s="61" t="s">
        <v>22</v>
      </c>
      <c r="L746" s="5" t="str">
        <f t="shared" si="110"/>
        <v>00745</v>
      </c>
      <c r="M746" s="47" t="str">
        <f t="shared" si="111"/>
        <v>26 de diciembre de 2017</v>
      </c>
      <c r="N746" s="323">
        <f t="shared" si="113"/>
        <v>26</v>
      </c>
      <c r="O746" s="25">
        <f t="shared" si="112"/>
        <v>43070</v>
      </c>
      <c r="P746" s="5" t="str">
        <f t="shared" si="119"/>
        <v>1,00</v>
      </c>
      <c r="Q746" s="4" t="str">
        <f t="shared" si="120"/>
        <v>Un Bolívar con 00/100</v>
      </c>
    </row>
    <row r="747" spans="1:17" x14ac:dyDescent="0.25">
      <c r="A747" s="1">
        <f t="shared" si="114"/>
        <v>746</v>
      </c>
      <c r="C747" s="8" t="s">
        <v>17</v>
      </c>
      <c r="D747" s="2">
        <v>43095</v>
      </c>
      <c r="E747" s="3">
        <f>50000/100000</f>
        <v>0.5</v>
      </c>
      <c r="F747" t="s">
        <v>103</v>
      </c>
      <c r="G747" t="s">
        <v>104</v>
      </c>
      <c r="H747" t="s">
        <v>105</v>
      </c>
      <c r="I747" s="6" t="s">
        <v>575</v>
      </c>
      <c r="J747" s="61" t="s">
        <v>22</v>
      </c>
      <c r="L747" s="5" t="str">
        <f t="shared" si="110"/>
        <v>00746</v>
      </c>
      <c r="M747" s="47" t="str">
        <f t="shared" si="111"/>
        <v>26 de diciembre de 2017</v>
      </c>
      <c r="N747" s="323">
        <f t="shared" si="113"/>
        <v>26</v>
      </c>
      <c r="O747" s="25">
        <f t="shared" si="112"/>
        <v>43070</v>
      </c>
      <c r="P747" s="5" t="str">
        <f t="shared" si="119"/>
        <v>0,50</v>
      </c>
      <c r="Q747" s="4" t="str">
        <f t="shared" si="120"/>
        <v>Cero Bolívares con 50/100</v>
      </c>
    </row>
    <row r="748" spans="1:17" x14ac:dyDescent="0.25">
      <c r="A748" s="1">
        <f t="shared" si="114"/>
        <v>747</v>
      </c>
      <c r="C748" s="8" t="s">
        <v>17</v>
      </c>
      <c r="D748" s="2">
        <v>43092</v>
      </c>
      <c r="E748" s="3">
        <f>50000/100000</f>
        <v>0.5</v>
      </c>
      <c r="F748" t="s">
        <v>211</v>
      </c>
      <c r="G748" t="s">
        <v>212</v>
      </c>
      <c r="H748" t="s">
        <v>213</v>
      </c>
      <c r="I748" s="6" t="s">
        <v>575</v>
      </c>
      <c r="J748" s="61" t="s">
        <v>22</v>
      </c>
      <c r="L748" s="5" t="str">
        <f t="shared" si="110"/>
        <v>00747</v>
      </c>
      <c r="M748" s="47" t="str">
        <f t="shared" si="111"/>
        <v>23 de diciembre de 2017</v>
      </c>
      <c r="N748" s="323">
        <f t="shared" si="113"/>
        <v>23</v>
      </c>
      <c r="O748" s="25">
        <f t="shared" si="112"/>
        <v>43070</v>
      </c>
      <c r="P748" s="5" t="str">
        <f t="shared" si="119"/>
        <v>0,50</v>
      </c>
      <c r="Q748" s="4" t="str">
        <f t="shared" si="120"/>
        <v>Cero Bolívares con 50/100</v>
      </c>
    </row>
    <row r="749" spans="1:17" x14ac:dyDescent="0.25">
      <c r="A749" s="1">
        <f t="shared" si="114"/>
        <v>748</v>
      </c>
      <c r="C749" s="8" t="s">
        <v>17</v>
      </c>
      <c r="D749" s="2">
        <v>43095</v>
      </c>
      <c r="E749" s="3">
        <f>20000/100000</f>
        <v>0.2</v>
      </c>
      <c r="F749" t="s">
        <v>433</v>
      </c>
      <c r="G749" t="s">
        <v>434</v>
      </c>
      <c r="H749" t="s">
        <v>435</v>
      </c>
      <c r="I749" s="6" t="s">
        <v>599</v>
      </c>
      <c r="J749" s="61" t="s">
        <v>22</v>
      </c>
      <c r="L749" s="5" t="str">
        <f t="shared" si="110"/>
        <v>00748</v>
      </c>
      <c r="M749" s="47" t="str">
        <f t="shared" si="111"/>
        <v>26 de diciembre de 2017</v>
      </c>
      <c r="N749" s="323">
        <f t="shared" si="113"/>
        <v>26</v>
      </c>
      <c r="O749" s="25">
        <f t="shared" si="112"/>
        <v>43070</v>
      </c>
      <c r="P749" s="5" t="str">
        <f t="shared" si="119"/>
        <v>0,20</v>
      </c>
      <c r="Q749" s="4" t="str">
        <f t="shared" si="120"/>
        <v>Cero Bolívares con 20/100</v>
      </c>
    </row>
    <row r="750" spans="1:17" x14ac:dyDescent="0.25">
      <c r="A750" s="1">
        <f t="shared" si="114"/>
        <v>749</v>
      </c>
      <c r="C750" s="8" t="s">
        <v>17</v>
      </c>
      <c r="D750" s="2">
        <v>43095</v>
      </c>
      <c r="E750" s="3">
        <f>50000/100000</f>
        <v>0.5</v>
      </c>
      <c r="F750" t="s">
        <v>558</v>
      </c>
      <c r="G750" t="s">
        <v>559</v>
      </c>
      <c r="H750" t="s">
        <v>560</v>
      </c>
      <c r="I750" s="6" t="s">
        <v>600</v>
      </c>
      <c r="J750" s="61" t="s">
        <v>22</v>
      </c>
      <c r="L750" s="5" t="str">
        <f t="shared" si="110"/>
        <v>00749</v>
      </c>
      <c r="M750" s="47" t="str">
        <f t="shared" si="111"/>
        <v>26 de diciembre de 2017</v>
      </c>
      <c r="N750" s="323">
        <f t="shared" si="113"/>
        <v>26</v>
      </c>
      <c r="O750" s="25">
        <f t="shared" si="112"/>
        <v>43070</v>
      </c>
      <c r="P750" s="5" t="str">
        <f t="shared" si="119"/>
        <v>0,50</v>
      </c>
      <c r="Q750" s="4" t="str">
        <f t="shared" si="120"/>
        <v>Cero Bolívares con 50/100</v>
      </c>
    </row>
    <row r="751" spans="1:17" x14ac:dyDescent="0.25">
      <c r="A751" s="1">
        <f t="shared" si="114"/>
        <v>750</v>
      </c>
      <c r="C751" s="8" t="s">
        <v>17</v>
      </c>
      <c r="D751" s="2">
        <v>43096</v>
      </c>
      <c r="E751" s="3">
        <f>25000/100000</f>
        <v>0.25</v>
      </c>
      <c r="F751" t="s">
        <v>303</v>
      </c>
      <c r="G751" s="18" t="s">
        <v>58</v>
      </c>
      <c r="H751" t="s">
        <v>304</v>
      </c>
      <c r="I751" s="6" t="s">
        <v>566</v>
      </c>
      <c r="J751" s="61" t="s">
        <v>22</v>
      </c>
      <c r="L751" s="5" t="str">
        <f t="shared" si="110"/>
        <v>00750</v>
      </c>
      <c r="M751" s="47" t="str">
        <f t="shared" si="111"/>
        <v>27 de diciembre de 2017</v>
      </c>
      <c r="N751" s="323">
        <f t="shared" si="113"/>
        <v>27</v>
      </c>
      <c r="O751" s="25">
        <f t="shared" si="112"/>
        <v>43070</v>
      </c>
      <c r="P751" s="5" t="str">
        <f t="shared" si="119"/>
        <v>0,25</v>
      </c>
      <c r="Q751" s="4" t="str">
        <f t="shared" si="120"/>
        <v>Cero Bolívares con 25/100</v>
      </c>
    </row>
    <row r="752" spans="1:17" x14ac:dyDescent="0.25">
      <c r="A752" s="1">
        <f t="shared" si="114"/>
        <v>751</v>
      </c>
      <c r="C752" s="8" t="s">
        <v>17</v>
      </c>
      <c r="D752" s="2">
        <v>43098</v>
      </c>
      <c r="E752" s="3">
        <f>100000/100000</f>
        <v>1</v>
      </c>
      <c r="F752" t="s">
        <v>248</v>
      </c>
      <c r="G752" t="s">
        <v>249</v>
      </c>
      <c r="H752" t="s">
        <v>250</v>
      </c>
      <c r="I752" s="6" t="s">
        <v>570</v>
      </c>
      <c r="J752" s="61" t="s">
        <v>22</v>
      </c>
      <c r="L752" s="5" t="str">
        <f t="shared" si="110"/>
        <v>00751</v>
      </c>
      <c r="M752" s="47" t="str">
        <f t="shared" si="111"/>
        <v>29 de diciembre de 2017</v>
      </c>
      <c r="N752" s="323">
        <f t="shared" si="113"/>
        <v>29</v>
      </c>
      <c r="O752" s="25">
        <f t="shared" si="112"/>
        <v>43070</v>
      </c>
      <c r="P752" s="5" t="str">
        <f t="shared" si="119"/>
        <v>1,00</v>
      </c>
      <c r="Q752" s="4" t="str">
        <f t="shared" si="120"/>
        <v>Un Bolívar con 00/100</v>
      </c>
    </row>
    <row r="753" spans="1:17" x14ac:dyDescent="0.25">
      <c r="A753" s="1">
        <f t="shared" si="114"/>
        <v>752</v>
      </c>
      <c r="C753" s="8" t="s">
        <v>17</v>
      </c>
      <c r="D753" s="2">
        <v>43102</v>
      </c>
      <c r="E753" s="3">
        <f>30000/100000</f>
        <v>0.3</v>
      </c>
      <c r="F753" t="s">
        <v>84</v>
      </c>
      <c r="G753" t="s">
        <v>85</v>
      </c>
      <c r="H753" t="s">
        <v>86</v>
      </c>
      <c r="I753" s="6" t="s">
        <v>601</v>
      </c>
      <c r="J753" s="61" t="s">
        <v>22</v>
      </c>
      <c r="L753" s="5" t="str">
        <f t="shared" si="110"/>
        <v>00752</v>
      </c>
      <c r="M753" s="47" t="str">
        <f t="shared" si="111"/>
        <v>02 de enero de 2018</v>
      </c>
      <c r="N753" s="323">
        <f t="shared" si="113"/>
        <v>2</v>
      </c>
      <c r="O753" s="25">
        <f t="shared" si="112"/>
        <v>43101</v>
      </c>
      <c r="P753" s="5" t="str">
        <f t="shared" si="119"/>
        <v>0,30</v>
      </c>
      <c r="Q753" s="4" t="str">
        <f t="shared" si="120"/>
        <v>Cero Bolívares con 30/100</v>
      </c>
    </row>
    <row r="754" spans="1:17" x14ac:dyDescent="0.25">
      <c r="A754" s="1">
        <f t="shared" si="114"/>
        <v>753</v>
      </c>
      <c r="C754" s="8" t="s">
        <v>17</v>
      </c>
      <c r="D754" s="2">
        <v>43102</v>
      </c>
      <c r="E754" s="3">
        <f>30000/100000</f>
        <v>0.3</v>
      </c>
      <c r="F754" t="s">
        <v>28</v>
      </c>
      <c r="G754" t="s">
        <v>29</v>
      </c>
      <c r="H754" t="s">
        <v>30</v>
      </c>
      <c r="I754" s="6" t="s">
        <v>587</v>
      </c>
      <c r="J754" s="61" t="s">
        <v>22</v>
      </c>
      <c r="L754" s="5" t="str">
        <f t="shared" si="110"/>
        <v>00753</v>
      </c>
      <c r="M754" s="47" t="str">
        <f t="shared" si="111"/>
        <v>02 de enero de 2018</v>
      </c>
      <c r="N754" s="323">
        <f t="shared" si="113"/>
        <v>2</v>
      </c>
      <c r="O754" s="25">
        <f t="shared" si="112"/>
        <v>43101</v>
      </c>
      <c r="P754" s="5" t="str">
        <f t="shared" si="119"/>
        <v>0,30</v>
      </c>
      <c r="Q754" s="4" t="str">
        <f t="shared" si="120"/>
        <v>Cero Bolívares con 30/100</v>
      </c>
    </row>
    <row r="755" spans="1:17" x14ac:dyDescent="0.25">
      <c r="A755" s="1">
        <f t="shared" si="114"/>
        <v>754</v>
      </c>
      <c r="C755" s="8" t="s">
        <v>17</v>
      </c>
      <c r="D755" s="2">
        <v>43104</v>
      </c>
      <c r="E755" s="3">
        <f>45000/100000</f>
        <v>0.45</v>
      </c>
      <c r="F755" t="s">
        <v>118</v>
      </c>
      <c r="G755" t="s">
        <v>119</v>
      </c>
      <c r="H755" t="s">
        <v>120</v>
      </c>
      <c r="I755" s="6" t="s">
        <v>587</v>
      </c>
      <c r="J755" s="61" t="s">
        <v>22</v>
      </c>
      <c r="L755" s="5" t="str">
        <f t="shared" si="110"/>
        <v>00754</v>
      </c>
      <c r="M755" s="47" t="str">
        <f t="shared" si="111"/>
        <v>04 de enero de 2018</v>
      </c>
      <c r="N755" s="323">
        <f t="shared" si="113"/>
        <v>4</v>
      </c>
      <c r="O755" s="25">
        <f t="shared" si="112"/>
        <v>43101</v>
      </c>
      <c r="P755" s="5" t="str">
        <f>TEXT(E755,"#.##0,00")</f>
        <v>0,45</v>
      </c>
      <c r="Q755" s="4" t="str">
        <f>CONVERTIRNUM(E755)</f>
        <v>Cero Bolívares con 45/100</v>
      </c>
    </row>
    <row r="756" spans="1:17" x14ac:dyDescent="0.25">
      <c r="A756" s="1">
        <f t="shared" si="114"/>
        <v>755</v>
      </c>
      <c r="C756" s="8" t="s">
        <v>17</v>
      </c>
      <c r="D756" s="2">
        <v>43098</v>
      </c>
      <c r="E756" s="3">
        <f>50000/100000</f>
        <v>0.5</v>
      </c>
      <c r="F756" t="s">
        <v>44</v>
      </c>
      <c r="G756" t="s">
        <v>45</v>
      </c>
      <c r="H756" t="s">
        <v>46</v>
      </c>
      <c r="I756" s="6" t="s">
        <v>602</v>
      </c>
      <c r="J756" s="61" t="s">
        <v>22</v>
      </c>
      <c r="L756" s="5" t="str">
        <f t="shared" si="110"/>
        <v>00755</v>
      </c>
      <c r="M756" s="47" t="str">
        <f t="shared" si="111"/>
        <v>29 de diciembre de 2017</v>
      </c>
      <c r="N756" s="323">
        <f t="shared" si="113"/>
        <v>29</v>
      </c>
      <c r="O756" s="25">
        <f t="shared" si="112"/>
        <v>43070</v>
      </c>
      <c r="P756" s="5" t="str">
        <f>TEXT(E756,"#.##0,00")</f>
        <v>0,50</v>
      </c>
      <c r="Q756" s="4" t="str">
        <f>CONVERTIRNUM(E756)</f>
        <v>Cero Bolívares con 50/100</v>
      </c>
    </row>
    <row r="757" spans="1:17" x14ac:dyDescent="0.25">
      <c r="A757" s="1">
        <f t="shared" si="114"/>
        <v>756</v>
      </c>
      <c r="C757" s="8" t="s">
        <v>17</v>
      </c>
      <c r="D757" s="2">
        <v>43107</v>
      </c>
      <c r="E757" s="3">
        <f>50000/100000</f>
        <v>0.5</v>
      </c>
      <c r="F757" t="s">
        <v>70</v>
      </c>
      <c r="G757" t="s">
        <v>71</v>
      </c>
      <c r="H757" t="s">
        <v>72</v>
      </c>
      <c r="I757" s="6" t="s">
        <v>602</v>
      </c>
      <c r="J757" s="61" t="s">
        <v>22</v>
      </c>
      <c r="L757" s="5" t="str">
        <f t="shared" si="110"/>
        <v>00756</v>
      </c>
      <c r="M757" s="47" t="str">
        <f t="shared" si="111"/>
        <v>07 de enero de 2018</v>
      </c>
      <c r="N757" s="323">
        <f t="shared" si="113"/>
        <v>7</v>
      </c>
      <c r="O757" s="25">
        <f t="shared" si="112"/>
        <v>43101</v>
      </c>
      <c r="P757" s="5" t="str">
        <f>TEXT(E757,"#.##0,00")</f>
        <v>0,50</v>
      </c>
      <c r="Q757" s="4" t="str">
        <f>CONVERTIRNUM(E757)</f>
        <v>Cero Bolívares con 50/100</v>
      </c>
    </row>
    <row r="758" spans="1:17" x14ac:dyDescent="0.25">
      <c r="A758" s="1">
        <f t="shared" si="114"/>
        <v>757</v>
      </c>
      <c r="C758" s="8" t="s">
        <v>17</v>
      </c>
      <c r="D758" s="2">
        <v>43110</v>
      </c>
      <c r="E758" s="3">
        <f>50000/100000</f>
        <v>0.5</v>
      </c>
      <c r="F758" t="s">
        <v>219</v>
      </c>
      <c r="G758" t="s">
        <v>220</v>
      </c>
      <c r="H758" t="s">
        <v>221</v>
      </c>
      <c r="I758" s="6" t="s">
        <v>575</v>
      </c>
      <c r="J758" s="61" t="s">
        <v>22</v>
      </c>
      <c r="L758" s="5" t="str">
        <f t="shared" si="110"/>
        <v>00757</v>
      </c>
      <c r="M758" s="47" t="str">
        <f t="shared" si="111"/>
        <v>10 de enero de 2018</v>
      </c>
      <c r="N758" s="323">
        <f t="shared" si="113"/>
        <v>10</v>
      </c>
      <c r="O758" s="25">
        <f t="shared" si="112"/>
        <v>43101</v>
      </c>
      <c r="P758" s="5" t="str">
        <f>TEXT(E758,"#.##0,00")</f>
        <v>0,50</v>
      </c>
      <c r="Q758" s="4" t="str">
        <f>CONVERTIRNUM(E758)</f>
        <v>Cero Bolívares con 50/100</v>
      </c>
    </row>
    <row r="759" spans="1:17" x14ac:dyDescent="0.25">
      <c r="A759" s="1">
        <f t="shared" si="114"/>
        <v>758</v>
      </c>
      <c r="C759" s="8" t="s">
        <v>17</v>
      </c>
      <c r="D759" s="2">
        <v>43110</v>
      </c>
      <c r="E759" s="3">
        <f>30000/100000</f>
        <v>0.3</v>
      </c>
      <c r="F759" t="s">
        <v>70</v>
      </c>
      <c r="G759" t="s">
        <v>71</v>
      </c>
      <c r="H759" t="s">
        <v>72</v>
      </c>
      <c r="I759" s="6" t="s">
        <v>603</v>
      </c>
      <c r="J759" s="61" t="s">
        <v>22</v>
      </c>
      <c r="L759" s="5" t="str">
        <f t="shared" si="110"/>
        <v>00758</v>
      </c>
      <c r="M759" s="47" t="str">
        <f t="shared" si="111"/>
        <v>10 de enero de 2018</v>
      </c>
      <c r="N759" s="323">
        <f t="shared" si="113"/>
        <v>10</v>
      </c>
      <c r="O759" s="25">
        <f t="shared" si="112"/>
        <v>43101</v>
      </c>
      <c r="P759" s="5" t="str">
        <f t="shared" ref="P759:P769" si="121">TEXT(E759,"#.##0,00")</f>
        <v>0,30</v>
      </c>
      <c r="Q759" s="4" t="str">
        <f t="shared" ref="Q759:Q769" si="122">CONVERTIRNUM(E759)</f>
        <v>Cero Bolívares con 30/100</v>
      </c>
    </row>
    <row r="760" spans="1:17" x14ac:dyDescent="0.25">
      <c r="A760" s="1">
        <f t="shared" si="114"/>
        <v>759</v>
      </c>
      <c r="C760" s="8" t="s">
        <v>17</v>
      </c>
      <c r="D760" s="2">
        <v>43110</v>
      </c>
      <c r="E760" s="3">
        <f>30000/100000</f>
        <v>0.3</v>
      </c>
      <c r="F760" t="s">
        <v>558</v>
      </c>
      <c r="G760" t="s">
        <v>559</v>
      </c>
      <c r="H760" t="s">
        <v>560</v>
      </c>
      <c r="I760" s="6" t="s">
        <v>603</v>
      </c>
      <c r="J760" s="61" t="s">
        <v>22</v>
      </c>
      <c r="L760" s="5" t="str">
        <f t="shared" si="110"/>
        <v>00759</v>
      </c>
      <c r="M760" s="47" t="str">
        <f t="shared" si="111"/>
        <v>10 de enero de 2018</v>
      </c>
      <c r="N760" s="323">
        <f t="shared" si="113"/>
        <v>10</v>
      </c>
      <c r="O760" s="25">
        <f t="shared" si="112"/>
        <v>43101</v>
      </c>
      <c r="P760" s="5" t="str">
        <f t="shared" si="121"/>
        <v>0,30</v>
      </c>
      <c r="Q760" s="4" t="str">
        <f t="shared" si="122"/>
        <v>Cero Bolívares con 30/100</v>
      </c>
    </row>
    <row r="761" spans="1:17" x14ac:dyDescent="0.25">
      <c r="A761" s="1">
        <f t="shared" si="114"/>
        <v>760</v>
      </c>
      <c r="C761" s="8" t="s">
        <v>17</v>
      </c>
      <c r="D761" s="2">
        <v>43110</v>
      </c>
      <c r="E761" s="3">
        <f>80000/100000</f>
        <v>0.8</v>
      </c>
      <c r="F761" t="s">
        <v>18</v>
      </c>
      <c r="G761" t="s">
        <v>19</v>
      </c>
      <c r="H761" t="s">
        <v>20</v>
      </c>
      <c r="I761" s="6" t="s">
        <v>604</v>
      </c>
      <c r="J761" s="61" t="s">
        <v>22</v>
      </c>
      <c r="L761" s="5" t="str">
        <f t="shared" si="110"/>
        <v>00760</v>
      </c>
      <c r="M761" s="47" t="str">
        <f t="shared" si="111"/>
        <v>10 de enero de 2018</v>
      </c>
      <c r="N761" s="323">
        <f t="shared" si="113"/>
        <v>10</v>
      </c>
      <c r="O761" s="25">
        <f t="shared" si="112"/>
        <v>43101</v>
      </c>
      <c r="P761" s="5" t="str">
        <f t="shared" si="121"/>
        <v>0,80</v>
      </c>
      <c r="Q761" s="4" t="str">
        <f t="shared" si="122"/>
        <v>Cero Bolívares con 80/100</v>
      </c>
    </row>
    <row r="762" spans="1:17" x14ac:dyDescent="0.25">
      <c r="A762" s="1">
        <f t="shared" si="114"/>
        <v>761</v>
      </c>
      <c r="C762" s="8" t="s">
        <v>17</v>
      </c>
      <c r="D762" s="2">
        <v>43110</v>
      </c>
      <c r="E762" s="3">
        <f>50000/100000</f>
        <v>0.5</v>
      </c>
      <c r="F762" t="s">
        <v>362</v>
      </c>
      <c r="G762" t="s">
        <v>363</v>
      </c>
      <c r="H762" t="s">
        <v>364</v>
      </c>
      <c r="I762" s="6" t="s">
        <v>575</v>
      </c>
      <c r="J762" s="61" t="s">
        <v>22</v>
      </c>
      <c r="L762" s="5" t="str">
        <f t="shared" si="110"/>
        <v>00761</v>
      </c>
      <c r="M762" s="47" t="str">
        <f t="shared" si="111"/>
        <v>10 de enero de 2018</v>
      </c>
      <c r="N762" s="323">
        <f t="shared" si="113"/>
        <v>10</v>
      </c>
      <c r="O762" s="25">
        <f t="shared" si="112"/>
        <v>43101</v>
      </c>
      <c r="P762" s="5" t="str">
        <f t="shared" si="121"/>
        <v>0,50</v>
      </c>
      <c r="Q762" s="4" t="str">
        <f t="shared" si="122"/>
        <v>Cero Bolívares con 50/100</v>
      </c>
    </row>
    <row r="763" spans="1:17" x14ac:dyDescent="0.25">
      <c r="A763" s="1">
        <f t="shared" si="114"/>
        <v>762</v>
      </c>
      <c r="C763" s="8" t="s">
        <v>17</v>
      </c>
      <c r="D763" s="2">
        <v>43110</v>
      </c>
      <c r="E763" s="3">
        <f>130000/100000</f>
        <v>1.3</v>
      </c>
      <c r="F763" t="s">
        <v>148</v>
      </c>
      <c r="G763" t="s">
        <v>149</v>
      </c>
      <c r="H763" t="s">
        <v>150</v>
      </c>
      <c r="I763" s="6" t="s">
        <v>583</v>
      </c>
      <c r="J763" s="61" t="s">
        <v>22</v>
      </c>
      <c r="L763" s="5" t="str">
        <f t="shared" si="110"/>
        <v>00762</v>
      </c>
      <c r="M763" s="47" t="str">
        <f t="shared" si="111"/>
        <v>10 de enero de 2018</v>
      </c>
      <c r="N763" s="323">
        <f t="shared" si="113"/>
        <v>10</v>
      </c>
      <c r="O763" s="25">
        <f t="shared" si="112"/>
        <v>43101</v>
      </c>
      <c r="P763" s="5" t="str">
        <f t="shared" si="121"/>
        <v>1,30</v>
      </c>
      <c r="Q763" s="4" t="str">
        <f t="shared" si="122"/>
        <v>Un Bolívares con 30/100</v>
      </c>
    </row>
    <row r="764" spans="1:17" x14ac:dyDescent="0.25">
      <c r="A764" s="1">
        <f t="shared" si="114"/>
        <v>763</v>
      </c>
      <c r="C764" s="8" t="s">
        <v>17</v>
      </c>
      <c r="D764" s="2">
        <v>43110</v>
      </c>
      <c r="E764" s="3">
        <f>80000/100000</f>
        <v>0.8</v>
      </c>
      <c r="F764" t="s">
        <v>107</v>
      </c>
      <c r="G764" t="s">
        <v>108</v>
      </c>
      <c r="H764" t="s">
        <v>109</v>
      </c>
      <c r="I764" s="6" t="s">
        <v>600</v>
      </c>
      <c r="J764" s="61" t="s">
        <v>22</v>
      </c>
      <c r="L764" s="5" t="str">
        <f t="shared" si="110"/>
        <v>00763</v>
      </c>
      <c r="M764" s="47" t="str">
        <f t="shared" si="111"/>
        <v>10 de enero de 2018</v>
      </c>
      <c r="N764" s="323">
        <f t="shared" si="113"/>
        <v>10</v>
      </c>
      <c r="O764" s="25">
        <f t="shared" si="112"/>
        <v>43101</v>
      </c>
      <c r="P764" s="5" t="str">
        <f t="shared" si="121"/>
        <v>0,80</v>
      </c>
      <c r="Q764" s="4" t="str">
        <f t="shared" si="122"/>
        <v>Cero Bolívares con 80/100</v>
      </c>
    </row>
    <row r="765" spans="1:17" x14ac:dyDescent="0.25">
      <c r="A765" s="1">
        <f t="shared" si="114"/>
        <v>764</v>
      </c>
      <c r="C765" s="8" t="s">
        <v>17</v>
      </c>
      <c r="D765" s="2">
        <v>43110</v>
      </c>
      <c r="E765" s="3">
        <f>70000/100000</f>
        <v>0.7</v>
      </c>
      <c r="F765" t="s">
        <v>197</v>
      </c>
      <c r="G765" t="s">
        <v>198</v>
      </c>
      <c r="H765" t="s">
        <v>199</v>
      </c>
      <c r="I765" s="6" t="s">
        <v>605</v>
      </c>
      <c r="J765" s="61" t="s">
        <v>22</v>
      </c>
      <c r="L765" s="5" t="str">
        <f t="shared" si="110"/>
        <v>00764</v>
      </c>
      <c r="M765" s="47" t="str">
        <f t="shared" si="111"/>
        <v>10 de enero de 2018</v>
      </c>
      <c r="N765" s="323">
        <f t="shared" si="113"/>
        <v>10</v>
      </c>
      <c r="O765" s="25">
        <f t="shared" si="112"/>
        <v>43101</v>
      </c>
      <c r="P765" s="5" t="str">
        <f t="shared" si="121"/>
        <v>0,70</v>
      </c>
      <c r="Q765" s="4" t="str">
        <f t="shared" si="122"/>
        <v>Cero Bolívares con 70/100</v>
      </c>
    </row>
    <row r="766" spans="1:17" x14ac:dyDescent="0.25">
      <c r="A766" s="1">
        <f t="shared" si="114"/>
        <v>765</v>
      </c>
      <c r="C766" s="8" t="s">
        <v>17</v>
      </c>
      <c r="D766" s="2">
        <v>43111</v>
      </c>
      <c r="E766" s="3">
        <f>160000/100000</f>
        <v>1.6</v>
      </c>
      <c r="F766" t="s">
        <v>324</v>
      </c>
      <c r="G766" t="s">
        <v>325</v>
      </c>
      <c r="H766" t="s">
        <v>326</v>
      </c>
      <c r="I766" s="6" t="s">
        <v>606</v>
      </c>
      <c r="J766" s="61" t="s">
        <v>22</v>
      </c>
      <c r="L766" s="5" t="str">
        <f t="shared" si="110"/>
        <v>00765</v>
      </c>
      <c r="M766" s="47" t="str">
        <f t="shared" si="111"/>
        <v>11 de enero de 2018</v>
      </c>
      <c r="N766" s="323">
        <f t="shared" si="113"/>
        <v>11</v>
      </c>
      <c r="O766" s="25">
        <f t="shared" si="112"/>
        <v>43101</v>
      </c>
      <c r="P766" s="5" t="str">
        <f t="shared" si="121"/>
        <v>1,60</v>
      </c>
      <c r="Q766" s="4" t="str">
        <f t="shared" si="122"/>
        <v>Un Bolívares con 60/100</v>
      </c>
    </row>
    <row r="767" spans="1:17" x14ac:dyDescent="0.25">
      <c r="A767" s="1">
        <f t="shared" si="114"/>
        <v>766</v>
      </c>
      <c r="C767" s="8" t="s">
        <v>17</v>
      </c>
      <c r="D767" s="2">
        <v>43111</v>
      </c>
      <c r="E767" s="3">
        <f>80000/100000</f>
        <v>0.8</v>
      </c>
      <c r="F767" t="s">
        <v>152</v>
      </c>
      <c r="G767" t="s">
        <v>153</v>
      </c>
      <c r="H767" t="s">
        <v>154</v>
      </c>
      <c r="I767" s="6" t="s">
        <v>600</v>
      </c>
      <c r="J767" s="61" t="s">
        <v>22</v>
      </c>
      <c r="L767" s="5" t="str">
        <f t="shared" si="110"/>
        <v>00766</v>
      </c>
      <c r="M767" s="47" t="str">
        <f t="shared" si="111"/>
        <v>11 de enero de 2018</v>
      </c>
      <c r="N767" s="323">
        <f t="shared" si="113"/>
        <v>11</v>
      </c>
      <c r="O767" s="25">
        <f t="shared" si="112"/>
        <v>43101</v>
      </c>
      <c r="P767" s="5" t="str">
        <f t="shared" si="121"/>
        <v>0,80</v>
      </c>
      <c r="Q767" s="4" t="str">
        <f t="shared" si="122"/>
        <v>Cero Bolívares con 80/100</v>
      </c>
    </row>
    <row r="768" spans="1:17" x14ac:dyDescent="0.25">
      <c r="A768" s="1">
        <f t="shared" si="114"/>
        <v>767</v>
      </c>
      <c r="C768" s="8" t="s">
        <v>17</v>
      </c>
      <c r="D768" s="2">
        <v>43111</v>
      </c>
      <c r="E768" s="3">
        <f>80000/100000</f>
        <v>0.8</v>
      </c>
      <c r="F768" t="s">
        <v>94</v>
      </c>
      <c r="G768" t="s">
        <v>607</v>
      </c>
      <c r="H768" t="s">
        <v>96</v>
      </c>
      <c r="I768" s="6" t="s">
        <v>600</v>
      </c>
      <c r="J768" s="61" t="s">
        <v>22</v>
      </c>
      <c r="L768" s="5" t="str">
        <f t="shared" si="110"/>
        <v>00767</v>
      </c>
      <c r="M768" s="47" t="str">
        <f t="shared" si="111"/>
        <v>11 de enero de 2018</v>
      </c>
      <c r="N768" s="323">
        <f t="shared" si="113"/>
        <v>11</v>
      </c>
      <c r="O768" s="25">
        <f t="shared" si="112"/>
        <v>43101</v>
      </c>
      <c r="P768" s="5" t="str">
        <f t="shared" si="121"/>
        <v>0,80</v>
      </c>
      <c r="Q768" s="4" t="str">
        <f t="shared" si="122"/>
        <v>Cero Bolívares con 80/100</v>
      </c>
    </row>
    <row r="769" spans="1:17" x14ac:dyDescent="0.25">
      <c r="A769" s="1">
        <f t="shared" si="114"/>
        <v>768</v>
      </c>
      <c r="C769" s="8" t="s">
        <v>17</v>
      </c>
      <c r="D769" s="2">
        <v>43111</v>
      </c>
      <c r="E769" s="3">
        <f>50000*2/100000</f>
        <v>1</v>
      </c>
      <c r="F769" t="s">
        <v>230</v>
      </c>
      <c r="G769" t="s">
        <v>231</v>
      </c>
      <c r="H769" t="s">
        <v>232</v>
      </c>
      <c r="I769" s="6" t="s">
        <v>570</v>
      </c>
      <c r="J769" s="61" t="s">
        <v>22</v>
      </c>
      <c r="L769" s="5" t="str">
        <f t="shared" si="110"/>
        <v>00768</v>
      </c>
      <c r="M769" s="47" t="str">
        <f t="shared" si="111"/>
        <v>11 de enero de 2018</v>
      </c>
      <c r="N769" s="323">
        <f t="shared" si="113"/>
        <v>11</v>
      </c>
      <c r="O769" s="25">
        <f t="shared" si="112"/>
        <v>43101</v>
      </c>
      <c r="P769" s="5" t="str">
        <f t="shared" si="121"/>
        <v>1,00</v>
      </c>
      <c r="Q769" s="4" t="str">
        <f t="shared" si="122"/>
        <v>Un Bolívar con 00/100</v>
      </c>
    </row>
    <row r="770" spans="1:17" x14ac:dyDescent="0.25">
      <c r="A770" s="1">
        <f t="shared" si="114"/>
        <v>769</v>
      </c>
      <c r="C770" s="8" t="s">
        <v>17</v>
      </c>
      <c r="D770" s="2">
        <v>43111</v>
      </c>
      <c r="E770" s="3">
        <f>80000/100000</f>
        <v>0.8</v>
      </c>
      <c r="F770" t="s">
        <v>362</v>
      </c>
      <c r="G770" t="s">
        <v>363</v>
      </c>
      <c r="H770" t="s">
        <v>364</v>
      </c>
      <c r="I770" s="6" t="s">
        <v>600</v>
      </c>
      <c r="J770" s="61" t="s">
        <v>22</v>
      </c>
      <c r="L770" s="5" t="str">
        <f t="shared" ref="L770:L833" si="123">IF(ISBLANK(A770),"",TEXT(A770,"00000"))</f>
        <v>00769</v>
      </c>
      <c r="M770" s="47" t="str">
        <f t="shared" ref="M770:M833" si="124">IF(ISBLANK(D770),"",TEXT(D770,"dd")&amp;" de "&amp;TEXT(D770,"mmmm")&amp;" de "&amp;TEXT(YEAR(D770),"0"))</f>
        <v>11 de enero de 2018</v>
      </c>
      <c r="N770" s="323">
        <f t="shared" si="113"/>
        <v>11</v>
      </c>
      <c r="O770" s="25">
        <f t="shared" ref="O770:O833" si="125">DATE(YEAR(D770),MONTH(D770),1)</f>
        <v>43101</v>
      </c>
      <c r="P770" s="5" t="str">
        <f t="shared" ref="P770:P787" si="126">TEXT(E770,"#.##0,00")</f>
        <v>0,80</v>
      </c>
      <c r="Q770" s="4" t="str">
        <f t="shared" ref="Q770:Q787" si="127">CONVERTIRNUM(E770)</f>
        <v>Cero Bolívares con 80/100</v>
      </c>
    </row>
    <row r="771" spans="1:17" x14ac:dyDescent="0.25">
      <c r="A771" s="1">
        <f t="shared" si="114"/>
        <v>770</v>
      </c>
      <c r="C771" s="8" t="s">
        <v>17</v>
      </c>
      <c r="D771" s="2">
        <v>43111</v>
      </c>
      <c r="E771" s="3">
        <f>80000/100000</f>
        <v>0.8</v>
      </c>
      <c r="F771" t="s">
        <v>243</v>
      </c>
      <c r="G771" t="s">
        <v>244</v>
      </c>
      <c r="H771" t="s">
        <v>245</v>
      </c>
      <c r="I771" s="6" t="s">
        <v>600</v>
      </c>
      <c r="J771" s="61" t="s">
        <v>22</v>
      </c>
      <c r="L771" s="5" t="str">
        <f t="shared" si="123"/>
        <v>00770</v>
      </c>
      <c r="M771" s="47" t="str">
        <f t="shared" si="124"/>
        <v>11 de enero de 2018</v>
      </c>
      <c r="N771" s="323">
        <f t="shared" ref="N771:N834" si="128">DAY(D771)</f>
        <v>11</v>
      </c>
      <c r="O771" s="25">
        <f t="shared" si="125"/>
        <v>43101</v>
      </c>
      <c r="P771" s="5" t="str">
        <f t="shared" si="126"/>
        <v>0,80</v>
      </c>
      <c r="Q771" s="4" t="str">
        <f t="shared" si="127"/>
        <v>Cero Bolívares con 80/100</v>
      </c>
    </row>
    <row r="772" spans="1:17" x14ac:dyDescent="0.25">
      <c r="A772" s="1">
        <f t="shared" ref="A772:A835" si="129">A771+1</f>
        <v>771</v>
      </c>
      <c r="C772" s="8" t="s">
        <v>17</v>
      </c>
      <c r="D772" s="2">
        <v>43111</v>
      </c>
      <c r="E772" s="3">
        <f>80000/100000</f>
        <v>0.8</v>
      </c>
      <c r="F772" t="s">
        <v>24</v>
      </c>
      <c r="G772" t="s">
        <v>25</v>
      </c>
      <c r="H772" t="s">
        <v>26</v>
      </c>
      <c r="I772" s="6" t="s">
        <v>600</v>
      </c>
      <c r="J772" s="61" t="s">
        <v>22</v>
      </c>
      <c r="L772" s="5" t="str">
        <f t="shared" si="123"/>
        <v>00771</v>
      </c>
      <c r="M772" s="47" t="str">
        <f t="shared" si="124"/>
        <v>11 de enero de 2018</v>
      </c>
      <c r="N772" s="323">
        <f t="shared" si="128"/>
        <v>11</v>
      </c>
      <c r="O772" s="25">
        <f t="shared" si="125"/>
        <v>43101</v>
      </c>
      <c r="P772" s="5" t="str">
        <f t="shared" si="126"/>
        <v>0,80</v>
      </c>
      <c r="Q772" s="4" t="str">
        <f t="shared" si="127"/>
        <v>Cero Bolívares con 80/100</v>
      </c>
    </row>
    <row r="773" spans="1:17" x14ac:dyDescent="0.25">
      <c r="A773" s="1">
        <f t="shared" si="129"/>
        <v>772</v>
      </c>
      <c r="C773" s="8" t="s">
        <v>17</v>
      </c>
      <c r="D773" s="2">
        <v>43112</v>
      </c>
      <c r="E773" s="3">
        <f>160000/100000</f>
        <v>1.6</v>
      </c>
      <c r="F773" t="s">
        <v>66</v>
      </c>
      <c r="G773" t="s">
        <v>67</v>
      </c>
      <c r="H773" t="s">
        <v>68</v>
      </c>
      <c r="I773" s="6" t="s">
        <v>608</v>
      </c>
      <c r="J773" s="61" t="s">
        <v>22</v>
      </c>
      <c r="L773" s="5" t="str">
        <f t="shared" si="123"/>
        <v>00772</v>
      </c>
      <c r="M773" s="47" t="str">
        <f t="shared" si="124"/>
        <v>12 de enero de 2018</v>
      </c>
      <c r="N773" s="323">
        <f t="shared" si="128"/>
        <v>12</v>
      </c>
      <c r="O773" s="25">
        <f t="shared" si="125"/>
        <v>43101</v>
      </c>
      <c r="P773" s="5" t="str">
        <f t="shared" si="126"/>
        <v>1,60</v>
      </c>
      <c r="Q773" s="4" t="str">
        <f t="shared" si="127"/>
        <v>Un Bolívares con 60/100</v>
      </c>
    </row>
    <row r="774" spans="1:17" x14ac:dyDescent="0.25">
      <c r="A774" s="1">
        <f t="shared" si="129"/>
        <v>773</v>
      </c>
      <c r="C774" s="8" t="s">
        <v>17</v>
      </c>
      <c r="D774" s="2">
        <v>43113</v>
      </c>
      <c r="E774" s="3">
        <f>80000/100000</f>
        <v>0.8</v>
      </c>
      <c r="F774" t="s">
        <v>103</v>
      </c>
      <c r="G774" t="s">
        <v>104</v>
      </c>
      <c r="H774" t="s">
        <v>105</v>
      </c>
      <c r="I774" s="6" t="s">
        <v>600</v>
      </c>
      <c r="J774" s="61" t="s">
        <v>22</v>
      </c>
      <c r="L774" s="5" t="str">
        <f t="shared" si="123"/>
        <v>00773</v>
      </c>
      <c r="M774" s="47" t="str">
        <f t="shared" si="124"/>
        <v>13 de enero de 2018</v>
      </c>
      <c r="N774" s="323">
        <f t="shared" si="128"/>
        <v>13</v>
      </c>
      <c r="O774" s="25">
        <f t="shared" si="125"/>
        <v>43101</v>
      </c>
      <c r="P774" s="5" t="str">
        <f t="shared" si="126"/>
        <v>0,80</v>
      </c>
      <c r="Q774" s="4" t="str">
        <f t="shared" si="127"/>
        <v>Cero Bolívares con 80/100</v>
      </c>
    </row>
    <row r="775" spans="1:17" x14ac:dyDescent="0.25">
      <c r="A775" s="1">
        <f t="shared" si="129"/>
        <v>774</v>
      </c>
      <c r="C775" s="8" t="s">
        <v>17</v>
      </c>
      <c r="D775" s="2">
        <v>43114</v>
      </c>
      <c r="E775" s="3">
        <f>100000/100000</f>
        <v>1</v>
      </c>
      <c r="F775" t="s">
        <v>594</v>
      </c>
      <c r="G775" t="s">
        <v>595</v>
      </c>
      <c r="H775" t="s">
        <v>596</v>
      </c>
      <c r="I775" s="6" t="s">
        <v>609</v>
      </c>
      <c r="J775" s="61" t="s">
        <v>22</v>
      </c>
      <c r="L775" s="5" t="str">
        <f t="shared" si="123"/>
        <v>00774</v>
      </c>
      <c r="M775" s="47" t="str">
        <f t="shared" si="124"/>
        <v>14 de enero de 2018</v>
      </c>
      <c r="N775" s="323">
        <f t="shared" si="128"/>
        <v>14</v>
      </c>
      <c r="O775" s="25">
        <f t="shared" si="125"/>
        <v>43101</v>
      </c>
      <c r="P775" s="5" t="str">
        <f t="shared" si="126"/>
        <v>1,00</v>
      </c>
      <c r="Q775" s="4" t="str">
        <f t="shared" si="127"/>
        <v>Un Bolívar con 00/100</v>
      </c>
    </row>
    <row r="776" spans="1:17" x14ac:dyDescent="0.25">
      <c r="A776" s="1">
        <f t="shared" si="129"/>
        <v>775</v>
      </c>
      <c r="C776" s="8" t="s">
        <v>17</v>
      </c>
      <c r="D776" s="2">
        <v>43116</v>
      </c>
      <c r="E776" s="3">
        <f>40000/100000</f>
        <v>0.4</v>
      </c>
      <c r="F776" t="s">
        <v>130</v>
      </c>
      <c r="G776" t="s">
        <v>131</v>
      </c>
      <c r="H776" t="s">
        <v>132</v>
      </c>
      <c r="I776" s="6" t="s">
        <v>601</v>
      </c>
      <c r="J776" s="61" t="s">
        <v>22</v>
      </c>
      <c r="L776" s="5" t="str">
        <f t="shared" si="123"/>
        <v>00775</v>
      </c>
      <c r="M776" s="47" t="str">
        <f t="shared" si="124"/>
        <v>16 de enero de 2018</v>
      </c>
      <c r="N776" s="323">
        <f t="shared" si="128"/>
        <v>16</v>
      </c>
      <c r="O776" s="25">
        <f t="shared" si="125"/>
        <v>43101</v>
      </c>
      <c r="P776" s="5" t="str">
        <f t="shared" si="126"/>
        <v>0,40</v>
      </c>
      <c r="Q776" s="4" t="str">
        <f t="shared" si="127"/>
        <v>Cero Bolívares con 40/100</v>
      </c>
    </row>
    <row r="777" spans="1:17" x14ac:dyDescent="0.25">
      <c r="A777" s="1">
        <f t="shared" si="129"/>
        <v>776</v>
      </c>
      <c r="C777" s="8" t="s">
        <v>17</v>
      </c>
      <c r="D777" s="2">
        <v>43117</v>
      </c>
      <c r="E777" s="3">
        <f>80000/100000</f>
        <v>0.8</v>
      </c>
      <c r="F777" t="s">
        <v>122</v>
      </c>
      <c r="G777" t="s">
        <v>123</v>
      </c>
      <c r="H777" t="s">
        <v>124</v>
      </c>
      <c r="I777" s="6" t="s">
        <v>600</v>
      </c>
      <c r="J777" s="61" t="s">
        <v>22</v>
      </c>
      <c r="L777" s="5" t="str">
        <f t="shared" si="123"/>
        <v>00776</v>
      </c>
      <c r="M777" s="47" t="str">
        <f t="shared" si="124"/>
        <v>17 de enero de 2018</v>
      </c>
      <c r="N777" s="323">
        <f t="shared" si="128"/>
        <v>17</v>
      </c>
      <c r="O777" s="25">
        <f t="shared" si="125"/>
        <v>43101</v>
      </c>
      <c r="P777" s="5" t="str">
        <f t="shared" si="126"/>
        <v>0,80</v>
      </c>
      <c r="Q777" s="4" t="str">
        <f t="shared" si="127"/>
        <v>Cero Bolívares con 80/100</v>
      </c>
    </row>
    <row r="778" spans="1:17" x14ac:dyDescent="0.25">
      <c r="A778" s="1">
        <f t="shared" si="129"/>
        <v>777</v>
      </c>
      <c r="C778" s="8" t="s">
        <v>17</v>
      </c>
      <c r="D778" s="2">
        <v>43118</v>
      </c>
      <c r="E778" s="3">
        <f>80000/100000</f>
        <v>0.8</v>
      </c>
      <c r="F778" t="s">
        <v>219</v>
      </c>
      <c r="G778" t="s">
        <v>220</v>
      </c>
      <c r="H778" t="s">
        <v>221</v>
      </c>
      <c r="I778" s="6" t="s">
        <v>600</v>
      </c>
      <c r="J778" s="61" t="s">
        <v>22</v>
      </c>
      <c r="L778" s="5" t="str">
        <f t="shared" si="123"/>
        <v>00777</v>
      </c>
      <c r="M778" s="47" t="str">
        <f t="shared" si="124"/>
        <v>18 de enero de 2018</v>
      </c>
      <c r="N778" s="323">
        <f t="shared" si="128"/>
        <v>18</v>
      </c>
      <c r="O778" s="25">
        <f t="shared" si="125"/>
        <v>43101</v>
      </c>
      <c r="P778" s="5" t="str">
        <f t="shared" si="126"/>
        <v>0,80</v>
      </c>
      <c r="Q778" s="4" t="str">
        <f t="shared" si="127"/>
        <v>Cero Bolívares con 80/100</v>
      </c>
    </row>
    <row r="779" spans="1:17" x14ac:dyDescent="0.25">
      <c r="A779" s="1">
        <f t="shared" si="129"/>
        <v>778</v>
      </c>
      <c r="C779" s="8" t="s">
        <v>17</v>
      </c>
      <c r="D779" s="2">
        <v>43118</v>
      </c>
      <c r="E779" s="3">
        <f>40000/100000</f>
        <v>0.4</v>
      </c>
      <c r="F779" t="s">
        <v>401</v>
      </c>
      <c r="G779" t="s">
        <v>402</v>
      </c>
      <c r="H779" t="s">
        <v>403</v>
      </c>
      <c r="I779" s="6" t="s">
        <v>601</v>
      </c>
      <c r="J779" s="61" t="s">
        <v>22</v>
      </c>
      <c r="L779" s="5" t="str">
        <f t="shared" si="123"/>
        <v>00778</v>
      </c>
      <c r="M779" s="47" t="str">
        <f t="shared" si="124"/>
        <v>18 de enero de 2018</v>
      </c>
      <c r="N779" s="323">
        <f t="shared" si="128"/>
        <v>18</v>
      </c>
      <c r="O779" s="25">
        <f t="shared" si="125"/>
        <v>43101</v>
      </c>
      <c r="P779" s="5" t="str">
        <f t="shared" si="126"/>
        <v>0,40</v>
      </c>
      <c r="Q779" s="4" t="str">
        <f t="shared" si="127"/>
        <v>Cero Bolívares con 40/100</v>
      </c>
    </row>
    <row r="780" spans="1:17" x14ac:dyDescent="0.25">
      <c r="A780" s="1">
        <f t="shared" si="129"/>
        <v>779</v>
      </c>
      <c r="C780" s="8" t="s">
        <v>17</v>
      </c>
      <c r="D780" s="2">
        <v>43118</v>
      </c>
      <c r="E780" s="3">
        <f>80000/100000</f>
        <v>0.8</v>
      </c>
      <c r="F780" t="s">
        <v>36</v>
      </c>
      <c r="G780" t="s">
        <v>37</v>
      </c>
      <c r="H780" t="s">
        <v>38</v>
      </c>
      <c r="I780" s="6" t="s">
        <v>600</v>
      </c>
      <c r="J780" s="61" t="s">
        <v>22</v>
      </c>
      <c r="L780" s="5" t="str">
        <f t="shared" si="123"/>
        <v>00779</v>
      </c>
      <c r="M780" s="47" t="str">
        <f t="shared" si="124"/>
        <v>18 de enero de 2018</v>
      </c>
      <c r="N780" s="323">
        <f t="shared" si="128"/>
        <v>18</v>
      </c>
      <c r="O780" s="25">
        <f t="shared" si="125"/>
        <v>43101</v>
      </c>
      <c r="P780" s="5" t="str">
        <f t="shared" si="126"/>
        <v>0,80</v>
      </c>
      <c r="Q780" s="4" t="str">
        <f t="shared" si="127"/>
        <v>Cero Bolívares con 80/100</v>
      </c>
    </row>
    <row r="781" spans="1:17" x14ac:dyDescent="0.25">
      <c r="A781" s="1">
        <f t="shared" si="129"/>
        <v>780</v>
      </c>
      <c r="C781" s="8" t="s">
        <v>17</v>
      </c>
      <c r="D781" s="2">
        <v>43118</v>
      </c>
      <c r="E781" s="3">
        <f>80000/100000+20000/100000</f>
        <v>1</v>
      </c>
      <c r="F781" t="s">
        <v>280</v>
      </c>
      <c r="G781" s="18" t="s">
        <v>58</v>
      </c>
      <c r="H781" t="s">
        <v>282</v>
      </c>
      <c r="I781" s="6" t="s">
        <v>610</v>
      </c>
      <c r="J781" s="61" t="s">
        <v>22</v>
      </c>
      <c r="L781" s="5" t="str">
        <f t="shared" si="123"/>
        <v>00780</v>
      </c>
      <c r="M781" s="47" t="str">
        <f t="shared" si="124"/>
        <v>18 de enero de 2018</v>
      </c>
      <c r="N781" s="323">
        <f t="shared" si="128"/>
        <v>18</v>
      </c>
      <c r="O781" s="25">
        <f t="shared" si="125"/>
        <v>43101</v>
      </c>
      <c r="P781" s="5" t="str">
        <f t="shared" si="126"/>
        <v>1,00</v>
      </c>
      <c r="Q781" s="4" t="str">
        <f t="shared" si="127"/>
        <v>Un Bolívar con 00/100</v>
      </c>
    </row>
    <row r="782" spans="1:17" x14ac:dyDescent="0.25">
      <c r="A782" s="1">
        <f t="shared" si="129"/>
        <v>781</v>
      </c>
      <c r="C782" s="8" t="s">
        <v>17</v>
      </c>
      <c r="D782" s="2">
        <v>43118</v>
      </c>
      <c r="E782" s="3">
        <f>80000/100000</f>
        <v>0.8</v>
      </c>
      <c r="F782" t="s">
        <v>181</v>
      </c>
      <c r="G782" t="s">
        <v>182</v>
      </c>
      <c r="H782" t="s">
        <v>183</v>
      </c>
      <c r="I782" s="6" t="s">
        <v>600</v>
      </c>
      <c r="J782" s="61" t="s">
        <v>22</v>
      </c>
      <c r="L782" s="5" t="str">
        <f t="shared" si="123"/>
        <v>00781</v>
      </c>
      <c r="M782" s="47" t="str">
        <f t="shared" si="124"/>
        <v>18 de enero de 2018</v>
      </c>
      <c r="N782" s="323">
        <f t="shared" si="128"/>
        <v>18</v>
      </c>
      <c r="O782" s="25">
        <f t="shared" si="125"/>
        <v>43101</v>
      </c>
      <c r="P782" s="5" t="str">
        <f t="shared" si="126"/>
        <v>0,80</v>
      </c>
      <c r="Q782" s="4" t="str">
        <f t="shared" si="127"/>
        <v>Cero Bolívares con 80/100</v>
      </c>
    </row>
    <row r="783" spans="1:17" x14ac:dyDescent="0.25">
      <c r="A783" s="178">
        <f t="shared" si="129"/>
        <v>782</v>
      </c>
      <c r="C783" s="8" t="s">
        <v>17</v>
      </c>
      <c r="D783" s="2">
        <v>43118</v>
      </c>
      <c r="E783" s="3">
        <f>80000/100000</f>
        <v>0.8</v>
      </c>
      <c r="F783" t="s">
        <v>438</v>
      </c>
      <c r="G783" t="s">
        <v>439</v>
      </c>
      <c r="H783" t="s">
        <v>440</v>
      </c>
      <c r="I783" s="6" t="s">
        <v>611</v>
      </c>
      <c r="J783" s="61" t="s">
        <v>22</v>
      </c>
      <c r="L783" s="5" t="str">
        <f t="shared" si="123"/>
        <v>00782</v>
      </c>
      <c r="M783" s="47" t="str">
        <f t="shared" si="124"/>
        <v>18 de enero de 2018</v>
      </c>
      <c r="N783" s="323">
        <f t="shared" si="128"/>
        <v>18</v>
      </c>
      <c r="O783" s="25">
        <f t="shared" si="125"/>
        <v>43101</v>
      </c>
      <c r="P783" s="5" t="str">
        <f t="shared" si="126"/>
        <v>0,80</v>
      </c>
      <c r="Q783" s="4" t="str">
        <f t="shared" si="127"/>
        <v>Cero Bolívares con 80/100</v>
      </c>
    </row>
    <row r="784" spans="1:17" x14ac:dyDescent="0.25">
      <c r="A784" s="1">
        <f t="shared" si="129"/>
        <v>783</v>
      </c>
      <c r="C784" s="8" t="s">
        <v>17</v>
      </c>
      <c r="D784" s="2">
        <v>43118</v>
      </c>
      <c r="E784" s="3">
        <f>35000/100000</f>
        <v>0.35</v>
      </c>
      <c r="F784" t="s">
        <v>48</v>
      </c>
      <c r="G784" t="s">
        <v>49</v>
      </c>
      <c r="H784" t="s">
        <v>50</v>
      </c>
      <c r="I784" s="6" t="s">
        <v>601</v>
      </c>
      <c r="J784" s="61" t="s">
        <v>22</v>
      </c>
      <c r="L784" s="5" t="str">
        <f t="shared" si="123"/>
        <v>00783</v>
      </c>
      <c r="M784" s="47" t="str">
        <f t="shared" si="124"/>
        <v>18 de enero de 2018</v>
      </c>
      <c r="N784" s="323">
        <f t="shared" si="128"/>
        <v>18</v>
      </c>
      <c r="O784" s="25">
        <f t="shared" si="125"/>
        <v>43101</v>
      </c>
      <c r="P784" s="5" t="str">
        <f t="shared" si="126"/>
        <v>0,35</v>
      </c>
      <c r="Q784" s="4" t="str">
        <f t="shared" si="127"/>
        <v>Cero Bolívares con 35/100</v>
      </c>
    </row>
    <row r="785" spans="1:17" x14ac:dyDescent="0.25">
      <c r="A785" s="1">
        <f t="shared" si="129"/>
        <v>784</v>
      </c>
      <c r="C785" s="8" t="s">
        <v>17</v>
      </c>
      <c r="D785" s="2">
        <v>43118</v>
      </c>
      <c r="E785" s="3">
        <f>80000/100000</f>
        <v>0.8</v>
      </c>
      <c r="F785" t="s">
        <v>201</v>
      </c>
      <c r="G785" t="s">
        <v>202</v>
      </c>
      <c r="H785" t="s">
        <v>203</v>
      </c>
      <c r="I785" s="6" t="s">
        <v>600</v>
      </c>
      <c r="J785" s="61" t="s">
        <v>22</v>
      </c>
      <c r="L785" s="5" t="str">
        <f t="shared" si="123"/>
        <v>00784</v>
      </c>
      <c r="M785" s="47" t="str">
        <f t="shared" si="124"/>
        <v>18 de enero de 2018</v>
      </c>
      <c r="N785" s="323">
        <f t="shared" si="128"/>
        <v>18</v>
      </c>
      <c r="O785" s="25">
        <f t="shared" si="125"/>
        <v>43101</v>
      </c>
      <c r="P785" s="5" t="str">
        <f t="shared" si="126"/>
        <v>0,80</v>
      </c>
      <c r="Q785" s="4" t="str">
        <f t="shared" si="127"/>
        <v>Cero Bolívares con 80/100</v>
      </c>
    </row>
    <row r="786" spans="1:17" x14ac:dyDescent="0.25">
      <c r="A786" s="1">
        <f t="shared" si="129"/>
        <v>785</v>
      </c>
      <c r="C786" s="8" t="s">
        <v>17</v>
      </c>
      <c r="D786" s="2">
        <v>43118</v>
      </c>
      <c r="E786" s="3">
        <f>80000/100000</f>
        <v>0.8</v>
      </c>
      <c r="F786" t="s">
        <v>90</v>
      </c>
      <c r="G786" t="s">
        <v>91</v>
      </c>
      <c r="H786" t="s">
        <v>92</v>
      </c>
      <c r="I786" s="6" t="s">
        <v>600</v>
      </c>
      <c r="J786" s="61" t="s">
        <v>22</v>
      </c>
      <c r="L786" s="5" t="str">
        <f t="shared" si="123"/>
        <v>00785</v>
      </c>
      <c r="M786" s="47" t="str">
        <f t="shared" si="124"/>
        <v>18 de enero de 2018</v>
      </c>
      <c r="N786" s="323">
        <f t="shared" si="128"/>
        <v>18</v>
      </c>
      <c r="O786" s="25">
        <f t="shared" si="125"/>
        <v>43101</v>
      </c>
      <c r="P786" s="5" t="str">
        <f t="shared" si="126"/>
        <v>0,80</v>
      </c>
      <c r="Q786" s="4" t="str">
        <f t="shared" si="127"/>
        <v>Cero Bolívares con 80/100</v>
      </c>
    </row>
    <row r="787" spans="1:17" x14ac:dyDescent="0.25">
      <c r="A787" s="1">
        <f t="shared" si="129"/>
        <v>786</v>
      </c>
      <c r="C787" s="8" t="s">
        <v>17</v>
      </c>
      <c r="D787" s="2">
        <v>43119</v>
      </c>
      <c r="E787" s="3">
        <f>80000/100000</f>
        <v>0.8</v>
      </c>
      <c r="F787" t="s">
        <v>230</v>
      </c>
      <c r="G787" t="s">
        <v>231</v>
      </c>
      <c r="H787" t="s">
        <v>232</v>
      </c>
      <c r="I787" s="6" t="s">
        <v>600</v>
      </c>
      <c r="J787" s="61" t="s">
        <v>22</v>
      </c>
      <c r="L787" s="5" t="str">
        <f t="shared" si="123"/>
        <v>00786</v>
      </c>
      <c r="M787" s="47" t="str">
        <f t="shared" si="124"/>
        <v>19 de enero de 2018</v>
      </c>
      <c r="N787" s="323">
        <f t="shared" si="128"/>
        <v>19</v>
      </c>
      <c r="O787" s="25">
        <f t="shared" si="125"/>
        <v>43101</v>
      </c>
      <c r="P787" s="5" t="str">
        <f t="shared" si="126"/>
        <v>0,80</v>
      </c>
      <c r="Q787" s="4" t="str">
        <f t="shared" si="127"/>
        <v>Cero Bolívares con 80/100</v>
      </c>
    </row>
    <row r="788" spans="1:17" x14ac:dyDescent="0.25">
      <c r="A788" s="1">
        <f t="shared" si="129"/>
        <v>787</v>
      </c>
      <c r="C788" s="8" t="s">
        <v>17</v>
      </c>
      <c r="D788" s="2">
        <v>43119</v>
      </c>
      <c r="E788" s="3">
        <f>280000/100000</f>
        <v>2.8</v>
      </c>
      <c r="F788" t="s">
        <v>612</v>
      </c>
      <c r="G788" t="s">
        <v>613</v>
      </c>
      <c r="H788" t="s">
        <v>614</v>
      </c>
      <c r="I788" s="6" t="s">
        <v>615</v>
      </c>
      <c r="J788" s="61" t="s">
        <v>22</v>
      </c>
      <c r="L788" s="5" t="str">
        <f t="shared" si="123"/>
        <v>00787</v>
      </c>
      <c r="M788" s="47" t="str">
        <f t="shared" si="124"/>
        <v>19 de enero de 2018</v>
      </c>
      <c r="N788" s="323">
        <f t="shared" si="128"/>
        <v>19</v>
      </c>
      <c r="O788" s="25">
        <f t="shared" si="125"/>
        <v>43101</v>
      </c>
      <c r="P788" s="5" t="str">
        <f t="shared" ref="P788:P793" si="130">TEXT(E788,"#.##0,00")</f>
        <v>2,80</v>
      </c>
      <c r="Q788" s="4" t="str">
        <f t="shared" ref="Q788:Q793" si="131">CONVERTIRNUM(E788)</f>
        <v>Dos Bolívares con 80/100</v>
      </c>
    </row>
    <row r="789" spans="1:17" x14ac:dyDescent="0.25">
      <c r="A789" s="1">
        <f t="shared" si="129"/>
        <v>788</v>
      </c>
      <c r="C789" s="8" t="s">
        <v>17</v>
      </c>
      <c r="D789" s="2">
        <v>43119</v>
      </c>
      <c r="E789" s="3">
        <f>40000/100000</f>
        <v>0.4</v>
      </c>
      <c r="F789" t="s">
        <v>167</v>
      </c>
      <c r="G789" t="s">
        <v>168</v>
      </c>
      <c r="H789" t="s">
        <v>169</v>
      </c>
      <c r="I789" s="6" t="s">
        <v>601</v>
      </c>
      <c r="J789" s="61" t="s">
        <v>22</v>
      </c>
      <c r="L789" s="5" t="str">
        <f t="shared" si="123"/>
        <v>00788</v>
      </c>
      <c r="M789" s="47" t="str">
        <f t="shared" si="124"/>
        <v>19 de enero de 2018</v>
      </c>
      <c r="N789" s="323">
        <f t="shared" si="128"/>
        <v>19</v>
      </c>
      <c r="O789" s="25">
        <f t="shared" si="125"/>
        <v>43101</v>
      </c>
      <c r="P789" s="5" t="str">
        <f t="shared" si="130"/>
        <v>0,40</v>
      </c>
      <c r="Q789" s="4" t="str">
        <f t="shared" si="131"/>
        <v>Cero Bolívares con 40/100</v>
      </c>
    </row>
    <row r="790" spans="1:17" x14ac:dyDescent="0.25">
      <c r="A790" s="1">
        <f t="shared" si="129"/>
        <v>789</v>
      </c>
      <c r="C790" s="8" t="s">
        <v>17</v>
      </c>
      <c r="D790" s="2">
        <v>43122</v>
      </c>
      <c r="E790" s="3">
        <f>80000/100000</f>
        <v>0.8</v>
      </c>
      <c r="F790" t="s">
        <v>558</v>
      </c>
      <c r="G790" t="s">
        <v>559</v>
      </c>
      <c r="H790" t="s">
        <v>560</v>
      </c>
      <c r="I790" s="6" t="s">
        <v>616</v>
      </c>
      <c r="J790" s="61" t="s">
        <v>22</v>
      </c>
      <c r="L790" s="5" t="str">
        <f t="shared" si="123"/>
        <v>00789</v>
      </c>
      <c r="M790" s="47" t="str">
        <f t="shared" si="124"/>
        <v>22 de enero de 2018</v>
      </c>
      <c r="N790" s="323">
        <f t="shared" si="128"/>
        <v>22</v>
      </c>
      <c r="O790" s="25">
        <f t="shared" si="125"/>
        <v>43101</v>
      </c>
      <c r="P790" s="5" t="str">
        <f t="shared" si="130"/>
        <v>0,80</v>
      </c>
      <c r="Q790" s="4" t="str">
        <f t="shared" si="131"/>
        <v>Cero Bolívares con 80/100</v>
      </c>
    </row>
    <row r="791" spans="1:17" x14ac:dyDescent="0.25">
      <c r="A791" s="1">
        <f t="shared" si="129"/>
        <v>790</v>
      </c>
      <c r="C791" s="8" t="s">
        <v>17</v>
      </c>
      <c r="D791" s="2">
        <v>43122</v>
      </c>
      <c r="E791" s="3">
        <f>80000/100000</f>
        <v>0.8</v>
      </c>
      <c r="F791" t="s">
        <v>319</v>
      </c>
      <c r="G791" s="18" t="s">
        <v>58</v>
      </c>
      <c r="H791" t="s">
        <v>320</v>
      </c>
      <c r="I791" s="6" t="s">
        <v>600</v>
      </c>
      <c r="J791" s="61" t="s">
        <v>22</v>
      </c>
      <c r="L791" s="5" t="str">
        <f t="shared" si="123"/>
        <v>00790</v>
      </c>
      <c r="M791" s="47" t="str">
        <f t="shared" si="124"/>
        <v>22 de enero de 2018</v>
      </c>
      <c r="N791" s="323">
        <f t="shared" si="128"/>
        <v>22</v>
      </c>
      <c r="O791" s="25">
        <f t="shared" si="125"/>
        <v>43101</v>
      </c>
      <c r="P791" s="5" t="str">
        <f t="shared" si="130"/>
        <v>0,80</v>
      </c>
      <c r="Q791" s="4" t="str">
        <f t="shared" si="131"/>
        <v>Cero Bolívares con 80/100</v>
      </c>
    </row>
    <row r="792" spans="1:17" x14ac:dyDescent="0.25">
      <c r="A792" s="1">
        <f t="shared" si="129"/>
        <v>791</v>
      </c>
      <c r="C792" s="8" t="s">
        <v>17</v>
      </c>
      <c r="D792" s="2">
        <v>43122</v>
      </c>
      <c r="E792" s="3">
        <f>80000/100000</f>
        <v>0.8</v>
      </c>
      <c r="F792" t="s">
        <v>483</v>
      </c>
      <c r="G792" t="s">
        <v>484</v>
      </c>
      <c r="H792" t="s">
        <v>485</v>
      </c>
      <c r="I792" s="6" t="s">
        <v>600</v>
      </c>
      <c r="J792" s="61" t="s">
        <v>22</v>
      </c>
      <c r="L792" s="5" t="str">
        <f t="shared" si="123"/>
        <v>00791</v>
      </c>
      <c r="M792" s="47" t="str">
        <f t="shared" si="124"/>
        <v>22 de enero de 2018</v>
      </c>
      <c r="N792" s="323">
        <f t="shared" si="128"/>
        <v>22</v>
      </c>
      <c r="O792" s="25">
        <f t="shared" si="125"/>
        <v>43101</v>
      </c>
      <c r="P792" s="5" t="str">
        <f t="shared" si="130"/>
        <v>0,80</v>
      </c>
      <c r="Q792" s="4" t="str">
        <f t="shared" si="131"/>
        <v>Cero Bolívares con 80/100</v>
      </c>
    </row>
    <row r="793" spans="1:17" x14ac:dyDescent="0.25">
      <c r="A793" s="1">
        <f t="shared" si="129"/>
        <v>792</v>
      </c>
      <c r="C793" s="8" t="s">
        <v>17</v>
      </c>
      <c r="D793" s="2">
        <v>43122</v>
      </c>
      <c r="E793" s="3">
        <f>150000/100000</f>
        <v>1.5</v>
      </c>
      <c r="F793" t="s">
        <v>44</v>
      </c>
      <c r="G793" t="s">
        <v>45</v>
      </c>
      <c r="H793" t="s">
        <v>46</v>
      </c>
      <c r="I793" s="6" t="s">
        <v>617</v>
      </c>
      <c r="J793" s="61" t="s">
        <v>22</v>
      </c>
      <c r="L793" s="5" t="str">
        <f t="shared" si="123"/>
        <v>00792</v>
      </c>
      <c r="M793" s="47" t="str">
        <f t="shared" si="124"/>
        <v>22 de enero de 2018</v>
      </c>
      <c r="N793" s="323">
        <f t="shared" si="128"/>
        <v>22</v>
      </c>
      <c r="O793" s="25">
        <f t="shared" si="125"/>
        <v>43101</v>
      </c>
      <c r="P793" s="5" t="str">
        <f t="shared" si="130"/>
        <v>1,50</v>
      </c>
      <c r="Q793" s="4" t="str">
        <f t="shared" si="131"/>
        <v>Un Bolívares con 50/100</v>
      </c>
    </row>
    <row r="794" spans="1:17" x14ac:dyDescent="0.25">
      <c r="A794" s="1">
        <f t="shared" si="129"/>
        <v>793</v>
      </c>
      <c r="C794" s="8" t="s">
        <v>17</v>
      </c>
      <c r="D794" s="2">
        <v>43115</v>
      </c>
      <c r="E794" s="3">
        <f>50000/100000</f>
        <v>0.5</v>
      </c>
      <c r="F794" t="s">
        <v>319</v>
      </c>
      <c r="G794" s="18" t="s">
        <v>58</v>
      </c>
      <c r="H794" t="s">
        <v>320</v>
      </c>
      <c r="I794" s="6" t="s">
        <v>575</v>
      </c>
      <c r="J794" s="61" t="s">
        <v>22</v>
      </c>
      <c r="L794" s="5" t="str">
        <f t="shared" si="123"/>
        <v>00793</v>
      </c>
      <c r="M794" s="47" t="str">
        <f t="shared" si="124"/>
        <v>15 de enero de 2018</v>
      </c>
      <c r="N794" s="323">
        <f t="shared" si="128"/>
        <v>15</v>
      </c>
      <c r="O794" s="25">
        <f t="shared" si="125"/>
        <v>43101</v>
      </c>
      <c r="P794" s="5" t="str">
        <f t="shared" ref="P794:P812" si="132">TEXT(E794,"#.##0,00")</f>
        <v>0,50</v>
      </c>
      <c r="Q794" s="4" t="str">
        <f t="shared" ref="Q794:Q812" si="133">CONVERTIRNUM(E794)</f>
        <v>Cero Bolívares con 50/100</v>
      </c>
    </row>
    <row r="795" spans="1:17" x14ac:dyDescent="0.25">
      <c r="A795" s="1">
        <f t="shared" si="129"/>
        <v>794</v>
      </c>
      <c r="C795" s="8" t="s">
        <v>17</v>
      </c>
      <c r="D795" s="2">
        <v>43123</v>
      </c>
      <c r="E795" s="3">
        <f>86400/100000</f>
        <v>0.86399999999999999</v>
      </c>
      <c r="F795" s="20" t="s">
        <v>57</v>
      </c>
      <c r="G795" s="18" t="s">
        <v>58</v>
      </c>
      <c r="H795" s="21" t="s">
        <v>59</v>
      </c>
      <c r="I795" s="6" t="s">
        <v>600</v>
      </c>
      <c r="J795" s="61" t="s">
        <v>22</v>
      </c>
      <c r="K795" s="22"/>
      <c r="L795" s="5" t="str">
        <f t="shared" si="123"/>
        <v>00794</v>
      </c>
      <c r="M795" s="47" t="str">
        <f t="shared" si="124"/>
        <v>23 de enero de 2018</v>
      </c>
      <c r="N795" s="323">
        <f t="shared" si="128"/>
        <v>23</v>
      </c>
      <c r="O795" s="25">
        <f t="shared" si="125"/>
        <v>43101</v>
      </c>
      <c r="P795" s="5" t="str">
        <f t="shared" si="132"/>
        <v>0,86</v>
      </c>
      <c r="Q795" s="4" t="str">
        <f t="shared" si="133"/>
        <v>Cero Bolívares con 86/100</v>
      </c>
    </row>
    <row r="796" spans="1:17" x14ac:dyDescent="0.25">
      <c r="A796" s="1">
        <f t="shared" si="129"/>
        <v>795</v>
      </c>
      <c r="C796" s="8" t="s">
        <v>17</v>
      </c>
      <c r="D796" s="2">
        <v>43123</v>
      </c>
      <c r="E796" s="3">
        <f>80000/100000</f>
        <v>0.8</v>
      </c>
      <c r="F796" t="s">
        <v>126</v>
      </c>
      <c r="G796" t="s">
        <v>127</v>
      </c>
      <c r="H796" t="s">
        <v>128</v>
      </c>
      <c r="I796" s="6" t="s">
        <v>600</v>
      </c>
      <c r="J796" s="61" t="s">
        <v>22</v>
      </c>
      <c r="L796" s="5" t="str">
        <f t="shared" si="123"/>
        <v>00795</v>
      </c>
      <c r="M796" s="47" t="str">
        <f t="shared" si="124"/>
        <v>23 de enero de 2018</v>
      </c>
      <c r="N796" s="323">
        <f t="shared" si="128"/>
        <v>23</v>
      </c>
      <c r="O796" s="25">
        <f t="shared" si="125"/>
        <v>43101</v>
      </c>
      <c r="P796" s="5" t="str">
        <f t="shared" si="132"/>
        <v>0,80</v>
      </c>
      <c r="Q796" s="4" t="str">
        <f t="shared" si="133"/>
        <v>Cero Bolívares con 80/100</v>
      </c>
    </row>
    <row r="797" spans="1:17" x14ac:dyDescent="0.25">
      <c r="A797" s="1">
        <f t="shared" si="129"/>
        <v>796</v>
      </c>
      <c r="C797" s="8" t="s">
        <v>17</v>
      </c>
      <c r="D797" s="2">
        <v>43124</v>
      </c>
      <c r="E797" s="3">
        <f>50000/100000</f>
        <v>0.5</v>
      </c>
      <c r="F797" t="s">
        <v>62</v>
      </c>
      <c r="G797" t="s">
        <v>63</v>
      </c>
      <c r="H797" t="s">
        <v>64</v>
      </c>
      <c r="I797" s="6" t="s">
        <v>575</v>
      </c>
      <c r="J797" s="61" t="s">
        <v>22</v>
      </c>
      <c r="L797" s="5" t="str">
        <f t="shared" si="123"/>
        <v>00796</v>
      </c>
      <c r="M797" s="47" t="str">
        <f t="shared" si="124"/>
        <v>24 de enero de 2018</v>
      </c>
      <c r="N797" s="323">
        <f t="shared" si="128"/>
        <v>24</v>
      </c>
      <c r="O797" s="25">
        <f t="shared" si="125"/>
        <v>43101</v>
      </c>
      <c r="P797" s="5" t="str">
        <f t="shared" si="132"/>
        <v>0,50</v>
      </c>
      <c r="Q797" s="4" t="str">
        <f t="shared" si="133"/>
        <v>Cero Bolívares con 50/100</v>
      </c>
    </row>
    <row r="798" spans="1:17" x14ac:dyDescent="0.25">
      <c r="A798" s="1">
        <f t="shared" si="129"/>
        <v>797</v>
      </c>
      <c r="C798" s="8" t="s">
        <v>17</v>
      </c>
      <c r="D798" s="2">
        <v>43083</v>
      </c>
      <c r="E798" s="3">
        <f>50000/100000</f>
        <v>0.5</v>
      </c>
      <c r="F798" t="s">
        <v>264</v>
      </c>
      <c r="G798" t="s">
        <v>265</v>
      </c>
      <c r="H798" t="s">
        <v>266</v>
      </c>
      <c r="I798" s="6" t="s">
        <v>575</v>
      </c>
      <c r="J798" s="61" t="s">
        <v>22</v>
      </c>
      <c r="L798" s="5" t="str">
        <f t="shared" si="123"/>
        <v>00797</v>
      </c>
      <c r="M798" s="47" t="str">
        <f t="shared" si="124"/>
        <v>14 de diciembre de 2017</v>
      </c>
      <c r="N798" s="323">
        <f t="shared" si="128"/>
        <v>14</v>
      </c>
      <c r="O798" s="25">
        <f t="shared" si="125"/>
        <v>43070</v>
      </c>
      <c r="P798" s="5" t="str">
        <f t="shared" si="132"/>
        <v>0,50</v>
      </c>
      <c r="Q798" s="4" t="str">
        <f t="shared" si="133"/>
        <v>Cero Bolívares con 50/100</v>
      </c>
    </row>
    <row r="799" spans="1:17" x14ac:dyDescent="0.25">
      <c r="A799" s="1">
        <f t="shared" si="129"/>
        <v>798</v>
      </c>
      <c r="C799" s="8" t="s">
        <v>17</v>
      </c>
      <c r="D799" s="2">
        <v>43123</v>
      </c>
      <c r="E799" s="3">
        <f>80000/100000</f>
        <v>0.8</v>
      </c>
      <c r="F799" t="s">
        <v>264</v>
      </c>
      <c r="G799" t="s">
        <v>265</v>
      </c>
      <c r="H799" t="s">
        <v>266</v>
      </c>
      <c r="I799" s="6" t="s">
        <v>600</v>
      </c>
      <c r="J799" s="61" t="s">
        <v>22</v>
      </c>
      <c r="L799" s="5" t="str">
        <f t="shared" si="123"/>
        <v>00798</v>
      </c>
      <c r="M799" s="47" t="str">
        <f t="shared" si="124"/>
        <v>23 de enero de 2018</v>
      </c>
      <c r="N799" s="323">
        <f t="shared" si="128"/>
        <v>23</v>
      </c>
      <c r="O799" s="25">
        <f t="shared" si="125"/>
        <v>43101</v>
      </c>
      <c r="P799" s="5" t="str">
        <f t="shared" si="132"/>
        <v>0,80</v>
      </c>
      <c r="Q799" s="4" t="str">
        <f t="shared" si="133"/>
        <v>Cero Bolívares con 80/100</v>
      </c>
    </row>
    <row r="800" spans="1:17" x14ac:dyDescent="0.25">
      <c r="A800" s="1">
        <f t="shared" si="129"/>
        <v>799</v>
      </c>
      <c r="C800" s="8" t="s">
        <v>17</v>
      </c>
      <c r="D800" s="2">
        <v>43124</v>
      </c>
      <c r="E800" s="3">
        <f>50000/100000+80000/100000</f>
        <v>1.3</v>
      </c>
      <c r="F800" t="s">
        <v>443</v>
      </c>
      <c r="G800" t="s">
        <v>444</v>
      </c>
      <c r="H800" t="s">
        <v>75</v>
      </c>
      <c r="I800" s="6" t="s">
        <v>583</v>
      </c>
      <c r="J800" s="61" t="s">
        <v>22</v>
      </c>
      <c r="L800" s="5" t="str">
        <f t="shared" si="123"/>
        <v>00799</v>
      </c>
      <c r="M800" s="47" t="str">
        <f t="shared" si="124"/>
        <v>24 de enero de 2018</v>
      </c>
      <c r="N800" s="323">
        <f t="shared" si="128"/>
        <v>24</v>
      </c>
      <c r="O800" s="25">
        <f t="shared" si="125"/>
        <v>43101</v>
      </c>
      <c r="P800" s="5" t="str">
        <f t="shared" si="132"/>
        <v>1,30</v>
      </c>
      <c r="Q800" s="4" t="str">
        <f t="shared" si="133"/>
        <v>Un Bolívares con 30/100</v>
      </c>
    </row>
    <row r="801" spans="1:17" x14ac:dyDescent="0.25">
      <c r="A801" s="1">
        <f t="shared" si="129"/>
        <v>800</v>
      </c>
      <c r="C801" s="8" t="s">
        <v>17</v>
      </c>
      <c r="D801" s="2">
        <v>43124</v>
      </c>
      <c r="E801" s="3">
        <f>113600/100000</f>
        <v>1.1359999999999999</v>
      </c>
      <c r="F801" s="23" t="s">
        <v>422</v>
      </c>
      <c r="G801" s="18" t="s">
        <v>58</v>
      </c>
      <c r="H801" t="s">
        <v>423</v>
      </c>
      <c r="I801" s="6" t="s">
        <v>600</v>
      </c>
      <c r="J801" s="61" t="s">
        <v>22</v>
      </c>
      <c r="L801" s="5" t="str">
        <f t="shared" si="123"/>
        <v>00800</v>
      </c>
      <c r="M801" s="47" t="str">
        <f t="shared" si="124"/>
        <v>24 de enero de 2018</v>
      </c>
      <c r="N801" s="323">
        <f t="shared" si="128"/>
        <v>24</v>
      </c>
      <c r="O801" s="25">
        <f t="shared" si="125"/>
        <v>43101</v>
      </c>
      <c r="P801" s="5" t="str">
        <f t="shared" si="132"/>
        <v>1,14</v>
      </c>
      <c r="Q801" s="4" t="str">
        <f t="shared" si="133"/>
        <v>Un Bolívares con 14/100</v>
      </c>
    </row>
    <row r="802" spans="1:17" x14ac:dyDescent="0.25">
      <c r="A802" s="1">
        <f t="shared" si="129"/>
        <v>801</v>
      </c>
      <c r="C802" s="8" t="s">
        <v>17</v>
      </c>
      <c r="D802" s="2">
        <v>43124</v>
      </c>
      <c r="E802" s="3">
        <f>60000/100000+100000/100000</f>
        <v>1.6</v>
      </c>
      <c r="F802" t="s">
        <v>100</v>
      </c>
      <c r="G802" t="s">
        <v>95</v>
      </c>
      <c r="H802" t="s">
        <v>101</v>
      </c>
      <c r="I802" s="6" t="s">
        <v>608</v>
      </c>
      <c r="J802" s="61" t="s">
        <v>22</v>
      </c>
      <c r="L802" s="5" t="str">
        <f t="shared" si="123"/>
        <v>00801</v>
      </c>
      <c r="M802" s="47" t="str">
        <f t="shared" si="124"/>
        <v>24 de enero de 2018</v>
      </c>
      <c r="N802" s="323">
        <f t="shared" si="128"/>
        <v>24</v>
      </c>
      <c r="O802" s="25">
        <f t="shared" si="125"/>
        <v>43101</v>
      </c>
      <c r="P802" s="5" t="str">
        <f t="shared" si="132"/>
        <v>1,60</v>
      </c>
      <c r="Q802" s="4" t="str">
        <f t="shared" si="133"/>
        <v>Un Bolívares con 60/100</v>
      </c>
    </row>
    <row r="803" spans="1:17" x14ac:dyDescent="0.25">
      <c r="A803" s="1">
        <f t="shared" si="129"/>
        <v>802</v>
      </c>
      <c r="C803" s="8" t="s">
        <v>17</v>
      </c>
      <c r="D803" s="2">
        <v>43124</v>
      </c>
      <c r="E803" s="3">
        <f>100000/100000</f>
        <v>1</v>
      </c>
      <c r="F803" t="s">
        <v>259</v>
      </c>
      <c r="G803" s="18" t="s">
        <v>58</v>
      </c>
      <c r="H803" t="s">
        <v>261</v>
      </c>
      <c r="I803" s="6" t="s">
        <v>570</v>
      </c>
      <c r="J803" s="61" t="s">
        <v>22</v>
      </c>
      <c r="L803" s="5" t="str">
        <f t="shared" si="123"/>
        <v>00802</v>
      </c>
      <c r="M803" s="47" t="str">
        <f t="shared" si="124"/>
        <v>24 de enero de 2018</v>
      </c>
      <c r="N803" s="323">
        <f t="shared" si="128"/>
        <v>24</v>
      </c>
      <c r="O803" s="25">
        <f t="shared" si="125"/>
        <v>43101</v>
      </c>
      <c r="P803" s="5" t="str">
        <f t="shared" si="132"/>
        <v>1,00</v>
      </c>
      <c r="Q803" s="4" t="str">
        <f t="shared" si="133"/>
        <v>Un Bolívar con 00/100</v>
      </c>
    </row>
    <row r="804" spans="1:17" x14ac:dyDescent="0.25">
      <c r="A804" s="1">
        <f t="shared" si="129"/>
        <v>803</v>
      </c>
      <c r="C804" s="8" t="s">
        <v>17</v>
      </c>
      <c r="D804" s="2">
        <v>43124</v>
      </c>
      <c r="E804" s="3">
        <f>20000/100000</f>
        <v>0.2</v>
      </c>
      <c r="F804" t="s">
        <v>397</v>
      </c>
      <c r="G804" s="48" t="s">
        <v>29</v>
      </c>
      <c r="H804" t="s">
        <v>398</v>
      </c>
      <c r="I804" s="6" t="s">
        <v>601</v>
      </c>
      <c r="J804" s="61" t="s">
        <v>22</v>
      </c>
      <c r="L804" s="5" t="str">
        <f t="shared" si="123"/>
        <v>00803</v>
      </c>
      <c r="M804" s="47" t="str">
        <f t="shared" si="124"/>
        <v>24 de enero de 2018</v>
      </c>
      <c r="N804" s="323">
        <f t="shared" si="128"/>
        <v>24</v>
      </c>
      <c r="O804" s="25">
        <f t="shared" si="125"/>
        <v>43101</v>
      </c>
      <c r="P804" s="5" t="str">
        <f t="shared" si="132"/>
        <v>0,20</v>
      </c>
      <c r="Q804" s="4" t="str">
        <f t="shared" si="133"/>
        <v>Cero Bolívares con 20/100</v>
      </c>
    </row>
    <row r="805" spans="1:17" x14ac:dyDescent="0.25">
      <c r="A805" s="1">
        <f t="shared" si="129"/>
        <v>804</v>
      </c>
      <c r="C805" s="8" t="s">
        <v>17</v>
      </c>
      <c r="D805" s="2">
        <v>43124</v>
      </c>
      <c r="E805" s="3">
        <f>50000/100000</f>
        <v>0.5</v>
      </c>
      <c r="F805" t="s">
        <v>28</v>
      </c>
      <c r="G805" t="s">
        <v>29</v>
      </c>
      <c r="H805" t="s">
        <v>30</v>
      </c>
      <c r="I805" s="6" t="s">
        <v>601</v>
      </c>
      <c r="J805" s="61" t="s">
        <v>22</v>
      </c>
      <c r="L805" s="5" t="str">
        <f t="shared" si="123"/>
        <v>00804</v>
      </c>
      <c r="M805" s="47" t="str">
        <f t="shared" si="124"/>
        <v>24 de enero de 2018</v>
      </c>
      <c r="N805" s="323">
        <f t="shared" si="128"/>
        <v>24</v>
      </c>
      <c r="O805" s="25">
        <f t="shared" si="125"/>
        <v>43101</v>
      </c>
      <c r="P805" s="5" t="str">
        <f t="shared" si="132"/>
        <v>0,50</v>
      </c>
      <c r="Q805" s="4" t="str">
        <f t="shared" si="133"/>
        <v>Cero Bolívares con 50/100</v>
      </c>
    </row>
    <row r="806" spans="1:17" x14ac:dyDescent="0.25">
      <c r="A806" s="1">
        <f t="shared" si="129"/>
        <v>805</v>
      </c>
      <c r="C806" s="8" t="s">
        <v>17</v>
      </c>
      <c r="D806" s="2">
        <v>43123</v>
      </c>
      <c r="E806" s="3">
        <f>30000/100000</f>
        <v>0.3</v>
      </c>
      <c r="F806" t="s">
        <v>80</v>
      </c>
      <c r="G806" t="s">
        <v>81</v>
      </c>
      <c r="H806" t="s">
        <v>82</v>
      </c>
      <c r="I806" s="6" t="s">
        <v>603</v>
      </c>
      <c r="J806" s="61" t="s">
        <v>22</v>
      </c>
      <c r="L806" s="5" t="str">
        <f t="shared" si="123"/>
        <v>00805</v>
      </c>
      <c r="M806" s="47" t="str">
        <f t="shared" si="124"/>
        <v>23 de enero de 2018</v>
      </c>
      <c r="N806" s="323">
        <f t="shared" si="128"/>
        <v>23</v>
      </c>
      <c r="O806" s="25">
        <f t="shared" si="125"/>
        <v>43101</v>
      </c>
      <c r="P806" s="5" t="str">
        <f t="shared" si="132"/>
        <v>0,30</v>
      </c>
      <c r="Q806" s="4" t="str">
        <f t="shared" si="133"/>
        <v>Cero Bolívares con 30/100</v>
      </c>
    </row>
    <row r="807" spans="1:17" x14ac:dyDescent="0.25">
      <c r="A807" s="1">
        <f t="shared" si="129"/>
        <v>806</v>
      </c>
      <c r="C807" s="8" t="s">
        <v>17</v>
      </c>
      <c r="D807" s="2">
        <v>43126</v>
      </c>
      <c r="E807" s="3">
        <f>100000/100000</f>
        <v>1</v>
      </c>
      <c r="F807" t="s">
        <v>177</v>
      </c>
      <c r="G807" s="18" t="s">
        <v>58</v>
      </c>
      <c r="H807" t="s">
        <v>179</v>
      </c>
      <c r="I807" s="6" t="s">
        <v>618</v>
      </c>
      <c r="J807" s="61" t="s">
        <v>22</v>
      </c>
      <c r="L807" s="5" t="str">
        <f t="shared" si="123"/>
        <v>00806</v>
      </c>
      <c r="M807" s="47" t="str">
        <f t="shared" si="124"/>
        <v>26 de enero de 2018</v>
      </c>
      <c r="N807" s="323">
        <f t="shared" si="128"/>
        <v>26</v>
      </c>
      <c r="O807" s="25">
        <f t="shared" si="125"/>
        <v>43101</v>
      </c>
      <c r="P807" s="5" t="str">
        <f t="shared" si="132"/>
        <v>1,00</v>
      </c>
      <c r="Q807" s="4" t="str">
        <f t="shared" si="133"/>
        <v>Un Bolívar con 00/100</v>
      </c>
    </row>
    <row r="808" spans="1:17" x14ac:dyDescent="0.25">
      <c r="A808" s="1">
        <f t="shared" si="129"/>
        <v>807</v>
      </c>
      <c r="C808" s="8" t="s">
        <v>17</v>
      </c>
      <c r="D808" s="2">
        <v>43127</v>
      </c>
      <c r="E808" s="3">
        <f>80000/100000</f>
        <v>0.8</v>
      </c>
      <c r="F808" t="s">
        <v>134</v>
      </c>
      <c r="G808" t="s">
        <v>135</v>
      </c>
      <c r="H808" t="s">
        <v>136</v>
      </c>
      <c r="I808" s="6" t="s">
        <v>600</v>
      </c>
      <c r="J808" s="61" t="s">
        <v>22</v>
      </c>
      <c r="L808" s="5" t="str">
        <f t="shared" si="123"/>
        <v>00807</v>
      </c>
      <c r="M808" s="47" t="str">
        <f t="shared" si="124"/>
        <v>27 de enero de 2018</v>
      </c>
      <c r="N808" s="323">
        <f t="shared" si="128"/>
        <v>27</v>
      </c>
      <c r="O808" s="25">
        <f t="shared" si="125"/>
        <v>43101</v>
      </c>
      <c r="P808" s="5" t="str">
        <f t="shared" si="132"/>
        <v>0,80</v>
      </c>
      <c r="Q808" s="4" t="str">
        <f t="shared" si="133"/>
        <v>Cero Bolívares con 80/100</v>
      </c>
    </row>
    <row r="809" spans="1:17" x14ac:dyDescent="0.25">
      <c r="A809" s="1">
        <f t="shared" si="129"/>
        <v>808</v>
      </c>
      <c r="C809" s="8" t="s">
        <v>17</v>
      </c>
      <c r="D809" s="2">
        <v>43129</v>
      </c>
      <c r="E809" s="3">
        <f>110000/100000</f>
        <v>1.1000000000000001</v>
      </c>
      <c r="F809" t="s">
        <v>40</v>
      </c>
      <c r="G809" t="s">
        <v>41</v>
      </c>
      <c r="H809" t="s">
        <v>42</v>
      </c>
      <c r="I809" s="6" t="s">
        <v>619</v>
      </c>
      <c r="J809" s="61" t="s">
        <v>22</v>
      </c>
      <c r="L809" s="5" t="str">
        <f t="shared" si="123"/>
        <v>00808</v>
      </c>
      <c r="M809" s="47" t="str">
        <f t="shared" si="124"/>
        <v>29 de enero de 2018</v>
      </c>
      <c r="N809" s="323">
        <f t="shared" si="128"/>
        <v>29</v>
      </c>
      <c r="O809" s="25">
        <f t="shared" si="125"/>
        <v>43101</v>
      </c>
      <c r="P809" s="5" t="str">
        <f t="shared" si="132"/>
        <v>1,10</v>
      </c>
      <c r="Q809" s="4" t="str">
        <f t="shared" si="133"/>
        <v>Un Bolívares con 10/100</v>
      </c>
    </row>
    <row r="810" spans="1:17" x14ac:dyDescent="0.25">
      <c r="A810" s="1">
        <f t="shared" si="129"/>
        <v>809</v>
      </c>
      <c r="C810" s="8" t="s">
        <v>17</v>
      </c>
      <c r="D810" s="2">
        <v>43129</v>
      </c>
      <c r="E810" s="3">
        <f>80000/100000</f>
        <v>0.8</v>
      </c>
      <c r="F810" t="s">
        <v>211</v>
      </c>
      <c r="G810" t="s">
        <v>212</v>
      </c>
      <c r="H810" t="s">
        <v>213</v>
      </c>
      <c r="I810" s="6" t="s">
        <v>600</v>
      </c>
      <c r="J810" s="61" t="s">
        <v>22</v>
      </c>
      <c r="L810" s="5" t="str">
        <f t="shared" si="123"/>
        <v>00809</v>
      </c>
      <c r="M810" s="47" t="str">
        <f t="shared" si="124"/>
        <v>29 de enero de 2018</v>
      </c>
      <c r="N810" s="323">
        <f t="shared" si="128"/>
        <v>29</v>
      </c>
      <c r="O810" s="25">
        <f t="shared" si="125"/>
        <v>43101</v>
      </c>
      <c r="P810" s="5" t="str">
        <f t="shared" si="132"/>
        <v>0,80</v>
      </c>
      <c r="Q810" s="4" t="str">
        <f t="shared" si="133"/>
        <v>Cero Bolívares con 80/100</v>
      </c>
    </row>
    <row r="811" spans="1:17" x14ac:dyDescent="0.25">
      <c r="A811" s="1">
        <f t="shared" si="129"/>
        <v>810</v>
      </c>
      <c r="C811" s="8" t="s">
        <v>17</v>
      </c>
      <c r="D811" s="2">
        <v>43130</v>
      </c>
      <c r="E811" s="3">
        <f>20000/100000</f>
        <v>0.2</v>
      </c>
      <c r="F811" t="s">
        <v>433</v>
      </c>
      <c r="G811" t="s">
        <v>434</v>
      </c>
      <c r="H811" t="s">
        <v>435</v>
      </c>
      <c r="I811" s="6" t="s">
        <v>609</v>
      </c>
      <c r="J811" s="61" t="s">
        <v>22</v>
      </c>
      <c r="L811" s="5" t="str">
        <f t="shared" si="123"/>
        <v>00810</v>
      </c>
      <c r="M811" s="47" t="str">
        <f t="shared" si="124"/>
        <v>30 de enero de 2018</v>
      </c>
      <c r="N811" s="323">
        <f t="shared" si="128"/>
        <v>30</v>
      </c>
      <c r="O811" s="25">
        <f t="shared" si="125"/>
        <v>43101</v>
      </c>
      <c r="P811" s="5" t="str">
        <f t="shared" si="132"/>
        <v>0,20</v>
      </c>
      <c r="Q811" s="4" t="str">
        <f t="shared" si="133"/>
        <v>Cero Bolívares con 20/100</v>
      </c>
    </row>
    <row r="812" spans="1:17" x14ac:dyDescent="0.25">
      <c r="A812" s="1">
        <f t="shared" si="129"/>
        <v>811</v>
      </c>
      <c r="C812" s="8" t="s">
        <v>17</v>
      </c>
      <c r="D812" s="2">
        <v>43128</v>
      </c>
      <c r="E812" s="3">
        <f>40000/100000</f>
        <v>0.4</v>
      </c>
      <c r="F812" t="s">
        <v>130</v>
      </c>
      <c r="G812" t="s">
        <v>131</v>
      </c>
      <c r="H812" t="s">
        <v>132</v>
      </c>
      <c r="I812" s="6" t="s">
        <v>587</v>
      </c>
      <c r="J812" s="61" t="s">
        <v>22</v>
      </c>
      <c r="L812" s="5" t="str">
        <f t="shared" si="123"/>
        <v>00811</v>
      </c>
      <c r="M812" s="47" t="str">
        <f t="shared" si="124"/>
        <v>28 de enero de 2018</v>
      </c>
      <c r="N812" s="323">
        <f t="shared" si="128"/>
        <v>28</v>
      </c>
      <c r="O812" s="25">
        <f t="shared" si="125"/>
        <v>43101</v>
      </c>
      <c r="P812" s="5" t="str">
        <f t="shared" si="132"/>
        <v>0,40</v>
      </c>
      <c r="Q812" s="4" t="str">
        <f t="shared" si="133"/>
        <v>Cero Bolívares con 40/100</v>
      </c>
    </row>
    <row r="813" spans="1:17" x14ac:dyDescent="0.25">
      <c r="A813" s="1">
        <f t="shared" si="129"/>
        <v>812</v>
      </c>
      <c r="C813" s="8" t="s">
        <v>17</v>
      </c>
      <c r="D813" s="2">
        <v>43132</v>
      </c>
      <c r="E813" s="3">
        <f>50000/100000+2*80000/100000</f>
        <v>2.1</v>
      </c>
      <c r="F813" t="s">
        <v>197</v>
      </c>
      <c r="G813" t="s">
        <v>198</v>
      </c>
      <c r="H813" t="s">
        <v>199</v>
      </c>
      <c r="I813" s="6" t="s">
        <v>620</v>
      </c>
      <c r="J813" s="61" t="s">
        <v>22</v>
      </c>
      <c r="L813" s="5" t="str">
        <f t="shared" si="123"/>
        <v>00812</v>
      </c>
      <c r="M813" s="47" t="str">
        <f t="shared" si="124"/>
        <v>01 de febrero de 2018</v>
      </c>
      <c r="N813" s="323">
        <f t="shared" si="128"/>
        <v>1</v>
      </c>
      <c r="O813" s="25">
        <f t="shared" si="125"/>
        <v>43132</v>
      </c>
      <c r="P813" s="5" t="str">
        <f t="shared" ref="P813:P840" si="134">TEXT(E813,"#.##0,00")</f>
        <v>2,10</v>
      </c>
      <c r="Q813" s="4" t="str">
        <f t="shared" ref="Q813:Q840" si="135">CONVERTIRNUM(E813)</f>
        <v>Dos Bolívares con 10/100</v>
      </c>
    </row>
    <row r="814" spans="1:17" x14ac:dyDescent="0.25">
      <c r="A814" s="1">
        <f t="shared" si="129"/>
        <v>813</v>
      </c>
      <c r="C814" s="8" t="s">
        <v>17</v>
      </c>
      <c r="D814" s="2">
        <v>43132</v>
      </c>
      <c r="E814" s="3">
        <f>30000/100000</f>
        <v>0.3</v>
      </c>
      <c r="F814" t="s">
        <v>303</v>
      </c>
      <c r="G814" s="18" t="s">
        <v>58</v>
      </c>
      <c r="H814" t="s">
        <v>304</v>
      </c>
      <c r="I814" s="6" t="s">
        <v>587</v>
      </c>
      <c r="J814" s="61" t="s">
        <v>22</v>
      </c>
      <c r="L814" s="5" t="str">
        <f t="shared" si="123"/>
        <v>00813</v>
      </c>
      <c r="M814" s="47" t="str">
        <f t="shared" si="124"/>
        <v>01 de febrero de 2018</v>
      </c>
      <c r="N814" s="323">
        <f t="shared" si="128"/>
        <v>1</v>
      </c>
      <c r="O814" s="25">
        <f t="shared" si="125"/>
        <v>43132</v>
      </c>
      <c r="P814" s="5" t="str">
        <f t="shared" si="134"/>
        <v>0,30</v>
      </c>
      <c r="Q814" s="4" t="str">
        <f t="shared" si="135"/>
        <v>Cero Bolívares con 30/100</v>
      </c>
    </row>
    <row r="815" spans="1:17" x14ac:dyDescent="0.25">
      <c r="A815" s="1">
        <f t="shared" si="129"/>
        <v>814</v>
      </c>
      <c r="C815" s="8" t="s">
        <v>17</v>
      </c>
      <c r="D815" s="2">
        <v>43132</v>
      </c>
      <c r="E815" s="3">
        <f>30000/100000+3*80000/100000</f>
        <v>2.6999999999999997</v>
      </c>
      <c r="F815" t="s">
        <v>407</v>
      </c>
      <c r="G815" t="s">
        <v>408</v>
      </c>
      <c r="H815" t="s">
        <v>409</v>
      </c>
      <c r="I815" s="6" t="s">
        <v>621</v>
      </c>
      <c r="J815" s="61" t="s">
        <v>22</v>
      </c>
      <c r="L815" s="5" t="str">
        <f t="shared" si="123"/>
        <v>00814</v>
      </c>
      <c r="M815" s="47" t="str">
        <f t="shared" si="124"/>
        <v>01 de febrero de 2018</v>
      </c>
      <c r="N815" s="323">
        <f t="shared" si="128"/>
        <v>1</v>
      </c>
      <c r="O815" s="25">
        <f t="shared" si="125"/>
        <v>43132</v>
      </c>
      <c r="P815" s="5" t="str">
        <f t="shared" si="134"/>
        <v>2,70</v>
      </c>
      <c r="Q815" s="4" t="str">
        <f t="shared" si="135"/>
        <v>Dos Bolívares con 70/100</v>
      </c>
    </row>
    <row r="816" spans="1:17" x14ac:dyDescent="0.25">
      <c r="A816" s="1">
        <f t="shared" si="129"/>
        <v>815</v>
      </c>
      <c r="C816" s="8" t="s">
        <v>17</v>
      </c>
      <c r="D816" s="2">
        <v>43132</v>
      </c>
      <c r="E816" s="3">
        <f>4*80000/100000</f>
        <v>3.2</v>
      </c>
      <c r="F816" t="s">
        <v>353</v>
      </c>
      <c r="G816" t="s">
        <v>354</v>
      </c>
      <c r="H816" t="s">
        <v>355</v>
      </c>
      <c r="I816" s="6" t="s">
        <v>622</v>
      </c>
      <c r="J816" s="61" t="s">
        <v>22</v>
      </c>
      <c r="L816" s="5" t="str">
        <f t="shared" si="123"/>
        <v>00815</v>
      </c>
      <c r="M816" s="47" t="str">
        <f t="shared" si="124"/>
        <v>01 de febrero de 2018</v>
      </c>
      <c r="N816" s="323">
        <f t="shared" si="128"/>
        <v>1</v>
      </c>
      <c r="O816" s="25">
        <f t="shared" si="125"/>
        <v>43132</v>
      </c>
      <c r="P816" s="5" t="str">
        <f t="shared" si="134"/>
        <v>3,20</v>
      </c>
      <c r="Q816" s="4" t="str">
        <f t="shared" si="135"/>
        <v>Tres Bolívares con 20/100</v>
      </c>
    </row>
    <row r="817" spans="1:17" x14ac:dyDescent="0.25">
      <c r="A817" s="1">
        <f t="shared" si="129"/>
        <v>816</v>
      </c>
      <c r="C817" s="8" t="s">
        <v>17</v>
      </c>
      <c r="D817" s="2">
        <v>43132</v>
      </c>
      <c r="E817" s="3">
        <f>50000/100000</f>
        <v>0.5</v>
      </c>
      <c r="F817" t="s">
        <v>118</v>
      </c>
      <c r="G817" t="s">
        <v>119</v>
      </c>
      <c r="H817" t="s">
        <v>120</v>
      </c>
      <c r="I817" s="6" t="s">
        <v>601</v>
      </c>
      <c r="J817" s="61" t="s">
        <v>22</v>
      </c>
      <c r="L817" s="5" t="str">
        <f t="shared" si="123"/>
        <v>00816</v>
      </c>
      <c r="M817" s="47" t="str">
        <f t="shared" si="124"/>
        <v>01 de febrero de 2018</v>
      </c>
      <c r="N817" s="323">
        <f t="shared" si="128"/>
        <v>1</v>
      </c>
      <c r="O817" s="25">
        <f t="shared" si="125"/>
        <v>43132</v>
      </c>
      <c r="P817" s="5" t="str">
        <f t="shared" si="134"/>
        <v>0,50</v>
      </c>
      <c r="Q817" s="4" t="str">
        <f t="shared" si="135"/>
        <v>Cero Bolívares con 50/100</v>
      </c>
    </row>
    <row r="818" spans="1:17" x14ac:dyDescent="0.25">
      <c r="A818" s="1">
        <f t="shared" si="129"/>
        <v>817</v>
      </c>
      <c r="C818" s="8" t="s">
        <v>17</v>
      </c>
      <c r="D818" s="2">
        <v>43133</v>
      </c>
      <c r="E818" s="3">
        <f>2*80000/100000</f>
        <v>1.6</v>
      </c>
      <c r="F818" t="s">
        <v>53</v>
      </c>
      <c r="G818" t="s">
        <v>54</v>
      </c>
      <c r="H818" t="s">
        <v>55</v>
      </c>
      <c r="I818" s="6" t="s">
        <v>608</v>
      </c>
      <c r="J818" s="61" t="s">
        <v>22</v>
      </c>
      <c r="L818" s="5" t="str">
        <f t="shared" si="123"/>
        <v>00817</v>
      </c>
      <c r="M818" s="47" t="str">
        <f t="shared" si="124"/>
        <v>02 de febrero de 2018</v>
      </c>
      <c r="N818" s="323">
        <f t="shared" si="128"/>
        <v>2</v>
      </c>
      <c r="O818" s="25">
        <f t="shared" si="125"/>
        <v>43132</v>
      </c>
      <c r="P818" s="5" t="str">
        <f t="shared" si="134"/>
        <v>1,60</v>
      </c>
      <c r="Q818" s="4" t="str">
        <f t="shared" si="135"/>
        <v>Un Bolívares con 60/100</v>
      </c>
    </row>
    <row r="819" spans="1:17" x14ac:dyDescent="0.25">
      <c r="A819" s="1">
        <f t="shared" si="129"/>
        <v>818</v>
      </c>
      <c r="C819" s="8" t="s">
        <v>17</v>
      </c>
      <c r="D819" s="2">
        <v>43133</v>
      </c>
      <c r="E819" s="3">
        <f>2*80000/100000</f>
        <v>1.6</v>
      </c>
      <c r="F819" t="s">
        <v>248</v>
      </c>
      <c r="G819" t="s">
        <v>249</v>
      </c>
      <c r="H819" t="s">
        <v>250</v>
      </c>
      <c r="I819" s="6" t="s">
        <v>608</v>
      </c>
      <c r="J819" s="61" t="s">
        <v>22</v>
      </c>
      <c r="L819" s="5" t="str">
        <f t="shared" si="123"/>
        <v>00818</v>
      </c>
      <c r="M819" s="47" t="str">
        <f t="shared" si="124"/>
        <v>02 de febrero de 2018</v>
      </c>
      <c r="N819" s="323">
        <f t="shared" si="128"/>
        <v>2</v>
      </c>
      <c r="O819" s="25">
        <f t="shared" si="125"/>
        <v>43132</v>
      </c>
      <c r="P819" s="5" t="str">
        <f t="shared" si="134"/>
        <v>1,60</v>
      </c>
      <c r="Q819" s="4" t="str">
        <f t="shared" si="135"/>
        <v>Un Bolívares con 60/100</v>
      </c>
    </row>
    <row r="820" spans="1:17" x14ac:dyDescent="0.25">
      <c r="A820" s="1">
        <f t="shared" si="129"/>
        <v>819</v>
      </c>
      <c r="C820" s="8" t="s">
        <v>17</v>
      </c>
      <c r="D820" s="2">
        <v>43136</v>
      </c>
      <c r="E820" s="3">
        <f>80000/100000</f>
        <v>0.8</v>
      </c>
      <c r="F820" t="s">
        <v>80</v>
      </c>
      <c r="G820" t="s">
        <v>81</v>
      </c>
      <c r="H820" t="s">
        <v>82</v>
      </c>
      <c r="I820" s="6" t="s">
        <v>616</v>
      </c>
      <c r="J820" s="61" t="s">
        <v>22</v>
      </c>
      <c r="L820" s="5" t="str">
        <f t="shared" si="123"/>
        <v>00819</v>
      </c>
      <c r="M820" s="47" t="str">
        <f t="shared" si="124"/>
        <v>05 de febrero de 2018</v>
      </c>
      <c r="N820" s="323">
        <f t="shared" si="128"/>
        <v>5</v>
      </c>
      <c r="O820" s="25">
        <f t="shared" si="125"/>
        <v>43132</v>
      </c>
      <c r="P820" s="5" t="str">
        <f t="shared" si="134"/>
        <v>0,80</v>
      </c>
      <c r="Q820" s="4" t="str">
        <f t="shared" si="135"/>
        <v>Cero Bolívares con 80/100</v>
      </c>
    </row>
    <row r="821" spans="1:17" x14ac:dyDescent="0.25">
      <c r="A821" s="1">
        <f t="shared" si="129"/>
        <v>820</v>
      </c>
      <c r="C821" s="8" t="s">
        <v>17</v>
      </c>
      <c r="D821" s="2">
        <v>43136</v>
      </c>
      <c r="E821" s="3">
        <f>80000/100000</f>
        <v>0.8</v>
      </c>
      <c r="F821" t="s">
        <v>24</v>
      </c>
      <c r="G821" t="s">
        <v>25</v>
      </c>
      <c r="H821" t="s">
        <v>26</v>
      </c>
      <c r="I821" s="6" t="s">
        <v>616</v>
      </c>
      <c r="J821" s="61" t="s">
        <v>22</v>
      </c>
      <c r="L821" s="5" t="str">
        <f t="shared" si="123"/>
        <v>00820</v>
      </c>
      <c r="M821" s="47" t="str">
        <f t="shared" si="124"/>
        <v>05 de febrero de 2018</v>
      </c>
      <c r="N821" s="323">
        <f t="shared" si="128"/>
        <v>5</v>
      </c>
      <c r="O821" s="25">
        <f t="shared" si="125"/>
        <v>43132</v>
      </c>
      <c r="P821" s="5" t="str">
        <f t="shared" si="134"/>
        <v>0,80</v>
      </c>
      <c r="Q821" s="4" t="str">
        <f t="shared" si="135"/>
        <v>Cero Bolívares con 80/100</v>
      </c>
    </row>
    <row r="822" spans="1:17" x14ac:dyDescent="0.25">
      <c r="A822" s="1">
        <f t="shared" si="129"/>
        <v>821</v>
      </c>
      <c r="C822" s="8" t="s">
        <v>17</v>
      </c>
      <c r="D822" s="2">
        <v>43136</v>
      </c>
      <c r="E822" s="3">
        <f>80000/100000</f>
        <v>0.8</v>
      </c>
      <c r="F822" t="s">
        <v>18</v>
      </c>
      <c r="G822" t="s">
        <v>19</v>
      </c>
      <c r="H822" t="s">
        <v>20</v>
      </c>
      <c r="I822" s="6" t="s">
        <v>623</v>
      </c>
      <c r="J822" s="61" t="s">
        <v>22</v>
      </c>
      <c r="L822" s="5" t="str">
        <f t="shared" si="123"/>
        <v>00821</v>
      </c>
      <c r="M822" s="47" t="str">
        <f t="shared" si="124"/>
        <v>05 de febrero de 2018</v>
      </c>
      <c r="N822" s="323">
        <f t="shared" si="128"/>
        <v>5</v>
      </c>
      <c r="O822" s="25">
        <f t="shared" si="125"/>
        <v>43132</v>
      </c>
      <c r="P822" s="5" t="str">
        <f t="shared" si="134"/>
        <v>0,80</v>
      </c>
      <c r="Q822" s="4" t="str">
        <f t="shared" si="135"/>
        <v>Cero Bolívares con 80/100</v>
      </c>
    </row>
    <row r="823" spans="1:17" x14ac:dyDescent="0.25">
      <c r="A823" s="178">
        <f t="shared" si="129"/>
        <v>822</v>
      </c>
      <c r="C823" s="8" t="s">
        <v>17</v>
      </c>
      <c r="D823" s="2">
        <v>43136</v>
      </c>
      <c r="E823" s="3">
        <f>80000/100000</f>
        <v>0.8</v>
      </c>
      <c r="F823" t="s">
        <v>438</v>
      </c>
      <c r="G823" t="s">
        <v>439</v>
      </c>
      <c r="H823" t="s">
        <v>440</v>
      </c>
      <c r="I823" s="6" t="s">
        <v>624</v>
      </c>
      <c r="J823" s="61" t="s">
        <v>22</v>
      </c>
      <c r="L823" s="5" t="str">
        <f t="shared" si="123"/>
        <v>00822</v>
      </c>
      <c r="M823" s="47" t="str">
        <f t="shared" si="124"/>
        <v>05 de febrero de 2018</v>
      </c>
      <c r="N823" s="323">
        <f t="shared" si="128"/>
        <v>5</v>
      </c>
      <c r="O823" s="25">
        <f t="shared" si="125"/>
        <v>43132</v>
      </c>
      <c r="P823" s="5" t="str">
        <f t="shared" si="134"/>
        <v>0,80</v>
      </c>
      <c r="Q823" s="4" t="str">
        <f t="shared" si="135"/>
        <v>Cero Bolívares con 80/100</v>
      </c>
    </row>
    <row r="824" spans="1:17" x14ac:dyDescent="0.25">
      <c r="A824" s="1">
        <f t="shared" si="129"/>
        <v>823</v>
      </c>
      <c r="C824" s="8" t="s">
        <v>17</v>
      </c>
      <c r="D824" s="2">
        <v>43137</v>
      </c>
      <c r="E824" s="3">
        <f>80000/100000</f>
        <v>0.8</v>
      </c>
      <c r="F824" t="s">
        <v>36</v>
      </c>
      <c r="G824" t="s">
        <v>37</v>
      </c>
      <c r="H824" t="s">
        <v>38</v>
      </c>
      <c r="I824" s="6" t="s">
        <v>616</v>
      </c>
      <c r="J824" s="61" t="s">
        <v>22</v>
      </c>
      <c r="L824" s="5" t="str">
        <f t="shared" si="123"/>
        <v>00823</v>
      </c>
      <c r="M824" s="47" t="str">
        <f t="shared" si="124"/>
        <v>06 de febrero de 2018</v>
      </c>
      <c r="N824" s="323">
        <f t="shared" si="128"/>
        <v>6</v>
      </c>
      <c r="O824" s="25">
        <f t="shared" si="125"/>
        <v>43132</v>
      </c>
      <c r="P824" s="5" t="str">
        <f t="shared" si="134"/>
        <v>0,80</v>
      </c>
      <c r="Q824" s="4" t="str">
        <f t="shared" si="135"/>
        <v>Cero Bolívares con 80/100</v>
      </c>
    </row>
    <row r="825" spans="1:17" x14ac:dyDescent="0.25">
      <c r="A825" s="1">
        <f t="shared" si="129"/>
        <v>824</v>
      </c>
      <c r="C825" s="8" t="s">
        <v>17</v>
      </c>
      <c r="D825" s="2">
        <v>43137</v>
      </c>
      <c r="E825" s="3">
        <f>160000/100000</f>
        <v>1.6</v>
      </c>
      <c r="F825" t="s">
        <v>280</v>
      </c>
      <c r="G825" s="18" t="s">
        <v>58</v>
      </c>
      <c r="H825" t="s">
        <v>282</v>
      </c>
      <c r="I825" s="6" t="s">
        <v>625</v>
      </c>
      <c r="J825" s="61" t="s">
        <v>22</v>
      </c>
      <c r="L825" s="5" t="str">
        <f t="shared" si="123"/>
        <v>00824</v>
      </c>
      <c r="M825" s="47" t="str">
        <f t="shared" si="124"/>
        <v>06 de febrero de 2018</v>
      </c>
      <c r="N825" s="323">
        <f t="shared" si="128"/>
        <v>6</v>
      </c>
      <c r="O825" s="25">
        <f t="shared" si="125"/>
        <v>43132</v>
      </c>
      <c r="P825" s="5" t="str">
        <f t="shared" si="134"/>
        <v>1,60</v>
      </c>
      <c r="Q825" s="4" t="str">
        <f t="shared" si="135"/>
        <v>Un Bolívares con 60/100</v>
      </c>
    </row>
    <row r="826" spans="1:17" x14ac:dyDescent="0.25">
      <c r="A826" s="1">
        <f t="shared" si="129"/>
        <v>825</v>
      </c>
      <c r="C826" s="8" t="s">
        <v>17</v>
      </c>
      <c r="D826" s="2">
        <v>43139</v>
      </c>
      <c r="E826" s="3">
        <f>80000/100000</f>
        <v>0.8</v>
      </c>
      <c r="F826" t="s">
        <v>443</v>
      </c>
      <c r="G826" t="s">
        <v>444</v>
      </c>
      <c r="H826" t="s">
        <v>75</v>
      </c>
      <c r="I826" s="6" t="s">
        <v>616</v>
      </c>
      <c r="J826" s="61" t="s">
        <v>22</v>
      </c>
      <c r="L826" s="5" t="str">
        <f t="shared" si="123"/>
        <v>00825</v>
      </c>
      <c r="M826" s="47" t="str">
        <f t="shared" si="124"/>
        <v>08 de febrero de 2018</v>
      </c>
      <c r="N826" s="323">
        <f t="shared" si="128"/>
        <v>8</v>
      </c>
      <c r="O826" s="25">
        <f t="shared" si="125"/>
        <v>43132</v>
      </c>
      <c r="P826" s="5" t="str">
        <f t="shared" si="134"/>
        <v>0,80</v>
      </c>
      <c r="Q826" s="4" t="str">
        <f t="shared" si="135"/>
        <v>Cero Bolívares con 80/100</v>
      </c>
    </row>
    <row r="827" spans="1:17" x14ac:dyDescent="0.25">
      <c r="A827" s="1">
        <f t="shared" si="129"/>
        <v>826</v>
      </c>
      <c r="C827" s="8" t="s">
        <v>17</v>
      </c>
      <c r="D827" s="2">
        <v>43140</v>
      </c>
      <c r="E827" s="3">
        <f>40000/100000</f>
        <v>0.4</v>
      </c>
      <c r="F827" t="s">
        <v>167</v>
      </c>
      <c r="G827" t="s">
        <v>168</v>
      </c>
      <c r="H827" t="s">
        <v>169</v>
      </c>
      <c r="I827" s="6" t="s">
        <v>626</v>
      </c>
      <c r="J827" s="61" t="s">
        <v>22</v>
      </c>
      <c r="L827" s="5" t="str">
        <f t="shared" si="123"/>
        <v>00826</v>
      </c>
      <c r="M827" s="47" t="str">
        <f t="shared" si="124"/>
        <v>09 de febrero de 2018</v>
      </c>
      <c r="N827" s="323">
        <f t="shared" si="128"/>
        <v>9</v>
      </c>
      <c r="O827" s="25">
        <f t="shared" si="125"/>
        <v>43132</v>
      </c>
      <c r="P827" s="5" t="str">
        <f t="shared" si="134"/>
        <v>0,40</v>
      </c>
      <c r="Q827" s="4" t="str">
        <f t="shared" si="135"/>
        <v>Cero Bolívares con 40/100</v>
      </c>
    </row>
    <row r="828" spans="1:17" x14ac:dyDescent="0.25">
      <c r="A828" s="1">
        <f t="shared" si="129"/>
        <v>827</v>
      </c>
      <c r="C828" s="8" t="s">
        <v>17</v>
      </c>
      <c r="D828" s="2">
        <v>43130</v>
      </c>
      <c r="E828" s="3">
        <f>80000/100000</f>
        <v>0.8</v>
      </c>
      <c r="F828" t="s">
        <v>185</v>
      </c>
      <c r="G828" t="s">
        <v>186</v>
      </c>
      <c r="H828" t="s">
        <v>187</v>
      </c>
      <c r="I828" s="6" t="s">
        <v>600</v>
      </c>
      <c r="J828" s="61" t="s">
        <v>22</v>
      </c>
      <c r="L828" s="5" t="str">
        <f t="shared" si="123"/>
        <v>00827</v>
      </c>
      <c r="M828" s="47" t="str">
        <f t="shared" si="124"/>
        <v>30 de enero de 2018</v>
      </c>
      <c r="N828" s="323">
        <f t="shared" si="128"/>
        <v>30</v>
      </c>
      <c r="O828" s="25">
        <f t="shared" si="125"/>
        <v>43101</v>
      </c>
      <c r="P828" s="5" t="str">
        <f t="shared" si="134"/>
        <v>0,80</v>
      </c>
      <c r="Q828" s="4" t="str">
        <f t="shared" si="135"/>
        <v>Cero Bolívares con 80/100</v>
      </c>
    </row>
    <row r="829" spans="1:17" x14ac:dyDescent="0.25">
      <c r="A829" s="1">
        <f t="shared" si="129"/>
        <v>828</v>
      </c>
      <c r="C829" s="8" t="s">
        <v>17</v>
      </c>
      <c r="D829" s="2">
        <v>43129</v>
      </c>
      <c r="E829" s="3">
        <f>80000/100000</f>
        <v>0.8</v>
      </c>
      <c r="F829" t="s">
        <v>296</v>
      </c>
      <c r="G829" t="s">
        <v>297</v>
      </c>
      <c r="H829" t="s">
        <v>298</v>
      </c>
      <c r="I829" s="6" t="s">
        <v>600</v>
      </c>
      <c r="J829" s="61" t="s">
        <v>22</v>
      </c>
      <c r="L829" s="5" t="str">
        <f t="shared" si="123"/>
        <v>00828</v>
      </c>
      <c r="M829" s="47" t="str">
        <f t="shared" si="124"/>
        <v>29 de enero de 2018</v>
      </c>
      <c r="N829" s="323">
        <f t="shared" si="128"/>
        <v>29</v>
      </c>
      <c r="O829" s="25">
        <f t="shared" si="125"/>
        <v>43101</v>
      </c>
      <c r="P829" s="5" t="str">
        <f t="shared" si="134"/>
        <v>0,80</v>
      </c>
      <c r="Q829" s="4" t="str">
        <f t="shared" si="135"/>
        <v>Cero Bolívares con 80/100</v>
      </c>
    </row>
    <row r="830" spans="1:17" x14ac:dyDescent="0.25">
      <c r="A830" s="1">
        <f t="shared" si="129"/>
        <v>829</v>
      </c>
      <c r="C830" s="8" t="s">
        <v>17</v>
      </c>
      <c r="D830" s="2">
        <v>43139</v>
      </c>
      <c r="E830" s="3">
        <f>30000/100000+50000/100000</f>
        <v>0.8</v>
      </c>
      <c r="F830" t="s">
        <v>70</v>
      </c>
      <c r="G830" t="s">
        <v>71</v>
      </c>
      <c r="H830" t="s">
        <v>72</v>
      </c>
      <c r="I830" s="6" t="s">
        <v>627</v>
      </c>
      <c r="J830" s="61" t="s">
        <v>22</v>
      </c>
      <c r="L830" s="5" t="str">
        <f t="shared" si="123"/>
        <v>00829</v>
      </c>
      <c r="M830" s="47" t="str">
        <f t="shared" si="124"/>
        <v>08 de febrero de 2018</v>
      </c>
      <c r="N830" s="323">
        <f t="shared" si="128"/>
        <v>8</v>
      </c>
      <c r="O830" s="25">
        <f t="shared" si="125"/>
        <v>43132</v>
      </c>
      <c r="P830" s="5" t="str">
        <f t="shared" si="134"/>
        <v>0,80</v>
      </c>
      <c r="Q830" s="4" t="str">
        <f t="shared" si="135"/>
        <v>Cero Bolívares con 80/100</v>
      </c>
    </row>
    <row r="831" spans="1:17" x14ac:dyDescent="0.25">
      <c r="A831" s="1">
        <f t="shared" si="129"/>
        <v>830</v>
      </c>
      <c r="C831" s="8" t="s">
        <v>17</v>
      </c>
      <c r="D831" s="2">
        <v>43140</v>
      </c>
      <c r="E831" s="3">
        <f>80000/100000</f>
        <v>0.8</v>
      </c>
      <c r="F831" t="s">
        <v>107</v>
      </c>
      <c r="G831" t="s">
        <v>108</v>
      </c>
      <c r="H831" t="s">
        <v>109</v>
      </c>
      <c r="I831" s="6" t="s">
        <v>616</v>
      </c>
      <c r="J831" s="61" t="s">
        <v>22</v>
      </c>
      <c r="L831" s="5" t="str">
        <f t="shared" si="123"/>
        <v>00830</v>
      </c>
      <c r="M831" s="47" t="str">
        <f t="shared" si="124"/>
        <v>09 de febrero de 2018</v>
      </c>
      <c r="N831" s="323">
        <f t="shared" si="128"/>
        <v>9</v>
      </c>
      <c r="O831" s="25">
        <f t="shared" si="125"/>
        <v>43132</v>
      </c>
      <c r="P831" s="5" t="str">
        <f t="shared" si="134"/>
        <v>0,80</v>
      </c>
      <c r="Q831" s="4" t="str">
        <f t="shared" si="135"/>
        <v>Cero Bolívares con 80/100</v>
      </c>
    </row>
    <row r="832" spans="1:17" x14ac:dyDescent="0.25">
      <c r="A832" s="1">
        <f t="shared" si="129"/>
        <v>831</v>
      </c>
      <c r="C832" s="8" t="s">
        <v>17</v>
      </c>
      <c r="D832" s="2">
        <v>43140</v>
      </c>
      <c r="E832" s="3">
        <f>280000/100000</f>
        <v>2.8</v>
      </c>
      <c r="F832" t="s">
        <v>342</v>
      </c>
      <c r="G832" t="s">
        <v>343</v>
      </c>
      <c r="H832" t="s">
        <v>344</v>
      </c>
      <c r="I832" s="6" t="s">
        <v>628</v>
      </c>
      <c r="J832" s="61" t="s">
        <v>22</v>
      </c>
      <c r="L832" s="5" t="str">
        <f t="shared" si="123"/>
        <v>00831</v>
      </c>
      <c r="M832" s="47" t="str">
        <f t="shared" si="124"/>
        <v>09 de febrero de 2018</v>
      </c>
      <c r="N832" s="323">
        <f t="shared" si="128"/>
        <v>9</v>
      </c>
      <c r="O832" s="25">
        <f t="shared" si="125"/>
        <v>43132</v>
      </c>
      <c r="P832" s="5" t="str">
        <f t="shared" si="134"/>
        <v>2,80</v>
      </c>
      <c r="Q832" s="4" t="str">
        <f t="shared" si="135"/>
        <v>Dos Bolívares con 80/100</v>
      </c>
    </row>
    <row r="833" spans="1:17" x14ac:dyDescent="0.25">
      <c r="A833" s="1">
        <f t="shared" si="129"/>
        <v>832</v>
      </c>
      <c r="C833" s="8" t="s">
        <v>17</v>
      </c>
      <c r="D833" s="2">
        <v>43141</v>
      </c>
      <c r="E833" s="3">
        <f>2*80000/100000</f>
        <v>1.6</v>
      </c>
      <c r="F833" t="s">
        <v>138</v>
      </c>
      <c r="G833" t="s">
        <v>139</v>
      </c>
      <c r="H833" t="s">
        <v>140</v>
      </c>
      <c r="I833" s="6" t="s">
        <v>608</v>
      </c>
      <c r="J833" s="61" t="s">
        <v>22</v>
      </c>
      <c r="L833" s="5" t="str">
        <f t="shared" si="123"/>
        <v>00832</v>
      </c>
      <c r="M833" s="47" t="str">
        <f t="shared" si="124"/>
        <v>10 de febrero de 2018</v>
      </c>
      <c r="N833" s="323">
        <f t="shared" si="128"/>
        <v>10</v>
      </c>
      <c r="O833" s="25">
        <f t="shared" si="125"/>
        <v>43132</v>
      </c>
      <c r="P833" s="5" t="str">
        <f t="shared" si="134"/>
        <v>1,60</v>
      </c>
      <c r="Q833" s="4" t="str">
        <f t="shared" si="135"/>
        <v>Un Bolívares con 60/100</v>
      </c>
    </row>
    <row r="834" spans="1:17" x14ac:dyDescent="0.25">
      <c r="A834" s="1">
        <f t="shared" si="129"/>
        <v>833</v>
      </c>
      <c r="C834" s="8" t="s">
        <v>17</v>
      </c>
      <c r="D834" s="2">
        <v>43112</v>
      </c>
      <c r="E834" s="3">
        <f>2*50000/100000</f>
        <v>1</v>
      </c>
      <c r="F834" t="s">
        <v>412</v>
      </c>
      <c r="G834" t="s">
        <v>413</v>
      </c>
      <c r="H834" t="s">
        <v>414</v>
      </c>
      <c r="I834" s="6" t="s">
        <v>609</v>
      </c>
      <c r="J834" s="61" t="s">
        <v>22</v>
      </c>
      <c r="L834" s="5" t="str">
        <f t="shared" ref="L834:L897" si="136">IF(ISBLANK(A834),"",TEXT(A834,"00000"))</f>
        <v>00833</v>
      </c>
      <c r="M834" s="47" t="str">
        <f t="shared" ref="M834:M897" si="137">IF(ISBLANK(D834),"",TEXT(D834,"dd")&amp;" de "&amp;TEXT(D834,"mmmm")&amp;" de "&amp;TEXT(YEAR(D834),"0"))</f>
        <v>12 de enero de 2018</v>
      </c>
      <c r="N834" s="323">
        <f t="shared" si="128"/>
        <v>12</v>
      </c>
      <c r="O834" s="25">
        <f t="shared" ref="O834:O897" si="138">DATE(YEAR(D834),MONTH(D834),1)</f>
        <v>43101</v>
      </c>
      <c r="P834" s="5" t="str">
        <f t="shared" si="134"/>
        <v>1,00</v>
      </c>
      <c r="Q834" s="4" t="str">
        <f t="shared" si="135"/>
        <v>Un Bolívar con 00/100</v>
      </c>
    </row>
    <row r="835" spans="1:17" x14ac:dyDescent="0.25">
      <c r="A835" s="1">
        <f t="shared" si="129"/>
        <v>834</v>
      </c>
      <c r="C835" s="8" t="s">
        <v>17</v>
      </c>
      <c r="D835" s="2">
        <v>43114</v>
      </c>
      <c r="E835" s="3">
        <f>80000/100000</f>
        <v>0.8</v>
      </c>
      <c r="F835" t="s">
        <v>201</v>
      </c>
      <c r="G835" t="s">
        <v>202</v>
      </c>
      <c r="H835" t="s">
        <v>203</v>
      </c>
      <c r="I835" s="6" t="s">
        <v>616</v>
      </c>
      <c r="J835" s="61" t="s">
        <v>22</v>
      </c>
      <c r="L835" s="5" t="str">
        <f t="shared" si="136"/>
        <v>00834</v>
      </c>
      <c r="M835" s="47" t="str">
        <f t="shared" si="137"/>
        <v>14 de enero de 2018</v>
      </c>
      <c r="N835" s="323">
        <f t="shared" ref="N835:N898" si="139">DAY(D835)</f>
        <v>14</v>
      </c>
      <c r="O835" s="25">
        <f t="shared" si="138"/>
        <v>43101</v>
      </c>
      <c r="P835" s="5" t="str">
        <f t="shared" si="134"/>
        <v>0,80</v>
      </c>
      <c r="Q835" s="4" t="str">
        <f t="shared" si="135"/>
        <v>Cero Bolívares con 80/100</v>
      </c>
    </row>
    <row r="836" spans="1:17" x14ac:dyDescent="0.25">
      <c r="A836" s="1">
        <f t="shared" ref="A836:A890" si="140">A835+1</f>
        <v>835</v>
      </c>
      <c r="C836" s="8" t="s">
        <v>17</v>
      </c>
      <c r="D836" s="2">
        <v>43114</v>
      </c>
      <c r="E836" s="3">
        <f>86400/100000</f>
        <v>0.86399999999999999</v>
      </c>
      <c r="F836" s="20" t="s">
        <v>57</v>
      </c>
      <c r="G836" s="18" t="s">
        <v>58</v>
      </c>
      <c r="H836" s="21" t="s">
        <v>59</v>
      </c>
      <c r="I836" s="6" t="s">
        <v>616</v>
      </c>
      <c r="J836" s="61" t="s">
        <v>22</v>
      </c>
      <c r="K836" s="22"/>
      <c r="L836" s="5" t="str">
        <f t="shared" si="136"/>
        <v>00835</v>
      </c>
      <c r="M836" s="47" t="str">
        <f t="shared" si="137"/>
        <v>14 de enero de 2018</v>
      </c>
      <c r="N836" s="323">
        <f t="shared" si="139"/>
        <v>14</v>
      </c>
      <c r="O836" s="25">
        <f t="shared" si="138"/>
        <v>43101</v>
      </c>
      <c r="P836" s="5" t="str">
        <f t="shared" si="134"/>
        <v>0,86</v>
      </c>
      <c r="Q836" s="4" t="str">
        <f t="shared" si="135"/>
        <v>Cero Bolívares con 86/100</v>
      </c>
    </row>
    <row r="837" spans="1:17" x14ac:dyDescent="0.25">
      <c r="A837" s="1">
        <f t="shared" si="140"/>
        <v>836</v>
      </c>
      <c r="C837" s="8" t="s">
        <v>17</v>
      </c>
      <c r="D837" s="2">
        <v>43146</v>
      </c>
      <c r="E837" s="3">
        <f>113600/100000</f>
        <v>1.1359999999999999</v>
      </c>
      <c r="F837" s="23" t="s">
        <v>422</v>
      </c>
      <c r="G837" s="18" t="s">
        <v>58</v>
      </c>
      <c r="H837" t="s">
        <v>423</v>
      </c>
      <c r="I837" s="6" t="s">
        <v>616</v>
      </c>
      <c r="J837" s="61" t="s">
        <v>22</v>
      </c>
      <c r="L837" s="5" t="str">
        <f t="shared" si="136"/>
        <v>00836</v>
      </c>
      <c r="M837" s="47" t="str">
        <f t="shared" si="137"/>
        <v>15 de febrero de 2018</v>
      </c>
      <c r="N837" s="323">
        <f t="shared" si="139"/>
        <v>15</v>
      </c>
      <c r="O837" s="25">
        <f t="shared" si="138"/>
        <v>43132</v>
      </c>
      <c r="P837" s="5" t="str">
        <f t="shared" si="134"/>
        <v>1,14</v>
      </c>
      <c r="Q837" s="4" t="str">
        <f t="shared" si="135"/>
        <v>Un Bolívares con 14/100</v>
      </c>
    </row>
    <row r="838" spans="1:17" x14ac:dyDescent="0.25">
      <c r="A838" s="1">
        <f t="shared" si="140"/>
        <v>837</v>
      </c>
      <c r="C838" s="8" t="s">
        <v>17</v>
      </c>
      <c r="D838" s="2">
        <v>43146</v>
      </c>
      <c r="E838" s="3">
        <f>80000/100000</f>
        <v>0.8</v>
      </c>
      <c r="F838" t="s">
        <v>243</v>
      </c>
      <c r="G838" t="s">
        <v>244</v>
      </c>
      <c r="H838" t="s">
        <v>245</v>
      </c>
      <c r="I838" s="6" t="s">
        <v>616</v>
      </c>
      <c r="J838" s="61" t="s">
        <v>22</v>
      </c>
      <c r="L838" s="5" t="str">
        <f t="shared" si="136"/>
        <v>00837</v>
      </c>
      <c r="M838" s="47" t="str">
        <f t="shared" si="137"/>
        <v>15 de febrero de 2018</v>
      </c>
      <c r="N838" s="323">
        <f t="shared" si="139"/>
        <v>15</v>
      </c>
      <c r="O838" s="25">
        <f t="shared" si="138"/>
        <v>43132</v>
      </c>
      <c r="P838" s="5" t="str">
        <f t="shared" si="134"/>
        <v>0,80</v>
      </c>
      <c r="Q838" s="4" t="str">
        <f t="shared" si="135"/>
        <v>Cero Bolívares con 80/100</v>
      </c>
    </row>
    <row r="839" spans="1:17" x14ac:dyDescent="0.25">
      <c r="A839" s="1">
        <f t="shared" si="140"/>
        <v>838</v>
      </c>
      <c r="C839" s="8" t="s">
        <v>17</v>
      </c>
      <c r="D839" s="2">
        <v>43146</v>
      </c>
      <c r="E839" s="3">
        <f>80000/100000</f>
        <v>0.8</v>
      </c>
      <c r="F839" t="s">
        <v>152</v>
      </c>
      <c r="G839" t="s">
        <v>153</v>
      </c>
      <c r="H839" t="s">
        <v>154</v>
      </c>
      <c r="I839" s="6" t="s">
        <v>616</v>
      </c>
      <c r="J839" s="61" t="s">
        <v>22</v>
      </c>
      <c r="L839" s="5" t="str">
        <f t="shared" si="136"/>
        <v>00838</v>
      </c>
      <c r="M839" s="47" t="str">
        <f t="shared" si="137"/>
        <v>15 de febrero de 2018</v>
      </c>
      <c r="N839" s="323">
        <f t="shared" si="139"/>
        <v>15</v>
      </c>
      <c r="O839" s="25">
        <f t="shared" si="138"/>
        <v>43132</v>
      </c>
      <c r="P839" s="5" t="str">
        <f t="shared" si="134"/>
        <v>0,80</v>
      </c>
      <c r="Q839" s="4" t="str">
        <f t="shared" si="135"/>
        <v>Cero Bolívares con 80/100</v>
      </c>
    </row>
    <row r="840" spans="1:17" x14ac:dyDescent="0.25">
      <c r="A840" s="1">
        <f t="shared" si="140"/>
        <v>839</v>
      </c>
      <c r="C840" s="8" t="s">
        <v>17</v>
      </c>
      <c r="D840" s="2">
        <v>43147</v>
      </c>
      <c r="E840" s="3">
        <f>80000/100000</f>
        <v>0.8</v>
      </c>
      <c r="F840" t="s">
        <v>103</v>
      </c>
      <c r="G840" t="s">
        <v>104</v>
      </c>
      <c r="H840" t="s">
        <v>105</v>
      </c>
      <c r="I840" s="6" t="s">
        <v>616</v>
      </c>
      <c r="J840" s="61" t="s">
        <v>22</v>
      </c>
      <c r="L840" s="5" t="str">
        <f t="shared" si="136"/>
        <v>00839</v>
      </c>
      <c r="M840" s="47" t="str">
        <f t="shared" si="137"/>
        <v>16 de febrero de 2018</v>
      </c>
      <c r="N840" s="323">
        <f t="shared" si="139"/>
        <v>16</v>
      </c>
      <c r="O840" s="25">
        <f t="shared" si="138"/>
        <v>43132</v>
      </c>
      <c r="P840" s="5" t="str">
        <f t="shared" si="134"/>
        <v>0,80</v>
      </c>
      <c r="Q840" s="4" t="str">
        <f t="shared" si="135"/>
        <v>Cero Bolívares con 80/100</v>
      </c>
    </row>
    <row r="841" spans="1:17" x14ac:dyDescent="0.25">
      <c r="A841" s="1">
        <f t="shared" si="140"/>
        <v>840</v>
      </c>
      <c r="C841" s="8" t="s">
        <v>17</v>
      </c>
      <c r="D841" s="2">
        <v>43150</v>
      </c>
      <c r="E841" s="3">
        <f>80000/100000</f>
        <v>0.8</v>
      </c>
      <c r="F841" t="s">
        <v>185</v>
      </c>
      <c r="G841" t="s">
        <v>186</v>
      </c>
      <c r="H841" t="s">
        <v>187</v>
      </c>
      <c r="I841" s="6" t="s">
        <v>616</v>
      </c>
      <c r="J841" s="61" t="s">
        <v>22</v>
      </c>
      <c r="L841" s="5" t="str">
        <f t="shared" si="136"/>
        <v>00840</v>
      </c>
      <c r="M841" s="47" t="str">
        <f t="shared" si="137"/>
        <v>19 de febrero de 2018</v>
      </c>
      <c r="N841" s="323">
        <f t="shared" si="139"/>
        <v>19</v>
      </c>
      <c r="O841" s="25">
        <f t="shared" si="138"/>
        <v>43132</v>
      </c>
      <c r="P841" s="5" t="str">
        <f t="shared" ref="P841:P857" si="141">TEXT(E841,"#.##0,00")</f>
        <v>0,80</v>
      </c>
      <c r="Q841" s="4" t="str">
        <f t="shared" ref="Q841:Q857" si="142">CONVERTIRNUM(E841)</f>
        <v>Cero Bolívares con 80/100</v>
      </c>
    </row>
    <row r="842" spans="1:17" x14ac:dyDescent="0.25">
      <c r="A842" s="1">
        <f t="shared" si="140"/>
        <v>841</v>
      </c>
      <c r="C842" s="8" t="s">
        <v>17</v>
      </c>
      <c r="D842" s="2">
        <v>43151</v>
      </c>
      <c r="E842" s="3">
        <f>40000/100000</f>
        <v>0.4</v>
      </c>
      <c r="F842" t="s">
        <v>401</v>
      </c>
      <c r="G842" t="s">
        <v>402</v>
      </c>
      <c r="H842" t="s">
        <v>403</v>
      </c>
      <c r="I842" s="6" t="s">
        <v>626</v>
      </c>
      <c r="J842" s="61" t="s">
        <v>22</v>
      </c>
      <c r="L842" s="5" t="str">
        <f t="shared" si="136"/>
        <v>00841</v>
      </c>
      <c r="M842" s="47" t="str">
        <f t="shared" si="137"/>
        <v>20 de febrero de 2018</v>
      </c>
      <c r="N842" s="323">
        <f t="shared" si="139"/>
        <v>20</v>
      </c>
      <c r="O842" s="25">
        <f t="shared" si="138"/>
        <v>43132</v>
      </c>
      <c r="P842" s="5" t="str">
        <f t="shared" si="141"/>
        <v>0,40</v>
      </c>
      <c r="Q842" s="4" t="str">
        <f t="shared" si="142"/>
        <v>Cero Bolívares con 40/100</v>
      </c>
    </row>
    <row r="843" spans="1:17" x14ac:dyDescent="0.25">
      <c r="A843" s="1">
        <f t="shared" si="140"/>
        <v>842</v>
      </c>
      <c r="C843" s="8" t="s">
        <v>17</v>
      </c>
      <c r="D843" s="2">
        <v>43151</v>
      </c>
      <c r="E843" s="3">
        <f>80000/100000</f>
        <v>0.8</v>
      </c>
      <c r="F843" t="s">
        <v>122</v>
      </c>
      <c r="G843" t="s">
        <v>123</v>
      </c>
      <c r="H843" t="s">
        <v>124</v>
      </c>
      <c r="I843" s="6" t="s">
        <v>616</v>
      </c>
      <c r="J843" s="61" t="s">
        <v>22</v>
      </c>
      <c r="L843" s="5" t="str">
        <f t="shared" si="136"/>
        <v>00842</v>
      </c>
      <c r="M843" s="47" t="str">
        <f t="shared" si="137"/>
        <v>20 de febrero de 2018</v>
      </c>
      <c r="N843" s="323">
        <f t="shared" si="139"/>
        <v>20</v>
      </c>
      <c r="O843" s="25">
        <f t="shared" si="138"/>
        <v>43132</v>
      </c>
      <c r="P843" s="5" t="str">
        <f t="shared" si="141"/>
        <v>0,80</v>
      </c>
      <c r="Q843" s="4" t="str">
        <f t="shared" si="142"/>
        <v>Cero Bolívares con 80/100</v>
      </c>
    </row>
    <row r="844" spans="1:17" x14ac:dyDescent="0.25">
      <c r="A844" s="1">
        <f t="shared" si="140"/>
        <v>843</v>
      </c>
      <c r="C844" s="8" t="s">
        <v>17</v>
      </c>
      <c r="D844" s="2">
        <v>43151</v>
      </c>
      <c r="E844" s="3">
        <f>80000/100000</f>
        <v>0.8</v>
      </c>
      <c r="F844" t="s">
        <v>126</v>
      </c>
      <c r="G844" t="s">
        <v>127</v>
      </c>
      <c r="H844" t="s">
        <v>128</v>
      </c>
      <c r="I844" s="6" t="s">
        <v>616</v>
      </c>
      <c r="J844" s="61" t="s">
        <v>22</v>
      </c>
      <c r="L844" s="5" t="str">
        <f t="shared" si="136"/>
        <v>00843</v>
      </c>
      <c r="M844" s="47" t="str">
        <f t="shared" si="137"/>
        <v>20 de febrero de 2018</v>
      </c>
      <c r="N844" s="323">
        <f t="shared" si="139"/>
        <v>20</v>
      </c>
      <c r="O844" s="25">
        <f t="shared" si="138"/>
        <v>43132</v>
      </c>
      <c r="P844" s="5" t="str">
        <f t="shared" si="141"/>
        <v>0,80</v>
      </c>
      <c r="Q844" s="4" t="str">
        <f t="shared" si="142"/>
        <v>Cero Bolívares con 80/100</v>
      </c>
    </row>
    <row r="845" spans="1:17" x14ac:dyDescent="0.25">
      <c r="A845" s="1">
        <f t="shared" si="140"/>
        <v>844</v>
      </c>
      <c r="C845" s="8" t="s">
        <v>17</v>
      </c>
      <c r="D845" s="2">
        <v>43151</v>
      </c>
      <c r="E845" s="3">
        <f>50000/100000</f>
        <v>0.5</v>
      </c>
      <c r="F845" t="s">
        <v>28</v>
      </c>
      <c r="G845" t="s">
        <v>29</v>
      </c>
      <c r="H845" t="s">
        <v>30</v>
      </c>
      <c r="I845" s="6" t="s">
        <v>626</v>
      </c>
      <c r="J845" s="61" t="s">
        <v>22</v>
      </c>
      <c r="L845" s="5" t="str">
        <f t="shared" si="136"/>
        <v>00844</v>
      </c>
      <c r="M845" s="47" t="str">
        <f t="shared" si="137"/>
        <v>20 de febrero de 2018</v>
      </c>
      <c r="N845" s="323">
        <f t="shared" si="139"/>
        <v>20</v>
      </c>
      <c r="O845" s="25">
        <f t="shared" si="138"/>
        <v>43132</v>
      </c>
      <c r="P845" s="5" t="str">
        <f t="shared" si="141"/>
        <v>0,50</v>
      </c>
      <c r="Q845" s="4" t="str">
        <f t="shared" si="142"/>
        <v>Cero Bolívares con 50/100</v>
      </c>
    </row>
    <row r="846" spans="1:17" x14ac:dyDescent="0.25">
      <c r="A846" s="1">
        <f t="shared" si="140"/>
        <v>845</v>
      </c>
      <c r="C846" s="8" t="s">
        <v>17</v>
      </c>
      <c r="D846" s="2">
        <v>43151</v>
      </c>
      <c r="E846" s="3">
        <f>20000/100000</f>
        <v>0.2</v>
      </c>
      <c r="F846" t="s">
        <v>397</v>
      </c>
      <c r="G846" s="48" t="s">
        <v>29</v>
      </c>
      <c r="H846" t="s">
        <v>398</v>
      </c>
      <c r="I846" s="6" t="s">
        <v>626</v>
      </c>
      <c r="J846" s="61" t="s">
        <v>22</v>
      </c>
      <c r="L846" s="5" t="str">
        <f t="shared" si="136"/>
        <v>00845</v>
      </c>
      <c r="M846" s="47" t="str">
        <f t="shared" si="137"/>
        <v>20 de febrero de 2018</v>
      </c>
      <c r="N846" s="323">
        <f t="shared" si="139"/>
        <v>20</v>
      </c>
      <c r="O846" s="25">
        <f t="shared" si="138"/>
        <v>43132</v>
      </c>
      <c r="P846" s="5" t="str">
        <f t="shared" si="141"/>
        <v>0,20</v>
      </c>
      <c r="Q846" s="4" t="str">
        <f t="shared" si="142"/>
        <v>Cero Bolívares con 20/100</v>
      </c>
    </row>
    <row r="847" spans="1:17" x14ac:dyDescent="0.25">
      <c r="A847" s="1">
        <f t="shared" si="140"/>
        <v>846</v>
      </c>
      <c r="C847" s="8" t="s">
        <v>17</v>
      </c>
      <c r="D847" s="2">
        <v>43152</v>
      </c>
      <c r="E847" s="3">
        <f>80000/100000</f>
        <v>0.8</v>
      </c>
      <c r="F847" t="s">
        <v>130</v>
      </c>
      <c r="G847" t="s">
        <v>131</v>
      </c>
      <c r="H847" t="s">
        <v>132</v>
      </c>
      <c r="I847" s="6" t="s">
        <v>616</v>
      </c>
      <c r="J847" s="61" t="s">
        <v>22</v>
      </c>
      <c r="L847" s="5" t="str">
        <f t="shared" si="136"/>
        <v>00846</v>
      </c>
      <c r="M847" s="47" t="str">
        <f t="shared" si="137"/>
        <v>21 de febrero de 2018</v>
      </c>
      <c r="N847" s="323">
        <f t="shared" si="139"/>
        <v>21</v>
      </c>
      <c r="O847" s="25">
        <f t="shared" si="138"/>
        <v>43132</v>
      </c>
      <c r="P847" s="5" t="str">
        <f t="shared" si="141"/>
        <v>0,80</v>
      </c>
      <c r="Q847" s="4" t="str">
        <f t="shared" si="142"/>
        <v>Cero Bolívares con 80/100</v>
      </c>
    </row>
    <row r="848" spans="1:17" x14ac:dyDescent="0.25">
      <c r="A848" s="1">
        <f t="shared" si="140"/>
        <v>847</v>
      </c>
      <c r="C848" s="8" t="s">
        <v>17</v>
      </c>
      <c r="D848" s="2">
        <v>43153</v>
      </c>
      <c r="E848" s="3">
        <f>150000/100000</f>
        <v>1.5</v>
      </c>
      <c r="F848" t="s">
        <v>32</v>
      </c>
      <c r="G848" t="s">
        <v>33</v>
      </c>
      <c r="H848" t="s">
        <v>34</v>
      </c>
      <c r="I848" s="6" t="s">
        <v>609</v>
      </c>
      <c r="J848" s="61" t="s">
        <v>22</v>
      </c>
      <c r="L848" s="5" t="str">
        <f t="shared" si="136"/>
        <v>00847</v>
      </c>
      <c r="M848" s="47" t="str">
        <f t="shared" si="137"/>
        <v>22 de febrero de 2018</v>
      </c>
      <c r="N848" s="323">
        <f t="shared" si="139"/>
        <v>22</v>
      </c>
      <c r="O848" s="25">
        <f t="shared" si="138"/>
        <v>43132</v>
      </c>
      <c r="P848" s="5" t="str">
        <f t="shared" si="141"/>
        <v>1,50</v>
      </c>
      <c r="Q848" s="4" t="str">
        <f t="shared" si="142"/>
        <v>Un Bolívares con 50/100</v>
      </c>
    </row>
    <row r="849" spans="1:17" x14ac:dyDescent="0.25">
      <c r="A849" s="1">
        <f t="shared" si="140"/>
        <v>848</v>
      </c>
      <c r="C849" s="8" t="s">
        <v>17</v>
      </c>
      <c r="D849" s="2">
        <v>43154</v>
      </c>
      <c r="E849" s="3">
        <f>115000/100000</f>
        <v>1.1499999999999999</v>
      </c>
      <c r="F849" t="s">
        <v>148</v>
      </c>
      <c r="G849" t="s">
        <v>149</v>
      </c>
      <c r="H849" t="s">
        <v>150</v>
      </c>
      <c r="I849" s="6" t="s">
        <v>616</v>
      </c>
      <c r="J849" s="61" t="s">
        <v>22</v>
      </c>
      <c r="L849" s="5" t="str">
        <f t="shared" si="136"/>
        <v>00848</v>
      </c>
      <c r="M849" s="47" t="str">
        <f t="shared" si="137"/>
        <v>23 de febrero de 2018</v>
      </c>
      <c r="N849" s="323">
        <f t="shared" si="139"/>
        <v>23</v>
      </c>
      <c r="O849" s="25">
        <f t="shared" si="138"/>
        <v>43132</v>
      </c>
      <c r="P849" s="5" t="str">
        <f t="shared" si="141"/>
        <v>1,15</v>
      </c>
      <c r="Q849" s="4" t="str">
        <f t="shared" si="142"/>
        <v>Un Bolívares con 15/100</v>
      </c>
    </row>
    <row r="850" spans="1:17" x14ac:dyDescent="0.25">
      <c r="A850" s="1">
        <f t="shared" si="140"/>
        <v>849</v>
      </c>
      <c r="C850" s="8" t="s">
        <v>17</v>
      </c>
      <c r="D850" s="2">
        <v>43155</v>
      </c>
      <c r="E850" s="3">
        <f>80000*3/100000</f>
        <v>2.4</v>
      </c>
      <c r="F850" t="s">
        <v>324</v>
      </c>
      <c r="G850" t="s">
        <v>325</v>
      </c>
      <c r="H850" t="s">
        <v>326</v>
      </c>
      <c r="I850" s="6" t="s">
        <v>629</v>
      </c>
      <c r="J850" s="61" t="s">
        <v>22</v>
      </c>
      <c r="L850" s="5" t="str">
        <f t="shared" si="136"/>
        <v>00849</v>
      </c>
      <c r="M850" s="47" t="str">
        <f t="shared" si="137"/>
        <v>24 de febrero de 2018</v>
      </c>
      <c r="N850" s="323">
        <f t="shared" si="139"/>
        <v>24</v>
      </c>
      <c r="O850" s="25">
        <f t="shared" si="138"/>
        <v>43132</v>
      </c>
      <c r="P850" s="5" t="str">
        <f t="shared" si="141"/>
        <v>2,40</v>
      </c>
      <c r="Q850" s="4" t="str">
        <f t="shared" si="142"/>
        <v>Dos Bolívares con 40/100</v>
      </c>
    </row>
    <row r="851" spans="1:17" x14ac:dyDescent="0.25">
      <c r="A851" s="1">
        <f t="shared" si="140"/>
        <v>850</v>
      </c>
      <c r="C851" s="8" t="s">
        <v>17</v>
      </c>
      <c r="D851" s="2">
        <v>43155</v>
      </c>
      <c r="E851" s="3">
        <f>80000/100000</f>
        <v>0.8</v>
      </c>
      <c r="F851" t="s">
        <v>219</v>
      </c>
      <c r="G851" t="s">
        <v>220</v>
      </c>
      <c r="H851" t="s">
        <v>221</v>
      </c>
      <c r="I851" s="6" t="s">
        <v>616</v>
      </c>
      <c r="J851" s="61" t="s">
        <v>22</v>
      </c>
      <c r="L851" s="5" t="str">
        <f t="shared" si="136"/>
        <v>00850</v>
      </c>
      <c r="M851" s="47" t="str">
        <f t="shared" si="137"/>
        <v>24 de febrero de 2018</v>
      </c>
      <c r="N851" s="323">
        <f t="shared" si="139"/>
        <v>24</v>
      </c>
      <c r="O851" s="25">
        <f t="shared" si="138"/>
        <v>43132</v>
      </c>
      <c r="P851" s="5" t="str">
        <f t="shared" si="141"/>
        <v>0,80</v>
      </c>
      <c r="Q851" s="4" t="str">
        <f t="shared" si="142"/>
        <v>Cero Bolívares con 80/100</v>
      </c>
    </row>
    <row r="852" spans="1:17" x14ac:dyDescent="0.25">
      <c r="A852" s="1">
        <f t="shared" si="140"/>
        <v>851</v>
      </c>
      <c r="C852" s="8" t="s">
        <v>17</v>
      </c>
      <c r="D852" s="2">
        <v>43156</v>
      </c>
      <c r="E852" s="3">
        <f>80000/100000</f>
        <v>0.8</v>
      </c>
      <c r="F852" t="s">
        <v>230</v>
      </c>
      <c r="G852" t="s">
        <v>231</v>
      </c>
      <c r="H852" t="s">
        <v>232</v>
      </c>
      <c r="I852" s="6" t="s">
        <v>616</v>
      </c>
      <c r="J852" s="61" t="s">
        <v>22</v>
      </c>
      <c r="L852" s="5" t="str">
        <f t="shared" si="136"/>
        <v>00851</v>
      </c>
      <c r="M852" s="47" t="str">
        <f t="shared" si="137"/>
        <v>25 de febrero de 2018</v>
      </c>
      <c r="N852" s="323">
        <f t="shared" si="139"/>
        <v>25</v>
      </c>
      <c r="O852" s="25">
        <f t="shared" si="138"/>
        <v>43132</v>
      </c>
      <c r="P852" s="5" t="str">
        <f t="shared" si="141"/>
        <v>0,80</v>
      </c>
      <c r="Q852" s="4" t="str">
        <f t="shared" si="142"/>
        <v>Cero Bolívares con 80/100</v>
      </c>
    </row>
    <row r="853" spans="1:17" x14ac:dyDescent="0.25">
      <c r="A853" s="1">
        <f t="shared" si="140"/>
        <v>852</v>
      </c>
      <c r="C853" s="8" t="s">
        <v>17</v>
      </c>
      <c r="D853" s="2">
        <v>43156</v>
      </c>
      <c r="E853" s="3">
        <f>80000/100000</f>
        <v>0.8</v>
      </c>
      <c r="F853" t="s">
        <v>100</v>
      </c>
      <c r="G853" t="s">
        <v>95</v>
      </c>
      <c r="H853" t="s">
        <v>101</v>
      </c>
      <c r="I853" s="6" t="s">
        <v>630</v>
      </c>
      <c r="J853" s="61" t="s">
        <v>22</v>
      </c>
      <c r="L853" s="5" t="str">
        <f t="shared" si="136"/>
        <v>00852</v>
      </c>
      <c r="M853" s="47" t="str">
        <f t="shared" si="137"/>
        <v>25 de febrero de 2018</v>
      </c>
      <c r="N853" s="323">
        <f t="shared" si="139"/>
        <v>25</v>
      </c>
      <c r="O853" s="25">
        <f t="shared" si="138"/>
        <v>43132</v>
      </c>
      <c r="P853" s="5" t="str">
        <f t="shared" si="141"/>
        <v>0,80</v>
      </c>
      <c r="Q853" s="4" t="str">
        <f t="shared" si="142"/>
        <v>Cero Bolívares con 80/100</v>
      </c>
    </row>
    <row r="854" spans="1:17" x14ac:dyDescent="0.25">
      <c r="A854" s="1">
        <f t="shared" si="140"/>
        <v>853</v>
      </c>
      <c r="C854" s="8" t="s">
        <v>17</v>
      </c>
      <c r="D854" s="2">
        <v>43157</v>
      </c>
      <c r="E854" s="3">
        <f>80000/100000</f>
        <v>0.8</v>
      </c>
      <c r="F854" t="s">
        <v>62</v>
      </c>
      <c r="G854" t="s">
        <v>63</v>
      </c>
      <c r="H854" t="s">
        <v>64</v>
      </c>
      <c r="I854" s="6" t="s">
        <v>600</v>
      </c>
      <c r="J854" s="61" t="s">
        <v>22</v>
      </c>
      <c r="L854" s="5" t="str">
        <f t="shared" si="136"/>
        <v>00853</v>
      </c>
      <c r="M854" s="47" t="str">
        <f t="shared" si="137"/>
        <v>26 de febrero de 2018</v>
      </c>
      <c r="N854" s="323">
        <f t="shared" si="139"/>
        <v>26</v>
      </c>
      <c r="O854" s="25">
        <f t="shared" si="138"/>
        <v>43132</v>
      </c>
      <c r="P854" s="5" t="str">
        <f t="shared" si="141"/>
        <v>0,80</v>
      </c>
      <c r="Q854" s="4" t="str">
        <f t="shared" si="142"/>
        <v>Cero Bolívares con 80/100</v>
      </c>
    </row>
    <row r="855" spans="1:17" x14ac:dyDescent="0.25">
      <c r="A855" s="1">
        <f t="shared" si="140"/>
        <v>854</v>
      </c>
      <c r="C855" s="8" t="s">
        <v>17</v>
      </c>
      <c r="D855" s="2">
        <v>43157</v>
      </c>
      <c r="E855" s="3">
        <f>80000/100000</f>
        <v>0.8</v>
      </c>
      <c r="F855" t="s">
        <v>181</v>
      </c>
      <c r="G855" t="s">
        <v>182</v>
      </c>
      <c r="H855" t="s">
        <v>183</v>
      </c>
      <c r="I855" s="6" t="s">
        <v>616</v>
      </c>
      <c r="J855" s="61" t="s">
        <v>22</v>
      </c>
      <c r="L855" s="5" t="str">
        <f t="shared" si="136"/>
        <v>00854</v>
      </c>
      <c r="M855" s="47" t="str">
        <f t="shared" si="137"/>
        <v>26 de febrero de 2018</v>
      </c>
      <c r="N855" s="323">
        <f t="shared" si="139"/>
        <v>26</v>
      </c>
      <c r="O855" s="25">
        <f t="shared" si="138"/>
        <v>43132</v>
      </c>
      <c r="P855" s="5" t="str">
        <f t="shared" si="141"/>
        <v>0,80</v>
      </c>
      <c r="Q855" s="4" t="str">
        <f t="shared" si="142"/>
        <v>Cero Bolívares con 80/100</v>
      </c>
    </row>
    <row r="856" spans="1:17" x14ac:dyDescent="0.25">
      <c r="A856" s="1">
        <f t="shared" si="140"/>
        <v>855</v>
      </c>
      <c r="C856" s="8" t="s">
        <v>17</v>
      </c>
      <c r="D856" s="2">
        <v>43157</v>
      </c>
      <c r="E856" s="3">
        <f>50000/100000+80000*2/100000+50000/100000</f>
        <v>2.6</v>
      </c>
      <c r="F856" t="s">
        <v>162</v>
      </c>
      <c r="G856" t="s">
        <v>163</v>
      </c>
      <c r="H856" t="s">
        <v>164</v>
      </c>
      <c r="I856" s="6" t="s">
        <v>631</v>
      </c>
      <c r="J856" s="61" t="s">
        <v>22</v>
      </c>
      <c r="L856" s="5" t="str">
        <f t="shared" si="136"/>
        <v>00855</v>
      </c>
      <c r="M856" s="47" t="str">
        <f t="shared" si="137"/>
        <v>26 de febrero de 2018</v>
      </c>
      <c r="N856" s="323">
        <f t="shared" si="139"/>
        <v>26</v>
      </c>
      <c r="O856" s="25">
        <f t="shared" si="138"/>
        <v>43132</v>
      </c>
      <c r="P856" s="5" t="str">
        <f t="shared" si="141"/>
        <v>2,60</v>
      </c>
      <c r="Q856" s="4" t="str">
        <f t="shared" si="142"/>
        <v>Dos Bolívares con 60/100</v>
      </c>
    </row>
    <row r="857" spans="1:17" x14ac:dyDescent="0.25">
      <c r="A857" s="1">
        <f t="shared" si="140"/>
        <v>856</v>
      </c>
      <c r="C857" s="8" t="s">
        <v>17</v>
      </c>
      <c r="D857" s="2">
        <v>43155</v>
      </c>
      <c r="E857" s="3">
        <f>50000/100000</f>
        <v>0.5</v>
      </c>
      <c r="F857" t="s">
        <v>594</v>
      </c>
      <c r="G857" t="s">
        <v>595</v>
      </c>
      <c r="H857" t="s">
        <v>596</v>
      </c>
      <c r="I857" s="6" t="s">
        <v>632</v>
      </c>
      <c r="J857" s="61" t="s">
        <v>22</v>
      </c>
      <c r="L857" s="5" t="str">
        <f t="shared" si="136"/>
        <v>00856</v>
      </c>
      <c r="M857" s="47" t="str">
        <f t="shared" si="137"/>
        <v>24 de febrero de 2018</v>
      </c>
      <c r="N857" s="323">
        <f t="shared" si="139"/>
        <v>24</v>
      </c>
      <c r="O857" s="25">
        <f t="shared" si="138"/>
        <v>43132</v>
      </c>
      <c r="P857" s="5" t="str">
        <f t="shared" si="141"/>
        <v>0,50</v>
      </c>
      <c r="Q857" s="4" t="str">
        <f t="shared" si="142"/>
        <v>Cero Bolívares con 50/100</v>
      </c>
    </row>
    <row r="858" spans="1:17" x14ac:dyDescent="0.25">
      <c r="A858" s="1">
        <f t="shared" si="140"/>
        <v>857</v>
      </c>
      <c r="C858" s="8" t="s">
        <v>17</v>
      </c>
      <c r="D858" s="2">
        <v>43156</v>
      </c>
      <c r="E858" s="3">
        <f>80000/100000</f>
        <v>0.8</v>
      </c>
      <c r="F858" t="s">
        <v>633</v>
      </c>
      <c r="G858" t="s">
        <v>634</v>
      </c>
      <c r="H858" t="s">
        <v>635</v>
      </c>
      <c r="I858" s="6" t="s">
        <v>616</v>
      </c>
      <c r="J858" s="61" t="s">
        <v>22</v>
      </c>
      <c r="L858" s="5" t="str">
        <f t="shared" si="136"/>
        <v>00857</v>
      </c>
      <c r="M858" s="47" t="str">
        <f t="shared" si="137"/>
        <v>25 de febrero de 2018</v>
      </c>
      <c r="N858" s="323">
        <f t="shared" si="139"/>
        <v>25</v>
      </c>
      <c r="O858" s="25">
        <f t="shared" si="138"/>
        <v>43132</v>
      </c>
      <c r="P858" s="5" t="str">
        <f>TEXT(E858,"#.##0,00")</f>
        <v>0,80</v>
      </c>
      <c r="Q858" s="4" t="str">
        <f>CONVERTIRNUM(E858)</f>
        <v>Cero Bolívares con 80/100</v>
      </c>
    </row>
    <row r="859" spans="1:17" x14ac:dyDescent="0.25">
      <c r="A859" s="1">
        <f t="shared" si="140"/>
        <v>858</v>
      </c>
      <c r="C859" s="8" t="s">
        <v>17</v>
      </c>
      <c r="D859" s="2">
        <v>43157</v>
      </c>
      <c r="E859" s="3">
        <f>100000/100000</f>
        <v>1</v>
      </c>
      <c r="F859" t="s">
        <v>90</v>
      </c>
      <c r="G859" t="s">
        <v>91</v>
      </c>
      <c r="H859" t="s">
        <v>92</v>
      </c>
      <c r="I859" s="6" t="s">
        <v>616</v>
      </c>
      <c r="J859" s="61" t="s">
        <v>22</v>
      </c>
      <c r="L859" s="5" t="str">
        <f t="shared" si="136"/>
        <v>00858</v>
      </c>
      <c r="M859" s="47" t="str">
        <f t="shared" si="137"/>
        <v>26 de febrero de 2018</v>
      </c>
      <c r="N859" s="323">
        <f t="shared" si="139"/>
        <v>26</v>
      </c>
      <c r="O859" s="25">
        <f t="shared" si="138"/>
        <v>43132</v>
      </c>
      <c r="P859" s="5" t="str">
        <f>TEXT(E859,"#.##0,00")</f>
        <v>1,00</v>
      </c>
      <c r="Q859" s="4" t="str">
        <f>CONVERTIRNUM(E859)</f>
        <v>Un Bolívar con 00/100</v>
      </c>
    </row>
    <row r="860" spans="1:17" x14ac:dyDescent="0.25">
      <c r="A860" s="1">
        <f t="shared" si="140"/>
        <v>859</v>
      </c>
      <c r="C860" s="8" t="s">
        <v>17</v>
      </c>
      <c r="D860" s="2">
        <v>43122</v>
      </c>
      <c r="E860" s="3">
        <f>12450/100000</f>
        <v>0.1245</v>
      </c>
      <c r="F860" t="s">
        <v>287</v>
      </c>
      <c r="G860" t="s">
        <v>288</v>
      </c>
      <c r="H860" t="s">
        <v>289</v>
      </c>
      <c r="I860" s="6" t="s">
        <v>636</v>
      </c>
      <c r="J860" s="61" t="s">
        <v>22</v>
      </c>
      <c r="L860" s="5" t="str">
        <f t="shared" si="136"/>
        <v>00859</v>
      </c>
      <c r="M860" s="47" t="str">
        <f t="shared" si="137"/>
        <v>22 de enero de 2018</v>
      </c>
      <c r="N860" s="323">
        <f t="shared" si="139"/>
        <v>22</v>
      </c>
      <c r="O860" s="25">
        <f t="shared" si="138"/>
        <v>43101</v>
      </c>
      <c r="P860" s="5" t="str">
        <f>TEXT(E860,"#.##0,00")</f>
        <v>0,12</v>
      </c>
      <c r="Q860" s="4" t="str">
        <f>CONVERTIRNUM(E860)</f>
        <v>Cero Bolívares con 12/100</v>
      </c>
    </row>
    <row r="861" spans="1:17" x14ac:dyDescent="0.25">
      <c r="A861" s="1">
        <f t="shared" si="140"/>
        <v>860</v>
      </c>
      <c r="C861" s="8" t="s">
        <v>17</v>
      </c>
      <c r="D861" s="2">
        <v>43157</v>
      </c>
      <c r="E861" s="3">
        <f>100000/100000</f>
        <v>1</v>
      </c>
      <c r="F861" t="s">
        <v>287</v>
      </c>
      <c r="G861" t="s">
        <v>288</v>
      </c>
      <c r="H861" t="s">
        <v>289</v>
      </c>
      <c r="I861" s="6" t="s">
        <v>637</v>
      </c>
      <c r="J861" s="61" t="s">
        <v>22</v>
      </c>
      <c r="L861" s="5" t="str">
        <f t="shared" si="136"/>
        <v>00860</v>
      </c>
      <c r="M861" s="47" t="str">
        <f t="shared" si="137"/>
        <v>26 de febrero de 2018</v>
      </c>
      <c r="N861" s="323">
        <f t="shared" si="139"/>
        <v>26</v>
      </c>
      <c r="O861" s="25">
        <f t="shared" si="138"/>
        <v>43132</v>
      </c>
      <c r="P861" s="5" t="str">
        <f t="shared" ref="P861:P871" si="143">TEXT(E861,"#.##0,00")</f>
        <v>1,00</v>
      </c>
      <c r="Q861" s="4" t="str">
        <f t="shared" ref="Q861:Q871" si="144">CONVERTIRNUM(E861)</f>
        <v>Un Bolívar con 00/100</v>
      </c>
    </row>
    <row r="862" spans="1:17" x14ac:dyDescent="0.25">
      <c r="A862" s="1">
        <f t="shared" si="140"/>
        <v>861</v>
      </c>
      <c r="C862" s="8" t="s">
        <v>17</v>
      </c>
      <c r="D862" s="2">
        <v>43158</v>
      </c>
      <c r="E862" s="3">
        <f>160000/100000</f>
        <v>1.6</v>
      </c>
      <c r="F862" t="s">
        <v>479</v>
      </c>
      <c r="G862" s="18" t="s">
        <v>58</v>
      </c>
      <c r="H862" t="s">
        <v>481</v>
      </c>
      <c r="I862" s="6" t="s">
        <v>608</v>
      </c>
      <c r="J862" s="61" t="s">
        <v>22</v>
      </c>
      <c r="L862" s="5" t="str">
        <f t="shared" si="136"/>
        <v>00861</v>
      </c>
      <c r="M862" s="47" t="str">
        <f t="shared" si="137"/>
        <v>27 de febrero de 2018</v>
      </c>
      <c r="N862" s="323">
        <f t="shared" si="139"/>
        <v>27</v>
      </c>
      <c r="O862" s="25">
        <f t="shared" si="138"/>
        <v>43132</v>
      </c>
      <c r="P862" s="5" t="str">
        <f t="shared" si="143"/>
        <v>1,60</v>
      </c>
      <c r="Q862" s="4" t="str">
        <f t="shared" si="144"/>
        <v>Un Bolívares con 60/100</v>
      </c>
    </row>
    <row r="863" spans="1:17" x14ac:dyDescent="0.25">
      <c r="A863" s="1">
        <f t="shared" si="140"/>
        <v>862</v>
      </c>
      <c r="C863" s="8" t="s">
        <v>17</v>
      </c>
      <c r="D863" s="2">
        <v>43158</v>
      </c>
      <c r="E863" s="3">
        <f>30000/100000</f>
        <v>0.3</v>
      </c>
      <c r="F863" t="s">
        <v>144</v>
      </c>
      <c r="G863" t="s">
        <v>145</v>
      </c>
      <c r="H863" t="s">
        <v>146</v>
      </c>
      <c r="I863" s="6" t="s">
        <v>638</v>
      </c>
      <c r="J863" s="61" t="s">
        <v>22</v>
      </c>
      <c r="L863" s="5" t="str">
        <f t="shared" si="136"/>
        <v>00862</v>
      </c>
      <c r="M863" s="47" t="str">
        <f t="shared" si="137"/>
        <v>27 de febrero de 2018</v>
      </c>
      <c r="N863" s="323">
        <f t="shared" si="139"/>
        <v>27</v>
      </c>
      <c r="O863" s="25">
        <f t="shared" si="138"/>
        <v>43132</v>
      </c>
      <c r="P863" s="5" t="str">
        <f t="shared" si="143"/>
        <v>0,30</v>
      </c>
      <c r="Q863" s="4" t="str">
        <f t="shared" si="144"/>
        <v>Cero Bolívares con 30/100</v>
      </c>
    </row>
    <row r="864" spans="1:17" x14ac:dyDescent="0.25">
      <c r="A864" s="1">
        <f t="shared" si="140"/>
        <v>863</v>
      </c>
      <c r="C864" s="8" t="s">
        <v>17</v>
      </c>
      <c r="D864" s="2">
        <v>43158</v>
      </c>
      <c r="E864" s="3">
        <f>80000/100000</f>
        <v>0.8</v>
      </c>
      <c r="F864" t="s">
        <v>211</v>
      </c>
      <c r="G864" t="s">
        <v>212</v>
      </c>
      <c r="H864" t="s">
        <v>213</v>
      </c>
      <c r="I864" s="6" t="s">
        <v>616</v>
      </c>
      <c r="J864" s="61" t="s">
        <v>22</v>
      </c>
      <c r="L864" s="5" t="str">
        <f t="shared" si="136"/>
        <v>00863</v>
      </c>
      <c r="M864" s="47" t="str">
        <f t="shared" si="137"/>
        <v>27 de febrero de 2018</v>
      </c>
      <c r="N864" s="323">
        <f t="shared" si="139"/>
        <v>27</v>
      </c>
      <c r="O864" s="25">
        <f t="shared" si="138"/>
        <v>43132</v>
      </c>
      <c r="P864" s="5" t="str">
        <f t="shared" si="143"/>
        <v>0,80</v>
      </c>
      <c r="Q864" s="4" t="str">
        <f t="shared" si="144"/>
        <v>Cero Bolívares con 80/100</v>
      </c>
    </row>
    <row r="865" spans="1:17" x14ac:dyDescent="0.25">
      <c r="A865" s="1">
        <f t="shared" si="140"/>
        <v>864</v>
      </c>
      <c r="C865" s="8" t="s">
        <v>17</v>
      </c>
      <c r="D865" s="2">
        <v>43158</v>
      </c>
      <c r="E865" s="3">
        <f>80000/100000</f>
        <v>0.8</v>
      </c>
      <c r="F865" t="s">
        <v>296</v>
      </c>
      <c r="G865" t="s">
        <v>297</v>
      </c>
      <c r="H865" t="s">
        <v>298</v>
      </c>
      <c r="I865" s="6" t="s">
        <v>616</v>
      </c>
      <c r="J865" s="61" t="s">
        <v>22</v>
      </c>
      <c r="L865" s="5" t="str">
        <f t="shared" si="136"/>
        <v>00864</v>
      </c>
      <c r="M865" s="47" t="str">
        <f t="shared" si="137"/>
        <v>27 de febrero de 2018</v>
      </c>
      <c r="N865" s="323">
        <f t="shared" si="139"/>
        <v>27</v>
      </c>
      <c r="O865" s="25">
        <f t="shared" si="138"/>
        <v>43132</v>
      </c>
      <c r="P865" s="5" t="str">
        <f t="shared" si="143"/>
        <v>0,80</v>
      </c>
      <c r="Q865" s="4" t="str">
        <f t="shared" si="144"/>
        <v>Cero Bolívares con 80/100</v>
      </c>
    </row>
    <row r="866" spans="1:17" x14ac:dyDescent="0.25">
      <c r="A866" s="1">
        <f t="shared" si="140"/>
        <v>865</v>
      </c>
      <c r="C866" s="8" t="s">
        <v>17</v>
      </c>
      <c r="D866" s="2">
        <v>43159</v>
      </c>
      <c r="E866" s="3">
        <f>200000/100000</f>
        <v>2</v>
      </c>
      <c r="F866" t="s">
        <v>44</v>
      </c>
      <c r="G866" t="s">
        <v>45</v>
      </c>
      <c r="H866" t="s">
        <v>46</v>
      </c>
      <c r="I866" s="6" t="s">
        <v>639</v>
      </c>
      <c r="J866" s="61" t="s">
        <v>22</v>
      </c>
      <c r="L866" s="5" t="str">
        <f t="shared" si="136"/>
        <v>00865</v>
      </c>
      <c r="M866" s="47" t="str">
        <f t="shared" si="137"/>
        <v>28 de febrero de 2018</v>
      </c>
      <c r="N866" s="323">
        <f t="shared" si="139"/>
        <v>28</v>
      </c>
      <c r="O866" s="25">
        <f t="shared" si="138"/>
        <v>43132</v>
      </c>
      <c r="P866" s="5" t="str">
        <f t="shared" si="143"/>
        <v>2,00</v>
      </c>
      <c r="Q866" s="4" t="str">
        <f t="shared" si="144"/>
        <v>Dos Bolívares con 00/100</v>
      </c>
    </row>
    <row r="867" spans="1:17" x14ac:dyDescent="0.25">
      <c r="A867" s="1">
        <f t="shared" si="140"/>
        <v>866</v>
      </c>
      <c r="C867" s="8" t="s">
        <v>17</v>
      </c>
      <c r="D867" s="2">
        <v>43159</v>
      </c>
      <c r="E867" s="3">
        <f>80000/100000</f>
        <v>0.8</v>
      </c>
      <c r="F867" t="s">
        <v>134</v>
      </c>
      <c r="G867" t="s">
        <v>135</v>
      </c>
      <c r="H867" t="s">
        <v>136</v>
      </c>
      <c r="I867" s="6" t="s">
        <v>616</v>
      </c>
      <c r="J867" s="61" t="s">
        <v>22</v>
      </c>
      <c r="L867" s="5" t="str">
        <f t="shared" si="136"/>
        <v>00866</v>
      </c>
      <c r="M867" s="47" t="str">
        <f t="shared" si="137"/>
        <v>28 de febrero de 2018</v>
      </c>
      <c r="N867" s="323">
        <f t="shared" si="139"/>
        <v>28</v>
      </c>
      <c r="O867" s="25">
        <f t="shared" si="138"/>
        <v>43132</v>
      </c>
      <c r="P867" s="5" t="str">
        <f t="shared" si="143"/>
        <v>0,80</v>
      </c>
      <c r="Q867" s="4" t="str">
        <f t="shared" si="144"/>
        <v>Cero Bolívares con 80/100</v>
      </c>
    </row>
    <row r="868" spans="1:17" x14ac:dyDescent="0.25">
      <c r="A868" s="1">
        <f t="shared" si="140"/>
        <v>867</v>
      </c>
      <c r="C868" s="8" t="s">
        <v>17</v>
      </c>
      <c r="D868" s="2">
        <v>43159</v>
      </c>
      <c r="E868" s="3">
        <f>180000/100000</f>
        <v>1.8</v>
      </c>
      <c r="F868" t="s">
        <v>239</v>
      </c>
      <c r="G868" s="73" t="s">
        <v>240</v>
      </c>
      <c r="H868" t="s">
        <v>241</v>
      </c>
      <c r="I868" s="6" t="s">
        <v>608</v>
      </c>
      <c r="J868" s="61" t="s">
        <v>22</v>
      </c>
      <c r="L868" s="5" t="str">
        <f t="shared" si="136"/>
        <v>00867</v>
      </c>
      <c r="M868" s="47" t="str">
        <f t="shared" si="137"/>
        <v>28 de febrero de 2018</v>
      </c>
      <c r="N868" s="323">
        <f t="shared" si="139"/>
        <v>28</v>
      </c>
      <c r="O868" s="25">
        <f t="shared" si="138"/>
        <v>43132</v>
      </c>
      <c r="P868" s="5" t="str">
        <f t="shared" si="143"/>
        <v>1,80</v>
      </c>
      <c r="Q868" s="4" t="str">
        <f t="shared" si="144"/>
        <v>Un Bolívares con 80/100</v>
      </c>
    </row>
    <row r="869" spans="1:17" x14ac:dyDescent="0.25">
      <c r="A869" s="1">
        <f t="shared" si="140"/>
        <v>868</v>
      </c>
      <c r="C869" s="8" t="s">
        <v>17</v>
      </c>
      <c r="D869" s="2">
        <v>43159</v>
      </c>
      <c r="E869" s="3">
        <f>160000/100000</f>
        <v>1.6</v>
      </c>
      <c r="F869" t="s">
        <v>483</v>
      </c>
      <c r="G869" t="s">
        <v>484</v>
      </c>
      <c r="H869" t="s">
        <v>485</v>
      </c>
      <c r="I869" s="6" t="s">
        <v>640</v>
      </c>
      <c r="J869" s="61" t="s">
        <v>22</v>
      </c>
      <c r="L869" s="5" t="str">
        <f t="shared" si="136"/>
        <v>00868</v>
      </c>
      <c r="M869" s="47" t="str">
        <f t="shared" si="137"/>
        <v>28 de febrero de 2018</v>
      </c>
      <c r="N869" s="323">
        <f t="shared" si="139"/>
        <v>28</v>
      </c>
      <c r="O869" s="25">
        <f t="shared" si="138"/>
        <v>43132</v>
      </c>
      <c r="P869" s="5" t="str">
        <f t="shared" si="143"/>
        <v>1,60</v>
      </c>
      <c r="Q869" s="4" t="str">
        <f t="shared" si="144"/>
        <v>Un Bolívares con 60/100</v>
      </c>
    </row>
    <row r="870" spans="1:17" x14ac:dyDescent="0.25">
      <c r="A870" s="1">
        <f t="shared" si="140"/>
        <v>869</v>
      </c>
      <c r="C870" s="8" t="s">
        <v>17</v>
      </c>
      <c r="D870" s="2">
        <v>43160</v>
      </c>
      <c r="E870" s="3">
        <f>130000/100000</f>
        <v>1.3</v>
      </c>
      <c r="F870" t="s">
        <v>107</v>
      </c>
      <c r="G870" t="s">
        <v>108</v>
      </c>
      <c r="H870" t="s">
        <v>109</v>
      </c>
      <c r="I870" s="6" t="s">
        <v>641</v>
      </c>
      <c r="J870" s="61" t="s">
        <v>22</v>
      </c>
      <c r="L870" s="5" t="str">
        <f t="shared" si="136"/>
        <v>00869</v>
      </c>
      <c r="M870" s="47" t="str">
        <f t="shared" si="137"/>
        <v>01 de marzo de 2018</v>
      </c>
      <c r="N870" s="323">
        <f t="shared" si="139"/>
        <v>1</v>
      </c>
      <c r="O870" s="25">
        <f t="shared" si="138"/>
        <v>43160</v>
      </c>
      <c r="P870" s="5" t="str">
        <f t="shared" si="143"/>
        <v>1,30</v>
      </c>
      <c r="Q870" s="4" t="str">
        <f t="shared" si="144"/>
        <v>Un Bolívares con 30/100</v>
      </c>
    </row>
    <row r="871" spans="1:17" x14ac:dyDescent="0.25">
      <c r="A871" s="1">
        <f t="shared" si="140"/>
        <v>870</v>
      </c>
      <c r="C871" s="8" t="s">
        <v>17</v>
      </c>
      <c r="D871" s="2">
        <v>43160</v>
      </c>
      <c r="E871" s="3">
        <f>140000/100000</f>
        <v>1.4</v>
      </c>
      <c r="F871" t="s">
        <v>558</v>
      </c>
      <c r="G871" t="s">
        <v>559</v>
      </c>
      <c r="H871" t="s">
        <v>560</v>
      </c>
      <c r="I871" s="6" t="s">
        <v>630</v>
      </c>
      <c r="J871" s="61" t="s">
        <v>22</v>
      </c>
      <c r="L871" s="5" t="str">
        <f t="shared" si="136"/>
        <v>00870</v>
      </c>
      <c r="M871" s="47" t="str">
        <f t="shared" si="137"/>
        <v>01 de marzo de 2018</v>
      </c>
      <c r="N871" s="323">
        <f t="shared" si="139"/>
        <v>1</v>
      </c>
      <c r="O871" s="25">
        <f t="shared" si="138"/>
        <v>43160</v>
      </c>
      <c r="P871" s="5" t="str">
        <f t="shared" si="143"/>
        <v>1,40</v>
      </c>
      <c r="Q871" s="4" t="str">
        <f t="shared" si="144"/>
        <v>Un Bolívares con 40/100</v>
      </c>
    </row>
    <row r="872" spans="1:17" x14ac:dyDescent="0.25">
      <c r="A872" s="1">
        <f t="shared" si="140"/>
        <v>871</v>
      </c>
      <c r="C872" s="8" t="s">
        <v>17</v>
      </c>
      <c r="D872" s="2">
        <v>43161</v>
      </c>
      <c r="E872" s="3">
        <f>10000/100000</f>
        <v>0.1</v>
      </c>
      <c r="F872" t="s">
        <v>107</v>
      </c>
      <c r="G872" t="s">
        <v>108</v>
      </c>
      <c r="H872" t="s">
        <v>109</v>
      </c>
      <c r="I872" s="6" t="s">
        <v>642</v>
      </c>
      <c r="J872" s="61" t="s">
        <v>22</v>
      </c>
      <c r="L872" s="5" t="str">
        <f t="shared" si="136"/>
        <v>00871</v>
      </c>
      <c r="M872" s="47" t="str">
        <f t="shared" si="137"/>
        <v>02 de marzo de 2018</v>
      </c>
      <c r="N872" s="323">
        <f t="shared" si="139"/>
        <v>2</v>
      </c>
      <c r="O872" s="25">
        <f t="shared" si="138"/>
        <v>43160</v>
      </c>
      <c r="P872" s="5" t="str">
        <f t="shared" ref="P872:P906" si="145">TEXT(E872,"#.##0,00")</f>
        <v>0,10</v>
      </c>
      <c r="Q872" s="4" t="str">
        <f t="shared" ref="Q872:Q906" si="146">CONVERTIRNUM(E872)</f>
        <v>Cero Bolívares con 10/100</v>
      </c>
    </row>
    <row r="873" spans="1:17" x14ac:dyDescent="0.25">
      <c r="A873" s="1">
        <f t="shared" si="140"/>
        <v>872</v>
      </c>
      <c r="C873" s="8" t="s">
        <v>17</v>
      </c>
      <c r="D873" s="2">
        <v>43161</v>
      </c>
      <c r="E873" s="3">
        <f>140000/100000</f>
        <v>1.4</v>
      </c>
      <c r="F873" t="s">
        <v>80</v>
      </c>
      <c r="G873" t="s">
        <v>81</v>
      </c>
      <c r="H873" t="s">
        <v>82</v>
      </c>
      <c r="I873" s="6" t="s">
        <v>630</v>
      </c>
      <c r="J873" s="61" t="s">
        <v>22</v>
      </c>
      <c r="L873" s="5" t="str">
        <f t="shared" si="136"/>
        <v>00872</v>
      </c>
      <c r="M873" s="47" t="str">
        <f t="shared" si="137"/>
        <v>02 de marzo de 2018</v>
      </c>
      <c r="N873" s="323">
        <f t="shared" si="139"/>
        <v>2</v>
      </c>
      <c r="O873" s="25">
        <f t="shared" si="138"/>
        <v>43160</v>
      </c>
      <c r="P873" s="5" t="str">
        <f t="shared" si="145"/>
        <v>1,40</v>
      </c>
      <c r="Q873" s="4" t="str">
        <f t="shared" si="146"/>
        <v>Un Bolívares con 40/100</v>
      </c>
    </row>
    <row r="874" spans="1:17" x14ac:dyDescent="0.25">
      <c r="A874" s="1">
        <f t="shared" si="140"/>
        <v>873</v>
      </c>
      <c r="C874" s="8" t="s">
        <v>17</v>
      </c>
      <c r="D874" s="2">
        <v>43161</v>
      </c>
      <c r="E874" s="3">
        <f>60000/100000+120000/100000</f>
        <v>1.7999999999999998</v>
      </c>
      <c r="F874" t="s">
        <v>280</v>
      </c>
      <c r="G874" s="18" t="s">
        <v>58</v>
      </c>
      <c r="H874" t="s">
        <v>282</v>
      </c>
      <c r="I874" s="6" t="s">
        <v>643</v>
      </c>
      <c r="J874" s="61" t="s">
        <v>22</v>
      </c>
      <c r="L874" s="5" t="str">
        <f t="shared" si="136"/>
        <v>00873</v>
      </c>
      <c r="M874" s="47" t="str">
        <f t="shared" si="137"/>
        <v>02 de marzo de 2018</v>
      </c>
      <c r="N874" s="323">
        <f t="shared" si="139"/>
        <v>2</v>
      </c>
      <c r="O874" s="25">
        <f t="shared" si="138"/>
        <v>43160</v>
      </c>
      <c r="P874" s="5" t="str">
        <f t="shared" si="145"/>
        <v>1,80</v>
      </c>
      <c r="Q874" s="4" t="str">
        <f t="shared" si="146"/>
        <v>Un Bolívares con 80/100</v>
      </c>
    </row>
    <row r="875" spans="1:17" x14ac:dyDescent="0.25">
      <c r="A875" s="1">
        <f t="shared" si="140"/>
        <v>874</v>
      </c>
      <c r="C875" s="8" t="s">
        <v>17</v>
      </c>
      <c r="D875" s="2">
        <v>43161</v>
      </c>
      <c r="E875" s="3">
        <f>170000/100000</f>
        <v>1.7</v>
      </c>
      <c r="F875" t="s">
        <v>177</v>
      </c>
      <c r="G875" s="18" t="s">
        <v>58</v>
      </c>
      <c r="H875" t="s">
        <v>179</v>
      </c>
      <c r="I875" s="6" t="s">
        <v>644</v>
      </c>
      <c r="J875" s="61" t="s">
        <v>22</v>
      </c>
      <c r="L875" s="5" t="str">
        <f t="shared" si="136"/>
        <v>00874</v>
      </c>
      <c r="M875" s="47" t="str">
        <f t="shared" si="137"/>
        <v>02 de marzo de 2018</v>
      </c>
      <c r="N875" s="323">
        <f t="shared" si="139"/>
        <v>2</v>
      </c>
      <c r="O875" s="25">
        <f t="shared" si="138"/>
        <v>43160</v>
      </c>
      <c r="P875" s="5" t="str">
        <f t="shared" si="145"/>
        <v>1,70</v>
      </c>
      <c r="Q875" s="4" t="str">
        <f t="shared" si="146"/>
        <v>Un Bolívares con 70/100</v>
      </c>
    </row>
    <row r="876" spans="1:17" x14ac:dyDescent="0.25">
      <c r="A876" s="1">
        <f t="shared" si="140"/>
        <v>875</v>
      </c>
      <c r="C876" s="8" t="s">
        <v>17</v>
      </c>
      <c r="D876" s="2">
        <v>43161</v>
      </c>
      <c r="E876" s="3">
        <f>80000/100000</f>
        <v>0.8</v>
      </c>
      <c r="F876" t="s">
        <v>362</v>
      </c>
      <c r="G876" t="s">
        <v>363</v>
      </c>
      <c r="H876" t="s">
        <v>364</v>
      </c>
      <c r="I876" s="6" t="s">
        <v>616</v>
      </c>
      <c r="J876" s="61" t="s">
        <v>22</v>
      </c>
      <c r="L876" s="5" t="str">
        <f t="shared" si="136"/>
        <v>00875</v>
      </c>
      <c r="M876" s="47" t="str">
        <f t="shared" si="137"/>
        <v>02 de marzo de 2018</v>
      </c>
      <c r="N876" s="323">
        <f t="shared" si="139"/>
        <v>2</v>
      </c>
      <c r="O876" s="25">
        <f t="shared" si="138"/>
        <v>43160</v>
      </c>
      <c r="P876" s="5" t="str">
        <f t="shared" si="145"/>
        <v>0,80</v>
      </c>
      <c r="Q876" s="4" t="str">
        <f t="shared" si="146"/>
        <v>Cero Bolívares con 80/100</v>
      </c>
    </row>
    <row r="877" spans="1:17" x14ac:dyDescent="0.25">
      <c r="A877" s="1">
        <f t="shared" si="140"/>
        <v>876</v>
      </c>
      <c r="C877" s="8" t="s">
        <v>17</v>
      </c>
      <c r="D877" s="2">
        <v>43161</v>
      </c>
      <c r="E877" s="3">
        <f>100000/100000</f>
        <v>1</v>
      </c>
      <c r="F877" t="s">
        <v>84</v>
      </c>
      <c r="G877" t="s">
        <v>85</v>
      </c>
      <c r="H877" t="s">
        <v>86</v>
      </c>
      <c r="I877" s="6" t="s">
        <v>645</v>
      </c>
      <c r="J877" s="61" t="s">
        <v>22</v>
      </c>
      <c r="L877" s="5" t="str">
        <f t="shared" si="136"/>
        <v>00876</v>
      </c>
      <c r="M877" s="47" t="str">
        <f t="shared" si="137"/>
        <v>02 de marzo de 2018</v>
      </c>
      <c r="N877" s="323">
        <f t="shared" si="139"/>
        <v>2</v>
      </c>
      <c r="O877" s="25">
        <f t="shared" si="138"/>
        <v>43160</v>
      </c>
      <c r="P877" s="5" t="str">
        <f t="shared" si="145"/>
        <v>1,00</v>
      </c>
      <c r="Q877" s="4" t="str">
        <f t="shared" si="146"/>
        <v>Un Bolívar con 00/100</v>
      </c>
    </row>
    <row r="878" spans="1:17" x14ac:dyDescent="0.25">
      <c r="A878" s="1">
        <f t="shared" si="140"/>
        <v>877</v>
      </c>
      <c r="C878" s="8" t="s">
        <v>17</v>
      </c>
      <c r="D878" s="2">
        <v>43161</v>
      </c>
      <c r="E878" s="3">
        <f>140000/100000</f>
        <v>1.4</v>
      </c>
      <c r="F878" t="s">
        <v>18</v>
      </c>
      <c r="G878" t="s">
        <v>19</v>
      </c>
      <c r="H878" t="s">
        <v>20</v>
      </c>
      <c r="I878" s="6" t="s">
        <v>646</v>
      </c>
      <c r="J878" s="61" t="s">
        <v>22</v>
      </c>
      <c r="L878" s="5" t="str">
        <f t="shared" si="136"/>
        <v>00877</v>
      </c>
      <c r="M878" s="47" t="str">
        <f t="shared" si="137"/>
        <v>02 de marzo de 2018</v>
      </c>
      <c r="N878" s="323">
        <f t="shared" si="139"/>
        <v>2</v>
      </c>
      <c r="O878" s="25">
        <f t="shared" si="138"/>
        <v>43160</v>
      </c>
      <c r="P878" s="5" t="str">
        <f t="shared" si="145"/>
        <v>1,40</v>
      </c>
      <c r="Q878" s="4" t="str">
        <f t="shared" si="146"/>
        <v>Un Bolívares con 40/100</v>
      </c>
    </row>
    <row r="879" spans="1:17" x14ac:dyDescent="0.25">
      <c r="A879" s="1">
        <f t="shared" si="140"/>
        <v>878</v>
      </c>
      <c r="C879" s="8" t="s">
        <v>17</v>
      </c>
      <c r="D879" s="2">
        <v>43164</v>
      </c>
      <c r="E879" s="3">
        <f>200000/100000</f>
        <v>2</v>
      </c>
      <c r="F879" t="s">
        <v>48</v>
      </c>
      <c r="G879" t="s">
        <v>49</v>
      </c>
      <c r="H879" t="s">
        <v>50</v>
      </c>
      <c r="I879" s="6" t="s">
        <v>647</v>
      </c>
      <c r="J879" s="61" t="s">
        <v>22</v>
      </c>
      <c r="L879" s="5" t="str">
        <f t="shared" si="136"/>
        <v>00878</v>
      </c>
      <c r="M879" s="47" t="str">
        <f t="shared" si="137"/>
        <v>05 de marzo de 2018</v>
      </c>
      <c r="N879" s="323">
        <f t="shared" si="139"/>
        <v>5</v>
      </c>
      <c r="O879" s="25">
        <f t="shared" si="138"/>
        <v>43160</v>
      </c>
      <c r="P879" s="5" t="str">
        <f t="shared" si="145"/>
        <v>2,00</v>
      </c>
      <c r="Q879" s="4" t="str">
        <f t="shared" si="146"/>
        <v>Dos Bolívares con 00/100</v>
      </c>
    </row>
    <row r="880" spans="1:17" x14ac:dyDescent="0.25">
      <c r="A880" s="1">
        <f t="shared" si="140"/>
        <v>879</v>
      </c>
      <c r="C880" s="8" t="s">
        <v>17</v>
      </c>
      <c r="D880" s="2">
        <v>43122</v>
      </c>
      <c r="E880" s="3">
        <f>80000/100000</f>
        <v>0.8</v>
      </c>
      <c r="F880" t="s">
        <v>319</v>
      </c>
      <c r="G880" s="18" t="s">
        <v>58</v>
      </c>
      <c r="H880" t="s">
        <v>320</v>
      </c>
      <c r="I880" s="6" t="s">
        <v>616</v>
      </c>
      <c r="J880" s="61" t="s">
        <v>22</v>
      </c>
      <c r="L880" s="5" t="str">
        <f t="shared" si="136"/>
        <v>00879</v>
      </c>
      <c r="M880" s="47" t="str">
        <f t="shared" si="137"/>
        <v>22 de enero de 2018</v>
      </c>
      <c r="N880" s="323">
        <f t="shared" si="139"/>
        <v>22</v>
      </c>
      <c r="O880" s="25">
        <f t="shared" si="138"/>
        <v>43101</v>
      </c>
      <c r="P880" s="5" t="str">
        <f t="shared" si="145"/>
        <v>0,80</v>
      </c>
      <c r="Q880" s="4" t="str">
        <f t="shared" si="146"/>
        <v>Cero Bolívares con 80/100</v>
      </c>
    </row>
    <row r="881" spans="1:17" x14ac:dyDescent="0.25">
      <c r="A881" s="1">
        <f t="shared" si="140"/>
        <v>880</v>
      </c>
      <c r="C881" s="8" t="s">
        <v>17</v>
      </c>
      <c r="D881" s="2">
        <v>43166</v>
      </c>
      <c r="E881" s="3">
        <f>140000/100000</f>
        <v>1.4</v>
      </c>
      <c r="F881" t="s">
        <v>70</v>
      </c>
      <c r="G881" t="s">
        <v>71</v>
      </c>
      <c r="H881" t="s">
        <v>72</v>
      </c>
      <c r="I881" s="6" t="s">
        <v>648</v>
      </c>
      <c r="J881" s="61" t="s">
        <v>22</v>
      </c>
      <c r="L881" s="5" t="str">
        <f t="shared" si="136"/>
        <v>00880</v>
      </c>
      <c r="M881" s="47" t="str">
        <f t="shared" si="137"/>
        <v>07 de marzo de 2018</v>
      </c>
      <c r="N881" s="323">
        <f t="shared" si="139"/>
        <v>7</v>
      </c>
      <c r="O881" s="25">
        <f t="shared" si="138"/>
        <v>43160</v>
      </c>
      <c r="P881" s="5" t="str">
        <f t="shared" si="145"/>
        <v>1,40</v>
      </c>
      <c r="Q881" s="4" t="str">
        <f t="shared" si="146"/>
        <v>Un Bolívares con 40/100</v>
      </c>
    </row>
    <row r="882" spans="1:17" x14ac:dyDescent="0.25">
      <c r="A882" s="1">
        <f t="shared" si="140"/>
        <v>881</v>
      </c>
      <c r="C882" s="8" t="s">
        <v>17</v>
      </c>
      <c r="D882" s="2">
        <v>43166</v>
      </c>
      <c r="E882" s="3">
        <f>80000*2/100000</f>
        <v>1.6</v>
      </c>
      <c r="F882" t="s">
        <v>259</v>
      </c>
      <c r="G882" s="18" t="s">
        <v>58</v>
      </c>
      <c r="H882" t="s">
        <v>261</v>
      </c>
      <c r="I882" s="6" t="s">
        <v>608</v>
      </c>
      <c r="J882" s="61" t="s">
        <v>22</v>
      </c>
      <c r="L882" s="5" t="str">
        <f t="shared" si="136"/>
        <v>00881</v>
      </c>
      <c r="M882" s="47" t="str">
        <f t="shared" si="137"/>
        <v>07 de marzo de 2018</v>
      </c>
      <c r="N882" s="323">
        <f t="shared" si="139"/>
        <v>7</v>
      </c>
      <c r="O882" s="25">
        <f t="shared" si="138"/>
        <v>43160</v>
      </c>
      <c r="P882" s="5" t="str">
        <f t="shared" si="145"/>
        <v>1,60</v>
      </c>
      <c r="Q882" s="4" t="str">
        <f t="shared" si="146"/>
        <v>Un Bolívares con 60/100</v>
      </c>
    </row>
    <row r="883" spans="1:17" x14ac:dyDescent="0.25">
      <c r="A883" s="1">
        <f t="shared" si="140"/>
        <v>882</v>
      </c>
      <c r="C883" s="8" t="s">
        <v>17</v>
      </c>
      <c r="D883" s="2">
        <v>43166</v>
      </c>
      <c r="E883" s="3">
        <f>140000/100000</f>
        <v>1.4</v>
      </c>
      <c r="F883" t="s">
        <v>24</v>
      </c>
      <c r="G883" t="s">
        <v>25</v>
      </c>
      <c r="H883" t="s">
        <v>26</v>
      </c>
      <c r="I883" s="6" t="s">
        <v>630</v>
      </c>
      <c r="J883" s="61" t="s">
        <v>22</v>
      </c>
      <c r="L883" s="5" t="str">
        <f t="shared" si="136"/>
        <v>00882</v>
      </c>
      <c r="M883" s="47" t="str">
        <f t="shared" si="137"/>
        <v>07 de marzo de 2018</v>
      </c>
      <c r="N883" s="323">
        <f t="shared" si="139"/>
        <v>7</v>
      </c>
      <c r="O883" s="25">
        <f t="shared" si="138"/>
        <v>43160</v>
      </c>
      <c r="P883" s="5" t="str">
        <f t="shared" si="145"/>
        <v>1,40</v>
      </c>
      <c r="Q883" s="4" t="str">
        <f t="shared" si="146"/>
        <v>Un Bolívares con 40/100</v>
      </c>
    </row>
    <row r="884" spans="1:17" x14ac:dyDescent="0.25">
      <c r="A884" s="1">
        <f t="shared" si="140"/>
        <v>883</v>
      </c>
      <c r="C884" s="8" t="s">
        <v>17</v>
      </c>
      <c r="D884" s="2">
        <v>43168</v>
      </c>
      <c r="E884" s="3">
        <f>140000/100000</f>
        <v>1.4</v>
      </c>
      <c r="F884" t="s">
        <v>40</v>
      </c>
      <c r="G884" t="s">
        <v>41</v>
      </c>
      <c r="H884" t="s">
        <v>42</v>
      </c>
      <c r="I884" s="6" t="s">
        <v>630</v>
      </c>
      <c r="J884" s="61" t="s">
        <v>22</v>
      </c>
      <c r="L884" s="5" t="str">
        <f t="shared" si="136"/>
        <v>00883</v>
      </c>
      <c r="M884" s="47" t="str">
        <f t="shared" si="137"/>
        <v>09 de marzo de 2018</v>
      </c>
      <c r="N884" s="323">
        <f t="shared" si="139"/>
        <v>9</v>
      </c>
      <c r="O884" s="25">
        <f t="shared" si="138"/>
        <v>43160</v>
      </c>
      <c r="P884" s="5" t="str">
        <f t="shared" si="145"/>
        <v>1,40</v>
      </c>
      <c r="Q884" s="4" t="str">
        <f t="shared" si="146"/>
        <v>Un Bolívares con 40/100</v>
      </c>
    </row>
    <row r="885" spans="1:17" x14ac:dyDescent="0.25">
      <c r="A885" s="178">
        <f t="shared" si="140"/>
        <v>884</v>
      </c>
      <c r="C885" s="8" t="s">
        <v>17</v>
      </c>
      <c r="D885" s="2">
        <v>43168</v>
      </c>
      <c r="E885" s="3">
        <f>140000/100000</f>
        <v>1.4</v>
      </c>
      <c r="F885" t="s">
        <v>438</v>
      </c>
      <c r="G885" t="s">
        <v>439</v>
      </c>
      <c r="H885" t="s">
        <v>440</v>
      </c>
      <c r="I885" s="6" t="s">
        <v>649</v>
      </c>
      <c r="J885" s="61" t="s">
        <v>22</v>
      </c>
      <c r="L885" s="5" t="str">
        <f t="shared" si="136"/>
        <v>00884</v>
      </c>
      <c r="M885" s="47" t="str">
        <f t="shared" si="137"/>
        <v>09 de marzo de 2018</v>
      </c>
      <c r="N885" s="323">
        <f t="shared" si="139"/>
        <v>9</v>
      </c>
      <c r="O885" s="25">
        <f t="shared" si="138"/>
        <v>43160</v>
      </c>
      <c r="P885" s="5" t="str">
        <f t="shared" si="145"/>
        <v>1,40</v>
      </c>
      <c r="Q885" s="4" t="str">
        <f t="shared" si="146"/>
        <v>Un Bolívares con 40/100</v>
      </c>
    </row>
    <row r="886" spans="1:17" x14ac:dyDescent="0.25">
      <c r="A886" s="1">
        <f t="shared" si="140"/>
        <v>885</v>
      </c>
      <c r="C886" s="8" t="s">
        <v>17</v>
      </c>
      <c r="D886" s="2">
        <v>43171</v>
      </c>
      <c r="E886" s="3">
        <f>140000/100000</f>
        <v>1.4</v>
      </c>
      <c r="F886" t="s">
        <v>181</v>
      </c>
      <c r="G886" t="s">
        <v>182</v>
      </c>
      <c r="H886" t="s">
        <v>183</v>
      </c>
      <c r="I886" s="6" t="s">
        <v>630</v>
      </c>
      <c r="J886" s="61" t="s">
        <v>22</v>
      </c>
      <c r="L886" s="5" t="str">
        <f t="shared" si="136"/>
        <v>00885</v>
      </c>
      <c r="M886" s="47" t="str">
        <f t="shared" si="137"/>
        <v>12 de marzo de 2018</v>
      </c>
      <c r="N886" s="323">
        <f t="shared" si="139"/>
        <v>12</v>
      </c>
      <c r="O886" s="25">
        <f t="shared" si="138"/>
        <v>43160</v>
      </c>
      <c r="P886" s="5" t="str">
        <f t="shared" si="145"/>
        <v>1,40</v>
      </c>
      <c r="Q886" s="4" t="str">
        <f t="shared" si="146"/>
        <v>Un Bolívares con 40/100</v>
      </c>
    </row>
    <row r="887" spans="1:17" x14ac:dyDescent="0.25">
      <c r="A887" s="1">
        <f t="shared" si="140"/>
        <v>886</v>
      </c>
      <c r="C887" s="8" t="s">
        <v>17</v>
      </c>
      <c r="D887" s="2">
        <v>43171</v>
      </c>
      <c r="E887" s="3">
        <f>80000/100000</f>
        <v>0.8</v>
      </c>
      <c r="F887" t="s">
        <v>118</v>
      </c>
      <c r="G887" t="s">
        <v>119</v>
      </c>
      <c r="H887" t="s">
        <v>120</v>
      </c>
      <c r="I887" s="6" t="s">
        <v>616</v>
      </c>
      <c r="J887" s="61" t="s">
        <v>22</v>
      </c>
      <c r="L887" s="5" t="str">
        <f t="shared" si="136"/>
        <v>00886</v>
      </c>
      <c r="M887" s="47" t="str">
        <f t="shared" si="137"/>
        <v>12 de marzo de 2018</v>
      </c>
      <c r="N887" s="323">
        <f t="shared" si="139"/>
        <v>12</v>
      </c>
      <c r="O887" s="25">
        <f t="shared" si="138"/>
        <v>43160</v>
      </c>
      <c r="P887" s="5" t="str">
        <f t="shared" si="145"/>
        <v>0,80</v>
      </c>
      <c r="Q887" s="4" t="str">
        <f t="shared" si="146"/>
        <v>Cero Bolívares con 80/100</v>
      </c>
    </row>
    <row r="888" spans="1:17" x14ac:dyDescent="0.25">
      <c r="A888" s="1">
        <f t="shared" si="140"/>
        <v>887</v>
      </c>
      <c r="C888" s="8" t="s">
        <v>17</v>
      </c>
      <c r="D888" s="2">
        <v>43171</v>
      </c>
      <c r="E888" s="3">
        <f>80000/100000+140000/100000</f>
        <v>2.2000000000000002</v>
      </c>
      <c r="F888" t="s">
        <v>264</v>
      </c>
      <c r="G888" t="s">
        <v>265</v>
      </c>
      <c r="H888" t="s">
        <v>266</v>
      </c>
      <c r="I888" s="6" t="s">
        <v>640</v>
      </c>
      <c r="J888" s="61" t="s">
        <v>22</v>
      </c>
      <c r="L888" s="5" t="str">
        <f t="shared" si="136"/>
        <v>00887</v>
      </c>
      <c r="M888" s="47" t="str">
        <f t="shared" si="137"/>
        <v>12 de marzo de 2018</v>
      </c>
      <c r="N888" s="323">
        <f t="shared" si="139"/>
        <v>12</v>
      </c>
      <c r="O888" s="25">
        <f t="shared" si="138"/>
        <v>43160</v>
      </c>
      <c r="P888" s="5" t="str">
        <f t="shared" si="145"/>
        <v>2,20</v>
      </c>
      <c r="Q888" s="4" t="str">
        <f t="shared" si="146"/>
        <v>Dos Bolívares con 20/100</v>
      </c>
    </row>
    <row r="889" spans="1:17" x14ac:dyDescent="0.25">
      <c r="A889" s="1">
        <f t="shared" si="140"/>
        <v>888</v>
      </c>
      <c r="C889" s="8" t="s">
        <v>17</v>
      </c>
      <c r="D889" s="2">
        <v>43153</v>
      </c>
      <c r="E889" s="3">
        <f>30000/100000</f>
        <v>0.3</v>
      </c>
      <c r="F889" t="s">
        <v>303</v>
      </c>
      <c r="G889" s="18" t="s">
        <v>58</v>
      </c>
      <c r="H889" t="s">
        <v>304</v>
      </c>
      <c r="I889" s="6" t="s">
        <v>601</v>
      </c>
      <c r="J889" s="61" t="s">
        <v>22</v>
      </c>
      <c r="L889" s="5" t="str">
        <f t="shared" si="136"/>
        <v>00888</v>
      </c>
      <c r="M889" s="47" t="str">
        <f t="shared" si="137"/>
        <v>22 de febrero de 2018</v>
      </c>
      <c r="N889" s="323">
        <f t="shared" si="139"/>
        <v>22</v>
      </c>
      <c r="O889" s="25">
        <f t="shared" si="138"/>
        <v>43132</v>
      </c>
      <c r="P889" s="5" t="str">
        <f t="shared" si="145"/>
        <v>0,30</v>
      </c>
      <c r="Q889" s="4" t="str">
        <f t="shared" si="146"/>
        <v>Cero Bolívares con 30/100</v>
      </c>
    </row>
    <row r="890" spans="1:17" x14ac:dyDescent="0.25">
      <c r="A890" s="1">
        <f t="shared" si="140"/>
        <v>889</v>
      </c>
      <c r="C890" s="8" t="s">
        <v>17</v>
      </c>
      <c r="D890" s="2">
        <v>43161</v>
      </c>
      <c r="E890" s="3">
        <f>140000/100000</f>
        <v>1.4</v>
      </c>
      <c r="F890" t="s">
        <v>103</v>
      </c>
      <c r="G890" t="s">
        <v>104</v>
      </c>
      <c r="H890" t="s">
        <v>105</v>
      </c>
      <c r="I890" s="6" t="s">
        <v>630</v>
      </c>
      <c r="J890" s="61" t="s">
        <v>22</v>
      </c>
      <c r="L890" s="5" t="str">
        <f t="shared" si="136"/>
        <v>00889</v>
      </c>
      <c r="M890" s="47" t="str">
        <f t="shared" si="137"/>
        <v>02 de marzo de 2018</v>
      </c>
      <c r="N890" s="323">
        <f t="shared" si="139"/>
        <v>2</v>
      </c>
      <c r="O890" s="25">
        <f t="shared" si="138"/>
        <v>43160</v>
      </c>
      <c r="P890" s="5" t="str">
        <f t="shared" si="145"/>
        <v>1,40</v>
      </c>
      <c r="Q890" s="4" t="str">
        <f t="shared" si="146"/>
        <v>Un Bolívares con 40/100</v>
      </c>
    </row>
    <row r="891" spans="1:17" x14ac:dyDescent="0.25">
      <c r="A891" s="1">
        <f>A890+1</f>
        <v>890</v>
      </c>
      <c r="C891" s="8" t="s">
        <v>17</v>
      </c>
      <c r="D891" s="2">
        <v>43172</v>
      </c>
      <c r="E891" s="3">
        <f>450000/100000</f>
        <v>4.5</v>
      </c>
      <c r="F891" t="s">
        <v>334</v>
      </c>
      <c r="G891" t="s">
        <v>85</v>
      </c>
      <c r="H891" t="s">
        <v>335</v>
      </c>
      <c r="I891" s="6" t="s">
        <v>650</v>
      </c>
      <c r="J891" s="61" t="s">
        <v>22</v>
      </c>
      <c r="L891" s="5" t="str">
        <f t="shared" si="136"/>
        <v>00890</v>
      </c>
      <c r="M891" s="47" t="str">
        <f t="shared" si="137"/>
        <v>13 de marzo de 2018</v>
      </c>
      <c r="N891" s="323">
        <f t="shared" si="139"/>
        <v>13</v>
      </c>
      <c r="O891" s="25">
        <f t="shared" si="138"/>
        <v>43160</v>
      </c>
      <c r="P891" s="5" t="str">
        <f t="shared" si="145"/>
        <v>4,50</v>
      </c>
      <c r="Q891" s="4" t="str">
        <f t="shared" si="146"/>
        <v>Cuatro Bolívares con 50/100</v>
      </c>
    </row>
    <row r="892" spans="1:17" x14ac:dyDescent="0.25">
      <c r="A892" s="1">
        <f t="shared" ref="A892:A936" si="147">A891+1</f>
        <v>891</v>
      </c>
      <c r="C892" s="8" t="s">
        <v>17</v>
      </c>
      <c r="D892" s="2">
        <v>43173</v>
      </c>
      <c r="E892" s="3">
        <f>140000/100000</f>
        <v>1.4</v>
      </c>
      <c r="F892" t="s">
        <v>201</v>
      </c>
      <c r="G892" t="s">
        <v>202</v>
      </c>
      <c r="H892" t="s">
        <v>203</v>
      </c>
      <c r="I892" s="6" t="s">
        <v>630</v>
      </c>
      <c r="J892" s="61" t="s">
        <v>22</v>
      </c>
      <c r="L892" s="5" t="str">
        <f t="shared" si="136"/>
        <v>00891</v>
      </c>
      <c r="M892" s="47" t="str">
        <f t="shared" si="137"/>
        <v>14 de marzo de 2018</v>
      </c>
      <c r="N892" s="323">
        <f t="shared" si="139"/>
        <v>14</v>
      </c>
      <c r="O892" s="25">
        <f t="shared" si="138"/>
        <v>43160</v>
      </c>
      <c r="P892" s="5" t="str">
        <f t="shared" si="145"/>
        <v>1,40</v>
      </c>
      <c r="Q892" s="4" t="str">
        <f t="shared" si="146"/>
        <v>Un Bolívares con 40/100</v>
      </c>
    </row>
    <row r="893" spans="1:17" x14ac:dyDescent="0.25">
      <c r="A893" s="1">
        <f t="shared" si="147"/>
        <v>892</v>
      </c>
      <c r="C893" s="8" t="s">
        <v>17</v>
      </c>
      <c r="D893" s="2">
        <v>43173</v>
      </c>
      <c r="E893" s="3">
        <f>140000/100000</f>
        <v>1.4</v>
      </c>
      <c r="F893" t="s">
        <v>126</v>
      </c>
      <c r="G893" t="s">
        <v>127</v>
      </c>
      <c r="H893" t="s">
        <v>128</v>
      </c>
      <c r="I893" s="6" t="s">
        <v>630</v>
      </c>
      <c r="J893" s="61" t="s">
        <v>22</v>
      </c>
      <c r="L893" s="5" t="str">
        <f t="shared" si="136"/>
        <v>00892</v>
      </c>
      <c r="M893" s="47" t="str">
        <f t="shared" si="137"/>
        <v>14 de marzo de 2018</v>
      </c>
      <c r="N893" s="323">
        <f t="shared" si="139"/>
        <v>14</v>
      </c>
      <c r="O893" s="25">
        <f t="shared" si="138"/>
        <v>43160</v>
      </c>
      <c r="P893" s="5" t="str">
        <f t="shared" si="145"/>
        <v>1,40</v>
      </c>
      <c r="Q893" s="4" t="str">
        <f t="shared" si="146"/>
        <v>Un Bolívares con 40/100</v>
      </c>
    </row>
    <row r="894" spans="1:17" x14ac:dyDescent="0.25">
      <c r="A894" s="1">
        <f t="shared" si="147"/>
        <v>893</v>
      </c>
      <c r="C894" s="8" t="s">
        <v>17</v>
      </c>
      <c r="D894" s="2">
        <v>43173</v>
      </c>
      <c r="E894" s="3">
        <f>300000/100000</f>
        <v>3</v>
      </c>
      <c r="F894" t="s">
        <v>126</v>
      </c>
      <c r="G894" t="s">
        <v>127</v>
      </c>
      <c r="H894" t="s">
        <v>128</v>
      </c>
      <c r="I894" s="6" t="s">
        <v>651</v>
      </c>
      <c r="J894" s="61" t="s">
        <v>652</v>
      </c>
      <c r="L894" s="5" t="str">
        <f t="shared" si="136"/>
        <v>00893</v>
      </c>
      <c r="M894" s="47" t="str">
        <f t="shared" si="137"/>
        <v>14 de marzo de 2018</v>
      </c>
      <c r="N894" s="323">
        <f t="shared" si="139"/>
        <v>14</v>
      </c>
      <c r="O894" s="25">
        <f t="shared" si="138"/>
        <v>43160</v>
      </c>
      <c r="P894" s="5" t="str">
        <f t="shared" si="145"/>
        <v>3,00</v>
      </c>
      <c r="Q894" s="4" t="str">
        <f t="shared" si="146"/>
        <v>Tres Bolívares con 00/100</v>
      </c>
    </row>
    <row r="895" spans="1:17" x14ac:dyDescent="0.25">
      <c r="A895" s="1">
        <f t="shared" si="147"/>
        <v>894</v>
      </c>
      <c r="C895" s="8" t="s">
        <v>17</v>
      </c>
      <c r="D895" s="2">
        <v>43173</v>
      </c>
      <c r="E895" s="3">
        <f>140000/100000</f>
        <v>1.4</v>
      </c>
      <c r="F895" t="s">
        <v>152</v>
      </c>
      <c r="G895" t="s">
        <v>153</v>
      </c>
      <c r="H895" t="s">
        <v>154</v>
      </c>
      <c r="I895" s="6" t="s">
        <v>630</v>
      </c>
      <c r="J895" s="61" t="s">
        <v>22</v>
      </c>
      <c r="L895" s="5" t="str">
        <f t="shared" si="136"/>
        <v>00894</v>
      </c>
      <c r="M895" s="47" t="str">
        <f t="shared" si="137"/>
        <v>14 de marzo de 2018</v>
      </c>
      <c r="N895" s="323">
        <f t="shared" si="139"/>
        <v>14</v>
      </c>
      <c r="O895" s="25">
        <f t="shared" si="138"/>
        <v>43160</v>
      </c>
      <c r="P895" s="5" t="str">
        <f t="shared" si="145"/>
        <v>1,40</v>
      </c>
      <c r="Q895" s="4" t="str">
        <f t="shared" si="146"/>
        <v>Un Bolívares con 40/100</v>
      </c>
    </row>
    <row r="896" spans="1:17" x14ac:dyDescent="0.25">
      <c r="A896" s="1">
        <f t="shared" si="147"/>
        <v>895</v>
      </c>
      <c r="C896" s="8" t="s">
        <v>17</v>
      </c>
      <c r="D896" s="2">
        <v>43173</v>
      </c>
      <c r="E896" s="3">
        <f>40000/100000</f>
        <v>0.4</v>
      </c>
      <c r="F896" t="s">
        <v>324</v>
      </c>
      <c r="G896" t="s">
        <v>325</v>
      </c>
      <c r="H896" t="s">
        <v>326</v>
      </c>
      <c r="I896" s="6" t="s">
        <v>653</v>
      </c>
      <c r="J896" s="61" t="s">
        <v>22</v>
      </c>
      <c r="L896" s="5" t="str">
        <f t="shared" si="136"/>
        <v>00895</v>
      </c>
      <c r="M896" s="47" t="str">
        <f t="shared" si="137"/>
        <v>14 de marzo de 2018</v>
      </c>
      <c r="N896" s="323">
        <f t="shared" si="139"/>
        <v>14</v>
      </c>
      <c r="O896" s="25">
        <f t="shared" si="138"/>
        <v>43160</v>
      </c>
      <c r="P896" s="5" t="str">
        <f t="shared" si="145"/>
        <v>0,40</v>
      </c>
      <c r="Q896" s="4" t="str">
        <f t="shared" si="146"/>
        <v>Cero Bolívares con 40/100</v>
      </c>
    </row>
    <row r="897" spans="1:17" x14ac:dyDescent="0.25">
      <c r="A897" s="1">
        <f t="shared" si="147"/>
        <v>896</v>
      </c>
      <c r="C897" s="8" t="s">
        <v>17</v>
      </c>
      <c r="D897" s="2">
        <v>43175</v>
      </c>
      <c r="E897" s="3">
        <f>140000/100000</f>
        <v>1.4</v>
      </c>
      <c r="F897" t="s">
        <v>36</v>
      </c>
      <c r="G897" t="s">
        <v>37</v>
      </c>
      <c r="H897" t="s">
        <v>38</v>
      </c>
      <c r="I897" s="6" t="s">
        <v>630</v>
      </c>
      <c r="J897" s="61" t="s">
        <v>22</v>
      </c>
      <c r="L897" s="5" t="str">
        <f t="shared" si="136"/>
        <v>00896</v>
      </c>
      <c r="M897" s="47" t="str">
        <f t="shared" si="137"/>
        <v>16 de marzo de 2018</v>
      </c>
      <c r="N897" s="323">
        <f t="shared" si="139"/>
        <v>16</v>
      </c>
      <c r="O897" s="25">
        <f t="shared" si="138"/>
        <v>43160</v>
      </c>
      <c r="P897" s="5" t="str">
        <f t="shared" si="145"/>
        <v>1,40</v>
      </c>
      <c r="Q897" s="4" t="str">
        <f t="shared" si="146"/>
        <v>Un Bolívares con 40/100</v>
      </c>
    </row>
    <row r="898" spans="1:17" x14ac:dyDescent="0.25">
      <c r="A898" s="1">
        <f t="shared" si="147"/>
        <v>897</v>
      </c>
      <c r="C898" s="8" t="s">
        <v>17</v>
      </c>
      <c r="D898" s="2">
        <v>43175</v>
      </c>
      <c r="E898" s="3">
        <f>155000/100000</f>
        <v>1.55</v>
      </c>
      <c r="F898" s="20" t="s">
        <v>57</v>
      </c>
      <c r="G898" s="18" t="s">
        <v>58</v>
      </c>
      <c r="H898" s="21" t="s">
        <v>59</v>
      </c>
      <c r="I898" s="6" t="s">
        <v>630</v>
      </c>
      <c r="J898" s="61" t="s">
        <v>22</v>
      </c>
      <c r="K898" s="22"/>
      <c r="L898" s="5" t="str">
        <f t="shared" ref="L898:L961" si="148">IF(ISBLANK(A898),"",TEXT(A898,"00000"))</f>
        <v>00897</v>
      </c>
      <c r="M898" s="47" t="str">
        <f t="shared" ref="M898:M961" si="149">IF(ISBLANK(D898),"",TEXT(D898,"dd")&amp;" de "&amp;TEXT(D898,"mmmm")&amp;" de "&amp;TEXT(YEAR(D898),"0"))</f>
        <v>16 de marzo de 2018</v>
      </c>
      <c r="N898" s="323">
        <f t="shared" si="139"/>
        <v>16</v>
      </c>
      <c r="O898" s="25">
        <f t="shared" ref="O898:O961" si="150">DATE(YEAR(D898),MONTH(D898),1)</f>
        <v>43160</v>
      </c>
      <c r="P898" s="5" t="str">
        <f t="shared" si="145"/>
        <v>1,55</v>
      </c>
      <c r="Q898" s="4" t="str">
        <f t="shared" si="146"/>
        <v>Un Bolívares con 55/100</v>
      </c>
    </row>
    <row r="899" spans="1:17" x14ac:dyDescent="0.25">
      <c r="A899" s="1">
        <f t="shared" si="147"/>
        <v>898</v>
      </c>
      <c r="C899" s="8" t="s">
        <v>17</v>
      </c>
      <c r="D899" s="2">
        <v>43178</v>
      </c>
      <c r="E899" s="3">
        <f>80000/100000</f>
        <v>0.8</v>
      </c>
      <c r="F899" t="s">
        <v>401</v>
      </c>
      <c r="G899" t="s">
        <v>402</v>
      </c>
      <c r="H899" t="s">
        <v>403</v>
      </c>
      <c r="I899" s="6" t="s">
        <v>632</v>
      </c>
      <c r="J899" s="61" t="s">
        <v>22</v>
      </c>
      <c r="L899" s="5" t="str">
        <f t="shared" si="148"/>
        <v>00898</v>
      </c>
      <c r="M899" s="47" t="str">
        <f t="shared" si="149"/>
        <v>19 de marzo de 2018</v>
      </c>
      <c r="N899" s="323">
        <f t="shared" ref="N899:N962" si="151">DAY(D899)</f>
        <v>19</v>
      </c>
      <c r="O899" s="25">
        <f t="shared" si="150"/>
        <v>43160</v>
      </c>
      <c r="P899" s="5" t="str">
        <f t="shared" si="145"/>
        <v>0,80</v>
      </c>
      <c r="Q899" s="4" t="str">
        <f t="shared" si="146"/>
        <v>Cero Bolívares con 80/100</v>
      </c>
    </row>
    <row r="900" spans="1:17" x14ac:dyDescent="0.25">
      <c r="A900" s="1">
        <f t="shared" si="147"/>
        <v>899</v>
      </c>
      <c r="C900" s="8" t="s">
        <v>17</v>
      </c>
      <c r="D900" s="2">
        <v>43179</v>
      </c>
      <c r="E900" s="3">
        <f>470000/100000</f>
        <v>4.7</v>
      </c>
      <c r="F900" t="s">
        <v>337</v>
      </c>
      <c r="G900" t="s">
        <v>338</v>
      </c>
      <c r="H900" t="s">
        <v>339</v>
      </c>
      <c r="I900" s="6" t="s">
        <v>654</v>
      </c>
      <c r="J900" s="61" t="s">
        <v>22</v>
      </c>
      <c r="L900" s="5" t="str">
        <f t="shared" si="148"/>
        <v>00899</v>
      </c>
      <c r="M900" s="47" t="str">
        <f t="shared" si="149"/>
        <v>20 de marzo de 2018</v>
      </c>
      <c r="N900" s="323">
        <f t="shared" si="151"/>
        <v>20</v>
      </c>
      <c r="O900" s="25">
        <f t="shared" si="150"/>
        <v>43160</v>
      </c>
      <c r="P900" s="5" t="str">
        <f t="shared" si="145"/>
        <v>4,70</v>
      </c>
      <c r="Q900" s="4" t="str">
        <f t="shared" si="146"/>
        <v>Cuatro Bolívares con 70/100</v>
      </c>
    </row>
    <row r="901" spans="1:17" x14ac:dyDescent="0.25">
      <c r="A901" s="1">
        <f t="shared" si="147"/>
        <v>900</v>
      </c>
      <c r="C901" s="8" t="s">
        <v>17</v>
      </c>
      <c r="D901" s="2">
        <v>43179</v>
      </c>
      <c r="E901" s="3">
        <f>140000/100000</f>
        <v>1.4</v>
      </c>
      <c r="F901" t="s">
        <v>243</v>
      </c>
      <c r="G901" t="s">
        <v>244</v>
      </c>
      <c r="H901" t="s">
        <v>245</v>
      </c>
      <c r="I901" s="6" t="s">
        <v>630</v>
      </c>
      <c r="J901" s="61" t="s">
        <v>22</v>
      </c>
      <c r="L901" s="5" t="str">
        <f t="shared" si="148"/>
        <v>00900</v>
      </c>
      <c r="M901" s="47" t="str">
        <f t="shared" si="149"/>
        <v>20 de marzo de 2018</v>
      </c>
      <c r="N901" s="323">
        <f t="shared" si="151"/>
        <v>20</v>
      </c>
      <c r="O901" s="25">
        <f t="shared" si="150"/>
        <v>43160</v>
      </c>
      <c r="P901" s="5" t="str">
        <f t="shared" si="145"/>
        <v>1,40</v>
      </c>
      <c r="Q901" s="4" t="str">
        <f t="shared" si="146"/>
        <v>Un Bolívares con 40/100</v>
      </c>
    </row>
    <row r="902" spans="1:17" x14ac:dyDescent="0.25">
      <c r="A902" s="1">
        <f t="shared" si="147"/>
        <v>901</v>
      </c>
      <c r="C902" s="8" t="s">
        <v>17</v>
      </c>
      <c r="D902" s="2">
        <v>43159</v>
      </c>
      <c r="E902" s="3">
        <f>80000/100000</f>
        <v>0.8</v>
      </c>
      <c r="F902" t="s">
        <v>62</v>
      </c>
      <c r="G902" t="s">
        <v>63</v>
      </c>
      <c r="H902" t="s">
        <v>64</v>
      </c>
      <c r="I902" s="6" t="s">
        <v>616</v>
      </c>
      <c r="J902" s="61" t="s">
        <v>22</v>
      </c>
      <c r="L902" s="5" t="str">
        <f t="shared" si="148"/>
        <v>00901</v>
      </c>
      <c r="M902" s="47" t="str">
        <f t="shared" si="149"/>
        <v>28 de febrero de 2018</v>
      </c>
      <c r="N902" s="323">
        <f t="shared" si="151"/>
        <v>28</v>
      </c>
      <c r="O902" s="25">
        <f t="shared" si="150"/>
        <v>43132</v>
      </c>
      <c r="P902" s="5" t="str">
        <f t="shared" si="145"/>
        <v>0,80</v>
      </c>
      <c r="Q902" s="4" t="str">
        <f t="shared" si="146"/>
        <v>Cero Bolívares con 80/100</v>
      </c>
    </row>
    <row r="903" spans="1:17" x14ac:dyDescent="0.25">
      <c r="A903" s="1">
        <f t="shared" si="147"/>
        <v>902</v>
      </c>
      <c r="C903" s="8" t="s">
        <v>17</v>
      </c>
      <c r="D903" s="2">
        <v>43180</v>
      </c>
      <c r="E903" s="3">
        <f>200000/100000</f>
        <v>2</v>
      </c>
      <c r="F903" s="23" t="s">
        <v>422</v>
      </c>
      <c r="G903" s="18" t="s">
        <v>58</v>
      </c>
      <c r="H903" t="s">
        <v>423</v>
      </c>
      <c r="I903" s="6" t="s">
        <v>630</v>
      </c>
      <c r="J903" s="61" t="s">
        <v>22</v>
      </c>
      <c r="L903" s="5" t="str">
        <f t="shared" si="148"/>
        <v>00902</v>
      </c>
      <c r="M903" s="47" t="str">
        <f t="shared" si="149"/>
        <v>21 de marzo de 2018</v>
      </c>
      <c r="N903" s="323">
        <f t="shared" si="151"/>
        <v>21</v>
      </c>
      <c r="O903" s="25">
        <f t="shared" si="150"/>
        <v>43160</v>
      </c>
      <c r="P903" s="5" t="str">
        <f t="shared" si="145"/>
        <v>2,00</v>
      </c>
      <c r="Q903" s="4" t="str">
        <f t="shared" si="146"/>
        <v>Dos Bolívares con 00/100</v>
      </c>
    </row>
    <row r="904" spans="1:17" x14ac:dyDescent="0.25">
      <c r="A904" s="1">
        <f t="shared" si="147"/>
        <v>903</v>
      </c>
      <c r="C904" s="8" t="s">
        <v>17</v>
      </c>
      <c r="D904" s="2">
        <v>43180</v>
      </c>
      <c r="E904" s="3">
        <f>300000/100000</f>
        <v>3</v>
      </c>
      <c r="F904" t="s">
        <v>114</v>
      </c>
      <c r="G904" t="s">
        <v>115</v>
      </c>
      <c r="H904" t="s">
        <v>116</v>
      </c>
      <c r="I904" s="6" t="s">
        <v>655</v>
      </c>
      <c r="J904" s="61" t="s">
        <v>22</v>
      </c>
      <c r="L904" s="5" t="str">
        <f t="shared" si="148"/>
        <v>00903</v>
      </c>
      <c r="M904" s="47" t="str">
        <f t="shared" si="149"/>
        <v>21 de marzo de 2018</v>
      </c>
      <c r="N904" s="323">
        <f t="shared" si="151"/>
        <v>21</v>
      </c>
      <c r="O904" s="25">
        <f t="shared" si="150"/>
        <v>43160</v>
      </c>
      <c r="P904" s="5" t="str">
        <f t="shared" si="145"/>
        <v>3,00</v>
      </c>
      <c r="Q904" s="4" t="str">
        <f t="shared" si="146"/>
        <v>Tres Bolívares con 00/100</v>
      </c>
    </row>
    <row r="905" spans="1:17" x14ac:dyDescent="0.25">
      <c r="A905" s="1">
        <f t="shared" si="147"/>
        <v>904</v>
      </c>
      <c r="C905" s="8" t="s">
        <v>17</v>
      </c>
      <c r="D905" s="2">
        <v>43180</v>
      </c>
      <c r="E905" s="3">
        <f>220000/100000</f>
        <v>2.2000000000000002</v>
      </c>
      <c r="F905" t="s">
        <v>94</v>
      </c>
      <c r="G905" t="s">
        <v>607</v>
      </c>
      <c r="H905" t="s">
        <v>96</v>
      </c>
      <c r="I905" s="6" t="s">
        <v>640</v>
      </c>
      <c r="J905" s="61" t="s">
        <v>22</v>
      </c>
      <c r="L905" s="5" t="str">
        <f t="shared" si="148"/>
        <v>00904</v>
      </c>
      <c r="M905" s="47" t="str">
        <f t="shared" si="149"/>
        <v>21 de marzo de 2018</v>
      </c>
      <c r="N905" s="323">
        <f t="shared" si="151"/>
        <v>21</v>
      </c>
      <c r="O905" s="25">
        <f t="shared" si="150"/>
        <v>43160</v>
      </c>
      <c r="P905" s="5" t="str">
        <f t="shared" si="145"/>
        <v>2,20</v>
      </c>
      <c r="Q905" s="4" t="str">
        <f t="shared" si="146"/>
        <v>Dos Bolívares con 20/100</v>
      </c>
    </row>
    <row r="906" spans="1:17" x14ac:dyDescent="0.25">
      <c r="A906" s="1">
        <f t="shared" si="147"/>
        <v>905</v>
      </c>
      <c r="C906" s="8" t="s">
        <v>17</v>
      </c>
      <c r="D906" s="2">
        <v>43180</v>
      </c>
      <c r="E906" s="3">
        <f>250000/100000</f>
        <v>2.5</v>
      </c>
      <c r="F906" t="s">
        <v>162</v>
      </c>
      <c r="G906" t="s">
        <v>163</v>
      </c>
      <c r="H906" t="s">
        <v>164</v>
      </c>
      <c r="I906" s="6" t="s">
        <v>656</v>
      </c>
      <c r="J906" s="61" t="s">
        <v>22</v>
      </c>
      <c r="L906" s="5" t="str">
        <f t="shared" si="148"/>
        <v>00905</v>
      </c>
      <c r="M906" s="47" t="str">
        <f t="shared" si="149"/>
        <v>21 de marzo de 2018</v>
      </c>
      <c r="N906" s="323">
        <f t="shared" si="151"/>
        <v>21</v>
      </c>
      <c r="O906" s="25">
        <f t="shared" si="150"/>
        <v>43160</v>
      </c>
      <c r="P906" s="5" t="str">
        <f t="shared" si="145"/>
        <v>2,50</v>
      </c>
      <c r="Q906" s="4" t="str">
        <f t="shared" si="146"/>
        <v>Dos Bolívares con 50/100</v>
      </c>
    </row>
    <row r="907" spans="1:17" x14ac:dyDescent="0.25">
      <c r="A907" s="1">
        <f t="shared" si="147"/>
        <v>906</v>
      </c>
      <c r="C907" s="8" t="s">
        <v>17</v>
      </c>
      <c r="D907" s="2">
        <v>43182</v>
      </c>
      <c r="E907" s="3">
        <f>180000/100000</f>
        <v>1.8</v>
      </c>
      <c r="F907" t="s">
        <v>319</v>
      </c>
      <c r="G907" s="18" t="s">
        <v>58</v>
      </c>
      <c r="H907" t="s">
        <v>320</v>
      </c>
      <c r="I907" s="6" t="s">
        <v>657</v>
      </c>
      <c r="J907" s="61" t="s">
        <v>22</v>
      </c>
      <c r="L907" s="5" t="str">
        <f t="shared" si="148"/>
        <v>00906</v>
      </c>
      <c r="M907" s="47" t="str">
        <f t="shared" si="149"/>
        <v>23 de marzo de 2018</v>
      </c>
      <c r="N907" s="323">
        <f t="shared" si="151"/>
        <v>23</v>
      </c>
      <c r="O907" s="25">
        <f t="shared" si="150"/>
        <v>43160</v>
      </c>
      <c r="P907" s="5" t="str">
        <f t="shared" ref="P907:P921" si="152">TEXT(E907,"#.##0,00")</f>
        <v>1,80</v>
      </c>
      <c r="Q907" s="4" t="str">
        <f t="shared" ref="Q907:Q921" si="153">CONVERTIRNUM(E907)</f>
        <v>Un Bolívares con 80/100</v>
      </c>
    </row>
    <row r="908" spans="1:17" x14ac:dyDescent="0.25">
      <c r="A908" s="1">
        <f t="shared" si="147"/>
        <v>907</v>
      </c>
      <c r="C908" s="8" t="s">
        <v>17</v>
      </c>
      <c r="D908" s="2">
        <v>43182</v>
      </c>
      <c r="E908" s="3">
        <f>140000/100000</f>
        <v>1.4</v>
      </c>
      <c r="F908" t="s">
        <v>122</v>
      </c>
      <c r="G908" t="s">
        <v>123</v>
      </c>
      <c r="H908" t="s">
        <v>124</v>
      </c>
      <c r="I908" s="6" t="s">
        <v>630</v>
      </c>
      <c r="J908" s="61" t="s">
        <v>22</v>
      </c>
      <c r="L908" s="5" t="str">
        <f t="shared" si="148"/>
        <v>00907</v>
      </c>
      <c r="M908" s="47" t="str">
        <f t="shared" si="149"/>
        <v>23 de marzo de 2018</v>
      </c>
      <c r="N908" s="323">
        <f t="shared" si="151"/>
        <v>23</v>
      </c>
      <c r="O908" s="25">
        <f t="shared" si="150"/>
        <v>43160</v>
      </c>
      <c r="P908" s="5" t="str">
        <f t="shared" si="152"/>
        <v>1,40</v>
      </c>
      <c r="Q908" s="4" t="str">
        <f t="shared" si="153"/>
        <v>Un Bolívares con 40/100</v>
      </c>
    </row>
    <row r="909" spans="1:17" x14ac:dyDescent="0.25">
      <c r="A909" s="1">
        <f t="shared" si="147"/>
        <v>908</v>
      </c>
      <c r="C909" s="8" t="s">
        <v>17</v>
      </c>
      <c r="D909" s="2">
        <v>43185</v>
      </c>
      <c r="E909" s="3">
        <f>120000/100000</f>
        <v>1.2</v>
      </c>
      <c r="F909" t="s">
        <v>407</v>
      </c>
      <c r="G909" t="s">
        <v>408</v>
      </c>
      <c r="H909" t="s">
        <v>409</v>
      </c>
      <c r="I909" s="6" t="s">
        <v>658</v>
      </c>
      <c r="J909" s="61" t="s">
        <v>22</v>
      </c>
      <c r="L909" s="5" t="str">
        <f t="shared" si="148"/>
        <v>00908</v>
      </c>
      <c r="M909" s="47" t="str">
        <f t="shared" si="149"/>
        <v>26 de marzo de 2018</v>
      </c>
      <c r="N909" s="323">
        <f t="shared" si="151"/>
        <v>26</v>
      </c>
      <c r="O909" s="25">
        <f t="shared" si="150"/>
        <v>43160</v>
      </c>
      <c r="P909" s="5" t="str">
        <f t="shared" si="152"/>
        <v>1,20</v>
      </c>
      <c r="Q909" s="4" t="str">
        <f t="shared" si="153"/>
        <v>Un Bolívares con 20/100</v>
      </c>
    </row>
    <row r="910" spans="1:17" x14ac:dyDescent="0.25">
      <c r="A910" s="1">
        <f t="shared" si="147"/>
        <v>909</v>
      </c>
      <c r="C910" s="8" t="s">
        <v>17</v>
      </c>
      <c r="D910" s="2">
        <v>43185</v>
      </c>
      <c r="E910" s="3">
        <f>140000/100000</f>
        <v>1.4</v>
      </c>
      <c r="F910" t="s">
        <v>134</v>
      </c>
      <c r="G910" t="s">
        <v>135</v>
      </c>
      <c r="H910" t="s">
        <v>136</v>
      </c>
      <c r="I910" s="6" t="s">
        <v>630</v>
      </c>
      <c r="J910" s="61" t="s">
        <v>22</v>
      </c>
      <c r="L910" s="5" t="str">
        <f t="shared" si="148"/>
        <v>00909</v>
      </c>
      <c r="M910" s="47" t="str">
        <f t="shared" si="149"/>
        <v>26 de marzo de 2018</v>
      </c>
      <c r="N910" s="323">
        <f t="shared" si="151"/>
        <v>26</v>
      </c>
      <c r="O910" s="25">
        <f t="shared" si="150"/>
        <v>43160</v>
      </c>
      <c r="P910" s="5" t="str">
        <f t="shared" si="152"/>
        <v>1,40</v>
      </c>
      <c r="Q910" s="4" t="str">
        <f t="shared" si="153"/>
        <v>Un Bolívares con 40/100</v>
      </c>
    </row>
    <row r="911" spans="1:17" x14ac:dyDescent="0.25">
      <c r="A911" s="1">
        <f t="shared" si="147"/>
        <v>910</v>
      </c>
      <c r="C911" s="8" t="s">
        <v>17</v>
      </c>
      <c r="D911" s="2">
        <v>43185</v>
      </c>
      <c r="E911" s="3">
        <f>300000/100000</f>
        <v>3</v>
      </c>
      <c r="F911" t="s">
        <v>252</v>
      </c>
      <c r="G911" t="s">
        <v>253</v>
      </c>
      <c r="H911" t="s">
        <v>254</v>
      </c>
      <c r="I911" s="6" t="s">
        <v>659</v>
      </c>
      <c r="J911" s="61" t="s">
        <v>22</v>
      </c>
      <c r="L911" s="5" t="str">
        <f t="shared" si="148"/>
        <v>00910</v>
      </c>
      <c r="M911" s="47" t="str">
        <f t="shared" si="149"/>
        <v>26 de marzo de 2018</v>
      </c>
      <c r="N911" s="323">
        <f t="shared" si="151"/>
        <v>26</v>
      </c>
      <c r="O911" s="25">
        <f t="shared" si="150"/>
        <v>43160</v>
      </c>
      <c r="P911" s="5" t="str">
        <f t="shared" si="152"/>
        <v>3,00</v>
      </c>
      <c r="Q911" s="4" t="str">
        <f t="shared" si="153"/>
        <v>Tres Bolívares con 00/100</v>
      </c>
    </row>
    <row r="912" spans="1:17" x14ac:dyDescent="0.25">
      <c r="A912" s="1">
        <f t="shared" si="147"/>
        <v>911</v>
      </c>
      <c r="C912" s="8" t="s">
        <v>17</v>
      </c>
      <c r="D912" s="2">
        <v>43185</v>
      </c>
      <c r="E912" s="3">
        <f>280000/100000</f>
        <v>2.8</v>
      </c>
      <c r="F912" t="s">
        <v>138</v>
      </c>
      <c r="G912" t="s">
        <v>139</v>
      </c>
      <c r="H912" t="s">
        <v>140</v>
      </c>
      <c r="I912" s="6" t="s">
        <v>660</v>
      </c>
      <c r="J912" s="61" t="s">
        <v>22</v>
      </c>
      <c r="L912" s="5" t="str">
        <f t="shared" si="148"/>
        <v>00911</v>
      </c>
      <c r="M912" s="47" t="str">
        <f t="shared" si="149"/>
        <v>26 de marzo de 2018</v>
      </c>
      <c r="N912" s="323">
        <f t="shared" si="151"/>
        <v>26</v>
      </c>
      <c r="O912" s="25">
        <f t="shared" si="150"/>
        <v>43160</v>
      </c>
      <c r="P912" s="5" t="str">
        <f t="shared" si="152"/>
        <v>2,80</v>
      </c>
      <c r="Q912" s="4" t="str">
        <f t="shared" si="153"/>
        <v>Dos Bolívares con 80/100</v>
      </c>
    </row>
    <row r="913" spans="1:17" x14ac:dyDescent="0.25">
      <c r="A913" s="1">
        <f t="shared" si="147"/>
        <v>912</v>
      </c>
      <c r="C913" s="8" t="s">
        <v>17</v>
      </c>
      <c r="D913" s="2">
        <v>43185</v>
      </c>
      <c r="E913" s="3">
        <f>300000/100000</f>
        <v>3</v>
      </c>
      <c r="F913" t="s">
        <v>144</v>
      </c>
      <c r="G913" t="s">
        <v>661</v>
      </c>
      <c r="H913" t="s">
        <v>146</v>
      </c>
      <c r="I913" s="6" t="s">
        <v>662</v>
      </c>
      <c r="J913" s="61" t="s">
        <v>22</v>
      </c>
      <c r="L913" s="5" t="str">
        <f t="shared" si="148"/>
        <v>00912</v>
      </c>
      <c r="M913" s="47" t="str">
        <f t="shared" si="149"/>
        <v>26 de marzo de 2018</v>
      </c>
      <c r="N913" s="323">
        <f t="shared" si="151"/>
        <v>26</v>
      </c>
      <c r="O913" s="25">
        <f t="shared" si="150"/>
        <v>43160</v>
      </c>
      <c r="P913" s="5" t="str">
        <f t="shared" si="152"/>
        <v>3,00</v>
      </c>
      <c r="Q913" s="4" t="str">
        <f t="shared" si="153"/>
        <v>Tres Bolívares con 00/100</v>
      </c>
    </row>
    <row r="914" spans="1:17" x14ac:dyDescent="0.25">
      <c r="A914" s="1">
        <f t="shared" si="147"/>
        <v>913</v>
      </c>
      <c r="C914" s="8" t="s">
        <v>17</v>
      </c>
      <c r="D914" s="2">
        <v>43185</v>
      </c>
      <c r="E914" s="3">
        <f>140000/100000</f>
        <v>1.4</v>
      </c>
      <c r="F914" t="s">
        <v>185</v>
      </c>
      <c r="G914" t="s">
        <v>186</v>
      </c>
      <c r="H914" t="s">
        <v>187</v>
      </c>
      <c r="I914" s="6" t="s">
        <v>630</v>
      </c>
      <c r="J914" s="61" t="s">
        <v>22</v>
      </c>
      <c r="L914" s="5" t="str">
        <f t="shared" si="148"/>
        <v>00913</v>
      </c>
      <c r="M914" s="47" t="str">
        <f t="shared" si="149"/>
        <v>26 de marzo de 2018</v>
      </c>
      <c r="N914" s="323">
        <f t="shared" si="151"/>
        <v>26</v>
      </c>
      <c r="O914" s="25">
        <f t="shared" si="150"/>
        <v>43160</v>
      </c>
      <c r="P914" s="5" t="str">
        <f t="shared" si="152"/>
        <v>1,40</v>
      </c>
      <c r="Q914" s="4" t="str">
        <f t="shared" si="153"/>
        <v>Un Bolívares con 40/100</v>
      </c>
    </row>
    <row r="915" spans="1:17" x14ac:dyDescent="0.25">
      <c r="A915" s="1">
        <f t="shared" si="147"/>
        <v>914</v>
      </c>
      <c r="C915" s="8" t="s">
        <v>17</v>
      </c>
      <c r="D915" s="2">
        <v>43187</v>
      </c>
      <c r="E915" s="3">
        <f>140000/100000</f>
        <v>1.4</v>
      </c>
      <c r="F915" t="s">
        <v>230</v>
      </c>
      <c r="G915" t="s">
        <v>231</v>
      </c>
      <c r="H915" t="s">
        <v>232</v>
      </c>
      <c r="I915" s="6" t="s">
        <v>630</v>
      </c>
      <c r="J915" s="61" t="s">
        <v>22</v>
      </c>
      <c r="L915" s="5" t="str">
        <f t="shared" si="148"/>
        <v>00914</v>
      </c>
      <c r="M915" s="47" t="str">
        <f t="shared" si="149"/>
        <v>28 de marzo de 2018</v>
      </c>
      <c r="N915" s="323">
        <f t="shared" si="151"/>
        <v>28</v>
      </c>
      <c r="O915" s="25">
        <f t="shared" si="150"/>
        <v>43160</v>
      </c>
      <c r="P915" s="5" t="str">
        <f t="shared" si="152"/>
        <v>1,40</v>
      </c>
      <c r="Q915" s="4" t="str">
        <f t="shared" si="153"/>
        <v>Un Bolívares con 40/100</v>
      </c>
    </row>
    <row r="916" spans="1:17" x14ac:dyDescent="0.25">
      <c r="A916" s="1">
        <f t="shared" si="147"/>
        <v>915</v>
      </c>
      <c r="C916" s="8" t="s">
        <v>17</v>
      </c>
      <c r="D916" s="2">
        <v>43187</v>
      </c>
      <c r="E916" s="3">
        <f>400000/100000</f>
        <v>4</v>
      </c>
      <c r="F916" t="s">
        <v>537</v>
      </c>
      <c r="G916" t="s">
        <v>538</v>
      </c>
      <c r="H916" t="s">
        <v>539</v>
      </c>
      <c r="I916" s="6" t="s">
        <v>663</v>
      </c>
      <c r="J916" s="61" t="s">
        <v>22</v>
      </c>
      <c r="L916" s="5" t="str">
        <f t="shared" si="148"/>
        <v>00915</v>
      </c>
      <c r="M916" s="47" t="str">
        <f t="shared" si="149"/>
        <v>28 de marzo de 2018</v>
      </c>
      <c r="N916" s="323">
        <f t="shared" si="151"/>
        <v>28</v>
      </c>
      <c r="O916" s="25">
        <f t="shared" si="150"/>
        <v>43160</v>
      </c>
      <c r="P916" s="5" t="str">
        <f t="shared" si="152"/>
        <v>4,00</v>
      </c>
      <c r="Q916" s="4" t="str">
        <f t="shared" si="153"/>
        <v>Cuatro Bolívares con 00/100</v>
      </c>
    </row>
    <row r="917" spans="1:17" x14ac:dyDescent="0.25">
      <c r="A917" s="1">
        <f t="shared" si="147"/>
        <v>916</v>
      </c>
      <c r="C917" s="8" t="s">
        <v>17</v>
      </c>
      <c r="D917" s="2">
        <v>43187</v>
      </c>
      <c r="E917" s="3">
        <f>180000/100000+97550/100000</f>
        <v>2.7755000000000001</v>
      </c>
      <c r="F917" t="s">
        <v>287</v>
      </c>
      <c r="G917" t="s">
        <v>288</v>
      </c>
      <c r="H917" t="s">
        <v>289</v>
      </c>
      <c r="I917" s="6" t="s">
        <v>664</v>
      </c>
      <c r="J917" s="61" t="s">
        <v>22</v>
      </c>
      <c r="L917" s="5" t="str">
        <f t="shared" si="148"/>
        <v>00916</v>
      </c>
      <c r="M917" s="47" t="str">
        <f t="shared" si="149"/>
        <v>28 de marzo de 2018</v>
      </c>
      <c r="N917" s="323">
        <f t="shared" si="151"/>
        <v>28</v>
      </c>
      <c r="O917" s="25">
        <f t="shared" si="150"/>
        <v>43160</v>
      </c>
      <c r="P917" s="5" t="str">
        <f t="shared" si="152"/>
        <v>2,78</v>
      </c>
      <c r="Q917" s="4" t="str">
        <f t="shared" si="153"/>
        <v>Dos Bolívares con 78/100</v>
      </c>
    </row>
    <row r="918" spans="1:17" x14ac:dyDescent="0.25">
      <c r="A918" s="1">
        <f t="shared" si="147"/>
        <v>917</v>
      </c>
      <c r="C918" s="8" t="s">
        <v>17</v>
      </c>
      <c r="D918" s="2">
        <v>43187</v>
      </c>
      <c r="E918" s="3">
        <f>140000/100000</f>
        <v>1.4</v>
      </c>
      <c r="F918" t="s">
        <v>296</v>
      </c>
      <c r="G918" t="s">
        <v>297</v>
      </c>
      <c r="H918" t="s">
        <v>298</v>
      </c>
      <c r="I918" s="6" t="s">
        <v>630</v>
      </c>
      <c r="J918" s="61" t="s">
        <v>22</v>
      </c>
      <c r="L918" s="5" t="str">
        <f t="shared" si="148"/>
        <v>00917</v>
      </c>
      <c r="M918" s="47" t="str">
        <f t="shared" si="149"/>
        <v>28 de marzo de 2018</v>
      </c>
      <c r="N918" s="323">
        <f t="shared" si="151"/>
        <v>28</v>
      </c>
      <c r="O918" s="25">
        <f t="shared" si="150"/>
        <v>43160</v>
      </c>
      <c r="P918" s="5" t="str">
        <f t="shared" si="152"/>
        <v>1,40</v>
      </c>
      <c r="Q918" s="4" t="str">
        <f t="shared" si="153"/>
        <v>Un Bolívares con 40/100</v>
      </c>
    </row>
    <row r="919" spans="1:17" x14ac:dyDescent="0.25">
      <c r="A919" s="1">
        <f t="shared" si="147"/>
        <v>918</v>
      </c>
      <c r="C919" s="8" t="s">
        <v>17</v>
      </c>
      <c r="D919" s="2">
        <v>43189</v>
      </c>
      <c r="E919" s="3">
        <f>140000/100000</f>
        <v>1.4</v>
      </c>
      <c r="F919" t="s">
        <v>219</v>
      </c>
      <c r="G919" t="s">
        <v>220</v>
      </c>
      <c r="H919" t="s">
        <v>221</v>
      </c>
      <c r="I919" s="6" t="s">
        <v>665</v>
      </c>
      <c r="J919" s="61" t="s">
        <v>22</v>
      </c>
      <c r="L919" s="5" t="str">
        <f t="shared" si="148"/>
        <v>00918</v>
      </c>
      <c r="M919" s="47" t="str">
        <f t="shared" si="149"/>
        <v>30 de marzo de 2018</v>
      </c>
      <c r="N919" s="323">
        <f t="shared" si="151"/>
        <v>30</v>
      </c>
      <c r="O919" s="25">
        <f t="shared" si="150"/>
        <v>43160</v>
      </c>
      <c r="P919" s="5" t="str">
        <f t="shared" si="152"/>
        <v>1,40</v>
      </c>
      <c r="Q919" s="4" t="str">
        <f t="shared" si="153"/>
        <v>Un Bolívares con 40/100</v>
      </c>
    </row>
    <row r="920" spans="1:17" x14ac:dyDescent="0.25">
      <c r="A920" s="1">
        <f t="shared" si="147"/>
        <v>919</v>
      </c>
      <c r="C920" s="8" t="s">
        <v>17</v>
      </c>
      <c r="D920" s="2">
        <v>43189</v>
      </c>
      <c r="E920" s="3">
        <f>50000/100000</f>
        <v>0.5</v>
      </c>
      <c r="F920" t="s">
        <v>28</v>
      </c>
      <c r="G920" t="s">
        <v>29</v>
      </c>
      <c r="H920" t="s">
        <v>30</v>
      </c>
      <c r="I920" s="6" t="s">
        <v>632</v>
      </c>
      <c r="J920" s="61" t="s">
        <v>22</v>
      </c>
      <c r="L920" s="5" t="str">
        <f t="shared" si="148"/>
        <v>00919</v>
      </c>
      <c r="M920" s="47" t="str">
        <f t="shared" si="149"/>
        <v>30 de marzo de 2018</v>
      </c>
      <c r="N920" s="323">
        <f t="shared" si="151"/>
        <v>30</v>
      </c>
      <c r="O920" s="25">
        <f t="shared" si="150"/>
        <v>43160</v>
      </c>
      <c r="P920" s="5" t="str">
        <f t="shared" si="152"/>
        <v>0,50</v>
      </c>
      <c r="Q920" s="4" t="str">
        <f t="shared" si="153"/>
        <v>Cero Bolívares con 50/100</v>
      </c>
    </row>
    <row r="921" spans="1:17" x14ac:dyDescent="0.25">
      <c r="A921" s="1">
        <f t="shared" si="147"/>
        <v>920</v>
      </c>
      <c r="C921" s="8" t="s">
        <v>17</v>
      </c>
      <c r="D921" s="2">
        <v>43189</v>
      </c>
      <c r="E921" s="3">
        <f>420000/100000</f>
        <v>4.2</v>
      </c>
      <c r="F921" t="s">
        <v>66</v>
      </c>
      <c r="G921" t="s">
        <v>67</v>
      </c>
      <c r="H921" t="s">
        <v>68</v>
      </c>
      <c r="I921" s="6" t="s">
        <v>629</v>
      </c>
      <c r="J921" s="61" t="s">
        <v>22</v>
      </c>
      <c r="L921" s="5" t="str">
        <f t="shared" si="148"/>
        <v>00920</v>
      </c>
      <c r="M921" s="47" t="str">
        <f t="shared" si="149"/>
        <v>30 de marzo de 2018</v>
      </c>
      <c r="N921" s="323">
        <f t="shared" si="151"/>
        <v>30</v>
      </c>
      <c r="O921" s="25">
        <f t="shared" si="150"/>
        <v>43160</v>
      </c>
      <c r="P921" s="5" t="str">
        <f t="shared" si="152"/>
        <v>4,20</v>
      </c>
      <c r="Q921" s="4" t="str">
        <f t="shared" si="153"/>
        <v>Cuatro Bolívares con 20/100</v>
      </c>
    </row>
    <row r="922" spans="1:17" x14ac:dyDescent="0.25">
      <c r="A922" s="1">
        <f t="shared" si="147"/>
        <v>921</v>
      </c>
      <c r="C922" s="8" t="s">
        <v>17</v>
      </c>
      <c r="D922" s="2">
        <v>43192</v>
      </c>
      <c r="E922" s="3">
        <f>50000/100000</f>
        <v>0.5</v>
      </c>
      <c r="F922" t="s">
        <v>28</v>
      </c>
      <c r="G922" t="s">
        <v>29</v>
      </c>
      <c r="H922" t="s">
        <v>30</v>
      </c>
      <c r="I922" s="6" t="s">
        <v>666</v>
      </c>
      <c r="J922" s="61" t="s">
        <v>22</v>
      </c>
      <c r="L922" s="5" t="str">
        <f t="shared" si="148"/>
        <v>00921</v>
      </c>
      <c r="M922" s="47" t="str">
        <f t="shared" si="149"/>
        <v>02 de abril de 2018</v>
      </c>
      <c r="N922" s="323">
        <f t="shared" si="151"/>
        <v>2</v>
      </c>
      <c r="O922" s="25">
        <f t="shared" si="150"/>
        <v>43191</v>
      </c>
      <c r="P922" s="5" t="str">
        <f t="shared" ref="P922:P931" si="154">TEXT(E922,"#.##0,00")</f>
        <v>0,50</v>
      </c>
      <c r="Q922" s="4" t="str">
        <f t="shared" ref="Q922:Q931" si="155">CONVERTIRNUM(E922)</f>
        <v>Cero Bolívares con 50/100</v>
      </c>
    </row>
    <row r="923" spans="1:17" x14ac:dyDescent="0.25">
      <c r="A923" s="1">
        <f t="shared" si="147"/>
        <v>922</v>
      </c>
      <c r="C923" s="8" t="s">
        <v>17</v>
      </c>
      <c r="D923" s="2">
        <v>43194</v>
      </c>
      <c r="E923" s="3">
        <f>60000/100000+140000/100000</f>
        <v>2</v>
      </c>
      <c r="F923" t="s">
        <v>100</v>
      </c>
      <c r="G923" t="s">
        <v>95</v>
      </c>
      <c r="H923" t="s">
        <v>101</v>
      </c>
      <c r="I923" s="6" t="s">
        <v>667</v>
      </c>
      <c r="J923" s="61" t="s">
        <v>22</v>
      </c>
      <c r="L923" s="5" t="str">
        <f t="shared" si="148"/>
        <v>00922</v>
      </c>
      <c r="M923" s="47" t="str">
        <f t="shared" si="149"/>
        <v>04 de abril de 2018</v>
      </c>
      <c r="N923" s="323">
        <f t="shared" si="151"/>
        <v>4</v>
      </c>
      <c r="O923" s="25">
        <f t="shared" si="150"/>
        <v>43191</v>
      </c>
      <c r="P923" s="5" t="str">
        <f t="shared" si="154"/>
        <v>2,00</v>
      </c>
      <c r="Q923" s="4" t="str">
        <f t="shared" si="155"/>
        <v>Dos Bolívares con 00/100</v>
      </c>
    </row>
    <row r="924" spans="1:17" x14ac:dyDescent="0.25">
      <c r="A924" s="1">
        <f t="shared" si="147"/>
        <v>923</v>
      </c>
      <c r="C924" s="8" t="s">
        <v>17</v>
      </c>
      <c r="D924" s="2">
        <v>43193</v>
      </c>
      <c r="E924" s="3">
        <f>280000/100000</f>
        <v>2.8</v>
      </c>
      <c r="F924" t="s">
        <v>443</v>
      </c>
      <c r="G924" t="s">
        <v>444</v>
      </c>
      <c r="H924" t="s">
        <v>75</v>
      </c>
      <c r="I924" s="6" t="s">
        <v>660</v>
      </c>
      <c r="J924" s="61" t="s">
        <v>22</v>
      </c>
      <c r="L924" s="5" t="str">
        <f t="shared" si="148"/>
        <v>00923</v>
      </c>
      <c r="M924" s="47" t="str">
        <f t="shared" si="149"/>
        <v>03 de abril de 2018</v>
      </c>
      <c r="N924" s="323">
        <f t="shared" si="151"/>
        <v>3</v>
      </c>
      <c r="O924" s="25">
        <f t="shared" si="150"/>
        <v>43191</v>
      </c>
      <c r="P924" s="5" t="str">
        <f t="shared" si="154"/>
        <v>2,80</v>
      </c>
      <c r="Q924" s="4" t="str">
        <f t="shared" si="155"/>
        <v>Dos Bolívares con 80/100</v>
      </c>
    </row>
    <row r="925" spans="1:17" x14ac:dyDescent="0.25">
      <c r="A925" s="1">
        <f t="shared" si="147"/>
        <v>924</v>
      </c>
      <c r="C925" s="8" t="s">
        <v>17</v>
      </c>
      <c r="D925" s="2">
        <v>43194</v>
      </c>
      <c r="E925" s="3">
        <f>140000/100000</f>
        <v>1.4</v>
      </c>
      <c r="F925" t="s">
        <v>24</v>
      </c>
      <c r="G925" t="s">
        <v>25</v>
      </c>
      <c r="H925" t="s">
        <v>26</v>
      </c>
      <c r="I925" s="6" t="s">
        <v>668</v>
      </c>
      <c r="J925" s="61" t="s">
        <v>22</v>
      </c>
      <c r="L925" s="5" t="str">
        <f t="shared" si="148"/>
        <v>00924</v>
      </c>
      <c r="M925" s="47" t="str">
        <f t="shared" si="149"/>
        <v>04 de abril de 2018</v>
      </c>
      <c r="N925" s="323">
        <f t="shared" si="151"/>
        <v>4</v>
      </c>
      <c r="O925" s="25">
        <f t="shared" si="150"/>
        <v>43191</v>
      </c>
      <c r="P925" s="5" t="str">
        <f t="shared" si="154"/>
        <v>1,40</v>
      </c>
      <c r="Q925" s="4" t="str">
        <f t="shared" si="155"/>
        <v>Un Bolívares con 40/100</v>
      </c>
    </row>
    <row r="926" spans="1:17" x14ac:dyDescent="0.25">
      <c r="A926" s="1">
        <f t="shared" si="147"/>
        <v>925</v>
      </c>
      <c r="C926" s="8" t="s">
        <v>17</v>
      </c>
      <c r="D926" s="2">
        <v>43194</v>
      </c>
      <c r="E926" s="3">
        <f>50000/100000</f>
        <v>0.5</v>
      </c>
      <c r="F926" t="s">
        <v>594</v>
      </c>
      <c r="G926" t="s">
        <v>595</v>
      </c>
      <c r="H926" t="s">
        <v>596</v>
      </c>
      <c r="I926" s="6" t="s">
        <v>669</v>
      </c>
      <c r="J926" s="61" t="s">
        <v>22</v>
      </c>
      <c r="L926" s="5" t="str">
        <f t="shared" si="148"/>
        <v>00925</v>
      </c>
      <c r="M926" s="47" t="str">
        <f t="shared" si="149"/>
        <v>04 de abril de 2018</v>
      </c>
      <c r="N926" s="323">
        <f t="shared" si="151"/>
        <v>4</v>
      </c>
      <c r="O926" s="25">
        <f t="shared" si="150"/>
        <v>43191</v>
      </c>
      <c r="P926" s="5" t="str">
        <f t="shared" si="154"/>
        <v>0,50</v>
      </c>
      <c r="Q926" s="4" t="str">
        <f t="shared" si="155"/>
        <v>Cero Bolívares con 50/100</v>
      </c>
    </row>
    <row r="927" spans="1:17" x14ac:dyDescent="0.25">
      <c r="A927" s="1">
        <f t="shared" si="147"/>
        <v>926</v>
      </c>
      <c r="C927" s="8" t="s">
        <v>17</v>
      </c>
      <c r="D927" s="2">
        <v>43194</v>
      </c>
      <c r="E927" s="3">
        <f>140000/100000</f>
        <v>1.4</v>
      </c>
      <c r="F927" t="s">
        <v>107</v>
      </c>
      <c r="G927" t="s">
        <v>108</v>
      </c>
      <c r="H927" t="s">
        <v>109</v>
      </c>
      <c r="I927" s="6" t="s">
        <v>668</v>
      </c>
      <c r="J927" s="61" t="s">
        <v>22</v>
      </c>
      <c r="L927" s="5" t="str">
        <f t="shared" si="148"/>
        <v>00926</v>
      </c>
      <c r="M927" s="47" t="str">
        <f t="shared" si="149"/>
        <v>04 de abril de 2018</v>
      </c>
      <c r="N927" s="323">
        <f t="shared" si="151"/>
        <v>4</v>
      </c>
      <c r="O927" s="25">
        <f t="shared" si="150"/>
        <v>43191</v>
      </c>
      <c r="P927" s="5" t="str">
        <f t="shared" si="154"/>
        <v>1,40</v>
      </c>
      <c r="Q927" s="4" t="str">
        <f t="shared" si="155"/>
        <v>Un Bolívares con 40/100</v>
      </c>
    </row>
    <row r="928" spans="1:17" x14ac:dyDescent="0.25">
      <c r="A928" s="1">
        <f t="shared" si="147"/>
        <v>927</v>
      </c>
      <c r="C928" s="8" t="s">
        <v>17</v>
      </c>
      <c r="D928" s="2">
        <v>43194</v>
      </c>
      <c r="E928" s="3">
        <f>60000/100000</f>
        <v>0.6</v>
      </c>
      <c r="F928" t="s">
        <v>107</v>
      </c>
      <c r="G928" t="s">
        <v>108</v>
      </c>
      <c r="H928" t="s">
        <v>109</v>
      </c>
      <c r="I928" s="6" t="s">
        <v>670</v>
      </c>
      <c r="J928" s="61" t="s">
        <v>22</v>
      </c>
      <c r="L928" s="5" t="str">
        <f t="shared" si="148"/>
        <v>00927</v>
      </c>
      <c r="M928" s="47" t="str">
        <f t="shared" si="149"/>
        <v>04 de abril de 2018</v>
      </c>
      <c r="N928" s="323">
        <f t="shared" si="151"/>
        <v>4</v>
      </c>
      <c r="O928" s="25">
        <f t="shared" si="150"/>
        <v>43191</v>
      </c>
      <c r="P928" s="5" t="str">
        <f t="shared" si="154"/>
        <v>0,60</v>
      </c>
      <c r="Q928" s="4" t="str">
        <f t="shared" si="155"/>
        <v>Cero Bolívares con 60/100</v>
      </c>
    </row>
    <row r="929" spans="1:17" x14ac:dyDescent="0.25">
      <c r="A929" s="1">
        <f t="shared" si="147"/>
        <v>928</v>
      </c>
      <c r="C929" s="8" t="s">
        <v>17</v>
      </c>
      <c r="D929" s="2">
        <v>43194</v>
      </c>
      <c r="E929" s="3">
        <f>250000/100000</f>
        <v>2.5</v>
      </c>
      <c r="F929" t="s">
        <v>44</v>
      </c>
      <c r="G929" t="s">
        <v>45</v>
      </c>
      <c r="H929" t="s">
        <v>46</v>
      </c>
      <c r="I929" s="6" t="s">
        <v>671</v>
      </c>
      <c r="J929" s="61" t="s">
        <v>22</v>
      </c>
      <c r="L929" s="5" t="str">
        <f t="shared" si="148"/>
        <v>00928</v>
      </c>
      <c r="M929" s="47" t="str">
        <f t="shared" si="149"/>
        <v>04 de abril de 2018</v>
      </c>
      <c r="N929" s="323">
        <f t="shared" si="151"/>
        <v>4</v>
      </c>
      <c r="O929" s="25">
        <f t="shared" si="150"/>
        <v>43191</v>
      </c>
      <c r="P929" s="5" t="str">
        <f t="shared" si="154"/>
        <v>2,50</v>
      </c>
      <c r="Q929" s="4" t="str">
        <f t="shared" si="155"/>
        <v>Dos Bolívares con 50/100</v>
      </c>
    </row>
    <row r="930" spans="1:17" x14ac:dyDescent="0.25">
      <c r="A930" s="1">
        <f t="shared" si="147"/>
        <v>929</v>
      </c>
      <c r="C930" s="8" t="s">
        <v>17</v>
      </c>
      <c r="D930" s="2">
        <v>43194</v>
      </c>
      <c r="E930" s="3">
        <f>140000/100000</f>
        <v>1.4</v>
      </c>
      <c r="F930" t="s">
        <v>558</v>
      </c>
      <c r="G930" t="s">
        <v>559</v>
      </c>
      <c r="H930" t="s">
        <v>560</v>
      </c>
      <c r="I930" s="6" t="s">
        <v>668</v>
      </c>
      <c r="J930" s="61" t="s">
        <v>22</v>
      </c>
      <c r="L930" s="5" t="str">
        <f t="shared" si="148"/>
        <v>00929</v>
      </c>
      <c r="M930" s="47" t="str">
        <f t="shared" si="149"/>
        <v>04 de abril de 2018</v>
      </c>
      <c r="N930" s="323">
        <f t="shared" si="151"/>
        <v>4</v>
      </c>
      <c r="O930" s="25">
        <f t="shared" si="150"/>
        <v>43191</v>
      </c>
      <c r="P930" s="5" t="str">
        <f t="shared" si="154"/>
        <v>1,40</v>
      </c>
      <c r="Q930" s="4" t="str">
        <f t="shared" si="155"/>
        <v>Un Bolívares con 40/100</v>
      </c>
    </row>
    <row r="931" spans="1:17" x14ac:dyDescent="0.25">
      <c r="A931" s="1">
        <f t="shared" si="147"/>
        <v>930</v>
      </c>
      <c r="C931" s="8" t="s">
        <v>17</v>
      </c>
      <c r="D931" s="2">
        <v>43194</v>
      </c>
      <c r="E931" s="3">
        <f>280000/100000</f>
        <v>2.8</v>
      </c>
      <c r="F931" t="s">
        <v>90</v>
      </c>
      <c r="G931" t="s">
        <v>91</v>
      </c>
      <c r="H931" t="s">
        <v>92</v>
      </c>
      <c r="I931" s="6" t="s">
        <v>660</v>
      </c>
      <c r="J931" s="61" t="s">
        <v>22</v>
      </c>
      <c r="L931" s="5" t="str">
        <f t="shared" si="148"/>
        <v>00930</v>
      </c>
      <c r="M931" s="47" t="str">
        <f t="shared" si="149"/>
        <v>04 de abril de 2018</v>
      </c>
      <c r="N931" s="323">
        <f t="shared" si="151"/>
        <v>4</v>
      </c>
      <c r="O931" s="25">
        <f t="shared" si="150"/>
        <v>43191</v>
      </c>
      <c r="P931" s="5" t="str">
        <f t="shared" si="154"/>
        <v>2,80</v>
      </c>
      <c r="Q931" s="4" t="str">
        <f t="shared" si="155"/>
        <v>Dos Bolívares con 80/100</v>
      </c>
    </row>
    <row r="932" spans="1:17" x14ac:dyDescent="0.25">
      <c r="A932" s="1">
        <f t="shared" si="147"/>
        <v>931</v>
      </c>
      <c r="C932" s="8" t="s">
        <v>17</v>
      </c>
      <c r="D932" s="2">
        <v>43194</v>
      </c>
      <c r="E932" s="3">
        <f>120000/100000</f>
        <v>1.2</v>
      </c>
      <c r="F932" t="s">
        <v>90</v>
      </c>
      <c r="G932" t="s">
        <v>91</v>
      </c>
      <c r="H932" t="s">
        <v>92</v>
      </c>
      <c r="I932" s="6" t="s">
        <v>672</v>
      </c>
      <c r="J932" s="61" t="s">
        <v>673</v>
      </c>
      <c r="L932" s="5" t="str">
        <f t="shared" si="148"/>
        <v>00931</v>
      </c>
      <c r="M932" s="47" t="str">
        <f t="shared" si="149"/>
        <v>04 de abril de 2018</v>
      </c>
      <c r="N932" s="323">
        <f t="shared" si="151"/>
        <v>4</v>
      </c>
      <c r="O932" s="25">
        <f t="shared" si="150"/>
        <v>43191</v>
      </c>
      <c r="P932" s="5" t="str">
        <f t="shared" ref="P932:P959" si="156">TEXT(E932,"#.##0,00")</f>
        <v>1,20</v>
      </c>
      <c r="Q932" s="4" t="str">
        <f t="shared" ref="Q932:Q959" si="157">CONVERTIRNUM(E932)</f>
        <v>Un Bolívares con 20/100</v>
      </c>
    </row>
    <row r="933" spans="1:17" x14ac:dyDescent="0.25">
      <c r="A933" s="1">
        <f t="shared" si="147"/>
        <v>932</v>
      </c>
      <c r="C933" s="8" t="s">
        <v>17</v>
      </c>
      <c r="D933" s="2">
        <v>43195</v>
      </c>
      <c r="E933" s="3">
        <f>140000/100000</f>
        <v>1.4</v>
      </c>
      <c r="F933" t="s">
        <v>18</v>
      </c>
      <c r="G933" t="s">
        <v>19</v>
      </c>
      <c r="H933" t="s">
        <v>20</v>
      </c>
      <c r="I933" s="6" t="s">
        <v>674</v>
      </c>
      <c r="J933" s="61" t="s">
        <v>22</v>
      </c>
      <c r="L933" s="5" t="str">
        <f t="shared" si="148"/>
        <v>00932</v>
      </c>
      <c r="M933" s="47" t="str">
        <f t="shared" si="149"/>
        <v>05 de abril de 2018</v>
      </c>
      <c r="N933" s="323">
        <f t="shared" si="151"/>
        <v>5</v>
      </c>
      <c r="O933" s="25">
        <f t="shared" si="150"/>
        <v>43191</v>
      </c>
      <c r="P933" s="5" t="str">
        <f t="shared" si="156"/>
        <v>1,40</v>
      </c>
      <c r="Q933" s="4" t="str">
        <f t="shared" si="157"/>
        <v>Un Bolívares con 40/100</v>
      </c>
    </row>
    <row r="934" spans="1:17" x14ac:dyDescent="0.25">
      <c r="A934" s="178">
        <f t="shared" si="147"/>
        <v>933</v>
      </c>
      <c r="C934" s="8" t="s">
        <v>17</v>
      </c>
      <c r="D934" s="2">
        <v>43195</v>
      </c>
      <c r="E934" s="3">
        <f>140000/100000</f>
        <v>1.4</v>
      </c>
      <c r="F934" t="s">
        <v>438</v>
      </c>
      <c r="G934" t="s">
        <v>439</v>
      </c>
      <c r="H934" t="s">
        <v>440</v>
      </c>
      <c r="I934" s="6" t="s">
        <v>675</v>
      </c>
      <c r="J934" s="61" t="s">
        <v>22</v>
      </c>
      <c r="L934" s="5" t="str">
        <f t="shared" si="148"/>
        <v>00933</v>
      </c>
      <c r="M934" s="47" t="str">
        <f t="shared" si="149"/>
        <v>05 de abril de 2018</v>
      </c>
      <c r="N934" s="323">
        <f t="shared" si="151"/>
        <v>5</v>
      </c>
      <c r="O934" s="25">
        <f t="shared" si="150"/>
        <v>43191</v>
      </c>
      <c r="P934" s="5" t="str">
        <f t="shared" si="156"/>
        <v>1,40</v>
      </c>
      <c r="Q934" s="4" t="str">
        <f t="shared" si="157"/>
        <v>Un Bolívares con 40/100</v>
      </c>
    </row>
    <row r="935" spans="1:17" x14ac:dyDescent="0.25">
      <c r="A935" s="1">
        <f t="shared" si="147"/>
        <v>934</v>
      </c>
      <c r="C935" s="8" t="s">
        <v>17</v>
      </c>
      <c r="D935" s="2">
        <v>43195</v>
      </c>
      <c r="E935" s="3">
        <f>140000/100000</f>
        <v>1.4</v>
      </c>
      <c r="F935" t="s">
        <v>219</v>
      </c>
      <c r="G935" t="s">
        <v>220</v>
      </c>
      <c r="H935" t="s">
        <v>221</v>
      </c>
      <c r="I935" s="6" t="s">
        <v>676</v>
      </c>
      <c r="J935" s="61" t="s">
        <v>22</v>
      </c>
      <c r="L935" s="5" t="str">
        <f t="shared" si="148"/>
        <v>00934</v>
      </c>
      <c r="M935" s="47" t="str">
        <f t="shared" si="149"/>
        <v>05 de abril de 2018</v>
      </c>
      <c r="N935" s="323">
        <f t="shared" si="151"/>
        <v>5</v>
      </c>
      <c r="O935" s="25">
        <f t="shared" si="150"/>
        <v>43191</v>
      </c>
      <c r="P935" s="5" t="str">
        <f t="shared" si="156"/>
        <v>1,40</v>
      </c>
      <c r="Q935" s="4" t="str">
        <f t="shared" si="157"/>
        <v>Un Bolívares con 40/100</v>
      </c>
    </row>
    <row r="936" spans="1:17" x14ac:dyDescent="0.25">
      <c r="A936" s="1">
        <f t="shared" si="147"/>
        <v>935</v>
      </c>
      <c r="C936" s="8" t="s">
        <v>17</v>
      </c>
      <c r="D936" s="2">
        <v>43195</v>
      </c>
      <c r="E936" s="3">
        <f>300000/100000</f>
        <v>3</v>
      </c>
      <c r="F936" t="s">
        <v>53</v>
      </c>
      <c r="G936" t="s">
        <v>677</v>
      </c>
      <c r="H936" t="s">
        <v>55</v>
      </c>
      <c r="I936" s="6" t="s">
        <v>678</v>
      </c>
      <c r="J936" s="61" t="s">
        <v>22</v>
      </c>
      <c r="L936" s="5" t="str">
        <f t="shared" si="148"/>
        <v>00935</v>
      </c>
      <c r="M936" s="47" t="str">
        <f t="shared" si="149"/>
        <v>05 de abril de 2018</v>
      </c>
      <c r="N936" s="323">
        <f t="shared" si="151"/>
        <v>5</v>
      </c>
      <c r="O936" s="25">
        <f t="shared" si="150"/>
        <v>43191</v>
      </c>
      <c r="P936" s="5" t="str">
        <f t="shared" si="156"/>
        <v>3,00</v>
      </c>
      <c r="Q936" s="4" t="str">
        <f t="shared" si="157"/>
        <v>Tres Bolívares con 00/100</v>
      </c>
    </row>
    <row r="937" spans="1:17" x14ac:dyDescent="0.25">
      <c r="A937" s="1">
        <f>A936+1</f>
        <v>936</v>
      </c>
      <c r="C937" s="8" t="s">
        <v>17</v>
      </c>
      <c r="D937" s="2">
        <v>43195</v>
      </c>
      <c r="E937" s="3">
        <f>140000/100000</f>
        <v>1.4</v>
      </c>
      <c r="F937" t="s">
        <v>70</v>
      </c>
      <c r="G937" t="s">
        <v>71</v>
      </c>
      <c r="H937" t="s">
        <v>72</v>
      </c>
      <c r="I937" s="6" t="s">
        <v>668</v>
      </c>
      <c r="J937" s="61" t="s">
        <v>22</v>
      </c>
      <c r="L937" s="5" t="str">
        <f t="shared" si="148"/>
        <v>00936</v>
      </c>
      <c r="M937" s="47" t="str">
        <f t="shared" si="149"/>
        <v>05 de abril de 2018</v>
      </c>
      <c r="N937" s="323">
        <f t="shared" si="151"/>
        <v>5</v>
      </c>
      <c r="O937" s="25">
        <f t="shared" si="150"/>
        <v>43191</v>
      </c>
      <c r="P937" s="5" t="str">
        <f t="shared" si="156"/>
        <v>1,40</v>
      </c>
      <c r="Q937" s="4" t="str">
        <f t="shared" si="157"/>
        <v>Un Bolívares con 40/100</v>
      </c>
    </row>
    <row r="938" spans="1:17" x14ac:dyDescent="0.25">
      <c r="A938" s="1">
        <f t="shared" ref="A938:A1001" si="158">A937+1</f>
        <v>937</v>
      </c>
      <c r="C938" s="8" t="s">
        <v>17</v>
      </c>
      <c r="D938" s="2">
        <v>43195</v>
      </c>
      <c r="E938" s="3">
        <f>140000/100000</f>
        <v>1.4</v>
      </c>
      <c r="F938" t="s">
        <v>239</v>
      </c>
      <c r="G938" s="73" t="s">
        <v>240</v>
      </c>
      <c r="H938" t="s">
        <v>241</v>
      </c>
      <c r="I938" s="6" t="s">
        <v>632</v>
      </c>
      <c r="J938" s="61" t="s">
        <v>22</v>
      </c>
      <c r="L938" s="5" t="str">
        <f t="shared" si="148"/>
        <v>00937</v>
      </c>
      <c r="M938" s="47" t="str">
        <f t="shared" si="149"/>
        <v>05 de abril de 2018</v>
      </c>
      <c r="N938" s="323">
        <f t="shared" si="151"/>
        <v>5</v>
      </c>
      <c r="O938" s="25">
        <f t="shared" si="150"/>
        <v>43191</v>
      </c>
      <c r="P938" s="5" t="str">
        <f t="shared" si="156"/>
        <v>1,40</v>
      </c>
      <c r="Q938" s="4" t="str">
        <f t="shared" si="157"/>
        <v>Un Bolívares con 40/100</v>
      </c>
    </row>
    <row r="939" spans="1:17" x14ac:dyDescent="0.25">
      <c r="A939" s="1">
        <f t="shared" si="158"/>
        <v>938</v>
      </c>
      <c r="C939" s="8" t="s">
        <v>17</v>
      </c>
      <c r="D939" s="2">
        <v>43195</v>
      </c>
      <c r="E939" s="3">
        <f>280000/100000</f>
        <v>2.8</v>
      </c>
      <c r="F939" t="s">
        <v>633</v>
      </c>
      <c r="G939" t="s">
        <v>634</v>
      </c>
      <c r="H939" t="s">
        <v>635</v>
      </c>
      <c r="I939" s="6" t="s">
        <v>660</v>
      </c>
      <c r="J939" s="61" t="s">
        <v>22</v>
      </c>
      <c r="L939" s="5" t="str">
        <f t="shared" si="148"/>
        <v>00938</v>
      </c>
      <c r="M939" s="47" t="str">
        <f t="shared" si="149"/>
        <v>05 de abril de 2018</v>
      </c>
      <c r="N939" s="323">
        <f t="shared" si="151"/>
        <v>5</v>
      </c>
      <c r="O939" s="25">
        <f t="shared" si="150"/>
        <v>43191</v>
      </c>
      <c r="P939" s="5" t="str">
        <f t="shared" si="156"/>
        <v>2,80</v>
      </c>
      <c r="Q939" s="4" t="str">
        <f t="shared" si="157"/>
        <v>Dos Bolívares con 80/100</v>
      </c>
    </row>
    <row r="940" spans="1:17" x14ac:dyDescent="0.25">
      <c r="A940" s="1">
        <f t="shared" si="158"/>
        <v>939</v>
      </c>
      <c r="C940" s="8" t="s">
        <v>17</v>
      </c>
      <c r="D940" s="2">
        <v>43195</v>
      </c>
      <c r="E940" s="3">
        <f>80000/100000</f>
        <v>0.8</v>
      </c>
      <c r="F940" t="s">
        <v>84</v>
      </c>
      <c r="G940" t="s">
        <v>85</v>
      </c>
      <c r="H940" t="s">
        <v>86</v>
      </c>
      <c r="I940" s="6" t="s">
        <v>669</v>
      </c>
      <c r="J940" s="61" t="s">
        <v>22</v>
      </c>
      <c r="L940" s="5" t="str">
        <f t="shared" si="148"/>
        <v>00939</v>
      </c>
      <c r="M940" s="47" t="str">
        <f t="shared" si="149"/>
        <v>05 de abril de 2018</v>
      </c>
      <c r="N940" s="323">
        <f t="shared" si="151"/>
        <v>5</v>
      </c>
      <c r="O940" s="25">
        <f t="shared" si="150"/>
        <v>43191</v>
      </c>
      <c r="P940" s="5" t="str">
        <f t="shared" si="156"/>
        <v>0,80</v>
      </c>
      <c r="Q940" s="4" t="str">
        <f t="shared" si="157"/>
        <v>Cero Bolívares con 80/100</v>
      </c>
    </row>
    <row r="941" spans="1:17" x14ac:dyDescent="0.25">
      <c r="A941" s="1">
        <f t="shared" si="158"/>
        <v>940</v>
      </c>
      <c r="C941" s="8" t="s">
        <v>17</v>
      </c>
      <c r="D941" s="2">
        <v>43195</v>
      </c>
      <c r="E941" s="3">
        <f>140000/100000</f>
        <v>1.4</v>
      </c>
      <c r="F941" t="s">
        <v>40</v>
      </c>
      <c r="G941" t="s">
        <v>41</v>
      </c>
      <c r="H941" t="s">
        <v>42</v>
      </c>
      <c r="I941" s="6" t="s">
        <v>668</v>
      </c>
      <c r="J941" s="61" t="s">
        <v>22</v>
      </c>
      <c r="L941" s="5" t="str">
        <f t="shared" si="148"/>
        <v>00940</v>
      </c>
      <c r="M941" s="47" t="str">
        <f t="shared" si="149"/>
        <v>05 de abril de 2018</v>
      </c>
      <c r="N941" s="323">
        <f t="shared" si="151"/>
        <v>5</v>
      </c>
      <c r="O941" s="25">
        <f t="shared" si="150"/>
        <v>43191</v>
      </c>
      <c r="P941" s="5" t="str">
        <f t="shared" si="156"/>
        <v>1,40</v>
      </c>
      <c r="Q941" s="4" t="str">
        <f t="shared" si="157"/>
        <v>Un Bolívares con 40/100</v>
      </c>
    </row>
    <row r="942" spans="1:17" x14ac:dyDescent="0.25">
      <c r="A942" s="1">
        <f t="shared" si="158"/>
        <v>941</v>
      </c>
      <c r="C942" s="8" t="s">
        <v>17</v>
      </c>
      <c r="D942" s="2">
        <v>43195</v>
      </c>
      <c r="E942" s="3">
        <f>60000/100000</f>
        <v>0.6</v>
      </c>
      <c r="F942" t="s">
        <v>40</v>
      </c>
      <c r="G942" t="s">
        <v>41</v>
      </c>
      <c r="H942" t="s">
        <v>42</v>
      </c>
      <c r="I942" s="6" t="s">
        <v>672</v>
      </c>
      <c r="J942" s="61" t="s">
        <v>673</v>
      </c>
      <c r="L942" s="5" t="str">
        <f t="shared" si="148"/>
        <v>00941</v>
      </c>
      <c r="M942" s="47" t="str">
        <f t="shared" si="149"/>
        <v>05 de abril de 2018</v>
      </c>
      <c r="N942" s="323">
        <f t="shared" si="151"/>
        <v>5</v>
      </c>
      <c r="O942" s="25">
        <f t="shared" si="150"/>
        <v>43191</v>
      </c>
      <c r="P942" s="5" t="str">
        <f t="shared" si="156"/>
        <v>0,60</v>
      </c>
      <c r="Q942" s="4" t="str">
        <f t="shared" si="157"/>
        <v>Cero Bolívares con 60/100</v>
      </c>
    </row>
    <row r="943" spans="1:17" x14ac:dyDescent="0.25">
      <c r="A943" s="1">
        <f t="shared" si="158"/>
        <v>942</v>
      </c>
      <c r="C943" s="8" t="s">
        <v>17</v>
      </c>
      <c r="D943" s="2">
        <v>43078</v>
      </c>
      <c r="E943" s="3">
        <f>50000/100000</f>
        <v>0.5</v>
      </c>
      <c r="F943" t="s">
        <v>134</v>
      </c>
      <c r="G943" t="s">
        <v>135</v>
      </c>
      <c r="H943" t="s">
        <v>136</v>
      </c>
      <c r="I943" s="6" t="s">
        <v>575</v>
      </c>
      <c r="J943" s="61" t="s">
        <v>22</v>
      </c>
      <c r="L943" s="5" t="str">
        <f t="shared" si="148"/>
        <v>00942</v>
      </c>
      <c r="M943" s="47" t="str">
        <f t="shared" si="149"/>
        <v>09 de diciembre de 2017</v>
      </c>
      <c r="N943" s="323">
        <f t="shared" si="151"/>
        <v>9</v>
      </c>
      <c r="O943" s="25">
        <f t="shared" si="150"/>
        <v>43070</v>
      </c>
      <c r="P943" s="5" t="str">
        <f t="shared" si="156"/>
        <v>0,50</v>
      </c>
      <c r="Q943" s="4" t="str">
        <f t="shared" si="157"/>
        <v>Cero Bolívares con 50/100</v>
      </c>
    </row>
    <row r="944" spans="1:17" x14ac:dyDescent="0.25">
      <c r="A944" s="1">
        <f t="shared" si="158"/>
        <v>943</v>
      </c>
      <c r="C944" s="8" t="s">
        <v>17</v>
      </c>
      <c r="D944" s="2">
        <v>43196</v>
      </c>
      <c r="E944" s="3">
        <f>140000/100000</f>
        <v>1.4</v>
      </c>
      <c r="F944" t="s">
        <v>62</v>
      </c>
      <c r="G944" t="s">
        <v>63</v>
      </c>
      <c r="H944" t="s">
        <v>64</v>
      </c>
      <c r="I944" s="6" t="s">
        <v>630</v>
      </c>
      <c r="J944" s="61" t="s">
        <v>22</v>
      </c>
      <c r="L944" s="5" t="str">
        <f t="shared" si="148"/>
        <v>00943</v>
      </c>
      <c r="M944" s="47" t="str">
        <f t="shared" si="149"/>
        <v>06 de abril de 2018</v>
      </c>
      <c r="N944" s="323">
        <f t="shared" si="151"/>
        <v>6</v>
      </c>
      <c r="O944" s="25">
        <f t="shared" si="150"/>
        <v>43191</v>
      </c>
      <c r="P944" s="5" t="str">
        <f t="shared" si="156"/>
        <v>1,40</v>
      </c>
      <c r="Q944" s="4" t="str">
        <f t="shared" si="157"/>
        <v>Un Bolívares con 40/100</v>
      </c>
    </row>
    <row r="945" spans="1:17" x14ac:dyDescent="0.25">
      <c r="A945" s="1">
        <f t="shared" si="158"/>
        <v>944</v>
      </c>
      <c r="C945" s="8" t="s">
        <v>17</v>
      </c>
      <c r="D945" s="2">
        <v>43196</v>
      </c>
      <c r="E945" s="3">
        <f>260000/100000</f>
        <v>2.6</v>
      </c>
      <c r="F945" t="s">
        <v>197</v>
      </c>
      <c r="G945" t="s">
        <v>198</v>
      </c>
      <c r="H945" t="s">
        <v>199</v>
      </c>
      <c r="I945" s="6" t="s">
        <v>660</v>
      </c>
      <c r="J945" s="61" t="s">
        <v>22</v>
      </c>
      <c r="L945" s="5" t="str">
        <f t="shared" si="148"/>
        <v>00944</v>
      </c>
      <c r="M945" s="47" t="str">
        <f t="shared" si="149"/>
        <v>06 de abril de 2018</v>
      </c>
      <c r="N945" s="323">
        <f t="shared" si="151"/>
        <v>6</v>
      </c>
      <c r="O945" s="25">
        <f t="shared" si="150"/>
        <v>43191</v>
      </c>
      <c r="P945" s="5" t="str">
        <f t="shared" si="156"/>
        <v>2,60</v>
      </c>
      <c r="Q945" s="4" t="str">
        <f t="shared" si="157"/>
        <v>Dos Bolívares con 60/100</v>
      </c>
    </row>
    <row r="946" spans="1:17" x14ac:dyDescent="0.25">
      <c r="A946" s="1">
        <f t="shared" si="158"/>
        <v>945</v>
      </c>
      <c r="C946" s="8" t="s">
        <v>17</v>
      </c>
      <c r="D946" s="2">
        <v>43197</v>
      </c>
      <c r="E946" s="3">
        <f>80000/100000</f>
        <v>0.8</v>
      </c>
      <c r="F946" t="s">
        <v>48</v>
      </c>
      <c r="G946" t="s">
        <v>49</v>
      </c>
      <c r="H946" t="s">
        <v>50</v>
      </c>
      <c r="I946" s="6" t="s">
        <v>679</v>
      </c>
      <c r="J946" s="61" t="s">
        <v>22</v>
      </c>
      <c r="L946" s="5" t="str">
        <f t="shared" si="148"/>
        <v>00945</v>
      </c>
      <c r="M946" s="47" t="str">
        <f t="shared" si="149"/>
        <v>07 de abril de 2018</v>
      </c>
      <c r="N946" s="323">
        <f t="shared" si="151"/>
        <v>7</v>
      </c>
      <c r="O946" s="25">
        <f t="shared" si="150"/>
        <v>43191</v>
      </c>
      <c r="P946" s="5" t="str">
        <f t="shared" si="156"/>
        <v>0,80</v>
      </c>
      <c r="Q946" s="4" t="str">
        <f t="shared" si="157"/>
        <v>Cero Bolívares con 80/100</v>
      </c>
    </row>
    <row r="947" spans="1:17" x14ac:dyDescent="0.25">
      <c r="A947" s="1">
        <f t="shared" si="158"/>
        <v>946</v>
      </c>
      <c r="C947" s="8" t="s">
        <v>17</v>
      </c>
      <c r="D947" s="2">
        <v>43198</v>
      </c>
      <c r="E947" s="3">
        <f>200000/100000</f>
        <v>2</v>
      </c>
      <c r="F947" t="s">
        <v>118</v>
      </c>
      <c r="G947" t="s">
        <v>119</v>
      </c>
      <c r="H947" t="s">
        <v>120</v>
      </c>
      <c r="I947" s="6" t="s">
        <v>680</v>
      </c>
      <c r="J947" s="61" t="s">
        <v>22</v>
      </c>
      <c r="L947" s="5" t="str">
        <f t="shared" si="148"/>
        <v>00946</v>
      </c>
      <c r="M947" s="47" t="str">
        <f t="shared" si="149"/>
        <v>08 de abril de 2018</v>
      </c>
      <c r="N947" s="323">
        <f t="shared" si="151"/>
        <v>8</v>
      </c>
      <c r="O947" s="25">
        <f t="shared" si="150"/>
        <v>43191</v>
      </c>
      <c r="P947" s="5" t="str">
        <f t="shared" si="156"/>
        <v>2,00</v>
      </c>
      <c r="Q947" s="4" t="str">
        <f t="shared" si="157"/>
        <v>Dos Bolívares con 00/100</v>
      </c>
    </row>
    <row r="948" spans="1:17" x14ac:dyDescent="0.25">
      <c r="A948" s="1">
        <f t="shared" si="158"/>
        <v>947</v>
      </c>
      <c r="C948" s="8" t="s">
        <v>17</v>
      </c>
      <c r="D948" s="2">
        <v>43198</v>
      </c>
      <c r="E948" s="3">
        <f>140000/100000</f>
        <v>1.4</v>
      </c>
      <c r="F948" t="s">
        <v>177</v>
      </c>
      <c r="G948" s="18" t="s">
        <v>58</v>
      </c>
      <c r="H948" t="s">
        <v>179</v>
      </c>
      <c r="I948" s="6" t="s">
        <v>668</v>
      </c>
      <c r="J948" s="61" t="s">
        <v>22</v>
      </c>
      <c r="L948" s="5" t="str">
        <f t="shared" si="148"/>
        <v>00947</v>
      </c>
      <c r="M948" s="47" t="str">
        <f t="shared" si="149"/>
        <v>08 de abril de 2018</v>
      </c>
      <c r="N948" s="323">
        <f t="shared" si="151"/>
        <v>8</v>
      </c>
      <c r="O948" s="25">
        <f t="shared" si="150"/>
        <v>43191</v>
      </c>
      <c r="P948" s="5" t="str">
        <f t="shared" si="156"/>
        <v>1,40</v>
      </c>
      <c r="Q948" s="4" t="str">
        <f t="shared" si="157"/>
        <v>Un Bolívares con 40/100</v>
      </c>
    </row>
    <row r="949" spans="1:17" x14ac:dyDescent="0.25">
      <c r="A949" s="1">
        <f t="shared" si="158"/>
        <v>948</v>
      </c>
      <c r="C949" s="8" t="s">
        <v>17</v>
      </c>
      <c r="D949" s="2">
        <v>43200</v>
      </c>
      <c r="E949" s="3">
        <f>280000/100000</f>
        <v>2.8</v>
      </c>
      <c r="F949" t="s">
        <v>362</v>
      </c>
      <c r="G949" t="s">
        <v>363</v>
      </c>
      <c r="H949" t="s">
        <v>364</v>
      </c>
      <c r="I949" s="6" t="s">
        <v>660</v>
      </c>
      <c r="J949" s="61" t="s">
        <v>22</v>
      </c>
      <c r="L949" s="5" t="str">
        <f t="shared" si="148"/>
        <v>00948</v>
      </c>
      <c r="M949" s="47" t="str">
        <f t="shared" si="149"/>
        <v>10 de abril de 2018</v>
      </c>
      <c r="N949" s="323">
        <f t="shared" si="151"/>
        <v>10</v>
      </c>
      <c r="O949" s="25">
        <f t="shared" si="150"/>
        <v>43191</v>
      </c>
      <c r="P949" s="5" t="str">
        <f t="shared" si="156"/>
        <v>2,80</v>
      </c>
      <c r="Q949" s="4" t="str">
        <f t="shared" si="157"/>
        <v>Dos Bolívares con 80/100</v>
      </c>
    </row>
    <row r="950" spans="1:17" x14ac:dyDescent="0.25">
      <c r="A950" s="1">
        <f t="shared" si="158"/>
        <v>949</v>
      </c>
      <c r="C950" s="8" t="s">
        <v>17</v>
      </c>
      <c r="D950" s="2">
        <v>43200</v>
      </c>
      <c r="E950" s="3">
        <f>200000/100000</f>
        <v>2</v>
      </c>
      <c r="F950" t="s">
        <v>483</v>
      </c>
      <c r="G950" t="s">
        <v>484</v>
      </c>
      <c r="H950" t="s">
        <v>485</v>
      </c>
      <c r="I950" s="6" t="s">
        <v>681</v>
      </c>
      <c r="J950" s="61" t="s">
        <v>22</v>
      </c>
      <c r="L950" s="5" t="str">
        <f t="shared" si="148"/>
        <v>00949</v>
      </c>
      <c r="M950" s="47" t="str">
        <f t="shared" si="149"/>
        <v>10 de abril de 2018</v>
      </c>
      <c r="N950" s="323">
        <f t="shared" si="151"/>
        <v>10</v>
      </c>
      <c r="O950" s="25">
        <f t="shared" si="150"/>
        <v>43191</v>
      </c>
      <c r="P950" s="5" t="str">
        <f t="shared" si="156"/>
        <v>2,00</v>
      </c>
      <c r="Q950" s="4" t="str">
        <f t="shared" si="157"/>
        <v>Dos Bolívares con 00/100</v>
      </c>
    </row>
    <row r="951" spans="1:17" x14ac:dyDescent="0.25">
      <c r="A951" s="1">
        <f t="shared" si="158"/>
        <v>950</v>
      </c>
      <c r="C951" s="8" t="s">
        <v>17</v>
      </c>
      <c r="D951" s="2">
        <v>43201</v>
      </c>
      <c r="E951" s="3">
        <f>200000/100000</f>
        <v>2</v>
      </c>
      <c r="F951" s="23" t="s">
        <v>422</v>
      </c>
      <c r="G951" s="18" t="s">
        <v>58</v>
      </c>
      <c r="H951" t="s">
        <v>423</v>
      </c>
      <c r="I951" s="6" t="s">
        <v>668</v>
      </c>
      <c r="J951" s="61" t="s">
        <v>22</v>
      </c>
      <c r="L951" s="5" t="str">
        <f t="shared" si="148"/>
        <v>00950</v>
      </c>
      <c r="M951" s="47" t="str">
        <f t="shared" si="149"/>
        <v>11 de abril de 2018</v>
      </c>
      <c r="N951" s="323">
        <f t="shared" si="151"/>
        <v>11</v>
      </c>
      <c r="O951" s="25">
        <f t="shared" si="150"/>
        <v>43191</v>
      </c>
      <c r="P951" s="5" t="str">
        <f t="shared" si="156"/>
        <v>2,00</v>
      </c>
      <c r="Q951" s="4" t="str">
        <f t="shared" si="157"/>
        <v>Dos Bolívares con 00/100</v>
      </c>
    </row>
    <row r="952" spans="1:17" x14ac:dyDescent="0.25">
      <c r="A952" s="1">
        <f t="shared" si="158"/>
        <v>951</v>
      </c>
      <c r="C952" s="8" t="s">
        <v>17</v>
      </c>
      <c r="D952" s="2">
        <v>43201</v>
      </c>
      <c r="E952" s="3">
        <f>140000/100000</f>
        <v>1.4</v>
      </c>
      <c r="F952" t="s">
        <v>152</v>
      </c>
      <c r="G952" t="s">
        <v>153</v>
      </c>
      <c r="H952" t="s">
        <v>154</v>
      </c>
      <c r="I952" s="6" t="s">
        <v>668</v>
      </c>
      <c r="J952" s="61" t="s">
        <v>22</v>
      </c>
      <c r="L952" s="5" t="str">
        <f t="shared" si="148"/>
        <v>00951</v>
      </c>
      <c r="M952" s="47" t="str">
        <f t="shared" si="149"/>
        <v>11 de abril de 2018</v>
      </c>
      <c r="N952" s="323">
        <f t="shared" si="151"/>
        <v>11</v>
      </c>
      <c r="O952" s="25">
        <f t="shared" si="150"/>
        <v>43191</v>
      </c>
      <c r="P952" s="5" t="str">
        <f t="shared" si="156"/>
        <v>1,40</v>
      </c>
      <c r="Q952" s="4" t="str">
        <f t="shared" si="157"/>
        <v>Un Bolívares con 40/100</v>
      </c>
    </row>
    <row r="953" spans="1:17" x14ac:dyDescent="0.25">
      <c r="A953" s="1">
        <f t="shared" si="158"/>
        <v>952</v>
      </c>
      <c r="C953" s="8" t="s">
        <v>17</v>
      </c>
      <c r="D953" s="2">
        <v>43201</v>
      </c>
      <c r="E953" s="3">
        <f>140000/100000</f>
        <v>1.4</v>
      </c>
      <c r="F953" t="s">
        <v>107</v>
      </c>
      <c r="G953" t="s">
        <v>108</v>
      </c>
      <c r="H953" t="s">
        <v>109</v>
      </c>
      <c r="I953" s="6" t="s">
        <v>670</v>
      </c>
      <c r="J953" s="61" t="s">
        <v>22</v>
      </c>
      <c r="L953" s="5" t="str">
        <f t="shared" si="148"/>
        <v>00952</v>
      </c>
      <c r="M953" s="47" t="str">
        <f t="shared" si="149"/>
        <v>11 de abril de 2018</v>
      </c>
      <c r="N953" s="323">
        <f t="shared" si="151"/>
        <v>11</v>
      </c>
      <c r="O953" s="25">
        <f t="shared" si="150"/>
        <v>43191</v>
      </c>
      <c r="P953" s="5" t="str">
        <f t="shared" si="156"/>
        <v>1,40</v>
      </c>
      <c r="Q953" s="4" t="str">
        <f t="shared" si="157"/>
        <v>Un Bolívares con 40/100</v>
      </c>
    </row>
    <row r="954" spans="1:17" x14ac:dyDescent="0.25">
      <c r="A954" s="1">
        <f t="shared" si="158"/>
        <v>953</v>
      </c>
      <c r="C954" s="8" t="s">
        <v>17</v>
      </c>
      <c r="D954" s="2">
        <v>43203</v>
      </c>
      <c r="E954" s="3">
        <f>140000/100000</f>
        <v>1.4</v>
      </c>
      <c r="F954" t="s">
        <v>201</v>
      </c>
      <c r="G954" t="s">
        <v>202</v>
      </c>
      <c r="H954" t="s">
        <v>203</v>
      </c>
      <c r="I954" s="6" t="s">
        <v>668</v>
      </c>
      <c r="J954" s="61" t="s">
        <v>22</v>
      </c>
      <c r="L954" s="5" t="str">
        <f t="shared" si="148"/>
        <v>00953</v>
      </c>
      <c r="M954" s="47" t="str">
        <f t="shared" si="149"/>
        <v>13 de abril de 2018</v>
      </c>
      <c r="N954" s="323">
        <f t="shared" si="151"/>
        <v>13</v>
      </c>
      <c r="O954" s="25">
        <f t="shared" si="150"/>
        <v>43191</v>
      </c>
      <c r="P954" s="5" t="str">
        <f t="shared" si="156"/>
        <v>1,40</v>
      </c>
      <c r="Q954" s="4" t="str">
        <f t="shared" si="157"/>
        <v>Un Bolívares con 40/100</v>
      </c>
    </row>
    <row r="955" spans="1:17" x14ac:dyDescent="0.25">
      <c r="A955" s="1">
        <f t="shared" si="158"/>
        <v>954</v>
      </c>
      <c r="C955" s="8" t="s">
        <v>17</v>
      </c>
      <c r="D955" s="2">
        <v>43203</v>
      </c>
      <c r="E955" s="3">
        <f>60000/100000</f>
        <v>0.6</v>
      </c>
      <c r="F955" t="s">
        <v>201</v>
      </c>
      <c r="G955" t="s">
        <v>202</v>
      </c>
      <c r="H955" t="s">
        <v>203</v>
      </c>
      <c r="I955" s="6" t="s">
        <v>672</v>
      </c>
      <c r="J955" s="61" t="s">
        <v>673</v>
      </c>
      <c r="L955" s="5" t="str">
        <f t="shared" si="148"/>
        <v>00954</v>
      </c>
      <c r="M955" s="47" t="str">
        <f t="shared" si="149"/>
        <v>13 de abril de 2018</v>
      </c>
      <c r="N955" s="323">
        <f t="shared" si="151"/>
        <v>13</v>
      </c>
      <c r="O955" s="25">
        <f t="shared" si="150"/>
        <v>43191</v>
      </c>
      <c r="P955" s="5" t="str">
        <f t="shared" si="156"/>
        <v>0,60</v>
      </c>
      <c r="Q955" s="4" t="str">
        <f t="shared" si="157"/>
        <v>Cero Bolívares con 60/100</v>
      </c>
    </row>
    <row r="956" spans="1:17" x14ac:dyDescent="0.25">
      <c r="A956" s="1">
        <f t="shared" si="158"/>
        <v>955</v>
      </c>
      <c r="C956" s="8" t="s">
        <v>17</v>
      </c>
      <c r="D956" s="2">
        <v>43203</v>
      </c>
      <c r="E956" s="3">
        <f>140000/100000</f>
        <v>1.4</v>
      </c>
      <c r="F956" t="s">
        <v>243</v>
      </c>
      <c r="G956" t="s">
        <v>244</v>
      </c>
      <c r="H956" t="s">
        <v>245</v>
      </c>
      <c r="I956" s="6" t="s">
        <v>668</v>
      </c>
      <c r="J956" s="61" t="s">
        <v>22</v>
      </c>
      <c r="L956" s="5" t="str">
        <f t="shared" si="148"/>
        <v>00955</v>
      </c>
      <c r="M956" s="47" t="str">
        <f t="shared" si="149"/>
        <v>13 de abril de 2018</v>
      </c>
      <c r="N956" s="323">
        <f t="shared" si="151"/>
        <v>13</v>
      </c>
      <c r="O956" s="25">
        <f t="shared" si="150"/>
        <v>43191</v>
      </c>
      <c r="P956" s="5" t="str">
        <f t="shared" si="156"/>
        <v>1,40</v>
      </c>
      <c r="Q956" s="4" t="str">
        <f t="shared" si="157"/>
        <v>Un Bolívares con 40/100</v>
      </c>
    </row>
    <row r="957" spans="1:17" x14ac:dyDescent="0.25">
      <c r="A957" s="1">
        <f t="shared" si="158"/>
        <v>956</v>
      </c>
      <c r="C957" s="8" t="s">
        <v>17</v>
      </c>
      <c r="D957" s="2">
        <v>43203</v>
      </c>
      <c r="E957" s="3">
        <f>60000/100000</f>
        <v>0.6</v>
      </c>
      <c r="F957" t="s">
        <v>243</v>
      </c>
      <c r="G957" t="s">
        <v>244</v>
      </c>
      <c r="H957" t="s">
        <v>245</v>
      </c>
      <c r="I957" s="6" t="s">
        <v>672</v>
      </c>
      <c r="J957" s="61" t="s">
        <v>673</v>
      </c>
      <c r="L957" s="5" t="str">
        <f t="shared" si="148"/>
        <v>00956</v>
      </c>
      <c r="M957" s="47" t="str">
        <f t="shared" si="149"/>
        <v>13 de abril de 2018</v>
      </c>
      <c r="N957" s="323">
        <f t="shared" si="151"/>
        <v>13</v>
      </c>
      <c r="O957" s="25">
        <f t="shared" si="150"/>
        <v>43191</v>
      </c>
      <c r="P957" s="5" t="str">
        <f t="shared" si="156"/>
        <v>0,60</v>
      </c>
      <c r="Q957" s="4" t="str">
        <f t="shared" si="157"/>
        <v>Cero Bolívares con 60/100</v>
      </c>
    </row>
    <row r="958" spans="1:17" x14ac:dyDescent="0.25">
      <c r="A958" s="1">
        <f t="shared" si="158"/>
        <v>957</v>
      </c>
      <c r="C958" s="8" t="s">
        <v>17</v>
      </c>
      <c r="D958" s="2">
        <v>43203</v>
      </c>
      <c r="E958" s="3">
        <f>140000/100000</f>
        <v>1.4</v>
      </c>
      <c r="F958" t="s">
        <v>211</v>
      </c>
      <c r="G958" t="s">
        <v>212</v>
      </c>
      <c r="H958" t="s">
        <v>213</v>
      </c>
      <c r="I958" s="6" t="s">
        <v>630</v>
      </c>
      <c r="J958" s="61" t="s">
        <v>22</v>
      </c>
      <c r="L958" s="5" t="str">
        <f t="shared" si="148"/>
        <v>00957</v>
      </c>
      <c r="M958" s="47" t="str">
        <f t="shared" si="149"/>
        <v>13 de abril de 2018</v>
      </c>
      <c r="N958" s="323">
        <f t="shared" si="151"/>
        <v>13</v>
      </c>
      <c r="O958" s="25">
        <f t="shared" si="150"/>
        <v>43191</v>
      </c>
      <c r="P958" s="5" t="str">
        <f t="shared" si="156"/>
        <v>1,40</v>
      </c>
      <c r="Q958" s="4" t="str">
        <f t="shared" si="157"/>
        <v>Un Bolívares con 40/100</v>
      </c>
    </row>
    <row r="959" spans="1:17" x14ac:dyDescent="0.25">
      <c r="A959" s="1">
        <f t="shared" si="158"/>
        <v>958</v>
      </c>
      <c r="C959" s="8" t="s">
        <v>17</v>
      </c>
      <c r="D959" s="2">
        <v>43203</v>
      </c>
      <c r="E959" s="3">
        <f>140000/100000</f>
        <v>1.4</v>
      </c>
      <c r="F959" t="s">
        <v>181</v>
      </c>
      <c r="G959" t="s">
        <v>182</v>
      </c>
      <c r="H959" t="s">
        <v>183</v>
      </c>
      <c r="I959" s="6" t="s">
        <v>668</v>
      </c>
      <c r="J959" s="61" t="s">
        <v>22</v>
      </c>
      <c r="L959" s="5" t="str">
        <f t="shared" si="148"/>
        <v>00958</v>
      </c>
      <c r="M959" s="47" t="str">
        <f t="shared" si="149"/>
        <v>13 de abril de 2018</v>
      </c>
      <c r="N959" s="323">
        <f t="shared" si="151"/>
        <v>13</v>
      </c>
      <c r="O959" s="25">
        <f t="shared" si="150"/>
        <v>43191</v>
      </c>
      <c r="P959" s="5" t="str">
        <f t="shared" si="156"/>
        <v>1,40</v>
      </c>
      <c r="Q959" s="4" t="str">
        <f t="shared" si="157"/>
        <v>Un Bolívares con 40/100</v>
      </c>
    </row>
    <row r="960" spans="1:17" x14ac:dyDescent="0.25">
      <c r="A960" s="1">
        <f t="shared" si="158"/>
        <v>959</v>
      </c>
      <c r="C960" s="8" t="s">
        <v>17</v>
      </c>
      <c r="D960" s="2">
        <v>43206</v>
      </c>
      <c r="E960" s="3">
        <f>140000/100000</f>
        <v>1.4</v>
      </c>
      <c r="F960" t="s">
        <v>134</v>
      </c>
      <c r="G960" t="s">
        <v>135</v>
      </c>
      <c r="H960" t="s">
        <v>136</v>
      </c>
      <c r="I960" s="6" t="s">
        <v>668</v>
      </c>
      <c r="J960" s="61" t="s">
        <v>22</v>
      </c>
      <c r="L960" s="5" t="str">
        <f t="shared" si="148"/>
        <v>00959</v>
      </c>
      <c r="M960" s="47" t="str">
        <f t="shared" si="149"/>
        <v>16 de abril de 2018</v>
      </c>
      <c r="N960" s="323">
        <f t="shared" si="151"/>
        <v>16</v>
      </c>
      <c r="O960" s="25">
        <f t="shared" si="150"/>
        <v>43191</v>
      </c>
      <c r="P960" s="5" t="str">
        <f t="shared" ref="P960:P984" si="159">TEXT(E960,"#.##0,00")</f>
        <v>1,40</v>
      </c>
      <c r="Q960" s="4" t="str">
        <f t="shared" ref="Q960:Q984" si="160">CONVERTIRNUM(E960)</f>
        <v>Un Bolívares con 40/100</v>
      </c>
    </row>
    <row r="961" spans="1:17" x14ac:dyDescent="0.25">
      <c r="A961" s="1">
        <f t="shared" si="158"/>
        <v>960</v>
      </c>
      <c r="C961" s="8" t="s">
        <v>17</v>
      </c>
      <c r="D961" s="2">
        <v>43207</v>
      </c>
      <c r="E961" s="3">
        <f>80000/100000</f>
        <v>0.8</v>
      </c>
      <c r="F961" t="s">
        <v>401</v>
      </c>
      <c r="G961" t="s">
        <v>402</v>
      </c>
      <c r="H961" t="s">
        <v>403</v>
      </c>
      <c r="I961" s="6" t="s">
        <v>669</v>
      </c>
      <c r="J961" s="61" t="s">
        <v>22</v>
      </c>
      <c r="L961" s="5" t="str">
        <f t="shared" si="148"/>
        <v>00960</v>
      </c>
      <c r="M961" s="47" t="str">
        <f t="shared" si="149"/>
        <v>17 de abril de 2018</v>
      </c>
      <c r="N961" s="323">
        <f t="shared" si="151"/>
        <v>17</v>
      </c>
      <c r="O961" s="25">
        <f t="shared" si="150"/>
        <v>43191</v>
      </c>
      <c r="P961" s="5" t="str">
        <f t="shared" si="159"/>
        <v>0,80</v>
      </c>
      <c r="Q961" s="4" t="str">
        <f t="shared" si="160"/>
        <v>Cero Bolívares con 80/100</v>
      </c>
    </row>
    <row r="962" spans="1:17" x14ac:dyDescent="0.25">
      <c r="A962" s="1">
        <f t="shared" si="158"/>
        <v>961</v>
      </c>
      <c r="C962" s="8" t="s">
        <v>17</v>
      </c>
      <c r="D962" s="2">
        <v>43207</v>
      </c>
      <c r="E962" s="3">
        <f>140000/100000</f>
        <v>1.4</v>
      </c>
      <c r="F962" t="s">
        <v>103</v>
      </c>
      <c r="G962" t="s">
        <v>104</v>
      </c>
      <c r="H962" t="s">
        <v>105</v>
      </c>
      <c r="I962" s="6" t="s">
        <v>668</v>
      </c>
      <c r="J962" s="61" t="s">
        <v>22</v>
      </c>
      <c r="L962" s="5" t="str">
        <f t="shared" ref="L962:L1025" si="161">IF(ISBLANK(A962),"",TEXT(A962,"00000"))</f>
        <v>00961</v>
      </c>
      <c r="M962" s="47" t="str">
        <f t="shared" ref="M962:M1025" si="162">IF(ISBLANK(D962),"",TEXT(D962,"dd")&amp;" de "&amp;TEXT(D962,"mmmm")&amp;" de "&amp;TEXT(YEAR(D962),"0"))</f>
        <v>17 de abril de 2018</v>
      </c>
      <c r="N962" s="323">
        <f t="shared" si="151"/>
        <v>17</v>
      </c>
      <c r="O962" s="25">
        <f t="shared" ref="O962:O1025" si="163">DATE(YEAR(D962),MONTH(D962),1)</f>
        <v>43191</v>
      </c>
      <c r="P962" s="5" t="str">
        <f t="shared" si="159"/>
        <v>1,40</v>
      </c>
      <c r="Q962" s="4" t="str">
        <f t="shared" si="160"/>
        <v>Un Bolívares con 40/100</v>
      </c>
    </row>
    <row r="963" spans="1:17" x14ac:dyDescent="0.25">
      <c r="A963" s="1">
        <f t="shared" si="158"/>
        <v>962</v>
      </c>
      <c r="C963" s="8" t="s">
        <v>17</v>
      </c>
      <c r="D963" s="2">
        <v>43209</v>
      </c>
      <c r="E963" s="3">
        <f>140000/100000</f>
        <v>1.4</v>
      </c>
      <c r="F963" t="s">
        <v>122</v>
      </c>
      <c r="G963" t="s">
        <v>123</v>
      </c>
      <c r="H963" t="s">
        <v>124</v>
      </c>
      <c r="I963" s="6" t="s">
        <v>668</v>
      </c>
      <c r="J963" s="61" t="s">
        <v>22</v>
      </c>
      <c r="L963" s="5" t="str">
        <f t="shared" si="161"/>
        <v>00962</v>
      </c>
      <c r="M963" s="47" t="str">
        <f t="shared" si="162"/>
        <v>19 de abril de 2018</v>
      </c>
      <c r="N963" s="323">
        <f t="shared" ref="N963:N1026" si="164">DAY(D963)</f>
        <v>19</v>
      </c>
      <c r="O963" s="25">
        <f t="shared" si="163"/>
        <v>43191</v>
      </c>
      <c r="P963" s="5" t="str">
        <f t="shared" si="159"/>
        <v>1,40</v>
      </c>
      <c r="Q963" s="4" t="str">
        <f t="shared" si="160"/>
        <v>Un Bolívares con 40/100</v>
      </c>
    </row>
    <row r="964" spans="1:17" x14ac:dyDescent="0.25">
      <c r="A964" s="1">
        <f t="shared" si="158"/>
        <v>963</v>
      </c>
      <c r="C964" s="8" t="s">
        <v>17</v>
      </c>
      <c r="D964" s="2">
        <v>43206</v>
      </c>
      <c r="E964" s="3">
        <f>140000/100000</f>
        <v>1.4</v>
      </c>
      <c r="F964" t="s">
        <v>36</v>
      </c>
      <c r="G964" t="s">
        <v>37</v>
      </c>
      <c r="H964" t="s">
        <v>38</v>
      </c>
      <c r="I964" s="6" t="s">
        <v>668</v>
      </c>
      <c r="J964" s="61" t="s">
        <v>22</v>
      </c>
      <c r="L964" s="5" t="str">
        <f t="shared" si="161"/>
        <v>00963</v>
      </c>
      <c r="M964" s="47" t="str">
        <f t="shared" si="162"/>
        <v>16 de abril de 2018</v>
      </c>
      <c r="N964" s="323">
        <f t="shared" si="164"/>
        <v>16</v>
      </c>
      <c r="O964" s="25">
        <f t="shared" si="163"/>
        <v>43191</v>
      </c>
      <c r="P964" s="5" t="str">
        <f t="shared" si="159"/>
        <v>1,40</v>
      </c>
      <c r="Q964" s="4" t="str">
        <f t="shared" si="160"/>
        <v>Un Bolívares con 40/100</v>
      </c>
    </row>
    <row r="965" spans="1:17" x14ac:dyDescent="0.25">
      <c r="A965" s="1">
        <f t="shared" si="158"/>
        <v>964</v>
      </c>
      <c r="C965" s="8" t="s">
        <v>17</v>
      </c>
      <c r="D965" s="2">
        <v>43210</v>
      </c>
      <c r="E965" s="3">
        <f>280000/100000</f>
        <v>2.8</v>
      </c>
      <c r="F965" t="s">
        <v>397</v>
      </c>
      <c r="G965" t="s">
        <v>682</v>
      </c>
      <c r="H965" t="s">
        <v>398</v>
      </c>
      <c r="I965" s="6" t="s">
        <v>660</v>
      </c>
      <c r="J965" s="61" t="s">
        <v>22</v>
      </c>
      <c r="L965" s="5" t="str">
        <f t="shared" si="161"/>
        <v>00964</v>
      </c>
      <c r="M965" s="47" t="str">
        <f t="shared" si="162"/>
        <v>20 de abril de 2018</v>
      </c>
      <c r="N965" s="323">
        <f t="shared" si="164"/>
        <v>20</v>
      </c>
      <c r="O965" s="25">
        <f t="shared" si="163"/>
        <v>43191</v>
      </c>
      <c r="P965" s="5" t="str">
        <f t="shared" si="159"/>
        <v>2,80</v>
      </c>
      <c r="Q965" s="4" t="str">
        <f t="shared" si="160"/>
        <v>Dos Bolívares con 80/100</v>
      </c>
    </row>
    <row r="966" spans="1:17" x14ac:dyDescent="0.25">
      <c r="A966" s="1">
        <f t="shared" si="158"/>
        <v>965</v>
      </c>
      <c r="C966" s="8" t="s">
        <v>17</v>
      </c>
      <c r="D966" s="2">
        <v>43210</v>
      </c>
      <c r="E966" s="3">
        <f>500000/100000</f>
        <v>5</v>
      </c>
      <c r="F966" t="s">
        <v>324</v>
      </c>
      <c r="G966" t="s">
        <v>325</v>
      </c>
      <c r="H966" t="s">
        <v>326</v>
      </c>
      <c r="I966" s="6" t="s">
        <v>672</v>
      </c>
      <c r="J966" s="61" t="s">
        <v>673</v>
      </c>
      <c r="L966" s="5" t="str">
        <f t="shared" si="161"/>
        <v>00965</v>
      </c>
      <c r="M966" s="47" t="str">
        <f t="shared" si="162"/>
        <v>20 de abril de 2018</v>
      </c>
      <c r="N966" s="323">
        <f t="shared" si="164"/>
        <v>20</v>
      </c>
      <c r="O966" s="25">
        <f t="shared" si="163"/>
        <v>43191</v>
      </c>
      <c r="P966" s="5" t="str">
        <f t="shared" si="159"/>
        <v>5,00</v>
      </c>
      <c r="Q966" s="4" t="str">
        <f t="shared" si="160"/>
        <v>Cinco Bolívares con 00/100</v>
      </c>
    </row>
    <row r="967" spans="1:17" x14ac:dyDescent="0.25">
      <c r="A967" s="1">
        <f t="shared" si="158"/>
        <v>966</v>
      </c>
      <c r="C967" s="8" t="s">
        <v>17</v>
      </c>
      <c r="D967" s="2">
        <v>43211</v>
      </c>
      <c r="E967" s="3">
        <f>200000/100000</f>
        <v>2</v>
      </c>
      <c r="F967" t="s">
        <v>412</v>
      </c>
      <c r="G967" t="s">
        <v>413</v>
      </c>
      <c r="H967" t="s">
        <v>414</v>
      </c>
      <c r="I967" s="6" t="s">
        <v>680</v>
      </c>
      <c r="J967" s="61" t="s">
        <v>22</v>
      </c>
      <c r="L967" s="5" t="str">
        <f t="shared" si="161"/>
        <v>00966</v>
      </c>
      <c r="M967" s="47" t="str">
        <f t="shared" si="162"/>
        <v>21 de abril de 2018</v>
      </c>
      <c r="N967" s="323">
        <f t="shared" si="164"/>
        <v>21</v>
      </c>
      <c r="O967" s="25">
        <f t="shared" si="163"/>
        <v>43191</v>
      </c>
      <c r="P967" s="5" t="str">
        <f t="shared" si="159"/>
        <v>2,00</v>
      </c>
      <c r="Q967" s="4" t="str">
        <f t="shared" si="160"/>
        <v>Dos Bolívares con 00/100</v>
      </c>
    </row>
    <row r="968" spans="1:17" x14ac:dyDescent="0.25">
      <c r="A968" s="1">
        <f t="shared" si="158"/>
        <v>967</v>
      </c>
      <c r="C968" s="8" t="s">
        <v>17</v>
      </c>
      <c r="D968" s="2">
        <v>43211</v>
      </c>
      <c r="E968" s="3">
        <f>100000/100000</f>
        <v>1</v>
      </c>
      <c r="F968" t="s">
        <v>319</v>
      </c>
      <c r="G968" s="18" t="s">
        <v>58</v>
      </c>
      <c r="H968" t="s">
        <v>320</v>
      </c>
      <c r="I968" s="6" t="s">
        <v>683</v>
      </c>
      <c r="J968" s="61" t="s">
        <v>22</v>
      </c>
      <c r="L968" s="5" t="str">
        <f t="shared" si="161"/>
        <v>00967</v>
      </c>
      <c r="M968" s="47" t="str">
        <f t="shared" si="162"/>
        <v>21 de abril de 2018</v>
      </c>
      <c r="N968" s="323">
        <f t="shared" si="164"/>
        <v>21</v>
      </c>
      <c r="O968" s="25">
        <f t="shared" si="163"/>
        <v>43191</v>
      </c>
      <c r="P968" s="5" t="str">
        <f t="shared" si="159"/>
        <v>1,00</v>
      </c>
      <c r="Q968" s="4" t="str">
        <f t="shared" si="160"/>
        <v>Un Bolívar con 00/100</v>
      </c>
    </row>
    <row r="969" spans="1:17" x14ac:dyDescent="0.25">
      <c r="A969" s="1">
        <f t="shared" si="158"/>
        <v>968</v>
      </c>
      <c r="C969" s="8" t="s">
        <v>17</v>
      </c>
      <c r="D969" s="2">
        <v>43212</v>
      </c>
      <c r="E969" s="3">
        <f>140000/100000</f>
        <v>1.4</v>
      </c>
      <c r="F969" t="s">
        <v>126</v>
      </c>
      <c r="G969" t="s">
        <v>127</v>
      </c>
      <c r="H969" t="s">
        <v>128</v>
      </c>
      <c r="I969" s="6" t="s">
        <v>668</v>
      </c>
      <c r="J969" s="61" t="s">
        <v>22</v>
      </c>
      <c r="L969" s="5" t="str">
        <f t="shared" si="161"/>
        <v>00968</v>
      </c>
      <c r="M969" s="47" t="str">
        <f t="shared" si="162"/>
        <v>22 de abril de 2018</v>
      </c>
      <c r="N969" s="323">
        <f t="shared" si="164"/>
        <v>22</v>
      </c>
      <c r="O969" s="25">
        <f t="shared" si="163"/>
        <v>43191</v>
      </c>
      <c r="P969" s="5" t="str">
        <f t="shared" si="159"/>
        <v>1,40</v>
      </c>
      <c r="Q969" s="4" t="str">
        <f t="shared" si="160"/>
        <v>Un Bolívares con 40/100</v>
      </c>
    </row>
    <row r="970" spans="1:17" x14ac:dyDescent="0.25">
      <c r="A970" s="1">
        <f t="shared" si="158"/>
        <v>969</v>
      </c>
      <c r="C970" s="8" t="s">
        <v>17</v>
      </c>
      <c r="D970" s="2">
        <v>43212</v>
      </c>
      <c r="E970" s="3">
        <f>100000/100000</f>
        <v>1</v>
      </c>
      <c r="F970" t="s">
        <v>126</v>
      </c>
      <c r="G970" t="s">
        <v>127</v>
      </c>
      <c r="H970" t="s">
        <v>128</v>
      </c>
      <c r="I970" s="6" t="s">
        <v>672</v>
      </c>
      <c r="J970" s="61" t="s">
        <v>673</v>
      </c>
      <c r="L970" s="5" t="str">
        <f t="shared" si="161"/>
        <v>00969</v>
      </c>
      <c r="M970" s="47" t="str">
        <f t="shared" si="162"/>
        <v>22 de abril de 2018</v>
      </c>
      <c r="N970" s="323">
        <f t="shared" si="164"/>
        <v>22</v>
      </c>
      <c r="O970" s="25">
        <f t="shared" si="163"/>
        <v>43191</v>
      </c>
      <c r="P970" s="5" t="str">
        <f t="shared" si="159"/>
        <v>1,00</v>
      </c>
      <c r="Q970" s="4" t="str">
        <f t="shared" si="160"/>
        <v>Un Bolívar con 00/100</v>
      </c>
    </row>
    <row r="971" spans="1:17" x14ac:dyDescent="0.25">
      <c r="A971" s="1">
        <f t="shared" si="158"/>
        <v>970</v>
      </c>
      <c r="C971" s="8" t="s">
        <v>17</v>
      </c>
      <c r="D971" s="2">
        <v>43213</v>
      </c>
      <c r="E971" s="3">
        <f>140000/100000</f>
        <v>1.4</v>
      </c>
      <c r="F971" t="s">
        <v>558</v>
      </c>
      <c r="G971" t="s">
        <v>559</v>
      </c>
      <c r="H971" t="s">
        <v>560</v>
      </c>
      <c r="I971" s="6" t="s">
        <v>684</v>
      </c>
      <c r="J971" s="61" t="s">
        <v>22</v>
      </c>
      <c r="L971" s="5" t="str">
        <f t="shared" si="161"/>
        <v>00970</v>
      </c>
      <c r="M971" s="47" t="str">
        <f t="shared" si="162"/>
        <v>23 de abril de 2018</v>
      </c>
      <c r="N971" s="323">
        <f t="shared" si="164"/>
        <v>23</v>
      </c>
      <c r="O971" s="25">
        <f t="shared" si="163"/>
        <v>43191</v>
      </c>
      <c r="P971" s="5" t="str">
        <f t="shared" si="159"/>
        <v>1,40</v>
      </c>
      <c r="Q971" s="4" t="str">
        <f t="shared" si="160"/>
        <v>Un Bolívares con 40/100</v>
      </c>
    </row>
    <row r="972" spans="1:17" x14ac:dyDescent="0.25">
      <c r="A972" s="1">
        <f t="shared" si="158"/>
        <v>971</v>
      </c>
      <c r="C972" s="8" t="s">
        <v>17</v>
      </c>
      <c r="D972" s="2">
        <v>43213</v>
      </c>
      <c r="E972" s="3">
        <f>60000/100000</f>
        <v>0.6</v>
      </c>
      <c r="F972" t="s">
        <v>558</v>
      </c>
      <c r="G972" t="s">
        <v>559</v>
      </c>
      <c r="H972" t="s">
        <v>560</v>
      </c>
      <c r="I972" s="6" t="s">
        <v>672</v>
      </c>
      <c r="J972" s="61" t="s">
        <v>673</v>
      </c>
      <c r="L972" s="5" t="str">
        <f t="shared" si="161"/>
        <v>00971</v>
      </c>
      <c r="M972" s="47" t="str">
        <f t="shared" si="162"/>
        <v>23 de abril de 2018</v>
      </c>
      <c r="N972" s="323">
        <f t="shared" si="164"/>
        <v>23</v>
      </c>
      <c r="O972" s="25">
        <f t="shared" si="163"/>
        <v>43191</v>
      </c>
      <c r="P972" s="5" t="str">
        <f t="shared" si="159"/>
        <v>0,60</v>
      </c>
      <c r="Q972" s="4" t="str">
        <f t="shared" si="160"/>
        <v>Cero Bolívares con 60/100</v>
      </c>
    </row>
    <row r="973" spans="1:17" x14ac:dyDescent="0.25">
      <c r="A973" s="1">
        <f t="shared" si="158"/>
        <v>972</v>
      </c>
      <c r="C973" s="8" t="s">
        <v>17</v>
      </c>
      <c r="D973" s="2">
        <v>43214</v>
      </c>
      <c r="E973" s="3">
        <f>60000/100000</f>
        <v>0.6</v>
      </c>
      <c r="F973" t="s">
        <v>433</v>
      </c>
      <c r="G973" t="s">
        <v>434</v>
      </c>
      <c r="H973" t="s">
        <v>435</v>
      </c>
      <c r="I973" s="6" t="s">
        <v>680</v>
      </c>
      <c r="J973" s="61" t="s">
        <v>22</v>
      </c>
      <c r="L973" s="5" t="str">
        <f t="shared" si="161"/>
        <v>00972</v>
      </c>
      <c r="M973" s="47" t="str">
        <f t="shared" si="162"/>
        <v>24 de abril de 2018</v>
      </c>
      <c r="N973" s="323">
        <f t="shared" si="164"/>
        <v>24</v>
      </c>
      <c r="O973" s="25">
        <f t="shared" si="163"/>
        <v>43191</v>
      </c>
      <c r="P973" s="5" t="str">
        <f t="shared" si="159"/>
        <v>0,60</v>
      </c>
      <c r="Q973" s="4" t="str">
        <f t="shared" si="160"/>
        <v>Cero Bolívares con 60/100</v>
      </c>
    </row>
    <row r="974" spans="1:17" x14ac:dyDescent="0.25">
      <c r="A974" s="1">
        <f t="shared" si="158"/>
        <v>973</v>
      </c>
      <c r="C974" s="8" t="s">
        <v>17</v>
      </c>
      <c r="D974" s="2">
        <v>43215</v>
      </c>
      <c r="E974" s="3">
        <f>140000/100000</f>
        <v>1.4</v>
      </c>
      <c r="F974" t="s">
        <v>185</v>
      </c>
      <c r="G974" t="s">
        <v>186</v>
      </c>
      <c r="H974" t="s">
        <v>187</v>
      </c>
      <c r="I974" s="6" t="s">
        <v>668</v>
      </c>
      <c r="J974" s="61" t="s">
        <v>22</v>
      </c>
      <c r="L974" s="5" t="str">
        <f t="shared" si="161"/>
        <v>00973</v>
      </c>
      <c r="M974" s="47" t="str">
        <f t="shared" si="162"/>
        <v>25 de abril de 2018</v>
      </c>
      <c r="N974" s="323">
        <f t="shared" si="164"/>
        <v>25</v>
      </c>
      <c r="O974" s="25">
        <f t="shared" si="163"/>
        <v>43191</v>
      </c>
      <c r="P974" s="5" t="str">
        <f t="shared" si="159"/>
        <v>1,40</v>
      </c>
      <c r="Q974" s="4" t="str">
        <f t="shared" si="160"/>
        <v>Un Bolívares con 40/100</v>
      </c>
    </row>
    <row r="975" spans="1:17" x14ac:dyDescent="0.25">
      <c r="A975" s="1">
        <f t="shared" si="158"/>
        <v>974</v>
      </c>
      <c r="C975" s="8" t="s">
        <v>17</v>
      </c>
      <c r="D975" s="2">
        <v>43216</v>
      </c>
      <c r="E975" s="3">
        <f>300000/100000</f>
        <v>3</v>
      </c>
      <c r="F975" t="s">
        <v>44</v>
      </c>
      <c r="G975" t="s">
        <v>45</v>
      </c>
      <c r="H975" t="s">
        <v>46</v>
      </c>
      <c r="I975" s="6" t="s">
        <v>685</v>
      </c>
      <c r="J975" s="61" t="s">
        <v>22</v>
      </c>
      <c r="L975" s="5" t="str">
        <f t="shared" si="161"/>
        <v>00974</v>
      </c>
      <c r="M975" s="47" t="str">
        <f t="shared" si="162"/>
        <v>26 de abril de 2018</v>
      </c>
      <c r="N975" s="323">
        <f t="shared" si="164"/>
        <v>26</v>
      </c>
      <c r="O975" s="25">
        <f t="shared" si="163"/>
        <v>43191</v>
      </c>
      <c r="P975" s="5" t="str">
        <f t="shared" si="159"/>
        <v>3,00</v>
      </c>
      <c r="Q975" s="4" t="str">
        <f t="shared" si="160"/>
        <v>Tres Bolívares con 00/100</v>
      </c>
    </row>
    <row r="976" spans="1:17" x14ac:dyDescent="0.25">
      <c r="A976" s="1">
        <f t="shared" si="158"/>
        <v>975</v>
      </c>
      <c r="C976" s="8" t="s">
        <v>17</v>
      </c>
      <c r="D976" s="2">
        <v>43216</v>
      </c>
      <c r="E976" s="3">
        <f>300000/100000</f>
        <v>3</v>
      </c>
      <c r="F976" t="s">
        <v>44</v>
      </c>
      <c r="G976" t="s">
        <v>45</v>
      </c>
      <c r="H976" t="s">
        <v>46</v>
      </c>
      <c r="I976" s="6" t="s">
        <v>670</v>
      </c>
      <c r="J976" s="61" t="s">
        <v>22</v>
      </c>
      <c r="L976" s="5" t="str">
        <f t="shared" si="161"/>
        <v>00975</v>
      </c>
      <c r="M976" s="47" t="str">
        <f t="shared" si="162"/>
        <v>26 de abril de 2018</v>
      </c>
      <c r="N976" s="323">
        <f t="shared" si="164"/>
        <v>26</v>
      </c>
      <c r="O976" s="25">
        <f t="shared" si="163"/>
        <v>43191</v>
      </c>
      <c r="P976" s="5" t="str">
        <f t="shared" si="159"/>
        <v>3,00</v>
      </c>
      <c r="Q976" s="4" t="str">
        <f t="shared" si="160"/>
        <v>Tres Bolívares con 00/100</v>
      </c>
    </row>
    <row r="977" spans="1:17" x14ac:dyDescent="0.25">
      <c r="A977" s="1">
        <f t="shared" si="158"/>
        <v>976</v>
      </c>
      <c r="C977" s="8" t="s">
        <v>17</v>
      </c>
      <c r="D977" s="2">
        <v>43216</v>
      </c>
      <c r="E977" s="3">
        <f>250000/100000</f>
        <v>2.5</v>
      </c>
      <c r="F977" t="s">
        <v>100</v>
      </c>
      <c r="G977" t="s">
        <v>95</v>
      </c>
      <c r="H977" t="s">
        <v>101</v>
      </c>
      <c r="I977" s="6" t="s">
        <v>684</v>
      </c>
      <c r="J977" s="61" t="s">
        <v>22</v>
      </c>
      <c r="L977" s="5" t="str">
        <f t="shared" si="161"/>
        <v>00976</v>
      </c>
      <c r="M977" s="47" t="str">
        <f t="shared" si="162"/>
        <v>26 de abril de 2018</v>
      </c>
      <c r="N977" s="323">
        <f t="shared" si="164"/>
        <v>26</v>
      </c>
      <c r="O977" s="25">
        <f t="shared" si="163"/>
        <v>43191</v>
      </c>
      <c r="P977" s="5" t="str">
        <f t="shared" si="159"/>
        <v>2,50</v>
      </c>
      <c r="Q977" s="4" t="str">
        <f t="shared" si="160"/>
        <v>Dos Bolívares con 50/100</v>
      </c>
    </row>
    <row r="978" spans="1:17" x14ac:dyDescent="0.25">
      <c r="A978" s="1">
        <f t="shared" si="158"/>
        <v>977</v>
      </c>
      <c r="C978" s="8" t="s">
        <v>17</v>
      </c>
      <c r="D978" s="2">
        <v>43216</v>
      </c>
      <c r="E978" s="3">
        <f>250000/100000</f>
        <v>2.5</v>
      </c>
      <c r="F978" t="s">
        <v>100</v>
      </c>
      <c r="G978" t="s">
        <v>95</v>
      </c>
      <c r="H978" t="s">
        <v>101</v>
      </c>
      <c r="I978" s="6" t="s">
        <v>672</v>
      </c>
      <c r="J978" s="61" t="s">
        <v>673</v>
      </c>
      <c r="L978" s="5" t="str">
        <f t="shared" si="161"/>
        <v>00977</v>
      </c>
      <c r="M978" s="47" t="str">
        <f t="shared" si="162"/>
        <v>26 de abril de 2018</v>
      </c>
      <c r="N978" s="323">
        <f t="shared" si="164"/>
        <v>26</v>
      </c>
      <c r="O978" s="25">
        <f t="shared" si="163"/>
        <v>43191</v>
      </c>
      <c r="P978" s="5" t="str">
        <f t="shared" si="159"/>
        <v>2,50</v>
      </c>
      <c r="Q978" s="4" t="str">
        <f t="shared" si="160"/>
        <v>Dos Bolívares con 50/100</v>
      </c>
    </row>
    <row r="979" spans="1:17" x14ac:dyDescent="0.25">
      <c r="A979" s="1">
        <f t="shared" si="158"/>
        <v>978</v>
      </c>
      <c r="C979" s="8" t="s">
        <v>17</v>
      </c>
      <c r="D979" s="2">
        <v>43216</v>
      </c>
      <c r="E979" s="3">
        <f>300000/100000</f>
        <v>3</v>
      </c>
      <c r="F979" t="s">
        <v>230</v>
      </c>
      <c r="G979" t="s">
        <v>231</v>
      </c>
      <c r="H979" t="s">
        <v>232</v>
      </c>
      <c r="I979" s="6" t="s">
        <v>668</v>
      </c>
      <c r="J979" s="61" t="s">
        <v>22</v>
      </c>
      <c r="L979" s="5" t="str">
        <f t="shared" si="161"/>
        <v>00978</v>
      </c>
      <c r="M979" s="47" t="str">
        <f t="shared" si="162"/>
        <v>26 de abril de 2018</v>
      </c>
      <c r="N979" s="323">
        <f t="shared" si="164"/>
        <v>26</v>
      </c>
      <c r="O979" s="25">
        <f t="shared" si="163"/>
        <v>43191</v>
      </c>
      <c r="P979" s="5" t="str">
        <f t="shared" si="159"/>
        <v>3,00</v>
      </c>
      <c r="Q979" s="4" t="str">
        <f t="shared" si="160"/>
        <v>Tres Bolívares con 00/100</v>
      </c>
    </row>
    <row r="980" spans="1:17" x14ac:dyDescent="0.25">
      <c r="A980" s="319">
        <f t="shared" si="158"/>
        <v>979</v>
      </c>
      <c r="B980" s="574"/>
      <c r="C980" s="12" t="s">
        <v>225</v>
      </c>
      <c r="D980" s="17">
        <v>43216</v>
      </c>
      <c r="E980" s="13">
        <f>160000/100000</f>
        <v>1.6</v>
      </c>
      <c r="F980" s="14" t="s">
        <v>230</v>
      </c>
      <c r="G980" s="14" t="s">
        <v>231</v>
      </c>
      <c r="H980" s="14" t="s">
        <v>232</v>
      </c>
      <c r="I980" s="15" t="s">
        <v>686</v>
      </c>
      <c r="J980" s="62" t="s">
        <v>426</v>
      </c>
      <c r="K980" s="16"/>
      <c r="L980" s="5" t="str">
        <f t="shared" si="161"/>
        <v>00979</v>
      </c>
      <c r="M980" s="47" t="str">
        <f t="shared" si="162"/>
        <v>26 de abril de 2018</v>
      </c>
      <c r="N980" s="323">
        <f t="shared" si="164"/>
        <v>26</v>
      </c>
      <c r="O980" s="25">
        <f t="shared" si="163"/>
        <v>43191</v>
      </c>
      <c r="P980" s="5" t="str">
        <f t="shared" si="159"/>
        <v>1,60</v>
      </c>
      <c r="Q980" s="4" t="str">
        <f t="shared" si="160"/>
        <v>Un Bolívares con 60/100</v>
      </c>
    </row>
    <row r="981" spans="1:17" x14ac:dyDescent="0.25">
      <c r="A981" s="1">
        <f t="shared" si="158"/>
        <v>980</v>
      </c>
      <c r="C981" s="8" t="s">
        <v>17</v>
      </c>
      <c r="D981" s="2">
        <v>43216</v>
      </c>
      <c r="E981" s="3">
        <f>140000*2/100000</f>
        <v>2.8</v>
      </c>
      <c r="F981" t="s">
        <v>248</v>
      </c>
      <c r="G981" t="s">
        <v>249</v>
      </c>
      <c r="H981" t="s">
        <v>250</v>
      </c>
      <c r="I981" s="6" t="s">
        <v>660</v>
      </c>
      <c r="J981" s="61" t="s">
        <v>22</v>
      </c>
      <c r="L981" s="5" t="str">
        <f t="shared" si="161"/>
        <v>00980</v>
      </c>
      <c r="M981" s="47" t="str">
        <f t="shared" si="162"/>
        <v>26 de abril de 2018</v>
      </c>
      <c r="N981" s="323">
        <f t="shared" si="164"/>
        <v>26</v>
      </c>
      <c r="O981" s="25">
        <f t="shared" si="163"/>
        <v>43191</v>
      </c>
      <c r="P981" s="5" t="str">
        <f t="shared" si="159"/>
        <v>2,80</v>
      </c>
      <c r="Q981" s="4" t="str">
        <f t="shared" si="160"/>
        <v>Dos Bolívares con 80/100</v>
      </c>
    </row>
    <row r="982" spans="1:17" x14ac:dyDescent="0.25">
      <c r="A982" s="1">
        <f t="shared" si="158"/>
        <v>981</v>
      </c>
      <c r="C982" s="8" t="s">
        <v>17</v>
      </c>
      <c r="D982" s="2">
        <v>43216</v>
      </c>
      <c r="E982" s="3">
        <f>280000/100000</f>
        <v>2.8</v>
      </c>
      <c r="F982" t="s">
        <v>612</v>
      </c>
      <c r="G982" t="s">
        <v>613</v>
      </c>
      <c r="H982" t="s">
        <v>614</v>
      </c>
      <c r="I982" s="6" t="s">
        <v>660</v>
      </c>
      <c r="J982" s="61" t="s">
        <v>22</v>
      </c>
      <c r="L982" s="5" t="str">
        <f t="shared" si="161"/>
        <v>00981</v>
      </c>
      <c r="M982" s="47" t="str">
        <f t="shared" si="162"/>
        <v>26 de abril de 2018</v>
      </c>
      <c r="N982" s="323">
        <f t="shared" si="164"/>
        <v>26</v>
      </c>
      <c r="O982" s="25">
        <f t="shared" si="163"/>
        <v>43191</v>
      </c>
      <c r="P982" s="5" t="str">
        <f t="shared" si="159"/>
        <v>2,80</v>
      </c>
      <c r="Q982" s="4" t="str">
        <f t="shared" si="160"/>
        <v>Dos Bolívares con 80/100</v>
      </c>
    </row>
    <row r="983" spans="1:17" x14ac:dyDescent="0.25">
      <c r="A983" s="1">
        <f t="shared" si="158"/>
        <v>982</v>
      </c>
      <c r="C983" s="8" t="s">
        <v>17</v>
      </c>
      <c r="D983" s="2">
        <v>43220</v>
      </c>
      <c r="E983" s="3">
        <f>140000/100000</f>
        <v>1.4</v>
      </c>
      <c r="F983" t="s">
        <v>211</v>
      </c>
      <c r="G983" t="s">
        <v>212</v>
      </c>
      <c r="H983" t="s">
        <v>213</v>
      </c>
      <c r="I983" s="6" t="s">
        <v>668</v>
      </c>
      <c r="J983" s="61" t="s">
        <v>22</v>
      </c>
      <c r="L983" s="5" t="str">
        <f t="shared" si="161"/>
        <v>00982</v>
      </c>
      <c r="M983" s="47" t="str">
        <f t="shared" si="162"/>
        <v>30 de abril de 2018</v>
      </c>
      <c r="N983" s="323">
        <f t="shared" si="164"/>
        <v>30</v>
      </c>
      <c r="O983" s="25">
        <f t="shared" si="163"/>
        <v>43191</v>
      </c>
      <c r="P983" s="5" t="str">
        <f t="shared" si="159"/>
        <v>1,40</v>
      </c>
      <c r="Q983" s="4" t="str">
        <f t="shared" si="160"/>
        <v>Un Bolívares con 40/100</v>
      </c>
    </row>
    <row r="984" spans="1:17" x14ac:dyDescent="0.25">
      <c r="A984" s="1">
        <f t="shared" si="158"/>
        <v>983</v>
      </c>
      <c r="C984" s="8" t="s">
        <v>17</v>
      </c>
      <c r="D984" s="2">
        <v>43223</v>
      </c>
      <c r="E984" s="3">
        <f>500000/100000</f>
        <v>5</v>
      </c>
      <c r="F984" t="s">
        <v>284</v>
      </c>
      <c r="G984" t="s">
        <v>687</v>
      </c>
      <c r="H984" t="s">
        <v>285</v>
      </c>
      <c r="I984" s="6" t="s">
        <v>688</v>
      </c>
      <c r="J984" s="61" t="s">
        <v>22</v>
      </c>
      <c r="L984" s="5" t="str">
        <f t="shared" si="161"/>
        <v>00983</v>
      </c>
      <c r="M984" s="47" t="str">
        <f t="shared" si="162"/>
        <v>03 de mayo de 2018</v>
      </c>
      <c r="N984" s="323">
        <f t="shared" si="164"/>
        <v>3</v>
      </c>
      <c r="O984" s="25">
        <f t="shared" si="163"/>
        <v>43221</v>
      </c>
      <c r="P984" s="5" t="str">
        <f t="shared" si="159"/>
        <v>5,00</v>
      </c>
      <c r="Q984" s="4" t="str">
        <f t="shared" si="160"/>
        <v>Cinco Bolívares con 00/100</v>
      </c>
    </row>
    <row r="985" spans="1:17" x14ac:dyDescent="0.25">
      <c r="A985" s="1">
        <f t="shared" si="158"/>
        <v>984</v>
      </c>
      <c r="C985" s="8" t="s">
        <v>17</v>
      </c>
      <c r="D985" s="2">
        <v>43223</v>
      </c>
      <c r="E985" s="3">
        <f>400000/100000</f>
        <v>4</v>
      </c>
      <c r="F985" t="s">
        <v>36</v>
      </c>
      <c r="G985" t="s">
        <v>37</v>
      </c>
      <c r="H985" t="s">
        <v>38</v>
      </c>
      <c r="I985" s="6" t="s">
        <v>689</v>
      </c>
      <c r="J985" s="61" t="s">
        <v>22</v>
      </c>
      <c r="L985" s="5" t="str">
        <f t="shared" si="161"/>
        <v>00984</v>
      </c>
      <c r="M985" s="47" t="str">
        <f t="shared" si="162"/>
        <v>03 de mayo de 2018</v>
      </c>
      <c r="N985" s="323">
        <f t="shared" si="164"/>
        <v>3</v>
      </c>
      <c r="O985" s="25">
        <f t="shared" si="163"/>
        <v>43221</v>
      </c>
      <c r="P985" s="5" t="str">
        <f t="shared" ref="P985:P1002" si="165">TEXT(E985,"#.##0,00")</f>
        <v>4,00</v>
      </c>
      <c r="Q985" s="4" t="str">
        <f t="shared" ref="Q985:Q1002" si="166">CONVERTIRNUM(E985)</f>
        <v>Cuatro Bolívares con 00/100</v>
      </c>
    </row>
    <row r="986" spans="1:17" x14ac:dyDescent="0.25">
      <c r="A986" s="1">
        <f t="shared" si="158"/>
        <v>985</v>
      </c>
      <c r="C986" s="8" t="s">
        <v>17</v>
      </c>
      <c r="D986" s="2">
        <v>43223</v>
      </c>
      <c r="E986" s="3">
        <f>400000/100000</f>
        <v>4</v>
      </c>
      <c r="F986" t="s">
        <v>280</v>
      </c>
      <c r="G986" s="18" t="s">
        <v>58</v>
      </c>
      <c r="H986" t="s">
        <v>282</v>
      </c>
      <c r="I986" s="6" t="s">
        <v>690</v>
      </c>
      <c r="J986" s="61" t="s">
        <v>22</v>
      </c>
      <c r="L986" s="5" t="str">
        <f t="shared" si="161"/>
        <v>00985</v>
      </c>
      <c r="M986" s="47" t="str">
        <f t="shared" si="162"/>
        <v>03 de mayo de 2018</v>
      </c>
      <c r="N986" s="323">
        <f t="shared" si="164"/>
        <v>3</v>
      </c>
      <c r="O986" s="25">
        <f t="shared" si="163"/>
        <v>43221</v>
      </c>
      <c r="P986" s="5" t="str">
        <f t="shared" si="165"/>
        <v>4,00</v>
      </c>
      <c r="Q986" s="4" t="str">
        <f t="shared" si="166"/>
        <v>Cuatro Bolívares con 00/100</v>
      </c>
    </row>
    <row r="987" spans="1:17" x14ac:dyDescent="0.25">
      <c r="A987" s="178">
        <f t="shared" si="158"/>
        <v>986</v>
      </c>
      <c r="C987" s="8" t="s">
        <v>17</v>
      </c>
      <c r="D987" s="2">
        <v>43223</v>
      </c>
      <c r="E987" s="3">
        <f>400000/100000</f>
        <v>4</v>
      </c>
      <c r="F987" t="s">
        <v>438</v>
      </c>
      <c r="G987" t="s">
        <v>439</v>
      </c>
      <c r="H987" t="s">
        <v>440</v>
      </c>
      <c r="I987" s="6" t="s">
        <v>691</v>
      </c>
      <c r="J987" s="61" t="s">
        <v>22</v>
      </c>
      <c r="L987" s="5" t="str">
        <f t="shared" si="161"/>
        <v>00986</v>
      </c>
      <c r="M987" s="47" t="str">
        <f t="shared" si="162"/>
        <v>03 de mayo de 2018</v>
      </c>
      <c r="N987" s="323">
        <f t="shared" si="164"/>
        <v>3</v>
      </c>
      <c r="O987" s="25">
        <f t="shared" si="163"/>
        <v>43221</v>
      </c>
      <c r="P987" s="5" t="str">
        <f t="shared" si="165"/>
        <v>4,00</v>
      </c>
      <c r="Q987" s="4" t="str">
        <f t="shared" si="166"/>
        <v>Cuatro Bolívares con 00/100</v>
      </c>
    </row>
    <row r="988" spans="1:17" x14ac:dyDescent="0.25">
      <c r="A988" s="1">
        <f t="shared" si="158"/>
        <v>987</v>
      </c>
      <c r="C988" s="8" t="s">
        <v>17</v>
      </c>
      <c r="D988" s="2">
        <v>43223</v>
      </c>
      <c r="E988" s="3">
        <f>400000/100000</f>
        <v>4</v>
      </c>
      <c r="F988" t="s">
        <v>18</v>
      </c>
      <c r="G988" t="s">
        <v>19</v>
      </c>
      <c r="H988" t="s">
        <v>20</v>
      </c>
      <c r="I988" s="6" t="s">
        <v>692</v>
      </c>
      <c r="J988" s="61" t="s">
        <v>22</v>
      </c>
      <c r="L988" s="5" t="str">
        <f t="shared" si="161"/>
        <v>00987</v>
      </c>
      <c r="M988" s="47" t="str">
        <f t="shared" si="162"/>
        <v>03 de mayo de 2018</v>
      </c>
      <c r="N988" s="323">
        <f t="shared" si="164"/>
        <v>3</v>
      </c>
      <c r="O988" s="25">
        <f t="shared" si="163"/>
        <v>43221</v>
      </c>
      <c r="P988" s="5" t="str">
        <f t="shared" si="165"/>
        <v>4,00</v>
      </c>
      <c r="Q988" s="4" t="str">
        <f t="shared" si="166"/>
        <v>Cuatro Bolívares con 00/100</v>
      </c>
    </row>
    <row r="989" spans="1:17" x14ac:dyDescent="0.25">
      <c r="A989" s="1">
        <f t="shared" si="158"/>
        <v>988</v>
      </c>
      <c r="C989" s="8" t="s">
        <v>17</v>
      </c>
      <c r="D989" s="2">
        <v>43223</v>
      </c>
      <c r="E989" s="3">
        <f>400000/100000</f>
        <v>4</v>
      </c>
      <c r="F989" t="s">
        <v>219</v>
      </c>
      <c r="G989" t="s">
        <v>220</v>
      </c>
      <c r="H989" t="s">
        <v>221</v>
      </c>
      <c r="I989" s="6" t="s">
        <v>693</v>
      </c>
      <c r="J989" s="61" t="s">
        <v>22</v>
      </c>
      <c r="L989" s="5" t="str">
        <f t="shared" si="161"/>
        <v>00988</v>
      </c>
      <c r="M989" s="47" t="str">
        <f t="shared" si="162"/>
        <v>03 de mayo de 2018</v>
      </c>
      <c r="N989" s="323">
        <f t="shared" si="164"/>
        <v>3</v>
      </c>
      <c r="O989" s="25">
        <f t="shared" si="163"/>
        <v>43221</v>
      </c>
      <c r="P989" s="5" t="str">
        <f t="shared" si="165"/>
        <v>4,00</v>
      </c>
      <c r="Q989" s="4" t="str">
        <f t="shared" si="166"/>
        <v>Cuatro Bolívares con 00/100</v>
      </c>
    </row>
    <row r="990" spans="1:17" x14ac:dyDescent="0.25">
      <c r="A990" s="1">
        <f t="shared" si="158"/>
        <v>989</v>
      </c>
      <c r="C990" s="85" t="s">
        <v>17</v>
      </c>
      <c r="D990" s="2">
        <v>43223</v>
      </c>
      <c r="E990" s="3">
        <f>140000/100000</f>
        <v>1.4</v>
      </c>
      <c r="F990" t="s">
        <v>492</v>
      </c>
      <c r="G990" s="18" t="s">
        <v>58</v>
      </c>
      <c r="H990" t="s">
        <v>493</v>
      </c>
      <c r="I990" s="6" t="s">
        <v>668</v>
      </c>
      <c r="J990" s="61" t="s">
        <v>22</v>
      </c>
      <c r="L990" s="5" t="str">
        <f t="shared" si="161"/>
        <v>00989</v>
      </c>
      <c r="M990" s="47" t="str">
        <f t="shared" si="162"/>
        <v>03 de mayo de 2018</v>
      </c>
      <c r="N990" s="323">
        <f t="shared" si="164"/>
        <v>3</v>
      </c>
      <c r="O990" s="25">
        <f t="shared" si="163"/>
        <v>43221</v>
      </c>
      <c r="P990" s="5" t="str">
        <f t="shared" si="165"/>
        <v>1,40</v>
      </c>
      <c r="Q990" s="4" t="str">
        <f t="shared" si="166"/>
        <v>Un Bolívares con 40/100</v>
      </c>
    </row>
    <row r="991" spans="1:17" x14ac:dyDescent="0.25">
      <c r="A991" s="1">
        <f t="shared" si="158"/>
        <v>990</v>
      </c>
      <c r="C991" s="8" t="s">
        <v>17</v>
      </c>
      <c r="D991" s="2">
        <v>43223</v>
      </c>
      <c r="E991" s="3">
        <f>520000/100000</f>
        <v>5.2</v>
      </c>
      <c r="F991" t="s">
        <v>353</v>
      </c>
      <c r="G991" t="s">
        <v>354</v>
      </c>
      <c r="H991" t="s">
        <v>355</v>
      </c>
      <c r="I991" s="6" t="s">
        <v>694</v>
      </c>
      <c r="J991" s="61" t="s">
        <v>22</v>
      </c>
      <c r="L991" s="5" t="str">
        <f t="shared" si="161"/>
        <v>00990</v>
      </c>
      <c r="M991" s="47" t="str">
        <f t="shared" si="162"/>
        <v>03 de mayo de 2018</v>
      </c>
      <c r="N991" s="323">
        <f t="shared" si="164"/>
        <v>3</v>
      </c>
      <c r="O991" s="25">
        <f t="shared" si="163"/>
        <v>43221</v>
      </c>
      <c r="P991" s="5" t="str">
        <f t="shared" si="165"/>
        <v>5,20</v>
      </c>
      <c r="Q991" s="4" t="str">
        <f t="shared" si="166"/>
        <v>Cinco Bolívares con 20/100</v>
      </c>
    </row>
    <row r="992" spans="1:17" x14ac:dyDescent="0.25">
      <c r="A992" s="1">
        <f t="shared" si="158"/>
        <v>991</v>
      </c>
      <c r="C992" s="8" t="s">
        <v>17</v>
      </c>
      <c r="D992" s="2">
        <v>43223</v>
      </c>
      <c r="E992" s="3">
        <f>400000/100000</f>
        <v>4</v>
      </c>
      <c r="F992" t="s">
        <v>483</v>
      </c>
      <c r="G992" t="s">
        <v>484</v>
      </c>
      <c r="H992" t="s">
        <v>485</v>
      </c>
      <c r="I992" s="6" t="s">
        <v>684</v>
      </c>
      <c r="J992" s="61" t="s">
        <v>22</v>
      </c>
      <c r="L992" s="5" t="str">
        <f t="shared" si="161"/>
        <v>00991</v>
      </c>
      <c r="M992" s="47" t="str">
        <f t="shared" si="162"/>
        <v>03 de mayo de 2018</v>
      </c>
      <c r="N992" s="323">
        <f t="shared" si="164"/>
        <v>3</v>
      </c>
      <c r="O992" s="25">
        <f t="shared" si="163"/>
        <v>43221</v>
      </c>
      <c r="P992" s="5" t="str">
        <f t="shared" si="165"/>
        <v>4,00</v>
      </c>
      <c r="Q992" s="4" t="str">
        <f t="shared" si="166"/>
        <v>Cuatro Bolívares con 00/100</v>
      </c>
    </row>
    <row r="993" spans="1:17" x14ac:dyDescent="0.25">
      <c r="A993" s="1">
        <f t="shared" si="158"/>
        <v>992</v>
      </c>
      <c r="C993" s="8" t="s">
        <v>17</v>
      </c>
      <c r="D993" s="2">
        <v>43224</v>
      </c>
      <c r="E993" s="3">
        <f>400000/100000</f>
        <v>4</v>
      </c>
      <c r="F993" t="s">
        <v>107</v>
      </c>
      <c r="G993" t="s">
        <v>108</v>
      </c>
      <c r="H993" t="s">
        <v>109</v>
      </c>
      <c r="I993" s="6" t="s">
        <v>684</v>
      </c>
      <c r="J993" s="61" t="s">
        <v>22</v>
      </c>
      <c r="L993" s="5" t="str">
        <f t="shared" si="161"/>
        <v>00992</v>
      </c>
      <c r="M993" s="47" t="str">
        <f t="shared" si="162"/>
        <v>04 de mayo de 2018</v>
      </c>
      <c r="N993" s="323">
        <f t="shared" si="164"/>
        <v>4</v>
      </c>
      <c r="O993" s="25">
        <f t="shared" si="163"/>
        <v>43221</v>
      </c>
      <c r="P993" s="5" t="str">
        <f t="shared" si="165"/>
        <v>4,00</v>
      </c>
      <c r="Q993" s="4" t="str">
        <f t="shared" si="166"/>
        <v>Cuatro Bolívares con 00/100</v>
      </c>
    </row>
    <row r="994" spans="1:17" x14ac:dyDescent="0.25">
      <c r="A994" s="1">
        <f t="shared" si="158"/>
        <v>993</v>
      </c>
      <c r="C994" s="8" t="s">
        <v>17</v>
      </c>
      <c r="D994" s="2">
        <v>43224</v>
      </c>
      <c r="E994" s="3">
        <f>550000/100000</f>
        <v>5.5</v>
      </c>
      <c r="F994" t="s">
        <v>114</v>
      </c>
      <c r="G994" t="s">
        <v>115</v>
      </c>
      <c r="H994" t="s">
        <v>116</v>
      </c>
      <c r="I994" s="6" t="s">
        <v>695</v>
      </c>
      <c r="J994" s="61" t="s">
        <v>22</v>
      </c>
      <c r="L994" s="5" t="str">
        <f t="shared" si="161"/>
        <v>00993</v>
      </c>
      <c r="M994" s="47" t="str">
        <f t="shared" si="162"/>
        <v>04 de mayo de 2018</v>
      </c>
      <c r="N994" s="323">
        <f t="shared" si="164"/>
        <v>4</v>
      </c>
      <c r="O994" s="25">
        <f t="shared" si="163"/>
        <v>43221</v>
      </c>
      <c r="P994" s="5" t="str">
        <f t="shared" si="165"/>
        <v>5,50</v>
      </c>
      <c r="Q994" s="4" t="str">
        <f t="shared" si="166"/>
        <v>Cinco Bolívares con 50/100</v>
      </c>
    </row>
    <row r="995" spans="1:17" x14ac:dyDescent="0.25">
      <c r="A995" s="1">
        <f>A994+1</f>
        <v>994</v>
      </c>
      <c r="C995" s="8" t="s">
        <v>17</v>
      </c>
      <c r="D995" s="2">
        <v>43224</v>
      </c>
      <c r="E995" s="3">
        <f>400000/100000</f>
        <v>4</v>
      </c>
      <c r="F995" t="s">
        <v>70</v>
      </c>
      <c r="G995" t="s">
        <v>71</v>
      </c>
      <c r="H995" t="s">
        <v>72</v>
      </c>
      <c r="I995" s="6" t="s">
        <v>684</v>
      </c>
      <c r="J995" s="61" t="s">
        <v>22</v>
      </c>
      <c r="L995" s="5" t="str">
        <f t="shared" si="161"/>
        <v>00994</v>
      </c>
      <c r="M995" s="47" t="str">
        <f t="shared" si="162"/>
        <v>04 de mayo de 2018</v>
      </c>
      <c r="N995" s="323">
        <f t="shared" si="164"/>
        <v>4</v>
      </c>
      <c r="O995" s="25">
        <f t="shared" si="163"/>
        <v>43221</v>
      </c>
      <c r="P995" s="5" t="str">
        <f t="shared" si="165"/>
        <v>4,00</v>
      </c>
      <c r="Q995" s="4" t="str">
        <f t="shared" si="166"/>
        <v>Cuatro Bolívares con 00/100</v>
      </c>
    </row>
    <row r="996" spans="1:17" x14ac:dyDescent="0.25">
      <c r="A996" s="1">
        <f t="shared" si="158"/>
        <v>995</v>
      </c>
      <c r="C996" s="8" t="s">
        <v>17</v>
      </c>
      <c r="D996" s="2">
        <v>43224</v>
      </c>
      <c r="E996" s="3">
        <f>400000/100000</f>
        <v>4</v>
      </c>
      <c r="F996" t="s">
        <v>40</v>
      </c>
      <c r="G996" t="s">
        <v>41</v>
      </c>
      <c r="H996" t="s">
        <v>42</v>
      </c>
      <c r="I996" s="6" t="s">
        <v>684</v>
      </c>
      <c r="J996" s="61" t="s">
        <v>22</v>
      </c>
      <c r="L996" s="5" t="str">
        <f t="shared" si="161"/>
        <v>00995</v>
      </c>
      <c r="M996" s="47" t="str">
        <f t="shared" si="162"/>
        <v>04 de mayo de 2018</v>
      </c>
      <c r="N996" s="323">
        <f t="shared" si="164"/>
        <v>4</v>
      </c>
      <c r="O996" s="25">
        <f t="shared" si="163"/>
        <v>43221</v>
      </c>
      <c r="P996" s="5" t="str">
        <f t="shared" si="165"/>
        <v>4,00</v>
      </c>
      <c r="Q996" s="4" t="str">
        <f t="shared" si="166"/>
        <v>Cuatro Bolívares con 00/100</v>
      </c>
    </row>
    <row r="997" spans="1:17" x14ac:dyDescent="0.25">
      <c r="A997" s="1">
        <f t="shared" si="158"/>
        <v>996</v>
      </c>
      <c r="C997" s="8" t="s">
        <v>17</v>
      </c>
      <c r="D997" s="2">
        <v>43224</v>
      </c>
      <c r="E997" s="3">
        <f>400000/100000</f>
        <v>4</v>
      </c>
      <c r="F997" t="s">
        <v>44</v>
      </c>
      <c r="G997" t="s">
        <v>45</v>
      </c>
      <c r="H997" t="s">
        <v>46</v>
      </c>
      <c r="I997" s="6" t="s">
        <v>696</v>
      </c>
      <c r="J997" s="61" t="s">
        <v>22</v>
      </c>
      <c r="L997" s="5" t="str">
        <f t="shared" si="161"/>
        <v>00996</v>
      </c>
      <c r="M997" s="47" t="str">
        <f t="shared" si="162"/>
        <v>04 de mayo de 2018</v>
      </c>
      <c r="N997" s="323">
        <f t="shared" si="164"/>
        <v>4</v>
      </c>
      <c r="O997" s="25">
        <f t="shared" si="163"/>
        <v>43221</v>
      </c>
      <c r="P997" s="5" t="str">
        <f t="shared" si="165"/>
        <v>4,00</v>
      </c>
      <c r="Q997" s="4" t="str">
        <f t="shared" si="166"/>
        <v>Cuatro Bolívares con 00/100</v>
      </c>
    </row>
    <row r="998" spans="1:17" x14ac:dyDescent="0.25">
      <c r="A998" s="1">
        <f t="shared" si="158"/>
        <v>997</v>
      </c>
      <c r="C998" s="8" t="s">
        <v>17</v>
      </c>
      <c r="D998" s="2">
        <v>43226</v>
      </c>
      <c r="E998" s="3">
        <f>260000/100000</f>
        <v>2.6</v>
      </c>
      <c r="F998" t="s">
        <v>558</v>
      </c>
      <c r="G998" t="s">
        <v>559</v>
      </c>
      <c r="H998" t="s">
        <v>560</v>
      </c>
      <c r="I998" s="6" t="s">
        <v>697</v>
      </c>
      <c r="J998" s="61" t="s">
        <v>22</v>
      </c>
      <c r="L998" s="5" t="str">
        <f t="shared" si="161"/>
        <v>00997</v>
      </c>
      <c r="M998" s="47" t="str">
        <f t="shared" si="162"/>
        <v>06 de mayo de 2018</v>
      </c>
      <c r="N998" s="323">
        <f t="shared" si="164"/>
        <v>6</v>
      </c>
      <c r="O998" s="25">
        <f t="shared" si="163"/>
        <v>43221</v>
      </c>
      <c r="P998" s="5" t="str">
        <f t="shared" si="165"/>
        <v>2,60</v>
      </c>
      <c r="Q998" s="4" t="str">
        <f t="shared" si="166"/>
        <v>Dos Bolívares con 60/100</v>
      </c>
    </row>
    <row r="999" spans="1:17" x14ac:dyDescent="0.25">
      <c r="A999" s="1">
        <f t="shared" si="158"/>
        <v>998</v>
      </c>
      <c r="C999" s="8" t="s">
        <v>17</v>
      </c>
      <c r="D999" s="2">
        <v>43227</v>
      </c>
      <c r="E999" s="3">
        <f>400000/100000</f>
        <v>4</v>
      </c>
      <c r="F999" t="s">
        <v>90</v>
      </c>
      <c r="G999" t="s">
        <v>91</v>
      </c>
      <c r="H999" t="s">
        <v>92</v>
      </c>
      <c r="I999" s="6" t="s">
        <v>684</v>
      </c>
      <c r="J999" s="61" t="s">
        <v>22</v>
      </c>
      <c r="L999" s="5" t="str">
        <f t="shared" si="161"/>
        <v>00998</v>
      </c>
      <c r="M999" s="47" t="str">
        <f t="shared" si="162"/>
        <v>07 de mayo de 2018</v>
      </c>
      <c r="N999" s="323">
        <f t="shared" si="164"/>
        <v>7</v>
      </c>
      <c r="O999" s="25">
        <f t="shared" si="163"/>
        <v>43221</v>
      </c>
      <c r="P999" s="5" t="str">
        <f t="shared" si="165"/>
        <v>4,00</v>
      </c>
      <c r="Q999" s="4" t="str">
        <f t="shared" si="166"/>
        <v>Cuatro Bolívares con 00/100</v>
      </c>
    </row>
    <row r="1000" spans="1:17" x14ac:dyDescent="0.25">
      <c r="A1000" s="1">
        <f t="shared" si="158"/>
        <v>999</v>
      </c>
      <c r="C1000" s="8" t="s">
        <v>17</v>
      </c>
      <c r="D1000" s="2">
        <v>43227</v>
      </c>
      <c r="E1000" s="3">
        <f>100000/100000</f>
        <v>1</v>
      </c>
      <c r="F1000" t="s">
        <v>90</v>
      </c>
      <c r="G1000" t="s">
        <v>91</v>
      </c>
      <c r="H1000" t="s">
        <v>92</v>
      </c>
      <c r="I1000" s="6" t="s">
        <v>672</v>
      </c>
      <c r="J1000" s="61" t="s">
        <v>673</v>
      </c>
      <c r="L1000" s="5" t="str">
        <f t="shared" si="161"/>
        <v>00999</v>
      </c>
      <c r="M1000" s="47" t="str">
        <f t="shared" si="162"/>
        <v>07 de mayo de 2018</v>
      </c>
      <c r="N1000" s="323">
        <f t="shared" si="164"/>
        <v>7</v>
      </c>
      <c r="O1000" s="25">
        <f t="shared" si="163"/>
        <v>43221</v>
      </c>
      <c r="P1000" s="5" t="str">
        <f t="shared" si="165"/>
        <v>1,00</v>
      </c>
      <c r="Q1000" s="4" t="str">
        <f t="shared" si="166"/>
        <v>Un Bolívar con 00/100</v>
      </c>
    </row>
    <row r="1001" spans="1:17" x14ac:dyDescent="0.25">
      <c r="A1001" s="1">
        <f t="shared" si="158"/>
        <v>1000</v>
      </c>
      <c r="C1001" s="8" t="s">
        <v>17</v>
      </c>
      <c r="D1001" s="2">
        <v>43227</v>
      </c>
      <c r="E1001" s="3">
        <f>400000/100000</f>
        <v>4</v>
      </c>
      <c r="F1001" t="s">
        <v>24</v>
      </c>
      <c r="G1001" t="s">
        <v>25</v>
      </c>
      <c r="H1001" t="s">
        <v>26</v>
      </c>
      <c r="I1001" s="6" t="s">
        <v>684</v>
      </c>
      <c r="J1001" s="61" t="s">
        <v>22</v>
      </c>
      <c r="L1001" s="5" t="str">
        <f t="shared" si="161"/>
        <v>01000</v>
      </c>
      <c r="M1001" s="47" t="str">
        <f t="shared" si="162"/>
        <v>07 de mayo de 2018</v>
      </c>
      <c r="N1001" s="323">
        <f t="shared" si="164"/>
        <v>7</v>
      </c>
      <c r="O1001" s="25">
        <f t="shared" si="163"/>
        <v>43221</v>
      </c>
      <c r="P1001" s="5" t="str">
        <f t="shared" si="165"/>
        <v>4,00</v>
      </c>
      <c r="Q1001" s="4" t="str">
        <f t="shared" si="166"/>
        <v>Cuatro Bolívares con 00/100</v>
      </c>
    </row>
    <row r="1002" spans="1:17" x14ac:dyDescent="0.25">
      <c r="A1002" s="1">
        <f t="shared" ref="A1002:A1036" si="167">A1001+1</f>
        <v>1001</v>
      </c>
      <c r="C1002" s="8" t="s">
        <v>17</v>
      </c>
      <c r="D1002" s="2">
        <v>43196</v>
      </c>
      <c r="E1002" s="3">
        <f>140000/100000</f>
        <v>1.4</v>
      </c>
      <c r="F1002" t="s">
        <v>80</v>
      </c>
      <c r="G1002" t="s">
        <v>81</v>
      </c>
      <c r="H1002" t="s">
        <v>82</v>
      </c>
      <c r="I1002" s="6" t="s">
        <v>668</v>
      </c>
      <c r="J1002" s="61" t="s">
        <v>22</v>
      </c>
      <c r="L1002" s="5" t="str">
        <f t="shared" si="161"/>
        <v>01001</v>
      </c>
      <c r="M1002" s="47" t="str">
        <f t="shared" si="162"/>
        <v>06 de abril de 2018</v>
      </c>
      <c r="N1002" s="323">
        <f t="shared" si="164"/>
        <v>6</v>
      </c>
      <c r="O1002" s="25">
        <f t="shared" si="163"/>
        <v>43191</v>
      </c>
      <c r="P1002" s="5" t="str">
        <f t="shared" si="165"/>
        <v>1,40</v>
      </c>
      <c r="Q1002" s="4" t="str">
        <f t="shared" si="166"/>
        <v>Un Bolívares con 40/100</v>
      </c>
    </row>
    <row r="1003" spans="1:17" x14ac:dyDescent="0.25">
      <c r="A1003" s="1">
        <f t="shared" si="167"/>
        <v>1002</v>
      </c>
      <c r="C1003" s="8" t="s">
        <v>17</v>
      </c>
      <c r="D1003" s="2">
        <v>43196</v>
      </c>
      <c r="E1003" s="3">
        <f>60000/100000</f>
        <v>0.6</v>
      </c>
      <c r="F1003" t="s">
        <v>80</v>
      </c>
      <c r="G1003" t="s">
        <v>81</v>
      </c>
      <c r="H1003" t="s">
        <v>82</v>
      </c>
      <c r="I1003" s="6" t="s">
        <v>672</v>
      </c>
      <c r="J1003" s="61" t="s">
        <v>673</v>
      </c>
      <c r="L1003" s="5" t="str">
        <f t="shared" si="161"/>
        <v>01002</v>
      </c>
      <c r="M1003" s="47" t="str">
        <f t="shared" si="162"/>
        <v>06 de abril de 2018</v>
      </c>
      <c r="N1003" s="323">
        <f t="shared" si="164"/>
        <v>6</v>
      </c>
      <c r="O1003" s="25">
        <f t="shared" si="163"/>
        <v>43191</v>
      </c>
      <c r="P1003" s="5" t="str">
        <f t="shared" ref="P1003:P1009" si="168">TEXT(E1003,"#.##0,00")</f>
        <v>0,60</v>
      </c>
      <c r="Q1003" s="4" t="str">
        <f t="shared" ref="Q1003:Q1009" si="169">CONVERTIRNUM(E1003)</f>
        <v>Cero Bolívares con 60/100</v>
      </c>
    </row>
    <row r="1004" spans="1:17" x14ac:dyDescent="0.25">
      <c r="A1004" s="1">
        <f t="shared" si="167"/>
        <v>1003</v>
      </c>
      <c r="C1004" s="8" t="s">
        <v>17</v>
      </c>
      <c r="D1004" s="2">
        <v>43227</v>
      </c>
      <c r="E1004" s="3">
        <f>400000/100000</f>
        <v>4</v>
      </c>
      <c r="F1004" t="s">
        <v>80</v>
      </c>
      <c r="G1004" t="s">
        <v>81</v>
      </c>
      <c r="H1004" t="s">
        <v>82</v>
      </c>
      <c r="I1004" s="6" t="s">
        <v>684</v>
      </c>
      <c r="J1004" s="61" t="s">
        <v>22</v>
      </c>
      <c r="L1004" s="5" t="str">
        <f t="shared" si="161"/>
        <v>01003</v>
      </c>
      <c r="M1004" s="47" t="str">
        <f t="shared" si="162"/>
        <v>07 de mayo de 2018</v>
      </c>
      <c r="N1004" s="323">
        <f t="shared" si="164"/>
        <v>7</v>
      </c>
      <c r="O1004" s="25">
        <f t="shared" si="163"/>
        <v>43221</v>
      </c>
      <c r="P1004" s="5" t="str">
        <f t="shared" si="168"/>
        <v>4,00</v>
      </c>
      <c r="Q1004" s="4" t="str">
        <f t="shared" si="169"/>
        <v>Cuatro Bolívares con 00/100</v>
      </c>
    </row>
    <row r="1005" spans="1:17" x14ac:dyDescent="0.25">
      <c r="A1005" s="1">
        <f t="shared" si="167"/>
        <v>1004</v>
      </c>
      <c r="C1005" s="8" t="s">
        <v>17</v>
      </c>
      <c r="D1005" s="2">
        <v>43227</v>
      </c>
      <c r="E1005" s="3">
        <f>540000/100000</f>
        <v>5.4</v>
      </c>
      <c r="F1005" t="s">
        <v>94</v>
      </c>
      <c r="G1005" t="s">
        <v>607</v>
      </c>
      <c r="H1005" t="s">
        <v>96</v>
      </c>
      <c r="I1005" s="6" t="s">
        <v>695</v>
      </c>
      <c r="J1005" s="61" t="s">
        <v>22</v>
      </c>
      <c r="L1005" s="5" t="str">
        <f t="shared" si="161"/>
        <v>01004</v>
      </c>
      <c r="M1005" s="47" t="str">
        <f t="shared" si="162"/>
        <v>07 de mayo de 2018</v>
      </c>
      <c r="N1005" s="323">
        <f t="shared" si="164"/>
        <v>7</v>
      </c>
      <c r="O1005" s="25">
        <f t="shared" si="163"/>
        <v>43221</v>
      </c>
      <c r="P1005" s="5" t="str">
        <f t="shared" si="168"/>
        <v>5,40</v>
      </c>
      <c r="Q1005" s="4" t="str">
        <f t="shared" si="169"/>
        <v>Cinco Bolívares con 40/100</v>
      </c>
    </row>
    <row r="1006" spans="1:17" x14ac:dyDescent="0.25">
      <c r="A1006" s="1">
        <f t="shared" si="167"/>
        <v>1005</v>
      </c>
      <c r="C1006" s="8" t="s">
        <v>17</v>
      </c>
      <c r="D1006" s="2">
        <v>43224</v>
      </c>
      <c r="E1006" s="3">
        <f>140000/100000</f>
        <v>1.4</v>
      </c>
      <c r="F1006" t="s">
        <v>296</v>
      </c>
      <c r="G1006" t="s">
        <v>297</v>
      </c>
      <c r="H1006" t="s">
        <v>298</v>
      </c>
      <c r="I1006" s="6" t="s">
        <v>668</v>
      </c>
      <c r="J1006" s="61" t="s">
        <v>22</v>
      </c>
      <c r="L1006" s="5" t="str">
        <f t="shared" si="161"/>
        <v>01005</v>
      </c>
      <c r="M1006" s="47" t="str">
        <f t="shared" si="162"/>
        <v>04 de mayo de 2018</v>
      </c>
      <c r="N1006" s="323">
        <f t="shared" si="164"/>
        <v>4</v>
      </c>
      <c r="O1006" s="25">
        <f t="shared" si="163"/>
        <v>43221</v>
      </c>
      <c r="P1006" s="5" t="str">
        <f t="shared" si="168"/>
        <v>1,40</v>
      </c>
      <c r="Q1006" s="4" t="str">
        <f t="shared" si="169"/>
        <v>Un Bolívares con 40/100</v>
      </c>
    </row>
    <row r="1007" spans="1:17" x14ac:dyDescent="0.25">
      <c r="A1007" s="1">
        <f t="shared" si="167"/>
        <v>1006</v>
      </c>
      <c r="C1007" s="8" t="s">
        <v>17</v>
      </c>
      <c r="D1007" s="2">
        <v>43227</v>
      </c>
      <c r="E1007" s="3">
        <f>440000/100000</f>
        <v>4.4000000000000004</v>
      </c>
      <c r="F1007" t="s">
        <v>206</v>
      </c>
      <c r="G1007" t="s">
        <v>207</v>
      </c>
      <c r="H1007" t="s">
        <v>208</v>
      </c>
      <c r="I1007" s="6" t="s">
        <v>622</v>
      </c>
      <c r="J1007" s="61" t="s">
        <v>22</v>
      </c>
      <c r="L1007" s="5" t="str">
        <f t="shared" si="161"/>
        <v>01006</v>
      </c>
      <c r="M1007" s="47" t="str">
        <f t="shared" si="162"/>
        <v>07 de mayo de 2018</v>
      </c>
      <c r="N1007" s="323">
        <f t="shared" si="164"/>
        <v>7</v>
      </c>
      <c r="O1007" s="25">
        <f t="shared" si="163"/>
        <v>43221</v>
      </c>
      <c r="P1007" s="5" t="str">
        <f t="shared" si="168"/>
        <v>4,40</v>
      </c>
      <c r="Q1007" s="4" t="str">
        <f t="shared" si="169"/>
        <v>Cuatro Bolívares con 40/100</v>
      </c>
    </row>
    <row r="1008" spans="1:17" x14ac:dyDescent="0.25">
      <c r="A1008" s="1">
        <f t="shared" si="167"/>
        <v>1007</v>
      </c>
      <c r="C1008" s="8" t="s">
        <v>17</v>
      </c>
      <c r="D1008" s="2">
        <v>43228</v>
      </c>
      <c r="E1008" s="3">
        <f>100000/100000</f>
        <v>1</v>
      </c>
      <c r="F1008" t="s">
        <v>28</v>
      </c>
      <c r="G1008" t="s">
        <v>29</v>
      </c>
      <c r="H1008" t="s">
        <v>30</v>
      </c>
      <c r="I1008" s="6" t="s">
        <v>669</v>
      </c>
      <c r="J1008" s="61" t="s">
        <v>22</v>
      </c>
      <c r="L1008" s="5" t="str">
        <f t="shared" si="161"/>
        <v>01007</v>
      </c>
      <c r="M1008" s="47" t="str">
        <f t="shared" si="162"/>
        <v>08 de mayo de 2018</v>
      </c>
      <c r="N1008" s="323">
        <f t="shared" si="164"/>
        <v>8</v>
      </c>
      <c r="O1008" s="25">
        <f t="shared" si="163"/>
        <v>43221</v>
      </c>
      <c r="P1008" s="5" t="str">
        <f t="shared" si="168"/>
        <v>1,00</v>
      </c>
      <c r="Q1008" s="4" t="str">
        <f t="shared" si="169"/>
        <v>Un Bolívar con 00/100</v>
      </c>
    </row>
    <row r="1009" spans="1:17" x14ac:dyDescent="0.25">
      <c r="A1009" s="1">
        <f t="shared" si="167"/>
        <v>1008</v>
      </c>
      <c r="C1009" s="8" t="s">
        <v>17</v>
      </c>
      <c r="D1009" s="2">
        <v>43228</v>
      </c>
      <c r="E1009" s="3">
        <f>140000*2/100000+400000/100000</f>
        <v>6.8</v>
      </c>
      <c r="F1009" t="s">
        <v>259</v>
      </c>
      <c r="G1009" s="18" t="s">
        <v>58</v>
      </c>
      <c r="H1009" t="s">
        <v>261</v>
      </c>
      <c r="I1009" s="6" t="s">
        <v>629</v>
      </c>
      <c r="J1009" s="61" t="s">
        <v>22</v>
      </c>
      <c r="L1009" s="5" t="str">
        <f t="shared" si="161"/>
        <v>01008</v>
      </c>
      <c r="M1009" s="47" t="str">
        <f t="shared" si="162"/>
        <v>08 de mayo de 2018</v>
      </c>
      <c r="N1009" s="323">
        <f t="shared" si="164"/>
        <v>8</v>
      </c>
      <c r="O1009" s="25">
        <f t="shared" si="163"/>
        <v>43221</v>
      </c>
      <c r="P1009" s="5" t="str">
        <f t="shared" si="168"/>
        <v>6,80</v>
      </c>
      <c r="Q1009" s="4" t="str">
        <f t="shared" si="169"/>
        <v>Seis Bolívares con 80/100</v>
      </c>
    </row>
    <row r="1010" spans="1:17" x14ac:dyDescent="0.25">
      <c r="A1010" s="1">
        <f t="shared" si="167"/>
        <v>1009</v>
      </c>
      <c r="C1010" s="8" t="s">
        <v>17</v>
      </c>
      <c r="D1010" s="2">
        <v>43228</v>
      </c>
      <c r="E1010" s="3">
        <f>140000/100000</f>
        <v>1.4</v>
      </c>
      <c r="F1010" t="s">
        <v>264</v>
      </c>
      <c r="G1010" t="s">
        <v>265</v>
      </c>
      <c r="H1010" t="s">
        <v>266</v>
      </c>
      <c r="I1010" s="6" t="s">
        <v>669</v>
      </c>
      <c r="J1010" s="61" t="s">
        <v>22</v>
      </c>
      <c r="L1010" s="5" t="str">
        <f t="shared" si="161"/>
        <v>01009</v>
      </c>
      <c r="M1010" s="47" t="str">
        <f t="shared" si="162"/>
        <v>08 de mayo de 2018</v>
      </c>
      <c r="N1010" s="323">
        <f t="shared" si="164"/>
        <v>8</v>
      </c>
      <c r="O1010" s="25">
        <f t="shared" si="163"/>
        <v>43221</v>
      </c>
      <c r="P1010" s="5" t="str">
        <f t="shared" ref="P1010:P1040" si="170">TEXT(E1010,"#.##0,00")</f>
        <v>1,40</v>
      </c>
      <c r="Q1010" s="4" t="str">
        <f t="shared" ref="Q1010:Q1040" si="171">CONVERTIRNUM(E1010)</f>
        <v>Un Bolívares con 40/100</v>
      </c>
    </row>
    <row r="1011" spans="1:17" x14ac:dyDescent="0.25">
      <c r="A1011" s="1">
        <f t="shared" si="167"/>
        <v>1010</v>
      </c>
      <c r="C1011" s="8" t="s">
        <v>17</v>
      </c>
      <c r="D1011" s="2">
        <v>43228</v>
      </c>
      <c r="E1011" s="3">
        <f>400000/100000</f>
        <v>4</v>
      </c>
      <c r="F1011" t="s">
        <v>698</v>
      </c>
      <c r="G1011" t="s">
        <v>699</v>
      </c>
      <c r="H1011" t="s">
        <v>150</v>
      </c>
      <c r="I1011" s="6" t="s">
        <v>684</v>
      </c>
      <c r="J1011" s="61" t="s">
        <v>22</v>
      </c>
      <c r="L1011" s="5" t="str">
        <f t="shared" si="161"/>
        <v>01010</v>
      </c>
      <c r="M1011" s="47" t="str">
        <f t="shared" si="162"/>
        <v>08 de mayo de 2018</v>
      </c>
      <c r="N1011" s="323">
        <f t="shared" si="164"/>
        <v>8</v>
      </c>
      <c r="O1011" s="25">
        <f t="shared" si="163"/>
        <v>43221</v>
      </c>
      <c r="P1011" s="5" t="str">
        <f t="shared" si="170"/>
        <v>4,00</v>
      </c>
      <c r="Q1011" s="4" t="str">
        <f t="shared" si="171"/>
        <v>Cuatro Bolívares con 00/100</v>
      </c>
    </row>
    <row r="1012" spans="1:17" x14ac:dyDescent="0.25">
      <c r="A1012" s="1">
        <f t="shared" si="167"/>
        <v>1011</v>
      </c>
      <c r="C1012" s="8" t="s">
        <v>17</v>
      </c>
      <c r="D1012" s="2">
        <v>43228</v>
      </c>
      <c r="E1012" s="3">
        <f>155000/100000+400000/100000</f>
        <v>5.55</v>
      </c>
      <c r="F1012" s="20" t="s">
        <v>57</v>
      </c>
      <c r="G1012" s="18" t="s">
        <v>58</v>
      </c>
      <c r="H1012" s="21" t="s">
        <v>59</v>
      </c>
      <c r="I1012" s="6" t="s">
        <v>695</v>
      </c>
      <c r="J1012" s="61" t="s">
        <v>22</v>
      </c>
      <c r="K1012" s="22"/>
      <c r="L1012" s="5" t="str">
        <f t="shared" si="161"/>
        <v>01011</v>
      </c>
      <c r="M1012" s="47" t="str">
        <f t="shared" si="162"/>
        <v>08 de mayo de 2018</v>
      </c>
      <c r="N1012" s="323">
        <f t="shared" si="164"/>
        <v>8</v>
      </c>
      <c r="O1012" s="25">
        <f t="shared" si="163"/>
        <v>43221</v>
      </c>
      <c r="P1012" s="5" t="str">
        <f t="shared" si="170"/>
        <v>5,55</v>
      </c>
      <c r="Q1012" s="4" t="str">
        <f t="shared" si="171"/>
        <v>Cinco Bolívares con 55/100</v>
      </c>
    </row>
    <row r="1013" spans="1:17" x14ac:dyDescent="0.25">
      <c r="A1013" s="1">
        <f t="shared" si="167"/>
        <v>1012</v>
      </c>
      <c r="C1013" s="8" t="s">
        <v>17</v>
      </c>
      <c r="D1013" s="2">
        <v>43229</v>
      </c>
      <c r="E1013" s="3">
        <f>400000/100000</f>
        <v>4</v>
      </c>
      <c r="F1013" t="s">
        <v>633</v>
      </c>
      <c r="G1013" t="s">
        <v>634</v>
      </c>
      <c r="H1013" t="s">
        <v>635</v>
      </c>
      <c r="I1013" s="6" t="s">
        <v>684</v>
      </c>
      <c r="J1013" s="61" t="s">
        <v>22</v>
      </c>
      <c r="L1013" s="5" t="str">
        <f t="shared" si="161"/>
        <v>01012</v>
      </c>
      <c r="M1013" s="47" t="str">
        <f t="shared" si="162"/>
        <v>09 de mayo de 2018</v>
      </c>
      <c r="N1013" s="323">
        <f t="shared" si="164"/>
        <v>9</v>
      </c>
      <c r="O1013" s="25">
        <f t="shared" si="163"/>
        <v>43221</v>
      </c>
      <c r="P1013" s="5" t="str">
        <f t="shared" si="170"/>
        <v>4,00</v>
      </c>
      <c r="Q1013" s="4" t="str">
        <f t="shared" si="171"/>
        <v>Cuatro Bolívares con 00/100</v>
      </c>
    </row>
    <row r="1014" spans="1:17" x14ac:dyDescent="0.25">
      <c r="A1014" s="1">
        <f t="shared" si="167"/>
        <v>1013</v>
      </c>
      <c r="C1014" s="8" t="s">
        <v>17</v>
      </c>
      <c r="D1014" s="2">
        <v>43230</v>
      </c>
      <c r="E1014" s="3">
        <f>2000000/100000</f>
        <v>20</v>
      </c>
      <c r="F1014" t="s">
        <v>162</v>
      </c>
      <c r="G1014" t="s">
        <v>163</v>
      </c>
      <c r="H1014" t="s">
        <v>164</v>
      </c>
      <c r="I1014" s="6" t="s">
        <v>700</v>
      </c>
      <c r="J1014" s="61" t="s">
        <v>22</v>
      </c>
      <c r="L1014" s="5" t="str">
        <f t="shared" si="161"/>
        <v>01013</v>
      </c>
      <c r="M1014" s="47" t="str">
        <f t="shared" si="162"/>
        <v>10 de mayo de 2018</v>
      </c>
      <c r="N1014" s="323">
        <f t="shared" si="164"/>
        <v>10</v>
      </c>
      <c r="O1014" s="25">
        <f t="shared" si="163"/>
        <v>43221</v>
      </c>
      <c r="P1014" s="5" t="str">
        <f t="shared" si="170"/>
        <v>20,00</v>
      </c>
      <c r="Q1014" s="4" t="str">
        <f t="shared" si="171"/>
        <v>Veinte Bolívares con 00/100</v>
      </c>
    </row>
    <row r="1015" spans="1:17" x14ac:dyDescent="0.25">
      <c r="A1015" s="1">
        <f t="shared" si="167"/>
        <v>1014</v>
      </c>
      <c r="C1015" s="8" t="s">
        <v>17</v>
      </c>
      <c r="D1015" s="2">
        <v>43230</v>
      </c>
      <c r="E1015" s="3">
        <f>400000/100000</f>
        <v>4</v>
      </c>
      <c r="F1015" t="s">
        <v>126</v>
      </c>
      <c r="G1015" t="s">
        <v>127</v>
      </c>
      <c r="H1015" t="s">
        <v>128</v>
      </c>
      <c r="I1015" s="6" t="s">
        <v>684</v>
      </c>
      <c r="J1015" s="61" t="s">
        <v>22</v>
      </c>
      <c r="L1015" s="5" t="str">
        <f t="shared" si="161"/>
        <v>01014</v>
      </c>
      <c r="M1015" s="47" t="str">
        <f t="shared" si="162"/>
        <v>10 de mayo de 2018</v>
      </c>
      <c r="N1015" s="323">
        <f t="shared" si="164"/>
        <v>10</v>
      </c>
      <c r="O1015" s="25">
        <f t="shared" si="163"/>
        <v>43221</v>
      </c>
      <c r="P1015" s="5" t="str">
        <f t="shared" si="170"/>
        <v>4,00</v>
      </c>
      <c r="Q1015" s="4" t="str">
        <f t="shared" si="171"/>
        <v>Cuatro Bolívares con 00/100</v>
      </c>
    </row>
    <row r="1016" spans="1:17" x14ac:dyDescent="0.25">
      <c r="A1016" s="1">
        <f t="shared" si="167"/>
        <v>1015</v>
      </c>
      <c r="C1016" s="8" t="s">
        <v>17</v>
      </c>
      <c r="D1016" s="2">
        <v>43231</v>
      </c>
      <c r="E1016" s="3">
        <f>400000/100000</f>
        <v>4</v>
      </c>
      <c r="F1016" t="s">
        <v>362</v>
      </c>
      <c r="G1016" t="s">
        <v>363</v>
      </c>
      <c r="H1016" t="s">
        <v>364</v>
      </c>
      <c r="I1016" s="6" t="s">
        <v>684</v>
      </c>
      <c r="J1016" s="61" t="s">
        <v>22</v>
      </c>
      <c r="L1016" s="5" t="str">
        <f t="shared" si="161"/>
        <v>01015</v>
      </c>
      <c r="M1016" s="47" t="str">
        <f t="shared" si="162"/>
        <v>11 de mayo de 2018</v>
      </c>
      <c r="N1016" s="323">
        <f t="shared" si="164"/>
        <v>11</v>
      </c>
      <c r="O1016" s="25">
        <f t="shared" si="163"/>
        <v>43221</v>
      </c>
      <c r="P1016" s="5" t="str">
        <f t="shared" si="170"/>
        <v>4,00</v>
      </c>
      <c r="Q1016" s="4" t="str">
        <f t="shared" si="171"/>
        <v>Cuatro Bolívares con 00/100</v>
      </c>
    </row>
    <row r="1017" spans="1:17" x14ac:dyDescent="0.25">
      <c r="A1017" s="1">
        <f t="shared" si="167"/>
        <v>1016</v>
      </c>
      <c r="C1017" s="8" t="s">
        <v>17</v>
      </c>
      <c r="D1017" s="2">
        <v>43231</v>
      </c>
      <c r="E1017" s="3">
        <f>280000/100000</f>
        <v>2.8</v>
      </c>
      <c r="F1017" t="s">
        <v>337</v>
      </c>
      <c r="G1017" t="s">
        <v>338</v>
      </c>
      <c r="H1017" t="s">
        <v>339</v>
      </c>
      <c r="I1017" s="6" t="s">
        <v>701</v>
      </c>
      <c r="J1017" s="61" t="s">
        <v>22</v>
      </c>
      <c r="L1017" s="5" t="str">
        <f t="shared" si="161"/>
        <v>01016</v>
      </c>
      <c r="M1017" s="47" t="str">
        <f t="shared" si="162"/>
        <v>11 de mayo de 2018</v>
      </c>
      <c r="N1017" s="323">
        <f t="shared" si="164"/>
        <v>11</v>
      </c>
      <c r="O1017" s="25">
        <f t="shared" si="163"/>
        <v>43221</v>
      </c>
      <c r="P1017" s="5" t="str">
        <f t="shared" si="170"/>
        <v>2,80</v>
      </c>
      <c r="Q1017" s="4" t="str">
        <f t="shared" si="171"/>
        <v>Dos Bolívares con 80/100</v>
      </c>
    </row>
    <row r="1018" spans="1:17" x14ac:dyDescent="0.25">
      <c r="A1018" s="1">
        <f t="shared" si="167"/>
        <v>1017</v>
      </c>
      <c r="C1018" s="8" t="s">
        <v>17</v>
      </c>
      <c r="D1018" s="2">
        <v>43233</v>
      </c>
      <c r="E1018" s="3">
        <f>100000/100000</f>
        <v>1</v>
      </c>
      <c r="F1018" t="s">
        <v>167</v>
      </c>
      <c r="G1018" t="s">
        <v>168</v>
      </c>
      <c r="H1018" t="s">
        <v>169</v>
      </c>
      <c r="I1018" s="6" t="s">
        <v>680</v>
      </c>
      <c r="J1018" s="61" t="s">
        <v>22</v>
      </c>
      <c r="L1018" s="5" t="str">
        <f t="shared" si="161"/>
        <v>01017</v>
      </c>
      <c r="M1018" s="47" t="str">
        <f t="shared" si="162"/>
        <v>13 de mayo de 2018</v>
      </c>
      <c r="N1018" s="323">
        <f t="shared" si="164"/>
        <v>13</v>
      </c>
      <c r="O1018" s="25">
        <f t="shared" si="163"/>
        <v>43221</v>
      </c>
      <c r="P1018" s="5" t="str">
        <f t="shared" si="170"/>
        <v>1,00</v>
      </c>
      <c r="Q1018" s="4" t="str">
        <f t="shared" si="171"/>
        <v>Un Bolívar con 00/100</v>
      </c>
    </row>
    <row r="1019" spans="1:17" x14ac:dyDescent="0.25">
      <c r="A1019" s="1">
        <f t="shared" si="167"/>
        <v>1018</v>
      </c>
      <c r="C1019" s="8" t="s">
        <v>17</v>
      </c>
      <c r="D1019" s="2">
        <v>43233</v>
      </c>
      <c r="E1019" s="3">
        <f>580000/100000</f>
        <v>5.8</v>
      </c>
      <c r="F1019" s="23" t="s">
        <v>422</v>
      </c>
      <c r="G1019" s="18" t="s">
        <v>58</v>
      </c>
      <c r="H1019" t="s">
        <v>423</v>
      </c>
      <c r="I1019" s="6" t="s">
        <v>684</v>
      </c>
      <c r="J1019" s="61" t="s">
        <v>22</v>
      </c>
      <c r="L1019" s="5" t="str">
        <f t="shared" si="161"/>
        <v>01018</v>
      </c>
      <c r="M1019" s="47" t="str">
        <f t="shared" si="162"/>
        <v>13 de mayo de 2018</v>
      </c>
      <c r="N1019" s="323">
        <f t="shared" si="164"/>
        <v>13</v>
      </c>
      <c r="O1019" s="25">
        <f t="shared" si="163"/>
        <v>43221</v>
      </c>
      <c r="P1019" s="5" t="str">
        <f t="shared" si="170"/>
        <v>5,80</v>
      </c>
      <c r="Q1019" s="4" t="str">
        <f t="shared" si="171"/>
        <v>Cinco Bolívares con 80/100</v>
      </c>
    </row>
    <row r="1020" spans="1:17" x14ac:dyDescent="0.25">
      <c r="A1020" s="1">
        <f t="shared" si="167"/>
        <v>1019</v>
      </c>
      <c r="C1020" s="8" t="s">
        <v>17</v>
      </c>
      <c r="D1020" s="2">
        <v>43234</v>
      </c>
      <c r="E1020" s="3">
        <f>300000/100000</f>
        <v>3</v>
      </c>
      <c r="F1020" t="s">
        <v>32</v>
      </c>
      <c r="G1020" t="s">
        <v>33</v>
      </c>
      <c r="H1020" t="s">
        <v>34</v>
      </c>
      <c r="I1020" s="6" t="s">
        <v>662</v>
      </c>
      <c r="J1020" s="61" t="s">
        <v>22</v>
      </c>
      <c r="L1020" s="5" t="str">
        <f t="shared" si="161"/>
        <v>01019</v>
      </c>
      <c r="M1020" s="47" t="str">
        <f t="shared" si="162"/>
        <v>14 de mayo de 2018</v>
      </c>
      <c r="N1020" s="323">
        <f t="shared" si="164"/>
        <v>14</v>
      </c>
      <c r="O1020" s="25">
        <f t="shared" si="163"/>
        <v>43221</v>
      </c>
      <c r="P1020" s="5" t="str">
        <f t="shared" si="170"/>
        <v>3,00</v>
      </c>
      <c r="Q1020" s="4" t="str">
        <f t="shared" si="171"/>
        <v>Tres Bolívares con 00/100</v>
      </c>
    </row>
    <row r="1021" spans="1:17" x14ac:dyDescent="0.25">
      <c r="A1021" s="1">
        <f t="shared" si="167"/>
        <v>1020</v>
      </c>
      <c r="C1021" s="8" t="s">
        <v>17</v>
      </c>
      <c r="D1021" s="2">
        <v>43235</v>
      </c>
      <c r="E1021" s="3">
        <f>400000/100000</f>
        <v>4</v>
      </c>
      <c r="F1021" t="s">
        <v>201</v>
      </c>
      <c r="G1021" t="s">
        <v>202</v>
      </c>
      <c r="H1021" t="s">
        <v>203</v>
      </c>
      <c r="I1021" s="6" t="s">
        <v>684</v>
      </c>
      <c r="J1021" s="61" t="s">
        <v>22</v>
      </c>
      <c r="L1021" s="5" t="str">
        <f t="shared" si="161"/>
        <v>01020</v>
      </c>
      <c r="M1021" s="47" t="str">
        <f t="shared" si="162"/>
        <v>15 de mayo de 2018</v>
      </c>
      <c r="N1021" s="323">
        <f t="shared" si="164"/>
        <v>15</v>
      </c>
      <c r="O1021" s="25">
        <f t="shared" si="163"/>
        <v>43221</v>
      </c>
      <c r="P1021" s="5" t="str">
        <f t="shared" si="170"/>
        <v>4,00</v>
      </c>
      <c r="Q1021" s="4" t="str">
        <f t="shared" si="171"/>
        <v>Cuatro Bolívares con 00/100</v>
      </c>
    </row>
    <row r="1022" spans="1:17" x14ac:dyDescent="0.25">
      <c r="A1022" s="1">
        <f t="shared" si="167"/>
        <v>1021</v>
      </c>
      <c r="C1022" s="8" t="s">
        <v>17</v>
      </c>
      <c r="D1022" s="2">
        <v>43235</v>
      </c>
      <c r="E1022" s="3">
        <f>400000/100000</f>
        <v>4</v>
      </c>
      <c r="F1022" t="s">
        <v>177</v>
      </c>
      <c r="G1022" s="18" t="s">
        <v>58</v>
      </c>
      <c r="H1022" t="s">
        <v>179</v>
      </c>
      <c r="I1022" s="6" t="s">
        <v>684</v>
      </c>
      <c r="J1022" s="61" t="s">
        <v>22</v>
      </c>
      <c r="L1022" s="5" t="str">
        <f t="shared" si="161"/>
        <v>01021</v>
      </c>
      <c r="M1022" s="47" t="str">
        <f t="shared" si="162"/>
        <v>15 de mayo de 2018</v>
      </c>
      <c r="N1022" s="323">
        <f t="shared" si="164"/>
        <v>15</v>
      </c>
      <c r="O1022" s="25">
        <f t="shared" si="163"/>
        <v>43221</v>
      </c>
      <c r="P1022" s="5" t="str">
        <f t="shared" si="170"/>
        <v>4,00</v>
      </c>
      <c r="Q1022" s="4" t="str">
        <f t="shared" si="171"/>
        <v>Cuatro Bolívares con 00/100</v>
      </c>
    </row>
    <row r="1023" spans="1:17" x14ac:dyDescent="0.25">
      <c r="A1023" s="1">
        <f t="shared" si="167"/>
        <v>1022</v>
      </c>
      <c r="C1023" s="8" t="s">
        <v>17</v>
      </c>
      <c r="D1023" s="2">
        <v>43235</v>
      </c>
      <c r="E1023" s="3">
        <f>400000/100000</f>
        <v>4</v>
      </c>
      <c r="F1023" t="s">
        <v>181</v>
      </c>
      <c r="G1023" t="s">
        <v>182</v>
      </c>
      <c r="H1023" t="s">
        <v>183</v>
      </c>
      <c r="I1023" s="6" t="s">
        <v>684</v>
      </c>
      <c r="J1023" s="61" t="s">
        <v>22</v>
      </c>
      <c r="L1023" s="5" t="str">
        <f t="shared" si="161"/>
        <v>01022</v>
      </c>
      <c r="M1023" s="47" t="str">
        <f t="shared" si="162"/>
        <v>15 de mayo de 2018</v>
      </c>
      <c r="N1023" s="323">
        <f t="shared" si="164"/>
        <v>15</v>
      </c>
      <c r="O1023" s="25">
        <f t="shared" si="163"/>
        <v>43221</v>
      </c>
      <c r="P1023" s="5" t="str">
        <f t="shared" si="170"/>
        <v>4,00</v>
      </c>
      <c r="Q1023" s="4" t="str">
        <f t="shared" si="171"/>
        <v>Cuatro Bolívares con 00/100</v>
      </c>
    </row>
    <row r="1024" spans="1:17" x14ac:dyDescent="0.25">
      <c r="A1024" s="1">
        <f t="shared" si="167"/>
        <v>1023</v>
      </c>
      <c r="C1024" s="8" t="s">
        <v>17</v>
      </c>
      <c r="D1024" s="2">
        <v>43235</v>
      </c>
      <c r="E1024" s="3">
        <f>200000/100000</f>
        <v>2</v>
      </c>
      <c r="F1024" t="s">
        <v>401</v>
      </c>
      <c r="G1024" t="s">
        <v>402</v>
      </c>
      <c r="H1024" t="s">
        <v>403</v>
      </c>
      <c r="I1024" s="6" t="s">
        <v>702</v>
      </c>
      <c r="J1024" s="61" t="s">
        <v>22</v>
      </c>
      <c r="L1024" s="5" t="str">
        <f t="shared" si="161"/>
        <v>01023</v>
      </c>
      <c r="M1024" s="47" t="str">
        <f t="shared" si="162"/>
        <v>15 de mayo de 2018</v>
      </c>
      <c r="N1024" s="323">
        <f t="shared" si="164"/>
        <v>15</v>
      </c>
      <c r="O1024" s="25">
        <f t="shared" si="163"/>
        <v>43221</v>
      </c>
      <c r="P1024" s="5" t="str">
        <f t="shared" si="170"/>
        <v>2,00</v>
      </c>
      <c r="Q1024" s="4" t="str">
        <f t="shared" si="171"/>
        <v>Dos Bolívares con 00/100</v>
      </c>
    </row>
    <row r="1025" spans="1:17" x14ac:dyDescent="0.25">
      <c r="A1025" s="1">
        <f t="shared" si="167"/>
        <v>1024</v>
      </c>
      <c r="C1025" s="8" t="s">
        <v>17</v>
      </c>
      <c r="D1025" s="2">
        <v>43235</v>
      </c>
      <c r="E1025" s="3">
        <f>300000/100000</f>
        <v>3</v>
      </c>
      <c r="F1025" t="s">
        <v>312</v>
      </c>
      <c r="G1025" t="s">
        <v>313</v>
      </c>
      <c r="H1025" t="s">
        <v>314</v>
      </c>
      <c r="I1025" s="6" t="s">
        <v>703</v>
      </c>
      <c r="J1025" s="61" t="s">
        <v>22</v>
      </c>
      <c r="L1025" s="5" t="str">
        <f t="shared" si="161"/>
        <v>01024</v>
      </c>
      <c r="M1025" s="47" t="str">
        <f t="shared" si="162"/>
        <v>15 de mayo de 2018</v>
      </c>
      <c r="N1025" s="323">
        <f t="shared" si="164"/>
        <v>15</v>
      </c>
      <c r="O1025" s="25">
        <f t="shared" si="163"/>
        <v>43221</v>
      </c>
      <c r="P1025" s="5" t="str">
        <f t="shared" si="170"/>
        <v>3,00</v>
      </c>
      <c r="Q1025" s="4" t="str">
        <f t="shared" si="171"/>
        <v>Tres Bolívares con 00/100</v>
      </c>
    </row>
    <row r="1026" spans="1:17" x14ac:dyDescent="0.25">
      <c r="A1026" s="1">
        <f t="shared" si="167"/>
        <v>1025</v>
      </c>
      <c r="C1026" s="8" t="s">
        <v>17</v>
      </c>
      <c r="D1026" s="2">
        <v>43237</v>
      </c>
      <c r="E1026" s="3">
        <f>400000/100000</f>
        <v>4</v>
      </c>
      <c r="F1026" t="s">
        <v>103</v>
      </c>
      <c r="G1026" t="s">
        <v>104</v>
      </c>
      <c r="H1026" t="s">
        <v>105</v>
      </c>
      <c r="I1026" s="6" t="s">
        <v>684</v>
      </c>
      <c r="J1026" s="61" t="s">
        <v>22</v>
      </c>
      <c r="L1026" s="5" t="str">
        <f t="shared" ref="L1026:L1089" si="172">IF(ISBLANK(A1026),"",TEXT(A1026,"00000"))</f>
        <v>01025</v>
      </c>
      <c r="M1026" s="47" t="str">
        <f t="shared" ref="M1026:M1089" si="173">IF(ISBLANK(D1026),"",TEXT(D1026,"dd")&amp;" de "&amp;TEXT(D1026,"mmmm")&amp;" de "&amp;TEXT(YEAR(D1026),"0"))</f>
        <v>17 de mayo de 2018</v>
      </c>
      <c r="N1026" s="323">
        <f t="shared" si="164"/>
        <v>17</v>
      </c>
      <c r="O1026" s="25">
        <f t="shared" ref="O1026:O1089" si="174">DATE(YEAR(D1026),MONTH(D1026),1)</f>
        <v>43221</v>
      </c>
      <c r="P1026" s="5" t="str">
        <f t="shared" si="170"/>
        <v>4,00</v>
      </c>
      <c r="Q1026" s="4" t="str">
        <f t="shared" si="171"/>
        <v>Cuatro Bolívares con 00/100</v>
      </c>
    </row>
    <row r="1027" spans="1:17" x14ac:dyDescent="0.25">
      <c r="A1027" s="1">
        <f t="shared" si="167"/>
        <v>1026</v>
      </c>
      <c r="C1027" s="8" t="s">
        <v>17</v>
      </c>
      <c r="D1027" s="2">
        <v>43238</v>
      </c>
      <c r="E1027" s="3">
        <f>1600000/100000</f>
        <v>16</v>
      </c>
      <c r="F1027" t="s">
        <v>342</v>
      </c>
      <c r="G1027" t="s">
        <v>343</v>
      </c>
      <c r="H1027" t="s">
        <v>344</v>
      </c>
      <c r="I1027" s="6" t="s">
        <v>704</v>
      </c>
      <c r="J1027" s="61" t="s">
        <v>22</v>
      </c>
      <c r="L1027" s="5" t="str">
        <f t="shared" si="172"/>
        <v>01026</v>
      </c>
      <c r="M1027" s="47" t="str">
        <f t="shared" si="173"/>
        <v>18 de mayo de 2018</v>
      </c>
      <c r="N1027" s="323">
        <f t="shared" ref="N1027:N1090" si="175">DAY(D1027)</f>
        <v>18</v>
      </c>
      <c r="O1027" s="25">
        <f t="shared" si="174"/>
        <v>43221</v>
      </c>
      <c r="P1027" s="5" t="str">
        <f t="shared" si="170"/>
        <v>16,00</v>
      </c>
      <c r="Q1027" s="4" t="str">
        <f t="shared" si="171"/>
        <v>Dieciséis Bolívares con 00/100</v>
      </c>
    </row>
    <row r="1028" spans="1:17" x14ac:dyDescent="0.25">
      <c r="A1028" s="1">
        <f t="shared" si="167"/>
        <v>1027</v>
      </c>
      <c r="C1028" s="8" t="s">
        <v>17</v>
      </c>
      <c r="D1028" s="2">
        <v>43238</v>
      </c>
      <c r="E1028" s="3">
        <f>250000/100000</f>
        <v>2.5</v>
      </c>
      <c r="F1028" t="s">
        <v>118</v>
      </c>
      <c r="G1028" t="s">
        <v>119</v>
      </c>
      <c r="H1028" t="s">
        <v>120</v>
      </c>
      <c r="I1028" s="6" t="s">
        <v>702</v>
      </c>
      <c r="J1028" s="61" t="s">
        <v>22</v>
      </c>
      <c r="L1028" s="5" t="str">
        <f t="shared" si="172"/>
        <v>01027</v>
      </c>
      <c r="M1028" s="47" t="str">
        <f t="shared" si="173"/>
        <v>18 de mayo de 2018</v>
      </c>
      <c r="N1028" s="323">
        <f t="shared" si="175"/>
        <v>18</v>
      </c>
      <c r="O1028" s="25">
        <f t="shared" si="174"/>
        <v>43221</v>
      </c>
      <c r="P1028" s="5" t="str">
        <f t="shared" si="170"/>
        <v>2,50</v>
      </c>
      <c r="Q1028" s="4" t="str">
        <f t="shared" si="171"/>
        <v>Dos Bolívares con 50/100</v>
      </c>
    </row>
    <row r="1029" spans="1:17" x14ac:dyDescent="0.25">
      <c r="A1029" s="1">
        <f t="shared" si="167"/>
        <v>1028</v>
      </c>
      <c r="C1029" s="8" t="s">
        <v>17</v>
      </c>
      <c r="D1029" s="2">
        <v>43238</v>
      </c>
      <c r="E1029" s="3">
        <f>140000/100000</f>
        <v>1.4</v>
      </c>
      <c r="F1029" t="s">
        <v>62</v>
      </c>
      <c r="G1029" t="s">
        <v>63</v>
      </c>
      <c r="H1029" t="s">
        <v>64</v>
      </c>
      <c r="I1029" s="6" t="s">
        <v>668</v>
      </c>
      <c r="J1029" s="61" t="s">
        <v>22</v>
      </c>
      <c r="L1029" s="5" t="str">
        <f t="shared" si="172"/>
        <v>01028</v>
      </c>
      <c r="M1029" s="47" t="str">
        <f t="shared" si="173"/>
        <v>18 de mayo de 2018</v>
      </c>
      <c r="N1029" s="323">
        <f t="shared" si="175"/>
        <v>18</v>
      </c>
      <c r="O1029" s="25">
        <f t="shared" si="174"/>
        <v>43221</v>
      </c>
      <c r="P1029" s="5" t="str">
        <f t="shared" si="170"/>
        <v>1,40</v>
      </c>
      <c r="Q1029" s="4" t="str">
        <f t="shared" si="171"/>
        <v>Un Bolívares con 40/100</v>
      </c>
    </row>
    <row r="1030" spans="1:17" x14ac:dyDescent="0.25">
      <c r="A1030" s="1">
        <f t="shared" si="167"/>
        <v>1029</v>
      </c>
      <c r="C1030" s="8" t="s">
        <v>17</v>
      </c>
      <c r="D1030" s="2">
        <v>43238</v>
      </c>
      <c r="E1030" s="3">
        <f>400000/100000</f>
        <v>4</v>
      </c>
      <c r="F1030" t="s">
        <v>211</v>
      </c>
      <c r="G1030" t="s">
        <v>212</v>
      </c>
      <c r="H1030" t="s">
        <v>213</v>
      </c>
      <c r="I1030" s="6" t="s">
        <v>684</v>
      </c>
      <c r="J1030" s="61" t="s">
        <v>22</v>
      </c>
      <c r="L1030" s="5" t="str">
        <f t="shared" si="172"/>
        <v>01029</v>
      </c>
      <c r="M1030" s="47" t="str">
        <f t="shared" si="173"/>
        <v>18 de mayo de 2018</v>
      </c>
      <c r="N1030" s="323">
        <f t="shared" si="175"/>
        <v>18</v>
      </c>
      <c r="O1030" s="25">
        <f t="shared" si="174"/>
        <v>43221</v>
      </c>
      <c r="P1030" s="5" t="str">
        <f t="shared" si="170"/>
        <v>4,00</v>
      </c>
      <c r="Q1030" s="4" t="str">
        <f t="shared" si="171"/>
        <v>Cuatro Bolívares con 00/100</v>
      </c>
    </row>
    <row r="1031" spans="1:17" x14ac:dyDescent="0.25">
      <c r="A1031" s="1">
        <f t="shared" si="167"/>
        <v>1030</v>
      </c>
      <c r="C1031" s="8" t="s">
        <v>17</v>
      </c>
      <c r="D1031" s="2">
        <v>43239</v>
      </c>
      <c r="E1031" s="3">
        <f>400000/100000</f>
        <v>4</v>
      </c>
      <c r="F1031" t="s">
        <v>134</v>
      </c>
      <c r="G1031" t="s">
        <v>135</v>
      </c>
      <c r="H1031" t="s">
        <v>136</v>
      </c>
      <c r="I1031" s="6" t="s">
        <v>684</v>
      </c>
      <c r="J1031" s="61" t="s">
        <v>22</v>
      </c>
      <c r="L1031" s="5" t="str">
        <f t="shared" si="172"/>
        <v>01030</v>
      </c>
      <c r="M1031" s="47" t="str">
        <f t="shared" si="173"/>
        <v>19 de mayo de 2018</v>
      </c>
      <c r="N1031" s="323">
        <f t="shared" si="175"/>
        <v>19</v>
      </c>
      <c r="O1031" s="25">
        <f t="shared" si="174"/>
        <v>43221</v>
      </c>
      <c r="P1031" s="5" t="str">
        <f t="shared" si="170"/>
        <v>4,00</v>
      </c>
      <c r="Q1031" s="4" t="str">
        <f t="shared" si="171"/>
        <v>Cuatro Bolívares con 00/100</v>
      </c>
    </row>
    <row r="1032" spans="1:17" x14ac:dyDescent="0.25">
      <c r="A1032" s="1">
        <f t="shared" si="167"/>
        <v>1031</v>
      </c>
      <c r="C1032" s="8" t="s">
        <v>17</v>
      </c>
      <c r="D1032" s="2">
        <v>43240</v>
      </c>
      <c r="E1032" s="3">
        <f>120000/100000</f>
        <v>1.2</v>
      </c>
      <c r="F1032" t="s">
        <v>303</v>
      </c>
      <c r="G1032" s="18" t="s">
        <v>58</v>
      </c>
      <c r="H1032" t="s">
        <v>304</v>
      </c>
      <c r="I1032" s="6" t="s">
        <v>705</v>
      </c>
      <c r="J1032" s="61" t="s">
        <v>22</v>
      </c>
      <c r="L1032" s="5" t="str">
        <f t="shared" si="172"/>
        <v>01031</v>
      </c>
      <c r="M1032" s="47" t="str">
        <f t="shared" si="173"/>
        <v>20 de mayo de 2018</v>
      </c>
      <c r="N1032" s="323">
        <f t="shared" si="175"/>
        <v>20</v>
      </c>
      <c r="O1032" s="25">
        <f t="shared" si="174"/>
        <v>43221</v>
      </c>
      <c r="P1032" s="5" t="str">
        <f t="shared" si="170"/>
        <v>1,20</v>
      </c>
      <c r="Q1032" s="4" t="str">
        <f t="shared" si="171"/>
        <v>Un Bolívares con 20/100</v>
      </c>
    </row>
    <row r="1033" spans="1:17" x14ac:dyDescent="0.25">
      <c r="A1033" s="1">
        <f t="shared" si="167"/>
        <v>1032</v>
      </c>
      <c r="C1033" s="8" t="s">
        <v>17</v>
      </c>
      <c r="D1033" s="2">
        <v>43240</v>
      </c>
      <c r="E1033" s="3">
        <f>540000/100000</f>
        <v>5.4</v>
      </c>
      <c r="F1033" t="s">
        <v>537</v>
      </c>
      <c r="G1033" t="s">
        <v>538</v>
      </c>
      <c r="H1033" t="s">
        <v>539</v>
      </c>
      <c r="I1033" s="6" t="s">
        <v>695</v>
      </c>
      <c r="J1033" s="61" t="s">
        <v>22</v>
      </c>
      <c r="L1033" s="5" t="str">
        <f t="shared" si="172"/>
        <v>01032</v>
      </c>
      <c r="M1033" s="47" t="str">
        <f t="shared" si="173"/>
        <v>20 de mayo de 2018</v>
      </c>
      <c r="N1033" s="323">
        <f t="shared" si="175"/>
        <v>20</v>
      </c>
      <c r="O1033" s="25">
        <f t="shared" si="174"/>
        <v>43221</v>
      </c>
      <c r="P1033" s="5" t="str">
        <f t="shared" si="170"/>
        <v>5,40</v>
      </c>
      <c r="Q1033" s="4" t="str">
        <f t="shared" si="171"/>
        <v>Cinco Bolívares con 40/100</v>
      </c>
    </row>
    <row r="1034" spans="1:17" x14ac:dyDescent="0.25">
      <c r="A1034" s="1">
        <f t="shared" si="167"/>
        <v>1033</v>
      </c>
      <c r="C1034" s="8" t="s">
        <v>17</v>
      </c>
      <c r="D1034" s="2">
        <v>43224</v>
      </c>
      <c r="E1034" s="3">
        <f>200000/100000</f>
        <v>2</v>
      </c>
      <c r="F1034" t="s">
        <v>48</v>
      </c>
      <c r="G1034" t="s">
        <v>49</v>
      </c>
      <c r="H1034" t="s">
        <v>50</v>
      </c>
      <c r="I1034" s="6" t="s">
        <v>702</v>
      </c>
      <c r="J1034" s="61" t="s">
        <v>22</v>
      </c>
      <c r="L1034" s="5" t="str">
        <f t="shared" si="172"/>
        <v>01033</v>
      </c>
      <c r="M1034" s="47" t="str">
        <f t="shared" si="173"/>
        <v>04 de mayo de 2018</v>
      </c>
      <c r="N1034" s="323">
        <f t="shared" si="175"/>
        <v>4</v>
      </c>
      <c r="O1034" s="25">
        <f t="shared" si="174"/>
        <v>43221</v>
      </c>
      <c r="P1034" s="5" t="str">
        <f t="shared" si="170"/>
        <v>2,00</v>
      </c>
      <c r="Q1034" s="4" t="str">
        <f t="shared" si="171"/>
        <v>Dos Bolívares con 00/100</v>
      </c>
    </row>
    <row r="1035" spans="1:17" x14ac:dyDescent="0.25">
      <c r="A1035" s="1">
        <f t="shared" si="167"/>
        <v>1034</v>
      </c>
      <c r="C1035" s="8" t="s">
        <v>17</v>
      </c>
      <c r="D1035" s="2">
        <v>43241</v>
      </c>
      <c r="E1035" s="3">
        <f>400000/100000</f>
        <v>4</v>
      </c>
      <c r="F1035" t="s">
        <v>443</v>
      </c>
      <c r="G1035" t="s">
        <v>444</v>
      </c>
      <c r="H1035" t="s">
        <v>75</v>
      </c>
      <c r="I1035" s="6" t="s">
        <v>684</v>
      </c>
      <c r="J1035" s="61" t="s">
        <v>22</v>
      </c>
      <c r="L1035" s="5" t="str">
        <f t="shared" si="172"/>
        <v>01034</v>
      </c>
      <c r="M1035" s="47" t="str">
        <f t="shared" si="173"/>
        <v>21 de mayo de 2018</v>
      </c>
      <c r="N1035" s="323">
        <f t="shared" si="175"/>
        <v>21</v>
      </c>
      <c r="O1035" s="25">
        <f t="shared" si="174"/>
        <v>43221</v>
      </c>
      <c r="P1035" s="5" t="str">
        <f t="shared" si="170"/>
        <v>4,00</v>
      </c>
      <c r="Q1035" s="4" t="str">
        <f t="shared" si="171"/>
        <v>Cuatro Bolívares con 00/100</v>
      </c>
    </row>
    <row r="1036" spans="1:17" x14ac:dyDescent="0.25">
      <c r="A1036" s="1">
        <f t="shared" si="167"/>
        <v>1035</v>
      </c>
      <c r="C1036" s="8" t="s">
        <v>17</v>
      </c>
      <c r="D1036" s="2">
        <v>43241</v>
      </c>
      <c r="E1036" s="3">
        <f>200000/100000</f>
        <v>2</v>
      </c>
      <c r="F1036" t="s">
        <v>84</v>
      </c>
      <c r="G1036" t="s">
        <v>85</v>
      </c>
      <c r="H1036" t="s">
        <v>86</v>
      </c>
      <c r="I1036" s="6" t="s">
        <v>702</v>
      </c>
      <c r="J1036" s="61" t="s">
        <v>22</v>
      </c>
      <c r="L1036" s="5" t="str">
        <f t="shared" si="172"/>
        <v>01035</v>
      </c>
      <c r="M1036" s="47" t="str">
        <f t="shared" si="173"/>
        <v>21 de mayo de 2018</v>
      </c>
      <c r="N1036" s="323">
        <f t="shared" si="175"/>
        <v>21</v>
      </c>
      <c r="O1036" s="25">
        <f t="shared" si="174"/>
        <v>43221</v>
      </c>
      <c r="P1036" s="5" t="str">
        <f t="shared" si="170"/>
        <v>2,00</v>
      </c>
      <c r="Q1036" s="4" t="str">
        <f t="shared" si="171"/>
        <v>Dos Bolívares con 00/100</v>
      </c>
    </row>
    <row r="1037" spans="1:17" x14ac:dyDescent="0.25">
      <c r="A1037" s="1">
        <f>A1036+1</f>
        <v>1036</v>
      </c>
      <c r="C1037" s="8" t="s">
        <v>17</v>
      </c>
      <c r="D1037" s="2">
        <v>43241</v>
      </c>
      <c r="E1037" s="3">
        <f>190000/100000</f>
        <v>1.9</v>
      </c>
      <c r="F1037" t="s">
        <v>334</v>
      </c>
      <c r="G1037" t="s">
        <v>85</v>
      </c>
      <c r="H1037" t="s">
        <v>335</v>
      </c>
      <c r="I1037" s="6" t="s">
        <v>706</v>
      </c>
      <c r="J1037" s="61" t="s">
        <v>22</v>
      </c>
      <c r="L1037" s="5" t="str">
        <f t="shared" si="172"/>
        <v>01036</v>
      </c>
      <c r="M1037" s="47" t="str">
        <f t="shared" si="173"/>
        <v>21 de mayo de 2018</v>
      </c>
      <c r="N1037" s="323">
        <f t="shared" si="175"/>
        <v>21</v>
      </c>
      <c r="O1037" s="25">
        <f t="shared" si="174"/>
        <v>43221</v>
      </c>
      <c r="P1037" s="5" t="str">
        <f t="shared" si="170"/>
        <v>1,90</v>
      </c>
      <c r="Q1037" s="4" t="str">
        <f t="shared" si="171"/>
        <v>Un Bolívares con 90/100</v>
      </c>
    </row>
    <row r="1038" spans="1:17" x14ac:dyDescent="0.25">
      <c r="A1038" s="1">
        <f t="shared" ref="A1038:A1054" si="176">A1037+1</f>
        <v>1037</v>
      </c>
      <c r="C1038" s="8" t="s">
        <v>17</v>
      </c>
      <c r="D1038" s="2">
        <v>43241</v>
      </c>
      <c r="E1038" s="3">
        <f>400000/100000</f>
        <v>4</v>
      </c>
      <c r="F1038" t="s">
        <v>243</v>
      </c>
      <c r="G1038" t="s">
        <v>244</v>
      </c>
      <c r="H1038" t="s">
        <v>245</v>
      </c>
      <c r="I1038" s="6" t="s">
        <v>684</v>
      </c>
      <c r="J1038" s="61" t="s">
        <v>22</v>
      </c>
      <c r="L1038" s="5" t="str">
        <f t="shared" si="172"/>
        <v>01037</v>
      </c>
      <c r="M1038" s="47" t="str">
        <f t="shared" si="173"/>
        <v>21 de mayo de 2018</v>
      </c>
      <c r="N1038" s="323">
        <f t="shared" si="175"/>
        <v>21</v>
      </c>
      <c r="O1038" s="25">
        <f t="shared" si="174"/>
        <v>43221</v>
      </c>
      <c r="P1038" s="5" t="str">
        <f t="shared" si="170"/>
        <v>4,00</v>
      </c>
      <c r="Q1038" s="4" t="str">
        <f t="shared" si="171"/>
        <v>Cuatro Bolívares con 00/100</v>
      </c>
    </row>
    <row r="1039" spans="1:17" x14ac:dyDescent="0.25">
      <c r="A1039" s="1">
        <f t="shared" si="176"/>
        <v>1038</v>
      </c>
      <c r="C1039" s="8" t="s">
        <v>17</v>
      </c>
      <c r="D1039" s="2">
        <v>43241</v>
      </c>
      <c r="E1039" s="3">
        <f>100000/100000</f>
        <v>1</v>
      </c>
      <c r="F1039" t="s">
        <v>243</v>
      </c>
      <c r="G1039" t="s">
        <v>244</v>
      </c>
      <c r="H1039" t="s">
        <v>245</v>
      </c>
      <c r="I1039" s="6" t="s">
        <v>672</v>
      </c>
      <c r="J1039" s="61" t="s">
        <v>673</v>
      </c>
      <c r="L1039" s="5" t="str">
        <f t="shared" si="172"/>
        <v>01038</v>
      </c>
      <c r="M1039" s="47" t="str">
        <f t="shared" si="173"/>
        <v>21 de mayo de 2018</v>
      </c>
      <c r="N1039" s="323">
        <f t="shared" si="175"/>
        <v>21</v>
      </c>
      <c r="O1039" s="25">
        <f t="shared" si="174"/>
        <v>43221</v>
      </c>
      <c r="P1039" s="5" t="str">
        <f t="shared" si="170"/>
        <v>1,00</v>
      </c>
      <c r="Q1039" s="4" t="str">
        <f t="shared" si="171"/>
        <v>Un Bolívar con 00/100</v>
      </c>
    </row>
    <row r="1040" spans="1:17" x14ac:dyDescent="0.25">
      <c r="A1040" s="1">
        <f t="shared" si="176"/>
        <v>1039</v>
      </c>
      <c r="C1040" s="8" t="s">
        <v>17</v>
      </c>
      <c r="D1040" s="2">
        <v>43241</v>
      </c>
      <c r="E1040" s="3">
        <f>400000/100000</f>
        <v>4</v>
      </c>
      <c r="F1040" t="s">
        <v>122</v>
      </c>
      <c r="G1040" t="s">
        <v>123</v>
      </c>
      <c r="H1040" t="s">
        <v>124</v>
      </c>
      <c r="I1040" s="6" t="s">
        <v>684</v>
      </c>
      <c r="J1040" s="61" t="s">
        <v>22</v>
      </c>
      <c r="L1040" s="5" t="str">
        <f t="shared" si="172"/>
        <v>01039</v>
      </c>
      <c r="M1040" s="47" t="str">
        <f t="shared" si="173"/>
        <v>21 de mayo de 2018</v>
      </c>
      <c r="N1040" s="323">
        <f t="shared" si="175"/>
        <v>21</v>
      </c>
      <c r="O1040" s="25">
        <f t="shared" si="174"/>
        <v>43221</v>
      </c>
      <c r="P1040" s="5" t="str">
        <f t="shared" si="170"/>
        <v>4,00</v>
      </c>
      <c r="Q1040" s="4" t="str">
        <f t="shared" si="171"/>
        <v>Cuatro Bolívares con 00/100</v>
      </c>
    </row>
    <row r="1041" spans="1:17" x14ac:dyDescent="0.25">
      <c r="A1041" s="1">
        <f t="shared" si="176"/>
        <v>1040</v>
      </c>
      <c r="C1041" s="8" t="s">
        <v>17</v>
      </c>
      <c r="D1041" s="2">
        <v>43241</v>
      </c>
      <c r="E1041" s="3">
        <f>400000/100000</f>
        <v>4</v>
      </c>
      <c r="F1041" t="s">
        <v>264</v>
      </c>
      <c r="G1041" t="s">
        <v>265</v>
      </c>
      <c r="H1041" t="s">
        <v>266</v>
      </c>
      <c r="I1041" s="6" t="s">
        <v>684</v>
      </c>
      <c r="J1041" s="61" t="s">
        <v>22</v>
      </c>
      <c r="L1041" s="5" t="str">
        <f t="shared" si="172"/>
        <v>01040</v>
      </c>
      <c r="M1041" s="47" t="str">
        <f t="shared" si="173"/>
        <v>21 de mayo de 2018</v>
      </c>
      <c r="N1041" s="323">
        <f t="shared" si="175"/>
        <v>21</v>
      </c>
      <c r="O1041" s="25">
        <f t="shared" si="174"/>
        <v>43221</v>
      </c>
      <c r="P1041" s="5" t="str">
        <f t="shared" ref="P1041:P1065" si="177">TEXT(E1041,"#.##0,00")</f>
        <v>4,00</v>
      </c>
      <c r="Q1041" s="4" t="str">
        <f t="shared" ref="Q1041:Q1046" si="178">CONVERTIRNUM(E1041)</f>
        <v>Cuatro Bolívares con 00/100</v>
      </c>
    </row>
    <row r="1042" spans="1:17" x14ac:dyDescent="0.25">
      <c r="A1042" s="1">
        <f t="shared" si="176"/>
        <v>1041</v>
      </c>
      <c r="C1042" s="8" t="s">
        <v>17</v>
      </c>
      <c r="D1042" s="2">
        <v>43241</v>
      </c>
      <c r="E1042" s="3">
        <f>400000/100000</f>
        <v>4</v>
      </c>
      <c r="F1042" t="s">
        <v>287</v>
      </c>
      <c r="G1042" t="s">
        <v>288</v>
      </c>
      <c r="H1042" t="s">
        <v>289</v>
      </c>
      <c r="I1042" s="6" t="s">
        <v>684</v>
      </c>
      <c r="J1042" s="61" t="s">
        <v>22</v>
      </c>
      <c r="L1042" s="5" t="str">
        <f t="shared" si="172"/>
        <v>01041</v>
      </c>
      <c r="M1042" s="47" t="str">
        <f t="shared" si="173"/>
        <v>21 de mayo de 2018</v>
      </c>
      <c r="N1042" s="323">
        <f t="shared" si="175"/>
        <v>21</v>
      </c>
      <c r="O1042" s="25">
        <f t="shared" si="174"/>
        <v>43221</v>
      </c>
      <c r="P1042" s="5" t="str">
        <f t="shared" si="177"/>
        <v>4,00</v>
      </c>
      <c r="Q1042" s="4" t="str">
        <f t="shared" si="178"/>
        <v>Cuatro Bolívares con 00/100</v>
      </c>
    </row>
    <row r="1043" spans="1:17" x14ac:dyDescent="0.25">
      <c r="A1043" s="1">
        <f t="shared" si="176"/>
        <v>1042</v>
      </c>
      <c r="C1043" s="8" t="s">
        <v>17</v>
      </c>
      <c r="D1043" s="2">
        <v>43241</v>
      </c>
      <c r="E1043" s="3">
        <f>350000/100000</f>
        <v>3.5</v>
      </c>
      <c r="F1043" t="s">
        <v>287</v>
      </c>
      <c r="G1043" t="s">
        <v>288</v>
      </c>
      <c r="H1043" t="s">
        <v>289</v>
      </c>
      <c r="I1043" s="6" t="s">
        <v>672</v>
      </c>
      <c r="J1043" s="61" t="s">
        <v>673</v>
      </c>
      <c r="L1043" s="5" t="str">
        <f t="shared" si="172"/>
        <v>01042</v>
      </c>
      <c r="M1043" s="47" t="str">
        <f t="shared" si="173"/>
        <v>21 de mayo de 2018</v>
      </c>
      <c r="N1043" s="323">
        <f t="shared" si="175"/>
        <v>21</v>
      </c>
      <c r="O1043" s="25">
        <f t="shared" si="174"/>
        <v>43221</v>
      </c>
      <c r="P1043" s="5" t="str">
        <f t="shared" si="177"/>
        <v>3,50</v>
      </c>
      <c r="Q1043" s="4" t="str">
        <f t="shared" si="178"/>
        <v>Tres Bolívares con 50/100</v>
      </c>
    </row>
    <row r="1044" spans="1:17" x14ac:dyDescent="0.25">
      <c r="A1044" s="1">
        <f t="shared" si="176"/>
        <v>1043</v>
      </c>
      <c r="C1044" s="8" t="s">
        <v>17</v>
      </c>
      <c r="D1044" s="2">
        <v>43241</v>
      </c>
      <c r="E1044" s="3">
        <f>400000/100000</f>
        <v>4</v>
      </c>
      <c r="F1044" t="s">
        <v>324</v>
      </c>
      <c r="G1044" t="s">
        <v>325</v>
      </c>
      <c r="H1044" t="s">
        <v>326</v>
      </c>
      <c r="I1044" s="6" t="s">
        <v>684</v>
      </c>
      <c r="J1044" s="61" t="s">
        <v>22</v>
      </c>
      <c r="L1044" s="5" t="str">
        <f t="shared" si="172"/>
        <v>01043</v>
      </c>
      <c r="M1044" s="47" t="str">
        <f t="shared" si="173"/>
        <v>21 de mayo de 2018</v>
      </c>
      <c r="N1044" s="323">
        <f t="shared" si="175"/>
        <v>21</v>
      </c>
      <c r="O1044" s="25">
        <f t="shared" si="174"/>
        <v>43221</v>
      </c>
      <c r="P1044" s="5" t="str">
        <f t="shared" si="177"/>
        <v>4,00</v>
      </c>
      <c r="Q1044" s="4" t="str">
        <f t="shared" si="178"/>
        <v>Cuatro Bolívares con 00/100</v>
      </c>
    </row>
    <row r="1045" spans="1:17" x14ac:dyDescent="0.25">
      <c r="A1045" s="1">
        <f t="shared" si="176"/>
        <v>1044</v>
      </c>
      <c r="C1045" s="8" t="s">
        <v>17</v>
      </c>
      <c r="D1045" s="2">
        <v>43241</v>
      </c>
      <c r="E1045" s="3">
        <f>400000/100000</f>
        <v>4</v>
      </c>
      <c r="F1045" t="s">
        <v>594</v>
      </c>
      <c r="G1045" t="s">
        <v>595</v>
      </c>
      <c r="H1045" t="s">
        <v>596</v>
      </c>
      <c r="I1045" s="6" t="s">
        <v>684</v>
      </c>
      <c r="J1045" s="61" t="s">
        <v>22</v>
      </c>
      <c r="L1045" s="5" t="str">
        <f t="shared" si="172"/>
        <v>01044</v>
      </c>
      <c r="M1045" s="47" t="str">
        <f t="shared" si="173"/>
        <v>21 de mayo de 2018</v>
      </c>
      <c r="N1045" s="323">
        <f t="shared" si="175"/>
        <v>21</v>
      </c>
      <c r="O1045" s="25">
        <f t="shared" si="174"/>
        <v>43221</v>
      </c>
      <c r="P1045" s="5" t="str">
        <f t="shared" si="177"/>
        <v>4,00</v>
      </c>
      <c r="Q1045" s="4" t="str">
        <f t="shared" si="178"/>
        <v>Cuatro Bolívares con 00/100</v>
      </c>
    </row>
    <row r="1046" spans="1:17" x14ac:dyDescent="0.25">
      <c r="A1046" s="1">
        <f t="shared" si="176"/>
        <v>1045</v>
      </c>
      <c r="C1046" s="8" t="s">
        <v>17</v>
      </c>
      <c r="D1046" s="2">
        <v>43242</v>
      </c>
      <c r="E1046" s="3">
        <f>350000/100000</f>
        <v>3.5</v>
      </c>
      <c r="F1046" t="s">
        <v>24</v>
      </c>
      <c r="G1046" t="s">
        <v>25</v>
      </c>
      <c r="H1046" t="s">
        <v>26</v>
      </c>
      <c r="I1046" s="6" t="s">
        <v>672</v>
      </c>
      <c r="J1046" s="61" t="s">
        <v>673</v>
      </c>
      <c r="L1046" s="5" t="str">
        <f t="shared" si="172"/>
        <v>01045</v>
      </c>
      <c r="M1046" s="47" t="str">
        <f t="shared" si="173"/>
        <v>22 de mayo de 2018</v>
      </c>
      <c r="N1046" s="323">
        <f t="shared" si="175"/>
        <v>22</v>
      </c>
      <c r="O1046" s="25">
        <f t="shared" si="174"/>
        <v>43221</v>
      </c>
      <c r="P1046" s="5" t="str">
        <f t="shared" si="177"/>
        <v>3,50</v>
      </c>
      <c r="Q1046" s="4" t="str">
        <f t="shared" si="178"/>
        <v>Tres Bolívares con 50/100</v>
      </c>
    </row>
    <row r="1047" spans="1:17" x14ac:dyDescent="0.25">
      <c r="A1047" s="1">
        <f t="shared" si="176"/>
        <v>1046</v>
      </c>
      <c r="C1047" s="8" t="s">
        <v>17</v>
      </c>
      <c r="D1047" s="2">
        <v>43242</v>
      </c>
      <c r="E1047" s="3">
        <f>350000/100000</f>
        <v>3.5</v>
      </c>
      <c r="F1047" t="s">
        <v>558</v>
      </c>
      <c r="G1047" t="s">
        <v>559</v>
      </c>
      <c r="H1047" t="s">
        <v>560</v>
      </c>
      <c r="I1047" s="6" t="s">
        <v>672</v>
      </c>
      <c r="J1047" s="61" t="s">
        <v>673</v>
      </c>
      <c r="L1047" s="5" t="str">
        <f t="shared" si="172"/>
        <v>01046</v>
      </c>
      <c r="M1047" s="47" t="str">
        <f t="shared" si="173"/>
        <v>22 de mayo de 2018</v>
      </c>
      <c r="N1047" s="323">
        <f t="shared" si="175"/>
        <v>22</v>
      </c>
      <c r="O1047" s="25">
        <f t="shared" si="174"/>
        <v>43221</v>
      </c>
      <c r="P1047" s="5" t="str">
        <f t="shared" si="177"/>
        <v>3,50</v>
      </c>
      <c r="Q1047" s="4" t="str">
        <f>CONVERTIRNUM(E1047)</f>
        <v>Tres Bolívares con 50/100</v>
      </c>
    </row>
    <row r="1048" spans="1:17" x14ac:dyDescent="0.25">
      <c r="A1048" s="1">
        <f t="shared" si="176"/>
        <v>1047</v>
      </c>
      <c r="C1048" s="8" t="s">
        <v>17</v>
      </c>
      <c r="D1048" s="2">
        <v>43242</v>
      </c>
      <c r="E1048" s="3">
        <f>400000/100000</f>
        <v>4</v>
      </c>
      <c r="F1048" t="s">
        <v>407</v>
      </c>
      <c r="G1048" t="s">
        <v>408</v>
      </c>
      <c r="H1048" t="s">
        <v>409</v>
      </c>
      <c r="I1048" s="6" t="s">
        <v>684</v>
      </c>
      <c r="J1048" s="61" t="s">
        <v>22</v>
      </c>
      <c r="L1048" s="5" t="str">
        <f t="shared" si="172"/>
        <v>01047</v>
      </c>
      <c r="M1048" s="47" t="str">
        <f t="shared" si="173"/>
        <v>22 de mayo de 2018</v>
      </c>
      <c r="N1048" s="323">
        <f t="shared" si="175"/>
        <v>22</v>
      </c>
      <c r="O1048" s="25">
        <f t="shared" si="174"/>
        <v>43221</v>
      </c>
      <c r="P1048" s="5" t="str">
        <f t="shared" si="177"/>
        <v>4,00</v>
      </c>
      <c r="Q1048" s="4" t="str">
        <f>CONVERTIRNUM(E1048)</f>
        <v>Cuatro Bolívares con 00/100</v>
      </c>
    </row>
    <row r="1049" spans="1:17" x14ac:dyDescent="0.25">
      <c r="A1049" s="1">
        <f t="shared" si="176"/>
        <v>1048</v>
      </c>
      <c r="C1049" s="8" t="s">
        <v>17</v>
      </c>
      <c r="D1049" s="2">
        <v>43242</v>
      </c>
      <c r="E1049" s="3">
        <f>350000/100000</f>
        <v>3.5</v>
      </c>
      <c r="F1049" t="s">
        <v>48</v>
      </c>
      <c r="G1049" t="s">
        <v>49</v>
      </c>
      <c r="H1049" t="s">
        <v>50</v>
      </c>
      <c r="I1049" s="6" t="s">
        <v>672</v>
      </c>
      <c r="J1049" s="61" t="s">
        <v>673</v>
      </c>
      <c r="L1049" s="5" t="str">
        <f t="shared" si="172"/>
        <v>01048</v>
      </c>
      <c r="M1049" s="47" t="str">
        <f t="shared" si="173"/>
        <v>22 de mayo de 2018</v>
      </c>
      <c r="N1049" s="323">
        <f t="shared" si="175"/>
        <v>22</v>
      </c>
      <c r="O1049" s="25">
        <f t="shared" si="174"/>
        <v>43221</v>
      </c>
      <c r="P1049" s="5" t="str">
        <f t="shared" si="177"/>
        <v>3,50</v>
      </c>
      <c r="Q1049" s="4" t="str">
        <f>CONVERTIRNUM(E1049)</f>
        <v>Tres Bolívares con 50/100</v>
      </c>
    </row>
    <row r="1050" spans="1:17" x14ac:dyDescent="0.25">
      <c r="A1050" s="1">
        <f t="shared" si="176"/>
        <v>1049</v>
      </c>
      <c r="C1050" s="8" t="s">
        <v>17</v>
      </c>
      <c r="D1050" s="2">
        <v>43242</v>
      </c>
      <c r="E1050" s="3">
        <f>190000/100000</f>
        <v>1.9</v>
      </c>
      <c r="F1050" t="s">
        <v>243</v>
      </c>
      <c r="G1050" t="s">
        <v>244</v>
      </c>
      <c r="H1050" t="s">
        <v>245</v>
      </c>
      <c r="I1050" s="6" t="s">
        <v>672</v>
      </c>
      <c r="J1050" s="61" t="s">
        <v>673</v>
      </c>
      <c r="L1050" s="5" t="str">
        <f t="shared" si="172"/>
        <v>01049</v>
      </c>
      <c r="M1050" s="47" t="str">
        <f t="shared" si="173"/>
        <v>22 de mayo de 2018</v>
      </c>
      <c r="N1050" s="323">
        <f t="shared" si="175"/>
        <v>22</v>
      </c>
      <c r="O1050" s="25">
        <f t="shared" si="174"/>
        <v>43221</v>
      </c>
      <c r="P1050" s="5" t="str">
        <f t="shared" si="177"/>
        <v>1,90</v>
      </c>
      <c r="Q1050" s="4" t="str">
        <f>CONVERTIRNUM(E1050)</f>
        <v>Un Bolívares con 90/100</v>
      </c>
    </row>
    <row r="1051" spans="1:17" x14ac:dyDescent="0.25">
      <c r="A1051" s="1">
        <f t="shared" si="176"/>
        <v>1050</v>
      </c>
      <c r="C1051" s="8" t="s">
        <v>17</v>
      </c>
      <c r="D1051" s="2">
        <v>43242</v>
      </c>
      <c r="E1051" s="3">
        <f>400000/100000</f>
        <v>4</v>
      </c>
      <c r="F1051" t="s">
        <v>558</v>
      </c>
      <c r="G1051" t="s">
        <v>559</v>
      </c>
      <c r="H1051" t="s">
        <v>560</v>
      </c>
      <c r="I1051" s="6" t="s">
        <v>707</v>
      </c>
      <c r="J1051" s="61" t="s">
        <v>22</v>
      </c>
      <c r="L1051" s="5" t="str">
        <f t="shared" si="172"/>
        <v>01050</v>
      </c>
      <c r="M1051" s="47" t="str">
        <f t="shared" si="173"/>
        <v>22 de mayo de 2018</v>
      </c>
      <c r="N1051" s="323">
        <f t="shared" si="175"/>
        <v>22</v>
      </c>
      <c r="O1051" s="25">
        <f t="shared" si="174"/>
        <v>43221</v>
      </c>
      <c r="P1051" s="5" t="str">
        <f t="shared" si="177"/>
        <v>4,00</v>
      </c>
      <c r="Q1051" s="4" t="str">
        <f t="shared" ref="Q1051:Q1065" si="179">CONVERTIRNUM(E1051)</f>
        <v>Cuatro Bolívares con 00/100</v>
      </c>
    </row>
    <row r="1052" spans="1:17" x14ac:dyDescent="0.25">
      <c r="A1052" s="1">
        <f t="shared" si="176"/>
        <v>1051</v>
      </c>
      <c r="C1052" s="8" t="s">
        <v>17</v>
      </c>
      <c r="D1052" s="2">
        <v>43242</v>
      </c>
      <c r="E1052" s="3">
        <f>350000/100000</f>
        <v>3.5</v>
      </c>
      <c r="F1052" t="s">
        <v>36</v>
      </c>
      <c r="G1052" t="s">
        <v>37</v>
      </c>
      <c r="H1052" t="s">
        <v>38</v>
      </c>
      <c r="I1052" s="6" t="s">
        <v>672</v>
      </c>
      <c r="J1052" s="61" t="s">
        <v>673</v>
      </c>
      <c r="L1052" s="5" t="str">
        <f t="shared" si="172"/>
        <v>01051</v>
      </c>
      <c r="M1052" s="47" t="str">
        <f t="shared" si="173"/>
        <v>22 de mayo de 2018</v>
      </c>
      <c r="N1052" s="323">
        <f t="shared" si="175"/>
        <v>22</v>
      </c>
      <c r="O1052" s="25">
        <f t="shared" si="174"/>
        <v>43221</v>
      </c>
      <c r="P1052" s="5" t="str">
        <f t="shared" si="177"/>
        <v>3,50</v>
      </c>
      <c r="Q1052" s="4" t="str">
        <f t="shared" si="179"/>
        <v>Tres Bolívares con 50/100</v>
      </c>
    </row>
    <row r="1053" spans="1:17" x14ac:dyDescent="0.25">
      <c r="A1053" s="1">
        <f t="shared" si="176"/>
        <v>1052</v>
      </c>
      <c r="C1053" s="8" t="s">
        <v>17</v>
      </c>
      <c r="D1053" s="2">
        <v>43242</v>
      </c>
      <c r="E1053" s="3">
        <f>350000/100000</f>
        <v>3.5</v>
      </c>
      <c r="F1053" t="s">
        <v>114</v>
      </c>
      <c r="G1053" t="s">
        <v>115</v>
      </c>
      <c r="H1053" t="s">
        <v>116</v>
      </c>
      <c r="I1053" s="6" t="s">
        <v>672</v>
      </c>
      <c r="J1053" s="61" t="s">
        <v>673</v>
      </c>
      <c r="L1053" s="5" t="str">
        <f t="shared" si="172"/>
        <v>01052</v>
      </c>
      <c r="M1053" s="47" t="str">
        <f t="shared" si="173"/>
        <v>22 de mayo de 2018</v>
      </c>
      <c r="N1053" s="323">
        <f t="shared" si="175"/>
        <v>22</v>
      </c>
      <c r="O1053" s="25">
        <f t="shared" si="174"/>
        <v>43221</v>
      </c>
      <c r="P1053" s="5" t="str">
        <f t="shared" si="177"/>
        <v>3,50</v>
      </c>
      <c r="Q1053" s="4" t="str">
        <f t="shared" si="179"/>
        <v>Tres Bolívares con 50/100</v>
      </c>
    </row>
    <row r="1054" spans="1:17" x14ac:dyDescent="0.25">
      <c r="A1054" s="1">
        <f t="shared" si="176"/>
        <v>1053</v>
      </c>
      <c r="C1054" s="8" t="s">
        <v>17</v>
      </c>
      <c r="D1054" s="2">
        <v>43242</v>
      </c>
      <c r="E1054" s="3">
        <f>800000/100000</f>
        <v>8</v>
      </c>
      <c r="F1054" t="s">
        <v>138</v>
      </c>
      <c r="G1054" t="s">
        <v>139</v>
      </c>
      <c r="H1054" t="s">
        <v>140</v>
      </c>
      <c r="I1054" s="6" t="s">
        <v>708</v>
      </c>
      <c r="J1054" s="61" t="s">
        <v>22</v>
      </c>
      <c r="L1054" s="5" t="str">
        <f t="shared" si="172"/>
        <v>01053</v>
      </c>
      <c r="M1054" s="47" t="str">
        <f t="shared" si="173"/>
        <v>22 de mayo de 2018</v>
      </c>
      <c r="N1054" s="323">
        <f t="shared" si="175"/>
        <v>22</v>
      </c>
      <c r="O1054" s="25">
        <f t="shared" si="174"/>
        <v>43221</v>
      </c>
      <c r="P1054" s="5" t="str">
        <f t="shared" si="177"/>
        <v>8,00</v>
      </c>
      <c r="Q1054" s="4" t="str">
        <f t="shared" si="179"/>
        <v>Ocho Bolívares con 00/100</v>
      </c>
    </row>
    <row r="1055" spans="1:17" x14ac:dyDescent="0.25">
      <c r="A1055" s="1">
        <f>A1054+1</f>
        <v>1054</v>
      </c>
      <c r="C1055" s="8" t="s">
        <v>17</v>
      </c>
      <c r="D1055" s="2">
        <v>43242</v>
      </c>
      <c r="E1055" s="3">
        <f>350000/100000</f>
        <v>3.5</v>
      </c>
      <c r="F1055" t="s">
        <v>70</v>
      </c>
      <c r="G1055" t="s">
        <v>71</v>
      </c>
      <c r="H1055" t="s">
        <v>72</v>
      </c>
      <c r="I1055" s="6" t="s">
        <v>672</v>
      </c>
      <c r="J1055" s="61" t="s">
        <v>673</v>
      </c>
      <c r="L1055" s="5" t="str">
        <f t="shared" si="172"/>
        <v>01054</v>
      </c>
      <c r="M1055" s="47" t="str">
        <f t="shared" si="173"/>
        <v>22 de mayo de 2018</v>
      </c>
      <c r="N1055" s="323">
        <f t="shared" si="175"/>
        <v>22</v>
      </c>
      <c r="O1055" s="25">
        <f t="shared" si="174"/>
        <v>43221</v>
      </c>
      <c r="P1055" s="5" t="str">
        <f t="shared" si="177"/>
        <v>3,50</v>
      </c>
      <c r="Q1055" s="4" t="str">
        <f t="shared" si="179"/>
        <v>Tres Bolívares con 50/100</v>
      </c>
    </row>
    <row r="1056" spans="1:17" x14ac:dyDescent="0.25">
      <c r="A1056" s="1">
        <f t="shared" ref="A1056:A1091" si="180">A1055+1</f>
        <v>1055</v>
      </c>
      <c r="C1056" s="8" t="s">
        <v>17</v>
      </c>
      <c r="D1056" s="2">
        <v>43242</v>
      </c>
      <c r="E1056" s="3">
        <f>400000/100000</f>
        <v>4</v>
      </c>
      <c r="F1056" t="s">
        <v>53</v>
      </c>
      <c r="G1056" t="s">
        <v>677</v>
      </c>
      <c r="H1056" t="s">
        <v>55</v>
      </c>
      <c r="I1056" s="6" t="s">
        <v>684</v>
      </c>
      <c r="J1056" s="61" t="s">
        <v>22</v>
      </c>
      <c r="L1056" s="5" t="str">
        <f t="shared" si="172"/>
        <v>01055</v>
      </c>
      <c r="M1056" s="47" t="str">
        <f t="shared" si="173"/>
        <v>22 de mayo de 2018</v>
      </c>
      <c r="N1056" s="323">
        <f t="shared" si="175"/>
        <v>22</v>
      </c>
      <c r="O1056" s="25">
        <f t="shared" si="174"/>
        <v>43221</v>
      </c>
      <c r="P1056" s="5" t="str">
        <f t="shared" si="177"/>
        <v>4,00</v>
      </c>
      <c r="Q1056" s="4" t="str">
        <f t="shared" si="179"/>
        <v>Cuatro Bolívares con 00/100</v>
      </c>
    </row>
    <row r="1057" spans="1:17" x14ac:dyDescent="0.25">
      <c r="A1057" s="1">
        <f t="shared" si="180"/>
        <v>1056</v>
      </c>
      <c r="C1057" s="8" t="s">
        <v>17</v>
      </c>
      <c r="D1057" s="2">
        <v>43242</v>
      </c>
      <c r="E1057" s="3">
        <f>350000/100000</f>
        <v>3.5</v>
      </c>
      <c r="F1057" t="s">
        <v>53</v>
      </c>
      <c r="G1057" t="s">
        <v>677</v>
      </c>
      <c r="H1057" t="s">
        <v>55</v>
      </c>
      <c r="I1057" s="6" t="s">
        <v>672</v>
      </c>
      <c r="J1057" s="61" t="s">
        <v>673</v>
      </c>
      <c r="L1057" s="5" t="str">
        <f t="shared" si="172"/>
        <v>01056</v>
      </c>
      <c r="M1057" s="47" t="str">
        <f t="shared" si="173"/>
        <v>22 de mayo de 2018</v>
      </c>
      <c r="N1057" s="323">
        <f t="shared" si="175"/>
        <v>22</v>
      </c>
      <c r="O1057" s="25">
        <f t="shared" si="174"/>
        <v>43221</v>
      </c>
      <c r="P1057" s="5" t="str">
        <f t="shared" si="177"/>
        <v>3,50</v>
      </c>
      <c r="Q1057" s="4" t="str">
        <f t="shared" si="179"/>
        <v>Tres Bolívares con 50/100</v>
      </c>
    </row>
    <row r="1058" spans="1:17" x14ac:dyDescent="0.25">
      <c r="A1058" s="1">
        <f t="shared" si="180"/>
        <v>1057</v>
      </c>
      <c r="C1058" s="8" t="s">
        <v>17</v>
      </c>
      <c r="D1058" s="2">
        <v>43242</v>
      </c>
      <c r="E1058" s="3">
        <f>350000/100000</f>
        <v>3.5</v>
      </c>
      <c r="F1058" t="s">
        <v>90</v>
      </c>
      <c r="G1058" t="s">
        <v>91</v>
      </c>
      <c r="H1058" t="s">
        <v>92</v>
      </c>
      <c r="I1058" s="6" t="s">
        <v>672</v>
      </c>
      <c r="J1058" s="61" t="s">
        <v>673</v>
      </c>
      <c r="L1058" s="5" t="str">
        <f t="shared" si="172"/>
        <v>01057</v>
      </c>
      <c r="M1058" s="47" t="str">
        <f t="shared" si="173"/>
        <v>22 de mayo de 2018</v>
      </c>
      <c r="N1058" s="323">
        <f t="shared" si="175"/>
        <v>22</v>
      </c>
      <c r="O1058" s="25">
        <f t="shared" si="174"/>
        <v>43221</v>
      </c>
      <c r="P1058" s="5" t="str">
        <f t="shared" si="177"/>
        <v>3,50</v>
      </c>
      <c r="Q1058" s="4" t="str">
        <f t="shared" si="179"/>
        <v>Tres Bolívares con 50/100</v>
      </c>
    </row>
    <row r="1059" spans="1:17" x14ac:dyDescent="0.25">
      <c r="A1059" s="319">
        <f t="shared" si="180"/>
        <v>1058</v>
      </c>
      <c r="B1059" s="574"/>
      <c r="C1059" s="12" t="s">
        <v>225</v>
      </c>
      <c r="D1059" s="17">
        <v>43242</v>
      </c>
      <c r="E1059" s="13">
        <f>150000/100000</f>
        <v>1.5</v>
      </c>
      <c r="F1059" s="14" t="s">
        <v>107</v>
      </c>
      <c r="G1059" s="14" t="s">
        <v>108</v>
      </c>
      <c r="H1059" s="14" t="s">
        <v>109</v>
      </c>
      <c r="I1059" s="15" t="s">
        <v>709</v>
      </c>
      <c r="J1059" s="62" t="s">
        <v>426</v>
      </c>
      <c r="K1059" s="16"/>
      <c r="L1059" s="5" t="str">
        <f t="shared" si="172"/>
        <v>01058</v>
      </c>
      <c r="M1059" s="47" t="str">
        <f t="shared" si="173"/>
        <v>22 de mayo de 2018</v>
      </c>
      <c r="N1059" s="323">
        <f t="shared" si="175"/>
        <v>22</v>
      </c>
      <c r="O1059" s="25">
        <f t="shared" si="174"/>
        <v>43221</v>
      </c>
      <c r="P1059" s="5" t="str">
        <f t="shared" si="177"/>
        <v>1,50</v>
      </c>
      <c r="Q1059" s="4" t="str">
        <f t="shared" si="179"/>
        <v>Un Bolívares con 50/100</v>
      </c>
    </row>
    <row r="1060" spans="1:17" x14ac:dyDescent="0.25">
      <c r="A1060" s="1">
        <f t="shared" si="180"/>
        <v>1059</v>
      </c>
      <c r="C1060" s="8" t="s">
        <v>17</v>
      </c>
      <c r="D1060" s="2">
        <v>43242</v>
      </c>
      <c r="E1060" s="3">
        <f>350000/100000</f>
        <v>3.5</v>
      </c>
      <c r="F1060" t="s">
        <v>44</v>
      </c>
      <c r="G1060" t="s">
        <v>45</v>
      </c>
      <c r="H1060" t="s">
        <v>46</v>
      </c>
      <c r="I1060" s="6" t="s">
        <v>672</v>
      </c>
      <c r="J1060" s="61" t="s">
        <v>673</v>
      </c>
      <c r="L1060" s="5" t="str">
        <f t="shared" si="172"/>
        <v>01059</v>
      </c>
      <c r="M1060" s="47" t="str">
        <f t="shared" si="173"/>
        <v>22 de mayo de 2018</v>
      </c>
      <c r="N1060" s="323">
        <f t="shared" si="175"/>
        <v>22</v>
      </c>
      <c r="O1060" s="25">
        <f t="shared" si="174"/>
        <v>43221</v>
      </c>
      <c r="P1060" s="5" t="str">
        <f t="shared" si="177"/>
        <v>3,50</v>
      </c>
      <c r="Q1060" s="4" t="str">
        <f t="shared" si="179"/>
        <v>Tres Bolívares con 50/100</v>
      </c>
    </row>
    <row r="1061" spans="1:17" x14ac:dyDescent="0.25">
      <c r="A1061" s="1">
        <f t="shared" si="180"/>
        <v>1060</v>
      </c>
      <c r="C1061" s="8" t="s">
        <v>17</v>
      </c>
      <c r="D1061" s="2">
        <v>43242</v>
      </c>
      <c r="E1061" s="3">
        <f>350000/100000</f>
        <v>3.5</v>
      </c>
      <c r="F1061" t="s">
        <v>66</v>
      </c>
      <c r="G1061" t="s">
        <v>67</v>
      </c>
      <c r="H1061" t="s">
        <v>68</v>
      </c>
      <c r="I1061" s="6" t="s">
        <v>672</v>
      </c>
      <c r="J1061" s="61" t="s">
        <v>673</v>
      </c>
      <c r="L1061" s="5" t="str">
        <f t="shared" si="172"/>
        <v>01060</v>
      </c>
      <c r="M1061" s="47" t="str">
        <f t="shared" si="173"/>
        <v>22 de mayo de 2018</v>
      </c>
      <c r="N1061" s="323">
        <f t="shared" si="175"/>
        <v>22</v>
      </c>
      <c r="O1061" s="25">
        <f t="shared" si="174"/>
        <v>43221</v>
      </c>
      <c r="P1061" s="5" t="str">
        <f t="shared" si="177"/>
        <v>3,50</v>
      </c>
      <c r="Q1061" s="4" t="str">
        <f t="shared" si="179"/>
        <v>Tres Bolívares con 50/100</v>
      </c>
    </row>
    <row r="1062" spans="1:17" x14ac:dyDescent="0.25">
      <c r="A1062" s="1">
        <f t="shared" si="180"/>
        <v>1061</v>
      </c>
      <c r="C1062" s="8" t="s">
        <v>17</v>
      </c>
      <c r="D1062" s="2">
        <v>43242</v>
      </c>
      <c r="E1062" s="3">
        <f>400000/100000</f>
        <v>4</v>
      </c>
      <c r="F1062" t="s">
        <v>230</v>
      </c>
      <c r="G1062" t="s">
        <v>231</v>
      </c>
      <c r="H1062" t="s">
        <v>232</v>
      </c>
      <c r="I1062" s="6" t="s">
        <v>684</v>
      </c>
      <c r="J1062" s="61" t="s">
        <v>22</v>
      </c>
      <c r="L1062" s="5" t="str">
        <f t="shared" si="172"/>
        <v>01061</v>
      </c>
      <c r="M1062" s="47" t="str">
        <f t="shared" si="173"/>
        <v>22 de mayo de 2018</v>
      </c>
      <c r="N1062" s="323">
        <f t="shared" si="175"/>
        <v>22</v>
      </c>
      <c r="O1062" s="25">
        <f t="shared" si="174"/>
        <v>43221</v>
      </c>
      <c r="P1062" s="5" t="str">
        <f t="shared" si="177"/>
        <v>4,00</v>
      </c>
      <c r="Q1062" s="4" t="str">
        <f t="shared" si="179"/>
        <v>Cuatro Bolívares con 00/100</v>
      </c>
    </row>
    <row r="1063" spans="1:17" x14ac:dyDescent="0.25">
      <c r="A1063" s="1">
        <f t="shared" si="180"/>
        <v>1062</v>
      </c>
      <c r="C1063" s="8" t="s">
        <v>17</v>
      </c>
      <c r="D1063" s="2">
        <v>43242</v>
      </c>
      <c r="E1063" s="3">
        <f>350000/100000</f>
        <v>3.5</v>
      </c>
      <c r="F1063" t="s">
        <v>230</v>
      </c>
      <c r="G1063" t="s">
        <v>231</v>
      </c>
      <c r="H1063" t="s">
        <v>232</v>
      </c>
      <c r="I1063" s="6" t="s">
        <v>672</v>
      </c>
      <c r="J1063" s="61" t="s">
        <v>673</v>
      </c>
      <c r="L1063" s="5" t="str">
        <f t="shared" si="172"/>
        <v>01062</v>
      </c>
      <c r="M1063" s="47" t="str">
        <f t="shared" si="173"/>
        <v>22 de mayo de 2018</v>
      </c>
      <c r="N1063" s="323">
        <f t="shared" si="175"/>
        <v>22</v>
      </c>
      <c r="O1063" s="25">
        <f t="shared" si="174"/>
        <v>43221</v>
      </c>
      <c r="P1063" s="5" t="str">
        <f t="shared" si="177"/>
        <v>3,50</v>
      </c>
      <c r="Q1063" s="4" t="str">
        <f t="shared" si="179"/>
        <v>Tres Bolívares con 50/100</v>
      </c>
    </row>
    <row r="1064" spans="1:17" x14ac:dyDescent="0.25">
      <c r="A1064" s="1">
        <f t="shared" si="180"/>
        <v>1063</v>
      </c>
      <c r="C1064" s="8" t="s">
        <v>17</v>
      </c>
      <c r="D1064" s="2">
        <v>43242</v>
      </c>
      <c r="E1064" s="3">
        <f>350000/100000</f>
        <v>3.5</v>
      </c>
      <c r="F1064" t="s">
        <v>280</v>
      </c>
      <c r="G1064" s="18" t="s">
        <v>58</v>
      </c>
      <c r="H1064" t="s">
        <v>282</v>
      </c>
      <c r="I1064" s="6" t="s">
        <v>710</v>
      </c>
      <c r="J1064" s="61" t="s">
        <v>673</v>
      </c>
      <c r="L1064" s="5" t="str">
        <f t="shared" si="172"/>
        <v>01063</v>
      </c>
      <c r="M1064" s="47" t="str">
        <f t="shared" si="173"/>
        <v>22 de mayo de 2018</v>
      </c>
      <c r="N1064" s="323">
        <f t="shared" si="175"/>
        <v>22</v>
      </c>
      <c r="O1064" s="25">
        <f t="shared" si="174"/>
        <v>43221</v>
      </c>
      <c r="P1064" s="5" t="str">
        <f t="shared" si="177"/>
        <v>3,50</v>
      </c>
      <c r="Q1064" s="4" t="str">
        <f t="shared" si="179"/>
        <v>Tres Bolívares con 50/100</v>
      </c>
    </row>
    <row r="1065" spans="1:17" x14ac:dyDescent="0.25">
      <c r="A1065" s="1">
        <f t="shared" si="180"/>
        <v>1064</v>
      </c>
      <c r="C1065" s="8" t="s">
        <v>17</v>
      </c>
      <c r="D1065" s="2">
        <v>43242</v>
      </c>
      <c r="E1065" s="3">
        <f>350000/100000</f>
        <v>3.5</v>
      </c>
      <c r="F1065" s="20" t="s">
        <v>57</v>
      </c>
      <c r="G1065" s="18" t="s">
        <v>58</v>
      </c>
      <c r="H1065" s="21" t="s">
        <v>59</v>
      </c>
      <c r="I1065" s="6" t="s">
        <v>672</v>
      </c>
      <c r="J1065" s="61" t="s">
        <v>673</v>
      </c>
      <c r="K1065" s="22"/>
      <c r="L1065" s="5" t="str">
        <f t="shared" si="172"/>
        <v>01064</v>
      </c>
      <c r="M1065" s="47" t="str">
        <f t="shared" si="173"/>
        <v>22 de mayo de 2018</v>
      </c>
      <c r="N1065" s="323">
        <f t="shared" si="175"/>
        <v>22</v>
      </c>
      <c r="O1065" s="25">
        <f t="shared" si="174"/>
        <v>43221</v>
      </c>
      <c r="P1065" s="5" t="str">
        <f t="shared" si="177"/>
        <v>3,50</v>
      </c>
      <c r="Q1065" s="4" t="str">
        <f t="shared" si="179"/>
        <v>Tres Bolívares con 50/100</v>
      </c>
    </row>
    <row r="1066" spans="1:17" x14ac:dyDescent="0.25">
      <c r="A1066" s="1">
        <f t="shared" si="180"/>
        <v>1065</v>
      </c>
      <c r="C1066" s="8" t="s">
        <v>17</v>
      </c>
      <c r="D1066" s="2">
        <v>43242</v>
      </c>
      <c r="E1066" s="3">
        <f>660000/100000</f>
        <v>6.6</v>
      </c>
      <c r="F1066" t="s">
        <v>66</v>
      </c>
      <c r="G1066" t="s">
        <v>67</v>
      </c>
      <c r="H1066" t="s">
        <v>68</v>
      </c>
      <c r="I1066" s="6" t="s">
        <v>711</v>
      </c>
      <c r="J1066" s="61" t="s">
        <v>22</v>
      </c>
      <c r="L1066" s="5" t="str">
        <f t="shared" si="172"/>
        <v>01065</v>
      </c>
      <c r="M1066" s="47" t="str">
        <f t="shared" si="173"/>
        <v>22 de mayo de 2018</v>
      </c>
      <c r="N1066" s="323">
        <f t="shared" si="175"/>
        <v>22</v>
      </c>
      <c r="O1066" s="25">
        <f t="shared" si="174"/>
        <v>43221</v>
      </c>
      <c r="P1066" s="5" t="str">
        <f t="shared" ref="P1066:P1078" si="181">TEXT(E1066,"#.##0,00")</f>
        <v>6,60</v>
      </c>
      <c r="Q1066" s="4" t="str">
        <f t="shared" ref="Q1066:Q1078" si="182">CONVERTIRNUM(E1066)</f>
        <v>Seis Bolívares con 60/100</v>
      </c>
    </row>
    <row r="1067" spans="1:17" x14ac:dyDescent="0.25">
      <c r="A1067" s="1">
        <f t="shared" si="180"/>
        <v>1066</v>
      </c>
      <c r="C1067" s="8" t="s">
        <v>17</v>
      </c>
      <c r="D1067" s="2">
        <v>43243</v>
      </c>
      <c r="E1067" s="3">
        <f>350000/100000</f>
        <v>3.5</v>
      </c>
      <c r="F1067" t="s">
        <v>342</v>
      </c>
      <c r="G1067" t="s">
        <v>343</v>
      </c>
      <c r="H1067" t="s">
        <v>344</v>
      </c>
      <c r="I1067" s="6" t="s">
        <v>672</v>
      </c>
      <c r="J1067" s="61" t="s">
        <v>673</v>
      </c>
      <c r="L1067" s="5" t="str">
        <f t="shared" si="172"/>
        <v>01066</v>
      </c>
      <c r="M1067" s="47" t="str">
        <f t="shared" si="173"/>
        <v>23 de mayo de 2018</v>
      </c>
      <c r="N1067" s="323">
        <f t="shared" si="175"/>
        <v>23</v>
      </c>
      <c r="O1067" s="25">
        <f t="shared" si="174"/>
        <v>43221</v>
      </c>
      <c r="P1067" s="5" t="str">
        <f t="shared" si="181"/>
        <v>3,50</v>
      </c>
      <c r="Q1067" s="4" t="str">
        <f t="shared" si="182"/>
        <v>Tres Bolívares con 50/100</v>
      </c>
    </row>
    <row r="1068" spans="1:17" x14ac:dyDescent="0.25">
      <c r="A1068" s="1">
        <f t="shared" si="180"/>
        <v>1067</v>
      </c>
      <c r="C1068" s="8" t="s">
        <v>17</v>
      </c>
      <c r="D1068" s="2">
        <v>43243</v>
      </c>
      <c r="E1068" s="3">
        <f>400000/100000</f>
        <v>4</v>
      </c>
      <c r="F1068" t="s">
        <v>248</v>
      </c>
      <c r="G1068" t="s">
        <v>249</v>
      </c>
      <c r="H1068" t="s">
        <v>250</v>
      </c>
      <c r="I1068" s="6" t="s">
        <v>684</v>
      </c>
      <c r="J1068" s="61" t="s">
        <v>22</v>
      </c>
      <c r="L1068" s="5" t="str">
        <f t="shared" si="172"/>
        <v>01067</v>
      </c>
      <c r="M1068" s="47" t="str">
        <f t="shared" si="173"/>
        <v>23 de mayo de 2018</v>
      </c>
      <c r="N1068" s="323">
        <f t="shared" si="175"/>
        <v>23</v>
      </c>
      <c r="O1068" s="25">
        <f t="shared" si="174"/>
        <v>43221</v>
      </c>
      <c r="P1068" s="5" t="str">
        <f t="shared" si="181"/>
        <v>4,00</v>
      </c>
      <c r="Q1068" s="4" t="str">
        <f t="shared" si="182"/>
        <v>Cuatro Bolívares con 00/100</v>
      </c>
    </row>
    <row r="1069" spans="1:17" x14ac:dyDescent="0.25">
      <c r="A1069" s="1">
        <f t="shared" si="180"/>
        <v>1068</v>
      </c>
      <c r="C1069" s="8" t="s">
        <v>17</v>
      </c>
      <c r="D1069" s="2">
        <v>43243</v>
      </c>
      <c r="E1069" s="3">
        <f>350000/100000</f>
        <v>3.5</v>
      </c>
      <c r="F1069" t="s">
        <v>362</v>
      </c>
      <c r="G1069" t="s">
        <v>363</v>
      </c>
      <c r="H1069" t="s">
        <v>364</v>
      </c>
      <c r="I1069" s="6" t="s">
        <v>672</v>
      </c>
      <c r="J1069" s="61" t="s">
        <v>673</v>
      </c>
      <c r="L1069" s="5" t="str">
        <f t="shared" si="172"/>
        <v>01068</v>
      </c>
      <c r="M1069" s="47" t="str">
        <f t="shared" si="173"/>
        <v>23 de mayo de 2018</v>
      </c>
      <c r="N1069" s="323">
        <f t="shared" si="175"/>
        <v>23</v>
      </c>
      <c r="O1069" s="25">
        <f t="shared" si="174"/>
        <v>43221</v>
      </c>
      <c r="P1069" s="5" t="str">
        <f t="shared" si="181"/>
        <v>3,50</v>
      </c>
      <c r="Q1069" s="4" t="str">
        <f t="shared" si="182"/>
        <v>Tres Bolívares con 50/100</v>
      </c>
    </row>
    <row r="1070" spans="1:17" x14ac:dyDescent="0.25">
      <c r="A1070" s="1">
        <f t="shared" si="180"/>
        <v>1069</v>
      </c>
      <c r="C1070" s="8" t="s">
        <v>17</v>
      </c>
      <c r="D1070" s="2">
        <v>43243</v>
      </c>
      <c r="E1070" s="3">
        <f>350000/100000</f>
        <v>3.5</v>
      </c>
      <c r="F1070" t="s">
        <v>84</v>
      </c>
      <c r="G1070" t="s">
        <v>85</v>
      </c>
      <c r="H1070" t="s">
        <v>86</v>
      </c>
      <c r="I1070" s="6" t="s">
        <v>672</v>
      </c>
      <c r="J1070" s="61" t="s">
        <v>673</v>
      </c>
      <c r="L1070" s="5" t="str">
        <f t="shared" si="172"/>
        <v>01069</v>
      </c>
      <c r="M1070" s="47" t="str">
        <f t="shared" si="173"/>
        <v>23 de mayo de 2018</v>
      </c>
      <c r="N1070" s="323">
        <f t="shared" si="175"/>
        <v>23</v>
      </c>
      <c r="O1070" s="25">
        <f t="shared" si="174"/>
        <v>43221</v>
      </c>
      <c r="P1070" s="5" t="str">
        <f t="shared" si="181"/>
        <v>3,50</v>
      </c>
      <c r="Q1070" s="4" t="str">
        <f t="shared" si="182"/>
        <v>Tres Bolívares con 50/100</v>
      </c>
    </row>
    <row r="1071" spans="1:17" x14ac:dyDescent="0.25">
      <c r="A1071" s="1">
        <f t="shared" si="180"/>
        <v>1070</v>
      </c>
      <c r="C1071" s="8" t="s">
        <v>17</v>
      </c>
      <c r="D1071" s="2">
        <v>43243</v>
      </c>
      <c r="E1071" s="3">
        <f>350000/100000</f>
        <v>3.5</v>
      </c>
      <c r="F1071" t="s">
        <v>698</v>
      </c>
      <c r="G1071" t="s">
        <v>699</v>
      </c>
      <c r="H1071" t="s">
        <v>150</v>
      </c>
      <c r="I1071" s="6" t="s">
        <v>672</v>
      </c>
      <c r="J1071" s="61" t="s">
        <v>673</v>
      </c>
      <c r="L1071" s="5" t="str">
        <f t="shared" si="172"/>
        <v>01070</v>
      </c>
      <c r="M1071" s="47" t="str">
        <f t="shared" si="173"/>
        <v>23 de mayo de 2018</v>
      </c>
      <c r="N1071" s="323">
        <f t="shared" si="175"/>
        <v>23</v>
      </c>
      <c r="O1071" s="25">
        <f t="shared" si="174"/>
        <v>43221</v>
      </c>
      <c r="P1071" s="5" t="str">
        <f t="shared" si="181"/>
        <v>3,50</v>
      </c>
      <c r="Q1071" s="4" t="str">
        <f t="shared" si="182"/>
        <v>Tres Bolívares con 50/100</v>
      </c>
    </row>
    <row r="1072" spans="1:17" x14ac:dyDescent="0.25">
      <c r="A1072" s="1">
        <f t="shared" si="180"/>
        <v>1071</v>
      </c>
      <c r="C1072" s="8" t="s">
        <v>17</v>
      </c>
      <c r="D1072" s="2">
        <v>43243</v>
      </c>
      <c r="E1072" s="3">
        <f>350000/100000</f>
        <v>3.5</v>
      </c>
      <c r="F1072" t="s">
        <v>107</v>
      </c>
      <c r="G1072" t="s">
        <v>108</v>
      </c>
      <c r="H1072" t="s">
        <v>109</v>
      </c>
      <c r="I1072" s="6" t="s">
        <v>712</v>
      </c>
      <c r="J1072" s="61" t="s">
        <v>673</v>
      </c>
      <c r="L1072" s="5" t="str">
        <f t="shared" si="172"/>
        <v>01071</v>
      </c>
      <c r="M1072" s="47" t="str">
        <f t="shared" si="173"/>
        <v>23 de mayo de 2018</v>
      </c>
      <c r="N1072" s="323">
        <f t="shared" si="175"/>
        <v>23</v>
      </c>
      <c r="O1072" s="25">
        <f t="shared" si="174"/>
        <v>43221</v>
      </c>
      <c r="P1072" s="5" t="str">
        <f t="shared" si="181"/>
        <v>3,50</v>
      </c>
      <c r="Q1072" s="4" t="str">
        <f t="shared" si="182"/>
        <v>Tres Bolívares con 50/100</v>
      </c>
    </row>
    <row r="1073" spans="1:17" x14ac:dyDescent="0.25">
      <c r="A1073" s="1">
        <f t="shared" si="180"/>
        <v>1072</v>
      </c>
      <c r="C1073" s="8" t="s">
        <v>17</v>
      </c>
      <c r="D1073" s="2">
        <v>43243</v>
      </c>
      <c r="E1073" s="3">
        <f>150000/100000</f>
        <v>1.5</v>
      </c>
      <c r="F1073" t="s">
        <v>100</v>
      </c>
      <c r="G1073" t="s">
        <v>95</v>
      </c>
      <c r="H1073" t="s">
        <v>101</v>
      </c>
      <c r="I1073" s="6" t="s">
        <v>697</v>
      </c>
      <c r="J1073" s="61" t="s">
        <v>22</v>
      </c>
      <c r="L1073" s="5" t="str">
        <f t="shared" si="172"/>
        <v>01072</v>
      </c>
      <c r="M1073" s="47" t="str">
        <f t="shared" si="173"/>
        <v>23 de mayo de 2018</v>
      </c>
      <c r="N1073" s="323">
        <f t="shared" si="175"/>
        <v>23</v>
      </c>
      <c r="O1073" s="25">
        <f t="shared" si="174"/>
        <v>43221</v>
      </c>
      <c r="P1073" s="5" t="str">
        <f t="shared" si="181"/>
        <v>1,50</v>
      </c>
      <c r="Q1073" s="4" t="str">
        <f t="shared" si="182"/>
        <v>Un Bolívares con 50/100</v>
      </c>
    </row>
    <row r="1074" spans="1:17" x14ac:dyDescent="0.25">
      <c r="A1074" s="1">
        <f t="shared" si="180"/>
        <v>1073</v>
      </c>
      <c r="C1074" s="8" t="s">
        <v>17</v>
      </c>
      <c r="D1074" s="2">
        <v>43243</v>
      </c>
      <c r="E1074" s="3">
        <f>100000/100000</f>
        <v>1</v>
      </c>
      <c r="F1074" t="s">
        <v>100</v>
      </c>
      <c r="G1074" t="s">
        <v>95</v>
      </c>
      <c r="H1074" t="s">
        <v>101</v>
      </c>
      <c r="I1074" s="6" t="s">
        <v>672</v>
      </c>
      <c r="J1074" s="61" t="s">
        <v>673</v>
      </c>
      <c r="L1074" s="5" t="str">
        <f t="shared" si="172"/>
        <v>01073</v>
      </c>
      <c r="M1074" s="47" t="str">
        <f t="shared" si="173"/>
        <v>23 de mayo de 2018</v>
      </c>
      <c r="N1074" s="323">
        <f t="shared" si="175"/>
        <v>23</v>
      </c>
      <c r="O1074" s="25">
        <f t="shared" si="174"/>
        <v>43221</v>
      </c>
      <c r="P1074" s="5" t="str">
        <f t="shared" si="181"/>
        <v>1,00</v>
      </c>
      <c r="Q1074" s="4" t="str">
        <f t="shared" si="182"/>
        <v>Un Bolívar con 00/100</v>
      </c>
    </row>
    <row r="1075" spans="1:17" x14ac:dyDescent="0.25">
      <c r="A1075" s="1">
        <f t="shared" si="180"/>
        <v>1074</v>
      </c>
      <c r="C1075" s="8" t="s">
        <v>17</v>
      </c>
      <c r="D1075" s="2">
        <v>43243</v>
      </c>
      <c r="E1075" s="3">
        <f>350000/100000</f>
        <v>3.5</v>
      </c>
      <c r="F1075" t="s">
        <v>181</v>
      </c>
      <c r="G1075" t="s">
        <v>182</v>
      </c>
      <c r="H1075" t="s">
        <v>183</v>
      </c>
      <c r="I1075" s="6" t="s">
        <v>672</v>
      </c>
      <c r="J1075" s="61" t="s">
        <v>673</v>
      </c>
      <c r="L1075" s="5" t="str">
        <f t="shared" si="172"/>
        <v>01074</v>
      </c>
      <c r="M1075" s="47" t="str">
        <f t="shared" si="173"/>
        <v>23 de mayo de 2018</v>
      </c>
      <c r="N1075" s="323">
        <f t="shared" si="175"/>
        <v>23</v>
      </c>
      <c r="O1075" s="25">
        <f t="shared" si="174"/>
        <v>43221</v>
      </c>
      <c r="P1075" s="5" t="str">
        <f t="shared" si="181"/>
        <v>3,50</v>
      </c>
      <c r="Q1075" s="4" t="str">
        <f t="shared" si="182"/>
        <v>Tres Bolívares con 50/100</v>
      </c>
    </row>
    <row r="1076" spans="1:17" x14ac:dyDescent="0.25">
      <c r="A1076" s="1">
        <f t="shared" si="180"/>
        <v>1075</v>
      </c>
      <c r="C1076" s="8" t="s">
        <v>17</v>
      </c>
      <c r="D1076" s="2">
        <v>43243</v>
      </c>
      <c r="E1076" s="3">
        <f>350000/100000</f>
        <v>3.5</v>
      </c>
      <c r="F1076" t="s">
        <v>201</v>
      </c>
      <c r="G1076" t="s">
        <v>202</v>
      </c>
      <c r="H1076" t="s">
        <v>203</v>
      </c>
      <c r="I1076" s="6" t="s">
        <v>672</v>
      </c>
      <c r="J1076" s="61" t="s">
        <v>673</v>
      </c>
      <c r="L1076" s="5" t="str">
        <f t="shared" si="172"/>
        <v>01075</v>
      </c>
      <c r="M1076" s="47" t="str">
        <f t="shared" si="173"/>
        <v>23 de mayo de 2018</v>
      </c>
      <c r="N1076" s="323">
        <f t="shared" si="175"/>
        <v>23</v>
      </c>
      <c r="O1076" s="25">
        <f t="shared" si="174"/>
        <v>43221</v>
      </c>
      <c r="P1076" s="5" t="str">
        <f t="shared" si="181"/>
        <v>3,50</v>
      </c>
      <c r="Q1076" s="4" t="str">
        <f t="shared" si="182"/>
        <v>Tres Bolívares con 50/100</v>
      </c>
    </row>
    <row r="1077" spans="1:17" x14ac:dyDescent="0.25">
      <c r="A1077" s="1">
        <f t="shared" si="180"/>
        <v>1076</v>
      </c>
      <c r="C1077" s="8" t="s">
        <v>17</v>
      </c>
      <c r="D1077" s="2">
        <v>43243</v>
      </c>
      <c r="E1077" s="3">
        <f>350000/100000</f>
        <v>3.5</v>
      </c>
      <c r="F1077" t="s">
        <v>162</v>
      </c>
      <c r="G1077" t="s">
        <v>163</v>
      </c>
      <c r="H1077" t="s">
        <v>164</v>
      </c>
      <c r="I1077" s="6" t="s">
        <v>672</v>
      </c>
      <c r="J1077" s="61" t="s">
        <v>673</v>
      </c>
      <c r="L1077" s="5" t="str">
        <f t="shared" si="172"/>
        <v>01076</v>
      </c>
      <c r="M1077" s="47" t="str">
        <f t="shared" si="173"/>
        <v>23 de mayo de 2018</v>
      </c>
      <c r="N1077" s="323">
        <f t="shared" si="175"/>
        <v>23</v>
      </c>
      <c r="O1077" s="25">
        <f t="shared" si="174"/>
        <v>43221</v>
      </c>
      <c r="P1077" s="5" t="str">
        <f t="shared" si="181"/>
        <v>3,50</v>
      </c>
      <c r="Q1077" s="4" t="str">
        <f t="shared" si="182"/>
        <v>Tres Bolívares con 50/100</v>
      </c>
    </row>
    <row r="1078" spans="1:17" x14ac:dyDescent="0.25">
      <c r="A1078" s="1">
        <f t="shared" si="180"/>
        <v>1077</v>
      </c>
      <c r="C1078" s="8" t="s">
        <v>17</v>
      </c>
      <c r="D1078" s="2">
        <v>43243</v>
      </c>
      <c r="E1078" s="3">
        <f>800000/100000</f>
        <v>8</v>
      </c>
      <c r="F1078" t="s">
        <v>410</v>
      </c>
      <c r="G1078" s="18" t="s">
        <v>58</v>
      </c>
      <c r="H1078" t="s">
        <v>411</v>
      </c>
      <c r="I1078" s="6" t="s">
        <v>708</v>
      </c>
      <c r="J1078" s="61" t="s">
        <v>22</v>
      </c>
      <c r="L1078" s="5" t="str">
        <f t="shared" si="172"/>
        <v>01077</v>
      </c>
      <c r="M1078" s="47" t="str">
        <f t="shared" si="173"/>
        <v>23 de mayo de 2018</v>
      </c>
      <c r="N1078" s="323">
        <f t="shared" si="175"/>
        <v>23</v>
      </c>
      <c r="O1078" s="25">
        <f t="shared" si="174"/>
        <v>43221</v>
      </c>
      <c r="P1078" s="5" t="str">
        <f t="shared" si="181"/>
        <v>8,00</v>
      </c>
      <c r="Q1078" s="4" t="str">
        <f t="shared" si="182"/>
        <v>Ocho Bolívares con 00/100</v>
      </c>
    </row>
    <row r="1079" spans="1:17" x14ac:dyDescent="0.25">
      <c r="A1079" s="1">
        <f t="shared" si="180"/>
        <v>1078</v>
      </c>
      <c r="C1079" s="8" t="s">
        <v>17</v>
      </c>
      <c r="D1079" s="2">
        <v>43244</v>
      </c>
      <c r="E1079" s="3">
        <f>400000/100000</f>
        <v>4</v>
      </c>
      <c r="F1079" t="s">
        <v>713</v>
      </c>
      <c r="G1079" t="s">
        <v>714</v>
      </c>
      <c r="H1079" t="s">
        <v>154</v>
      </c>
      <c r="I1079" s="6" t="s">
        <v>684</v>
      </c>
      <c r="J1079" s="61" t="s">
        <v>22</v>
      </c>
      <c r="L1079" s="5" t="str">
        <f t="shared" si="172"/>
        <v>01078</v>
      </c>
      <c r="M1079" s="47" t="str">
        <f t="shared" si="173"/>
        <v>24 de mayo de 2018</v>
      </c>
      <c r="N1079" s="323">
        <f t="shared" si="175"/>
        <v>24</v>
      </c>
      <c r="O1079" s="25">
        <f t="shared" si="174"/>
        <v>43221</v>
      </c>
      <c r="P1079" s="5" t="str">
        <f>TEXT(E1079,"#.##0,00")</f>
        <v>4,00</v>
      </c>
      <c r="Q1079" s="4" t="str">
        <f>CONVERTIRNUM(E1079)</f>
        <v>Cuatro Bolívares con 00/100</v>
      </c>
    </row>
    <row r="1080" spans="1:17" x14ac:dyDescent="0.25">
      <c r="A1080" s="1">
        <f t="shared" si="180"/>
        <v>1079</v>
      </c>
      <c r="C1080" s="8" t="s">
        <v>17</v>
      </c>
      <c r="D1080" s="2">
        <v>43244</v>
      </c>
      <c r="E1080" s="3">
        <f>350000/100000</f>
        <v>3.5</v>
      </c>
      <c r="F1080" t="s">
        <v>713</v>
      </c>
      <c r="G1080" t="s">
        <v>714</v>
      </c>
      <c r="H1080" t="s">
        <v>154</v>
      </c>
      <c r="I1080" s="6" t="s">
        <v>672</v>
      </c>
      <c r="J1080" s="61" t="s">
        <v>673</v>
      </c>
      <c r="L1080" s="5" t="str">
        <f t="shared" si="172"/>
        <v>01079</v>
      </c>
      <c r="M1080" s="47" t="str">
        <f t="shared" si="173"/>
        <v>24 de mayo de 2018</v>
      </c>
      <c r="N1080" s="323">
        <f t="shared" si="175"/>
        <v>24</v>
      </c>
      <c r="O1080" s="25">
        <f t="shared" si="174"/>
        <v>43221</v>
      </c>
      <c r="P1080" s="5" t="str">
        <f>TEXT(E1080,"#.##0,00")</f>
        <v>3,50</v>
      </c>
      <c r="Q1080" s="4" t="str">
        <f>CONVERTIRNUM(E1080)</f>
        <v>Tres Bolívares con 50/100</v>
      </c>
    </row>
    <row r="1081" spans="1:17" x14ac:dyDescent="0.25">
      <c r="A1081" s="1">
        <f t="shared" si="180"/>
        <v>1080</v>
      </c>
      <c r="C1081" s="8" t="s">
        <v>17</v>
      </c>
      <c r="D1081" s="2">
        <v>43244</v>
      </c>
      <c r="E1081" s="3">
        <f>350000/100000</f>
        <v>3.5</v>
      </c>
      <c r="F1081" t="s">
        <v>80</v>
      </c>
      <c r="G1081" t="s">
        <v>81</v>
      </c>
      <c r="H1081" t="s">
        <v>82</v>
      </c>
      <c r="I1081" s="6" t="s">
        <v>672</v>
      </c>
      <c r="J1081" s="61" t="s">
        <v>673</v>
      </c>
      <c r="L1081" s="5" t="str">
        <f t="shared" si="172"/>
        <v>01080</v>
      </c>
      <c r="M1081" s="47" t="str">
        <f t="shared" si="173"/>
        <v>24 de mayo de 2018</v>
      </c>
      <c r="N1081" s="323">
        <f t="shared" si="175"/>
        <v>24</v>
      </c>
      <c r="O1081" s="25">
        <f t="shared" si="174"/>
        <v>43221</v>
      </c>
      <c r="P1081" s="5" t="str">
        <f t="shared" ref="P1081:P1098" si="183">TEXT(E1081,"#.##0,00")</f>
        <v>3,50</v>
      </c>
      <c r="Q1081" s="4" t="str">
        <f t="shared" ref="Q1081:Q1095" si="184">CONVERTIRNUM(E1081)</f>
        <v>Tres Bolívares con 50/100</v>
      </c>
    </row>
    <row r="1082" spans="1:17" x14ac:dyDescent="0.25">
      <c r="A1082" s="1">
        <f t="shared" si="180"/>
        <v>1081</v>
      </c>
      <c r="C1082" s="8" t="s">
        <v>17</v>
      </c>
      <c r="D1082" s="2">
        <v>43245</v>
      </c>
      <c r="E1082" s="3">
        <f>350000/100000</f>
        <v>3.5</v>
      </c>
      <c r="F1082" t="s">
        <v>103</v>
      </c>
      <c r="G1082" t="s">
        <v>104</v>
      </c>
      <c r="H1082" t="s">
        <v>105</v>
      </c>
      <c r="I1082" s="6" t="s">
        <v>672</v>
      </c>
      <c r="J1082" s="61" t="s">
        <v>673</v>
      </c>
      <c r="L1082" s="5" t="str">
        <f t="shared" si="172"/>
        <v>01081</v>
      </c>
      <c r="M1082" s="47" t="str">
        <f t="shared" si="173"/>
        <v>25 de mayo de 2018</v>
      </c>
      <c r="N1082" s="323">
        <f t="shared" si="175"/>
        <v>25</v>
      </c>
      <c r="O1082" s="25">
        <f t="shared" si="174"/>
        <v>43221</v>
      </c>
      <c r="P1082" s="5" t="str">
        <f t="shared" si="183"/>
        <v>3,50</v>
      </c>
      <c r="Q1082" s="4" t="str">
        <f t="shared" si="184"/>
        <v>Tres Bolívares con 50/100</v>
      </c>
    </row>
    <row r="1083" spans="1:17" x14ac:dyDescent="0.25">
      <c r="A1083" s="1">
        <f t="shared" si="180"/>
        <v>1082</v>
      </c>
      <c r="C1083" s="8" t="s">
        <v>17</v>
      </c>
      <c r="D1083" s="2">
        <v>43245</v>
      </c>
      <c r="E1083" s="3">
        <f>350000/100000</f>
        <v>3.5</v>
      </c>
      <c r="F1083" t="s">
        <v>443</v>
      </c>
      <c r="G1083" t="s">
        <v>444</v>
      </c>
      <c r="H1083" t="s">
        <v>75</v>
      </c>
      <c r="I1083" s="6" t="s">
        <v>672</v>
      </c>
      <c r="J1083" s="61" t="s">
        <v>673</v>
      </c>
      <c r="L1083" s="5" t="str">
        <f t="shared" si="172"/>
        <v>01082</v>
      </c>
      <c r="M1083" s="47" t="str">
        <f t="shared" si="173"/>
        <v>25 de mayo de 2018</v>
      </c>
      <c r="N1083" s="323">
        <f t="shared" si="175"/>
        <v>25</v>
      </c>
      <c r="O1083" s="25">
        <f t="shared" si="174"/>
        <v>43221</v>
      </c>
      <c r="P1083" s="5" t="str">
        <f t="shared" si="183"/>
        <v>3,50</v>
      </c>
      <c r="Q1083" s="4" t="str">
        <f t="shared" si="184"/>
        <v>Tres Bolívares con 50/100</v>
      </c>
    </row>
    <row r="1084" spans="1:17" x14ac:dyDescent="0.25">
      <c r="A1084" s="1">
        <f t="shared" si="180"/>
        <v>1083</v>
      </c>
      <c r="C1084" s="8" t="s">
        <v>17</v>
      </c>
      <c r="D1084" s="2">
        <v>43245</v>
      </c>
      <c r="E1084" s="3">
        <f>350000/100000</f>
        <v>3.5</v>
      </c>
      <c r="F1084" t="s">
        <v>633</v>
      </c>
      <c r="G1084" t="s">
        <v>634</v>
      </c>
      <c r="H1084" t="s">
        <v>635</v>
      </c>
      <c r="I1084" s="6" t="s">
        <v>672</v>
      </c>
      <c r="J1084" s="61" t="s">
        <v>673</v>
      </c>
      <c r="L1084" s="5" t="str">
        <f t="shared" si="172"/>
        <v>01083</v>
      </c>
      <c r="M1084" s="47" t="str">
        <f t="shared" si="173"/>
        <v>25 de mayo de 2018</v>
      </c>
      <c r="N1084" s="323">
        <f t="shared" si="175"/>
        <v>25</v>
      </c>
      <c r="O1084" s="25">
        <f t="shared" si="174"/>
        <v>43221</v>
      </c>
      <c r="P1084" s="5" t="str">
        <f t="shared" si="183"/>
        <v>3,50</v>
      </c>
      <c r="Q1084" s="4" t="str">
        <f t="shared" si="184"/>
        <v>Tres Bolívares con 50/100</v>
      </c>
    </row>
    <row r="1085" spans="1:17" x14ac:dyDescent="0.25">
      <c r="A1085" s="1">
        <f t="shared" si="180"/>
        <v>1084</v>
      </c>
      <c r="C1085" s="8" t="s">
        <v>17</v>
      </c>
      <c r="D1085" s="2">
        <v>43246</v>
      </c>
      <c r="E1085" s="3">
        <f>100000/100000</f>
        <v>1</v>
      </c>
      <c r="F1085" t="s">
        <v>433</v>
      </c>
      <c r="G1085" t="s">
        <v>434</v>
      </c>
      <c r="H1085" t="s">
        <v>435</v>
      </c>
      <c r="I1085" s="6" t="s">
        <v>672</v>
      </c>
      <c r="J1085" s="61" t="s">
        <v>673</v>
      </c>
      <c r="L1085" s="5" t="str">
        <f t="shared" si="172"/>
        <v>01084</v>
      </c>
      <c r="M1085" s="47" t="str">
        <f t="shared" si="173"/>
        <v>26 de mayo de 2018</v>
      </c>
      <c r="N1085" s="323">
        <f t="shared" si="175"/>
        <v>26</v>
      </c>
      <c r="O1085" s="25">
        <f t="shared" si="174"/>
        <v>43221</v>
      </c>
      <c r="P1085" s="5" t="str">
        <f t="shared" si="183"/>
        <v>1,00</v>
      </c>
      <c r="Q1085" s="4" t="str">
        <f t="shared" si="184"/>
        <v>Un Bolívar con 00/100</v>
      </c>
    </row>
    <row r="1086" spans="1:17" x14ac:dyDescent="0.25">
      <c r="A1086" s="1">
        <f t="shared" si="180"/>
        <v>1085</v>
      </c>
      <c r="C1086" s="8" t="s">
        <v>17</v>
      </c>
      <c r="D1086" s="2">
        <v>43247</v>
      </c>
      <c r="E1086" s="3">
        <f>400000/100000</f>
        <v>4</v>
      </c>
      <c r="F1086" t="s">
        <v>296</v>
      </c>
      <c r="G1086" t="s">
        <v>297</v>
      </c>
      <c r="H1086" t="s">
        <v>298</v>
      </c>
      <c r="I1086" s="6" t="s">
        <v>684</v>
      </c>
      <c r="J1086" s="61" t="s">
        <v>22</v>
      </c>
      <c r="L1086" s="5" t="str">
        <f t="shared" si="172"/>
        <v>01085</v>
      </c>
      <c r="M1086" s="47" t="str">
        <f t="shared" si="173"/>
        <v>27 de mayo de 2018</v>
      </c>
      <c r="N1086" s="323">
        <f t="shared" si="175"/>
        <v>27</v>
      </c>
      <c r="O1086" s="25">
        <f t="shared" si="174"/>
        <v>43221</v>
      </c>
      <c r="P1086" s="5" t="str">
        <f t="shared" si="183"/>
        <v>4,00</v>
      </c>
      <c r="Q1086" s="4" t="str">
        <f t="shared" si="184"/>
        <v>Cuatro Bolívares con 00/100</v>
      </c>
    </row>
    <row r="1087" spans="1:17" x14ac:dyDescent="0.25">
      <c r="A1087" s="1">
        <f t="shared" si="180"/>
        <v>1086</v>
      </c>
      <c r="C1087" s="8" t="s">
        <v>17</v>
      </c>
      <c r="D1087" s="2">
        <v>43247</v>
      </c>
      <c r="E1087" s="3">
        <f>350000/100000</f>
        <v>3.5</v>
      </c>
      <c r="F1087" t="s">
        <v>296</v>
      </c>
      <c r="G1087" t="s">
        <v>297</v>
      </c>
      <c r="H1087" t="s">
        <v>298</v>
      </c>
      <c r="I1087" s="6" t="s">
        <v>672</v>
      </c>
      <c r="J1087" s="61" t="s">
        <v>673</v>
      </c>
      <c r="L1087" s="5" t="str">
        <f t="shared" si="172"/>
        <v>01086</v>
      </c>
      <c r="M1087" s="47" t="str">
        <f t="shared" si="173"/>
        <v>27 de mayo de 2018</v>
      </c>
      <c r="N1087" s="323">
        <f t="shared" si="175"/>
        <v>27</v>
      </c>
      <c r="O1087" s="25">
        <f t="shared" si="174"/>
        <v>43221</v>
      </c>
      <c r="P1087" s="5" t="str">
        <f t="shared" si="183"/>
        <v>3,50</v>
      </c>
      <c r="Q1087" s="4" t="str">
        <f t="shared" si="184"/>
        <v>Tres Bolívares con 50/100</v>
      </c>
    </row>
    <row r="1088" spans="1:17" x14ac:dyDescent="0.25">
      <c r="A1088" s="1">
        <f t="shared" si="180"/>
        <v>1087</v>
      </c>
      <c r="C1088" s="8" t="s">
        <v>17</v>
      </c>
      <c r="D1088" s="2">
        <v>43248</v>
      </c>
      <c r="E1088" s="3">
        <f>400000/100000</f>
        <v>4</v>
      </c>
      <c r="F1088" t="s">
        <v>144</v>
      </c>
      <c r="G1088" t="s">
        <v>661</v>
      </c>
      <c r="H1088" t="s">
        <v>146</v>
      </c>
      <c r="I1088" s="6" t="s">
        <v>715</v>
      </c>
      <c r="J1088" s="61" t="s">
        <v>22</v>
      </c>
      <c r="L1088" s="5" t="str">
        <f t="shared" si="172"/>
        <v>01087</v>
      </c>
      <c r="M1088" s="47" t="str">
        <f t="shared" si="173"/>
        <v>28 de mayo de 2018</v>
      </c>
      <c r="N1088" s="323">
        <f t="shared" si="175"/>
        <v>28</v>
      </c>
      <c r="O1088" s="25">
        <f t="shared" si="174"/>
        <v>43221</v>
      </c>
      <c r="P1088" s="5" t="str">
        <f t="shared" si="183"/>
        <v>4,00</v>
      </c>
      <c r="Q1088" s="4" t="str">
        <f t="shared" si="184"/>
        <v>Cuatro Bolívares con 00/100</v>
      </c>
    </row>
    <row r="1089" spans="1:17" x14ac:dyDescent="0.25">
      <c r="A1089" s="1">
        <f t="shared" si="180"/>
        <v>1088</v>
      </c>
      <c r="C1089" s="8" t="s">
        <v>17</v>
      </c>
      <c r="D1089" s="2">
        <v>43248</v>
      </c>
      <c r="E1089" s="3">
        <f>350000/100000</f>
        <v>3.5</v>
      </c>
      <c r="F1089" t="s">
        <v>144</v>
      </c>
      <c r="G1089" t="s">
        <v>661</v>
      </c>
      <c r="H1089" t="s">
        <v>146</v>
      </c>
      <c r="I1089" s="6" t="s">
        <v>672</v>
      </c>
      <c r="J1089" s="61" t="s">
        <v>673</v>
      </c>
      <c r="L1089" s="5" t="str">
        <f t="shared" si="172"/>
        <v>01088</v>
      </c>
      <c r="M1089" s="47" t="str">
        <f t="shared" si="173"/>
        <v>28 de mayo de 2018</v>
      </c>
      <c r="N1089" s="323">
        <f t="shared" si="175"/>
        <v>28</v>
      </c>
      <c r="O1089" s="25">
        <f t="shared" si="174"/>
        <v>43221</v>
      </c>
      <c r="P1089" s="5" t="str">
        <f t="shared" si="183"/>
        <v>3,50</v>
      </c>
      <c r="Q1089" s="4" t="str">
        <f t="shared" si="184"/>
        <v>Tres Bolívares con 50/100</v>
      </c>
    </row>
    <row r="1090" spans="1:17" x14ac:dyDescent="0.25">
      <c r="A1090" s="1">
        <f t="shared" si="180"/>
        <v>1089</v>
      </c>
      <c r="C1090" s="8" t="s">
        <v>17</v>
      </c>
      <c r="D1090" s="2">
        <v>43248</v>
      </c>
      <c r="E1090" s="3">
        <f>350000/100000</f>
        <v>3.5</v>
      </c>
      <c r="F1090" t="s">
        <v>138</v>
      </c>
      <c r="G1090" t="s">
        <v>139</v>
      </c>
      <c r="H1090" t="s">
        <v>140</v>
      </c>
      <c r="I1090" s="6" t="s">
        <v>672</v>
      </c>
      <c r="J1090" s="61" t="s">
        <v>673</v>
      </c>
      <c r="L1090" s="5" t="str">
        <f t="shared" ref="L1090:L1106" si="185">IF(ISBLANK(A1090),"",TEXT(A1090,"00000"))</f>
        <v>01089</v>
      </c>
      <c r="M1090" s="47" t="str">
        <f t="shared" ref="M1090:M1100" si="186">IF(ISBLANK(D1090),"",TEXT(D1090,"dd")&amp;" de "&amp;TEXT(D1090,"mmmm")&amp;" de "&amp;TEXT(YEAR(D1090),"0"))</f>
        <v>28 de mayo de 2018</v>
      </c>
      <c r="N1090" s="323">
        <f t="shared" si="175"/>
        <v>28</v>
      </c>
      <c r="O1090" s="25">
        <f t="shared" ref="O1090:O1106" si="187">DATE(YEAR(D1090),MONTH(D1090),1)</f>
        <v>43221</v>
      </c>
      <c r="P1090" s="5" t="str">
        <f t="shared" si="183"/>
        <v>3,50</v>
      </c>
      <c r="Q1090" s="4" t="str">
        <f t="shared" si="184"/>
        <v>Tres Bolívares con 50/100</v>
      </c>
    </row>
    <row r="1091" spans="1:17" x14ac:dyDescent="0.25">
      <c r="A1091" s="1">
        <f t="shared" si="180"/>
        <v>1090</v>
      </c>
      <c r="C1091" s="8" t="s">
        <v>17</v>
      </c>
      <c r="D1091" s="2">
        <v>43248</v>
      </c>
      <c r="E1091" s="3">
        <f>350000/100000</f>
        <v>3.5</v>
      </c>
      <c r="F1091" t="s">
        <v>264</v>
      </c>
      <c r="G1091" t="s">
        <v>265</v>
      </c>
      <c r="H1091" t="s">
        <v>266</v>
      </c>
      <c r="I1091" s="6" t="s">
        <v>672</v>
      </c>
      <c r="J1091" s="61" t="s">
        <v>673</v>
      </c>
      <c r="L1091" s="5" t="str">
        <f t="shared" si="185"/>
        <v>01090</v>
      </c>
      <c r="M1091" s="47" t="str">
        <f t="shared" si="186"/>
        <v>28 de mayo de 2018</v>
      </c>
      <c r="N1091" s="323">
        <f t="shared" ref="N1091:N1154" si="188">DAY(D1091)</f>
        <v>28</v>
      </c>
      <c r="O1091" s="25">
        <f t="shared" si="187"/>
        <v>43221</v>
      </c>
      <c r="P1091" s="5" t="str">
        <f t="shared" si="183"/>
        <v>3,50</v>
      </c>
      <c r="Q1091" s="4" t="str">
        <f t="shared" si="184"/>
        <v>Tres Bolívares con 50/100</v>
      </c>
    </row>
    <row r="1092" spans="1:17" x14ac:dyDescent="0.25">
      <c r="A1092" s="1">
        <f>A1091+1</f>
        <v>1091</v>
      </c>
      <c r="C1092" s="8" t="s">
        <v>17</v>
      </c>
      <c r="D1092" s="2">
        <v>43248</v>
      </c>
      <c r="E1092" s="3">
        <f>350000/100000</f>
        <v>3.5</v>
      </c>
      <c r="F1092" t="s">
        <v>334</v>
      </c>
      <c r="G1092" t="s">
        <v>85</v>
      </c>
      <c r="H1092" t="s">
        <v>335</v>
      </c>
      <c r="I1092" s="6" t="s">
        <v>672</v>
      </c>
      <c r="J1092" s="61" t="s">
        <v>673</v>
      </c>
      <c r="L1092" s="5" t="str">
        <f t="shared" si="185"/>
        <v>01091</v>
      </c>
      <c r="M1092" s="47" t="str">
        <f t="shared" si="186"/>
        <v>28 de mayo de 2018</v>
      </c>
      <c r="N1092" s="323">
        <f t="shared" si="188"/>
        <v>28</v>
      </c>
      <c r="O1092" s="25">
        <f t="shared" si="187"/>
        <v>43221</v>
      </c>
      <c r="P1092" s="5" t="str">
        <f t="shared" si="183"/>
        <v>3,50</v>
      </c>
      <c r="Q1092" s="4" t="str">
        <f t="shared" si="184"/>
        <v>Tres Bolívares con 50/100</v>
      </c>
    </row>
    <row r="1093" spans="1:17" x14ac:dyDescent="0.25">
      <c r="A1093" s="1">
        <f t="shared" ref="A1093:A1122" si="189">A1092+1</f>
        <v>1092</v>
      </c>
      <c r="C1093" s="8" t="s">
        <v>17</v>
      </c>
      <c r="D1093" s="2">
        <v>43249</v>
      </c>
      <c r="E1093" s="3">
        <f>200000/100000</f>
        <v>2</v>
      </c>
      <c r="F1093" t="s">
        <v>28</v>
      </c>
      <c r="G1093" t="s">
        <v>716</v>
      </c>
      <c r="H1093" t="s">
        <v>30</v>
      </c>
      <c r="I1093" s="6" t="s">
        <v>702</v>
      </c>
      <c r="J1093" s="61" t="s">
        <v>22</v>
      </c>
      <c r="L1093" s="5" t="str">
        <f t="shared" si="185"/>
        <v>01092</v>
      </c>
      <c r="M1093" s="47" t="str">
        <f t="shared" si="186"/>
        <v>29 de mayo de 2018</v>
      </c>
      <c r="N1093" s="323">
        <f t="shared" si="188"/>
        <v>29</v>
      </c>
      <c r="O1093" s="25">
        <f t="shared" si="187"/>
        <v>43221</v>
      </c>
      <c r="P1093" s="5" t="str">
        <f t="shared" si="183"/>
        <v>2,00</v>
      </c>
      <c r="Q1093" s="4" t="str">
        <f t="shared" si="184"/>
        <v>Dos Bolívares con 00/100</v>
      </c>
    </row>
    <row r="1094" spans="1:17" x14ac:dyDescent="0.25">
      <c r="A1094" s="1">
        <f t="shared" si="189"/>
        <v>1093</v>
      </c>
      <c r="C1094" s="8" t="s">
        <v>17</v>
      </c>
      <c r="D1094" s="2">
        <v>43249</v>
      </c>
      <c r="E1094" s="3">
        <f>350000/100000</f>
        <v>3.5</v>
      </c>
      <c r="F1094" t="s">
        <v>28</v>
      </c>
      <c r="G1094" t="s">
        <v>716</v>
      </c>
      <c r="H1094" t="s">
        <v>30</v>
      </c>
      <c r="I1094" s="6" t="s">
        <v>672</v>
      </c>
      <c r="J1094" s="61" t="s">
        <v>673</v>
      </c>
      <c r="L1094" s="5" t="str">
        <f t="shared" si="185"/>
        <v>01093</v>
      </c>
      <c r="M1094" s="47" t="str">
        <f t="shared" si="186"/>
        <v>29 de mayo de 2018</v>
      </c>
      <c r="N1094" s="323">
        <f t="shared" si="188"/>
        <v>29</v>
      </c>
      <c r="O1094" s="25">
        <f t="shared" si="187"/>
        <v>43221</v>
      </c>
      <c r="P1094" s="5" t="str">
        <f t="shared" si="183"/>
        <v>3,50</v>
      </c>
      <c r="Q1094" s="4" t="str">
        <f t="shared" si="184"/>
        <v>Tres Bolívares con 50/100</v>
      </c>
    </row>
    <row r="1095" spans="1:17" x14ac:dyDescent="0.25">
      <c r="A1095" s="1">
        <f t="shared" si="189"/>
        <v>1094</v>
      </c>
      <c r="C1095" s="8" t="s">
        <v>17</v>
      </c>
      <c r="D1095" s="2">
        <v>43249</v>
      </c>
      <c r="E1095" s="3">
        <f>350000/100000</f>
        <v>3.5</v>
      </c>
      <c r="F1095" t="s">
        <v>122</v>
      </c>
      <c r="G1095" t="s">
        <v>123</v>
      </c>
      <c r="H1095" t="s">
        <v>124</v>
      </c>
      <c r="I1095" s="6" t="s">
        <v>672</v>
      </c>
      <c r="J1095" s="61" t="s">
        <v>673</v>
      </c>
      <c r="L1095" s="5" t="str">
        <f t="shared" si="185"/>
        <v>01094</v>
      </c>
      <c r="M1095" s="47" t="str">
        <f t="shared" si="186"/>
        <v>29 de mayo de 2018</v>
      </c>
      <c r="N1095" s="323">
        <f t="shared" si="188"/>
        <v>29</v>
      </c>
      <c r="O1095" s="25">
        <f t="shared" si="187"/>
        <v>43221</v>
      </c>
      <c r="P1095" s="5" t="str">
        <f t="shared" si="183"/>
        <v>3,50</v>
      </c>
      <c r="Q1095" s="4" t="str">
        <f t="shared" si="184"/>
        <v>Tres Bolívares con 50/100</v>
      </c>
    </row>
    <row r="1096" spans="1:17" x14ac:dyDescent="0.25">
      <c r="A1096" s="1">
        <f t="shared" si="189"/>
        <v>1095</v>
      </c>
      <c r="C1096" s="8" t="s">
        <v>17</v>
      </c>
      <c r="D1096" s="2">
        <v>43249</v>
      </c>
      <c r="E1096" s="3">
        <f>350000/100000</f>
        <v>3.5</v>
      </c>
      <c r="F1096" s="23" t="s">
        <v>422</v>
      </c>
      <c r="G1096" s="18" t="s">
        <v>58</v>
      </c>
      <c r="H1096" t="s">
        <v>423</v>
      </c>
      <c r="I1096" s="6" t="s">
        <v>672</v>
      </c>
      <c r="J1096" s="61" t="s">
        <v>673</v>
      </c>
      <c r="L1096" s="5" t="str">
        <f t="shared" si="185"/>
        <v>01095</v>
      </c>
      <c r="M1096" s="47" t="str">
        <f t="shared" si="186"/>
        <v>29 de mayo de 2018</v>
      </c>
      <c r="N1096" s="323">
        <f t="shared" si="188"/>
        <v>29</v>
      </c>
      <c r="O1096" s="25">
        <f t="shared" si="187"/>
        <v>43221</v>
      </c>
      <c r="P1096" s="5" t="str">
        <f t="shared" si="183"/>
        <v>3,50</v>
      </c>
      <c r="Q1096" s="4" t="str">
        <f>CONVERTIRNUM(E1096)</f>
        <v>Tres Bolívares con 50/100</v>
      </c>
    </row>
    <row r="1097" spans="1:17" x14ac:dyDescent="0.25">
      <c r="A1097" s="1">
        <f t="shared" si="189"/>
        <v>1096</v>
      </c>
      <c r="C1097" s="8" t="s">
        <v>17</v>
      </c>
      <c r="D1097" s="2">
        <v>43250</v>
      </c>
      <c r="E1097" s="3">
        <f>240000/100000</f>
        <v>2.4</v>
      </c>
      <c r="F1097" t="s">
        <v>312</v>
      </c>
      <c r="G1097" t="s">
        <v>313</v>
      </c>
      <c r="H1097" t="s">
        <v>314</v>
      </c>
      <c r="I1097" s="6" t="s">
        <v>664</v>
      </c>
      <c r="J1097" s="61" t="s">
        <v>22</v>
      </c>
      <c r="L1097" s="5" t="str">
        <f t="shared" si="185"/>
        <v>01096</v>
      </c>
      <c r="M1097" s="47" t="str">
        <f t="shared" si="186"/>
        <v>30 de mayo de 2018</v>
      </c>
      <c r="N1097" s="323">
        <f t="shared" si="188"/>
        <v>30</v>
      </c>
      <c r="O1097" s="25">
        <f t="shared" si="187"/>
        <v>43221</v>
      </c>
      <c r="P1097" s="5" t="str">
        <f t="shared" si="183"/>
        <v>2,40</v>
      </c>
      <c r="Q1097" s="4" t="str">
        <f>CONVERTIRNUM(E1097)</f>
        <v>Dos Bolívares con 40/100</v>
      </c>
    </row>
    <row r="1098" spans="1:17" x14ac:dyDescent="0.25">
      <c r="A1098" s="1">
        <f t="shared" si="189"/>
        <v>1097</v>
      </c>
      <c r="C1098" s="8" t="s">
        <v>17</v>
      </c>
      <c r="D1098" s="2">
        <v>43243</v>
      </c>
      <c r="E1098" s="3">
        <f>400000/100000</f>
        <v>4</v>
      </c>
      <c r="F1098" t="s">
        <v>319</v>
      </c>
      <c r="G1098" s="18" t="s">
        <v>58</v>
      </c>
      <c r="H1098" t="s">
        <v>320</v>
      </c>
      <c r="I1098" s="6" t="s">
        <v>684</v>
      </c>
      <c r="J1098" s="61" t="s">
        <v>22</v>
      </c>
      <c r="L1098" s="5" t="str">
        <f t="shared" si="185"/>
        <v>01097</v>
      </c>
      <c r="M1098" s="47" t="str">
        <f t="shared" si="186"/>
        <v>23 de mayo de 2018</v>
      </c>
      <c r="N1098" s="323">
        <f t="shared" si="188"/>
        <v>23</v>
      </c>
      <c r="O1098" s="25">
        <f t="shared" si="187"/>
        <v>43221</v>
      </c>
      <c r="P1098" s="5" t="str">
        <f t="shared" si="183"/>
        <v>4,00</v>
      </c>
      <c r="Q1098" s="4" t="str">
        <f>CONVERTIRNUM(E1098)</f>
        <v>Cuatro Bolívares con 00/100</v>
      </c>
    </row>
    <row r="1099" spans="1:17" x14ac:dyDescent="0.25">
      <c r="A1099" s="1">
        <f t="shared" si="189"/>
        <v>1098</v>
      </c>
      <c r="C1099" s="8" t="s">
        <v>17</v>
      </c>
      <c r="D1099" s="2">
        <v>43250</v>
      </c>
      <c r="E1099" s="3">
        <f>140000/100000+400000/100000+400000/100000</f>
        <v>9.4</v>
      </c>
      <c r="F1099" t="s">
        <v>717</v>
      </c>
      <c r="G1099" t="s">
        <v>718</v>
      </c>
      <c r="H1099" t="s">
        <v>719</v>
      </c>
      <c r="I1099" s="6" t="s">
        <v>720</v>
      </c>
      <c r="J1099" s="61" t="s">
        <v>22</v>
      </c>
      <c r="L1099" s="5" t="str">
        <f t="shared" si="185"/>
        <v>01098</v>
      </c>
      <c r="M1099" s="47" t="str">
        <f t="shared" si="186"/>
        <v>30 de mayo de 2018</v>
      </c>
      <c r="N1099" s="323">
        <f t="shared" si="188"/>
        <v>30</v>
      </c>
      <c r="O1099" s="25">
        <f t="shared" si="187"/>
        <v>43221</v>
      </c>
      <c r="P1099" s="5" t="str">
        <f t="shared" ref="P1099:P1106" si="190">TEXT(E1099,"#.##0,00")</f>
        <v>9,40</v>
      </c>
      <c r="Q1099" s="4" t="str">
        <f t="shared" ref="Q1099:Q1106" si="191">CONVERTIRNUM(E1099)</f>
        <v>Nueve Bolívares con 40/100</v>
      </c>
    </row>
    <row r="1100" spans="1:17" x14ac:dyDescent="0.25">
      <c r="A1100" s="1">
        <f t="shared" si="189"/>
        <v>1099</v>
      </c>
      <c r="C1100" s="8" t="s">
        <v>17</v>
      </c>
      <c r="D1100" s="2">
        <v>43250</v>
      </c>
      <c r="E1100" s="3">
        <f>350000/100000</f>
        <v>3.5</v>
      </c>
      <c r="F1100" t="s">
        <v>717</v>
      </c>
      <c r="G1100" t="s">
        <v>718</v>
      </c>
      <c r="H1100" t="s">
        <v>719</v>
      </c>
      <c r="I1100" s="6" t="s">
        <v>672</v>
      </c>
      <c r="J1100" s="61" t="s">
        <v>673</v>
      </c>
      <c r="L1100" s="5" t="str">
        <f t="shared" si="185"/>
        <v>01099</v>
      </c>
      <c r="M1100" s="47" t="str">
        <f t="shared" si="186"/>
        <v>30 de mayo de 2018</v>
      </c>
      <c r="N1100" s="323">
        <f t="shared" si="188"/>
        <v>30</v>
      </c>
      <c r="O1100" s="25">
        <f t="shared" si="187"/>
        <v>43221</v>
      </c>
      <c r="P1100" s="5" t="str">
        <f t="shared" si="190"/>
        <v>3,50</v>
      </c>
      <c r="Q1100" s="4" t="str">
        <f t="shared" si="191"/>
        <v>Tres Bolívares con 50/100</v>
      </c>
    </row>
    <row r="1101" spans="1:17" x14ac:dyDescent="0.25">
      <c r="A1101" s="1">
        <f t="shared" si="189"/>
        <v>1100</v>
      </c>
      <c r="C1101" s="8" t="s">
        <v>17</v>
      </c>
      <c r="D1101" s="2">
        <v>43250</v>
      </c>
      <c r="E1101" s="3">
        <f>250000/100000</f>
        <v>2.5</v>
      </c>
      <c r="F1101" t="s">
        <v>126</v>
      </c>
      <c r="G1101" t="s">
        <v>127</v>
      </c>
      <c r="H1101" t="s">
        <v>128</v>
      </c>
      <c r="I1101" s="6" t="s">
        <v>672</v>
      </c>
      <c r="J1101" s="61" t="s">
        <v>673</v>
      </c>
      <c r="L1101" s="5" t="str">
        <f t="shared" si="185"/>
        <v>01100</v>
      </c>
      <c r="M1101" s="47" t="str">
        <f t="shared" ref="M1101:M1106" si="192">IF(ISBLANK(D1101),"",TEXT(D1101,"dd")&amp;" de "&amp;TEXT(D1101,"mmmm")&amp;" de "&amp;TEXT(YEAR(D1101),"0"))</f>
        <v>30 de mayo de 2018</v>
      </c>
      <c r="N1101" s="323">
        <f t="shared" si="188"/>
        <v>30</v>
      </c>
      <c r="O1101" s="25">
        <f t="shared" si="187"/>
        <v>43221</v>
      </c>
      <c r="P1101" s="5" t="str">
        <f t="shared" si="190"/>
        <v>2,50</v>
      </c>
      <c r="Q1101" s="4" t="str">
        <f t="shared" si="191"/>
        <v>Dos Bolívares con 50/100</v>
      </c>
    </row>
    <row r="1102" spans="1:17" x14ac:dyDescent="0.25">
      <c r="A1102" s="1">
        <f t="shared" si="189"/>
        <v>1101</v>
      </c>
      <c r="C1102" s="8" t="s">
        <v>17</v>
      </c>
      <c r="D1102" s="2">
        <v>43250</v>
      </c>
      <c r="E1102" s="3">
        <f>400000/100000</f>
        <v>4</v>
      </c>
      <c r="F1102" t="s">
        <v>185</v>
      </c>
      <c r="G1102" t="s">
        <v>186</v>
      </c>
      <c r="H1102" t="s">
        <v>187</v>
      </c>
      <c r="I1102" s="6" t="s">
        <v>684</v>
      </c>
      <c r="J1102" s="61" t="s">
        <v>22</v>
      </c>
      <c r="L1102" s="5" t="str">
        <f t="shared" si="185"/>
        <v>01101</v>
      </c>
      <c r="M1102" s="47" t="str">
        <f t="shared" si="192"/>
        <v>30 de mayo de 2018</v>
      </c>
      <c r="N1102" s="323">
        <f t="shared" si="188"/>
        <v>30</v>
      </c>
      <c r="O1102" s="25">
        <f t="shared" si="187"/>
        <v>43221</v>
      </c>
      <c r="P1102" s="5" t="str">
        <f t="shared" si="190"/>
        <v>4,00</v>
      </c>
      <c r="Q1102" s="4" t="str">
        <f t="shared" si="191"/>
        <v>Cuatro Bolívares con 00/100</v>
      </c>
    </row>
    <row r="1103" spans="1:17" x14ac:dyDescent="0.25">
      <c r="A1103" s="1">
        <f t="shared" si="189"/>
        <v>1102</v>
      </c>
      <c r="C1103" s="8" t="s">
        <v>17</v>
      </c>
      <c r="D1103" s="2">
        <v>43250</v>
      </c>
      <c r="E1103" s="3">
        <f>350000/100000</f>
        <v>3.5</v>
      </c>
      <c r="F1103" t="s">
        <v>185</v>
      </c>
      <c r="G1103" t="s">
        <v>186</v>
      </c>
      <c r="H1103" t="s">
        <v>187</v>
      </c>
      <c r="I1103" s="6" t="s">
        <v>672</v>
      </c>
      <c r="J1103" s="61" t="s">
        <v>673</v>
      </c>
      <c r="L1103" s="5" t="str">
        <f t="shared" si="185"/>
        <v>01102</v>
      </c>
      <c r="M1103" s="47" t="str">
        <f t="shared" si="192"/>
        <v>30 de mayo de 2018</v>
      </c>
      <c r="N1103" s="323">
        <f t="shared" si="188"/>
        <v>30</v>
      </c>
      <c r="O1103" s="25">
        <f t="shared" si="187"/>
        <v>43221</v>
      </c>
      <c r="P1103" s="5" t="str">
        <f t="shared" si="190"/>
        <v>3,50</v>
      </c>
      <c r="Q1103" s="4" t="str">
        <f t="shared" si="191"/>
        <v>Tres Bolívares con 50/100</v>
      </c>
    </row>
    <row r="1104" spans="1:17" x14ac:dyDescent="0.25">
      <c r="A1104" s="1">
        <f t="shared" si="189"/>
        <v>1103</v>
      </c>
      <c r="C1104" s="8" t="s">
        <v>17</v>
      </c>
      <c r="D1104" s="2">
        <v>43251</v>
      </c>
      <c r="E1104" s="3">
        <f>140000/100000+400000/100000</f>
        <v>5.4</v>
      </c>
      <c r="F1104" t="s">
        <v>239</v>
      </c>
      <c r="G1104" s="73" t="s">
        <v>240</v>
      </c>
      <c r="H1104" t="s">
        <v>241</v>
      </c>
      <c r="I1104" s="6" t="s">
        <v>695</v>
      </c>
      <c r="J1104" s="61" t="s">
        <v>22</v>
      </c>
      <c r="L1104" s="5" t="str">
        <f t="shared" si="185"/>
        <v>01103</v>
      </c>
      <c r="M1104" s="47" t="str">
        <f t="shared" si="192"/>
        <v>31 de mayo de 2018</v>
      </c>
      <c r="N1104" s="323">
        <f t="shared" si="188"/>
        <v>31</v>
      </c>
      <c r="O1104" s="25">
        <f t="shared" si="187"/>
        <v>43221</v>
      </c>
      <c r="P1104" s="5" t="str">
        <f t="shared" si="190"/>
        <v>5,40</v>
      </c>
      <c r="Q1104" s="4" t="str">
        <f t="shared" si="191"/>
        <v>Cinco Bolívares con 40/100</v>
      </c>
    </row>
    <row r="1105" spans="1:17" x14ac:dyDescent="0.25">
      <c r="A1105" s="1">
        <f t="shared" si="189"/>
        <v>1104</v>
      </c>
      <c r="C1105" s="8" t="s">
        <v>17</v>
      </c>
      <c r="D1105" s="2">
        <v>43251</v>
      </c>
      <c r="E1105" s="3">
        <f>660000/100000</f>
        <v>6.6</v>
      </c>
      <c r="F1105" t="s">
        <v>337</v>
      </c>
      <c r="G1105" t="s">
        <v>338</v>
      </c>
      <c r="H1105" t="s">
        <v>339</v>
      </c>
      <c r="I1105" s="6" t="s">
        <v>721</v>
      </c>
      <c r="J1105" s="61" t="s">
        <v>22</v>
      </c>
      <c r="L1105" s="5" t="str">
        <f t="shared" si="185"/>
        <v>01104</v>
      </c>
      <c r="M1105" s="47" t="str">
        <f t="shared" si="192"/>
        <v>31 de mayo de 2018</v>
      </c>
      <c r="N1105" s="323">
        <f t="shared" si="188"/>
        <v>31</v>
      </c>
      <c r="O1105" s="25">
        <f t="shared" si="187"/>
        <v>43221</v>
      </c>
      <c r="P1105" s="5" t="str">
        <f t="shared" si="190"/>
        <v>6,60</v>
      </c>
      <c r="Q1105" s="4" t="str">
        <f t="shared" si="191"/>
        <v>Seis Bolívares con 60/100</v>
      </c>
    </row>
    <row r="1106" spans="1:17" x14ac:dyDescent="0.25">
      <c r="A1106" s="1">
        <f t="shared" si="189"/>
        <v>1105</v>
      </c>
      <c r="C1106" s="8" t="s">
        <v>17</v>
      </c>
      <c r="D1106" s="2">
        <v>43253</v>
      </c>
      <c r="E1106" s="3">
        <f>800000/100000</f>
        <v>8</v>
      </c>
      <c r="F1106" t="s">
        <v>197</v>
      </c>
      <c r="G1106" t="s">
        <v>198</v>
      </c>
      <c r="H1106" t="s">
        <v>199</v>
      </c>
      <c r="I1106" s="6" t="s">
        <v>708</v>
      </c>
      <c r="J1106" s="61" t="s">
        <v>22</v>
      </c>
      <c r="L1106" s="5" t="str">
        <f t="shared" si="185"/>
        <v>01105</v>
      </c>
      <c r="M1106" s="47" t="str">
        <f t="shared" si="192"/>
        <v>02 de junio de 2018</v>
      </c>
      <c r="N1106" s="323">
        <f t="shared" si="188"/>
        <v>2</v>
      </c>
      <c r="O1106" s="25">
        <f t="shared" si="187"/>
        <v>43252</v>
      </c>
      <c r="P1106" s="5" t="str">
        <f t="shared" si="190"/>
        <v>8,00</v>
      </c>
      <c r="Q1106" s="4" t="str">
        <f t="shared" si="191"/>
        <v>Ocho Bolívares con 00/100</v>
      </c>
    </row>
    <row r="1107" spans="1:17" x14ac:dyDescent="0.25">
      <c r="A1107" s="1">
        <f t="shared" si="189"/>
        <v>1106</v>
      </c>
      <c r="C1107" s="8" t="s">
        <v>17</v>
      </c>
      <c r="D1107" s="2">
        <v>43253</v>
      </c>
      <c r="E1107" s="3">
        <f>350000/100000</f>
        <v>3.5</v>
      </c>
      <c r="F1107" t="s">
        <v>197</v>
      </c>
      <c r="G1107" t="s">
        <v>198</v>
      </c>
      <c r="H1107" t="s">
        <v>199</v>
      </c>
      <c r="I1107" s="6" t="s">
        <v>672</v>
      </c>
      <c r="J1107" s="61" t="s">
        <v>673</v>
      </c>
      <c r="L1107" s="5" t="str">
        <f t="shared" ref="L1107:L1130" si="193">IF(ISBLANK(A1107),"",TEXT(A1107,"00000"))</f>
        <v>01106</v>
      </c>
      <c r="M1107" s="47" t="str">
        <f t="shared" ref="M1107:M1130" si="194">IF(ISBLANK(D1107),"",TEXT(D1107,"dd")&amp;" de "&amp;TEXT(D1107,"mmmm")&amp;" de "&amp;TEXT(YEAR(D1107),"0"))</f>
        <v>02 de junio de 2018</v>
      </c>
      <c r="N1107" s="323">
        <f t="shared" si="188"/>
        <v>2</v>
      </c>
      <c r="O1107" s="25">
        <f t="shared" ref="O1107:O1130" si="195">DATE(YEAR(D1107),MONTH(D1107),1)</f>
        <v>43252</v>
      </c>
      <c r="P1107" s="5" t="str">
        <f t="shared" ref="P1107:P1118" si="196">TEXT(E1107,"#.##0,00")</f>
        <v>3,50</v>
      </c>
      <c r="Q1107" s="4" t="str">
        <f t="shared" ref="Q1107:Q1118" si="197">CONVERTIRNUM(E1107)</f>
        <v>Tres Bolívares con 50/100</v>
      </c>
    </row>
    <row r="1108" spans="1:17" x14ac:dyDescent="0.25">
      <c r="A1108" s="178">
        <f t="shared" si="189"/>
        <v>1107</v>
      </c>
      <c r="C1108" s="8" t="s">
        <v>17</v>
      </c>
      <c r="D1108" s="2">
        <v>43253</v>
      </c>
      <c r="E1108" s="3">
        <f>350000/100000</f>
        <v>3.5</v>
      </c>
      <c r="F1108" t="s">
        <v>438</v>
      </c>
      <c r="G1108" t="s">
        <v>439</v>
      </c>
      <c r="H1108" t="s">
        <v>440</v>
      </c>
      <c r="I1108" s="6" t="s">
        <v>672</v>
      </c>
      <c r="J1108" s="61" t="s">
        <v>673</v>
      </c>
      <c r="L1108" s="5" t="str">
        <f t="shared" si="193"/>
        <v>01107</v>
      </c>
      <c r="M1108" s="47" t="str">
        <f t="shared" si="194"/>
        <v>02 de junio de 2018</v>
      </c>
      <c r="N1108" s="323">
        <f t="shared" si="188"/>
        <v>2</v>
      </c>
      <c r="O1108" s="25">
        <f t="shared" si="195"/>
        <v>43252</v>
      </c>
      <c r="P1108" s="5" t="str">
        <f t="shared" si="196"/>
        <v>3,50</v>
      </c>
      <c r="Q1108" s="4" t="str">
        <f t="shared" si="197"/>
        <v>Tres Bolívares con 50/100</v>
      </c>
    </row>
    <row r="1109" spans="1:17" x14ac:dyDescent="0.25">
      <c r="A1109" s="1">
        <f t="shared" si="189"/>
        <v>1108</v>
      </c>
      <c r="C1109" s="8" t="s">
        <v>17</v>
      </c>
      <c r="D1109" s="2">
        <v>43255</v>
      </c>
      <c r="E1109" s="3">
        <f>400000/100000</f>
        <v>4</v>
      </c>
      <c r="F1109" t="s">
        <v>698</v>
      </c>
      <c r="G1109" t="s">
        <v>699</v>
      </c>
      <c r="H1109" t="s">
        <v>150</v>
      </c>
      <c r="I1109" s="6" t="s">
        <v>707</v>
      </c>
      <c r="J1109" s="61" t="s">
        <v>22</v>
      </c>
      <c r="L1109" s="5" t="str">
        <f t="shared" si="193"/>
        <v>01108</v>
      </c>
      <c r="M1109" s="47" t="str">
        <f t="shared" si="194"/>
        <v>04 de junio de 2018</v>
      </c>
      <c r="N1109" s="323">
        <f t="shared" si="188"/>
        <v>4</v>
      </c>
      <c r="O1109" s="25">
        <f t="shared" si="195"/>
        <v>43252</v>
      </c>
      <c r="P1109" s="5" t="str">
        <f t="shared" si="196"/>
        <v>4,00</v>
      </c>
      <c r="Q1109" s="4" t="str">
        <f t="shared" si="197"/>
        <v>Cuatro Bolívares con 00/100</v>
      </c>
    </row>
    <row r="1110" spans="1:17" x14ac:dyDescent="0.25">
      <c r="A1110" s="1">
        <f t="shared" si="189"/>
        <v>1109</v>
      </c>
      <c r="C1110" s="8" t="s">
        <v>17</v>
      </c>
      <c r="D1110" s="2">
        <v>43255</v>
      </c>
      <c r="E1110" s="3">
        <f>400000/100000</f>
        <v>4</v>
      </c>
      <c r="F1110" t="s">
        <v>48</v>
      </c>
      <c r="G1110" t="s">
        <v>49</v>
      </c>
      <c r="H1110" t="s">
        <v>50</v>
      </c>
      <c r="I1110" s="6" t="s">
        <v>707</v>
      </c>
      <c r="J1110" s="61" t="s">
        <v>22</v>
      </c>
      <c r="L1110" s="5" t="str">
        <f t="shared" si="193"/>
        <v>01109</v>
      </c>
      <c r="M1110" s="47" t="str">
        <f t="shared" si="194"/>
        <v>04 de junio de 2018</v>
      </c>
      <c r="N1110" s="323">
        <f t="shared" si="188"/>
        <v>4</v>
      </c>
      <c r="O1110" s="25">
        <f t="shared" si="195"/>
        <v>43252</v>
      </c>
      <c r="P1110" s="5" t="str">
        <f t="shared" si="196"/>
        <v>4,00</v>
      </c>
      <c r="Q1110" s="4" t="str">
        <f t="shared" si="197"/>
        <v>Cuatro Bolívares con 00/100</v>
      </c>
    </row>
    <row r="1111" spans="1:17" x14ac:dyDescent="0.25">
      <c r="A1111" s="1">
        <f t="shared" si="189"/>
        <v>1110</v>
      </c>
      <c r="C1111" s="8" t="s">
        <v>17</v>
      </c>
      <c r="D1111" s="2">
        <v>43255</v>
      </c>
      <c r="E1111" s="3">
        <f>400000/100000</f>
        <v>4</v>
      </c>
      <c r="F1111" t="s">
        <v>62</v>
      </c>
      <c r="G1111" t="s">
        <v>63</v>
      </c>
      <c r="H1111" t="s">
        <v>64</v>
      </c>
      <c r="I1111" s="6" t="s">
        <v>684</v>
      </c>
      <c r="J1111" s="61" t="s">
        <v>22</v>
      </c>
      <c r="L1111" s="5" t="str">
        <f t="shared" si="193"/>
        <v>01110</v>
      </c>
      <c r="M1111" s="47" t="str">
        <f t="shared" si="194"/>
        <v>04 de junio de 2018</v>
      </c>
      <c r="N1111" s="323">
        <f t="shared" si="188"/>
        <v>4</v>
      </c>
      <c r="O1111" s="25">
        <f t="shared" si="195"/>
        <v>43252</v>
      </c>
      <c r="P1111" s="5" t="str">
        <f t="shared" si="196"/>
        <v>4,00</v>
      </c>
      <c r="Q1111" s="4" t="str">
        <f t="shared" si="197"/>
        <v>Cuatro Bolívares con 00/100</v>
      </c>
    </row>
    <row r="1112" spans="1:17" x14ac:dyDescent="0.25">
      <c r="A1112" s="1">
        <f t="shared" si="189"/>
        <v>1111</v>
      </c>
      <c r="C1112" s="8" t="s">
        <v>17</v>
      </c>
      <c r="D1112" s="2">
        <v>43255</v>
      </c>
      <c r="E1112" s="3">
        <f>100000/100000</f>
        <v>1</v>
      </c>
      <c r="F1112" t="s">
        <v>167</v>
      </c>
      <c r="G1112" t="s">
        <v>168</v>
      </c>
      <c r="H1112" t="s">
        <v>169</v>
      </c>
      <c r="I1112" s="6" t="s">
        <v>702</v>
      </c>
      <c r="J1112" s="61" t="s">
        <v>22</v>
      </c>
      <c r="L1112" s="5" t="str">
        <f t="shared" si="193"/>
        <v>01111</v>
      </c>
      <c r="M1112" s="47" t="str">
        <f t="shared" si="194"/>
        <v>04 de junio de 2018</v>
      </c>
      <c r="N1112" s="323">
        <f t="shared" si="188"/>
        <v>4</v>
      </c>
      <c r="O1112" s="25">
        <f t="shared" si="195"/>
        <v>43252</v>
      </c>
      <c r="P1112" s="5" t="str">
        <f t="shared" si="196"/>
        <v>1,00</v>
      </c>
      <c r="Q1112" s="4" t="str">
        <f t="shared" si="197"/>
        <v>Un Bolívar con 00/100</v>
      </c>
    </row>
    <row r="1113" spans="1:17" x14ac:dyDescent="0.25">
      <c r="A1113" s="1">
        <f t="shared" si="189"/>
        <v>1112</v>
      </c>
      <c r="C1113" s="8" t="s">
        <v>17</v>
      </c>
      <c r="D1113" s="2">
        <v>43255</v>
      </c>
      <c r="E1113" s="3">
        <f>400000/100000</f>
        <v>4</v>
      </c>
      <c r="F1113" t="s">
        <v>80</v>
      </c>
      <c r="G1113" t="s">
        <v>81</v>
      </c>
      <c r="H1113" t="s">
        <v>82</v>
      </c>
      <c r="I1113" s="6" t="s">
        <v>707</v>
      </c>
      <c r="J1113" s="61" t="s">
        <v>22</v>
      </c>
      <c r="L1113" s="5" t="str">
        <f t="shared" si="193"/>
        <v>01112</v>
      </c>
      <c r="M1113" s="47" t="str">
        <f t="shared" si="194"/>
        <v>04 de junio de 2018</v>
      </c>
      <c r="N1113" s="323">
        <f t="shared" si="188"/>
        <v>4</v>
      </c>
      <c r="O1113" s="25">
        <f t="shared" si="195"/>
        <v>43252</v>
      </c>
      <c r="P1113" s="5" t="str">
        <f t="shared" si="196"/>
        <v>4,00</v>
      </c>
      <c r="Q1113" s="4" t="str">
        <f t="shared" si="197"/>
        <v>Cuatro Bolívares con 00/100</v>
      </c>
    </row>
    <row r="1114" spans="1:17" x14ac:dyDescent="0.25">
      <c r="A1114" s="1">
        <f t="shared" si="189"/>
        <v>1113</v>
      </c>
      <c r="C1114" s="8" t="s">
        <v>17</v>
      </c>
      <c r="D1114" s="2">
        <v>43255</v>
      </c>
      <c r="E1114" s="3">
        <f>120000/100000+140000/100000+200000/100000</f>
        <v>4.5999999999999996</v>
      </c>
      <c r="F1114" t="s">
        <v>130</v>
      </c>
      <c r="G1114" t="s">
        <v>131</v>
      </c>
      <c r="H1114" t="s">
        <v>132</v>
      </c>
      <c r="I1114" s="6" t="s">
        <v>662</v>
      </c>
      <c r="J1114" s="61" t="s">
        <v>22</v>
      </c>
      <c r="L1114" s="5" t="str">
        <f t="shared" si="193"/>
        <v>01113</v>
      </c>
      <c r="M1114" s="47" t="str">
        <f t="shared" si="194"/>
        <v>04 de junio de 2018</v>
      </c>
      <c r="N1114" s="323">
        <f t="shared" si="188"/>
        <v>4</v>
      </c>
      <c r="O1114" s="25">
        <f t="shared" si="195"/>
        <v>43252</v>
      </c>
      <c r="P1114" s="5" t="str">
        <f t="shared" si="196"/>
        <v>4,60</v>
      </c>
      <c r="Q1114" s="4" t="str">
        <f t="shared" si="197"/>
        <v>Cuatro Bolívares con 60/100</v>
      </c>
    </row>
    <row r="1115" spans="1:17" x14ac:dyDescent="0.25">
      <c r="A1115" s="1">
        <f t="shared" si="189"/>
        <v>1114</v>
      </c>
      <c r="C1115" s="8" t="s">
        <v>17</v>
      </c>
      <c r="D1115" s="2">
        <v>43255</v>
      </c>
      <c r="E1115" s="3">
        <f>200000/100000</f>
        <v>2</v>
      </c>
      <c r="F1115" t="s">
        <v>412</v>
      </c>
      <c r="G1115" t="s">
        <v>413</v>
      </c>
      <c r="H1115" t="s">
        <v>414</v>
      </c>
      <c r="I1115" s="6" t="s">
        <v>702</v>
      </c>
      <c r="J1115" s="61" t="s">
        <v>22</v>
      </c>
      <c r="L1115" s="5" t="str">
        <f t="shared" si="193"/>
        <v>01114</v>
      </c>
      <c r="M1115" s="47" t="str">
        <f t="shared" si="194"/>
        <v>04 de junio de 2018</v>
      </c>
      <c r="N1115" s="323">
        <f t="shared" si="188"/>
        <v>4</v>
      </c>
      <c r="O1115" s="25">
        <f t="shared" si="195"/>
        <v>43252</v>
      </c>
      <c r="P1115" s="5" t="str">
        <f t="shared" si="196"/>
        <v>2,00</v>
      </c>
      <c r="Q1115" s="4" t="str">
        <f t="shared" si="197"/>
        <v>Dos Bolívares con 00/100</v>
      </c>
    </row>
    <row r="1116" spans="1:17" x14ac:dyDescent="0.25">
      <c r="A1116" s="1">
        <f t="shared" si="189"/>
        <v>1115</v>
      </c>
      <c r="C1116" s="8" t="s">
        <v>17</v>
      </c>
      <c r="D1116" s="2">
        <v>43255</v>
      </c>
      <c r="E1116" s="3">
        <f>300000/100000</f>
        <v>3</v>
      </c>
      <c r="F1116" t="s">
        <v>412</v>
      </c>
      <c r="G1116" t="s">
        <v>413</v>
      </c>
      <c r="H1116" t="s">
        <v>414</v>
      </c>
      <c r="I1116" s="6" t="s">
        <v>672</v>
      </c>
      <c r="J1116" s="61" t="s">
        <v>673</v>
      </c>
      <c r="L1116" s="5" t="str">
        <f t="shared" si="193"/>
        <v>01115</v>
      </c>
      <c r="M1116" s="47" t="str">
        <f t="shared" si="194"/>
        <v>04 de junio de 2018</v>
      </c>
      <c r="N1116" s="323">
        <f t="shared" si="188"/>
        <v>4</v>
      </c>
      <c r="O1116" s="25">
        <f t="shared" si="195"/>
        <v>43252</v>
      </c>
      <c r="P1116" s="5" t="str">
        <f t="shared" si="196"/>
        <v>3,00</v>
      </c>
      <c r="Q1116" s="4" t="str">
        <f t="shared" si="197"/>
        <v>Tres Bolívares con 00/100</v>
      </c>
    </row>
    <row r="1117" spans="1:17" x14ac:dyDescent="0.25">
      <c r="A1117" s="1">
        <f t="shared" si="189"/>
        <v>1116</v>
      </c>
      <c r="C1117" s="8" t="s">
        <v>17</v>
      </c>
      <c r="D1117" s="2">
        <v>43257</v>
      </c>
      <c r="E1117" s="3">
        <f>400000*2/100000</f>
        <v>8</v>
      </c>
      <c r="F1117" t="s">
        <v>40</v>
      </c>
      <c r="G1117" s="18" t="s">
        <v>58</v>
      </c>
      <c r="H1117" t="s">
        <v>42</v>
      </c>
      <c r="I1117" s="6" t="s">
        <v>722</v>
      </c>
      <c r="J1117" s="61" t="s">
        <v>22</v>
      </c>
      <c r="L1117" s="5" t="str">
        <f t="shared" si="193"/>
        <v>01116</v>
      </c>
      <c r="M1117" s="47" t="str">
        <f t="shared" si="194"/>
        <v>06 de junio de 2018</v>
      </c>
      <c r="N1117" s="323">
        <f t="shared" si="188"/>
        <v>6</v>
      </c>
      <c r="O1117" s="25">
        <f t="shared" si="195"/>
        <v>43252</v>
      </c>
      <c r="P1117" s="5" t="str">
        <f t="shared" si="196"/>
        <v>8,00</v>
      </c>
      <c r="Q1117" s="4" t="str">
        <f t="shared" si="197"/>
        <v>Ocho Bolívares con 00/100</v>
      </c>
    </row>
    <row r="1118" spans="1:17" x14ac:dyDescent="0.25">
      <c r="A1118" s="1">
        <f t="shared" si="189"/>
        <v>1117</v>
      </c>
      <c r="C1118" s="8" t="s">
        <v>17</v>
      </c>
      <c r="D1118" s="2">
        <v>43257</v>
      </c>
      <c r="E1118" s="3">
        <f>300000/100000</f>
        <v>3</v>
      </c>
      <c r="F1118" t="s">
        <v>40</v>
      </c>
      <c r="G1118" s="18" t="s">
        <v>58</v>
      </c>
      <c r="H1118" t="s">
        <v>42</v>
      </c>
      <c r="I1118" s="6" t="s">
        <v>672</v>
      </c>
      <c r="J1118" s="61" t="s">
        <v>673</v>
      </c>
      <c r="L1118" s="5" t="str">
        <f t="shared" si="193"/>
        <v>01117</v>
      </c>
      <c r="M1118" s="47" t="str">
        <f t="shared" si="194"/>
        <v>06 de junio de 2018</v>
      </c>
      <c r="N1118" s="323">
        <f t="shared" si="188"/>
        <v>6</v>
      </c>
      <c r="O1118" s="25">
        <f t="shared" si="195"/>
        <v>43252</v>
      </c>
      <c r="P1118" s="5" t="str">
        <f t="shared" si="196"/>
        <v>3,00</v>
      </c>
      <c r="Q1118" s="4" t="str">
        <f t="shared" si="197"/>
        <v>Tres Bolívares con 00/100</v>
      </c>
    </row>
    <row r="1119" spans="1:17" x14ac:dyDescent="0.25">
      <c r="A1119" s="1">
        <f t="shared" si="189"/>
        <v>1118</v>
      </c>
      <c r="C1119" s="8" t="s">
        <v>17</v>
      </c>
      <c r="D1119" s="2">
        <v>43257</v>
      </c>
      <c r="E1119" s="3">
        <f t="shared" ref="E1119:E1127" si="198">400000/100000</f>
        <v>4</v>
      </c>
      <c r="F1119" t="s">
        <v>713</v>
      </c>
      <c r="G1119" t="s">
        <v>714</v>
      </c>
      <c r="H1119" t="s">
        <v>154</v>
      </c>
      <c r="I1119" s="6" t="s">
        <v>707</v>
      </c>
      <c r="J1119" s="61" t="s">
        <v>22</v>
      </c>
      <c r="L1119" s="5" t="str">
        <f t="shared" si="193"/>
        <v>01118</v>
      </c>
      <c r="M1119" s="47" t="str">
        <f t="shared" si="194"/>
        <v>06 de junio de 2018</v>
      </c>
      <c r="N1119" s="323">
        <f t="shared" si="188"/>
        <v>6</v>
      </c>
      <c r="O1119" s="25">
        <f t="shared" si="195"/>
        <v>43252</v>
      </c>
      <c r="P1119" s="5" t="str">
        <f>TEXT(E1119,"#.##0,00")</f>
        <v>4,00</v>
      </c>
      <c r="Q1119" s="4" t="str">
        <f>CONVERTIRNUM(E1119)</f>
        <v>Cuatro Bolívares con 00/100</v>
      </c>
    </row>
    <row r="1120" spans="1:17" x14ac:dyDescent="0.25">
      <c r="A1120" s="1">
        <f t="shared" si="189"/>
        <v>1119</v>
      </c>
      <c r="C1120" s="8" t="s">
        <v>17</v>
      </c>
      <c r="D1120" s="2">
        <v>43257</v>
      </c>
      <c r="E1120" s="3">
        <f t="shared" si="198"/>
        <v>4</v>
      </c>
      <c r="F1120" t="s">
        <v>483</v>
      </c>
      <c r="G1120" t="s">
        <v>484</v>
      </c>
      <c r="H1120" t="s">
        <v>485</v>
      </c>
      <c r="I1120" s="6" t="s">
        <v>707</v>
      </c>
      <c r="J1120" s="61" t="s">
        <v>22</v>
      </c>
      <c r="L1120" s="5" t="str">
        <f t="shared" si="193"/>
        <v>01119</v>
      </c>
      <c r="M1120" s="47" t="str">
        <f t="shared" si="194"/>
        <v>06 de junio de 2018</v>
      </c>
      <c r="N1120" s="323">
        <f t="shared" si="188"/>
        <v>6</v>
      </c>
      <c r="O1120" s="25">
        <f t="shared" si="195"/>
        <v>43252</v>
      </c>
      <c r="P1120" s="5" t="str">
        <f t="shared" ref="P1120:P1152" si="199">TEXT(E1120,"#.##0,00")</f>
        <v>4,00</v>
      </c>
      <c r="Q1120" s="4" t="str">
        <f t="shared" ref="Q1120:Q1152" si="200">CONVERTIRNUM(E1120)</f>
        <v>Cuatro Bolívares con 00/100</v>
      </c>
    </row>
    <row r="1121" spans="1:17" x14ac:dyDescent="0.25">
      <c r="A1121" s="1">
        <f t="shared" si="189"/>
        <v>1120</v>
      </c>
      <c r="C1121" s="8" t="s">
        <v>17</v>
      </c>
      <c r="D1121" s="2">
        <v>43257</v>
      </c>
      <c r="E1121" s="3">
        <f t="shared" si="198"/>
        <v>4</v>
      </c>
      <c r="F1121" t="s">
        <v>18</v>
      </c>
      <c r="G1121" t="s">
        <v>19</v>
      </c>
      <c r="H1121" t="s">
        <v>20</v>
      </c>
      <c r="I1121" s="6" t="s">
        <v>723</v>
      </c>
      <c r="J1121" s="61" t="s">
        <v>22</v>
      </c>
      <c r="L1121" s="5" t="str">
        <f t="shared" si="193"/>
        <v>01120</v>
      </c>
      <c r="M1121" s="47" t="str">
        <f t="shared" si="194"/>
        <v>06 de junio de 2018</v>
      </c>
      <c r="N1121" s="323">
        <f t="shared" si="188"/>
        <v>6</v>
      </c>
      <c r="O1121" s="25">
        <f t="shared" si="195"/>
        <v>43252</v>
      </c>
      <c r="P1121" s="5" t="str">
        <f t="shared" si="199"/>
        <v>4,00</v>
      </c>
      <c r="Q1121" s="4" t="str">
        <f t="shared" si="200"/>
        <v>Cuatro Bolívares con 00/100</v>
      </c>
    </row>
    <row r="1122" spans="1:17" x14ac:dyDescent="0.25">
      <c r="A1122" s="178">
        <f t="shared" si="189"/>
        <v>1121</v>
      </c>
      <c r="C1122" s="8" t="s">
        <v>17</v>
      </c>
      <c r="D1122" s="2">
        <v>43257</v>
      </c>
      <c r="E1122" s="3">
        <f t="shared" si="198"/>
        <v>4</v>
      </c>
      <c r="F1122" t="s">
        <v>438</v>
      </c>
      <c r="G1122" t="s">
        <v>439</v>
      </c>
      <c r="H1122" t="s">
        <v>440</v>
      </c>
      <c r="I1122" s="6" t="s">
        <v>724</v>
      </c>
      <c r="J1122" s="61" t="s">
        <v>22</v>
      </c>
      <c r="L1122" s="5" t="str">
        <f t="shared" si="193"/>
        <v>01121</v>
      </c>
      <c r="M1122" s="47" t="str">
        <f t="shared" si="194"/>
        <v>06 de junio de 2018</v>
      </c>
      <c r="N1122" s="323">
        <f t="shared" si="188"/>
        <v>6</v>
      </c>
      <c r="O1122" s="25">
        <f t="shared" si="195"/>
        <v>43252</v>
      </c>
      <c r="P1122" s="5" t="str">
        <f t="shared" si="199"/>
        <v>4,00</v>
      </c>
      <c r="Q1122" s="4" t="str">
        <f t="shared" si="200"/>
        <v>Cuatro Bolívares con 00/100</v>
      </c>
    </row>
    <row r="1123" spans="1:17" x14ac:dyDescent="0.25">
      <c r="A1123" s="1">
        <f>A1122+1</f>
        <v>1122</v>
      </c>
      <c r="C1123" s="8" t="s">
        <v>17</v>
      </c>
      <c r="D1123" s="2">
        <v>43257</v>
      </c>
      <c r="E1123" s="3">
        <f t="shared" si="198"/>
        <v>4</v>
      </c>
      <c r="F1123" t="s">
        <v>70</v>
      </c>
      <c r="G1123" t="s">
        <v>71</v>
      </c>
      <c r="H1123" t="s">
        <v>72</v>
      </c>
      <c r="I1123" s="6" t="s">
        <v>707</v>
      </c>
      <c r="J1123" s="61" t="s">
        <v>22</v>
      </c>
      <c r="L1123" s="5" t="str">
        <f t="shared" si="193"/>
        <v>01122</v>
      </c>
      <c r="M1123" s="47" t="str">
        <f t="shared" si="194"/>
        <v>06 de junio de 2018</v>
      </c>
      <c r="N1123" s="323">
        <f t="shared" si="188"/>
        <v>6</v>
      </c>
      <c r="O1123" s="25">
        <f t="shared" si="195"/>
        <v>43252</v>
      </c>
      <c r="P1123" s="5" t="str">
        <f t="shared" si="199"/>
        <v>4,00</v>
      </c>
      <c r="Q1123" s="4" t="str">
        <f t="shared" si="200"/>
        <v>Cuatro Bolívares con 00/100</v>
      </c>
    </row>
    <row r="1124" spans="1:17" x14ac:dyDescent="0.25">
      <c r="A1124" s="1">
        <f t="shared" ref="A1124:A1165" si="201">A1123+1</f>
        <v>1123</v>
      </c>
      <c r="C1124" s="8" t="s">
        <v>17</v>
      </c>
      <c r="D1124" s="2">
        <v>43257</v>
      </c>
      <c r="E1124" s="3">
        <f t="shared" si="198"/>
        <v>4</v>
      </c>
      <c r="F1124" t="s">
        <v>280</v>
      </c>
      <c r="G1124" s="18" t="s">
        <v>58</v>
      </c>
      <c r="H1124" t="s">
        <v>282</v>
      </c>
      <c r="I1124" s="6" t="s">
        <v>725</v>
      </c>
      <c r="J1124" s="61" t="s">
        <v>22</v>
      </c>
      <c r="L1124" s="5" t="str">
        <f t="shared" si="193"/>
        <v>01123</v>
      </c>
      <c r="M1124" s="47" t="str">
        <f t="shared" si="194"/>
        <v>06 de junio de 2018</v>
      </c>
      <c r="N1124" s="323">
        <f t="shared" si="188"/>
        <v>6</v>
      </c>
      <c r="O1124" s="25">
        <f t="shared" si="195"/>
        <v>43252</v>
      </c>
      <c r="P1124" s="5" t="str">
        <f t="shared" si="199"/>
        <v>4,00</v>
      </c>
      <c r="Q1124" s="4" t="str">
        <f t="shared" si="200"/>
        <v>Cuatro Bolívares con 00/100</v>
      </c>
    </row>
    <row r="1125" spans="1:17" x14ac:dyDescent="0.25">
      <c r="A1125" s="1">
        <f t="shared" si="201"/>
        <v>1124</v>
      </c>
      <c r="C1125" s="8" t="s">
        <v>17</v>
      </c>
      <c r="D1125" s="2">
        <v>43257</v>
      </c>
      <c r="E1125" s="3">
        <f t="shared" si="198"/>
        <v>4</v>
      </c>
      <c r="F1125" t="s">
        <v>36</v>
      </c>
      <c r="G1125" t="s">
        <v>37</v>
      </c>
      <c r="H1125" t="s">
        <v>38</v>
      </c>
      <c r="I1125" s="6" t="s">
        <v>726</v>
      </c>
      <c r="J1125" s="61" t="s">
        <v>22</v>
      </c>
      <c r="L1125" s="5" t="str">
        <f t="shared" si="193"/>
        <v>01124</v>
      </c>
      <c r="M1125" s="47" t="str">
        <f t="shared" si="194"/>
        <v>06 de junio de 2018</v>
      </c>
      <c r="N1125" s="323">
        <f t="shared" si="188"/>
        <v>6</v>
      </c>
      <c r="O1125" s="25">
        <f t="shared" si="195"/>
        <v>43252</v>
      </c>
      <c r="P1125" s="5" t="str">
        <f t="shared" si="199"/>
        <v>4,00</v>
      </c>
      <c r="Q1125" s="4" t="str">
        <f t="shared" si="200"/>
        <v>Cuatro Bolívares con 00/100</v>
      </c>
    </row>
    <row r="1126" spans="1:17" x14ac:dyDescent="0.25">
      <c r="A1126" s="1">
        <f t="shared" si="201"/>
        <v>1125</v>
      </c>
      <c r="C1126" s="8" t="s">
        <v>17</v>
      </c>
      <c r="D1126" s="2">
        <v>43258</v>
      </c>
      <c r="E1126" s="3">
        <f t="shared" si="198"/>
        <v>4</v>
      </c>
      <c r="F1126" t="s">
        <v>100</v>
      </c>
      <c r="G1126" t="s">
        <v>95</v>
      </c>
      <c r="H1126" t="s">
        <v>101</v>
      </c>
      <c r="I1126" s="6" t="s">
        <v>707</v>
      </c>
      <c r="J1126" s="61" t="s">
        <v>22</v>
      </c>
      <c r="L1126" s="5" t="str">
        <f t="shared" si="193"/>
        <v>01125</v>
      </c>
      <c r="M1126" s="47" t="str">
        <f t="shared" si="194"/>
        <v>07 de junio de 2018</v>
      </c>
      <c r="N1126" s="323">
        <f t="shared" si="188"/>
        <v>7</v>
      </c>
      <c r="O1126" s="25">
        <f t="shared" si="195"/>
        <v>43252</v>
      </c>
      <c r="P1126" s="5" t="str">
        <f t="shared" si="199"/>
        <v>4,00</v>
      </c>
      <c r="Q1126" s="4" t="str">
        <f t="shared" si="200"/>
        <v>Cuatro Bolívares con 00/100</v>
      </c>
    </row>
    <row r="1127" spans="1:17" x14ac:dyDescent="0.25">
      <c r="A1127" s="1">
        <f t="shared" si="201"/>
        <v>1126</v>
      </c>
      <c r="C1127" s="8" t="s">
        <v>17</v>
      </c>
      <c r="D1127" s="2">
        <v>43258</v>
      </c>
      <c r="E1127" s="3">
        <f t="shared" si="198"/>
        <v>4</v>
      </c>
      <c r="F1127" t="s">
        <v>24</v>
      </c>
      <c r="G1127" t="s">
        <v>25</v>
      </c>
      <c r="H1127" t="s">
        <v>26</v>
      </c>
      <c r="I1127" s="6" t="s">
        <v>707</v>
      </c>
      <c r="J1127" s="61" t="s">
        <v>22</v>
      </c>
      <c r="L1127" s="5" t="str">
        <f t="shared" si="193"/>
        <v>01126</v>
      </c>
      <c r="M1127" s="47" t="str">
        <f t="shared" si="194"/>
        <v>07 de junio de 2018</v>
      </c>
      <c r="N1127" s="323">
        <f t="shared" si="188"/>
        <v>7</v>
      </c>
      <c r="O1127" s="25">
        <f t="shared" si="195"/>
        <v>43252</v>
      </c>
      <c r="P1127" s="5" t="str">
        <f t="shared" si="199"/>
        <v>4,00</v>
      </c>
      <c r="Q1127" s="4" t="str">
        <f t="shared" si="200"/>
        <v>Cuatro Bolívares con 00/100</v>
      </c>
    </row>
    <row r="1128" spans="1:17" x14ac:dyDescent="0.25">
      <c r="A1128" s="1">
        <f t="shared" si="201"/>
        <v>1127</v>
      </c>
      <c r="C1128" s="8" t="s">
        <v>17</v>
      </c>
      <c r="D1128" s="2">
        <v>43258</v>
      </c>
      <c r="E1128" s="3">
        <f>400/100000+399600/100000</f>
        <v>4</v>
      </c>
      <c r="F1128" t="s">
        <v>201</v>
      </c>
      <c r="G1128" t="s">
        <v>202</v>
      </c>
      <c r="H1128" t="s">
        <v>203</v>
      </c>
      <c r="I1128" s="6" t="s">
        <v>707</v>
      </c>
      <c r="J1128" s="61" t="s">
        <v>22</v>
      </c>
      <c r="L1128" s="5" t="str">
        <f t="shared" si="193"/>
        <v>01127</v>
      </c>
      <c r="M1128" s="47" t="str">
        <f t="shared" si="194"/>
        <v>07 de junio de 2018</v>
      </c>
      <c r="N1128" s="323">
        <f t="shared" si="188"/>
        <v>7</v>
      </c>
      <c r="O1128" s="25">
        <f t="shared" si="195"/>
        <v>43252</v>
      </c>
      <c r="P1128" s="5" t="str">
        <f t="shared" si="199"/>
        <v>4,00</v>
      </c>
      <c r="Q1128" s="4" t="str">
        <f t="shared" si="200"/>
        <v>Cuatro Bolívares con 00/100</v>
      </c>
    </row>
    <row r="1129" spans="1:17" x14ac:dyDescent="0.25">
      <c r="A1129" s="1">
        <f t="shared" si="201"/>
        <v>1128</v>
      </c>
      <c r="C1129" s="85" t="s">
        <v>17</v>
      </c>
      <c r="D1129" s="2">
        <v>43259</v>
      </c>
      <c r="E1129" s="3">
        <f>100000/100000</f>
        <v>1</v>
      </c>
      <c r="F1129" t="s">
        <v>492</v>
      </c>
      <c r="G1129" s="18" t="s">
        <v>58</v>
      </c>
      <c r="H1129" t="s">
        <v>493</v>
      </c>
      <c r="I1129" s="6" t="s">
        <v>702</v>
      </c>
      <c r="J1129" s="61" t="s">
        <v>22</v>
      </c>
      <c r="L1129" s="5" t="str">
        <f t="shared" si="193"/>
        <v>01128</v>
      </c>
      <c r="M1129" s="47" t="str">
        <f t="shared" si="194"/>
        <v>08 de junio de 2018</v>
      </c>
      <c r="N1129" s="323">
        <f t="shared" si="188"/>
        <v>8</v>
      </c>
      <c r="O1129" s="25">
        <f t="shared" si="195"/>
        <v>43252</v>
      </c>
      <c r="P1129" s="5" t="str">
        <f t="shared" si="199"/>
        <v>1,00</v>
      </c>
      <c r="Q1129" s="4" t="str">
        <f t="shared" si="200"/>
        <v>Un Bolívar con 00/100</v>
      </c>
    </row>
    <row r="1130" spans="1:17" x14ac:dyDescent="0.25">
      <c r="A1130" s="1">
        <f t="shared" si="201"/>
        <v>1129</v>
      </c>
      <c r="C1130" s="8" t="s">
        <v>17</v>
      </c>
      <c r="D1130" s="2">
        <v>43259</v>
      </c>
      <c r="E1130" s="3">
        <f>400000/100000</f>
        <v>4</v>
      </c>
      <c r="F1130" t="s">
        <v>312</v>
      </c>
      <c r="G1130" t="s">
        <v>313</v>
      </c>
      <c r="H1130" t="s">
        <v>314</v>
      </c>
      <c r="I1130" s="6" t="s">
        <v>684</v>
      </c>
      <c r="J1130" s="61" t="s">
        <v>22</v>
      </c>
      <c r="L1130" s="5" t="str">
        <f t="shared" si="193"/>
        <v>01129</v>
      </c>
      <c r="M1130" s="47" t="str">
        <f t="shared" si="194"/>
        <v>08 de junio de 2018</v>
      </c>
      <c r="N1130" s="323">
        <f t="shared" si="188"/>
        <v>8</v>
      </c>
      <c r="O1130" s="25">
        <f t="shared" si="195"/>
        <v>43252</v>
      </c>
      <c r="P1130" s="5" t="str">
        <f t="shared" si="199"/>
        <v>4,00</v>
      </c>
      <c r="Q1130" s="4" t="str">
        <f t="shared" si="200"/>
        <v>Cuatro Bolívares con 00/100</v>
      </c>
    </row>
    <row r="1131" spans="1:17" x14ac:dyDescent="0.25">
      <c r="A1131" s="1">
        <f t="shared" si="201"/>
        <v>1130</v>
      </c>
      <c r="C1131" s="8" t="s">
        <v>17</v>
      </c>
      <c r="D1131" s="2">
        <v>43259</v>
      </c>
      <c r="E1131" s="3">
        <f>350000/100000</f>
        <v>3.5</v>
      </c>
      <c r="F1131" t="s">
        <v>62</v>
      </c>
      <c r="G1131" t="s">
        <v>63</v>
      </c>
      <c r="H1131" t="s">
        <v>64</v>
      </c>
      <c r="I1131" s="6" t="s">
        <v>672</v>
      </c>
      <c r="J1131" s="61" t="s">
        <v>673</v>
      </c>
      <c r="L1131" s="5" t="str">
        <f t="shared" ref="L1131:L1152" si="202">IF(ISBLANK(A1131),"",TEXT(A1131,"00000"))</f>
        <v>01130</v>
      </c>
      <c r="M1131" s="47" t="str">
        <f t="shared" ref="M1131:M1152" si="203">IF(ISBLANK(D1131),"",TEXT(D1131,"dd")&amp;" de "&amp;TEXT(D1131,"mmmm")&amp;" de "&amp;TEXT(YEAR(D1131),"0"))</f>
        <v>08 de junio de 2018</v>
      </c>
      <c r="N1131" s="323">
        <f t="shared" si="188"/>
        <v>8</v>
      </c>
      <c r="O1131" s="25">
        <f t="shared" ref="O1131:O1152" si="204">DATE(YEAR(D1131),MONTH(D1131),1)</f>
        <v>43252</v>
      </c>
      <c r="P1131" s="5" t="str">
        <f t="shared" si="199"/>
        <v>3,50</v>
      </c>
      <c r="Q1131" s="4" t="str">
        <f t="shared" si="200"/>
        <v>Tres Bolívares con 50/100</v>
      </c>
    </row>
    <row r="1132" spans="1:17" x14ac:dyDescent="0.25">
      <c r="A1132" s="1">
        <f t="shared" si="201"/>
        <v>1131</v>
      </c>
      <c r="C1132" s="8" t="s">
        <v>17</v>
      </c>
      <c r="D1132" s="2">
        <v>43260</v>
      </c>
      <c r="E1132" s="3">
        <f>100000/100000</f>
        <v>1</v>
      </c>
      <c r="F1132" t="s">
        <v>433</v>
      </c>
      <c r="G1132" t="s">
        <v>434</v>
      </c>
      <c r="H1132" t="s">
        <v>435</v>
      </c>
      <c r="I1132" s="6" t="s">
        <v>727</v>
      </c>
      <c r="J1132" s="61" t="s">
        <v>22</v>
      </c>
      <c r="L1132" s="5" t="str">
        <f t="shared" si="202"/>
        <v>01131</v>
      </c>
      <c r="M1132" s="47" t="str">
        <f t="shared" si="203"/>
        <v>09 de junio de 2018</v>
      </c>
      <c r="N1132" s="323">
        <f t="shared" si="188"/>
        <v>9</v>
      </c>
      <c r="O1132" s="25">
        <f t="shared" si="204"/>
        <v>43252</v>
      </c>
      <c r="P1132" s="5" t="str">
        <f t="shared" si="199"/>
        <v>1,00</v>
      </c>
      <c r="Q1132" s="4" t="str">
        <f t="shared" si="200"/>
        <v>Un Bolívar con 00/100</v>
      </c>
    </row>
    <row r="1133" spans="1:17" x14ac:dyDescent="0.25">
      <c r="A1133" s="1">
        <f t="shared" si="201"/>
        <v>1132</v>
      </c>
      <c r="C1133" s="8" t="s">
        <v>17</v>
      </c>
      <c r="D1133" s="2">
        <v>43260</v>
      </c>
      <c r="E1133" s="3">
        <f>(140*2+400*2)*1000/100000</f>
        <v>10.8</v>
      </c>
      <c r="F1133" t="s">
        <v>479</v>
      </c>
      <c r="G1133" s="18" t="s">
        <v>58</v>
      </c>
      <c r="H1133" t="s">
        <v>481</v>
      </c>
      <c r="I1133" s="6" t="s">
        <v>728</v>
      </c>
      <c r="J1133" s="61" t="s">
        <v>22</v>
      </c>
      <c r="L1133" s="5" t="str">
        <f t="shared" si="202"/>
        <v>01132</v>
      </c>
      <c r="M1133" s="47" t="str">
        <f t="shared" si="203"/>
        <v>09 de junio de 2018</v>
      </c>
      <c r="N1133" s="323">
        <f t="shared" si="188"/>
        <v>9</v>
      </c>
      <c r="O1133" s="25">
        <f t="shared" si="204"/>
        <v>43252</v>
      </c>
      <c r="P1133" s="5" t="str">
        <f t="shared" si="199"/>
        <v>10,80</v>
      </c>
      <c r="Q1133" s="4" t="str">
        <f t="shared" si="200"/>
        <v>Diez Bolívares con 80/100</v>
      </c>
    </row>
    <row r="1134" spans="1:17" x14ac:dyDescent="0.25">
      <c r="A1134" s="1">
        <f t="shared" si="201"/>
        <v>1133</v>
      </c>
      <c r="C1134" s="8" t="s">
        <v>17</v>
      </c>
      <c r="D1134" s="2">
        <v>43261</v>
      </c>
      <c r="E1134" s="3">
        <f>400000/100000</f>
        <v>4</v>
      </c>
      <c r="F1134" t="s">
        <v>84</v>
      </c>
      <c r="G1134" t="s">
        <v>85</v>
      </c>
      <c r="H1134" t="s">
        <v>86</v>
      </c>
      <c r="I1134" s="6" t="s">
        <v>707</v>
      </c>
      <c r="J1134" s="61" t="s">
        <v>22</v>
      </c>
      <c r="L1134" s="5" t="str">
        <f t="shared" si="202"/>
        <v>01133</v>
      </c>
      <c r="M1134" s="47" t="str">
        <f t="shared" si="203"/>
        <v>10 de junio de 2018</v>
      </c>
      <c r="N1134" s="323">
        <f t="shared" si="188"/>
        <v>10</v>
      </c>
      <c r="O1134" s="25">
        <f t="shared" si="204"/>
        <v>43252</v>
      </c>
      <c r="P1134" s="5" t="str">
        <f t="shared" si="199"/>
        <v>4,00</v>
      </c>
      <c r="Q1134" s="4" t="str">
        <f t="shared" si="200"/>
        <v>Cuatro Bolívares con 00/100</v>
      </c>
    </row>
    <row r="1135" spans="1:17" x14ac:dyDescent="0.25">
      <c r="A1135" s="1">
        <f t="shared" si="201"/>
        <v>1134</v>
      </c>
      <c r="C1135" s="8" t="s">
        <v>17</v>
      </c>
      <c r="D1135" s="2">
        <v>43261</v>
      </c>
      <c r="E1135" s="3">
        <f>400000/100000</f>
        <v>4</v>
      </c>
      <c r="F1135" t="s">
        <v>118</v>
      </c>
      <c r="G1135" t="s">
        <v>119</v>
      </c>
      <c r="H1135" t="s">
        <v>120</v>
      </c>
      <c r="I1135" s="6" t="s">
        <v>729</v>
      </c>
      <c r="J1135" s="61" t="s">
        <v>22</v>
      </c>
      <c r="L1135" s="5" t="str">
        <f t="shared" si="202"/>
        <v>01134</v>
      </c>
      <c r="M1135" s="47" t="str">
        <f t="shared" si="203"/>
        <v>10 de junio de 2018</v>
      </c>
      <c r="N1135" s="323">
        <f t="shared" si="188"/>
        <v>10</v>
      </c>
      <c r="O1135" s="25">
        <f t="shared" si="204"/>
        <v>43252</v>
      </c>
      <c r="P1135" s="5" t="str">
        <f t="shared" si="199"/>
        <v>4,00</v>
      </c>
      <c r="Q1135" s="4" t="str">
        <f t="shared" si="200"/>
        <v>Cuatro Bolívares con 00/100</v>
      </c>
    </row>
    <row r="1136" spans="1:17" x14ac:dyDescent="0.25">
      <c r="A1136" s="1">
        <f t="shared" si="201"/>
        <v>1135</v>
      </c>
      <c r="C1136" s="8" t="s">
        <v>17</v>
      </c>
      <c r="D1136" s="2">
        <v>43261</v>
      </c>
      <c r="E1136" s="3">
        <f>350000/100000</f>
        <v>3.5</v>
      </c>
      <c r="F1136" t="s">
        <v>118</v>
      </c>
      <c r="G1136" t="s">
        <v>119</v>
      </c>
      <c r="H1136" t="s">
        <v>120</v>
      </c>
      <c r="I1136" s="6" t="s">
        <v>672</v>
      </c>
      <c r="J1136" s="61" t="s">
        <v>673</v>
      </c>
      <c r="L1136" s="5" t="str">
        <f t="shared" si="202"/>
        <v>01135</v>
      </c>
      <c r="M1136" s="47" t="str">
        <f t="shared" si="203"/>
        <v>10 de junio de 2018</v>
      </c>
      <c r="N1136" s="323">
        <f t="shared" si="188"/>
        <v>10</v>
      </c>
      <c r="O1136" s="25">
        <f t="shared" si="204"/>
        <v>43252</v>
      </c>
      <c r="P1136" s="5" t="str">
        <f t="shared" si="199"/>
        <v>3,50</v>
      </c>
      <c r="Q1136" s="4" t="str">
        <f t="shared" si="200"/>
        <v>Tres Bolívares con 50/100</v>
      </c>
    </row>
    <row r="1137" spans="1:17" x14ac:dyDescent="0.25">
      <c r="A1137" s="1">
        <f t="shared" si="201"/>
        <v>1136</v>
      </c>
      <c r="C1137" s="8" t="s">
        <v>17</v>
      </c>
      <c r="D1137" s="2">
        <v>43262</v>
      </c>
      <c r="E1137" s="3">
        <f>400000/100000</f>
        <v>4</v>
      </c>
      <c r="F1137" t="s">
        <v>62</v>
      </c>
      <c r="G1137" t="s">
        <v>63</v>
      </c>
      <c r="H1137" t="s">
        <v>64</v>
      </c>
      <c r="I1137" s="6" t="s">
        <v>707</v>
      </c>
      <c r="J1137" s="61" t="s">
        <v>22</v>
      </c>
      <c r="L1137" s="5" t="str">
        <f t="shared" si="202"/>
        <v>01136</v>
      </c>
      <c r="M1137" s="47" t="str">
        <f t="shared" si="203"/>
        <v>11 de junio de 2018</v>
      </c>
      <c r="N1137" s="323">
        <f t="shared" si="188"/>
        <v>11</v>
      </c>
      <c r="O1137" s="25">
        <f t="shared" si="204"/>
        <v>43252</v>
      </c>
      <c r="P1137" s="5" t="str">
        <f t="shared" si="199"/>
        <v>4,00</v>
      </c>
      <c r="Q1137" s="4" t="str">
        <f t="shared" si="200"/>
        <v>Cuatro Bolívares con 00/100</v>
      </c>
    </row>
    <row r="1138" spans="1:17" x14ac:dyDescent="0.25">
      <c r="A1138" s="1">
        <f t="shared" si="201"/>
        <v>1137</v>
      </c>
      <c r="C1138" s="8" t="s">
        <v>17</v>
      </c>
      <c r="D1138" s="2">
        <v>43262</v>
      </c>
      <c r="E1138" s="3">
        <f>400000/100000</f>
        <v>4</v>
      </c>
      <c r="F1138" t="s">
        <v>362</v>
      </c>
      <c r="G1138" t="s">
        <v>363</v>
      </c>
      <c r="H1138" t="s">
        <v>364</v>
      </c>
      <c r="I1138" s="6" t="s">
        <v>707</v>
      </c>
      <c r="J1138" s="61" t="s">
        <v>22</v>
      </c>
      <c r="L1138" s="5" t="str">
        <f t="shared" si="202"/>
        <v>01137</v>
      </c>
      <c r="M1138" s="47" t="str">
        <f t="shared" si="203"/>
        <v>11 de junio de 2018</v>
      </c>
      <c r="N1138" s="323">
        <f t="shared" si="188"/>
        <v>11</v>
      </c>
      <c r="O1138" s="25">
        <f t="shared" si="204"/>
        <v>43252</v>
      </c>
      <c r="P1138" s="5" t="str">
        <f t="shared" si="199"/>
        <v>4,00</v>
      </c>
      <c r="Q1138" s="4" t="str">
        <f t="shared" si="200"/>
        <v>Cuatro Bolívares con 00/100</v>
      </c>
    </row>
    <row r="1139" spans="1:17" x14ac:dyDescent="0.25">
      <c r="A1139" s="1">
        <f t="shared" si="201"/>
        <v>1138</v>
      </c>
      <c r="C1139" s="8" t="s">
        <v>17</v>
      </c>
      <c r="D1139" s="2">
        <v>43264</v>
      </c>
      <c r="E1139" s="3">
        <f>200000/100000</f>
        <v>2</v>
      </c>
      <c r="F1139" t="s">
        <v>401</v>
      </c>
      <c r="G1139" t="s">
        <v>402</v>
      </c>
      <c r="H1139" t="s">
        <v>403</v>
      </c>
      <c r="I1139" s="6" t="s">
        <v>729</v>
      </c>
      <c r="J1139" s="61" t="s">
        <v>22</v>
      </c>
      <c r="L1139" s="5" t="str">
        <f t="shared" si="202"/>
        <v>01138</v>
      </c>
      <c r="M1139" s="47" t="str">
        <f t="shared" si="203"/>
        <v>13 de junio de 2018</v>
      </c>
      <c r="N1139" s="323">
        <f t="shared" si="188"/>
        <v>13</v>
      </c>
      <c r="O1139" s="25">
        <f t="shared" si="204"/>
        <v>43252</v>
      </c>
      <c r="P1139" s="5" t="str">
        <f t="shared" si="199"/>
        <v>2,00</v>
      </c>
      <c r="Q1139" s="4" t="str">
        <f t="shared" si="200"/>
        <v>Dos Bolívares con 00/100</v>
      </c>
    </row>
    <row r="1140" spans="1:17" x14ac:dyDescent="0.25">
      <c r="A1140" s="1">
        <f t="shared" si="201"/>
        <v>1139</v>
      </c>
      <c r="C1140" s="8" t="s">
        <v>17</v>
      </c>
      <c r="D1140" s="2">
        <v>43263</v>
      </c>
      <c r="E1140" s="3">
        <f>400000/100000</f>
        <v>4</v>
      </c>
      <c r="F1140" t="s">
        <v>144</v>
      </c>
      <c r="G1140" t="s">
        <v>661</v>
      </c>
      <c r="H1140" t="s">
        <v>146</v>
      </c>
      <c r="I1140" s="6" t="s">
        <v>707</v>
      </c>
      <c r="J1140" s="61" t="s">
        <v>22</v>
      </c>
      <c r="L1140" s="5" t="str">
        <f t="shared" si="202"/>
        <v>01139</v>
      </c>
      <c r="M1140" s="47" t="str">
        <f t="shared" si="203"/>
        <v>12 de junio de 2018</v>
      </c>
      <c r="N1140" s="323">
        <f t="shared" si="188"/>
        <v>12</v>
      </c>
      <c r="O1140" s="25">
        <f t="shared" si="204"/>
        <v>43252</v>
      </c>
      <c r="P1140" s="5" t="str">
        <f t="shared" si="199"/>
        <v>4,00</v>
      </c>
      <c r="Q1140" s="4" t="str">
        <f t="shared" si="200"/>
        <v>Cuatro Bolívares con 00/100</v>
      </c>
    </row>
    <row r="1141" spans="1:17" x14ac:dyDescent="0.25">
      <c r="A1141" s="1">
        <f t="shared" si="201"/>
        <v>1140</v>
      </c>
      <c r="C1141" s="8" t="s">
        <v>17</v>
      </c>
      <c r="D1141" s="2">
        <v>43264</v>
      </c>
      <c r="E1141" s="3">
        <f>2100000/100000</f>
        <v>21</v>
      </c>
      <c r="F1141" t="s">
        <v>252</v>
      </c>
      <c r="G1141" t="s">
        <v>253</v>
      </c>
      <c r="H1141" t="s">
        <v>254</v>
      </c>
      <c r="I1141" s="6" t="s">
        <v>730</v>
      </c>
      <c r="J1141" s="61" t="s">
        <v>22</v>
      </c>
      <c r="L1141" s="5" t="str">
        <f t="shared" si="202"/>
        <v>01140</v>
      </c>
      <c r="M1141" s="47" t="str">
        <f t="shared" si="203"/>
        <v>13 de junio de 2018</v>
      </c>
      <c r="N1141" s="323">
        <f t="shared" si="188"/>
        <v>13</v>
      </c>
      <c r="O1141" s="25">
        <f t="shared" si="204"/>
        <v>43252</v>
      </c>
      <c r="P1141" s="5" t="str">
        <f t="shared" si="199"/>
        <v>21,00</v>
      </c>
      <c r="Q1141" s="4" t="str">
        <f t="shared" si="200"/>
        <v>Veintiun Bolívares con 00/100</v>
      </c>
    </row>
    <row r="1142" spans="1:17" x14ac:dyDescent="0.25">
      <c r="A1142" s="1">
        <f t="shared" si="201"/>
        <v>1141</v>
      </c>
      <c r="C1142" s="8" t="s">
        <v>17</v>
      </c>
      <c r="D1142" s="2">
        <v>43265</v>
      </c>
      <c r="E1142" s="3">
        <f>800000/100000</f>
        <v>8</v>
      </c>
      <c r="F1142" t="s">
        <v>324</v>
      </c>
      <c r="G1142" t="s">
        <v>325</v>
      </c>
      <c r="H1142" t="s">
        <v>326</v>
      </c>
      <c r="I1142" s="6" t="s">
        <v>722</v>
      </c>
      <c r="J1142" s="61" t="s">
        <v>22</v>
      </c>
      <c r="L1142" s="5" t="str">
        <f t="shared" si="202"/>
        <v>01141</v>
      </c>
      <c r="M1142" s="47" t="str">
        <f t="shared" si="203"/>
        <v>14 de junio de 2018</v>
      </c>
      <c r="N1142" s="323">
        <f t="shared" si="188"/>
        <v>14</v>
      </c>
      <c r="O1142" s="25">
        <f t="shared" si="204"/>
        <v>43252</v>
      </c>
      <c r="P1142" s="5" t="str">
        <f t="shared" si="199"/>
        <v>8,00</v>
      </c>
      <c r="Q1142" s="4" t="str">
        <f t="shared" si="200"/>
        <v>Ocho Bolívares con 00/100</v>
      </c>
    </row>
    <row r="1143" spans="1:17" x14ac:dyDescent="0.25">
      <c r="A1143" s="1">
        <f t="shared" si="201"/>
        <v>1142</v>
      </c>
      <c r="C1143" s="8" t="s">
        <v>17</v>
      </c>
      <c r="D1143" s="2">
        <v>43266</v>
      </c>
      <c r="E1143" s="3">
        <f>400000/100000</f>
        <v>4</v>
      </c>
      <c r="F1143" t="s">
        <v>181</v>
      </c>
      <c r="G1143" t="s">
        <v>182</v>
      </c>
      <c r="H1143" t="s">
        <v>183</v>
      </c>
      <c r="I1143" s="6" t="s">
        <v>707</v>
      </c>
      <c r="J1143" s="61" t="s">
        <v>22</v>
      </c>
      <c r="L1143" s="5" t="str">
        <f t="shared" si="202"/>
        <v>01142</v>
      </c>
      <c r="M1143" s="47" t="str">
        <f t="shared" si="203"/>
        <v>15 de junio de 2018</v>
      </c>
      <c r="N1143" s="323">
        <f t="shared" si="188"/>
        <v>15</v>
      </c>
      <c r="O1143" s="25">
        <f t="shared" si="204"/>
        <v>43252</v>
      </c>
      <c r="P1143" s="5" t="str">
        <f t="shared" si="199"/>
        <v>4,00</v>
      </c>
      <c r="Q1143" s="4" t="str">
        <f t="shared" si="200"/>
        <v>Cuatro Bolívares con 00/100</v>
      </c>
    </row>
    <row r="1144" spans="1:17" x14ac:dyDescent="0.25">
      <c r="A1144" s="1">
        <f t="shared" si="201"/>
        <v>1143</v>
      </c>
      <c r="C1144" s="8" t="s">
        <v>17</v>
      </c>
      <c r="D1144" s="2">
        <v>43266</v>
      </c>
      <c r="E1144" s="3">
        <f>400000/100000</f>
        <v>4</v>
      </c>
      <c r="F1144" t="s">
        <v>248</v>
      </c>
      <c r="G1144" t="s">
        <v>249</v>
      </c>
      <c r="H1144" t="s">
        <v>250</v>
      </c>
      <c r="I1144" s="6" t="s">
        <v>707</v>
      </c>
      <c r="J1144" s="61" t="s">
        <v>22</v>
      </c>
      <c r="L1144" s="5" t="str">
        <f t="shared" si="202"/>
        <v>01143</v>
      </c>
      <c r="M1144" s="47" t="str">
        <f t="shared" si="203"/>
        <v>15 de junio de 2018</v>
      </c>
      <c r="N1144" s="323">
        <f t="shared" si="188"/>
        <v>15</v>
      </c>
      <c r="O1144" s="25">
        <f t="shared" si="204"/>
        <v>43252</v>
      </c>
      <c r="P1144" s="5" t="str">
        <f t="shared" si="199"/>
        <v>4,00</v>
      </c>
      <c r="Q1144" s="4" t="str">
        <f t="shared" si="200"/>
        <v>Cuatro Bolívares con 00/100</v>
      </c>
    </row>
    <row r="1145" spans="1:17" x14ac:dyDescent="0.25">
      <c r="A1145" s="1">
        <f t="shared" si="201"/>
        <v>1144</v>
      </c>
      <c r="C1145" s="8" t="s">
        <v>17</v>
      </c>
      <c r="D1145" s="2">
        <v>43266</v>
      </c>
      <c r="E1145" s="3">
        <f>400000/100000</f>
        <v>4</v>
      </c>
      <c r="F1145" t="s">
        <v>248</v>
      </c>
      <c r="G1145" t="s">
        <v>249</v>
      </c>
      <c r="H1145" t="s">
        <v>250</v>
      </c>
      <c r="I1145" s="6" t="s">
        <v>672</v>
      </c>
      <c r="J1145" s="61" t="s">
        <v>673</v>
      </c>
      <c r="L1145" s="5" t="str">
        <f t="shared" si="202"/>
        <v>01144</v>
      </c>
      <c r="M1145" s="47" t="str">
        <f t="shared" si="203"/>
        <v>15 de junio de 2018</v>
      </c>
      <c r="N1145" s="323">
        <f t="shared" si="188"/>
        <v>15</v>
      </c>
      <c r="O1145" s="25">
        <f t="shared" si="204"/>
        <v>43252</v>
      </c>
      <c r="P1145" s="5" t="str">
        <f t="shared" si="199"/>
        <v>4,00</v>
      </c>
      <c r="Q1145" s="4" t="str">
        <f t="shared" si="200"/>
        <v>Cuatro Bolívares con 00/100</v>
      </c>
    </row>
    <row r="1146" spans="1:17" x14ac:dyDescent="0.25">
      <c r="A1146" s="1">
        <f t="shared" si="201"/>
        <v>1145</v>
      </c>
      <c r="C1146" s="8" t="s">
        <v>17</v>
      </c>
      <c r="D1146" s="2">
        <v>43269</v>
      </c>
      <c r="E1146" s="3">
        <f>400000/100000</f>
        <v>4</v>
      </c>
      <c r="F1146" t="s">
        <v>103</v>
      </c>
      <c r="G1146" t="s">
        <v>104</v>
      </c>
      <c r="H1146" t="s">
        <v>105</v>
      </c>
      <c r="I1146" s="6" t="s">
        <v>707</v>
      </c>
      <c r="J1146" s="61" t="s">
        <v>22</v>
      </c>
      <c r="L1146" s="5" t="str">
        <f t="shared" si="202"/>
        <v>01145</v>
      </c>
      <c r="M1146" s="47" t="str">
        <f t="shared" si="203"/>
        <v>18 de junio de 2018</v>
      </c>
      <c r="N1146" s="323">
        <f t="shared" si="188"/>
        <v>18</v>
      </c>
      <c r="O1146" s="25">
        <f t="shared" si="204"/>
        <v>43252</v>
      </c>
      <c r="P1146" s="5" t="str">
        <f t="shared" si="199"/>
        <v>4,00</v>
      </c>
      <c r="Q1146" s="4" t="str">
        <f t="shared" si="200"/>
        <v>Cuatro Bolívares con 00/100</v>
      </c>
    </row>
    <row r="1147" spans="1:17" x14ac:dyDescent="0.25">
      <c r="A1147" s="1">
        <f t="shared" si="201"/>
        <v>1146</v>
      </c>
      <c r="C1147" s="8" t="s">
        <v>17</v>
      </c>
      <c r="D1147" s="2">
        <v>43269</v>
      </c>
      <c r="E1147" s="3">
        <f>400000/100000</f>
        <v>4</v>
      </c>
      <c r="F1147" t="s">
        <v>177</v>
      </c>
      <c r="G1147" s="18" t="s">
        <v>58</v>
      </c>
      <c r="H1147" t="s">
        <v>179</v>
      </c>
      <c r="I1147" s="6" t="s">
        <v>707</v>
      </c>
      <c r="J1147" s="61" t="s">
        <v>22</v>
      </c>
      <c r="L1147" s="5" t="str">
        <f t="shared" si="202"/>
        <v>01146</v>
      </c>
      <c r="M1147" s="47" t="str">
        <f t="shared" si="203"/>
        <v>18 de junio de 2018</v>
      </c>
      <c r="N1147" s="323">
        <f t="shared" si="188"/>
        <v>18</v>
      </c>
      <c r="O1147" s="25">
        <f t="shared" si="204"/>
        <v>43252</v>
      </c>
      <c r="P1147" s="5" t="str">
        <f t="shared" si="199"/>
        <v>4,00</v>
      </c>
      <c r="Q1147" s="4" t="str">
        <f t="shared" si="200"/>
        <v>Cuatro Bolívares con 00/100</v>
      </c>
    </row>
    <row r="1148" spans="1:17" x14ac:dyDescent="0.25">
      <c r="A1148" s="1">
        <f t="shared" si="201"/>
        <v>1147</v>
      </c>
      <c r="C1148" s="8" t="s">
        <v>17</v>
      </c>
      <c r="D1148" s="2">
        <v>43269</v>
      </c>
      <c r="E1148" s="3">
        <f>600000/100000</f>
        <v>6</v>
      </c>
      <c r="F1148" t="s">
        <v>90</v>
      </c>
      <c r="G1148" t="s">
        <v>91</v>
      </c>
      <c r="H1148" t="s">
        <v>92</v>
      </c>
      <c r="I1148" s="6" t="s">
        <v>731</v>
      </c>
      <c r="J1148" s="61" t="s">
        <v>22</v>
      </c>
      <c r="L1148" s="5" t="str">
        <f t="shared" si="202"/>
        <v>01147</v>
      </c>
      <c r="M1148" s="47" t="str">
        <f t="shared" si="203"/>
        <v>18 de junio de 2018</v>
      </c>
      <c r="N1148" s="323">
        <f t="shared" si="188"/>
        <v>18</v>
      </c>
      <c r="O1148" s="25">
        <f t="shared" si="204"/>
        <v>43252</v>
      </c>
      <c r="P1148" s="5" t="str">
        <f t="shared" si="199"/>
        <v>6,00</v>
      </c>
      <c r="Q1148" s="4" t="str">
        <f t="shared" si="200"/>
        <v>Seis Bolívares con 00/100</v>
      </c>
    </row>
    <row r="1149" spans="1:17" x14ac:dyDescent="0.25">
      <c r="A1149" s="1">
        <f t="shared" si="201"/>
        <v>1148</v>
      </c>
      <c r="C1149" s="8" t="s">
        <v>17</v>
      </c>
      <c r="D1149" s="2">
        <v>43269</v>
      </c>
      <c r="E1149" s="3">
        <f>400000/100000</f>
        <v>4</v>
      </c>
      <c r="F1149" t="s">
        <v>443</v>
      </c>
      <c r="G1149" t="s">
        <v>444</v>
      </c>
      <c r="H1149" t="s">
        <v>75</v>
      </c>
      <c r="I1149" s="6" t="s">
        <v>707</v>
      </c>
      <c r="J1149" s="61" t="s">
        <v>22</v>
      </c>
      <c r="L1149" s="5" t="str">
        <f t="shared" si="202"/>
        <v>01148</v>
      </c>
      <c r="M1149" s="47" t="str">
        <f t="shared" si="203"/>
        <v>18 de junio de 2018</v>
      </c>
      <c r="N1149" s="323">
        <f t="shared" si="188"/>
        <v>18</v>
      </c>
      <c r="O1149" s="25">
        <f t="shared" si="204"/>
        <v>43252</v>
      </c>
      <c r="P1149" s="5" t="str">
        <f t="shared" si="199"/>
        <v>4,00</v>
      </c>
      <c r="Q1149" s="4" t="str">
        <f t="shared" si="200"/>
        <v>Cuatro Bolívares con 00/100</v>
      </c>
    </row>
    <row r="1150" spans="1:17" x14ac:dyDescent="0.25">
      <c r="A1150" s="1">
        <f t="shared" si="201"/>
        <v>1149</v>
      </c>
      <c r="C1150" s="8" t="s">
        <v>17</v>
      </c>
      <c r="D1150" s="2">
        <v>43270</v>
      </c>
      <c r="E1150" s="3">
        <f>400000/100000</f>
        <v>4</v>
      </c>
      <c r="F1150" t="s">
        <v>126</v>
      </c>
      <c r="G1150" t="s">
        <v>127</v>
      </c>
      <c r="H1150" t="s">
        <v>128</v>
      </c>
      <c r="I1150" s="6" t="s">
        <v>707</v>
      </c>
      <c r="J1150" s="61" t="s">
        <v>22</v>
      </c>
      <c r="L1150" s="5" t="str">
        <f t="shared" si="202"/>
        <v>01149</v>
      </c>
      <c r="M1150" s="47" t="str">
        <f t="shared" si="203"/>
        <v>19 de junio de 2018</v>
      </c>
      <c r="N1150" s="323">
        <f t="shared" si="188"/>
        <v>19</v>
      </c>
      <c r="O1150" s="25">
        <f t="shared" si="204"/>
        <v>43252</v>
      </c>
      <c r="P1150" s="5" t="str">
        <f t="shared" si="199"/>
        <v>4,00</v>
      </c>
      <c r="Q1150" s="4" t="str">
        <f t="shared" si="200"/>
        <v>Cuatro Bolívares con 00/100</v>
      </c>
    </row>
    <row r="1151" spans="1:17" x14ac:dyDescent="0.25">
      <c r="A1151" s="1">
        <f t="shared" si="201"/>
        <v>1150</v>
      </c>
      <c r="C1151" s="8" t="s">
        <v>17</v>
      </c>
      <c r="D1151" s="2">
        <v>43270</v>
      </c>
      <c r="E1151" s="3">
        <f>400000/100000</f>
        <v>4</v>
      </c>
      <c r="F1151" t="s">
        <v>130</v>
      </c>
      <c r="G1151" t="s">
        <v>131</v>
      </c>
      <c r="H1151" t="s">
        <v>132</v>
      </c>
      <c r="I1151" s="6" t="s">
        <v>707</v>
      </c>
      <c r="J1151" s="61" t="s">
        <v>22</v>
      </c>
      <c r="L1151" s="5" t="str">
        <f t="shared" si="202"/>
        <v>01150</v>
      </c>
      <c r="M1151" s="47" t="str">
        <f t="shared" si="203"/>
        <v>19 de junio de 2018</v>
      </c>
      <c r="N1151" s="323">
        <f t="shared" si="188"/>
        <v>19</v>
      </c>
      <c r="O1151" s="25">
        <f t="shared" si="204"/>
        <v>43252</v>
      </c>
      <c r="P1151" s="5" t="str">
        <f t="shared" si="199"/>
        <v>4,00</v>
      </c>
      <c r="Q1151" s="4" t="str">
        <f t="shared" si="200"/>
        <v>Cuatro Bolívares con 00/100</v>
      </c>
    </row>
    <row r="1152" spans="1:17" x14ac:dyDescent="0.25">
      <c r="A1152" s="1">
        <f t="shared" si="201"/>
        <v>1151</v>
      </c>
      <c r="C1152" s="8" t="s">
        <v>17</v>
      </c>
      <c r="D1152" s="2">
        <v>43272</v>
      </c>
      <c r="E1152" s="3">
        <f>400000/100000</f>
        <v>4</v>
      </c>
      <c r="F1152" t="s">
        <v>53</v>
      </c>
      <c r="G1152" t="s">
        <v>677</v>
      </c>
      <c r="H1152" t="s">
        <v>55</v>
      </c>
      <c r="I1152" s="6" t="s">
        <v>707</v>
      </c>
      <c r="J1152" s="61" t="s">
        <v>22</v>
      </c>
      <c r="L1152" s="5" t="str">
        <f t="shared" si="202"/>
        <v>01151</v>
      </c>
      <c r="M1152" s="47" t="str">
        <f t="shared" si="203"/>
        <v>21 de junio de 2018</v>
      </c>
      <c r="N1152" s="323">
        <f t="shared" si="188"/>
        <v>21</v>
      </c>
      <c r="O1152" s="25">
        <f t="shared" si="204"/>
        <v>43252</v>
      </c>
      <c r="P1152" s="5" t="str">
        <f t="shared" si="199"/>
        <v>4,00</v>
      </c>
      <c r="Q1152" s="4" t="str">
        <f t="shared" si="200"/>
        <v>Cuatro Bolívares con 00/100</v>
      </c>
    </row>
    <row r="1153" spans="1:17" x14ac:dyDescent="0.25">
      <c r="A1153" s="1">
        <f t="shared" si="201"/>
        <v>1152</v>
      </c>
      <c r="C1153" s="8" t="s">
        <v>17</v>
      </c>
      <c r="D1153" s="2">
        <v>43272</v>
      </c>
      <c r="E1153" s="3">
        <f>100000/100000</f>
        <v>1</v>
      </c>
      <c r="F1153" t="s">
        <v>53</v>
      </c>
      <c r="G1153" t="s">
        <v>677</v>
      </c>
      <c r="H1153" t="s">
        <v>55</v>
      </c>
      <c r="I1153" s="6" t="s">
        <v>732</v>
      </c>
      <c r="J1153" s="61" t="s">
        <v>733</v>
      </c>
      <c r="L1153" s="5" t="str">
        <f t="shared" ref="L1153:L1173" si="205">IF(ISBLANK(A1153),"",TEXT(A1153,"00000"))</f>
        <v>01152</v>
      </c>
      <c r="M1153" s="47" t="str">
        <f t="shared" ref="M1153:M1173" si="206">IF(ISBLANK(D1153),"",TEXT(D1153,"dd")&amp;" de "&amp;TEXT(D1153,"mmmm")&amp;" de "&amp;TEXT(YEAR(D1153),"0"))</f>
        <v>21 de junio de 2018</v>
      </c>
      <c r="N1153" s="323">
        <f t="shared" si="188"/>
        <v>21</v>
      </c>
      <c r="O1153" s="25">
        <f t="shared" ref="O1153:O1173" si="207">DATE(YEAR(D1153),MONTH(D1153),1)</f>
        <v>43252</v>
      </c>
      <c r="P1153" s="5" t="str">
        <f t="shared" ref="P1153:P1169" si="208">TEXT(E1153,"#.##0,00")</f>
        <v>1,00</v>
      </c>
      <c r="Q1153" s="4" t="str">
        <f t="shared" ref="Q1153:Q1160" si="209">CONVERTIRNUM(E1153)</f>
        <v>Un Bolívar con 00/100</v>
      </c>
    </row>
    <row r="1154" spans="1:17" x14ac:dyDescent="0.25">
      <c r="A1154" s="1">
        <f t="shared" si="201"/>
        <v>1153</v>
      </c>
      <c r="C1154" s="8" t="s">
        <v>17</v>
      </c>
      <c r="D1154" s="2">
        <v>43272</v>
      </c>
      <c r="E1154" s="3">
        <f>1000000/100000</f>
        <v>10</v>
      </c>
      <c r="F1154" t="s">
        <v>612</v>
      </c>
      <c r="G1154" t="s">
        <v>613</v>
      </c>
      <c r="H1154" t="s">
        <v>614</v>
      </c>
      <c r="I1154" s="6" t="s">
        <v>734</v>
      </c>
      <c r="J1154" s="61" t="s">
        <v>22</v>
      </c>
      <c r="L1154" s="5" t="str">
        <f t="shared" si="205"/>
        <v>01153</v>
      </c>
      <c r="M1154" s="47" t="str">
        <f t="shared" si="206"/>
        <v>21 de junio de 2018</v>
      </c>
      <c r="N1154" s="323">
        <f t="shared" si="188"/>
        <v>21</v>
      </c>
      <c r="O1154" s="25">
        <f t="shared" si="207"/>
        <v>43252</v>
      </c>
      <c r="P1154" s="5" t="str">
        <f t="shared" si="208"/>
        <v>10,00</v>
      </c>
      <c r="Q1154" s="4" t="str">
        <f t="shared" si="209"/>
        <v>Diez Bolívares con 00/100</v>
      </c>
    </row>
    <row r="1155" spans="1:17" x14ac:dyDescent="0.25">
      <c r="A1155" s="1">
        <f t="shared" si="201"/>
        <v>1154</v>
      </c>
      <c r="C1155" s="8" t="s">
        <v>17</v>
      </c>
      <c r="D1155" s="2">
        <v>43277</v>
      </c>
      <c r="E1155" s="3">
        <f>2550000/100000</f>
        <v>25.5</v>
      </c>
      <c r="F1155" t="s">
        <v>114</v>
      </c>
      <c r="G1155" t="s">
        <v>115</v>
      </c>
      <c r="H1155" t="s">
        <v>116</v>
      </c>
      <c r="I1155" s="6" t="s">
        <v>735</v>
      </c>
      <c r="J1155" s="61" t="s">
        <v>22</v>
      </c>
      <c r="L1155" s="5" t="str">
        <f t="shared" si="205"/>
        <v>01154</v>
      </c>
      <c r="M1155" s="47" t="str">
        <f t="shared" si="206"/>
        <v>26 de junio de 2018</v>
      </c>
      <c r="N1155" s="323">
        <f t="shared" ref="N1155:N1218" si="210">DAY(D1155)</f>
        <v>26</v>
      </c>
      <c r="O1155" s="25">
        <f t="shared" si="207"/>
        <v>43252</v>
      </c>
      <c r="P1155" s="5" t="str">
        <f t="shared" si="208"/>
        <v>25,50</v>
      </c>
      <c r="Q1155" s="4" t="str">
        <f t="shared" si="209"/>
        <v>Veinticinco Bolívares con 50/100</v>
      </c>
    </row>
    <row r="1156" spans="1:17" x14ac:dyDescent="0.25">
      <c r="A1156" s="1">
        <f t="shared" si="201"/>
        <v>1155</v>
      </c>
      <c r="C1156" s="8" t="s">
        <v>17</v>
      </c>
      <c r="D1156" s="2">
        <v>43277</v>
      </c>
      <c r="E1156" s="3">
        <f>400000/100000</f>
        <v>4</v>
      </c>
      <c r="F1156" t="s">
        <v>633</v>
      </c>
      <c r="G1156" t="s">
        <v>634</v>
      </c>
      <c r="H1156" t="s">
        <v>635</v>
      </c>
      <c r="I1156" s="6" t="s">
        <v>707</v>
      </c>
      <c r="J1156" s="61" t="s">
        <v>22</v>
      </c>
      <c r="L1156" s="5" t="str">
        <f t="shared" si="205"/>
        <v>01155</v>
      </c>
      <c r="M1156" s="47" t="str">
        <f t="shared" si="206"/>
        <v>26 de junio de 2018</v>
      </c>
      <c r="N1156" s="323">
        <f t="shared" si="210"/>
        <v>26</v>
      </c>
      <c r="O1156" s="25">
        <f t="shared" si="207"/>
        <v>43252</v>
      </c>
      <c r="P1156" s="5" t="str">
        <f t="shared" si="208"/>
        <v>4,00</v>
      </c>
      <c r="Q1156" s="4" t="str">
        <f t="shared" si="209"/>
        <v>Cuatro Bolívares con 00/100</v>
      </c>
    </row>
    <row r="1157" spans="1:17" x14ac:dyDescent="0.25">
      <c r="A1157" s="1">
        <f t="shared" si="201"/>
        <v>1156</v>
      </c>
      <c r="C1157" s="8" t="s">
        <v>17</v>
      </c>
      <c r="D1157" s="2">
        <v>43277</v>
      </c>
      <c r="E1157" s="3">
        <f>40000/100000</f>
        <v>0.4</v>
      </c>
      <c r="F1157" t="s">
        <v>303</v>
      </c>
      <c r="G1157" s="18" t="s">
        <v>58</v>
      </c>
      <c r="H1157" t="s">
        <v>304</v>
      </c>
      <c r="I1157" s="6" t="s">
        <v>729</v>
      </c>
      <c r="J1157" s="61" t="s">
        <v>22</v>
      </c>
      <c r="L1157" s="5" t="str">
        <f t="shared" si="205"/>
        <v>01156</v>
      </c>
      <c r="M1157" s="47" t="str">
        <f t="shared" si="206"/>
        <v>26 de junio de 2018</v>
      </c>
      <c r="N1157" s="323">
        <f t="shared" si="210"/>
        <v>26</v>
      </c>
      <c r="O1157" s="25">
        <f t="shared" si="207"/>
        <v>43252</v>
      </c>
      <c r="P1157" s="5" t="str">
        <f t="shared" si="208"/>
        <v>0,40</v>
      </c>
      <c r="Q1157" s="4" t="str">
        <f t="shared" si="209"/>
        <v>Cero Bolívares con 40/100</v>
      </c>
    </row>
    <row r="1158" spans="1:17" x14ac:dyDescent="0.25">
      <c r="A1158" s="1">
        <f t="shared" si="201"/>
        <v>1157</v>
      </c>
      <c r="C1158" s="8" t="s">
        <v>17</v>
      </c>
      <c r="D1158" s="2">
        <v>43277</v>
      </c>
      <c r="E1158" s="3">
        <f>340000/100000</f>
        <v>3.4</v>
      </c>
      <c r="F1158" t="s">
        <v>284</v>
      </c>
      <c r="G1158" t="s">
        <v>687</v>
      </c>
      <c r="H1158" t="s">
        <v>285</v>
      </c>
      <c r="I1158" s="6" t="s">
        <v>697</v>
      </c>
      <c r="J1158" s="61" t="s">
        <v>22</v>
      </c>
      <c r="L1158" s="5" t="str">
        <f t="shared" si="205"/>
        <v>01157</v>
      </c>
      <c r="M1158" s="47" t="str">
        <f t="shared" si="206"/>
        <v>26 de junio de 2018</v>
      </c>
      <c r="N1158" s="323">
        <f t="shared" si="210"/>
        <v>26</v>
      </c>
      <c r="O1158" s="25">
        <f t="shared" si="207"/>
        <v>43252</v>
      </c>
      <c r="P1158" s="5" t="str">
        <f t="shared" si="208"/>
        <v>3,40</v>
      </c>
      <c r="Q1158" s="4" t="str">
        <f t="shared" si="209"/>
        <v>Tres Bolívares con 40/100</v>
      </c>
    </row>
    <row r="1159" spans="1:17" x14ac:dyDescent="0.25">
      <c r="A1159" s="1">
        <f t="shared" si="201"/>
        <v>1158</v>
      </c>
      <c r="C1159" s="8" t="s">
        <v>17</v>
      </c>
      <c r="D1159" s="2">
        <v>43277</v>
      </c>
      <c r="E1159" s="3">
        <f>350000/100000</f>
        <v>3.5</v>
      </c>
      <c r="F1159" t="s">
        <v>284</v>
      </c>
      <c r="G1159" t="s">
        <v>687</v>
      </c>
      <c r="H1159" t="s">
        <v>285</v>
      </c>
      <c r="I1159" s="6" t="s">
        <v>672</v>
      </c>
      <c r="J1159" s="61" t="s">
        <v>673</v>
      </c>
      <c r="L1159" s="5" t="str">
        <f t="shared" si="205"/>
        <v>01158</v>
      </c>
      <c r="M1159" s="47" t="str">
        <f t="shared" si="206"/>
        <v>26 de junio de 2018</v>
      </c>
      <c r="N1159" s="323">
        <f t="shared" si="210"/>
        <v>26</v>
      </c>
      <c r="O1159" s="25">
        <f t="shared" si="207"/>
        <v>43252</v>
      </c>
      <c r="P1159" s="5" t="str">
        <f t="shared" si="208"/>
        <v>3,50</v>
      </c>
      <c r="Q1159" s="4" t="str">
        <f t="shared" si="209"/>
        <v>Tres Bolívares con 50/100</v>
      </c>
    </row>
    <row r="1160" spans="1:17" x14ac:dyDescent="0.25">
      <c r="A1160" s="1">
        <f t="shared" si="201"/>
        <v>1159</v>
      </c>
      <c r="C1160" s="8" t="s">
        <v>17</v>
      </c>
      <c r="D1160" s="2">
        <v>43279</v>
      </c>
      <c r="E1160" s="3">
        <f>1075000/100000</f>
        <v>10.75</v>
      </c>
      <c r="F1160" t="s">
        <v>558</v>
      </c>
      <c r="G1160" t="s">
        <v>559</v>
      </c>
      <c r="H1160" t="s">
        <v>560</v>
      </c>
      <c r="I1160" s="6" t="s">
        <v>736</v>
      </c>
      <c r="J1160" s="61" t="s">
        <v>22</v>
      </c>
      <c r="L1160" s="5" t="str">
        <f t="shared" si="205"/>
        <v>01159</v>
      </c>
      <c r="M1160" s="47" t="str">
        <f t="shared" si="206"/>
        <v>28 de junio de 2018</v>
      </c>
      <c r="N1160" s="323">
        <f t="shared" si="210"/>
        <v>28</v>
      </c>
      <c r="O1160" s="25">
        <f t="shared" si="207"/>
        <v>43252</v>
      </c>
      <c r="P1160" s="5" t="str">
        <f t="shared" si="208"/>
        <v>10,75</v>
      </c>
      <c r="Q1160" s="4" t="str">
        <f t="shared" si="209"/>
        <v>Diez Bolívares con 75/100</v>
      </c>
    </row>
    <row r="1161" spans="1:17" x14ac:dyDescent="0.25">
      <c r="A1161" s="1">
        <f t="shared" si="201"/>
        <v>1160</v>
      </c>
      <c r="C1161" s="8" t="s">
        <v>17</v>
      </c>
      <c r="D1161" s="2">
        <v>43279</v>
      </c>
      <c r="E1161" s="3">
        <f>400000/100000</f>
        <v>4</v>
      </c>
      <c r="F1161" t="s">
        <v>407</v>
      </c>
      <c r="G1161" t="s">
        <v>408</v>
      </c>
      <c r="H1161" t="s">
        <v>409</v>
      </c>
      <c r="I1161" s="6" t="s">
        <v>737</v>
      </c>
      <c r="J1161" s="61" t="s">
        <v>22</v>
      </c>
      <c r="L1161" s="5" t="str">
        <f t="shared" si="205"/>
        <v>01160</v>
      </c>
      <c r="M1161" s="47" t="str">
        <f t="shared" si="206"/>
        <v>28 de junio de 2018</v>
      </c>
      <c r="N1161" s="323">
        <f t="shared" si="210"/>
        <v>28</v>
      </c>
      <c r="O1161" s="25">
        <f t="shared" si="207"/>
        <v>43252</v>
      </c>
      <c r="P1161" s="5" t="str">
        <f t="shared" si="208"/>
        <v>4,00</v>
      </c>
      <c r="Q1161" s="4" t="str">
        <f>CONVERTIRNUM(E1161)</f>
        <v>Cuatro Bolívares con 00/100</v>
      </c>
    </row>
    <row r="1162" spans="1:17" x14ac:dyDescent="0.25">
      <c r="A1162" s="1">
        <f t="shared" si="201"/>
        <v>1161</v>
      </c>
      <c r="C1162" s="8" t="s">
        <v>17</v>
      </c>
      <c r="D1162" s="2">
        <v>43279</v>
      </c>
      <c r="E1162" s="3">
        <f>225000/100000</f>
        <v>2.25</v>
      </c>
      <c r="F1162" t="s">
        <v>36</v>
      </c>
      <c r="G1162" t="s">
        <v>37</v>
      </c>
      <c r="H1162" t="s">
        <v>38</v>
      </c>
      <c r="I1162" s="6" t="s">
        <v>738</v>
      </c>
      <c r="J1162" s="61" t="s">
        <v>22</v>
      </c>
      <c r="L1162" s="5" t="str">
        <f t="shared" si="205"/>
        <v>01161</v>
      </c>
      <c r="M1162" s="47" t="str">
        <f t="shared" si="206"/>
        <v>28 de junio de 2018</v>
      </c>
      <c r="N1162" s="323">
        <f t="shared" si="210"/>
        <v>28</v>
      </c>
      <c r="O1162" s="25">
        <f t="shared" si="207"/>
        <v>43252</v>
      </c>
      <c r="P1162" s="5" t="str">
        <f t="shared" si="208"/>
        <v>2,25</v>
      </c>
      <c r="Q1162" s="4" t="str">
        <f t="shared" ref="Q1162:Q1169" si="211">CONVERTIRNUM(E1162)</f>
        <v>Dos Bolívares con 25/100</v>
      </c>
    </row>
    <row r="1163" spans="1:17" x14ac:dyDescent="0.25">
      <c r="A1163" s="1">
        <f t="shared" si="201"/>
        <v>1162</v>
      </c>
      <c r="C1163" s="8" t="s">
        <v>17</v>
      </c>
      <c r="D1163" s="2">
        <v>43279</v>
      </c>
      <c r="E1163" s="3">
        <f>225000/100000</f>
        <v>2.25</v>
      </c>
      <c r="F1163" t="s">
        <v>18</v>
      </c>
      <c r="G1163" t="s">
        <v>19</v>
      </c>
      <c r="H1163" t="s">
        <v>20</v>
      </c>
      <c r="I1163" s="6" t="s">
        <v>739</v>
      </c>
      <c r="J1163" s="61" t="s">
        <v>22</v>
      </c>
      <c r="L1163" s="5" t="str">
        <f t="shared" si="205"/>
        <v>01162</v>
      </c>
      <c r="M1163" s="47" t="str">
        <f t="shared" si="206"/>
        <v>28 de junio de 2018</v>
      </c>
      <c r="N1163" s="323">
        <f t="shared" si="210"/>
        <v>28</v>
      </c>
      <c r="O1163" s="25">
        <f t="shared" si="207"/>
        <v>43252</v>
      </c>
      <c r="P1163" s="5" t="str">
        <f t="shared" si="208"/>
        <v>2,25</v>
      </c>
      <c r="Q1163" s="4" t="str">
        <f t="shared" si="211"/>
        <v>Dos Bolívares con 25/100</v>
      </c>
    </row>
    <row r="1164" spans="1:17" x14ac:dyDescent="0.25">
      <c r="A1164" s="178">
        <f t="shared" si="201"/>
        <v>1163</v>
      </c>
      <c r="C1164" s="8" t="s">
        <v>17</v>
      </c>
      <c r="D1164" s="2">
        <v>43279</v>
      </c>
      <c r="E1164" s="3">
        <f>225000/100000</f>
        <v>2.25</v>
      </c>
      <c r="F1164" t="s">
        <v>438</v>
      </c>
      <c r="G1164" t="s">
        <v>439</v>
      </c>
      <c r="H1164" t="s">
        <v>440</v>
      </c>
      <c r="I1164" s="6" t="s">
        <v>740</v>
      </c>
      <c r="J1164" s="61" t="s">
        <v>22</v>
      </c>
      <c r="L1164" s="5" t="str">
        <f t="shared" si="205"/>
        <v>01163</v>
      </c>
      <c r="M1164" s="47" t="str">
        <f t="shared" si="206"/>
        <v>28 de junio de 2018</v>
      </c>
      <c r="N1164" s="323">
        <f t="shared" si="210"/>
        <v>28</v>
      </c>
      <c r="O1164" s="25">
        <f t="shared" si="207"/>
        <v>43252</v>
      </c>
      <c r="P1164" s="5" t="str">
        <f t="shared" si="208"/>
        <v>2,25</v>
      </c>
      <c r="Q1164" s="4" t="str">
        <f t="shared" si="211"/>
        <v>Dos Bolívares con 25/100</v>
      </c>
    </row>
    <row r="1165" spans="1:17" x14ac:dyDescent="0.25">
      <c r="A1165" s="1">
        <f t="shared" si="201"/>
        <v>1164</v>
      </c>
      <c r="C1165" s="85" t="s">
        <v>17</v>
      </c>
      <c r="D1165" s="2">
        <v>43279</v>
      </c>
      <c r="E1165" s="3">
        <f>225000/100000</f>
        <v>2.25</v>
      </c>
      <c r="F1165" t="s">
        <v>280</v>
      </c>
      <c r="G1165" s="18" t="s">
        <v>58</v>
      </c>
      <c r="H1165" t="s">
        <v>282</v>
      </c>
      <c r="I1165" s="6" t="s">
        <v>741</v>
      </c>
      <c r="J1165" s="61" t="s">
        <v>22</v>
      </c>
      <c r="L1165" s="5" t="str">
        <f t="shared" si="205"/>
        <v>01164</v>
      </c>
      <c r="M1165" s="47" t="str">
        <f t="shared" si="206"/>
        <v>28 de junio de 2018</v>
      </c>
      <c r="N1165" s="323">
        <f t="shared" si="210"/>
        <v>28</v>
      </c>
      <c r="O1165" s="25">
        <f t="shared" si="207"/>
        <v>43252</v>
      </c>
      <c r="P1165" s="5" t="str">
        <f t="shared" si="208"/>
        <v>2,25</v>
      </c>
      <c r="Q1165" s="4" t="str">
        <f t="shared" si="211"/>
        <v>Dos Bolívares con 25/100</v>
      </c>
    </row>
    <row r="1166" spans="1:17" x14ac:dyDescent="0.25">
      <c r="A1166" s="1">
        <f>A1165+1</f>
        <v>1165</v>
      </c>
      <c r="C1166" s="8" t="s">
        <v>17</v>
      </c>
      <c r="D1166" s="2">
        <v>43279</v>
      </c>
      <c r="E1166" s="3">
        <f>225000/100000</f>
        <v>2.25</v>
      </c>
      <c r="F1166" t="s">
        <v>70</v>
      </c>
      <c r="G1166" t="s">
        <v>71</v>
      </c>
      <c r="H1166" t="s">
        <v>72</v>
      </c>
      <c r="I1166" s="6" t="s">
        <v>742</v>
      </c>
      <c r="J1166" s="61" t="s">
        <v>22</v>
      </c>
      <c r="L1166" s="5" t="str">
        <f t="shared" si="205"/>
        <v>01165</v>
      </c>
      <c r="M1166" s="47" t="str">
        <f t="shared" si="206"/>
        <v>28 de junio de 2018</v>
      </c>
      <c r="N1166" s="323">
        <f t="shared" si="210"/>
        <v>28</v>
      </c>
      <c r="O1166" s="25">
        <f t="shared" si="207"/>
        <v>43252</v>
      </c>
      <c r="P1166" s="5" t="str">
        <f t="shared" si="208"/>
        <v>2,25</v>
      </c>
      <c r="Q1166" s="4" t="str">
        <f t="shared" si="211"/>
        <v>Dos Bolívares con 25/100</v>
      </c>
    </row>
    <row r="1167" spans="1:17" x14ac:dyDescent="0.25">
      <c r="A1167" s="1">
        <f t="shared" ref="A1167:A1223" si="212">A1166+1</f>
        <v>1166</v>
      </c>
      <c r="C1167" s="8" t="s">
        <v>17</v>
      </c>
      <c r="D1167" s="2">
        <v>43279</v>
      </c>
      <c r="E1167" s="3">
        <f>225000/100000+850000/100000</f>
        <v>10.75</v>
      </c>
      <c r="F1167" t="s">
        <v>483</v>
      </c>
      <c r="G1167" t="s">
        <v>484</v>
      </c>
      <c r="H1167" t="s">
        <v>485</v>
      </c>
      <c r="I1167" s="6" t="s">
        <v>736</v>
      </c>
      <c r="J1167" s="61" t="s">
        <v>22</v>
      </c>
      <c r="L1167" s="5" t="str">
        <f t="shared" si="205"/>
        <v>01166</v>
      </c>
      <c r="M1167" s="47" t="str">
        <f t="shared" si="206"/>
        <v>28 de junio de 2018</v>
      </c>
      <c r="N1167" s="323">
        <f t="shared" si="210"/>
        <v>28</v>
      </c>
      <c r="O1167" s="25">
        <f t="shared" si="207"/>
        <v>43252</v>
      </c>
      <c r="P1167" s="5" t="str">
        <f t="shared" si="208"/>
        <v>10,75</v>
      </c>
      <c r="Q1167" s="4" t="str">
        <f t="shared" si="211"/>
        <v>Diez Bolívares con 75/100</v>
      </c>
    </row>
    <row r="1168" spans="1:17" x14ac:dyDescent="0.25">
      <c r="A1168" s="1">
        <f t="shared" si="212"/>
        <v>1167</v>
      </c>
      <c r="C1168" s="8" t="s">
        <v>17</v>
      </c>
      <c r="D1168" s="2">
        <v>43279</v>
      </c>
      <c r="E1168" s="3">
        <f>225000/100000+850000/100000</f>
        <v>10.75</v>
      </c>
      <c r="F1168" t="s">
        <v>48</v>
      </c>
      <c r="G1168" t="s">
        <v>49</v>
      </c>
      <c r="H1168" t="s">
        <v>50</v>
      </c>
      <c r="I1168" s="6" t="s">
        <v>736</v>
      </c>
      <c r="J1168" s="61" t="s">
        <v>22</v>
      </c>
      <c r="L1168" s="5" t="str">
        <f t="shared" si="205"/>
        <v>01167</v>
      </c>
      <c r="M1168" s="47" t="str">
        <f t="shared" si="206"/>
        <v>28 de junio de 2018</v>
      </c>
      <c r="N1168" s="323">
        <f t="shared" si="210"/>
        <v>28</v>
      </c>
      <c r="O1168" s="25">
        <f t="shared" si="207"/>
        <v>43252</v>
      </c>
      <c r="P1168" s="5" t="str">
        <f t="shared" si="208"/>
        <v>10,75</v>
      </c>
      <c r="Q1168" s="4" t="str">
        <f t="shared" si="211"/>
        <v>Diez Bolívares con 75/100</v>
      </c>
    </row>
    <row r="1169" spans="1:17" x14ac:dyDescent="0.25">
      <c r="A1169" s="1">
        <f t="shared" si="212"/>
        <v>1168</v>
      </c>
      <c r="C1169" s="8" t="s">
        <v>17</v>
      </c>
      <c r="D1169" s="2">
        <v>43279</v>
      </c>
      <c r="E1169" s="3">
        <f>225000/100000+850000/100000</f>
        <v>10.75</v>
      </c>
      <c r="F1169" t="s">
        <v>66</v>
      </c>
      <c r="G1169" t="s">
        <v>67</v>
      </c>
      <c r="H1169" t="s">
        <v>68</v>
      </c>
      <c r="I1169" s="6" t="s">
        <v>736</v>
      </c>
      <c r="J1169" s="61" t="s">
        <v>22</v>
      </c>
      <c r="L1169" s="5" t="str">
        <f t="shared" si="205"/>
        <v>01168</v>
      </c>
      <c r="M1169" s="47" t="str">
        <f t="shared" si="206"/>
        <v>28 de junio de 2018</v>
      </c>
      <c r="N1169" s="323">
        <f t="shared" si="210"/>
        <v>28</v>
      </c>
      <c r="O1169" s="25">
        <f t="shared" si="207"/>
        <v>43252</v>
      </c>
      <c r="P1169" s="5" t="str">
        <f t="shared" si="208"/>
        <v>10,75</v>
      </c>
      <c r="Q1169" s="4" t="str">
        <f t="shared" si="211"/>
        <v>Diez Bolívares con 75/100</v>
      </c>
    </row>
    <row r="1170" spans="1:17" x14ac:dyDescent="0.25">
      <c r="A1170" s="1">
        <f t="shared" si="212"/>
        <v>1169</v>
      </c>
      <c r="C1170" s="8" t="s">
        <v>17</v>
      </c>
      <c r="D1170" s="2">
        <v>43279</v>
      </c>
      <c r="E1170" s="3">
        <f>225000/100000</f>
        <v>2.25</v>
      </c>
      <c r="F1170" t="s">
        <v>713</v>
      </c>
      <c r="G1170" t="s">
        <v>714</v>
      </c>
      <c r="H1170" t="s">
        <v>154</v>
      </c>
      <c r="I1170" s="6" t="s">
        <v>742</v>
      </c>
      <c r="J1170" s="61" t="s">
        <v>22</v>
      </c>
      <c r="L1170" s="5" t="str">
        <f t="shared" si="205"/>
        <v>01169</v>
      </c>
      <c r="M1170" s="47" t="str">
        <f t="shared" si="206"/>
        <v>28 de junio de 2018</v>
      </c>
      <c r="N1170" s="323">
        <f t="shared" si="210"/>
        <v>28</v>
      </c>
      <c r="O1170" s="25">
        <f t="shared" si="207"/>
        <v>43252</v>
      </c>
      <c r="P1170" s="5" t="str">
        <f>TEXT(E1170,"#.##0,00")</f>
        <v>2,25</v>
      </c>
      <c r="Q1170" s="4" t="str">
        <f>CONVERTIRNUM(E1170)</f>
        <v>Dos Bolívares con 25/100</v>
      </c>
    </row>
    <row r="1171" spans="1:17" x14ac:dyDescent="0.25">
      <c r="A1171" s="1">
        <f t="shared" si="212"/>
        <v>1170</v>
      </c>
      <c r="C1171" s="8" t="s">
        <v>17</v>
      </c>
      <c r="D1171" s="2">
        <v>43279</v>
      </c>
      <c r="E1171" s="3">
        <f>400000/100000</f>
        <v>4</v>
      </c>
      <c r="F1171" t="s">
        <v>134</v>
      </c>
      <c r="G1171" t="s">
        <v>135</v>
      </c>
      <c r="H1171" t="s">
        <v>136</v>
      </c>
      <c r="I1171" s="6" t="s">
        <v>737</v>
      </c>
      <c r="J1171" s="61" t="s">
        <v>22</v>
      </c>
      <c r="L1171" s="5" t="str">
        <f t="shared" si="205"/>
        <v>01170</v>
      </c>
      <c r="M1171" s="47" t="str">
        <f t="shared" si="206"/>
        <v>28 de junio de 2018</v>
      </c>
      <c r="N1171" s="323">
        <f t="shared" si="210"/>
        <v>28</v>
      </c>
      <c r="O1171" s="25">
        <f t="shared" si="207"/>
        <v>43252</v>
      </c>
      <c r="P1171" s="5" t="str">
        <f>TEXT(E1171,"#.##0,00")</f>
        <v>4,00</v>
      </c>
      <c r="Q1171" s="4" t="str">
        <f>CONVERTIRNUM(E1171)</f>
        <v>Cuatro Bolívares con 00/100</v>
      </c>
    </row>
    <row r="1172" spans="1:17" x14ac:dyDescent="0.25">
      <c r="A1172" s="1">
        <f t="shared" si="212"/>
        <v>1171</v>
      </c>
      <c r="C1172" s="8" t="s">
        <v>17</v>
      </c>
      <c r="D1172" s="2">
        <v>43280</v>
      </c>
      <c r="E1172" s="3">
        <f>675000/100000</f>
        <v>6.75</v>
      </c>
      <c r="F1172" t="s">
        <v>162</v>
      </c>
      <c r="G1172" t="s">
        <v>163</v>
      </c>
      <c r="H1172" t="s">
        <v>164</v>
      </c>
      <c r="I1172" s="6" t="s">
        <v>743</v>
      </c>
      <c r="J1172" s="61" t="s">
        <v>22</v>
      </c>
      <c r="L1172" s="5" t="str">
        <f t="shared" si="205"/>
        <v>01171</v>
      </c>
      <c r="M1172" s="47" t="str">
        <f t="shared" si="206"/>
        <v>29 de junio de 2018</v>
      </c>
      <c r="N1172" s="323">
        <f t="shared" si="210"/>
        <v>29</v>
      </c>
      <c r="O1172" s="25">
        <f t="shared" si="207"/>
        <v>43252</v>
      </c>
      <c r="P1172" s="5" t="str">
        <f>TEXT(E1172,"#.##0,00")</f>
        <v>6,75</v>
      </c>
      <c r="Q1172" s="4" t="str">
        <f>CONVERTIRNUM(E1172)</f>
        <v>Seis Bolívares con 75/100</v>
      </c>
    </row>
    <row r="1173" spans="1:17" x14ac:dyDescent="0.25">
      <c r="A1173" s="1">
        <f t="shared" si="212"/>
        <v>1172</v>
      </c>
      <c r="C1173" s="8" t="s">
        <v>17</v>
      </c>
      <c r="D1173" s="2">
        <v>43280</v>
      </c>
      <c r="E1173" s="3">
        <f>225000/100000+850000/100000</f>
        <v>10.75</v>
      </c>
      <c r="F1173" t="s">
        <v>100</v>
      </c>
      <c r="G1173" t="s">
        <v>95</v>
      </c>
      <c r="H1173" t="s">
        <v>101</v>
      </c>
      <c r="I1173" s="6" t="s">
        <v>736</v>
      </c>
      <c r="J1173" s="61" t="s">
        <v>22</v>
      </c>
      <c r="L1173" s="5" t="str">
        <f t="shared" si="205"/>
        <v>01172</v>
      </c>
      <c r="M1173" s="47" t="str">
        <f t="shared" si="206"/>
        <v>29 de junio de 2018</v>
      </c>
      <c r="N1173" s="323">
        <f t="shared" si="210"/>
        <v>29</v>
      </c>
      <c r="O1173" s="25">
        <f t="shared" si="207"/>
        <v>43252</v>
      </c>
      <c r="P1173" s="5" t="str">
        <f>TEXT(E1173,"#.##0,00")</f>
        <v>10,75</v>
      </c>
      <c r="Q1173" s="4" t="str">
        <f>CONVERTIRNUM(E1173)</f>
        <v>Diez Bolívares con 75/100</v>
      </c>
    </row>
    <row r="1174" spans="1:17" x14ac:dyDescent="0.25">
      <c r="A1174" s="1">
        <f t="shared" si="212"/>
        <v>1173</v>
      </c>
      <c r="C1174" s="8" t="s">
        <v>17</v>
      </c>
      <c r="D1174" s="2">
        <v>43280</v>
      </c>
      <c r="E1174" s="3">
        <f>925000/100000</f>
        <v>9.25</v>
      </c>
      <c r="F1174" t="s">
        <v>100</v>
      </c>
      <c r="G1174" t="s">
        <v>95</v>
      </c>
      <c r="H1174" t="s">
        <v>101</v>
      </c>
      <c r="I1174" s="6" t="s">
        <v>744</v>
      </c>
      <c r="J1174" s="61" t="s">
        <v>745</v>
      </c>
      <c r="L1174" s="5" t="str">
        <f t="shared" ref="L1174:L1179" si="213">IF(ISBLANK(A1174),"",TEXT(A1174,"00000"))</f>
        <v>01173</v>
      </c>
      <c r="M1174" s="47" t="str">
        <f t="shared" ref="M1174:M1179" si="214">IF(ISBLANK(D1174),"",TEXT(D1174,"dd")&amp;" de "&amp;TEXT(D1174,"mmmm")&amp;" de "&amp;TEXT(YEAR(D1174),"0"))</f>
        <v>29 de junio de 2018</v>
      </c>
      <c r="N1174" s="323">
        <f t="shared" si="210"/>
        <v>29</v>
      </c>
      <c r="O1174" s="25">
        <f t="shared" ref="O1174:O1179" si="215">DATE(YEAR(D1174),MONTH(D1174),1)</f>
        <v>43252</v>
      </c>
      <c r="P1174" s="5" t="str">
        <f t="shared" ref="P1174:P1179" si="216">TEXT(E1174,"#.##0,00")</f>
        <v>9,25</v>
      </c>
      <c r="Q1174" s="4" t="str">
        <f t="shared" ref="Q1174:Q1179" si="217">CONVERTIRNUM(E1174)</f>
        <v>Nueve Bolívares con 25/100</v>
      </c>
    </row>
    <row r="1175" spans="1:17" x14ac:dyDescent="0.25">
      <c r="A1175" s="1">
        <f t="shared" si="212"/>
        <v>1174</v>
      </c>
      <c r="C1175" s="8" t="s">
        <v>17</v>
      </c>
      <c r="D1175" s="2">
        <v>43280</v>
      </c>
      <c r="E1175" s="3">
        <f>225000/100000</f>
        <v>2.25</v>
      </c>
      <c r="F1175" t="s">
        <v>324</v>
      </c>
      <c r="G1175" t="s">
        <v>325</v>
      </c>
      <c r="H1175" t="s">
        <v>326</v>
      </c>
      <c r="I1175" s="6" t="s">
        <v>742</v>
      </c>
      <c r="J1175" s="61" t="s">
        <v>22</v>
      </c>
      <c r="L1175" s="5" t="str">
        <f t="shared" si="213"/>
        <v>01174</v>
      </c>
      <c r="M1175" s="47" t="str">
        <f t="shared" si="214"/>
        <v>29 de junio de 2018</v>
      </c>
      <c r="N1175" s="323">
        <f t="shared" si="210"/>
        <v>29</v>
      </c>
      <c r="O1175" s="25">
        <f t="shared" si="215"/>
        <v>43252</v>
      </c>
      <c r="P1175" s="5" t="str">
        <f t="shared" si="216"/>
        <v>2,25</v>
      </c>
      <c r="Q1175" s="4" t="str">
        <f t="shared" si="217"/>
        <v>Dos Bolívares con 25/100</v>
      </c>
    </row>
    <row r="1176" spans="1:17" x14ac:dyDescent="0.25">
      <c r="A1176" s="1">
        <f t="shared" si="212"/>
        <v>1175</v>
      </c>
      <c r="C1176" s="8" t="s">
        <v>17</v>
      </c>
      <c r="D1176" s="2">
        <v>43280</v>
      </c>
      <c r="E1176" s="3">
        <f>625000/100000</f>
        <v>6.25</v>
      </c>
      <c r="F1176" t="s">
        <v>296</v>
      </c>
      <c r="G1176" t="s">
        <v>297</v>
      </c>
      <c r="H1176" t="s">
        <v>298</v>
      </c>
      <c r="I1176" s="6" t="s">
        <v>707</v>
      </c>
      <c r="J1176" s="61" t="s">
        <v>22</v>
      </c>
      <c r="L1176" s="5" t="str">
        <f t="shared" si="213"/>
        <v>01175</v>
      </c>
      <c r="M1176" s="47" t="str">
        <f t="shared" si="214"/>
        <v>29 de junio de 2018</v>
      </c>
      <c r="N1176" s="323">
        <f t="shared" si="210"/>
        <v>29</v>
      </c>
      <c r="O1176" s="25">
        <f t="shared" si="215"/>
        <v>43252</v>
      </c>
      <c r="P1176" s="5" t="str">
        <f t="shared" si="216"/>
        <v>6,25</v>
      </c>
      <c r="Q1176" s="4" t="str">
        <f t="shared" si="217"/>
        <v>Seis Bolívares con 25/100</v>
      </c>
    </row>
    <row r="1177" spans="1:17" x14ac:dyDescent="0.25">
      <c r="A1177" s="1">
        <f t="shared" si="212"/>
        <v>1176</v>
      </c>
      <c r="C1177" s="8" t="s">
        <v>17</v>
      </c>
      <c r="D1177" s="2">
        <v>43281</v>
      </c>
      <c r="E1177" s="3">
        <f>1075000/100000</f>
        <v>10.75</v>
      </c>
      <c r="F1177" t="s">
        <v>698</v>
      </c>
      <c r="G1177" t="s">
        <v>699</v>
      </c>
      <c r="H1177" t="s">
        <v>150</v>
      </c>
      <c r="I1177" s="6" t="s">
        <v>736</v>
      </c>
      <c r="J1177" s="61" t="s">
        <v>22</v>
      </c>
      <c r="L1177" s="5" t="str">
        <f t="shared" si="213"/>
        <v>01176</v>
      </c>
      <c r="M1177" s="47" t="str">
        <f t="shared" si="214"/>
        <v>30 de junio de 2018</v>
      </c>
      <c r="N1177" s="323">
        <f t="shared" si="210"/>
        <v>30</v>
      </c>
      <c r="O1177" s="25">
        <f t="shared" si="215"/>
        <v>43252</v>
      </c>
      <c r="P1177" s="5" t="str">
        <f t="shared" si="216"/>
        <v>10,75</v>
      </c>
      <c r="Q1177" s="4" t="str">
        <f t="shared" si="217"/>
        <v>Diez Bolívares con 75/100</v>
      </c>
    </row>
    <row r="1178" spans="1:17" x14ac:dyDescent="0.25">
      <c r="A1178" s="1">
        <f t="shared" si="212"/>
        <v>1177</v>
      </c>
      <c r="C1178" s="8" t="s">
        <v>17</v>
      </c>
      <c r="D1178" s="2">
        <v>43281</v>
      </c>
      <c r="E1178" s="3">
        <f>225000/100000</f>
        <v>2.25</v>
      </c>
      <c r="F1178" t="s">
        <v>138</v>
      </c>
      <c r="G1178" t="s">
        <v>139</v>
      </c>
      <c r="H1178" t="s">
        <v>140</v>
      </c>
      <c r="I1178" s="6" t="s">
        <v>742</v>
      </c>
      <c r="J1178" s="61" t="s">
        <v>22</v>
      </c>
      <c r="L1178" s="5" t="str">
        <f t="shared" si="213"/>
        <v>01177</v>
      </c>
      <c r="M1178" s="47" t="str">
        <f t="shared" si="214"/>
        <v>30 de junio de 2018</v>
      </c>
      <c r="N1178" s="323">
        <f t="shared" si="210"/>
        <v>30</v>
      </c>
      <c r="O1178" s="25">
        <f t="shared" si="215"/>
        <v>43252</v>
      </c>
      <c r="P1178" s="5" t="str">
        <f t="shared" si="216"/>
        <v>2,25</v>
      </c>
      <c r="Q1178" s="4" t="str">
        <f t="shared" si="217"/>
        <v>Dos Bolívares con 25/100</v>
      </c>
    </row>
    <row r="1179" spans="1:17" x14ac:dyDescent="0.25">
      <c r="A1179" s="1">
        <f t="shared" si="212"/>
        <v>1178</v>
      </c>
      <c r="C1179" s="8" t="s">
        <v>17</v>
      </c>
      <c r="D1179" s="2">
        <v>43281</v>
      </c>
      <c r="E1179" s="3">
        <f>1075000/100000</f>
        <v>10.75</v>
      </c>
      <c r="F1179" t="s">
        <v>201</v>
      </c>
      <c r="G1179" t="s">
        <v>202</v>
      </c>
      <c r="H1179" t="s">
        <v>203</v>
      </c>
      <c r="I1179" s="6" t="s">
        <v>736</v>
      </c>
      <c r="J1179" s="61" t="s">
        <v>22</v>
      </c>
      <c r="L1179" s="5" t="str">
        <f t="shared" si="213"/>
        <v>01178</v>
      </c>
      <c r="M1179" s="47" t="str">
        <f t="shared" si="214"/>
        <v>30 de junio de 2018</v>
      </c>
      <c r="N1179" s="323">
        <f t="shared" si="210"/>
        <v>30</v>
      </c>
      <c r="O1179" s="25">
        <f t="shared" si="215"/>
        <v>43252</v>
      </c>
      <c r="P1179" s="5" t="str">
        <f t="shared" si="216"/>
        <v>10,75</v>
      </c>
      <c r="Q1179" s="4" t="str">
        <f t="shared" si="217"/>
        <v>Diez Bolívares con 75/100</v>
      </c>
    </row>
    <row r="1180" spans="1:17" x14ac:dyDescent="0.25">
      <c r="A1180" s="1">
        <f t="shared" si="212"/>
        <v>1179</v>
      </c>
      <c r="C1180" s="8" t="s">
        <v>17</v>
      </c>
      <c r="D1180" s="2">
        <v>43281</v>
      </c>
      <c r="E1180" s="3">
        <f>450000/100000</f>
        <v>4.5</v>
      </c>
      <c r="F1180" t="s">
        <v>324</v>
      </c>
      <c r="G1180" t="s">
        <v>325</v>
      </c>
      <c r="H1180" t="s">
        <v>326</v>
      </c>
      <c r="I1180" s="6" t="s">
        <v>746</v>
      </c>
      <c r="J1180" s="61" t="s">
        <v>22</v>
      </c>
      <c r="L1180" s="5" t="str">
        <f t="shared" ref="L1180:L1196" si="218">IF(ISBLANK(A1180),"",TEXT(A1180,"00000"))</f>
        <v>01179</v>
      </c>
      <c r="M1180" s="47" t="str">
        <f t="shared" ref="M1180:M1196" si="219">IF(ISBLANK(D1180),"",TEXT(D1180,"dd")&amp;" de "&amp;TEXT(D1180,"mmmm")&amp;" de "&amp;TEXT(YEAR(D1180),"0"))</f>
        <v>30 de junio de 2018</v>
      </c>
      <c r="N1180" s="323">
        <f t="shared" si="210"/>
        <v>30</v>
      </c>
      <c r="O1180" s="25">
        <f t="shared" ref="O1180:O1196" si="220">DATE(YEAR(D1180),MONTH(D1180),1)</f>
        <v>43252</v>
      </c>
      <c r="P1180" s="5" t="str">
        <f t="shared" ref="P1180:P1190" si="221">TEXT(E1180,"#.##0,00")</f>
        <v>4,50</v>
      </c>
      <c r="Q1180" s="4" t="str">
        <f t="shared" ref="Q1180:Q1190" si="222">CONVERTIRNUM(E1180)</f>
        <v>Cuatro Bolívares con 50/100</v>
      </c>
    </row>
    <row r="1181" spans="1:17" x14ac:dyDescent="0.25">
      <c r="A1181" s="1">
        <f t="shared" si="212"/>
        <v>1180</v>
      </c>
      <c r="C1181" s="8" t="s">
        <v>17</v>
      </c>
      <c r="D1181" s="2">
        <v>43281</v>
      </c>
      <c r="E1181" s="3">
        <f>1075000/100000</f>
        <v>10.75</v>
      </c>
      <c r="F1181" t="s">
        <v>24</v>
      </c>
      <c r="G1181" t="s">
        <v>25</v>
      </c>
      <c r="H1181" t="s">
        <v>26</v>
      </c>
      <c r="I1181" s="6" t="s">
        <v>736</v>
      </c>
      <c r="J1181" s="61" t="s">
        <v>22</v>
      </c>
      <c r="L1181" s="5" t="str">
        <f t="shared" si="218"/>
        <v>01180</v>
      </c>
      <c r="M1181" s="47" t="str">
        <f t="shared" si="219"/>
        <v>30 de junio de 2018</v>
      </c>
      <c r="N1181" s="323">
        <f t="shared" si="210"/>
        <v>30</v>
      </c>
      <c r="O1181" s="25">
        <f t="shared" si="220"/>
        <v>43252</v>
      </c>
      <c r="P1181" s="5" t="str">
        <f t="shared" si="221"/>
        <v>10,75</v>
      </c>
      <c r="Q1181" s="4" t="str">
        <f t="shared" si="222"/>
        <v>Diez Bolívares con 75/100</v>
      </c>
    </row>
    <row r="1182" spans="1:17" x14ac:dyDescent="0.25">
      <c r="A1182" s="1">
        <f t="shared" si="212"/>
        <v>1181</v>
      </c>
      <c r="C1182" s="8" t="s">
        <v>17</v>
      </c>
      <c r="D1182" s="2">
        <v>43281</v>
      </c>
      <c r="E1182" s="3">
        <f>2000000/100000-850000/100000-125000/100000</f>
        <v>10.25</v>
      </c>
      <c r="F1182" t="s">
        <v>612</v>
      </c>
      <c r="G1182" t="s">
        <v>613</v>
      </c>
      <c r="H1182" t="s">
        <v>614</v>
      </c>
      <c r="I1182" s="6" t="s">
        <v>747</v>
      </c>
      <c r="J1182" s="61" t="s">
        <v>22</v>
      </c>
      <c r="L1182" s="5" t="str">
        <f t="shared" si="218"/>
        <v>01181</v>
      </c>
      <c r="M1182" s="47" t="str">
        <f t="shared" si="219"/>
        <v>30 de junio de 2018</v>
      </c>
      <c r="N1182" s="323">
        <f t="shared" si="210"/>
        <v>30</v>
      </c>
      <c r="O1182" s="25">
        <f t="shared" si="220"/>
        <v>43252</v>
      </c>
      <c r="P1182" s="5" t="str">
        <f t="shared" si="221"/>
        <v>10,25</v>
      </c>
      <c r="Q1182" s="4" t="str">
        <f t="shared" si="222"/>
        <v>Diez Bolívares con 25/100</v>
      </c>
    </row>
    <row r="1183" spans="1:17" x14ac:dyDescent="0.25">
      <c r="A1183" s="1">
        <f t="shared" si="212"/>
        <v>1182</v>
      </c>
      <c r="C1183" s="8" t="s">
        <v>17</v>
      </c>
      <c r="D1183" s="2">
        <v>43281</v>
      </c>
      <c r="E1183" s="3">
        <f>1075000/100000</f>
        <v>10.75</v>
      </c>
      <c r="F1183" t="s">
        <v>90</v>
      </c>
      <c r="G1183" t="s">
        <v>91</v>
      </c>
      <c r="H1183" t="s">
        <v>92</v>
      </c>
      <c r="I1183" s="6" t="s">
        <v>748</v>
      </c>
      <c r="J1183" s="61" t="s">
        <v>22</v>
      </c>
      <c r="L1183" s="5" t="str">
        <f t="shared" si="218"/>
        <v>01182</v>
      </c>
      <c r="M1183" s="47" t="str">
        <f t="shared" si="219"/>
        <v>30 de junio de 2018</v>
      </c>
      <c r="N1183" s="323">
        <f t="shared" si="210"/>
        <v>30</v>
      </c>
      <c r="O1183" s="25">
        <f t="shared" si="220"/>
        <v>43252</v>
      </c>
      <c r="P1183" s="5" t="str">
        <f t="shared" si="221"/>
        <v>10,75</v>
      </c>
      <c r="Q1183" s="4" t="str">
        <f t="shared" si="222"/>
        <v>Diez Bolívares con 75/100</v>
      </c>
    </row>
    <row r="1184" spans="1:17" x14ac:dyDescent="0.25">
      <c r="A1184" s="1">
        <f t="shared" si="212"/>
        <v>1183</v>
      </c>
      <c r="C1184" s="8" t="s">
        <v>17</v>
      </c>
      <c r="D1184" s="2">
        <v>43282</v>
      </c>
      <c r="E1184" s="3">
        <f>1075000/100000</f>
        <v>10.75</v>
      </c>
      <c r="F1184" t="s">
        <v>362</v>
      </c>
      <c r="G1184" t="s">
        <v>363</v>
      </c>
      <c r="H1184" t="s">
        <v>364</v>
      </c>
      <c r="I1184" s="6" t="s">
        <v>736</v>
      </c>
      <c r="J1184" s="61" t="s">
        <v>22</v>
      </c>
      <c r="L1184" s="5" t="str">
        <f t="shared" si="218"/>
        <v>01183</v>
      </c>
      <c r="M1184" s="47" t="str">
        <f t="shared" si="219"/>
        <v>01 de julio de 2018</v>
      </c>
      <c r="N1184" s="323">
        <f t="shared" si="210"/>
        <v>1</v>
      </c>
      <c r="O1184" s="25">
        <f t="shared" si="220"/>
        <v>43282</v>
      </c>
      <c r="P1184" s="5" t="str">
        <f t="shared" si="221"/>
        <v>10,75</v>
      </c>
      <c r="Q1184" s="4" t="str">
        <f t="shared" si="222"/>
        <v>Diez Bolívares con 75/100</v>
      </c>
    </row>
    <row r="1185" spans="1:17" x14ac:dyDescent="0.25">
      <c r="A1185" s="1">
        <f t="shared" si="212"/>
        <v>1184</v>
      </c>
      <c r="C1185" s="8" t="s">
        <v>17</v>
      </c>
      <c r="D1185" s="2">
        <v>43282</v>
      </c>
      <c r="E1185" s="3">
        <f>1075000/100000</f>
        <v>10.75</v>
      </c>
      <c r="F1185" t="s">
        <v>80</v>
      </c>
      <c r="G1185" t="s">
        <v>81</v>
      </c>
      <c r="H1185" t="s">
        <v>82</v>
      </c>
      <c r="I1185" s="6" t="s">
        <v>736</v>
      </c>
      <c r="J1185" s="61" t="s">
        <v>22</v>
      </c>
      <c r="L1185" s="5" t="str">
        <f t="shared" si="218"/>
        <v>01184</v>
      </c>
      <c r="M1185" s="47" t="str">
        <f t="shared" si="219"/>
        <v>01 de julio de 2018</v>
      </c>
      <c r="N1185" s="323">
        <f t="shared" si="210"/>
        <v>1</v>
      </c>
      <c r="O1185" s="25">
        <f t="shared" si="220"/>
        <v>43282</v>
      </c>
      <c r="P1185" s="5" t="str">
        <f t="shared" si="221"/>
        <v>10,75</v>
      </c>
      <c r="Q1185" s="4" t="str">
        <f t="shared" si="222"/>
        <v>Diez Bolívares con 75/100</v>
      </c>
    </row>
    <row r="1186" spans="1:17" x14ac:dyDescent="0.25">
      <c r="A1186" s="1">
        <f t="shared" si="212"/>
        <v>1185</v>
      </c>
      <c r="C1186" s="8" t="s">
        <v>17</v>
      </c>
      <c r="D1186" s="2">
        <v>43282</v>
      </c>
      <c r="E1186" s="3">
        <f>400000/100000</f>
        <v>4</v>
      </c>
      <c r="F1186" t="s">
        <v>412</v>
      </c>
      <c r="G1186" t="s">
        <v>413</v>
      </c>
      <c r="H1186" t="s">
        <v>414</v>
      </c>
      <c r="I1186" s="6" t="s">
        <v>446</v>
      </c>
      <c r="J1186" s="61" t="s">
        <v>22</v>
      </c>
      <c r="L1186" s="5" t="str">
        <f t="shared" si="218"/>
        <v>01185</v>
      </c>
      <c r="M1186" s="47" t="str">
        <f t="shared" si="219"/>
        <v>01 de julio de 2018</v>
      </c>
      <c r="N1186" s="323">
        <f t="shared" si="210"/>
        <v>1</v>
      </c>
      <c r="O1186" s="25">
        <f t="shared" si="220"/>
        <v>43282</v>
      </c>
      <c r="P1186" s="5" t="str">
        <f t="shared" si="221"/>
        <v>4,00</v>
      </c>
      <c r="Q1186" s="4" t="str">
        <f t="shared" si="222"/>
        <v>Cuatro Bolívares con 00/100</v>
      </c>
    </row>
    <row r="1187" spans="1:17" x14ac:dyDescent="0.25">
      <c r="A1187" s="1">
        <f t="shared" si="212"/>
        <v>1186</v>
      </c>
      <c r="C1187" s="8" t="s">
        <v>17</v>
      </c>
      <c r="D1187" s="2">
        <v>43282</v>
      </c>
      <c r="E1187" s="3">
        <f>250000/100000</f>
        <v>2.5</v>
      </c>
      <c r="F1187" t="s">
        <v>126</v>
      </c>
      <c r="G1187" t="s">
        <v>127</v>
      </c>
      <c r="H1187" t="s">
        <v>128</v>
      </c>
      <c r="I1187" s="6" t="s">
        <v>749</v>
      </c>
      <c r="J1187" s="61" t="s">
        <v>22</v>
      </c>
      <c r="L1187" s="5" t="str">
        <f t="shared" si="218"/>
        <v>01186</v>
      </c>
      <c r="M1187" s="47" t="str">
        <f t="shared" si="219"/>
        <v>01 de julio de 2018</v>
      </c>
      <c r="N1187" s="323">
        <f t="shared" si="210"/>
        <v>1</v>
      </c>
      <c r="O1187" s="25">
        <f t="shared" si="220"/>
        <v>43282</v>
      </c>
      <c r="P1187" s="5" t="str">
        <f t="shared" si="221"/>
        <v>2,50</v>
      </c>
      <c r="Q1187" s="4" t="str">
        <f t="shared" si="222"/>
        <v>Dos Bolívares con 50/100</v>
      </c>
    </row>
    <row r="1188" spans="1:17" x14ac:dyDescent="0.25">
      <c r="A1188" s="1">
        <f t="shared" si="212"/>
        <v>1187</v>
      </c>
      <c r="C1188" s="8" t="s">
        <v>17</v>
      </c>
      <c r="D1188" s="2">
        <v>43282</v>
      </c>
      <c r="E1188" s="3">
        <f>225000/100000</f>
        <v>2.25</v>
      </c>
      <c r="F1188" t="s">
        <v>84</v>
      </c>
      <c r="G1188" t="s">
        <v>85</v>
      </c>
      <c r="H1188" t="s">
        <v>86</v>
      </c>
      <c r="I1188" s="6" t="s">
        <v>742</v>
      </c>
      <c r="J1188" s="61" t="s">
        <v>22</v>
      </c>
      <c r="L1188" s="5" t="str">
        <f t="shared" si="218"/>
        <v>01187</v>
      </c>
      <c r="M1188" s="47" t="str">
        <f t="shared" si="219"/>
        <v>01 de julio de 2018</v>
      </c>
      <c r="N1188" s="323">
        <f t="shared" si="210"/>
        <v>1</v>
      </c>
      <c r="O1188" s="25">
        <f t="shared" si="220"/>
        <v>43282</v>
      </c>
      <c r="P1188" s="5" t="str">
        <f t="shared" si="221"/>
        <v>2,25</v>
      </c>
      <c r="Q1188" s="4" t="str">
        <f t="shared" si="222"/>
        <v>Dos Bolívares con 25/100</v>
      </c>
    </row>
    <row r="1189" spans="1:17" x14ac:dyDescent="0.25">
      <c r="A1189" s="1">
        <f t="shared" si="212"/>
        <v>1188</v>
      </c>
      <c r="C1189" s="8" t="s">
        <v>17</v>
      </c>
      <c r="D1189" s="2">
        <v>43282</v>
      </c>
      <c r="E1189" s="3">
        <f>1075000/100000</f>
        <v>10.75</v>
      </c>
      <c r="F1189" t="s">
        <v>243</v>
      </c>
      <c r="G1189" t="s">
        <v>244</v>
      </c>
      <c r="H1189" t="s">
        <v>245</v>
      </c>
      <c r="I1189" s="6" t="s">
        <v>736</v>
      </c>
      <c r="J1189" s="61" t="s">
        <v>22</v>
      </c>
      <c r="L1189" s="5" t="str">
        <f t="shared" si="218"/>
        <v>01188</v>
      </c>
      <c r="M1189" s="47" t="str">
        <f t="shared" si="219"/>
        <v>01 de julio de 2018</v>
      </c>
      <c r="N1189" s="323">
        <f t="shared" si="210"/>
        <v>1</v>
      </c>
      <c r="O1189" s="25">
        <f t="shared" si="220"/>
        <v>43282</v>
      </c>
      <c r="P1189" s="5" t="str">
        <f t="shared" si="221"/>
        <v>10,75</v>
      </c>
      <c r="Q1189" s="4" t="str">
        <f t="shared" si="222"/>
        <v>Diez Bolívares con 75/100</v>
      </c>
    </row>
    <row r="1190" spans="1:17" x14ac:dyDescent="0.25">
      <c r="A1190" s="1">
        <f t="shared" si="212"/>
        <v>1189</v>
      </c>
      <c r="C1190" s="8" t="s">
        <v>17</v>
      </c>
      <c r="D1190" s="2">
        <v>43283</v>
      </c>
      <c r="E1190" s="3">
        <f>225000/100000</f>
        <v>2.25</v>
      </c>
      <c r="F1190" t="s">
        <v>181</v>
      </c>
      <c r="G1190" t="s">
        <v>182</v>
      </c>
      <c r="H1190" t="s">
        <v>183</v>
      </c>
      <c r="I1190" s="6" t="s">
        <v>742</v>
      </c>
      <c r="J1190" s="61" t="s">
        <v>22</v>
      </c>
      <c r="L1190" s="5" t="str">
        <f t="shared" si="218"/>
        <v>01189</v>
      </c>
      <c r="M1190" s="47" t="str">
        <f t="shared" si="219"/>
        <v>02 de julio de 2018</v>
      </c>
      <c r="N1190" s="323">
        <f t="shared" si="210"/>
        <v>2</v>
      </c>
      <c r="O1190" s="25">
        <f t="shared" si="220"/>
        <v>43282</v>
      </c>
      <c r="P1190" s="5" t="str">
        <f t="shared" si="221"/>
        <v>2,25</v>
      </c>
      <c r="Q1190" s="4" t="str">
        <f t="shared" si="222"/>
        <v>Dos Bolívares con 25/100</v>
      </c>
    </row>
    <row r="1191" spans="1:17" x14ac:dyDescent="0.25">
      <c r="A1191" s="1">
        <f t="shared" si="212"/>
        <v>1190</v>
      </c>
      <c r="C1191" s="8" t="s">
        <v>17</v>
      </c>
      <c r="D1191" s="2">
        <v>43283</v>
      </c>
      <c r="E1191" s="3">
        <f>850000/100000</f>
        <v>8.5</v>
      </c>
      <c r="F1191" t="s">
        <v>713</v>
      </c>
      <c r="G1191" t="s">
        <v>714</v>
      </c>
      <c r="H1191" t="s">
        <v>154</v>
      </c>
      <c r="I1191" s="6" t="s">
        <v>750</v>
      </c>
      <c r="J1191" s="61" t="s">
        <v>22</v>
      </c>
      <c r="L1191" s="5" t="str">
        <f t="shared" si="218"/>
        <v>01190</v>
      </c>
      <c r="M1191" s="47" t="str">
        <f t="shared" si="219"/>
        <v>02 de julio de 2018</v>
      </c>
      <c r="N1191" s="323">
        <f t="shared" si="210"/>
        <v>2</v>
      </c>
      <c r="O1191" s="25">
        <f t="shared" si="220"/>
        <v>43282</v>
      </c>
      <c r="P1191" s="5" t="str">
        <f t="shared" ref="P1191:P1196" si="223">TEXT(E1191,"#.##0,00")</f>
        <v>8,50</v>
      </c>
      <c r="Q1191" s="4" t="str">
        <f t="shared" ref="Q1191:Q1196" si="224">CONVERTIRNUM(E1191)</f>
        <v>Ocho Bolívares con 50/100</v>
      </c>
    </row>
    <row r="1192" spans="1:17" x14ac:dyDescent="0.25">
      <c r="A1192" s="1">
        <f t="shared" si="212"/>
        <v>1191</v>
      </c>
      <c r="C1192" s="8" t="s">
        <v>17</v>
      </c>
      <c r="D1192" s="2">
        <v>43283</v>
      </c>
      <c r="E1192" s="3">
        <f>2325000/100000</f>
        <v>23.25</v>
      </c>
      <c r="F1192" t="s">
        <v>353</v>
      </c>
      <c r="G1192" t="s">
        <v>354</v>
      </c>
      <c r="H1192" t="s">
        <v>355</v>
      </c>
      <c r="I1192" s="6" t="s">
        <v>751</v>
      </c>
      <c r="J1192" s="61" t="s">
        <v>22</v>
      </c>
      <c r="L1192" s="5" t="str">
        <f t="shared" si="218"/>
        <v>01191</v>
      </c>
      <c r="M1192" s="47" t="str">
        <f t="shared" si="219"/>
        <v>02 de julio de 2018</v>
      </c>
      <c r="N1192" s="323">
        <f t="shared" si="210"/>
        <v>2</v>
      </c>
      <c r="O1192" s="25">
        <f t="shared" si="220"/>
        <v>43282</v>
      </c>
      <c r="P1192" s="5" t="str">
        <f t="shared" si="223"/>
        <v>23,25</v>
      </c>
      <c r="Q1192" s="4" t="str">
        <f t="shared" si="224"/>
        <v>Veintitres Bolívares con 25/100</v>
      </c>
    </row>
    <row r="1193" spans="1:17" x14ac:dyDescent="0.25">
      <c r="A1193" s="1">
        <f t="shared" si="212"/>
        <v>1192</v>
      </c>
      <c r="C1193" s="85" t="s">
        <v>17</v>
      </c>
      <c r="D1193" s="2">
        <v>43283</v>
      </c>
      <c r="E1193" s="3">
        <f>625000/100000</f>
        <v>6.25</v>
      </c>
      <c r="F1193" t="s">
        <v>319</v>
      </c>
      <c r="G1193" s="18" t="s">
        <v>58</v>
      </c>
      <c r="H1193" t="s">
        <v>320</v>
      </c>
      <c r="I1193" s="6" t="s">
        <v>707</v>
      </c>
      <c r="J1193" s="61" t="s">
        <v>22</v>
      </c>
      <c r="L1193" s="5" t="str">
        <f t="shared" si="218"/>
        <v>01192</v>
      </c>
      <c r="M1193" s="47" t="str">
        <f t="shared" si="219"/>
        <v>02 de julio de 2018</v>
      </c>
      <c r="N1193" s="323">
        <f t="shared" si="210"/>
        <v>2</v>
      </c>
      <c r="O1193" s="25">
        <f t="shared" si="220"/>
        <v>43282</v>
      </c>
      <c r="P1193" s="5" t="str">
        <f t="shared" si="223"/>
        <v>6,25</v>
      </c>
      <c r="Q1193" s="4" t="str">
        <f t="shared" si="224"/>
        <v>Seis Bolívares con 25/100</v>
      </c>
    </row>
    <row r="1194" spans="1:17" x14ac:dyDescent="0.25">
      <c r="A1194" s="1">
        <f t="shared" si="212"/>
        <v>1193</v>
      </c>
      <c r="C1194" s="8" t="s">
        <v>17</v>
      </c>
      <c r="D1194" s="2">
        <v>43283</v>
      </c>
      <c r="E1194" s="3">
        <f>1000000/100000</f>
        <v>10</v>
      </c>
      <c r="F1194" t="s">
        <v>107</v>
      </c>
      <c r="G1194" t="s">
        <v>108</v>
      </c>
      <c r="H1194" t="s">
        <v>109</v>
      </c>
      <c r="I1194" s="6" t="s">
        <v>750</v>
      </c>
      <c r="J1194" s="61" t="s">
        <v>22</v>
      </c>
      <c r="L1194" s="5" t="str">
        <f t="shared" si="218"/>
        <v>01193</v>
      </c>
      <c r="M1194" s="47" t="str">
        <f t="shared" si="219"/>
        <v>02 de julio de 2018</v>
      </c>
      <c r="N1194" s="323">
        <f t="shared" si="210"/>
        <v>2</v>
      </c>
      <c r="O1194" s="25">
        <f t="shared" si="220"/>
        <v>43282</v>
      </c>
      <c r="P1194" s="5" t="str">
        <f t="shared" si="223"/>
        <v>10,00</v>
      </c>
      <c r="Q1194" s="4" t="str">
        <f t="shared" si="224"/>
        <v>Diez Bolívares con 00/100</v>
      </c>
    </row>
    <row r="1195" spans="1:17" x14ac:dyDescent="0.25">
      <c r="A1195" s="1">
        <f t="shared" si="212"/>
        <v>1194</v>
      </c>
      <c r="C1195" s="8" t="s">
        <v>17</v>
      </c>
      <c r="D1195" s="2">
        <v>43283</v>
      </c>
      <c r="E1195" s="3">
        <f>850000/100000</f>
        <v>8.5</v>
      </c>
      <c r="F1195" t="s">
        <v>594</v>
      </c>
      <c r="G1195" t="s">
        <v>595</v>
      </c>
      <c r="H1195" t="s">
        <v>596</v>
      </c>
      <c r="I1195" s="6" t="s">
        <v>752</v>
      </c>
      <c r="J1195" s="61" t="s">
        <v>22</v>
      </c>
      <c r="L1195" s="5" t="str">
        <f t="shared" si="218"/>
        <v>01194</v>
      </c>
      <c r="M1195" s="47" t="str">
        <f t="shared" si="219"/>
        <v>02 de julio de 2018</v>
      </c>
      <c r="N1195" s="323">
        <f t="shared" si="210"/>
        <v>2</v>
      </c>
      <c r="O1195" s="25">
        <f t="shared" si="220"/>
        <v>43282</v>
      </c>
      <c r="P1195" s="5" t="str">
        <f t="shared" si="223"/>
        <v>8,50</v>
      </c>
      <c r="Q1195" s="4" t="str">
        <f t="shared" si="224"/>
        <v>Ocho Bolívares con 50/100</v>
      </c>
    </row>
    <row r="1196" spans="1:17" x14ac:dyDescent="0.25">
      <c r="A1196" s="1">
        <f t="shared" si="212"/>
        <v>1195</v>
      </c>
      <c r="C1196" s="8" t="s">
        <v>17</v>
      </c>
      <c r="D1196" s="2">
        <v>43284</v>
      </c>
      <c r="E1196" s="3">
        <f>1625000/100000</f>
        <v>16.25</v>
      </c>
      <c r="F1196" t="s">
        <v>219</v>
      </c>
      <c r="G1196" t="s">
        <v>220</v>
      </c>
      <c r="H1196" t="s">
        <v>221</v>
      </c>
      <c r="I1196" s="6" t="s">
        <v>753</v>
      </c>
      <c r="J1196" s="61" t="s">
        <v>22</v>
      </c>
      <c r="L1196" s="5" t="str">
        <f t="shared" si="218"/>
        <v>01195</v>
      </c>
      <c r="M1196" s="47" t="str">
        <f t="shared" si="219"/>
        <v>03 de julio de 2018</v>
      </c>
      <c r="N1196" s="323">
        <f t="shared" si="210"/>
        <v>3</v>
      </c>
      <c r="O1196" s="25">
        <f t="shared" si="220"/>
        <v>43282</v>
      </c>
      <c r="P1196" s="5" t="str">
        <f t="shared" si="223"/>
        <v>16,25</v>
      </c>
      <c r="Q1196" s="4" t="str">
        <f t="shared" si="224"/>
        <v>Dieciséis Bolívares con 25/100</v>
      </c>
    </row>
    <row r="1197" spans="1:17" x14ac:dyDescent="0.25">
      <c r="A1197" s="1">
        <f t="shared" si="212"/>
        <v>1196</v>
      </c>
      <c r="C1197" s="8" t="s">
        <v>17</v>
      </c>
      <c r="D1197" s="2">
        <v>43284</v>
      </c>
      <c r="E1197" s="3">
        <f>650000/100000</f>
        <v>6.5</v>
      </c>
      <c r="F1197" t="s">
        <v>107</v>
      </c>
      <c r="G1197" t="s">
        <v>108</v>
      </c>
      <c r="H1197" t="s">
        <v>109</v>
      </c>
      <c r="I1197" s="6" t="s">
        <v>707</v>
      </c>
      <c r="J1197" s="61" t="s">
        <v>22</v>
      </c>
      <c r="L1197" s="5" t="str">
        <f t="shared" ref="L1197:L1220" si="225">IF(ISBLANK(A1197),"",TEXT(A1197,"00000"))</f>
        <v>01196</v>
      </c>
      <c r="M1197" s="47" t="str">
        <f t="shared" ref="M1197:M1220" si="226">IF(ISBLANK(D1197),"",TEXT(D1197,"dd")&amp;" de "&amp;TEXT(D1197,"mmmm")&amp;" de "&amp;TEXT(YEAR(D1197),"0"))</f>
        <v>03 de julio de 2018</v>
      </c>
      <c r="N1197" s="323">
        <f t="shared" si="210"/>
        <v>3</v>
      </c>
      <c r="O1197" s="25">
        <f t="shared" ref="O1197:O1220" si="227">DATE(YEAR(D1197),MONTH(D1197),1)</f>
        <v>43282</v>
      </c>
      <c r="P1197" s="5" t="str">
        <f t="shared" ref="P1197:P1219" si="228">TEXT(E1197,"#.##0,00")</f>
        <v>6,50</v>
      </c>
      <c r="Q1197" s="4" t="str">
        <f t="shared" ref="Q1197:Q1219" si="229">CONVERTIRNUM(E1197)</f>
        <v>Seis Bolívares con 50/100</v>
      </c>
    </row>
    <row r="1198" spans="1:17" x14ac:dyDescent="0.25">
      <c r="A1198" s="1">
        <f t="shared" si="212"/>
        <v>1197</v>
      </c>
      <c r="C1198" s="8" t="s">
        <v>17</v>
      </c>
      <c r="D1198" s="2">
        <v>43284</v>
      </c>
      <c r="E1198" s="3">
        <f>875000/100000+350000/100000</f>
        <v>12.25</v>
      </c>
      <c r="F1198" t="s">
        <v>248</v>
      </c>
      <c r="G1198" t="s">
        <v>249</v>
      </c>
      <c r="H1198" t="s">
        <v>250</v>
      </c>
      <c r="I1198" s="6" t="s">
        <v>736</v>
      </c>
      <c r="J1198" s="61" t="s">
        <v>22</v>
      </c>
      <c r="L1198" s="5" t="str">
        <f t="shared" si="225"/>
        <v>01197</v>
      </c>
      <c r="M1198" s="47" t="str">
        <f t="shared" si="226"/>
        <v>03 de julio de 2018</v>
      </c>
      <c r="N1198" s="323">
        <f t="shared" si="210"/>
        <v>3</v>
      </c>
      <c r="O1198" s="25">
        <f t="shared" si="227"/>
        <v>43282</v>
      </c>
      <c r="P1198" s="5" t="str">
        <f t="shared" si="228"/>
        <v>12,25</v>
      </c>
      <c r="Q1198" s="4" t="str">
        <f t="shared" si="229"/>
        <v>Doce Bolívares con 25/100</v>
      </c>
    </row>
    <row r="1199" spans="1:17" x14ac:dyDescent="0.25">
      <c r="A1199" s="1">
        <f t="shared" si="212"/>
        <v>1198</v>
      </c>
      <c r="C1199" s="8" t="s">
        <v>17</v>
      </c>
      <c r="D1199" s="2">
        <v>43284</v>
      </c>
      <c r="E1199" s="3">
        <f>1225000/100000</f>
        <v>12.25</v>
      </c>
      <c r="F1199" t="s">
        <v>53</v>
      </c>
      <c r="G1199" t="s">
        <v>677</v>
      </c>
      <c r="H1199" t="s">
        <v>55</v>
      </c>
      <c r="I1199" s="6" t="s">
        <v>736</v>
      </c>
      <c r="J1199" s="61" t="s">
        <v>22</v>
      </c>
      <c r="L1199" s="5" t="str">
        <f t="shared" si="225"/>
        <v>01198</v>
      </c>
      <c r="M1199" s="47" t="str">
        <f t="shared" si="226"/>
        <v>03 de julio de 2018</v>
      </c>
      <c r="N1199" s="323">
        <f t="shared" si="210"/>
        <v>3</v>
      </c>
      <c r="O1199" s="25">
        <f t="shared" si="227"/>
        <v>43282</v>
      </c>
      <c r="P1199" s="5" t="str">
        <f t="shared" si="228"/>
        <v>12,25</v>
      </c>
      <c r="Q1199" s="4" t="str">
        <f t="shared" si="229"/>
        <v>Doce Bolívares con 25/100</v>
      </c>
    </row>
    <row r="1200" spans="1:17" x14ac:dyDescent="0.25">
      <c r="A1200" s="1">
        <f t="shared" si="212"/>
        <v>1199</v>
      </c>
      <c r="C1200" s="8" t="s">
        <v>17</v>
      </c>
      <c r="D1200" s="2">
        <v>43284</v>
      </c>
      <c r="E1200" s="3">
        <f>50000/100000</f>
        <v>0.5</v>
      </c>
      <c r="F1200" t="s">
        <v>53</v>
      </c>
      <c r="G1200" t="s">
        <v>677</v>
      </c>
      <c r="H1200" t="s">
        <v>55</v>
      </c>
      <c r="I1200" s="6" t="s">
        <v>732</v>
      </c>
      <c r="J1200" s="61" t="s">
        <v>733</v>
      </c>
      <c r="L1200" s="5" t="str">
        <f t="shared" si="225"/>
        <v>01199</v>
      </c>
      <c r="M1200" s="47" t="str">
        <f t="shared" si="226"/>
        <v>03 de julio de 2018</v>
      </c>
      <c r="N1200" s="323">
        <f t="shared" si="210"/>
        <v>3</v>
      </c>
      <c r="O1200" s="25">
        <f t="shared" si="227"/>
        <v>43282</v>
      </c>
      <c r="P1200" s="5" t="str">
        <f t="shared" si="228"/>
        <v>0,50</v>
      </c>
      <c r="Q1200" s="4" t="str">
        <f t="shared" si="229"/>
        <v>Cero Bolívares con 50/100</v>
      </c>
    </row>
    <row r="1201" spans="1:17" x14ac:dyDescent="0.25">
      <c r="A1201" s="1">
        <f t="shared" si="212"/>
        <v>1200</v>
      </c>
      <c r="C1201" s="8" t="s">
        <v>17</v>
      </c>
      <c r="D1201" s="2">
        <v>43284</v>
      </c>
      <c r="E1201" s="3">
        <f>400000/100000</f>
        <v>4</v>
      </c>
      <c r="F1201" t="s">
        <v>594</v>
      </c>
      <c r="G1201" t="s">
        <v>595</v>
      </c>
      <c r="H1201" t="s">
        <v>596</v>
      </c>
      <c r="I1201" s="6" t="s">
        <v>737</v>
      </c>
      <c r="J1201" s="61" t="s">
        <v>22</v>
      </c>
      <c r="L1201" s="5" t="str">
        <f t="shared" si="225"/>
        <v>01200</v>
      </c>
      <c r="M1201" s="47" t="str">
        <f t="shared" si="226"/>
        <v>03 de julio de 2018</v>
      </c>
      <c r="N1201" s="323">
        <f t="shared" si="210"/>
        <v>3</v>
      </c>
      <c r="O1201" s="25">
        <f t="shared" si="227"/>
        <v>43282</v>
      </c>
      <c r="P1201" s="5" t="str">
        <f t="shared" si="228"/>
        <v>4,00</v>
      </c>
      <c r="Q1201" s="4" t="str">
        <f t="shared" si="229"/>
        <v>Cuatro Bolívares con 00/100</v>
      </c>
    </row>
    <row r="1202" spans="1:17" x14ac:dyDescent="0.25">
      <c r="A1202" s="1">
        <f t="shared" si="212"/>
        <v>1201</v>
      </c>
      <c r="C1202" s="8" t="s">
        <v>17</v>
      </c>
      <c r="D1202" s="2">
        <v>43284</v>
      </c>
      <c r="E1202" s="3">
        <f>350000/100000</f>
        <v>3.5</v>
      </c>
      <c r="F1202" t="s">
        <v>594</v>
      </c>
      <c r="G1202" t="s">
        <v>595</v>
      </c>
      <c r="H1202" t="s">
        <v>596</v>
      </c>
      <c r="I1202" s="6" t="s">
        <v>672</v>
      </c>
      <c r="J1202" s="61" t="s">
        <v>673</v>
      </c>
      <c r="L1202" s="5" t="str">
        <f t="shared" si="225"/>
        <v>01201</v>
      </c>
      <c r="M1202" s="47" t="str">
        <f t="shared" si="226"/>
        <v>03 de julio de 2018</v>
      </c>
      <c r="N1202" s="323">
        <f t="shared" si="210"/>
        <v>3</v>
      </c>
      <c r="O1202" s="25">
        <f t="shared" si="227"/>
        <v>43282</v>
      </c>
      <c r="P1202" s="5" t="str">
        <f t="shared" si="228"/>
        <v>3,50</v>
      </c>
      <c r="Q1202" s="4" t="str">
        <f t="shared" si="229"/>
        <v>Tres Bolívares con 50/100</v>
      </c>
    </row>
    <row r="1203" spans="1:17" x14ac:dyDescent="0.25">
      <c r="A1203" s="1">
        <f t="shared" si="212"/>
        <v>1202</v>
      </c>
      <c r="C1203" s="8" t="s">
        <v>17</v>
      </c>
      <c r="D1203" s="2">
        <v>43284</v>
      </c>
      <c r="E1203" s="3">
        <f>1475000/100000</f>
        <v>14.75</v>
      </c>
      <c r="F1203" t="s">
        <v>284</v>
      </c>
      <c r="G1203" t="s">
        <v>687</v>
      </c>
      <c r="H1203" t="s">
        <v>285</v>
      </c>
      <c r="I1203" s="6" t="s">
        <v>731</v>
      </c>
      <c r="J1203" s="61" t="s">
        <v>22</v>
      </c>
      <c r="L1203" s="5" t="str">
        <f t="shared" si="225"/>
        <v>01202</v>
      </c>
      <c r="M1203" s="47" t="str">
        <f t="shared" si="226"/>
        <v>03 de julio de 2018</v>
      </c>
      <c r="N1203" s="323">
        <f t="shared" si="210"/>
        <v>3</v>
      </c>
      <c r="O1203" s="25">
        <f t="shared" si="227"/>
        <v>43282</v>
      </c>
      <c r="P1203" s="5" t="str">
        <f t="shared" si="228"/>
        <v>14,75</v>
      </c>
      <c r="Q1203" s="4" t="str">
        <f t="shared" si="229"/>
        <v>Catorce Bolívares con 75/100</v>
      </c>
    </row>
    <row r="1204" spans="1:17" x14ac:dyDescent="0.25">
      <c r="A1204" s="1">
        <f t="shared" si="212"/>
        <v>1203</v>
      </c>
      <c r="C1204" s="8" t="s">
        <v>17</v>
      </c>
      <c r="D1204" s="2">
        <v>43284</v>
      </c>
      <c r="E1204" s="3">
        <f>150000/100000</f>
        <v>1.5</v>
      </c>
      <c r="F1204" t="s">
        <v>24</v>
      </c>
      <c r="G1204" t="s">
        <v>25</v>
      </c>
      <c r="H1204" t="s">
        <v>26</v>
      </c>
      <c r="I1204" s="6" t="s">
        <v>754</v>
      </c>
      <c r="J1204" s="61" t="s">
        <v>22</v>
      </c>
      <c r="L1204" s="5" t="str">
        <f t="shared" si="225"/>
        <v>01203</v>
      </c>
      <c r="M1204" s="47" t="str">
        <f t="shared" si="226"/>
        <v>03 de julio de 2018</v>
      </c>
      <c r="N1204" s="323">
        <f t="shared" si="210"/>
        <v>3</v>
      </c>
      <c r="O1204" s="25">
        <f t="shared" si="227"/>
        <v>43282</v>
      </c>
      <c r="P1204" s="5" t="str">
        <f t="shared" si="228"/>
        <v>1,50</v>
      </c>
      <c r="Q1204" s="4" t="str">
        <f t="shared" si="229"/>
        <v>Un Bolívares con 50/100</v>
      </c>
    </row>
    <row r="1205" spans="1:17" x14ac:dyDescent="0.25">
      <c r="A1205" s="1">
        <f t="shared" si="212"/>
        <v>1204</v>
      </c>
      <c r="C1205" s="8" t="s">
        <v>17</v>
      </c>
      <c r="D1205" s="2">
        <v>43284</v>
      </c>
      <c r="E1205" s="3">
        <f>2355000/100000</f>
        <v>23.55</v>
      </c>
      <c r="F1205" s="23" t="s">
        <v>422</v>
      </c>
      <c r="G1205" s="18" t="s">
        <v>58</v>
      </c>
      <c r="H1205" t="s">
        <v>423</v>
      </c>
      <c r="I1205" s="6" t="s">
        <v>722</v>
      </c>
      <c r="J1205" s="61" t="s">
        <v>22</v>
      </c>
      <c r="L1205" s="5" t="str">
        <f t="shared" si="225"/>
        <v>01204</v>
      </c>
      <c r="M1205" s="47" t="str">
        <f t="shared" si="226"/>
        <v>03 de julio de 2018</v>
      </c>
      <c r="N1205" s="323">
        <f t="shared" si="210"/>
        <v>3</v>
      </c>
      <c r="O1205" s="25">
        <f t="shared" si="227"/>
        <v>43282</v>
      </c>
      <c r="P1205" s="5" t="str">
        <f t="shared" si="228"/>
        <v>23,55</v>
      </c>
      <c r="Q1205" s="4" t="str">
        <f t="shared" si="229"/>
        <v>Veintitres Bolívares con 55/100</v>
      </c>
    </row>
    <row r="1206" spans="1:17" x14ac:dyDescent="0.25">
      <c r="A1206" s="1">
        <f t="shared" si="212"/>
        <v>1205</v>
      </c>
      <c r="C1206" s="8" t="s">
        <v>17</v>
      </c>
      <c r="D1206" s="2">
        <v>43284</v>
      </c>
      <c r="E1206" s="3">
        <f>150000/100000</f>
        <v>1.5</v>
      </c>
      <c r="F1206" t="s">
        <v>558</v>
      </c>
      <c r="G1206" t="s">
        <v>559</v>
      </c>
      <c r="H1206" t="s">
        <v>560</v>
      </c>
      <c r="I1206" s="6" t="s">
        <v>754</v>
      </c>
      <c r="J1206" s="61" t="s">
        <v>22</v>
      </c>
      <c r="L1206" s="5" t="str">
        <f t="shared" si="225"/>
        <v>01205</v>
      </c>
      <c r="M1206" s="47" t="str">
        <f t="shared" si="226"/>
        <v>03 de julio de 2018</v>
      </c>
      <c r="N1206" s="323">
        <f t="shared" si="210"/>
        <v>3</v>
      </c>
      <c r="O1206" s="25">
        <f t="shared" si="227"/>
        <v>43282</v>
      </c>
      <c r="P1206" s="5" t="str">
        <f t="shared" si="228"/>
        <v>1,50</v>
      </c>
      <c r="Q1206" s="4" t="str">
        <f t="shared" si="229"/>
        <v>Un Bolívares con 50/100</v>
      </c>
    </row>
    <row r="1207" spans="1:17" x14ac:dyDescent="0.25">
      <c r="A1207" s="1">
        <f t="shared" si="212"/>
        <v>1206</v>
      </c>
      <c r="C1207" s="8" t="s">
        <v>17</v>
      </c>
      <c r="D1207" s="2">
        <v>43284</v>
      </c>
      <c r="E1207" s="3">
        <f>150000/100000</f>
        <v>1.5</v>
      </c>
      <c r="F1207" t="s">
        <v>243</v>
      </c>
      <c r="G1207" t="s">
        <v>244</v>
      </c>
      <c r="H1207" t="s">
        <v>245</v>
      </c>
      <c r="I1207" s="6" t="s">
        <v>754</v>
      </c>
      <c r="J1207" s="61" t="s">
        <v>22</v>
      </c>
      <c r="L1207" s="5" t="str">
        <f t="shared" si="225"/>
        <v>01206</v>
      </c>
      <c r="M1207" s="47" t="str">
        <f t="shared" si="226"/>
        <v>03 de julio de 2018</v>
      </c>
      <c r="N1207" s="323">
        <f t="shared" si="210"/>
        <v>3</v>
      </c>
      <c r="O1207" s="25">
        <f t="shared" si="227"/>
        <v>43282</v>
      </c>
      <c r="P1207" s="5" t="str">
        <f t="shared" si="228"/>
        <v>1,50</v>
      </c>
      <c r="Q1207" s="4" t="str">
        <f t="shared" si="229"/>
        <v>Un Bolívares con 50/100</v>
      </c>
    </row>
    <row r="1208" spans="1:17" x14ac:dyDescent="0.25">
      <c r="A1208" s="1">
        <f t="shared" si="212"/>
        <v>1207</v>
      </c>
      <c r="C1208" s="8" t="s">
        <v>17</v>
      </c>
      <c r="D1208" s="2">
        <v>43285</v>
      </c>
      <c r="E1208" s="3">
        <f>825000/100000</f>
        <v>8.25</v>
      </c>
      <c r="F1208" t="s">
        <v>40</v>
      </c>
      <c r="G1208" s="18" t="s">
        <v>58</v>
      </c>
      <c r="H1208" t="s">
        <v>42</v>
      </c>
      <c r="I1208" s="6" t="s">
        <v>755</v>
      </c>
      <c r="J1208" s="61" t="s">
        <v>22</v>
      </c>
      <c r="L1208" s="5" t="str">
        <f t="shared" si="225"/>
        <v>01207</v>
      </c>
      <c r="M1208" s="47" t="str">
        <f t="shared" si="226"/>
        <v>04 de julio de 2018</v>
      </c>
      <c r="N1208" s="323">
        <f t="shared" si="210"/>
        <v>4</v>
      </c>
      <c r="O1208" s="25">
        <f t="shared" si="227"/>
        <v>43282</v>
      </c>
      <c r="P1208" s="5" t="str">
        <f t="shared" si="228"/>
        <v>8,25</v>
      </c>
      <c r="Q1208" s="4" t="str">
        <f t="shared" si="229"/>
        <v>Ocho Bolívares con 25/100</v>
      </c>
    </row>
    <row r="1209" spans="1:17" x14ac:dyDescent="0.25">
      <c r="A1209" s="178">
        <f t="shared" si="212"/>
        <v>1208</v>
      </c>
      <c r="C1209" s="8" t="s">
        <v>17</v>
      </c>
      <c r="D1209" s="2">
        <v>43285</v>
      </c>
      <c r="E1209" s="3">
        <f>1000000/100000</f>
        <v>10</v>
      </c>
      <c r="F1209" t="s">
        <v>438</v>
      </c>
      <c r="G1209" t="s">
        <v>439</v>
      </c>
      <c r="H1209" t="s">
        <v>440</v>
      </c>
      <c r="I1209" s="6" t="s">
        <v>756</v>
      </c>
      <c r="J1209" s="61" t="s">
        <v>22</v>
      </c>
      <c r="L1209" s="5" t="str">
        <f t="shared" si="225"/>
        <v>01208</v>
      </c>
      <c r="M1209" s="47" t="str">
        <f t="shared" si="226"/>
        <v>04 de julio de 2018</v>
      </c>
      <c r="N1209" s="323">
        <f t="shared" si="210"/>
        <v>4</v>
      </c>
      <c r="O1209" s="25">
        <f t="shared" si="227"/>
        <v>43282</v>
      </c>
      <c r="P1209" s="5" t="str">
        <f t="shared" si="228"/>
        <v>10,00</v>
      </c>
      <c r="Q1209" s="4" t="str">
        <f t="shared" si="229"/>
        <v>Diez Bolívares con 00/100</v>
      </c>
    </row>
    <row r="1210" spans="1:17" x14ac:dyDescent="0.25">
      <c r="A1210" s="1">
        <f t="shared" si="212"/>
        <v>1209</v>
      </c>
      <c r="C1210" s="85" t="s">
        <v>17</v>
      </c>
      <c r="D1210" s="2">
        <v>43285</v>
      </c>
      <c r="E1210" s="3">
        <f>1000000/100000</f>
        <v>10</v>
      </c>
      <c r="F1210" t="s">
        <v>280</v>
      </c>
      <c r="G1210" s="18" t="s">
        <v>58</v>
      </c>
      <c r="H1210" t="s">
        <v>282</v>
      </c>
      <c r="I1210" s="6" t="s">
        <v>757</v>
      </c>
      <c r="J1210" s="61" t="s">
        <v>22</v>
      </c>
      <c r="L1210" s="5" t="str">
        <f t="shared" si="225"/>
        <v>01209</v>
      </c>
      <c r="M1210" s="47" t="str">
        <f t="shared" si="226"/>
        <v>04 de julio de 2018</v>
      </c>
      <c r="N1210" s="323">
        <f t="shared" si="210"/>
        <v>4</v>
      </c>
      <c r="O1210" s="25">
        <f t="shared" si="227"/>
        <v>43282</v>
      </c>
      <c r="P1210" s="5" t="str">
        <f t="shared" si="228"/>
        <v>10,00</v>
      </c>
      <c r="Q1210" s="4" t="str">
        <f t="shared" si="229"/>
        <v>Diez Bolívares con 00/100</v>
      </c>
    </row>
    <row r="1211" spans="1:17" x14ac:dyDescent="0.25">
      <c r="A1211" s="1">
        <f t="shared" si="212"/>
        <v>1210</v>
      </c>
      <c r="C1211" s="8" t="s">
        <v>17</v>
      </c>
      <c r="D1211" s="2">
        <v>43285</v>
      </c>
      <c r="E1211" s="3">
        <f>1000000/100000</f>
        <v>10</v>
      </c>
      <c r="F1211" t="s">
        <v>18</v>
      </c>
      <c r="G1211" t="s">
        <v>19</v>
      </c>
      <c r="H1211" t="s">
        <v>20</v>
      </c>
      <c r="I1211" s="6" t="s">
        <v>758</v>
      </c>
      <c r="J1211" s="61" t="s">
        <v>22</v>
      </c>
      <c r="L1211" s="5" t="str">
        <f t="shared" si="225"/>
        <v>01210</v>
      </c>
      <c r="M1211" s="47" t="str">
        <f t="shared" si="226"/>
        <v>04 de julio de 2018</v>
      </c>
      <c r="N1211" s="323">
        <f t="shared" si="210"/>
        <v>4</v>
      </c>
      <c r="O1211" s="25">
        <f t="shared" si="227"/>
        <v>43282</v>
      </c>
      <c r="P1211" s="5" t="str">
        <f t="shared" si="228"/>
        <v>10,00</v>
      </c>
      <c r="Q1211" s="4" t="str">
        <f t="shared" si="229"/>
        <v>Diez Bolívares con 00/100</v>
      </c>
    </row>
    <row r="1212" spans="1:17" x14ac:dyDescent="0.25">
      <c r="A1212" s="1">
        <f t="shared" si="212"/>
        <v>1211</v>
      </c>
      <c r="C1212" s="8" t="s">
        <v>17</v>
      </c>
      <c r="D1212" s="2">
        <v>43228</v>
      </c>
      <c r="E1212" s="3">
        <f>1475000/100000</f>
        <v>14.75</v>
      </c>
      <c r="F1212" t="s">
        <v>259</v>
      </c>
      <c r="G1212" s="18" t="s">
        <v>58</v>
      </c>
      <c r="H1212" t="s">
        <v>261</v>
      </c>
      <c r="I1212" s="6" t="s">
        <v>759</v>
      </c>
      <c r="J1212" s="61" t="s">
        <v>22</v>
      </c>
      <c r="L1212" s="5" t="str">
        <f t="shared" si="225"/>
        <v>01211</v>
      </c>
      <c r="M1212" s="47" t="str">
        <f t="shared" si="226"/>
        <v>08 de mayo de 2018</v>
      </c>
      <c r="N1212" s="323">
        <f t="shared" si="210"/>
        <v>8</v>
      </c>
      <c r="O1212" s="25">
        <f t="shared" si="227"/>
        <v>43221</v>
      </c>
      <c r="P1212" s="5" t="str">
        <f t="shared" si="228"/>
        <v>14,75</v>
      </c>
      <c r="Q1212" s="4" t="str">
        <f t="shared" si="229"/>
        <v>Catorce Bolívares con 75/100</v>
      </c>
    </row>
    <row r="1213" spans="1:17" x14ac:dyDescent="0.25">
      <c r="A1213" s="1">
        <f t="shared" si="212"/>
        <v>1212</v>
      </c>
      <c r="C1213" s="8" t="s">
        <v>17</v>
      </c>
      <c r="D1213" s="2">
        <v>43285</v>
      </c>
      <c r="E1213" s="3">
        <f>500000/100000</f>
        <v>5</v>
      </c>
      <c r="F1213" t="s">
        <v>417</v>
      </c>
      <c r="G1213" t="s">
        <v>418</v>
      </c>
      <c r="H1213" t="s">
        <v>419</v>
      </c>
      <c r="I1213" s="6" t="s">
        <v>760</v>
      </c>
      <c r="J1213" s="61" t="s">
        <v>22</v>
      </c>
      <c r="L1213" s="5" t="str">
        <f t="shared" si="225"/>
        <v>01212</v>
      </c>
      <c r="M1213" s="47" t="str">
        <f t="shared" si="226"/>
        <v>04 de julio de 2018</v>
      </c>
      <c r="N1213" s="323">
        <f t="shared" si="210"/>
        <v>4</v>
      </c>
      <c r="O1213" s="25">
        <f t="shared" si="227"/>
        <v>43282</v>
      </c>
      <c r="P1213" s="5" t="str">
        <f t="shared" si="228"/>
        <v>5,00</v>
      </c>
      <c r="Q1213" s="4" t="str">
        <f t="shared" si="229"/>
        <v>Cinco Bolívares con 00/100</v>
      </c>
    </row>
    <row r="1214" spans="1:17" x14ac:dyDescent="0.25">
      <c r="A1214" s="1">
        <f t="shared" si="212"/>
        <v>1213</v>
      </c>
      <c r="C1214" s="85" t="s">
        <v>17</v>
      </c>
      <c r="D1214" s="2">
        <v>43285</v>
      </c>
      <c r="E1214" s="3">
        <f>1000000/100000</f>
        <v>10</v>
      </c>
      <c r="F1214" t="s">
        <v>319</v>
      </c>
      <c r="G1214" s="18" t="s">
        <v>58</v>
      </c>
      <c r="H1214" t="s">
        <v>320</v>
      </c>
      <c r="I1214" s="6" t="s">
        <v>750</v>
      </c>
      <c r="J1214" s="61" t="s">
        <v>22</v>
      </c>
      <c r="L1214" s="5" t="str">
        <f t="shared" si="225"/>
        <v>01213</v>
      </c>
      <c r="M1214" s="47" t="str">
        <f t="shared" si="226"/>
        <v>04 de julio de 2018</v>
      </c>
      <c r="N1214" s="323">
        <f t="shared" si="210"/>
        <v>4</v>
      </c>
      <c r="O1214" s="25">
        <f t="shared" si="227"/>
        <v>43282</v>
      </c>
      <c r="P1214" s="5" t="str">
        <f t="shared" si="228"/>
        <v>10,00</v>
      </c>
      <c r="Q1214" s="4" t="str">
        <f t="shared" si="229"/>
        <v>Diez Bolívares con 00/100</v>
      </c>
    </row>
    <row r="1215" spans="1:17" x14ac:dyDescent="0.25">
      <c r="A1215" s="1">
        <f t="shared" si="212"/>
        <v>1214</v>
      </c>
      <c r="C1215" s="8" t="s">
        <v>17</v>
      </c>
      <c r="D1215" s="2">
        <v>43285</v>
      </c>
      <c r="E1215" s="3">
        <f>1000000/100000</f>
        <v>10</v>
      </c>
      <c r="F1215" t="s">
        <v>94</v>
      </c>
      <c r="G1215" t="s">
        <v>607</v>
      </c>
      <c r="H1215" t="s">
        <v>96</v>
      </c>
      <c r="I1215" s="6" t="s">
        <v>750</v>
      </c>
      <c r="J1215" s="61" t="s">
        <v>22</v>
      </c>
      <c r="L1215" s="5" t="str">
        <f t="shared" si="225"/>
        <v>01214</v>
      </c>
      <c r="M1215" s="47" t="str">
        <f t="shared" si="226"/>
        <v>04 de julio de 2018</v>
      </c>
      <c r="N1215" s="323">
        <f t="shared" si="210"/>
        <v>4</v>
      </c>
      <c r="O1215" s="25">
        <f t="shared" si="227"/>
        <v>43282</v>
      </c>
      <c r="P1215" s="5" t="str">
        <f t="shared" si="228"/>
        <v>10,00</v>
      </c>
      <c r="Q1215" s="4" t="str">
        <f t="shared" si="229"/>
        <v>Diez Bolívares con 00/100</v>
      </c>
    </row>
    <row r="1216" spans="1:17" x14ac:dyDescent="0.25">
      <c r="A1216" s="1">
        <f t="shared" si="212"/>
        <v>1215</v>
      </c>
      <c r="C1216" s="8" t="s">
        <v>17</v>
      </c>
      <c r="D1216" s="2">
        <v>43286</v>
      </c>
      <c r="E1216" s="3">
        <f>1225000/100000</f>
        <v>12.25</v>
      </c>
      <c r="F1216" t="s">
        <v>62</v>
      </c>
      <c r="G1216" t="s">
        <v>63</v>
      </c>
      <c r="H1216" t="s">
        <v>64</v>
      </c>
      <c r="I1216" s="6" t="s">
        <v>736</v>
      </c>
      <c r="J1216" s="61" t="s">
        <v>22</v>
      </c>
      <c r="L1216" s="5" t="str">
        <f t="shared" si="225"/>
        <v>01215</v>
      </c>
      <c r="M1216" s="47" t="str">
        <f t="shared" si="226"/>
        <v>05 de julio de 2018</v>
      </c>
      <c r="N1216" s="323">
        <f t="shared" si="210"/>
        <v>5</v>
      </c>
      <c r="O1216" s="25">
        <f t="shared" si="227"/>
        <v>43282</v>
      </c>
      <c r="P1216" s="5" t="str">
        <f t="shared" si="228"/>
        <v>12,25</v>
      </c>
      <c r="Q1216" s="4" t="str">
        <f t="shared" si="229"/>
        <v>Doce Bolívares con 25/100</v>
      </c>
    </row>
    <row r="1217" spans="1:17" x14ac:dyDescent="0.25">
      <c r="A1217" s="1">
        <f t="shared" si="212"/>
        <v>1216</v>
      </c>
      <c r="C1217" s="8" t="s">
        <v>17</v>
      </c>
      <c r="D1217" s="2">
        <v>43286</v>
      </c>
      <c r="E1217" s="3">
        <f>600000/100000</f>
        <v>6</v>
      </c>
      <c r="F1217" t="s">
        <v>28</v>
      </c>
      <c r="G1217" t="s">
        <v>716</v>
      </c>
      <c r="H1217" t="s">
        <v>30</v>
      </c>
      <c r="I1217" s="6" t="s">
        <v>729</v>
      </c>
      <c r="J1217" s="61" t="s">
        <v>22</v>
      </c>
      <c r="L1217" s="5" t="str">
        <f t="shared" si="225"/>
        <v>01216</v>
      </c>
      <c r="M1217" s="47" t="str">
        <f t="shared" si="226"/>
        <v>05 de julio de 2018</v>
      </c>
      <c r="N1217" s="323">
        <f t="shared" si="210"/>
        <v>5</v>
      </c>
      <c r="O1217" s="25">
        <f t="shared" si="227"/>
        <v>43282</v>
      </c>
      <c r="P1217" s="5" t="str">
        <f t="shared" si="228"/>
        <v>6,00</v>
      </c>
      <c r="Q1217" s="4" t="str">
        <f t="shared" si="229"/>
        <v>Seis Bolívares con 00/100</v>
      </c>
    </row>
    <row r="1218" spans="1:17" x14ac:dyDescent="0.25">
      <c r="A1218" s="1">
        <f t="shared" si="212"/>
        <v>1217</v>
      </c>
      <c r="C1218" s="8" t="s">
        <v>17</v>
      </c>
      <c r="D1218" s="2">
        <v>43286</v>
      </c>
      <c r="E1218" s="3">
        <f>100000/100000</f>
        <v>1</v>
      </c>
      <c r="F1218" t="s">
        <v>167</v>
      </c>
      <c r="G1218" t="s">
        <v>168</v>
      </c>
      <c r="H1218" t="s">
        <v>169</v>
      </c>
      <c r="I1218" s="6" t="s">
        <v>729</v>
      </c>
      <c r="J1218" s="61" t="s">
        <v>22</v>
      </c>
      <c r="L1218" s="5" t="str">
        <f t="shared" si="225"/>
        <v>01217</v>
      </c>
      <c r="M1218" s="47" t="str">
        <f t="shared" si="226"/>
        <v>05 de julio de 2018</v>
      </c>
      <c r="N1218" s="323">
        <f t="shared" si="210"/>
        <v>5</v>
      </c>
      <c r="O1218" s="25">
        <f t="shared" si="227"/>
        <v>43282</v>
      </c>
      <c r="P1218" s="5" t="str">
        <f t="shared" si="228"/>
        <v>1,00</v>
      </c>
      <c r="Q1218" s="4" t="str">
        <f t="shared" si="229"/>
        <v>Un Bolívar con 00/100</v>
      </c>
    </row>
    <row r="1219" spans="1:17" x14ac:dyDescent="0.25">
      <c r="A1219" s="1">
        <f t="shared" si="212"/>
        <v>1218</v>
      </c>
      <c r="C1219" s="8" t="s">
        <v>17</v>
      </c>
      <c r="D1219" s="2">
        <v>43286</v>
      </c>
      <c r="E1219" s="3">
        <f>150000/100000</f>
        <v>1.5</v>
      </c>
      <c r="F1219" t="s">
        <v>80</v>
      </c>
      <c r="G1219" t="s">
        <v>81</v>
      </c>
      <c r="H1219" t="s">
        <v>82</v>
      </c>
      <c r="I1219" s="6" t="s">
        <v>754</v>
      </c>
      <c r="J1219" s="61" t="s">
        <v>22</v>
      </c>
      <c r="L1219" s="5" t="str">
        <f t="shared" si="225"/>
        <v>01218</v>
      </c>
      <c r="M1219" s="47" t="str">
        <f t="shared" si="226"/>
        <v>05 de julio de 2018</v>
      </c>
      <c r="N1219" s="323">
        <f t="shared" ref="N1219:N1282" si="230">DAY(D1219)</f>
        <v>5</v>
      </c>
      <c r="O1219" s="25">
        <f t="shared" si="227"/>
        <v>43282</v>
      </c>
      <c r="P1219" s="5" t="str">
        <f t="shared" si="228"/>
        <v>1,50</v>
      </c>
      <c r="Q1219" s="4" t="str">
        <f t="shared" si="229"/>
        <v>Un Bolívares con 50/100</v>
      </c>
    </row>
    <row r="1220" spans="1:17" x14ac:dyDescent="0.25">
      <c r="A1220" s="1">
        <f t="shared" si="212"/>
        <v>1219</v>
      </c>
      <c r="C1220" s="8" t="s">
        <v>17</v>
      </c>
      <c r="D1220" s="2">
        <v>43287</v>
      </c>
      <c r="E1220" s="3">
        <f>225000/100000</f>
        <v>2.25</v>
      </c>
      <c r="F1220" t="s">
        <v>134</v>
      </c>
      <c r="G1220" t="s">
        <v>135</v>
      </c>
      <c r="H1220" t="s">
        <v>136</v>
      </c>
      <c r="I1220" s="6" t="s">
        <v>742</v>
      </c>
      <c r="J1220" s="61" t="s">
        <v>22</v>
      </c>
      <c r="L1220" s="5" t="str">
        <f t="shared" si="225"/>
        <v>01219</v>
      </c>
      <c r="M1220" s="47" t="str">
        <f t="shared" si="226"/>
        <v>06 de julio de 2018</v>
      </c>
      <c r="N1220" s="323">
        <f t="shared" si="230"/>
        <v>6</v>
      </c>
      <c r="O1220" s="25">
        <f t="shared" si="227"/>
        <v>43282</v>
      </c>
      <c r="P1220" s="5" t="str">
        <f t="shared" ref="P1220:P1228" si="231">TEXT(E1220,"#.##0,00")</f>
        <v>2,25</v>
      </c>
      <c r="Q1220" s="4" t="str">
        <f t="shared" ref="Q1220:Q1228" si="232">CONVERTIRNUM(E1220)</f>
        <v>Dos Bolívares con 25/100</v>
      </c>
    </row>
    <row r="1221" spans="1:17" x14ac:dyDescent="0.25">
      <c r="A1221" s="1">
        <f t="shared" si="212"/>
        <v>1220</v>
      </c>
      <c r="C1221" s="8" t="s">
        <v>17</v>
      </c>
      <c r="D1221" s="2">
        <v>43288</v>
      </c>
      <c r="E1221" s="3">
        <f>1000000/100000</f>
        <v>10</v>
      </c>
      <c r="F1221" t="s">
        <v>454</v>
      </c>
      <c r="G1221" t="s">
        <v>761</v>
      </c>
      <c r="H1221" t="s">
        <v>455</v>
      </c>
      <c r="I1221" s="6" t="s">
        <v>750</v>
      </c>
      <c r="J1221" s="61" t="s">
        <v>22</v>
      </c>
      <c r="L1221" s="5" t="str">
        <f>IF(ISBLANK(A1221),"",TEXT(A1221,"00000"))</f>
        <v>01220</v>
      </c>
      <c r="M1221" s="47" t="str">
        <f>IF(ISBLANK(D1221),"",TEXT(D1221,"dd")&amp;" de "&amp;TEXT(D1221,"mmmm")&amp;" de "&amp;TEXT(YEAR(D1221),"0"))</f>
        <v>07 de julio de 2018</v>
      </c>
      <c r="N1221" s="323">
        <f t="shared" si="230"/>
        <v>7</v>
      </c>
      <c r="O1221" s="25">
        <f>DATE(YEAR(D1221),MONTH(D1221),1)</f>
        <v>43282</v>
      </c>
      <c r="P1221" s="5" t="str">
        <f t="shared" si="231"/>
        <v>10,00</v>
      </c>
      <c r="Q1221" s="4" t="str">
        <f t="shared" si="232"/>
        <v>Diez Bolívares con 00/100</v>
      </c>
    </row>
    <row r="1222" spans="1:17" x14ac:dyDescent="0.25">
      <c r="A1222" s="1">
        <f t="shared" si="212"/>
        <v>1221</v>
      </c>
      <c r="C1222" s="8" t="s">
        <v>17</v>
      </c>
      <c r="D1222" s="2">
        <v>43288</v>
      </c>
      <c r="E1222" s="3">
        <f>400000/100000</f>
        <v>4</v>
      </c>
      <c r="F1222" t="s">
        <v>243</v>
      </c>
      <c r="G1222" t="s">
        <v>244</v>
      </c>
      <c r="H1222" t="s">
        <v>245</v>
      </c>
      <c r="I1222" s="6" t="s">
        <v>762</v>
      </c>
      <c r="J1222" s="61" t="s">
        <v>22</v>
      </c>
      <c r="L1222" s="5" t="str">
        <f>IF(ISBLANK(A1222),"",TEXT(A1222,"00000"))</f>
        <v>01221</v>
      </c>
      <c r="M1222" s="47" t="str">
        <f>IF(ISBLANK(D1222),"",TEXT(D1222,"dd")&amp;" de "&amp;TEXT(D1222,"mmmm")&amp;" de "&amp;TEXT(YEAR(D1222),"0"))</f>
        <v>07 de julio de 2018</v>
      </c>
      <c r="N1222" s="323">
        <f t="shared" si="230"/>
        <v>7</v>
      </c>
      <c r="O1222" s="25">
        <f>DATE(YEAR(D1222),MONTH(D1222),1)</f>
        <v>43282</v>
      </c>
      <c r="P1222" s="5" t="str">
        <f t="shared" si="231"/>
        <v>4,00</v>
      </c>
      <c r="Q1222" s="4" t="str">
        <f t="shared" si="232"/>
        <v>Cuatro Bolívares con 00/100</v>
      </c>
    </row>
    <row r="1223" spans="1:17" x14ac:dyDescent="0.25">
      <c r="A1223" s="1">
        <f t="shared" si="212"/>
        <v>1222</v>
      </c>
      <c r="C1223" s="8" t="s">
        <v>17</v>
      </c>
      <c r="D1223" s="2">
        <v>43288</v>
      </c>
      <c r="E1223" s="3">
        <f>1240000/100000</f>
        <v>12.4</v>
      </c>
      <c r="F1223" t="s">
        <v>44</v>
      </c>
      <c r="G1223" t="s">
        <v>45</v>
      </c>
      <c r="H1223" t="s">
        <v>46</v>
      </c>
      <c r="I1223" s="6" t="s">
        <v>763</v>
      </c>
      <c r="J1223" s="61" t="s">
        <v>22</v>
      </c>
      <c r="L1223" s="5" t="str">
        <f>IF(ISBLANK(A1223),"",TEXT(A1223,"00000"))</f>
        <v>01222</v>
      </c>
      <c r="M1223" s="47" t="str">
        <f>IF(ISBLANK(D1223),"",TEXT(D1223,"dd")&amp;" de "&amp;TEXT(D1223,"mmmm")&amp;" de "&amp;TEXT(YEAR(D1223),"0"))</f>
        <v>07 de julio de 2018</v>
      </c>
      <c r="N1223" s="323">
        <f t="shared" si="230"/>
        <v>7</v>
      </c>
      <c r="O1223" s="25">
        <f>DATE(YEAR(D1223),MONTH(D1223),1)</f>
        <v>43282</v>
      </c>
      <c r="P1223" s="5" t="str">
        <f t="shared" si="231"/>
        <v>12,40</v>
      </c>
      <c r="Q1223" s="4" t="str">
        <f t="shared" si="232"/>
        <v>Doce Bolívares con 40/100</v>
      </c>
    </row>
    <row r="1224" spans="1:17" x14ac:dyDescent="0.25">
      <c r="A1224" s="1">
        <f>A1223+1</f>
        <v>1223</v>
      </c>
      <c r="C1224" s="8" t="s">
        <v>17</v>
      </c>
      <c r="D1224" s="2">
        <v>43282</v>
      </c>
      <c r="E1224" s="3">
        <f>625000/100000</f>
        <v>6.25</v>
      </c>
      <c r="F1224" t="s">
        <v>334</v>
      </c>
      <c r="G1224" t="s">
        <v>85</v>
      </c>
      <c r="H1224" t="s">
        <v>335</v>
      </c>
      <c r="I1224" s="6" t="s">
        <v>707</v>
      </c>
      <c r="J1224" s="61" t="s">
        <v>22</v>
      </c>
      <c r="L1224" s="5" t="str">
        <f>IF(ISBLANK(A1224),"",TEXT(A1224,"00000"))</f>
        <v>01223</v>
      </c>
      <c r="M1224" s="47" t="str">
        <f>IF(ISBLANK(D1224),"",TEXT(D1224,"dd")&amp;" de "&amp;TEXT(D1224,"mmmm")&amp;" de "&amp;TEXT(YEAR(D1224),"0"))</f>
        <v>01 de julio de 2018</v>
      </c>
      <c r="N1224" s="323">
        <f t="shared" si="230"/>
        <v>1</v>
      </c>
      <c r="O1224" s="25">
        <f>DATE(YEAR(D1224),MONTH(D1224),1)</f>
        <v>43282</v>
      </c>
      <c r="P1224" s="5" t="str">
        <f t="shared" si="231"/>
        <v>6,25</v>
      </c>
      <c r="Q1224" s="4" t="str">
        <f t="shared" si="232"/>
        <v>Seis Bolívares con 25/100</v>
      </c>
    </row>
    <row r="1225" spans="1:17" x14ac:dyDescent="0.25">
      <c r="A1225" s="1">
        <f t="shared" ref="A1225:A1234" si="233">A1224+1</f>
        <v>1224</v>
      </c>
      <c r="C1225" s="8" t="s">
        <v>17</v>
      </c>
      <c r="D1225" s="2">
        <v>43289</v>
      </c>
      <c r="E1225" s="3">
        <f>650000/100000</f>
        <v>6.5</v>
      </c>
      <c r="F1225" t="s">
        <v>239</v>
      </c>
      <c r="G1225" s="73" t="s">
        <v>240</v>
      </c>
      <c r="H1225" t="s">
        <v>241</v>
      </c>
      <c r="I1225" s="6" t="s">
        <v>707</v>
      </c>
      <c r="J1225" s="61" t="s">
        <v>22</v>
      </c>
      <c r="L1225" s="5" t="str">
        <f t="shared" ref="L1225:L1228" si="234">IF(ISBLANK(A1225),"",TEXT(A1225,"00000"))</f>
        <v>01224</v>
      </c>
      <c r="M1225" s="47" t="str">
        <f t="shared" ref="M1225:M1228" si="235">IF(ISBLANK(D1225),"",TEXT(D1225,"dd")&amp;" de "&amp;TEXT(D1225,"mmmm")&amp;" de "&amp;TEXT(YEAR(D1225),"0"))</f>
        <v>08 de julio de 2018</v>
      </c>
      <c r="N1225" s="323">
        <f t="shared" si="230"/>
        <v>8</v>
      </c>
      <c r="O1225" s="25">
        <f t="shared" ref="O1225:O1228" si="236">DATE(YEAR(D1225),MONTH(D1225),1)</f>
        <v>43282</v>
      </c>
      <c r="P1225" s="5" t="str">
        <f t="shared" si="231"/>
        <v>6,50</v>
      </c>
      <c r="Q1225" s="4" t="str">
        <f t="shared" si="232"/>
        <v>Seis Bolívares con 50/100</v>
      </c>
    </row>
    <row r="1226" spans="1:17" x14ac:dyDescent="0.25">
      <c r="A1226" s="1">
        <f t="shared" si="233"/>
        <v>1225</v>
      </c>
      <c r="C1226" s="8" t="s">
        <v>17</v>
      </c>
      <c r="D1226" s="2">
        <v>43289</v>
      </c>
      <c r="E1226" s="3">
        <f>1000000/100000</f>
        <v>10</v>
      </c>
      <c r="F1226" t="s">
        <v>118</v>
      </c>
      <c r="G1226" t="s">
        <v>119</v>
      </c>
      <c r="H1226" t="s">
        <v>120</v>
      </c>
      <c r="I1226" s="6" t="s">
        <v>750</v>
      </c>
      <c r="J1226" s="61" t="s">
        <v>22</v>
      </c>
      <c r="L1226" s="5" t="str">
        <f t="shared" si="234"/>
        <v>01225</v>
      </c>
      <c r="M1226" s="47" t="str">
        <f t="shared" si="235"/>
        <v>08 de julio de 2018</v>
      </c>
      <c r="N1226" s="323">
        <f t="shared" si="230"/>
        <v>8</v>
      </c>
      <c r="O1226" s="25">
        <f t="shared" si="236"/>
        <v>43282</v>
      </c>
      <c r="P1226" s="5" t="str">
        <f t="shared" si="231"/>
        <v>10,00</v>
      </c>
      <c r="Q1226" s="4" t="str">
        <f t="shared" si="232"/>
        <v>Diez Bolívares con 00/100</v>
      </c>
    </row>
    <row r="1227" spans="1:17" x14ac:dyDescent="0.25">
      <c r="A1227" s="1">
        <f t="shared" si="233"/>
        <v>1226</v>
      </c>
      <c r="C1227" s="8" t="s">
        <v>17</v>
      </c>
      <c r="D1227" s="2">
        <v>43289</v>
      </c>
      <c r="E1227" s="3">
        <f>150000/100000</f>
        <v>1.5</v>
      </c>
      <c r="F1227" t="s">
        <v>483</v>
      </c>
      <c r="G1227" t="s">
        <v>484</v>
      </c>
      <c r="H1227" t="s">
        <v>485</v>
      </c>
      <c r="I1227" s="6" t="s">
        <v>754</v>
      </c>
      <c r="J1227" s="61" t="s">
        <v>22</v>
      </c>
      <c r="L1227" s="5" t="str">
        <f t="shared" si="234"/>
        <v>01226</v>
      </c>
      <c r="M1227" s="47" t="str">
        <f t="shared" si="235"/>
        <v>08 de julio de 2018</v>
      </c>
      <c r="N1227" s="323">
        <f t="shared" si="230"/>
        <v>8</v>
      </c>
      <c r="O1227" s="25">
        <f t="shared" si="236"/>
        <v>43282</v>
      </c>
      <c r="P1227" s="5" t="str">
        <f t="shared" si="231"/>
        <v>1,50</v>
      </c>
      <c r="Q1227" s="4" t="str">
        <f t="shared" si="232"/>
        <v>Un Bolívares con 50/100</v>
      </c>
    </row>
    <row r="1228" spans="1:17" x14ac:dyDescent="0.25">
      <c r="A1228" s="1">
        <f t="shared" si="233"/>
        <v>1227</v>
      </c>
      <c r="C1228" s="8" t="s">
        <v>17</v>
      </c>
      <c r="D1228" s="2">
        <v>43290</v>
      </c>
      <c r="E1228" s="3">
        <f>1575000/100000-350000/100000</f>
        <v>12.25</v>
      </c>
      <c r="F1228" t="s">
        <v>337</v>
      </c>
      <c r="G1228" t="s">
        <v>338</v>
      </c>
      <c r="H1228" t="s">
        <v>339</v>
      </c>
      <c r="I1228" s="6" t="s">
        <v>764</v>
      </c>
      <c r="J1228" s="61" t="s">
        <v>22</v>
      </c>
      <c r="L1228" s="5" t="str">
        <f t="shared" si="234"/>
        <v>01227</v>
      </c>
      <c r="M1228" s="47" t="str">
        <f t="shared" si="235"/>
        <v>09 de julio de 2018</v>
      </c>
      <c r="N1228" s="323">
        <f t="shared" si="230"/>
        <v>9</v>
      </c>
      <c r="O1228" s="25">
        <f t="shared" si="236"/>
        <v>43282</v>
      </c>
      <c r="P1228" s="5" t="str">
        <f t="shared" si="231"/>
        <v>12,25</v>
      </c>
      <c r="Q1228" s="4" t="str">
        <f t="shared" si="232"/>
        <v>Doce Bolívares con 25/100</v>
      </c>
    </row>
    <row r="1229" spans="1:17" x14ac:dyDescent="0.25">
      <c r="A1229" s="1">
        <f t="shared" si="233"/>
        <v>1228</v>
      </c>
      <c r="C1229" s="8" t="s">
        <v>17</v>
      </c>
      <c r="D1229" s="2">
        <v>43290</v>
      </c>
      <c r="E1229" s="3">
        <f>350000/100000</f>
        <v>3.5</v>
      </c>
      <c r="F1229" t="s">
        <v>337</v>
      </c>
      <c r="G1229" t="s">
        <v>338</v>
      </c>
      <c r="H1229" t="s">
        <v>339</v>
      </c>
      <c r="I1229" s="6" t="s">
        <v>672</v>
      </c>
      <c r="J1229" s="61" t="s">
        <v>673</v>
      </c>
      <c r="L1229" s="5" t="str">
        <f t="shared" ref="L1229:L1241" si="237">IF(ISBLANK(A1229),"",TEXT(A1229,"00000"))</f>
        <v>01228</v>
      </c>
      <c r="M1229" s="47" t="str">
        <f t="shared" ref="M1229:M1241" si="238">IF(ISBLANK(D1229),"",TEXT(D1229,"dd")&amp;" de "&amp;TEXT(D1229,"mmmm")&amp;" de "&amp;TEXT(YEAR(D1229),"0"))</f>
        <v>09 de julio de 2018</v>
      </c>
      <c r="N1229" s="323">
        <f t="shared" si="230"/>
        <v>9</v>
      </c>
      <c r="O1229" s="25">
        <f t="shared" ref="O1229:O1241" si="239">DATE(YEAR(D1229),MONTH(D1229),1)</f>
        <v>43282</v>
      </c>
      <c r="P1229" s="5" t="str">
        <f t="shared" ref="P1229:P1241" si="240">TEXT(E1229,"#.##0,00")</f>
        <v>3,50</v>
      </c>
      <c r="Q1229" s="4" t="str">
        <f t="shared" ref="Q1229:Q1241" si="241">CONVERTIRNUM(E1229)</f>
        <v>Tres Bolívares con 50/100</v>
      </c>
    </row>
    <row r="1230" spans="1:17" x14ac:dyDescent="0.25">
      <c r="A1230" s="1">
        <f t="shared" si="233"/>
        <v>1229</v>
      </c>
      <c r="C1230" s="8" t="s">
        <v>17</v>
      </c>
      <c r="D1230" s="2">
        <v>43290</v>
      </c>
      <c r="E1230" s="3">
        <f>1000000/100000</f>
        <v>10</v>
      </c>
      <c r="F1230" t="s">
        <v>84</v>
      </c>
      <c r="G1230" t="s">
        <v>85</v>
      </c>
      <c r="H1230" t="s">
        <v>86</v>
      </c>
      <c r="I1230" s="6" t="s">
        <v>750</v>
      </c>
      <c r="J1230" s="61" t="s">
        <v>22</v>
      </c>
      <c r="L1230" s="5" t="str">
        <f t="shared" si="237"/>
        <v>01229</v>
      </c>
      <c r="M1230" s="47" t="str">
        <f t="shared" si="238"/>
        <v>09 de julio de 2018</v>
      </c>
      <c r="N1230" s="323">
        <f t="shared" si="230"/>
        <v>9</v>
      </c>
      <c r="O1230" s="25">
        <f t="shared" si="239"/>
        <v>43282</v>
      </c>
      <c r="P1230" s="5" t="str">
        <f t="shared" si="240"/>
        <v>10,00</v>
      </c>
      <c r="Q1230" s="4" t="str">
        <f t="shared" si="241"/>
        <v>Diez Bolívares con 00/100</v>
      </c>
    </row>
    <row r="1231" spans="1:17" x14ac:dyDescent="0.25">
      <c r="A1231" s="1">
        <f t="shared" si="233"/>
        <v>1230</v>
      </c>
      <c r="C1231" s="8" t="s">
        <v>17</v>
      </c>
      <c r="D1231" s="2">
        <v>43290</v>
      </c>
      <c r="E1231" s="3">
        <f>1250000/100000</f>
        <v>12.5</v>
      </c>
      <c r="F1231" t="s">
        <v>633</v>
      </c>
      <c r="G1231" t="s">
        <v>634</v>
      </c>
      <c r="H1231" t="s">
        <v>635</v>
      </c>
      <c r="I1231" s="6" t="s">
        <v>764</v>
      </c>
      <c r="J1231" s="61" t="s">
        <v>22</v>
      </c>
      <c r="L1231" s="5" t="str">
        <f t="shared" si="237"/>
        <v>01230</v>
      </c>
      <c r="M1231" s="47" t="str">
        <f t="shared" si="238"/>
        <v>09 de julio de 2018</v>
      </c>
      <c r="N1231" s="323">
        <f t="shared" si="230"/>
        <v>9</v>
      </c>
      <c r="O1231" s="25">
        <f t="shared" si="239"/>
        <v>43282</v>
      </c>
      <c r="P1231" s="5" t="str">
        <f t="shared" si="240"/>
        <v>12,50</v>
      </c>
      <c r="Q1231" s="4" t="str">
        <f t="shared" si="241"/>
        <v>Doce Bolívares con 50/100</v>
      </c>
    </row>
    <row r="1232" spans="1:17" x14ac:dyDescent="0.25">
      <c r="A1232" s="1">
        <f t="shared" si="233"/>
        <v>1231</v>
      </c>
      <c r="C1232" s="8" t="s">
        <v>17</v>
      </c>
      <c r="D1232" s="2">
        <v>43290</v>
      </c>
      <c r="E1232" s="3">
        <f>250000/100000</f>
        <v>2.5</v>
      </c>
      <c r="F1232" t="s">
        <v>103</v>
      </c>
      <c r="G1232" t="s">
        <v>104</v>
      </c>
      <c r="H1232" t="s">
        <v>105</v>
      </c>
      <c r="I1232" s="6" t="s">
        <v>742</v>
      </c>
      <c r="J1232" s="61" t="s">
        <v>22</v>
      </c>
      <c r="L1232" s="5" t="str">
        <f t="shared" si="237"/>
        <v>01231</v>
      </c>
      <c r="M1232" s="47" t="str">
        <f t="shared" si="238"/>
        <v>09 de julio de 2018</v>
      </c>
      <c r="N1232" s="323">
        <f t="shared" si="230"/>
        <v>9</v>
      </c>
      <c r="O1232" s="25">
        <f t="shared" si="239"/>
        <v>43282</v>
      </c>
      <c r="P1232" s="5" t="str">
        <f t="shared" si="240"/>
        <v>2,50</v>
      </c>
      <c r="Q1232" s="4" t="str">
        <f t="shared" si="241"/>
        <v>Dos Bolívares con 50/100</v>
      </c>
    </row>
    <row r="1233" spans="1:17" x14ac:dyDescent="0.25">
      <c r="A1233" s="1">
        <f t="shared" si="233"/>
        <v>1232</v>
      </c>
      <c r="C1233" s="8" t="s">
        <v>17</v>
      </c>
      <c r="D1233" s="2">
        <v>43290</v>
      </c>
      <c r="E1233" s="3">
        <f>1220000/100000</f>
        <v>12.2</v>
      </c>
      <c r="F1233" t="s">
        <v>558</v>
      </c>
      <c r="G1233" t="s">
        <v>559</v>
      </c>
      <c r="H1233" t="s">
        <v>560</v>
      </c>
      <c r="I1233" s="6" t="s">
        <v>744</v>
      </c>
      <c r="J1233" s="61" t="s">
        <v>745</v>
      </c>
      <c r="L1233" s="5" t="str">
        <f t="shared" si="237"/>
        <v>01232</v>
      </c>
      <c r="M1233" s="47" t="str">
        <f t="shared" si="238"/>
        <v>09 de julio de 2018</v>
      </c>
      <c r="N1233" s="323">
        <f t="shared" si="230"/>
        <v>9</v>
      </c>
      <c r="O1233" s="25">
        <f t="shared" si="239"/>
        <v>43282</v>
      </c>
      <c r="P1233" s="5" t="str">
        <f t="shared" si="240"/>
        <v>12,20</v>
      </c>
      <c r="Q1233" s="4" t="str">
        <f t="shared" si="241"/>
        <v>Doce Bolívares con 20/100</v>
      </c>
    </row>
    <row r="1234" spans="1:17" x14ac:dyDescent="0.25">
      <c r="A1234" s="1">
        <f t="shared" si="233"/>
        <v>1233</v>
      </c>
      <c r="C1234" s="8" t="s">
        <v>17</v>
      </c>
      <c r="D1234" s="2">
        <v>43290</v>
      </c>
      <c r="E1234" s="3">
        <f>1790000/100000</f>
        <v>17.899999999999999</v>
      </c>
      <c r="F1234" s="20" t="s">
        <v>57</v>
      </c>
      <c r="G1234" s="18" t="s">
        <v>58</v>
      </c>
      <c r="H1234" s="21" t="s">
        <v>59</v>
      </c>
      <c r="I1234" s="6" t="s">
        <v>722</v>
      </c>
      <c r="J1234" s="61" t="s">
        <v>22</v>
      </c>
      <c r="K1234" s="22"/>
      <c r="L1234" s="5" t="str">
        <f t="shared" si="237"/>
        <v>01233</v>
      </c>
      <c r="M1234" s="47" t="str">
        <f t="shared" si="238"/>
        <v>09 de julio de 2018</v>
      </c>
      <c r="N1234" s="323">
        <f t="shared" si="230"/>
        <v>9</v>
      </c>
      <c r="O1234" s="25">
        <f t="shared" si="239"/>
        <v>43282</v>
      </c>
      <c r="P1234" s="5" t="str">
        <f t="shared" si="240"/>
        <v>17,90</v>
      </c>
      <c r="Q1234" s="4" t="str">
        <f t="shared" si="241"/>
        <v>Diecisiete Bolívares con 90/100</v>
      </c>
    </row>
    <row r="1235" spans="1:17" x14ac:dyDescent="0.25">
      <c r="A1235" s="1">
        <f>A1234+1</f>
        <v>1234</v>
      </c>
      <c r="C1235" s="8" t="s">
        <v>17</v>
      </c>
      <c r="D1235" s="2">
        <v>43290</v>
      </c>
      <c r="E1235" s="3">
        <f>1000000/100000</f>
        <v>10</v>
      </c>
      <c r="F1235" t="s">
        <v>70</v>
      </c>
      <c r="G1235" t="s">
        <v>71</v>
      </c>
      <c r="H1235" t="s">
        <v>72</v>
      </c>
      <c r="I1235" s="6" t="s">
        <v>750</v>
      </c>
      <c r="J1235" s="61" t="s">
        <v>22</v>
      </c>
      <c r="L1235" s="5" t="str">
        <f t="shared" si="237"/>
        <v>01234</v>
      </c>
      <c r="M1235" s="47" t="str">
        <f t="shared" si="238"/>
        <v>09 de julio de 2018</v>
      </c>
      <c r="N1235" s="323">
        <f t="shared" si="230"/>
        <v>9</v>
      </c>
      <c r="O1235" s="25">
        <f t="shared" si="239"/>
        <v>43282</v>
      </c>
      <c r="P1235" s="5" t="str">
        <f t="shared" si="240"/>
        <v>10,00</v>
      </c>
      <c r="Q1235" s="4" t="str">
        <f t="shared" si="241"/>
        <v>Diez Bolívares con 00/100</v>
      </c>
    </row>
    <row r="1236" spans="1:17" x14ac:dyDescent="0.25">
      <c r="A1236" s="1">
        <f t="shared" ref="A1236:A1299" si="242">A1235+1</f>
        <v>1235</v>
      </c>
      <c r="C1236" s="8" t="s">
        <v>17</v>
      </c>
      <c r="D1236" s="2">
        <v>43290</v>
      </c>
      <c r="E1236" s="3">
        <f>1370000/100000-150000/100000</f>
        <v>12.2</v>
      </c>
      <c r="F1236" t="s">
        <v>48</v>
      </c>
      <c r="G1236" t="s">
        <v>49</v>
      </c>
      <c r="H1236" t="s">
        <v>50</v>
      </c>
      <c r="I1236" s="6" t="s">
        <v>744</v>
      </c>
      <c r="J1236" s="61" t="s">
        <v>745</v>
      </c>
      <c r="L1236" s="5" t="str">
        <f t="shared" si="237"/>
        <v>01235</v>
      </c>
      <c r="M1236" s="47" t="str">
        <f t="shared" si="238"/>
        <v>09 de julio de 2018</v>
      </c>
      <c r="N1236" s="323">
        <f t="shared" si="230"/>
        <v>9</v>
      </c>
      <c r="O1236" s="25">
        <f t="shared" si="239"/>
        <v>43282</v>
      </c>
      <c r="P1236" s="5" t="str">
        <f t="shared" si="240"/>
        <v>12,20</v>
      </c>
      <c r="Q1236" s="4" t="str">
        <f t="shared" si="241"/>
        <v>Doce Bolívares con 20/100</v>
      </c>
    </row>
    <row r="1237" spans="1:17" x14ac:dyDescent="0.25">
      <c r="A1237" s="1">
        <f t="shared" si="242"/>
        <v>1236</v>
      </c>
      <c r="C1237" s="8" t="s">
        <v>17</v>
      </c>
      <c r="D1237" s="2">
        <v>43290</v>
      </c>
      <c r="E1237" s="3">
        <f>150000/100000</f>
        <v>1.5</v>
      </c>
      <c r="F1237" t="s">
        <v>48</v>
      </c>
      <c r="G1237" t="s">
        <v>49</v>
      </c>
      <c r="H1237" t="s">
        <v>50</v>
      </c>
      <c r="I1237" s="6" t="s">
        <v>754</v>
      </c>
      <c r="J1237" s="61" t="s">
        <v>22</v>
      </c>
      <c r="L1237" s="5" t="str">
        <f t="shared" si="237"/>
        <v>01236</v>
      </c>
      <c r="M1237" s="47" t="str">
        <f t="shared" si="238"/>
        <v>09 de julio de 2018</v>
      </c>
      <c r="N1237" s="323">
        <f t="shared" si="230"/>
        <v>9</v>
      </c>
      <c r="O1237" s="25">
        <f t="shared" si="239"/>
        <v>43282</v>
      </c>
      <c r="P1237" s="5" t="str">
        <f t="shared" si="240"/>
        <v>1,50</v>
      </c>
      <c r="Q1237" s="4" t="str">
        <f t="shared" si="241"/>
        <v>Un Bolívares con 50/100</v>
      </c>
    </row>
    <row r="1238" spans="1:17" x14ac:dyDescent="0.25">
      <c r="A1238" s="1">
        <f t="shared" si="242"/>
        <v>1237</v>
      </c>
      <c r="C1238" s="8" t="s">
        <v>17</v>
      </c>
      <c r="D1238" s="2">
        <v>43290</v>
      </c>
      <c r="E1238" s="3">
        <f>1000000/100000</f>
        <v>10</v>
      </c>
      <c r="F1238" t="s">
        <v>185</v>
      </c>
      <c r="G1238" t="s">
        <v>186</v>
      </c>
      <c r="H1238" t="s">
        <v>187</v>
      </c>
      <c r="I1238" s="6" t="s">
        <v>759</v>
      </c>
      <c r="J1238" s="61" t="s">
        <v>22</v>
      </c>
      <c r="L1238" s="5" t="str">
        <f t="shared" si="237"/>
        <v>01237</v>
      </c>
      <c r="M1238" s="47" t="str">
        <f t="shared" si="238"/>
        <v>09 de julio de 2018</v>
      </c>
      <c r="N1238" s="323">
        <f t="shared" si="230"/>
        <v>9</v>
      </c>
      <c r="O1238" s="25">
        <f t="shared" si="239"/>
        <v>43282</v>
      </c>
      <c r="P1238" s="5" t="str">
        <f t="shared" si="240"/>
        <v>10,00</v>
      </c>
      <c r="Q1238" s="4" t="str">
        <f t="shared" si="241"/>
        <v>Diez Bolívares con 00/100</v>
      </c>
    </row>
    <row r="1239" spans="1:17" x14ac:dyDescent="0.25">
      <c r="A1239" s="1">
        <f t="shared" si="242"/>
        <v>1238</v>
      </c>
      <c r="C1239" s="8" t="s">
        <v>17</v>
      </c>
      <c r="D1239" s="2">
        <v>43290</v>
      </c>
      <c r="E1239" s="3">
        <f>600000/100000</f>
        <v>6</v>
      </c>
      <c r="F1239" t="s">
        <v>401</v>
      </c>
      <c r="G1239" t="s">
        <v>402</v>
      </c>
      <c r="H1239" t="s">
        <v>403</v>
      </c>
      <c r="I1239" s="6" t="s">
        <v>765</v>
      </c>
      <c r="J1239" s="61" t="s">
        <v>22</v>
      </c>
      <c r="L1239" s="5" t="str">
        <f t="shared" si="237"/>
        <v>01238</v>
      </c>
      <c r="M1239" s="47" t="str">
        <f t="shared" si="238"/>
        <v>09 de julio de 2018</v>
      </c>
      <c r="N1239" s="323">
        <f t="shared" si="230"/>
        <v>9</v>
      </c>
      <c r="O1239" s="25">
        <f t="shared" si="239"/>
        <v>43282</v>
      </c>
      <c r="P1239" s="5" t="str">
        <f t="shared" si="240"/>
        <v>6,00</v>
      </c>
      <c r="Q1239" s="4" t="str">
        <f t="shared" si="241"/>
        <v>Seis Bolívares con 00/100</v>
      </c>
    </row>
    <row r="1240" spans="1:17" x14ac:dyDescent="0.25">
      <c r="A1240" s="1">
        <f t="shared" si="242"/>
        <v>1239</v>
      </c>
      <c r="C1240" s="85" t="s">
        <v>17</v>
      </c>
      <c r="D1240" s="2">
        <v>43290</v>
      </c>
      <c r="E1240" s="3">
        <f>1220000/100000</f>
        <v>12.2</v>
      </c>
      <c r="F1240" t="s">
        <v>280</v>
      </c>
      <c r="G1240" s="18" t="s">
        <v>58</v>
      </c>
      <c r="H1240" t="s">
        <v>282</v>
      </c>
      <c r="I1240" s="6" t="s">
        <v>766</v>
      </c>
      <c r="J1240" s="61" t="s">
        <v>745</v>
      </c>
      <c r="L1240" s="5" t="str">
        <f t="shared" si="237"/>
        <v>01239</v>
      </c>
      <c r="M1240" s="47" t="str">
        <f t="shared" si="238"/>
        <v>09 de julio de 2018</v>
      </c>
      <c r="N1240" s="323">
        <f t="shared" si="230"/>
        <v>9</v>
      </c>
      <c r="O1240" s="25">
        <f t="shared" si="239"/>
        <v>43282</v>
      </c>
      <c r="P1240" s="5" t="str">
        <f t="shared" si="240"/>
        <v>12,20</v>
      </c>
      <c r="Q1240" s="4" t="str">
        <f t="shared" si="241"/>
        <v>Doce Bolívares con 20/100</v>
      </c>
    </row>
    <row r="1241" spans="1:17" x14ac:dyDescent="0.25">
      <c r="A1241" s="1">
        <f t="shared" si="242"/>
        <v>1240</v>
      </c>
      <c r="C1241" s="8" t="s">
        <v>17</v>
      </c>
      <c r="D1241" s="2">
        <v>43290</v>
      </c>
      <c r="E1241" s="3">
        <f>630000/100000</f>
        <v>6.3</v>
      </c>
      <c r="F1241" t="s">
        <v>312</v>
      </c>
      <c r="G1241" t="s">
        <v>313</v>
      </c>
      <c r="H1241" t="s">
        <v>314</v>
      </c>
      <c r="I1241" s="6" t="s">
        <v>759</v>
      </c>
      <c r="J1241" s="61" t="s">
        <v>22</v>
      </c>
      <c r="L1241" s="5" t="str">
        <f t="shared" si="237"/>
        <v>01240</v>
      </c>
      <c r="M1241" s="47" t="str">
        <f t="shared" si="238"/>
        <v>09 de julio de 2018</v>
      </c>
      <c r="N1241" s="323">
        <f t="shared" si="230"/>
        <v>9</v>
      </c>
      <c r="O1241" s="25">
        <f t="shared" si="239"/>
        <v>43282</v>
      </c>
      <c r="P1241" s="5" t="str">
        <f t="shared" si="240"/>
        <v>6,30</v>
      </c>
      <c r="Q1241" s="4" t="str">
        <f t="shared" si="241"/>
        <v>Seis Bolívares con 30/100</v>
      </c>
    </row>
    <row r="1242" spans="1:17" x14ac:dyDescent="0.25">
      <c r="A1242" s="1">
        <f t="shared" si="242"/>
        <v>1241</v>
      </c>
      <c r="C1242" s="8" t="s">
        <v>17</v>
      </c>
      <c r="D1242" s="2">
        <v>43291</v>
      </c>
      <c r="E1242" s="3">
        <f>1220000/100000</f>
        <v>12.2</v>
      </c>
      <c r="F1242" t="s">
        <v>633</v>
      </c>
      <c r="G1242" t="s">
        <v>634</v>
      </c>
      <c r="H1242" t="s">
        <v>635</v>
      </c>
      <c r="I1242" s="6" t="s">
        <v>744</v>
      </c>
      <c r="J1242" s="61" t="s">
        <v>745</v>
      </c>
      <c r="L1242" s="5" t="str">
        <f t="shared" ref="L1242:L1250" si="243">IF(ISBLANK(A1242),"",TEXT(A1242,"00000"))</f>
        <v>01241</v>
      </c>
      <c r="M1242" s="47" t="str">
        <f t="shared" ref="M1242:M1250" si="244">IF(ISBLANK(D1242),"",TEXT(D1242,"dd")&amp;" de "&amp;TEXT(D1242,"mmmm")&amp;" de "&amp;TEXT(YEAR(D1242),"0"))</f>
        <v>10 de julio de 2018</v>
      </c>
      <c r="N1242" s="323">
        <f t="shared" si="230"/>
        <v>10</v>
      </c>
      <c r="O1242" s="25">
        <f t="shared" ref="O1242:O1250" si="245">DATE(YEAR(D1242),MONTH(D1242),1)</f>
        <v>43282</v>
      </c>
      <c r="P1242" s="5" t="str">
        <f t="shared" ref="P1242:P1246" si="246">TEXT(E1242,"#.##0,00")</f>
        <v>12,20</v>
      </c>
      <c r="Q1242" s="4" t="str">
        <f t="shared" ref="Q1242:Q1246" si="247">CONVERTIRNUM(E1242)</f>
        <v>Doce Bolívares con 20/100</v>
      </c>
    </row>
    <row r="1243" spans="1:17" x14ac:dyDescent="0.25">
      <c r="A1243" s="1">
        <f t="shared" si="242"/>
        <v>1242</v>
      </c>
      <c r="C1243" s="8" t="s">
        <v>17</v>
      </c>
      <c r="D1243" s="2">
        <v>43291</v>
      </c>
      <c r="E1243" s="3">
        <f>1220000/100000</f>
        <v>12.2</v>
      </c>
      <c r="F1243" t="s">
        <v>219</v>
      </c>
      <c r="G1243" t="s">
        <v>220</v>
      </c>
      <c r="H1243" t="s">
        <v>221</v>
      </c>
      <c r="I1243" s="6" t="s">
        <v>767</v>
      </c>
      <c r="J1243" s="61" t="s">
        <v>745</v>
      </c>
      <c r="L1243" s="5" t="str">
        <f t="shared" si="243"/>
        <v>01242</v>
      </c>
      <c r="M1243" s="47" t="str">
        <f t="shared" si="244"/>
        <v>10 de julio de 2018</v>
      </c>
      <c r="N1243" s="323">
        <f t="shared" si="230"/>
        <v>10</v>
      </c>
      <c r="O1243" s="25">
        <f t="shared" si="245"/>
        <v>43282</v>
      </c>
      <c r="P1243" s="5" t="str">
        <f t="shared" si="246"/>
        <v>12,20</v>
      </c>
      <c r="Q1243" s="4" t="str">
        <f t="shared" si="247"/>
        <v>Doce Bolívares con 20/100</v>
      </c>
    </row>
    <row r="1244" spans="1:17" x14ac:dyDescent="0.25">
      <c r="A1244" s="1">
        <f t="shared" si="242"/>
        <v>1243</v>
      </c>
      <c r="C1244" s="8" t="s">
        <v>17</v>
      </c>
      <c r="D1244" s="2">
        <v>43291</v>
      </c>
      <c r="E1244" s="3">
        <f>150000/100000</f>
        <v>1.5</v>
      </c>
      <c r="F1244" t="s">
        <v>362</v>
      </c>
      <c r="G1244" t="s">
        <v>363</v>
      </c>
      <c r="H1244" t="s">
        <v>364</v>
      </c>
      <c r="I1244" s="6" t="s">
        <v>754</v>
      </c>
      <c r="J1244" s="61" t="s">
        <v>22</v>
      </c>
      <c r="L1244" s="5" t="str">
        <f t="shared" si="243"/>
        <v>01243</v>
      </c>
      <c r="M1244" s="47" t="str">
        <f t="shared" si="244"/>
        <v>10 de julio de 2018</v>
      </c>
      <c r="N1244" s="323">
        <f t="shared" si="230"/>
        <v>10</v>
      </c>
      <c r="O1244" s="25">
        <f t="shared" si="245"/>
        <v>43282</v>
      </c>
      <c r="P1244" s="5" t="str">
        <f t="shared" si="246"/>
        <v>1,50</v>
      </c>
      <c r="Q1244" s="4" t="str">
        <f t="shared" si="247"/>
        <v>Un Bolívares con 50/100</v>
      </c>
    </row>
    <row r="1245" spans="1:17" x14ac:dyDescent="0.25">
      <c r="A1245" s="1">
        <f t="shared" si="242"/>
        <v>1244</v>
      </c>
      <c r="C1245" s="8" t="s">
        <v>17</v>
      </c>
      <c r="D1245" s="2">
        <v>43291</v>
      </c>
      <c r="E1245" s="3">
        <f>1220000/100000</f>
        <v>12.2</v>
      </c>
      <c r="F1245" t="s">
        <v>362</v>
      </c>
      <c r="G1245" t="s">
        <v>363</v>
      </c>
      <c r="H1245" t="s">
        <v>364</v>
      </c>
      <c r="I1245" s="6" t="s">
        <v>744</v>
      </c>
      <c r="J1245" s="61" t="s">
        <v>745</v>
      </c>
      <c r="L1245" s="5" t="str">
        <f t="shared" si="243"/>
        <v>01244</v>
      </c>
      <c r="M1245" s="47" t="str">
        <f t="shared" si="244"/>
        <v>10 de julio de 2018</v>
      </c>
      <c r="N1245" s="323">
        <f t="shared" si="230"/>
        <v>10</v>
      </c>
      <c r="O1245" s="25">
        <f t="shared" si="245"/>
        <v>43282</v>
      </c>
      <c r="P1245" s="5" t="str">
        <f t="shared" si="246"/>
        <v>12,20</v>
      </c>
      <c r="Q1245" s="4" t="str">
        <f t="shared" si="247"/>
        <v>Doce Bolívares con 20/100</v>
      </c>
    </row>
    <row r="1246" spans="1:17" x14ac:dyDescent="0.25">
      <c r="A1246" s="178">
        <f t="shared" si="242"/>
        <v>1245</v>
      </c>
      <c r="C1246" s="8" t="s">
        <v>17</v>
      </c>
      <c r="D1246" s="2">
        <v>43291</v>
      </c>
      <c r="E1246" s="3">
        <f>1220000/100000</f>
        <v>12.2</v>
      </c>
      <c r="F1246" t="s">
        <v>438</v>
      </c>
      <c r="G1246" t="s">
        <v>439</v>
      </c>
      <c r="H1246" t="s">
        <v>440</v>
      </c>
      <c r="I1246" s="6" t="s">
        <v>768</v>
      </c>
      <c r="J1246" s="61" t="s">
        <v>745</v>
      </c>
      <c r="L1246" s="5" t="str">
        <f t="shared" si="243"/>
        <v>01245</v>
      </c>
      <c r="M1246" s="47" t="str">
        <f t="shared" si="244"/>
        <v>10 de julio de 2018</v>
      </c>
      <c r="N1246" s="323">
        <f t="shared" si="230"/>
        <v>10</v>
      </c>
      <c r="O1246" s="25">
        <f t="shared" si="245"/>
        <v>43282</v>
      </c>
      <c r="P1246" s="5" t="str">
        <f t="shared" si="246"/>
        <v>12,20</v>
      </c>
      <c r="Q1246" s="4" t="str">
        <f t="shared" si="247"/>
        <v>Doce Bolívares con 20/100</v>
      </c>
    </row>
    <row r="1247" spans="1:17" x14ac:dyDescent="0.25">
      <c r="A1247" s="1">
        <f t="shared" si="242"/>
        <v>1246</v>
      </c>
      <c r="C1247" s="8" t="s">
        <v>17</v>
      </c>
      <c r="D1247" s="2">
        <v>43291</v>
      </c>
      <c r="E1247" s="3">
        <f>1220000/100000</f>
        <v>12.2</v>
      </c>
      <c r="F1247" t="s">
        <v>162</v>
      </c>
      <c r="G1247" t="s">
        <v>163</v>
      </c>
      <c r="H1247" t="s">
        <v>164</v>
      </c>
      <c r="I1247" s="6" t="s">
        <v>744</v>
      </c>
      <c r="J1247" s="61" t="s">
        <v>745</v>
      </c>
      <c r="L1247" s="5" t="str">
        <f t="shared" si="243"/>
        <v>01246</v>
      </c>
      <c r="M1247" s="47" t="str">
        <f t="shared" si="244"/>
        <v>10 de julio de 2018</v>
      </c>
      <c r="N1247" s="323">
        <f t="shared" si="230"/>
        <v>10</v>
      </c>
      <c r="O1247" s="25">
        <f t="shared" si="245"/>
        <v>43282</v>
      </c>
      <c r="P1247" s="5" t="str">
        <f>TEXT(E1247,"#.##0,00")</f>
        <v>12,20</v>
      </c>
      <c r="Q1247" s="4" t="str">
        <f>CONVERTIRNUM(E1247)</f>
        <v>Doce Bolívares con 20/100</v>
      </c>
    </row>
    <row r="1248" spans="1:17" x14ac:dyDescent="0.25">
      <c r="A1248" s="1">
        <f t="shared" si="242"/>
        <v>1247</v>
      </c>
      <c r="C1248" s="8" t="s">
        <v>17</v>
      </c>
      <c r="D1248" s="2">
        <v>43291</v>
      </c>
      <c r="E1248" s="3">
        <f>1625000/100000</f>
        <v>16.25</v>
      </c>
      <c r="F1248" t="s">
        <v>264</v>
      </c>
      <c r="G1248" t="s">
        <v>265</v>
      </c>
      <c r="H1248" t="s">
        <v>266</v>
      </c>
      <c r="I1248" s="6" t="s">
        <v>722</v>
      </c>
      <c r="J1248" s="61" t="s">
        <v>22</v>
      </c>
      <c r="L1248" s="5" t="str">
        <f t="shared" si="243"/>
        <v>01247</v>
      </c>
      <c r="M1248" s="47" t="str">
        <f t="shared" si="244"/>
        <v>10 de julio de 2018</v>
      </c>
      <c r="N1248" s="323">
        <f t="shared" si="230"/>
        <v>10</v>
      </c>
      <c r="O1248" s="25">
        <f t="shared" si="245"/>
        <v>43282</v>
      </c>
      <c r="P1248" s="5" t="str">
        <f t="shared" ref="P1248:P1250" si="248">TEXT(E1248,"#.##0,00")</f>
        <v>16,25</v>
      </c>
      <c r="Q1248" s="4" t="str">
        <f t="shared" ref="Q1248:Q1250" si="249">CONVERTIRNUM(E1248)</f>
        <v>Dieciséis Bolívares con 25/100</v>
      </c>
    </row>
    <row r="1249" spans="1:17" x14ac:dyDescent="0.25">
      <c r="A1249" s="1">
        <f t="shared" si="242"/>
        <v>1248</v>
      </c>
      <c r="C1249" s="8" t="s">
        <v>17</v>
      </c>
      <c r="D1249" s="2">
        <v>43291</v>
      </c>
      <c r="E1249" s="3">
        <f>1220000/100000</f>
        <v>12.2</v>
      </c>
      <c r="F1249" t="s">
        <v>107</v>
      </c>
      <c r="G1249" t="s">
        <v>108</v>
      </c>
      <c r="H1249" t="s">
        <v>109</v>
      </c>
      <c r="I1249" s="6" t="s">
        <v>744</v>
      </c>
      <c r="J1249" s="61" t="s">
        <v>745</v>
      </c>
      <c r="L1249" s="5" t="str">
        <f t="shared" si="243"/>
        <v>01248</v>
      </c>
      <c r="M1249" s="47" t="str">
        <f t="shared" si="244"/>
        <v>10 de julio de 2018</v>
      </c>
      <c r="N1249" s="323">
        <f t="shared" si="230"/>
        <v>10</v>
      </c>
      <c r="O1249" s="25">
        <f t="shared" si="245"/>
        <v>43282</v>
      </c>
      <c r="P1249" s="5" t="str">
        <f t="shared" si="248"/>
        <v>12,20</v>
      </c>
      <c r="Q1249" s="4" t="str">
        <f t="shared" si="249"/>
        <v>Doce Bolívares con 20/100</v>
      </c>
    </row>
    <row r="1250" spans="1:17" x14ac:dyDescent="0.25">
      <c r="A1250" s="1">
        <f t="shared" si="242"/>
        <v>1249</v>
      </c>
      <c r="C1250" s="8" t="s">
        <v>17</v>
      </c>
      <c r="D1250" s="2">
        <v>43291</v>
      </c>
      <c r="E1250" s="3">
        <f>835000/100000+165000/100000</f>
        <v>10</v>
      </c>
      <c r="F1250" t="s">
        <v>36</v>
      </c>
      <c r="G1250" t="s">
        <v>37</v>
      </c>
      <c r="H1250" t="s">
        <v>38</v>
      </c>
      <c r="I1250" s="6" t="s">
        <v>750</v>
      </c>
      <c r="J1250" s="61" t="s">
        <v>22</v>
      </c>
      <c r="L1250" s="5" t="str">
        <f t="shared" si="243"/>
        <v>01249</v>
      </c>
      <c r="M1250" s="47" t="str">
        <f t="shared" si="244"/>
        <v>10 de julio de 2018</v>
      </c>
      <c r="N1250" s="323">
        <f t="shared" si="230"/>
        <v>10</v>
      </c>
      <c r="O1250" s="25">
        <f t="shared" si="245"/>
        <v>43282</v>
      </c>
      <c r="P1250" s="5" t="str">
        <f t="shared" si="248"/>
        <v>10,00</v>
      </c>
      <c r="Q1250" s="4" t="str">
        <f t="shared" si="249"/>
        <v>Diez Bolívares con 00/100</v>
      </c>
    </row>
    <row r="1251" spans="1:17" x14ac:dyDescent="0.25">
      <c r="A1251" s="1">
        <f t="shared" si="242"/>
        <v>1250</v>
      </c>
      <c r="C1251" s="8" t="s">
        <v>17</v>
      </c>
      <c r="D1251" s="2">
        <v>43291</v>
      </c>
      <c r="E1251" s="3">
        <f>1220000/100000</f>
        <v>12.2</v>
      </c>
      <c r="F1251" t="s">
        <v>36</v>
      </c>
      <c r="G1251" t="s">
        <v>37</v>
      </c>
      <c r="H1251" t="s">
        <v>38</v>
      </c>
      <c r="I1251" s="6" t="s">
        <v>744</v>
      </c>
      <c r="J1251" s="61" t="s">
        <v>745</v>
      </c>
      <c r="L1251" s="5" t="str">
        <f t="shared" ref="L1251:L1259" si="250">IF(ISBLANK(A1251),"",TEXT(A1251,"00000"))</f>
        <v>01250</v>
      </c>
      <c r="M1251" s="47" t="str">
        <f t="shared" ref="M1251:M1259" si="251">IF(ISBLANK(D1251),"",TEXT(D1251,"dd")&amp;" de "&amp;TEXT(D1251,"mmmm")&amp;" de "&amp;TEXT(YEAR(D1251),"0"))</f>
        <v>10 de julio de 2018</v>
      </c>
      <c r="N1251" s="323">
        <f t="shared" si="230"/>
        <v>10</v>
      </c>
      <c r="O1251" s="25">
        <f t="shared" ref="O1251:O1259" si="252">DATE(YEAR(D1251),MONTH(D1251),1)</f>
        <v>43282</v>
      </c>
      <c r="P1251" s="5" t="str">
        <f t="shared" ref="P1251:P1259" si="253">TEXT(E1251,"#.##0,00")</f>
        <v>12,20</v>
      </c>
      <c r="Q1251" s="4" t="str">
        <f t="shared" ref="Q1251:Q1259" si="254">CONVERTIRNUM(E1251)</f>
        <v>Doce Bolívares con 20/100</v>
      </c>
    </row>
    <row r="1252" spans="1:17" x14ac:dyDescent="0.25">
      <c r="A1252" s="1">
        <f t="shared" si="242"/>
        <v>1251</v>
      </c>
      <c r="C1252" s="8" t="s">
        <v>17</v>
      </c>
      <c r="D1252" s="2">
        <v>43291</v>
      </c>
      <c r="E1252" s="3">
        <f>150000/100000</f>
        <v>1.5</v>
      </c>
      <c r="F1252" t="s">
        <v>201</v>
      </c>
      <c r="G1252" t="s">
        <v>202</v>
      </c>
      <c r="H1252" t="s">
        <v>203</v>
      </c>
      <c r="I1252" s="6" t="s">
        <v>754</v>
      </c>
      <c r="J1252" s="61" t="s">
        <v>22</v>
      </c>
      <c r="L1252" s="5" t="str">
        <f t="shared" si="250"/>
        <v>01251</v>
      </c>
      <c r="M1252" s="47" t="str">
        <f t="shared" si="251"/>
        <v>10 de julio de 2018</v>
      </c>
      <c r="N1252" s="323">
        <f t="shared" si="230"/>
        <v>10</v>
      </c>
      <c r="O1252" s="25">
        <f t="shared" si="252"/>
        <v>43282</v>
      </c>
      <c r="P1252" s="5" t="str">
        <f t="shared" si="253"/>
        <v>1,50</v>
      </c>
      <c r="Q1252" s="4" t="str">
        <f t="shared" si="254"/>
        <v>Un Bolívares con 50/100</v>
      </c>
    </row>
    <row r="1253" spans="1:17" x14ac:dyDescent="0.25">
      <c r="A1253" s="1">
        <f t="shared" si="242"/>
        <v>1252</v>
      </c>
      <c r="C1253" s="8" t="s">
        <v>17</v>
      </c>
      <c r="D1253" s="2">
        <v>43291</v>
      </c>
      <c r="E1253" s="3">
        <f>1150000/100000</f>
        <v>11.5</v>
      </c>
      <c r="F1253" t="s">
        <v>594</v>
      </c>
      <c r="G1253" t="s">
        <v>595</v>
      </c>
      <c r="H1253" t="s">
        <v>596</v>
      </c>
      <c r="I1253" s="6" t="s">
        <v>769</v>
      </c>
      <c r="J1253" s="61" t="s">
        <v>22</v>
      </c>
      <c r="L1253" s="5" t="str">
        <f t="shared" si="250"/>
        <v>01252</v>
      </c>
      <c r="M1253" s="47" t="str">
        <f t="shared" si="251"/>
        <v>10 de julio de 2018</v>
      </c>
      <c r="N1253" s="323">
        <f t="shared" si="230"/>
        <v>10</v>
      </c>
      <c r="O1253" s="25">
        <f t="shared" si="252"/>
        <v>43282</v>
      </c>
      <c r="P1253" s="5" t="str">
        <f t="shared" si="253"/>
        <v>11,50</v>
      </c>
      <c r="Q1253" s="4" t="str">
        <f t="shared" si="254"/>
        <v>Once Bolívares con 50/100</v>
      </c>
    </row>
    <row r="1254" spans="1:17" x14ac:dyDescent="0.25">
      <c r="A1254" s="1">
        <f t="shared" si="242"/>
        <v>1253</v>
      </c>
      <c r="C1254" s="8" t="s">
        <v>17</v>
      </c>
      <c r="D1254" s="2">
        <v>43291</v>
      </c>
      <c r="E1254" s="3">
        <f>1220000/100000</f>
        <v>12.2</v>
      </c>
      <c r="F1254" t="s">
        <v>24</v>
      </c>
      <c r="G1254" t="s">
        <v>25</v>
      </c>
      <c r="H1254" t="s">
        <v>26</v>
      </c>
      <c r="I1254" s="6" t="s">
        <v>744</v>
      </c>
      <c r="J1254" s="61" t="s">
        <v>745</v>
      </c>
      <c r="L1254" s="5" t="str">
        <f t="shared" si="250"/>
        <v>01253</v>
      </c>
      <c r="M1254" s="47" t="str">
        <f t="shared" si="251"/>
        <v>10 de julio de 2018</v>
      </c>
      <c r="N1254" s="323">
        <f t="shared" si="230"/>
        <v>10</v>
      </c>
      <c r="O1254" s="25">
        <f t="shared" si="252"/>
        <v>43282</v>
      </c>
      <c r="P1254" s="5" t="str">
        <f t="shared" si="253"/>
        <v>12,20</v>
      </c>
      <c r="Q1254" s="4" t="str">
        <f t="shared" si="254"/>
        <v>Doce Bolívares con 20/100</v>
      </c>
    </row>
    <row r="1255" spans="1:17" x14ac:dyDescent="0.25">
      <c r="A1255" s="1">
        <f t="shared" si="242"/>
        <v>1254</v>
      </c>
      <c r="C1255" s="8" t="s">
        <v>17</v>
      </c>
      <c r="D1255" s="2">
        <v>43291</v>
      </c>
      <c r="E1255" s="3">
        <f>1220000/100000</f>
        <v>12.2</v>
      </c>
      <c r="F1255" t="s">
        <v>443</v>
      </c>
      <c r="G1255" t="s">
        <v>444</v>
      </c>
      <c r="H1255" t="s">
        <v>75</v>
      </c>
      <c r="I1255" s="6" t="s">
        <v>744</v>
      </c>
      <c r="J1255" s="61" t="s">
        <v>745</v>
      </c>
      <c r="L1255" s="5" t="str">
        <f t="shared" si="250"/>
        <v>01254</v>
      </c>
      <c r="M1255" s="47" t="str">
        <f t="shared" si="251"/>
        <v>10 de julio de 2018</v>
      </c>
      <c r="N1255" s="323">
        <f t="shared" si="230"/>
        <v>10</v>
      </c>
      <c r="O1255" s="25">
        <f t="shared" si="252"/>
        <v>43282</v>
      </c>
      <c r="P1255" s="5" t="str">
        <f t="shared" si="253"/>
        <v>12,20</v>
      </c>
      <c r="Q1255" s="4" t="str">
        <f t="shared" si="254"/>
        <v>Doce Bolívares con 20/100</v>
      </c>
    </row>
    <row r="1256" spans="1:17" x14ac:dyDescent="0.25">
      <c r="A1256" s="1">
        <f t="shared" si="242"/>
        <v>1255</v>
      </c>
      <c r="C1256" s="8" t="s">
        <v>17</v>
      </c>
      <c r="D1256" s="2">
        <v>43291</v>
      </c>
      <c r="E1256" s="3">
        <f>2250000/100000-1220000/100000</f>
        <v>10.3</v>
      </c>
      <c r="F1256" t="s">
        <v>443</v>
      </c>
      <c r="G1256" t="s">
        <v>444</v>
      </c>
      <c r="H1256" t="s">
        <v>75</v>
      </c>
      <c r="I1256" s="6" t="s">
        <v>770</v>
      </c>
      <c r="J1256" s="61" t="s">
        <v>22</v>
      </c>
      <c r="L1256" s="5" t="str">
        <f t="shared" si="250"/>
        <v>01255</v>
      </c>
      <c r="M1256" s="47" t="str">
        <f t="shared" si="251"/>
        <v>10 de julio de 2018</v>
      </c>
      <c r="N1256" s="323">
        <f t="shared" si="230"/>
        <v>10</v>
      </c>
      <c r="O1256" s="25">
        <f t="shared" si="252"/>
        <v>43282</v>
      </c>
      <c r="P1256" s="5" t="str">
        <f t="shared" si="253"/>
        <v>10,30</v>
      </c>
      <c r="Q1256" s="4" t="str">
        <f t="shared" si="254"/>
        <v>Diez Bolívares con 30/100</v>
      </c>
    </row>
    <row r="1257" spans="1:17" x14ac:dyDescent="0.25">
      <c r="A1257" s="1">
        <f t="shared" si="242"/>
        <v>1256</v>
      </c>
      <c r="C1257" s="8" t="s">
        <v>17</v>
      </c>
      <c r="D1257" s="2">
        <v>43292</v>
      </c>
      <c r="E1257" s="3">
        <f>1220000/100000</f>
        <v>12.2</v>
      </c>
      <c r="F1257" s="20" t="s">
        <v>57</v>
      </c>
      <c r="G1257" s="18" t="s">
        <v>58</v>
      </c>
      <c r="H1257" s="21" t="s">
        <v>59</v>
      </c>
      <c r="I1257" s="6" t="s">
        <v>744</v>
      </c>
      <c r="J1257" s="61" t="s">
        <v>745</v>
      </c>
      <c r="K1257" s="22"/>
      <c r="L1257" s="5" t="str">
        <f t="shared" si="250"/>
        <v>01256</v>
      </c>
      <c r="M1257" s="47" t="str">
        <f t="shared" si="251"/>
        <v>11 de julio de 2018</v>
      </c>
      <c r="N1257" s="323">
        <f t="shared" si="230"/>
        <v>11</v>
      </c>
      <c r="O1257" s="25">
        <f t="shared" si="252"/>
        <v>43282</v>
      </c>
      <c r="P1257" s="5" t="str">
        <f t="shared" si="253"/>
        <v>12,20</v>
      </c>
      <c r="Q1257" s="4" t="str">
        <f t="shared" si="254"/>
        <v>Doce Bolívares con 20/100</v>
      </c>
    </row>
    <row r="1258" spans="1:17" x14ac:dyDescent="0.25">
      <c r="A1258" s="1">
        <f t="shared" si="242"/>
        <v>1257</v>
      </c>
      <c r="C1258" s="8" t="s">
        <v>17</v>
      </c>
      <c r="D1258" s="2">
        <v>43292</v>
      </c>
      <c r="E1258" s="3">
        <f>150000/100000</f>
        <v>1.5</v>
      </c>
      <c r="F1258" t="s">
        <v>713</v>
      </c>
      <c r="G1258" t="s">
        <v>714</v>
      </c>
      <c r="H1258" t="s">
        <v>154</v>
      </c>
      <c r="I1258" s="6" t="s">
        <v>754</v>
      </c>
      <c r="J1258" s="61" t="s">
        <v>22</v>
      </c>
      <c r="L1258" s="5" t="str">
        <f t="shared" si="250"/>
        <v>01257</v>
      </c>
      <c r="M1258" s="47" t="str">
        <f t="shared" si="251"/>
        <v>11 de julio de 2018</v>
      </c>
      <c r="N1258" s="323">
        <f t="shared" si="230"/>
        <v>11</v>
      </c>
      <c r="O1258" s="25">
        <f t="shared" si="252"/>
        <v>43282</v>
      </c>
      <c r="P1258" s="5" t="str">
        <f t="shared" si="253"/>
        <v>1,50</v>
      </c>
      <c r="Q1258" s="4" t="str">
        <f t="shared" si="254"/>
        <v>Un Bolívares con 50/100</v>
      </c>
    </row>
    <row r="1259" spans="1:17" x14ac:dyDescent="0.25">
      <c r="A1259" s="1">
        <f t="shared" si="242"/>
        <v>1258</v>
      </c>
      <c r="C1259" s="8" t="s">
        <v>17</v>
      </c>
      <c r="D1259" s="2">
        <v>43292</v>
      </c>
      <c r="E1259" s="3">
        <f>1625000/100000</f>
        <v>16.25</v>
      </c>
      <c r="F1259" t="s">
        <v>122</v>
      </c>
      <c r="G1259" t="s">
        <v>123</v>
      </c>
      <c r="H1259" t="s">
        <v>124</v>
      </c>
      <c r="I1259" s="6" t="s">
        <v>722</v>
      </c>
      <c r="J1259" s="61" t="s">
        <v>22</v>
      </c>
      <c r="L1259" s="5" t="str">
        <f t="shared" si="250"/>
        <v>01258</v>
      </c>
      <c r="M1259" s="47" t="str">
        <f t="shared" si="251"/>
        <v>11 de julio de 2018</v>
      </c>
      <c r="N1259" s="323">
        <f t="shared" si="230"/>
        <v>11</v>
      </c>
      <c r="O1259" s="25">
        <f t="shared" si="252"/>
        <v>43282</v>
      </c>
      <c r="P1259" s="5" t="str">
        <f t="shared" si="253"/>
        <v>16,25</v>
      </c>
      <c r="Q1259" s="4" t="str">
        <f t="shared" si="254"/>
        <v>Dieciséis Bolívares con 25/100</v>
      </c>
    </row>
    <row r="1260" spans="1:17" x14ac:dyDescent="0.25">
      <c r="A1260" s="1">
        <f t="shared" si="242"/>
        <v>1259</v>
      </c>
      <c r="C1260" s="8" t="s">
        <v>17</v>
      </c>
      <c r="D1260" s="2">
        <v>43292</v>
      </c>
      <c r="E1260" s="3">
        <f>195000/100000</f>
        <v>1.95</v>
      </c>
      <c r="F1260" t="s">
        <v>443</v>
      </c>
      <c r="G1260" t="s">
        <v>444</v>
      </c>
      <c r="H1260" t="s">
        <v>75</v>
      </c>
      <c r="I1260" s="6" t="s">
        <v>754</v>
      </c>
      <c r="J1260" s="61" t="s">
        <v>22</v>
      </c>
      <c r="L1260" s="5" t="str">
        <f t="shared" ref="L1260:L1270" si="255">IF(ISBLANK(A1260),"",TEXT(A1260,"00000"))</f>
        <v>01259</v>
      </c>
      <c r="M1260" s="47" t="str">
        <f t="shared" ref="M1260:M1270" si="256">IF(ISBLANK(D1260),"",TEXT(D1260,"dd")&amp;" de "&amp;TEXT(D1260,"mmmm")&amp;" de "&amp;TEXT(YEAR(D1260),"0"))</f>
        <v>11 de julio de 2018</v>
      </c>
      <c r="N1260" s="323">
        <f t="shared" si="230"/>
        <v>11</v>
      </c>
      <c r="O1260" s="25">
        <f t="shared" ref="O1260:O1270" si="257">DATE(YEAR(D1260),MONTH(D1260),1)</f>
        <v>43282</v>
      </c>
      <c r="P1260" s="5" t="str">
        <f t="shared" ref="P1260:P1270" si="258">TEXT(E1260,"#.##0,00")</f>
        <v>1,95</v>
      </c>
      <c r="Q1260" s="4" t="str">
        <f t="shared" ref="Q1260:Q1263" si="259">CONVERTIRNUM(E1260)</f>
        <v>Un Bolívares con 95/100</v>
      </c>
    </row>
    <row r="1261" spans="1:17" x14ac:dyDescent="0.25">
      <c r="A1261" s="1">
        <f t="shared" si="242"/>
        <v>1260</v>
      </c>
      <c r="C1261" s="8" t="s">
        <v>17</v>
      </c>
      <c r="D1261" s="2">
        <v>43293</v>
      </c>
      <c r="E1261" s="3">
        <f>835000/100000+165000/100000</f>
        <v>10</v>
      </c>
      <c r="F1261" t="s">
        <v>771</v>
      </c>
      <c r="G1261" t="s">
        <v>772</v>
      </c>
      <c r="H1261" t="s">
        <v>773</v>
      </c>
      <c r="I1261" s="6" t="s">
        <v>750</v>
      </c>
      <c r="J1261" s="61" t="s">
        <v>22</v>
      </c>
      <c r="L1261" s="5" t="str">
        <f t="shared" si="255"/>
        <v>01260</v>
      </c>
      <c r="M1261" s="47" t="str">
        <f t="shared" si="256"/>
        <v>12 de julio de 2018</v>
      </c>
      <c r="N1261" s="323">
        <f t="shared" si="230"/>
        <v>12</v>
      </c>
      <c r="O1261" s="25">
        <f t="shared" si="257"/>
        <v>43282</v>
      </c>
      <c r="P1261" s="5" t="str">
        <f t="shared" si="258"/>
        <v>10,00</v>
      </c>
      <c r="Q1261" s="4" t="str">
        <f t="shared" si="259"/>
        <v>Diez Bolívares con 00/100</v>
      </c>
    </row>
    <row r="1262" spans="1:17" x14ac:dyDescent="0.25">
      <c r="A1262" s="1">
        <f t="shared" si="242"/>
        <v>1261</v>
      </c>
      <c r="C1262" s="8" t="s">
        <v>17</v>
      </c>
      <c r="D1262" s="2">
        <v>43293</v>
      </c>
      <c r="E1262" s="3">
        <f>1220000/100000</f>
        <v>12.2</v>
      </c>
      <c r="F1262" t="s">
        <v>771</v>
      </c>
      <c r="G1262" t="s">
        <v>772</v>
      </c>
      <c r="H1262" t="s">
        <v>773</v>
      </c>
      <c r="I1262" s="6" t="s">
        <v>744</v>
      </c>
      <c r="J1262" s="61" t="s">
        <v>745</v>
      </c>
      <c r="L1262" s="5" t="str">
        <f t="shared" si="255"/>
        <v>01261</v>
      </c>
      <c r="M1262" s="47" t="str">
        <f t="shared" si="256"/>
        <v>12 de julio de 2018</v>
      </c>
      <c r="N1262" s="323">
        <f t="shared" si="230"/>
        <v>12</v>
      </c>
      <c r="O1262" s="25">
        <f t="shared" si="257"/>
        <v>43282</v>
      </c>
      <c r="P1262" s="5" t="str">
        <f t="shared" si="258"/>
        <v>12,20</v>
      </c>
      <c r="Q1262" s="4" t="str">
        <f t="shared" si="259"/>
        <v>Doce Bolívares con 20/100</v>
      </c>
    </row>
    <row r="1263" spans="1:17" x14ac:dyDescent="0.25">
      <c r="A1263" s="1">
        <f t="shared" si="242"/>
        <v>1262</v>
      </c>
      <c r="C1263" s="8" t="s">
        <v>17</v>
      </c>
      <c r="D1263" s="2">
        <v>43293</v>
      </c>
      <c r="E1263" s="3">
        <f>1075000/100000</f>
        <v>10.75</v>
      </c>
      <c r="F1263" t="s">
        <v>211</v>
      </c>
      <c r="G1263" t="s">
        <v>212</v>
      </c>
      <c r="H1263" t="s">
        <v>213</v>
      </c>
      <c r="I1263" s="6" t="s">
        <v>774</v>
      </c>
      <c r="J1263" s="61" t="s">
        <v>22</v>
      </c>
      <c r="L1263" s="5" t="str">
        <f t="shared" si="255"/>
        <v>01262</v>
      </c>
      <c r="M1263" s="47" t="str">
        <f t="shared" si="256"/>
        <v>12 de julio de 2018</v>
      </c>
      <c r="N1263" s="323">
        <f t="shared" si="230"/>
        <v>12</v>
      </c>
      <c r="O1263" s="25">
        <f t="shared" si="257"/>
        <v>43282</v>
      </c>
      <c r="P1263" s="5" t="str">
        <f t="shared" si="258"/>
        <v>10,75</v>
      </c>
      <c r="Q1263" s="4" t="str">
        <f t="shared" si="259"/>
        <v>Diez Bolívares con 75/100</v>
      </c>
    </row>
    <row r="1264" spans="1:17" x14ac:dyDescent="0.25">
      <c r="A1264" s="1">
        <f t="shared" si="242"/>
        <v>1263</v>
      </c>
      <c r="C1264" s="8" t="s">
        <v>17</v>
      </c>
      <c r="D1264" s="2">
        <v>43293</v>
      </c>
      <c r="E1264" s="3">
        <f>225000/100000</f>
        <v>2.25</v>
      </c>
      <c r="F1264" t="s">
        <v>407</v>
      </c>
      <c r="G1264" t="s">
        <v>408</v>
      </c>
      <c r="H1264" t="s">
        <v>409</v>
      </c>
      <c r="I1264" s="6" t="s">
        <v>762</v>
      </c>
      <c r="J1264" s="61" t="s">
        <v>22</v>
      </c>
      <c r="L1264" s="5" t="str">
        <f t="shared" si="255"/>
        <v>01263</v>
      </c>
      <c r="M1264" s="47" t="str">
        <f t="shared" si="256"/>
        <v>12 de julio de 2018</v>
      </c>
      <c r="N1264" s="323">
        <f t="shared" si="230"/>
        <v>12</v>
      </c>
      <c r="O1264" s="25">
        <f t="shared" si="257"/>
        <v>43282</v>
      </c>
      <c r="P1264" s="5" t="str">
        <f t="shared" si="258"/>
        <v>2,25</v>
      </c>
      <c r="Q1264" s="4" t="str">
        <f>CONVERTIRNUM(E1264)</f>
        <v>Dos Bolívares con 25/100</v>
      </c>
    </row>
    <row r="1265" spans="1:17" x14ac:dyDescent="0.25">
      <c r="A1265" s="1">
        <f t="shared" si="242"/>
        <v>1264</v>
      </c>
      <c r="C1265" s="8" t="s">
        <v>17</v>
      </c>
      <c r="D1265" s="2">
        <v>43293</v>
      </c>
      <c r="E1265" s="3">
        <f>625000/100000</f>
        <v>6.25</v>
      </c>
      <c r="F1265" t="s">
        <v>94</v>
      </c>
      <c r="G1265" t="s">
        <v>607</v>
      </c>
      <c r="H1265" t="s">
        <v>96</v>
      </c>
      <c r="I1265" s="6" t="s">
        <v>707</v>
      </c>
      <c r="J1265" s="61" t="s">
        <v>22</v>
      </c>
      <c r="L1265" s="5" t="str">
        <f t="shared" si="255"/>
        <v>01264</v>
      </c>
      <c r="M1265" s="47" t="str">
        <f t="shared" si="256"/>
        <v>12 de julio de 2018</v>
      </c>
      <c r="N1265" s="323">
        <f t="shared" si="230"/>
        <v>12</v>
      </c>
      <c r="O1265" s="25">
        <f t="shared" si="257"/>
        <v>43282</v>
      </c>
      <c r="P1265" s="5" t="str">
        <f t="shared" si="258"/>
        <v>6,25</v>
      </c>
      <c r="Q1265" s="4" t="str">
        <f t="shared" ref="Q1265:Q1270" si="260">CONVERTIRNUM(E1265)</f>
        <v>Seis Bolívares con 25/100</v>
      </c>
    </row>
    <row r="1266" spans="1:17" x14ac:dyDescent="0.25">
      <c r="A1266" s="1">
        <f t="shared" si="242"/>
        <v>1265</v>
      </c>
      <c r="C1266" s="8" t="s">
        <v>17</v>
      </c>
      <c r="D1266" s="2">
        <v>43293</v>
      </c>
      <c r="E1266" s="3">
        <f>2845000/100000-1220000/100000</f>
        <v>16.25</v>
      </c>
      <c r="F1266" t="s">
        <v>287</v>
      </c>
      <c r="G1266" t="s">
        <v>288</v>
      </c>
      <c r="H1266" t="s">
        <v>289</v>
      </c>
      <c r="I1266" s="6" t="s">
        <v>722</v>
      </c>
      <c r="J1266" s="61" t="s">
        <v>22</v>
      </c>
      <c r="L1266" s="5" t="str">
        <f t="shared" si="255"/>
        <v>01265</v>
      </c>
      <c r="M1266" s="47" t="str">
        <f t="shared" si="256"/>
        <v>12 de julio de 2018</v>
      </c>
      <c r="N1266" s="323">
        <f t="shared" si="230"/>
        <v>12</v>
      </c>
      <c r="O1266" s="25">
        <f t="shared" si="257"/>
        <v>43282</v>
      </c>
      <c r="P1266" s="5" t="str">
        <f t="shared" si="258"/>
        <v>16,25</v>
      </c>
      <c r="Q1266" s="4" t="str">
        <f t="shared" si="260"/>
        <v>Dieciséis Bolívares con 25/100</v>
      </c>
    </row>
    <row r="1267" spans="1:17" x14ac:dyDescent="0.25">
      <c r="A1267" s="1">
        <f t="shared" si="242"/>
        <v>1266</v>
      </c>
      <c r="C1267" s="8" t="s">
        <v>17</v>
      </c>
      <c r="D1267" s="2">
        <v>43293</v>
      </c>
      <c r="E1267" s="3">
        <f>1220000/100000</f>
        <v>12.2</v>
      </c>
      <c r="F1267" t="s">
        <v>287</v>
      </c>
      <c r="G1267" t="s">
        <v>288</v>
      </c>
      <c r="H1267" t="s">
        <v>289</v>
      </c>
      <c r="I1267" s="6" t="s">
        <v>744</v>
      </c>
      <c r="J1267" s="61" t="s">
        <v>745</v>
      </c>
      <c r="L1267" s="5" t="str">
        <f t="shared" si="255"/>
        <v>01266</v>
      </c>
      <c r="M1267" s="47" t="str">
        <f t="shared" si="256"/>
        <v>12 de julio de 2018</v>
      </c>
      <c r="N1267" s="323">
        <f t="shared" si="230"/>
        <v>12</v>
      </c>
      <c r="O1267" s="25">
        <f t="shared" si="257"/>
        <v>43282</v>
      </c>
      <c r="P1267" s="5" t="str">
        <f t="shared" si="258"/>
        <v>12,20</v>
      </c>
      <c r="Q1267" s="4" t="str">
        <f t="shared" si="260"/>
        <v>Doce Bolívares con 20/100</v>
      </c>
    </row>
    <row r="1268" spans="1:17" x14ac:dyDescent="0.25">
      <c r="A1268" s="1">
        <f t="shared" si="242"/>
        <v>1267</v>
      </c>
      <c r="C1268" s="8" t="s">
        <v>17</v>
      </c>
      <c r="D1268" s="2">
        <v>43293</v>
      </c>
      <c r="E1268" s="3">
        <f>2000000/100000</f>
        <v>20</v>
      </c>
      <c r="F1268" t="s">
        <v>230</v>
      </c>
      <c r="G1268" t="s">
        <v>231</v>
      </c>
      <c r="H1268" t="s">
        <v>232</v>
      </c>
      <c r="I1268" s="6" t="s">
        <v>722</v>
      </c>
      <c r="J1268" s="61" t="s">
        <v>22</v>
      </c>
      <c r="L1268" s="5" t="str">
        <f t="shared" si="255"/>
        <v>01267</v>
      </c>
      <c r="M1268" s="47" t="str">
        <f t="shared" si="256"/>
        <v>12 de julio de 2018</v>
      </c>
      <c r="N1268" s="323">
        <f t="shared" si="230"/>
        <v>12</v>
      </c>
      <c r="O1268" s="25">
        <f t="shared" si="257"/>
        <v>43282</v>
      </c>
      <c r="P1268" s="5" t="str">
        <f t="shared" si="258"/>
        <v>20,00</v>
      </c>
      <c r="Q1268" s="4" t="str">
        <f t="shared" si="260"/>
        <v>Veinte Bolívares con 00/100</v>
      </c>
    </row>
    <row r="1269" spans="1:17" x14ac:dyDescent="0.25">
      <c r="A1269" s="1">
        <f t="shared" si="242"/>
        <v>1268</v>
      </c>
      <c r="C1269" s="8" t="s">
        <v>17</v>
      </c>
      <c r="D1269" s="2">
        <v>43293</v>
      </c>
      <c r="E1269" s="3">
        <f>1500000/100000</f>
        <v>15</v>
      </c>
      <c r="F1269" t="s">
        <v>230</v>
      </c>
      <c r="G1269" t="s">
        <v>231</v>
      </c>
      <c r="H1269" t="s">
        <v>232</v>
      </c>
      <c r="I1269" s="6" t="s">
        <v>744</v>
      </c>
      <c r="J1269" s="61" t="s">
        <v>745</v>
      </c>
      <c r="L1269" s="5" t="str">
        <f t="shared" si="255"/>
        <v>01268</v>
      </c>
      <c r="M1269" s="47" t="str">
        <f t="shared" si="256"/>
        <v>12 de julio de 2018</v>
      </c>
      <c r="N1269" s="323">
        <f t="shared" si="230"/>
        <v>12</v>
      </c>
      <c r="O1269" s="25">
        <f t="shared" si="257"/>
        <v>43282</v>
      </c>
      <c r="P1269" s="5" t="str">
        <f t="shared" si="258"/>
        <v>15,00</v>
      </c>
      <c r="Q1269" s="4" t="str">
        <f t="shared" si="260"/>
        <v>Quince Bolívares con 00/100</v>
      </c>
    </row>
    <row r="1270" spans="1:17" x14ac:dyDescent="0.25">
      <c r="A1270" s="1">
        <f t="shared" si="242"/>
        <v>1269</v>
      </c>
      <c r="C1270" s="8" t="s">
        <v>17</v>
      </c>
      <c r="D1270" s="2">
        <v>43293</v>
      </c>
      <c r="E1270" s="3">
        <f>1300000/100000</f>
        <v>13</v>
      </c>
      <c r="F1270" t="s">
        <v>80</v>
      </c>
      <c r="G1270" t="s">
        <v>81</v>
      </c>
      <c r="H1270" t="s">
        <v>82</v>
      </c>
      <c r="I1270" s="6" t="s">
        <v>744</v>
      </c>
      <c r="J1270" s="61" t="s">
        <v>745</v>
      </c>
      <c r="L1270" s="5" t="str">
        <f t="shared" si="255"/>
        <v>01269</v>
      </c>
      <c r="M1270" s="47" t="str">
        <f t="shared" si="256"/>
        <v>12 de julio de 2018</v>
      </c>
      <c r="N1270" s="323">
        <f t="shared" si="230"/>
        <v>12</v>
      </c>
      <c r="O1270" s="25">
        <f t="shared" si="257"/>
        <v>43282</v>
      </c>
      <c r="P1270" s="5" t="str">
        <f t="shared" si="258"/>
        <v>13,00</v>
      </c>
      <c r="Q1270" s="4" t="str">
        <f t="shared" si="260"/>
        <v>Trece Bolívares con 00/100</v>
      </c>
    </row>
    <row r="1271" spans="1:17" x14ac:dyDescent="0.25">
      <c r="A1271" s="1">
        <f t="shared" si="242"/>
        <v>1270</v>
      </c>
      <c r="C1271" s="8" t="s">
        <v>17</v>
      </c>
      <c r="D1271" s="2">
        <v>43293</v>
      </c>
      <c r="E1271" s="3">
        <f>1220000/100000</f>
        <v>12.2</v>
      </c>
      <c r="F1271" t="s">
        <v>407</v>
      </c>
      <c r="G1271" t="s">
        <v>408</v>
      </c>
      <c r="H1271" t="s">
        <v>409</v>
      </c>
      <c r="I1271" s="6" t="s">
        <v>744</v>
      </c>
      <c r="J1271" s="61" t="s">
        <v>745</v>
      </c>
      <c r="L1271" s="5" t="str">
        <f t="shared" ref="L1271:L1276" si="261">IF(ISBLANK(A1271),"",TEXT(A1271,"00000"))</f>
        <v>01270</v>
      </c>
      <c r="M1271" s="47" t="str">
        <f t="shared" ref="M1271:M1276" si="262">IF(ISBLANK(D1271),"",TEXT(D1271,"dd")&amp;" de "&amp;TEXT(D1271,"mmmm")&amp;" de "&amp;TEXT(YEAR(D1271),"0"))</f>
        <v>12 de julio de 2018</v>
      </c>
      <c r="N1271" s="323">
        <f t="shared" si="230"/>
        <v>12</v>
      </c>
      <c r="O1271" s="25">
        <f t="shared" ref="O1271:O1276" si="263">DATE(YEAR(D1271),MONTH(D1271),1)</f>
        <v>43282</v>
      </c>
      <c r="P1271" s="5" t="str">
        <f t="shared" ref="P1271:P1276" si="264">TEXT(E1271,"#.##0,00")</f>
        <v>12,20</v>
      </c>
      <c r="Q1271" s="4" t="str">
        <f>CONVERTIRNUM(E1271)</f>
        <v>Doce Bolívares con 20/100</v>
      </c>
    </row>
    <row r="1272" spans="1:17" x14ac:dyDescent="0.25">
      <c r="A1272" s="1">
        <f t="shared" si="242"/>
        <v>1271</v>
      </c>
      <c r="C1272" s="8" t="s">
        <v>17</v>
      </c>
      <c r="D1272" s="2">
        <v>43293</v>
      </c>
      <c r="E1272" s="3">
        <f>1220000/100000</f>
        <v>12.2</v>
      </c>
      <c r="F1272" t="s">
        <v>594</v>
      </c>
      <c r="G1272" t="s">
        <v>595</v>
      </c>
      <c r="H1272" t="s">
        <v>596</v>
      </c>
      <c r="I1272" s="6" t="s">
        <v>744</v>
      </c>
      <c r="J1272" s="61" t="s">
        <v>745</v>
      </c>
      <c r="L1272" s="5" t="str">
        <f t="shared" si="261"/>
        <v>01271</v>
      </c>
      <c r="M1272" s="47" t="str">
        <f t="shared" si="262"/>
        <v>12 de julio de 2018</v>
      </c>
      <c r="N1272" s="323">
        <f t="shared" si="230"/>
        <v>12</v>
      </c>
      <c r="O1272" s="25">
        <f t="shared" si="263"/>
        <v>43282</v>
      </c>
      <c r="P1272" s="5" t="str">
        <f t="shared" si="264"/>
        <v>12,20</v>
      </c>
      <c r="Q1272" s="4" t="str">
        <f t="shared" ref="Q1272:Q1276" si="265">CONVERTIRNUM(E1272)</f>
        <v>Doce Bolívares con 20/100</v>
      </c>
    </row>
    <row r="1273" spans="1:17" x14ac:dyDescent="0.25">
      <c r="A1273" s="1">
        <f t="shared" si="242"/>
        <v>1272</v>
      </c>
      <c r="C1273" s="8" t="s">
        <v>17</v>
      </c>
      <c r="D1273" s="2">
        <v>43293</v>
      </c>
      <c r="E1273" s="3">
        <f>1220000/100000</f>
        <v>12.2</v>
      </c>
      <c r="F1273" t="s">
        <v>612</v>
      </c>
      <c r="G1273" t="s">
        <v>613</v>
      </c>
      <c r="H1273" t="s">
        <v>614</v>
      </c>
      <c r="I1273" s="6" t="s">
        <v>775</v>
      </c>
      <c r="J1273" s="61" t="s">
        <v>745</v>
      </c>
      <c r="L1273" s="5" t="str">
        <f t="shared" si="261"/>
        <v>01272</v>
      </c>
      <c r="M1273" s="47" t="str">
        <f t="shared" si="262"/>
        <v>12 de julio de 2018</v>
      </c>
      <c r="N1273" s="323">
        <f t="shared" si="230"/>
        <v>12</v>
      </c>
      <c r="O1273" s="25">
        <f t="shared" si="263"/>
        <v>43282</v>
      </c>
      <c r="P1273" s="5" t="str">
        <f t="shared" si="264"/>
        <v>12,20</v>
      </c>
      <c r="Q1273" s="4" t="str">
        <f t="shared" si="265"/>
        <v>Doce Bolívares con 20/100</v>
      </c>
    </row>
    <row r="1274" spans="1:17" x14ac:dyDescent="0.25">
      <c r="A1274" s="1">
        <f t="shared" si="242"/>
        <v>1273</v>
      </c>
      <c r="C1274" s="8" t="s">
        <v>17</v>
      </c>
      <c r="D1274" s="2">
        <v>43263</v>
      </c>
      <c r="E1274" s="3">
        <f>1225000/100000</f>
        <v>12.25</v>
      </c>
      <c r="F1274" t="s">
        <v>144</v>
      </c>
      <c r="G1274" t="s">
        <v>661</v>
      </c>
      <c r="H1274" t="s">
        <v>146</v>
      </c>
      <c r="I1274" s="6" t="s">
        <v>736</v>
      </c>
      <c r="J1274" s="61" t="s">
        <v>22</v>
      </c>
      <c r="L1274" s="5" t="str">
        <f t="shared" si="261"/>
        <v>01273</v>
      </c>
      <c r="M1274" s="47" t="str">
        <f t="shared" si="262"/>
        <v>12 de junio de 2018</v>
      </c>
      <c r="N1274" s="323">
        <f t="shared" si="230"/>
        <v>12</v>
      </c>
      <c r="O1274" s="25">
        <f t="shared" si="263"/>
        <v>43252</v>
      </c>
      <c r="P1274" s="5" t="str">
        <f t="shared" si="264"/>
        <v>12,25</v>
      </c>
      <c r="Q1274" s="4" t="str">
        <f t="shared" si="265"/>
        <v>Doce Bolívares con 25/100</v>
      </c>
    </row>
    <row r="1275" spans="1:17" x14ac:dyDescent="0.25">
      <c r="A1275" s="1">
        <f t="shared" si="242"/>
        <v>1274</v>
      </c>
      <c r="C1275" s="8" t="s">
        <v>17</v>
      </c>
      <c r="D1275" s="2">
        <v>43294</v>
      </c>
      <c r="E1275" s="3">
        <f>1000000/100000</f>
        <v>10</v>
      </c>
      <c r="F1275" t="s">
        <v>181</v>
      </c>
      <c r="G1275" t="s">
        <v>182</v>
      </c>
      <c r="H1275" t="s">
        <v>183</v>
      </c>
      <c r="I1275" s="6" t="s">
        <v>750</v>
      </c>
      <c r="J1275" s="61" t="s">
        <v>22</v>
      </c>
      <c r="L1275" s="5" t="str">
        <f t="shared" si="261"/>
        <v>01274</v>
      </c>
      <c r="M1275" s="47" t="str">
        <f t="shared" si="262"/>
        <v>13 de julio de 2018</v>
      </c>
      <c r="N1275" s="323">
        <f t="shared" si="230"/>
        <v>13</v>
      </c>
      <c r="O1275" s="25">
        <f t="shared" si="263"/>
        <v>43282</v>
      </c>
      <c r="P1275" s="5" t="str">
        <f t="shared" si="264"/>
        <v>10,00</v>
      </c>
      <c r="Q1275" s="4" t="str">
        <f t="shared" si="265"/>
        <v>Diez Bolívares con 00/100</v>
      </c>
    </row>
    <row r="1276" spans="1:17" x14ac:dyDescent="0.25">
      <c r="A1276" s="1">
        <f t="shared" si="242"/>
        <v>1275</v>
      </c>
      <c r="C1276" s="8" t="s">
        <v>17</v>
      </c>
      <c r="D1276" s="2">
        <v>43294</v>
      </c>
      <c r="E1276" s="3">
        <f>1220000/100000</f>
        <v>12.2</v>
      </c>
      <c r="F1276" t="s">
        <v>181</v>
      </c>
      <c r="G1276" t="s">
        <v>182</v>
      </c>
      <c r="H1276" t="s">
        <v>183</v>
      </c>
      <c r="I1276" s="6" t="s">
        <v>744</v>
      </c>
      <c r="J1276" s="61" t="s">
        <v>745</v>
      </c>
      <c r="L1276" s="5" t="str">
        <f t="shared" si="261"/>
        <v>01275</v>
      </c>
      <c r="M1276" s="47" t="str">
        <f t="shared" si="262"/>
        <v>13 de julio de 2018</v>
      </c>
      <c r="N1276" s="323">
        <f t="shared" si="230"/>
        <v>13</v>
      </c>
      <c r="O1276" s="25">
        <f t="shared" si="263"/>
        <v>43282</v>
      </c>
      <c r="P1276" s="5" t="str">
        <f t="shared" si="264"/>
        <v>12,20</v>
      </c>
      <c r="Q1276" s="4" t="str">
        <f t="shared" si="265"/>
        <v>Doce Bolívares con 20/100</v>
      </c>
    </row>
    <row r="1277" spans="1:17" x14ac:dyDescent="0.25">
      <c r="A1277" s="1">
        <f t="shared" si="242"/>
        <v>1276</v>
      </c>
      <c r="C1277" s="8" t="s">
        <v>17</v>
      </c>
      <c r="D1277" s="2">
        <v>43295</v>
      </c>
      <c r="E1277" s="3">
        <f>1000000/100000</f>
        <v>10</v>
      </c>
      <c r="F1277" t="s">
        <v>407</v>
      </c>
      <c r="G1277" t="s">
        <v>408</v>
      </c>
      <c r="H1277" t="s">
        <v>409</v>
      </c>
      <c r="I1277" s="6" t="s">
        <v>750</v>
      </c>
      <c r="J1277" s="61" t="s">
        <v>22</v>
      </c>
      <c r="L1277" s="5" t="str">
        <f t="shared" ref="L1277:L1279" si="266">IF(ISBLANK(A1277),"",TEXT(A1277,"00000"))</f>
        <v>01276</v>
      </c>
      <c r="M1277" s="47" t="str">
        <f t="shared" ref="M1277:M1279" si="267">IF(ISBLANK(D1277),"",TEXT(D1277,"dd")&amp;" de "&amp;TEXT(D1277,"mmmm")&amp;" de "&amp;TEXT(YEAR(D1277),"0"))</f>
        <v>14 de julio de 2018</v>
      </c>
      <c r="N1277" s="323">
        <f t="shared" si="230"/>
        <v>14</v>
      </c>
      <c r="O1277" s="25">
        <f t="shared" ref="O1277:O1279" si="268">DATE(YEAR(D1277),MONTH(D1277),1)</f>
        <v>43282</v>
      </c>
      <c r="P1277" s="5" t="str">
        <f t="shared" ref="P1277:P1286" si="269">TEXT(E1277,"#.##0,00")</f>
        <v>10,00</v>
      </c>
      <c r="Q1277" s="4" t="str">
        <f>CONVERTIRNUM(E1277)</f>
        <v>Diez Bolívares con 00/100</v>
      </c>
    </row>
    <row r="1278" spans="1:17" x14ac:dyDescent="0.25">
      <c r="A1278" s="1">
        <f t="shared" si="242"/>
        <v>1277</v>
      </c>
      <c r="C1278" s="8" t="s">
        <v>17</v>
      </c>
      <c r="D1278" s="2">
        <v>43295</v>
      </c>
      <c r="E1278" s="3">
        <f>150000/100000</f>
        <v>1.5</v>
      </c>
      <c r="F1278" t="s">
        <v>324</v>
      </c>
      <c r="G1278" t="s">
        <v>325</v>
      </c>
      <c r="H1278" t="s">
        <v>326</v>
      </c>
      <c r="I1278" s="6" t="s">
        <v>746</v>
      </c>
      <c r="J1278" s="61" t="s">
        <v>22</v>
      </c>
      <c r="L1278" s="5" t="str">
        <f t="shared" si="266"/>
        <v>01277</v>
      </c>
      <c r="M1278" s="47" t="str">
        <f t="shared" si="267"/>
        <v>14 de julio de 2018</v>
      </c>
      <c r="N1278" s="323">
        <f t="shared" si="230"/>
        <v>14</v>
      </c>
      <c r="O1278" s="25">
        <f t="shared" si="268"/>
        <v>43282</v>
      </c>
      <c r="P1278" s="5" t="str">
        <f t="shared" si="269"/>
        <v>1,50</v>
      </c>
      <c r="Q1278" s="4" t="str">
        <f t="shared" ref="Q1278:Q1286" si="270">CONVERTIRNUM(E1278)</f>
        <v>Un Bolívares con 50/100</v>
      </c>
    </row>
    <row r="1279" spans="1:17" x14ac:dyDescent="0.25">
      <c r="A1279" s="1">
        <f t="shared" si="242"/>
        <v>1278</v>
      </c>
      <c r="C1279" s="8" t="s">
        <v>17</v>
      </c>
      <c r="D1279" s="2">
        <v>43295</v>
      </c>
      <c r="E1279" s="3">
        <f>1000000/100000-150000/100000</f>
        <v>8.5</v>
      </c>
      <c r="F1279" t="s">
        <v>324</v>
      </c>
      <c r="G1279" t="s">
        <v>325</v>
      </c>
      <c r="H1279" t="s">
        <v>326</v>
      </c>
      <c r="I1279" s="6" t="s">
        <v>744</v>
      </c>
      <c r="J1279" s="61" t="s">
        <v>745</v>
      </c>
      <c r="L1279" s="5" t="str">
        <f t="shared" si="266"/>
        <v>01278</v>
      </c>
      <c r="M1279" s="47" t="str">
        <f t="shared" si="267"/>
        <v>14 de julio de 2018</v>
      </c>
      <c r="N1279" s="323">
        <f t="shared" si="230"/>
        <v>14</v>
      </c>
      <c r="O1279" s="25">
        <f t="shared" si="268"/>
        <v>43282</v>
      </c>
      <c r="P1279" s="5" t="str">
        <f t="shared" si="269"/>
        <v>8,50</v>
      </c>
      <c r="Q1279" s="4" t="str">
        <f t="shared" si="270"/>
        <v>Ocho Bolívares con 50/100</v>
      </c>
    </row>
    <row r="1280" spans="1:17" x14ac:dyDescent="0.25">
      <c r="A1280" s="1">
        <f t="shared" si="242"/>
        <v>1279</v>
      </c>
      <c r="C1280" s="8" t="s">
        <v>17</v>
      </c>
      <c r="D1280" s="2">
        <v>43295</v>
      </c>
      <c r="E1280" s="3">
        <f>1220000/100000</f>
        <v>12.2</v>
      </c>
      <c r="F1280" t="s">
        <v>454</v>
      </c>
      <c r="G1280" t="s">
        <v>761</v>
      </c>
      <c r="H1280" t="s">
        <v>455</v>
      </c>
      <c r="I1280" s="6" t="s">
        <v>744</v>
      </c>
      <c r="J1280" s="61" t="s">
        <v>745</v>
      </c>
      <c r="L1280" s="5" t="str">
        <f>IF(ISBLANK(A1280),"",TEXT(A1280,"00000"))</f>
        <v>01279</v>
      </c>
      <c r="M1280" s="47" t="str">
        <f>IF(ISBLANK(D1280),"",TEXT(D1280,"dd")&amp;" de "&amp;TEXT(D1280,"mmmm")&amp;" de "&amp;TEXT(YEAR(D1280),"0"))</f>
        <v>14 de julio de 2018</v>
      </c>
      <c r="N1280" s="323">
        <f t="shared" si="230"/>
        <v>14</v>
      </c>
      <c r="O1280" s="25">
        <f>DATE(YEAR(D1280),MONTH(D1280),1)</f>
        <v>43282</v>
      </c>
      <c r="P1280" s="5" t="str">
        <f t="shared" si="269"/>
        <v>12,20</v>
      </c>
      <c r="Q1280" s="4" t="str">
        <f t="shared" si="270"/>
        <v>Doce Bolívares con 20/100</v>
      </c>
    </row>
    <row r="1281" spans="1:17" x14ac:dyDescent="0.25">
      <c r="A1281" s="1">
        <f t="shared" si="242"/>
        <v>1280</v>
      </c>
      <c r="C1281" s="8" t="s">
        <v>17</v>
      </c>
      <c r="D1281" s="2">
        <v>43297</v>
      </c>
      <c r="E1281" s="3">
        <f>225000/100000+600000/100000</f>
        <v>8.25</v>
      </c>
      <c r="F1281" t="s">
        <v>342</v>
      </c>
      <c r="G1281" t="s">
        <v>343</v>
      </c>
      <c r="H1281" t="s">
        <v>344</v>
      </c>
      <c r="I1281" s="6" t="s">
        <v>776</v>
      </c>
      <c r="J1281" s="61" t="s">
        <v>22</v>
      </c>
      <c r="L1281" s="5" t="str">
        <f t="shared" ref="L1281:L1286" si="271">IF(ISBLANK(A1281),"",TEXT(A1281,"00000"))</f>
        <v>01280</v>
      </c>
      <c r="M1281" s="47" t="str">
        <f t="shared" ref="M1281:M1286" si="272">IF(ISBLANK(D1281),"",TEXT(D1281,"dd")&amp;" de "&amp;TEXT(D1281,"mmmm")&amp;" de "&amp;TEXT(YEAR(D1281),"0"))</f>
        <v>16 de julio de 2018</v>
      </c>
      <c r="N1281" s="323">
        <f t="shared" si="230"/>
        <v>16</v>
      </c>
      <c r="O1281" s="25">
        <f t="shared" ref="O1281:O1286" si="273">DATE(YEAR(D1281),MONTH(D1281),1)</f>
        <v>43282</v>
      </c>
      <c r="P1281" s="5" t="str">
        <f t="shared" si="269"/>
        <v>8,25</v>
      </c>
      <c r="Q1281" s="4" t="str">
        <f t="shared" si="270"/>
        <v>Ocho Bolívares con 25/100</v>
      </c>
    </row>
    <row r="1282" spans="1:17" x14ac:dyDescent="0.25">
      <c r="A1282" s="1">
        <f t="shared" si="242"/>
        <v>1281</v>
      </c>
      <c r="C1282" s="8" t="s">
        <v>17</v>
      </c>
      <c r="D1282" s="2">
        <v>43297</v>
      </c>
      <c r="E1282" s="3">
        <f>1220000/100000</f>
        <v>12.2</v>
      </c>
      <c r="F1282" t="s">
        <v>342</v>
      </c>
      <c r="G1282" t="s">
        <v>343</v>
      </c>
      <c r="H1282" t="s">
        <v>344</v>
      </c>
      <c r="I1282" s="6" t="s">
        <v>744</v>
      </c>
      <c r="J1282" s="61" t="s">
        <v>745</v>
      </c>
      <c r="L1282" s="5" t="str">
        <f t="shared" si="271"/>
        <v>01281</v>
      </c>
      <c r="M1282" s="47" t="str">
        <f t="shared" si="272"/>
        <v>16 de julio de 2018</v>
      </c>
      <c r="N1282" s="323">
        <f t="shared" si="230"/>
        <v>16</v>
      </c>
      <c r="O1282" s="25">
        <f t="shared" si="273"/>
        <v>43282</v>
      </c>
      <c r="P1282" s="5" t="str">
        <f t="shared" si="269"/>
        <v>12,20</v>
      </c>
      <c r="Q1282" s="4" t="str">
        <f t="shared" si="270"/>
        <v>Doce Bolívares con 20/100</v>
      </c>
    </row>
    <row r="1283" spans="1:17" x14ac:dyDescent="0.25">
      <c r="A1283" s="1">
        <f t="shared" si="242"/>
        <v>1282</v>
      </c>
      <c r="C1283" s="85" t="s">
        <v>17</v>
      </c>
      <c r="D1283" s="2">
        <v>43297</v>
      </c>
      <c r="E1283" s="3">
        <f>2225000/100000</f>
        <v>22.25</v>
      </c>
      <c r="F1283" t="s">
        <v>177</v>
      </c>
      <c r="G1283" s="18" t="s">
        <v>58</v>
      </c>
      <c r="H1283" t="s">
        <v>179</v>
      </c>
      <c r="I1283" s="6" t="s">
        <v>777</v>
      </c>
      <c r="J1283" s="61" t="s">
        <v>22</v>
      </c>
      <c r="L1283" s="5" t="str">
        <f t="shared" si="271"/>
        <v>01282</v>
      </c>
      <c r="M1283" s="47" t="str">
        <f t="shared" si="272"/>
        <v>16 de julio de 2018</v>
      </c>
      <c r="N1283" s="323">
        <f t="shared" ref="N1283:N1346" si="274">DAY(D1283)</f>
        <v>16</v>
      </c>
      <c r="O1283" s="25">
        <f t="shared" si="273"/>
        <v>43282</v>
      </c>
      <c r="P1283" s="5" t="str">
        <f t="shared" si="269"/>
        <v>22,25</v>
      </c>
      <c r="Q1283" s="4" t="str">
        <f t="shared" si="270"/>
        <v>Veintidos Bolívares con 25/100</v>
      </c>
    </row>
    <row r="1284" spans="1:17" x14ac:dyDescent="0.25">
      <c r="A1284" s="1">
        <f t="shared" si="242"/>
        <v>1283</v>
      </c>
      <c r="C1284" s="8" t="s">
        <v>17</v>
      </c>
      <c r="D1284" s="2">
        <v>43298</v>
      </c>
      <c r="E1284" s="3">
        <f>800000/100000</f>
        <v>8</v>
      </c>
      <c r="F1284" t="s">
        <v>537</v>
      </c>
      <c r="G1284" t="s">
        <v>538</v>
      </c>
      <c r="H1284" t="s">
        <v>539</v>
      </c>
      <c r="I1284" s="6" t="s">
        <v>759</v>
      </c>
      <c r="J1284" s="61" t="s">
        <v>22</v>
      </c>
      <c r="L1284" s="5" t="str">
        <f t="shared" si="271"/>
        <v>01283</v>
      </c>
      <c r="M1284" s="47" t="str">
        <f t="shared" si="272"/>
        <v>17 de julio de 2018</v>
      </c>
      <c r="N1284" s="323">
        <f t="shared" si="274"/>
        <v>17</v>
      </c>
      <c r="O1284" s="25">
        <f t="shared" si="273"/>
        <v>43282</v>
      </c>
      <c r="P1284" s="5" t="str">
        <f t="shared" si="269"/>
        <v>8,00</v>
      </c>
      <c r="Q1284" s="4" t="str">
        <f t="shared" si="270"/>
        <v>Ocho Bolívares con 00/100</v>
      </c>
    </row>
    <row r="1285" spans="1:17" x14ac:dyDescent="0.25">
      <c r="A1285" s="1">
        <f t="shared" si="242"/>
        <v>1284</v>
      </c>
      <c r="C1285" s="8" t="s">
        <v>17</v>
      </c>
      <c r="D1285" s="2">
        <v>43298</v>
      </c>
      <c r="E1285" s="3">
        <f>1000000/100000</f>
        <v>10</v>
      </c>
      <c r="F1285" t="s">
        <v>130</v>
      </c>
      <c r="G1285" t="s">
        <v>131</v>
      </c>
      <c r="H1285" t="s">
        <v>132</v>
      </c>
      <c r="I1285" s="6" t="s">
        <v>750</v>
      </c>
      <c r="J1285" s="61" t="s">
        <v>22</v>
      </c>
      <c r="L1285" s="5" t="str">
        <f t="shared" si="271"/>
        <v>01284</v>
      </c>
      <c r="M1285" s="47" t="str">
        <f t="shared" si="272"/>
        <v>17 de julio de 2018</v>
      </c>
      <c r="N1285" s="323">
        <f t="shared" si="274"/>
        <v>17</v>
      </c>
      <c r="O1285" s="25">
        <f t="shared" si="273"/>
        <v>43282</v>
      </c>
      <c r="P1285" s="5" t="str">
        <f t="shared" si="269"/>
        <v>10,00</v>
      </c>
      <c r="Q1285" s="4" t="str">
        <f t="shared" si="270"/>
        <v>Diez Bolívares con 00/100</v>
      </c>
    </row>
    <row r="1286" spans="1:17" x14ac:dyDescent="0.25">
      <c r="A1286" s="1">
        <f t="shared" si="242"/>
        <v>1285</v>
      </c>
      <c r="C1286" s="8" t="s">
        <v>17</v>
      </c>
      <c r="D1286" s="2">
        <v>43299</v>
      </c>
      <c r="E1286" s="3">
        <f>1000000/100000</f>
        <v>10</v>
      </c>
      <c r="F1286" t="s">
        <v>103</v>
      </c>
      <c r="G1286" t="s">
        <v>104</v>
      </c>
      <c r="H1286" t="s">
        <v>105</v>
      </c>
      <c r="I1286" s="6" t="s">
        <v>750</v>
      </c>
      <c r="J1286" s="61" t="s">
        <v>22</v>
      </c>
      <c r="L1286" s="5" t="str">
        <f t="shared" si="271"/>
        <v>01285</v>
      </c>
      <c r="M1286" s="47" t="str">
        <f t="shared" si="272"/>
        <v>18 de julio de 2018</v>
      </c>
      <c r="N1286" s="323">
        <f t="shared" si="274"/>
        <v>18</v>
      </c>
      <c r="O1286" s="25">
        <f t="shared" si="273"/>
        <v>43282</v>
      </c>
      <c r="P1286" s="5" t="str">
        <f t="shared" si="269"/>
        <v>10,00</v>
      </c>
      <c r="Q1286" s="4" t="str">
        <f t="shared" si="270"/>
        <v>Diez Bolívares con 00/100</v>
      </c>
    </row>
    <row r="1287" spans="1:17" x14ac:dyDescent="0.25">
      <c r="A1287" s="1">
        <f t="shared" si="242"/>
        <v>1286</v>
      </c>
      <c r="C1287" s="8" t="s">
        <v>17</v>
      </c>
      <c r="D1287" s="2">
        <v>43299</v>
      </c>
      <c r="E1287" s="3">
        <f>1220000/100000</f>
        <v>12.2</v>
      </c>
      <c r="F1287" t="s">
        <v>103</v>
      </c>
      <c r="G1287" t="s">
        <v>104</v>
      </c>
      <c r="H1287" t="s">
        <v>105</v>
      </c>
      <c r="I1287" s="6" t="s">
        <v>744</v>
      </c>
      <c r="J1287" s="61" t="s">
        <v>745</v>
      </c>
      <c r="L1287" s="5" t="str">
        <f t="shared" ref="L1287:L1295" si="275">IF(ISBLANK(A1287),"",TEXT(A1287,"00000"))</f>
        <v>01286</v>
      </c>
      <c r="M1287" s="47" t="str">
        <f t="shared" ref="M1287:M1295" si="276">IF(ISBLANK(D1287),"",TEXT(D1287,"dd")&amp;" de "&amp;TEXT(D1287,"mmmm")&amp;" de "&amp;TEXT(YEAR(D1287),"0"))</f>
        <v>18 de julio de 2018</v>
      </c>
      <c r="N1287" s="323">
        <f t="shared" si="274"/>
        <v>18</v>
      </c>
      <c r="O1287" s="25">
        <f t="shared" ref="O1287:O1295" si="277">DATE(YEAR(D1287),MONTH(D1287),1)</f>
        <v>43282</v>
      </c>
      <c r="P1287" s="5" t="str">
        <f t="shared" ref="P1287:P1298" si="278">TEXT(E1287,"#.##0,00")</f>
        <v>12,20</v>
      </c>
      <c r="Q1287" s="4" t="str">
        <f t="shared" ref="Q1287:Q1298" si="279">CONVERTIRNUM(E1287)</f>
        <v>Doce Bolívares con 20/100</v>
      </c>
    </row>
    <row r="1288" spans="1:17" x14ac:dyDescent="0.25">
      <c r="A1288" s="1">
        <f t="shared" si="242"/>
        <v>1287</v>
      </c>
      <c r="C1288" s="8" t="s">
        <v>17</v>
      </c>
      <c r="D1288" s="2">
        <v>43299</v>
      </c>
      <c r="E1288" s="3">
        <f>1200000/100000</f>
        <v>12</v>
      </c>
      <c r="F1288" t="s">
        <v>32</v>
      </c>
      <c r="G1288" t="s">
        <v>33</v>
      </c>
      <c r="H1288" t="s">
        <v>34</v>
      </c>
      <c r="I1288" s="161" t="s">
        <v>778</v>
      </c>
      <c r="J1288" s="61" t="s">
        <v>22</v>
      </c>
      <c r="L1288" s="5" t="str">
        <f t="shared" si="275"/>
        <v>01287</v>
      </c>
      <c r="M1288" s="47" t="str">
        <f t="shared" si="276"/>
        <v>18 de julio de 2018</v>
      </c>
      <c r="N1288" s="323">
        <f t="shared" si="274"/>
        <v>18</v>
      </c>
      <c r="O1288" s="25">
        <f t="shared" si="277"/>
        <v>43282</v>
      </c>
      <c r="P1288" s="5" t="str">
        <f t="shared" si="278"/>
        <v>12,00</v>
      </c>
      <c r="Q1288" s="4" t="str">
        <f t="shared" si="279"/>
        <v>Doce Bolívares con 00/100</v>
      </c>
    </row>
    <row r="1289" spans="1:17" x14ac:dyDescent="0.25">
      <c r="A1289" s="1">
        <f>A1288+1</f>
        <v>1288</v>
      </c>
      <c r="C1289" s="8" t="s">
        <v>17</v>
      </c>
      <c r="D1289" s="2">
        <v>43301</v>
      </c>
      <c r="E1289" s="3">
        <f>1220000/100000</f>
        <v>12.2</v>
      </c>
      <c r="F1289" t="s">
        <v>70</v>
      </c>
      <c r="G1289" t="s">
        <v>71</v>
      </c>
      <c r="H1289" t="s">
        <v>72</v>
      </c>
      <c r="I1289" s="6" t="s">
        <v>744</v>
      </c>
      <c r="J1289" s="61" t="s">
        <v>745</v>
      </c>
      <c r="L1289" s="5" t="str">
        <f t="shared" si="275"/>
        <v>01288</v>
      </c>
      <c r="M1289" s="47" t="str">
        <f t="shared" si="276"/>
        <v>20 de julio de 2018</v>
      </c>
      <c r="N1289" s="323">
        <f t="shared" si="274"/>
        <v>20</v>
      </c>
      <c r="O1289" s="25">
        <f t="shared" si="277"/>
        <v>43282</v>
      </c>
      <c r="P1289" s="5" t="str">
        <f t="shared" si="278"/>
        <v>12,20</v>
      </c>
      <c r="Q1289" s="4" t="str">
        <f t="shared" si="279"/>
        <v>Doce Bolívares con 20/100</v>
      </c>
    </row>
    <row r="1290" spans="1:17" x14ac:dyDescent="0.25">
      <c r="A1290" s="1">
        <f t="shared" si="242"/>
        <v>1289</v>
      </c>
      <c r="C1290" s="8" t="s">
        <v>17</v>
      </c>
      <c r="D1290" s="2">
        <v>43301</v>
      </c>
      <c r="E1290" s="3">
        <f>550000/100000</f>
        <v>5.5</v>
      </c>
      <c r="F1290" t="s">
        <v>211</v>
      </c>
      <c r="G1290" t="s">
        <v>212</v>
      </c>
      <c r="H1290" t="s">
        <v>213</v>
      </c>
      <c r="I1290" s="6" t="s">
        <v>746</v>
      </c>
      <c r="J1290" s="61" t="s">
        <v>22</v>
      </c>
      <c r="L1290" s="5" t="str">
        <f t="shared" si="275"/>
        <v>01289</v>
      </c>
      <c r="M1290" s="47" t="str">
        <f t="shared" si="276"/>
        <v>20 de julio de 2018</v>
      </c>
      <c r="N1290" s="323">
        <f t="shared" si="274"/>
        <v>20</v>
      </c>
      <c r="O1290" s="25">
        <f t="shared" si="277"/>
        <v>43282</v>
      </c>
      <c r="P1290" s="5" t="str">
        <f t="shared" si="278"/>
        <v>5,50</v>
      </c>
      <c r="Q1290" s="4" t="str">
        <f t="shared" si="279"/>
        <v>Cinco Bolívares con 50/100</v>
      </c>
    </row>
    <row r="1291" spans="1:17" x14ac:dyDescent="0.25">
      <c r="A1291" s="1">
        <f t="shared" si="242"/>
        <v>1290</v>
      </c>
      <c r="C1291" s="85" t="s">
        <v>17</v>
      </c>
      <c r="D1291" s="2">
        <v>43302</v>
      </c>
      <c r="E1291" s="162">
        <f>100000/100000</f>
        <v>1</v>
      </c>
      <c r="F1291" t="s">
        <v>492</v>
      </c>
      <c r="G1291" s="18" t="s">
        <v>58</v>
      </c>
      <c r="H1291" t="s">
        <v>493</v>
      </c>
      <c r="I1291" s="6" t="s">
        <v>729</v>
      </c>
      <c r="J1291" s="61" t="s">
        <v>22</v>
      </c>
      <c r="L1291" s="5" t="str">
        <f t="shared" si="275"/>
        <v>01290</v>
      </c>
      <c r="M1291" s="47" t="str">
        <f t="shared" si="276"/>
        <v>21 de julio de 2018</v>
      </c>
      <c r="N1291" s="323">
        <f t="shared" si="274"/>
        <v>21</v>
      </c>
      <c r="O1291" s="25">
        <f t="shared" si="277"/>
        <v>43282</v>
      </c>
      <c r="P1291" s="5" t="str">
        <f t="shared" si="278"/>
        <v>1,00</v>
      </c>
      <c r="Q1291" s="4" t="str">
        <f t="shared" si="279"/>
        <v>Un Bolívar con 00/100</v>
      </c>
    </row>
    <row r="1292" spans="1:17" x14ac:dyDescent="0.25">
      <c r="A1292" s="1">
        <f t="shared" si="242"/>
        <v>1291</v>
      </c>
      <c r="C1292" s="8" t="s">
        <v>17</v>
      </c>
      <c r="D1292" s="2">
        <v>43301</v>
      </c>
      <c r="E1292" s="3">
        <f>1000000/100000</f>
        <v>10</v>
      </c>
      <c r="F1292" t="s">
        <v>296</v>
      </c>
      <c r="G1292" t="s">
        <v>297</v>
      </c>
      <c r="H1292" t="s">
        <v>298</v>
      </c>
      <c r="I1292" s="6" t="s">
        <v>750</v>
      </c>
      <c r="J1292" s="61" t="s">
        <v>22</v>
      </c>
      <c r="L1292" s="5" t="str">
        <f t="shared" si="275"/>
        <v>01291</v>
      </c>
      <c r="M1292" s="47" t="str">
        <f t="shared" si="276"/>
        <v>20 de julio de 2018</v>
      </c>
      <c r="N1292" s="323">
        <f t="shared" si="274"/>
        <v>20</v>
      </c>
      <c r="O1292" s="25">
        <f t="shared" si="277"/>
        <v>43282</v>
      </c>
      <c r="P1292" s="5" t="str">
        <f t="shared" si="278"/>
        <v>10,00</v>
      </c>
      <c r="Q1292" s="4" t="str">
        <f t="shared" si="279"/>
        <v>Diez Bolívares con 00/100</v>
      </c>
    </row>
    <row r="1293" spans="1:17" x14ac:dyDescent="0.25">
      <c r="A1293" s="1">
        <f t="shared" si="242"/>
        <v>1292</v>
      </c>
      <c r="C1293" s="8" t="s">
        <v>17</v>
      </c>
      <c r="D1293" s="2">
        <v>43301</v>
      </c>
      <c r="E1293" s="3">
        <f>1300000/100000</f>
        <v>13</v>
      </c>
      <c r="F1293" t="s">
        <v>296</v>
      </c>
      <c r="G1293" t="s">
        <v>297</v>
      </c>
      <c r="H1293" t="s">
        <v>298</v>
      </c>
      <c r="I1293" s="6" t="s">
        <v>744</v>
      </c>
      <c r="J1293" s="61" t="s">
        <v>745</v>
      </c>
      <c r="L1293" s="5" t="str">
        <f t="shared" si="275"/>
        <v>01292</v>
      </c>
      <c r="M1293" s="47" t="str">
        <f t="shared" si="276"/>
        <v>20 de julio de 2018</v>
      </c>
      <c r="N1293" s="323">
        <f t="shared" si="274"/>
        <v>20</v>
      </c>
      <c r="O1293" s="25">
        <f t="shared" si="277"/>
        <v>43282</v>
      </c>
      <c r="P1293" s="5" t="str">
        <f t="shared" si="278"/>
        <v>13,00</v>
      </c>
      <c r="Q1293" s="4" t="str">
        <f t="shared" si="279"/>
        <v>Trece Bolívares con 00/100</v>
      </c>
    </row>
    <row r="1294" spans="1:17" x14ac:dyDescent="0.25">
      <c r="A1294" s="1">
        <f t="shared" si="242"/>
        <v>1293</v>
      </c>
      <c r="C1294" s="8" t="s">
        <v>17</v>
      </c>
      <c r="D1294" s="2">
        <v>43301</v>
      </c>
      <c r="E1294" s="3">
        <f>3000000/100000</f>
        <v>30</v>
      </c>
      <c r="F1294" t="s">
        <v>296</v>
      </c>
      <c r="G1294" t="s">
        <v>297</v>
      </c>
      <c r="H1294" t="s">
        <v>298</v>
      </c>
      <c r="I1294" s="6" t="s">
        <v>779</v>
      </c>
      <c r="J1294" s="61" t="s">
        <v>652</v>
      </c>
      <c r="L1294" s="5" t="str">
        <f t="shared" si="275"/>
        <v>01293</v>
      </c>
      <c r="M1294" s="47" t="str">
        <f t="shared" si="276"/>
        <v>20 de julio de 2018</v>
      </c>
      <c r="N1294" s="323">
        <f t="shared" si="274"/>
        <v>20</v>
      </c>
      <c r="O1294" s="25">
        <f t="shared" si="277"/>
        <v>43282</v>
      </c>
      <c r="P1294" s="5" t="str">
        <f t="shared" si="278"/>
        <v>30,00</v>
      </c>
      <c r="Q1294" s="4" t="str">
        <f t="shared" si="279"/>
        <v>Treinta Bolívares con 00/100</v>
      </c>
    </row>
    <row r="1295" spans="1:17" x14ac:dyDescent="0.25">
      <c r="A1295" s="1">
        <f t="shared" si="242"/>
        <v>1294</v>
      </c>
      <c r="C1295" s="8" t="s">
        <v>17</v>
      </c>
      <c r="D1295" s="2">
        <v>43304</v>
      </c>
      <c r="E1295" s="3">
        <f>1220000/100000</f>
        <v>12.2</v>
      </c>
      <c r="F1295" t="s">
        <v>201</v>
      </c>
      <c r="G1295" t="s">
        <v>202</v>
      </c>
      <c r="H1295" t="s">
        <v>203</v>
      </c>
      <c r="I1295" s="6" t="s">
        <v>744</v>
      </c>
      <c r="J1295" s="61" t="s">
        <v>745</v>
      </c>
      <c r="L1295" s="5" t="str">
        <f t="shared" si="275"/>
        <v>01294</v>
      </c>
      <c r="M1295" s="47" t="str">
        <f t="shared" si="276"/>
        <v>23 de julio de 2018</v>
      </c>
      <c r="N1295" s="323">
        <f t="shared" si="274"/>
        <v>23</v>
      </c>
      <c r="O1295" s="25">
        <f t="shared" si="277"/>
        <v>43282</v>
      </c>
      <c r="P1295" s="5" t="str">
        <f t="shared" si="278"/>
        <v>12,20</v>
      </c>
      <c r="Q1295" s="4" t="str">
        <f t="shared" si="279"/>
        <v>Doce Bolívares con 20/100</v>
      </c>
    </row>
    <row r="1296" spans="1:17" x14ac:dyDescent="0.25">
      <c r="A1296" s="1">
        <f t="shared" si="242"/>
        <v>1295</v>
      </c>
      <c r="C1296" s="8" t="s">
        <v>17</v>
      </c>
      <c r="D1296" s="2">
        <v>43301</v>
      </c>
      <c r="E1296" s="3">
        <f>1220000/100000</f>
        <v>12.2</v>
      </c>
      <c r="F1296" t="s">
        <v>243</v>
      </c>
      <c r="G1296" t="s">
        <v>244</v>
      </c>
      <c r="H1296" t="s">
        <v>245</v>
      </c>
      <c r="I1296" s="6" t="s">
        <v>744</v>
      </c>
      <c r="J1296" s="61" t="s">
        <v>745</v>
      </c>
      <c r="L1296" s="5" t="str">
        <f>IF(ISBLANK(A1296),"",TEXT(A1296,"00000"))</f>
        <v>01295</v>
      </c>
      <c r="M1296" s="47" t="str">
        <f>IF(ISBLANK(D1296),"",TEXT(D1296,"dd")&amp;" de "&amp;TEXT(D1296,"mmmm")&amp;" de "&amp;TEXT(YEAR(D1296),"0"))</f>
        <v>20 de julio de 2018</v>
      </c>
      <c r="N1296" s="323">
        <f t="shared" si="274"/>
        <v>20</v>
      </c>
      <c r="O1296" s="25">
        <f>DATE(YEAR(D1296),MONTH(D1296),1)</f>
        <v>43282</v>
      </c>
      <c r="P1296" s="5" t="str">
        <f t="shared" si="278"/>
        <v>12,20</v>
      </c>
      <c r="Q1296" s="4" t="str">
        <f t="shared" si="279"/>
        <v>Doce Bolívares con 20/100</v>
      </c>
    </row>
    <row r="1297" spans="1:17" x14ac:dyDescent="0.25">
      <c r="A1297" s="1">
        <f t="shared" si="242"/>
        <v>1296</v>
      </c>
      <c r="C1297" s="8" t="s">
        <v>17</v>
      </c>
      <c r="D1297" s="2">
        <v>43304</v>
      </c>
      <c r="E1297" s="3">
        <f>1000000/100000</f>
        <v>10</v>
      </c>
      <c r="F1297" t="s">
        <v>126</v>
      </c>
      <c r="G1297" t="s">
        <v>127</v>
      </c>
      <c r="H1297" t="s">
        <v>128</v>
      </c>
      <c r="I1297" s="6" t="s">
        <v>749</v>
      </c>
      <c r="J1297" s="61" t="s">
        <v>22</v>
      </c>
      <c r="L1297" s="5" t="str">
        <f t="shared" ref="L1297:L1301" si="280">IF(ISBLANK(A1297),"",TEXT(A1297,"00000"))</f>
        <v>01296</v>
      </c>
      <c r="M1297" s="47" t="str">
        <f t="shared" ref="M1297:M1301" si="281">IF(ISBLANK(D1297),"",TEXT(D1297,"dd")&amp;" de "&amp;TEXT(D1297,"mmmm")&amp;" de "&amp;TEXT(YEAR(D1297),"0"))</f>
        <v>23 de julio de 2018</v>
      </c>
      <c r="N1297" s="323">
        <f t="shared" si="274"/>
        <v>23</v>
      </c>
      <c r="O1297" s="25">
        <f t="shared" ref="O1297:O1301" si="282">DATE(YEAR(D1297),MONTH(D1297),1)</f>
        <v>43282</v>
      </c>
      <c r="P1297" s="5" t="str">
        <f t="shared" si="278"/>
        <v>10,00</v>
      </c>
      <c r="Q1297" s="4" t="str">
        <f t="shared" si="279"/>
        <v>Diez Bolívares con 00/100</v>
      </c>
    </row>
    <row r="1298" spans="1:17" x14ac:dyDescent="0.25">
      <c r="A1298" s="1">
        <f t="shared" si="242"/>
        <v>1297</v>
      </c>
      <c r="C1298" s="8" t="s">
        <v>17</v>
      </c>
      <c r="D1298" s="2">
        <v>43304</v>
      </c>
      <c r="E1298" s="3">
        <f>1200000/100000</f>
        <v>12</v>
      </c>
      <c r="F1298" t="s">
        <v>126</v>
      </c>
      <c r="G1298" t="s">
        <v>127</v>
      </c>
      <c r="H1298" t="s">
        <v>128</v>
      </c>
      <c r="I1298" s="6" t="s">
        <v>744</v>
      </c>
      <c r="J1298" s="61" t="s">
        <v>745</v>
      </c>
      <c r="L1298" s="5" t="str">
        <f t="shared" si="280"/>
        <v>01297</v>
      </c>
      <c r="M1298" s="47" t="str">
        <f t="shared" si="281"/>
        <v>23 de julio de 2018</v>
      </c>
      <c r="N1298" s="323">
        <f t="shared" si="274"/>
        <v>23</v>
      </c>
      <c r="O1298" s="25">
        <f t="shared" si="282"/>
        <v>43282</v>
      </c>
      <c r="P1298" s="5" t="str">
        <f t="shared" si="278"/>
        <v>12,00</v>
      </c>
      <c r="Q1298" s="4" t="str">
        <f t="shared" si="279"/>
        <v>Doce Bolívares con 00/100</v>
      </c>
    </row>
    <row r="1299" spans="1:17" x14ac:dyDescent="0.25">
      <c r="A1299" s="1">
        <f t="shared" si="242"/>
        <v>1298</v>
      </c>
      <c r="C1299" s="8" t="s">
        <v>17</v>
      </c>
      <c r="D1299" s="2">
        <v>43304</v>
      </c>
      <c r="E1299" s="3">
        <f>150000/100000</f>
        <v>1.5</v>
      </c>
      <c r="F1299" t="s">
        <v>100</v>
      </c>
      <c r="G1299" t="s">
        <v>95</v>
      </c>
      <c r="H1299" t="s">
        <v>101</v>
      </c>
      <c r="I1299" s="6" t="s">
        <v>754</v>
      </c>
      <c r="J1299" s="61" t="s">
        <v>22</v>
      </c>
      <c r="L1299" s="5" t="str">
        <f t="shared" si="280"/>
        <v>01298</v>
      </c>
      <c r="M1299" s="47" t="str">
        <f t="shared" si="281"/>
        <v>23 de julio de 2018</v>
      </c>
      <c r="N1299" s="323">
        <f t="shared" si="274"/>
        <v>23</v>
      </c>
      <c r="O1299" s="25">
        <f t="shared" si="282"/>
        <v>43282</v>
      </c>
      <c r="P1299" s="5" t="str">
        <f>TEXT(E1299,"#.##0,00")</f>
        <v>1,50</v>
      </c>
      <c r="Q1299" s="4" t="str">
        <f>CONVERTIRNUM(E1299)</f>
        <v>Un Bolívares con 50/100</v>
      </c>
    </row>
    <row r="1300" spans="1:17" x14ac:dyDescent="0.25">
      <c r="A1300" s="1">
        <f t="shared" ref="A1300:A1362" si="283">A1299+1</f>
        <v>1299</v>
      </c>
      <c r="C1300" s="8" t="s">
        <v>17</v>
      </c>
      <c r="D1300" s="2">
        <v>43304</v>
      </c>
      <c r="E1300" s="3">
        <f>295000/100000</f>
        <v>2.95</v>
      </c>
      <c r="F1300" t="s">
        <v>100</v>
      </c>
      <c r="G1300" t="s">
        <v>95</v>
      </c>
      <c r="H1300" t="s">
        <v>101</v>
      </c>
      <c r="I1300" s="6" t="s">
        <v>744</v>
      </c>
      <c r="J1300" s="61" t="s">
        <v>745</v>
      </c>
      <c r="L1300" s="5" t="str">
        <f t="shared" si="280"/>
        <v>01299</v>
      </c>
      <c r="M1300" s="47" t="str">
        <f t="shared" si="281"/>
        <v>23 de julio de 2018</v>
      </c>
      <c r="N1300" s="323">
        <f t="shared" si="274"/>
        <v>23</v>
      </c>
      <c r="O1300" s="25">
        <f t="shared" si="282"/>
        <v>43282</v>
      </c>
      <c r="P1300" s="5" t="str">
        <f t="shared" ref="P1300:P1301" si="284">TEXT(E1300,"#.##0,00")</f>
        <v>2,95</v>
      </c>
      <c r="Q1300" s="4" t="str">
        <f t="shared" ref="Q1300:Q1301" si="285">CONVERTIRNUM(E1300)</f>
        <v>Dos Bolívares con 95/100</v>
      </c>
    </row>
    <row r="1301" spans="1:17" x14ac:dyDescent="0.25">
      <c r="A1301" s="1">
        <f t="shared" si="283"/>
        <v>1300</v>
      </c>
      <c r="C1301" s="8" t="s">
        <v>17</v>
      </c>
      <c r="D1301" s="2">
        <v>43304</v>
      </c>
      <c r="E1301" s="3">
        <f>225000/100000</f>
        <v>2.25</v>
      </c>
      <c r="F1301" t="s">
        <v>252</v>
      </c>
      <c r="G1301" t="s">
        <v>253</v>
      </c>
      <c r="H1301" t="s">
        <v>254</v>
      </c>
      <c r="I1301" t="s">
        <v>780</v>
      </c>
      <c r="J1301" s="61" t="s">
        <v>22</v>
      </c>
      <c r="L1301" s="5" t="str">
        <f t="shared" si="280"/>
        <v>01300</v>
      </c>
      <c r="M1301" s="47" t="str">
        <f t="shared" si="281"/>
        <v>23 de julio de 2018</v>
      </c>
      <c r="N1301" s="323">
        <f t="shared" si="274"/>
        <v>23</v>
      </c>
      <c r="O1301" s="25">
        <f t="shared" si="282"/>
        <v>43282</v>
      </c>
      <c r="P1301" s="5" t="str">
        <f t="shared" si="284"/>
        <v>2,25</v>
      </c>
      <c r="Q1301" s="4" t="str">
        <f t="shared" si="285"/>
        <v>Dos Bolívares con 25/100</v>
      </c>
    </row>
    <row r="1302" spans="1:17" x14ac:dyDescent="0.25">
      <c r="A1302" s="1">
        <f t="shared" si="283"/>
        <v>1301</v>
      </c>
      <c r="C1302" s="8" t="s">
        <v>17</v>
      </c>
      <c r="D1302" s="2">
        <v>43304</v>
      </c>
      <c r="E1302" s="3">
        <f>600000/100000</f>
        <v>6</v>
      </c>
      <c r="F1302" t="s">
        <v>252</v>
      </c>
      <c r="G1302" t="s">
        <v>253</v>
      </c>
      <c r="H1302" t="s">
        <v>254</v>
      </c>
      <c r="I1302" t="s">
        <v>781</v>
      </c>
      <c r="J1302" s="61" t="s">
        <v>22</v>
      </c>
      <c r="L1302" s="5" t="str">
        <f t="shared" ref="L1302:L1322" si="286">IF(ISBLANK(A1302),"",TEXT(A1302,"00000"))</f>
        <v>01301</v>
      </c>
      <c r="M1302" s="47" t="str">
        <f t="shared" ref="M1302:M1322" si="287">IF(ISBLANK(D1302),"",TEXT(D1302,"dd")&amp;" de "&amp;TEXT(D1302,"mmmm")&amp;" de "&amp;TEXT(YEAR(D1302),"0"))</f>
        <v>23 de julio de 2018</v>
      </c>
      <c r="N1302" s="323">
        <f t="shared" si="274"/>
        <v>23</v>
      </c>
      <c r="O1302" s="25">
        <f t="shared" ref="O1302:O1322" si="288">DATE(YEAR(D1302),MONTH(D1302),1)</f>
        <v>43282</v>
      </c>
      <c r="P1302" s="5" t="str">
        <f t="shared" ref="P1302:P1325" si="289">TEXT(E1302,"#.##0,00")</f>
        <v>6,00</v>
      </c>
      <c r="Q1302" s="4" t="str">
        <f t="shared" ref="Q1302:Q1325" si="290">CONVERTIRNUM(E1302)</f>
        <v>Seis Bolívares con 00/100</v>
      </c>
    </row>
    <row r="1303" spans="1:17" x14ac:dyDescent="0.25">
      <c r="A1303" s="1">
        <f t="shared" si="283"/>
        <v>1302</v>
      </c>
      <c r="C1303" s="8" t="s">
        <v>17</v>
      </c>
      <c r="D1303" s="2">
        <v>43304</v>
      </c>
      <c r="E1303" s="3">
        <f>1220000/100000</f>
        <v>12.2</v>
      </c>
      <c r="F1303" t="s">
        <v>252</v>
      </c>
      <c r="G1303" t="s">
        <v>253</v>
      </c>
      <c r="H1303" t="s">
        <v>254</v>
      </c>
      <c r="I1303" s="6" t="s">
        <v>782</v>
      </c>
      <c r="J1303" s="61" t="s">
        <v>745</v>
      </c>
      <c r="L1303" s="5" t="str">
        <f t="shared" si="286"/>
        <v>01302</v>
      </c>
      <c r="M1303" s="47" t="str">
        <f t="shared" si="287"/>
        <v>23 de julio de 2018</v>
      </c>
      <c r="N1303" s="323">
        <f t="shared" si="274"/>
        <v>23</v>
      </c>
      <c r="O1303" s="25">
        <f t="shared" si="288"/>
        <v>43282</v>
      </c>
      <c r="P1303" s="5" t="str">
        <f t="shared" si="289"/>
        <v>12,20</v>
      </c>
      <c r="Q1303" s="4" t="str">
        <f t="shared" si="290"/>
        <v>Doce Bolívares con 20/100</v>
      </c>
    </row>
    <row r="1304" spans="1:17" x14ac:dyDescent="0.25">
      <c r="A1304" s="1">
        <f t="shared" si="283"/>
        <v>1303</v>
      </c>
      <c r="C1304" s="8" t="s">
        <v>17</v>
      </c>
      <c r="D1304" s="2">
        <v>43304</v>
      </c>
      <c r="E1304" s="3">
        <f>2000000/100000</f>
        <v>20</v>
      </c>
      <c r="F1304" t="s">
        <v>138</v>
      </c>
      <c r="G1304" t="s">
        <v>139</v>
      </c>
      <c r="H1304" t="s">
        <v>140</v>
      </c>
      <c r="I1304" s="6" t="s">
        <v>783</v>
      </c>
      <c r="J1304" s="61" t="s">
        <v>22</v>
      </c>
      <c r="L1304" s="5" t="str">
        <f t="shared" si="286"/>
        <v>01303</v>
      </c>
      <c r="M1304" s="47" t="str">
        <f t="shared" si="287"/>
        <v>23 de julio de 2018</v>
      </c>
      <c r="N1304" s="323">
        <f t="shared" si="274"/>
        <v>23</v>
      </c>
      <c r="O1304" s="25">
        <f t="shared" si="288"/>
        <v>43282</v>
      </c>
      <c r="P1304" s="5" t="str">
        <f t="shared" si="289"/>
        <v>20,00</v>
      </c>
      <c r="Q1304" s="4" t="str">
        <f t="shared" si="290"/>
        <v>Veinte Bolívares con 00/100</v>
      </c>
    </row>
    <row r="1305" spans="1:17" x14ac:dyDescent="0.25">
      <c r="A1305" s="1">
        <f t="shared" si="283"/>
        <v>1304</v>
      </c>
      <c r="C1305" s="8" t="s">
        <v>17</v>
      </c>
      <c r="D1305" s="2">
        <v>43307</v>
      </c>
      <c r="E1305" s="3">
        <f>150000/100000</f>
        <v>1.5</v>
      </c>
      <c r="F1305" t="s">
        <v>284</v>
      </c>
      <c r="G1305" t="s">
        <v>687</v>
      </c>
      <c r="H1305" t="s">
        <v>285</v>
      </c>
      <c r="I1305" s="6" t="s">
        <v>731</v>
      </c>
      <c r="J1305" s="61" t="s">
        <v>22</v>
      </c>
      <c r="L1305" s="5" t="str">
        <f t="shared" si="286"/>
        <v>01304</v>
      </c>
      <c r="M1305" s="47" t="str">
        <f t="shared" si="287"/>
        <v>26 de julio de 2018</v>
      </c>
      <c r="N1305" s="323">
        <f t="shared" si="274"/>
        <v>26</v>
      </c>
      <c r="O1305" s="25">
        <f t="shared" si="288"/>
        <v>43282</v>
      </c>
      <c r="P1305" s="5" t="str">
        <f t="shared" si="289"/>
        <v>1,50</v>
      </c>
      <c r="Q1305" s="4" t="str">
        <f t="shared" si="290"/>
        <v>Un Bolívares con 50/100</v>
      </c>
    </row>
    <row r="1306" spans="1:17" x14ac:dyDescent="0.25">
      <c r="A1306" s="1">
        <f t="shared" si="283"/>
        <v>1305</v>
      </c>
      <c r="C1306" s="8" t="s">
        <v>17</v>
      </c>
      <c r="D1306" s="2">
        <v>43307</v>
      </c>
      <c r="E1306" s="3">
        <f>1200000/100000</f>
        <v>12</v>
      </c>
      <c r="F1306" t="s">
        <v>284</v>
      </c>
      <c r="G1306" t="s">
        <v>687</v>
      </c>
      <c r="H1306" t="s">
        <v>285</v>
      </c>
      <c r="I1306" s="6" t="s">
        <v>744</v>
      </c>
      <c r="J1306" s="61" t="s">
        <v>745</v>
      </c>
      <c r="L1306" s="5" t="str">
        <f t="shared" si="286"/>
        <v>01305</v>
      </c>
      <c r="M1306" s="47" t="str">
        <f t="shared" si="287"/>
        <v>26 de julio de 2018</v>
      </c>
      <c r="N1306" s="323">
        <f t="shared" si="274"/>
        <v>26</v>
      </c>
      <c r="O1306" s="25">
        <f t="shared" si="288"/>
        <v>43282</v>
      </c>
      <c r="P1306" s="5" t="str">
        <f t="shared" si="289"/>
        <v>12,00</v>
      </c>
      <c r="Q1306" s="4" t="str">
        <f t="shared" si="290"/>
        <v>Doce Bolívares con 00/100</v>
      </c>
    </row>
    <row r="1307" spans="1:17" x14ac:dyDescent="0.25">
      <c r="A1307" s="1">
        <f t="shared" si="283"/>
        <v>1306</v>
      </c>
      <c r="C1307" s="8" t="s">
        <v>17</v>
      </c>
      <c r="D1307" s="2">
        <v>43307</v>
      </c>
      <c r="E1307" s="3">
        <f>625000/100000</f>
        <v>6.25</v>
      </c>
      <c r="F1307" t="s">
        <v>185</v>
      </c>
      <c r="G1307" t="s">
        <v>186</v>
      </c>
      <c r="H1307" t="s">
        <v>187</v>
      </c>
      <c r="I1307" s="6" t="s">
        <v>746</v>
      </c>
      <c r="J1307" s="61" t="s">
        <v>22</v>
      </c>
      <c r="L1307" s="5" t="str">
        <f t="shared" si="286"/>
        <v>01306</v>
      </c>
      <c r="M1307" s="47" t="str">
        <f t="shared" si="287"/>
        <v>26 de julio de 2018</v>
      </c>
      <c r="N1307" s="323">
        <f t="shared" si="274"/>
        <v>26</v>
      </c>
      <c r="O1307" s="25">
        <f t="shared" si="288"/>
        <v>43282</v>
      </c>
      <c r="P1307" s="5" t="str">
        <f t="shared" si="289"/>
        <v>6,25</v>
      </c>
      <c r="Q1307" s="4" t="str">
        <f t="shared" si="290"/>
        <v>Seis Bolívares con 25/100</v>
      </c>
    </row>
    <row r="1308" spans="1:17" x14ac:dyDescent="0.25">
      <c r="A1308" s="1">
        <f t="shared" si="283"/>
        <v>1307</v>
      </c>
      <c r="C1308" s="8" t="s">
        <v>17</v>
      </c>
      <c r="D1308" s="2">
        <v>43307</v>
      </c>
      <c r="E1308" s="3">
        <f>1220000/100000</f>
        <v>12.2</v>
      </c>
      <c r="F1308" t="s">
        <v>185</v>
      </c>
      <c r="G1308" t="s">
        <v>186</v>
      </c>
      <c r="H1308" t="s">
        <v>187</v>
      </c>
      <c r="I1308" s="6" t="s">
        <v>744</v>
      </c>
      <c r="J1308" s="61" t="s">
        <v>745</v>
      </c>
      <c r="L1308" s="5" t="str">
        <f t="shared" si="286"/>
        <v>01307</v>
      </c>
      <c r="M1308" s="47" t="str">
        <f t="shared" si="287"/>
        <v>26 de julio de 2018</v>
      </c>
      <c r="N1308" s="323">
        <f t="shared" si="274"/>
        <v>26</v>
      </c>
      <c r="O1308" s="25">
        <f t="shared" si="288"/>
        <v>43282</v>
      </c>
      <c r="P1308" s="5" t="str">
        <f t="shared" si="289"/>
        <v>12,20</v>
      </c>
      <c r="Q1308" s="4" t="str">
        <f t="shared" si="290"/>
        <v>Doce Bolívares con 20/100</v>
      </c>
    </row>
    <row r="1309" spans="1:17" x14ac:dyDescent="0.25">
      <c r="A1309" s="1">
        <f t="shared" si="283"/>
        <v>1308</v>
      </c>
      <c r="C1309" s="8" t="s">
        <v>17</v>
      </c>
      <c r="D1309" s="2">
        <v>43307</v>
      </c>
      <c r="E1309" s="3">
        <f>2385000/100000-400000/100000</f>
        <v>19.850000000000001</v>
      </c>
      <c r="F1309" t="s">
        <v>291</v>
      </c>
      <c r="G1309" t="s">
        <v>292</v>
      </c>
      <c r="H1309" t="s">
        <v>293</v>
      </c>
      <c r="I1309" s="6" t="s">
        <v>784</v>
      </c>
      <c r="J1309" s="61" t="s">
        <v>22</v>
      </c>
      <c r="L1309" s="5" t="str">
        <f t="shared" si="286"/>
        <v>01308</v>
      </c>
      <c r="M1309" s="47" t="str">
        <f t="shared" si="287"/>
        <v>26 de julio de 2018</v>
      </c>
      <c r="N1309" s="323">
        <f t="shared" si="274"/>
        <v>26</v>
      </c>
      <c r="O1309" s="25">
        <f t="shared" si="288"/>
        <v>43282</v>
      </c>
      <c r="P1309" s="5" t="str">
        <f t="shared" si="289"/>
        <v>19,85</v>
      </c>
      <c r="Q1309" s="4" t="str">
        <f t="shared" si="290"/>
        <v>Diecinueve Bolívares con 85/100</v>
      </c>
    </row>
    <row r="1310" spans="1:17" x14ac:dyDescent="0.25">
      <c r="A1310" s="1">
        <f t="shared" si="283"/>
        <v>1309</v>
      </c>
      <c r="C1310" s="8" t="s">
        <v>17</v>
      </c>
      <c r="D1310" s="2">
        <v>43307</v>
      </c>
      <c r="E1310" s="3">
        <f>1220000/100000</f>
        <v>12.2</v>
      </c>
      <c r="F1310" t="s">
        <v>291</v>
      </c>
      <c r="G1310" t="s">
        <v>292</v>
      </c>
      <c r="H1310" t="s">
        <v>293</v>
      </c>
      <c r="I1310" s="6" t="s">
        <v>744</v>
      </c>
      <c r="J1310" s="61" t="s">
        <v>745</v>
      </c>
      <c r="L1310" s="5" t="str">
        <f t="shared" si="286"/>
        <v>01309</v>
      </c>
      <c r="M1310" s="47" t="str">
        <f t="shared" si="287"/>
        <v>26 de julio de 2018</v>
      </c>
      <c r="N1310" s="323">
        <f t="shared" si="274"/>
        <v>26</v>
      </c>
      <c r="O1310" s="25">
        <f t="shared" si="288"/>
        <v>43282</v>
      </c>
      <c r="P1310" s="5" t="str">
        <f t="shared" si="289"/>
        <v>12,20</v>
      </c>
      <c r="Q1310" s="4" t="str">
        <f t="shared" si="290"/>
        <v>Doce Bolívares con 20/100</v>
      </c>
    </row>
    <row r="1311" spans="1:17" x14ac:dyDescent="0.25">
      <c r="A1311" s="1">
        <f t="shared" si="283"/>
        <v>1310</v>
      </c>
      <c r="C1311" s="8" t="s">
        <v>17</v>
      </c>
      <c r="D1311" s="2">
        <v>43308</v>
      </c>
      <c r="E1311" s="3">
        <f>150000/100000</f>
        <v>1.5</v>
      </c>
      <c r="F1311" t="s">
        <v>66</v>
      </c>
      <c r="G1311" t="s">
        <v>67</v>
      </c>
      <c r="H1311" t="s">
        <v>68</v>
      </c>
      <c r="I1311" s="6" t="s">
        <v>754</v>
      </c>
      <c r="J1311" s="61" t="s">
        <v>22</v>
      </c>
      <c r="L1311" s="5" t="str">
        <f t="shared" si="286"/>
        <v>01310</v>
      </c>
      <c r="M1311" s="47" t="str">
        <f t="shared" si="287"/>
        <v>27 de julio de 2018</v>
      </c>
      <c r="N1311" s="323">
        <f t="shared" si="274"/>
        <v>27</v>
      </c>
      <c r="O1311" s="25">
        <f t="shared" si="288"/>
        <v>43282</v>
      </c>
      <c r="P1311" s="5" t="str">
        <f t="shared" si="289"/>
        <v>1,50</v>
      </c>
      <c r="Q1311" s="4" t="str">
        <f t="shared" si="290"/>
        <v>Un Bolívares con 50/100</v>
      </c>
    </row>
    <row r="1312" spans="1:17" x14ac:dyDescent="0.25">
      <c r="A1312" s="1">
        <f t="shared" si="283"/>
        <v>1311</v>
      </c>
      <c r="C1312" s="8" t="s">
        <v>17</v>
      </c>
      <c r="D1312" s="2">
        <v>43279</v>
      </c>
      <c r="E1312" s="3">
        <f>1220000/100000</f>
        <v>12.2</v>
      </c>
      <c r="F1312" t="s">
        <v>66</v>
      </c>
      <c r="G1312" t="s">
        <v>67</v>
      </c>
      <c r="H1312" t="s">
        <v>68</v>
      </c>
      <c r="I1312" s="6" t="s">
        <v>744</v>
      </c>
      <c r="J1312" s="61" t="s">
        <v>745</v>
      </c>
      <c r="L1312" s="5" t="str">
        <f t="shared" si="286"/>
        <v>01311</v>
      </c>
      <c r="M1312" s="47" t="str">
        <f t="shared" si="287"/>
        <v>28 de junio de 2018</v>
      </c>
      <c r="N1312" s="323">
        <f t="shared" si="274"/>
        <v>28</v>
      </c>
      <c r="O1312" s="25">
        <f t="shared" si="288"/>
        <v>43252</v>
      </c>
      <c r="P1312" s="5" t="str">
        <f t="shared" si="289"/>
        <v>12,20</v>
      </c>
      <c r="Q1312" s="4" t="str">
        <f t="shared" si="290"/>
        <v>Doce Bolívares con 20/100</v>
      </c>
    </row>
    <row r="1313" spans="1:17" x14ac:dyDescent="0.25">
      <c r="A1313" s="1">
        <f t="shared" si="283"/>
        <v>1312</v>
      </c>
      <c r="C1313" s="8" t="s">
        <v>17</v>
      </c>
      <c r="D1313" s="2">
        <v>43308</v>
      </c>
      <c r="E1313" s="3">
        <f>1250000/100000</f>
        <v>12.5</v>
      </c>
      <c r="F1313" t="s">
        <v>53</v>
      </c>
      <c r="G1313" t="s">
        <v>677</v>
      </c>
      <c r="H1313" t="s">
        <v>55</v>
      </c>
      <c r="I1313" s="6" t="s">
        <v>744</v>
      </c>
      <c r="J1313" s="61" t="s">
        <v>745</v>
      </c>
      <c r="L1313" s="5" t="str">
        <f t="shared" si="286"/>
        <v>01312</v>
      </c>
      <c r="M1313" s="47" t="str">
        <f t="shared" si="287"/>
        <v>27 de julio de 2018</v>
      </c>
      <c r="N1313" s="323">
        <f t="shared" si="274"/>
        <v>27</v>
      </c>
      <c r="O1313" s="25">
        <f t="shared" si="288"/>
        <v>43282</v>
      </c>
      <c r="P1313" s="5" t="str">
        <f t="shared" si="289"/>
        <v>12,50</v>
      </c>
      <c r="Q1313" s="4" t="str">
        <f t="shared" si="290"/>
        <v>Doce Bolívares con 50/100</v>
      </c>
    </row>
    <row r="1314" spans="1:17" x14ac:dyDescent="0.25">
      <c r="A1314" s="1">
        <f t="shared" si="283"/>
        <v>1313</v>
      </c>
      <c r="C1314" s="8" t="s">
        <v>17</v>
      </c>
      <c r="D1314" s="2">
        <v>43308</v>
      </c>
      <c r="E1314" s="3">
        <f>1000000/100000</f>
        <v>10</v>
      </c>
      <c r="F1314" t="s">
        <v>134</v>
      </c>
      <c r="G1314" t="s">
        <v>135</v>
      </c>
      <c r="H1314" t="s">
        <v>136</v>
      </c>
      <c r="I1314" s="6" t="s">
        <v>750</v>
      </c>
      <c r="J1314" s="61" t="s">
        <v>22</v>
      </c>
      <c r="L1314" s="5" t="str">
        <f t="shared" si="286"/>
        <v>01313</v>
      </c>
      <c r="M1314" s="47" t="str">
        <f t="shared" si="287"/>
        <v>27 de julio de 2018</v>
      </c>
      <c r="N1314" s="323">
        <f t="shared" si="274"/>
        <v>27</v>
      </c>
      <c r="O1314" s="25">
        <f t="shared" si="288"/>
        <v>43282</v>
      </c>
      <c r="P1314" s="5" t="str">
        <f t="shared" si="289"/>
        <v>10,00</v>
      </c>
      <c r="Q1314" s="4" t="str">
        <f t="shared" si="290"/>
        <v>Diez Bolívares con 00/100</v>
      </c>
    </row>
    <row r="1315" spans="1:17" x14ac:dyDescent="0.25">
      <c r="A1315" s="1">
        <f t="shared" si="283"/>
        <v>1314</v>
      </c>
      <c r="C1315" s="8" t="s">
        <v>17</v>
      </c>
      <c r="D1315" s="2">
        <v>43309</v>
      </c>
      <c r="E1315" s="3">
        <f>225000/100000+1000000/100000</f>
        <v>12.25</v>
      </c>
      <c r="F1315" t="s">
        <v>785</v>
      </c>
      <c r="G1315" t="s">
        <v>786</v>
      </c>
      <c r="H1315" t="s">
        <v>719</v>
      </c>
      <c r="I1315" s="6" t="s">
        <v>736</v>
      </c>
      <c r="J1315" s="61" t="s">
        <v>22</v>
      </c>
      <c r="L1315" s="5" t="str">
        <f t="shared" si="286"/>
        <v>01314</v>
      </c>
      <c r="M1315" s="47" t="str">
        <f t="shared" si="287"/>
        <v>28 de julio de 2018</v>
      </c>
      <c r="N1315" s="323">
        <f t="shared" si="274"/>
        <v>28</v>
      </c>
      <c r="O1315" s="25">
        <f t="shared" si="288"/>
        <v>43282</v>
      </c>
      <c r="P1315" s="5" t="str">
        <f t="shared" si="289"/>
        <v>12,25</v>
      </c>
      <c r="Q1315" s="4" t="str">
        <f t="shared" si="290"/>
        <v>Doce Bolívares con 25/100</v>
      </c>
    </row>
    <row r="1316" spans="1:17" x14ac:dyDescent="0.25">
      <c r="A1316" s="1">
        <f t="shared" si="283"/>
        <v>1315</v>
      </c>
      <c r="C1316" s="8" t="s">
        <v>17</v>
      </c>
      <c r="D1316" s="2">
        <v>43309</v>
      </c>
      <c r="E1316" s="3">
        <f>1220000/100000</f>
        <v>12.2</v>
      </c>
      <c r="F1316" t="s">
        <v>785</v>
      </c>
      <c r="G1316" t="s">
        <v>786</v>
      </c>
      <c r="H1316" t="s">
        <v>719</v>
      </c>
      <c r="I1316" s="6" t="s">
        <v>744</v>
      </c>
      <c r="J1316" s="61" t="s">
        <v>745</v>
      </c>
      <c r="L1316" s="5" t="str">
        <f t="shared" si="286"/>
        <v>01315</v>
      </c>
      <c r="M1316" s="47" t="str">
        <f t="shared" si="287"/>
        <v>28 de julio de 2018</v>
      </c>
      <c r="N1316" s="323">
        <f t="shared" si="274"/>
        <v>28</v>
      </c>
      <c r="O1316" s="25">
        <f t="shared" si="288"/>
        <v>43282</v>
      </c>
      <c r="P1316" s="5" t="str">
        <f t="shared" si="289"/>
        <v>12,20</v>
      </c>
      <c r="Q1316" s="4" t="str">
        <f t="shared" si="290"/>
        <v>Doce Bolívares con 20/100</v>
      </c>
    </row>
    <row r="1317" spans="1:17" x14ac:dyDescent="0.25">
      <c r="A1317" s="1">
        <f t="shared" si="283"/>
        <v>1316</v>
      </c>
      <c r="C1317" s="85" t="s">
        <v>17</v>
      </c>
      <c r="D1317" s="2">
        <v>43310</v>
      </c>
      <c r="E1317" s="3">
        <f>1000000/100000</f>
        <v>10</v>
      </c>
      <c r="F1317" t="s">
        <v>40</v>
      </c>
      <c r="G1317" s="18" t="s">
        <v>58</v>
      </c>
      <c r="H1317" t="s">
        <v>42</v>
      </c>
      <c r="I1317" s="6" t="s">
        <v>787</v>
      </c>
      <c r="J1317" s="61" t="s">
        <v>22</v>
      </c>
      <c r="L1317" s="5" t="str">
        <f t="shared" si="286"/>
        <v>01316</v>
      </c>
      <c r="M1317" s="47" t="str">
        <f t="shared" si="287"/>
        <v>29 de julio de 2018</v>
      </c>
      <c r="N1317" s="323">
        <f t="shared" si="274"/>
        <v>29</v>
      </c>
      <c r="O1317" s="25">
        <f t="shared" si="288"/>
        <v>43282</v>
      </c>
      <c r="P1317" s="5" t="str">
        <f t="shared" si="289"/>
        <v>10,00</v>
      </c>
      <c r="Q1317" s="4" t="str">
        <f t="shared" si="290"/>
        <v>Diez Bolívares con 00/100</v>
      </c>
    </row>
    <row r="1318" spans="1:17" x14ac:dyDescent="0.25">
      <c r="A1318" s="1">
        <f t="shared" si="283"/>
        <v>1317</v>
      </c>
      <c r="C1318" s="85" t="s">
        <v>17</v>
      </c>
      <c r="D1318" s="2">
        <v>43310</v>
      </c>
      <c r="E1318" s="3">
        <f>1220000/100000</f>
        <v>12.2</v>
      </c>
      <c r="F1318" t="s">
        <v>40</v>
      </c>
      <c r="G1318" s="18" t="s">
        <v>58</v>
      </c>
      <c r="H1318" t="s">
        <v>42</v>
      </c>
      <c r="I1318" s="6" t="s">
        <v>744</v>
      </c>
      <c r="J1318" s="61" t="s">
        <v>745</v>
      </c>
      <c r="L1318" s="5" t="str">
        <f t="shared" si="286"/>
        <v>01317</v>
      </c>
      <c r="M1318" s="47" t="str">
        <f t="shared" si="287"/>
        <v>29 de julio de 2018</v>
      </c>
      <c r="N1318" s="323">
        <f t="shared" si="274"/>
        <v>29</v>
      </c>
      <c r="O1318" s="25">
        <f t="shared" si="288"/>
        <v>43282</v>
      </c>
      <c r="P1318" s="5" t="str">
        <f t="shared" si="289"/>
        <v>12,20</v>
      </c>
      <c r="Q1318" s="4" t="str">
        <f t="shared" si="290"/>
        <v>Doce Bolívares con 20/100</v>
      </c>
    </row>
    <row r="1319" spans="1:17" x14ac:dyDescent="0.25">
      <c r="A1319" s="1">
        <f t="shared" si="283"/>
        <v>1318</v>
      </c>
      <c r="C1319" s="8" t="s">
        <v>17</v>
      </c>
      <c r="D1319" s="2">
        <v>43310</v>
      </c>
      <c r="E1319" s="3">
        <f>500000/100000</f>
        <v>5</v>
      </c>
      <c r="F1319" t="s">
        <v>412</v>
      </c>
      <c r="G1319" t="s">
        <v>413</v>
      </c>
      <c r="H1319" t="s">
        <v>414</v>
      </c>
      <c r="I1319" s="6" t="s">
        <v>446</v>
      </c>
      <c r="J1319" s="61" t="s">
        <v>22</v>
      </c>
      <c r="L1319" s="5" t="str">
        <f t="shared" si="286"/>
        <v>01318</v>
      </c>
      <c r="M1319" s="47" t="str">
        <f t="shared" si="287"/>
        <v>29 de julio de 2018</v>
      </c>
      <c r="N1319" s="323">
        <f t="shared" si="274"/>
        <v>29</v>
      </c>
      <c r="O1319" s="25">
        <f t="shared" si="288"/>
        <v>43282</v>
      </c>
      <c r="P1319" s="5" t="str">
        <f t="shared" si="289"/>
        <v>5,00</v>
      </c>
      <c r="Q1319" s="4" t="str">
        <f t="shared" si="290"/>
        <v>Cinco Bolívares con 00/100</v>
      </c>
    </row>
    <row r="1320" spans="1:17" x14ac:dyDescent="0.25">
      <c r="A1320" s="1">
        <f t="shared" si="283"/>
        <v>1319</v>
      </c>
      <c r="C1320" s="8" t="s">
        <v>17</v>
      </c>
      <c r="D1320" s="2">
        <v>43310</v>
      </c>
      <c r="E1320" s="3">
        <f>500000/100000</f>
        <v>5</v>
      </c>
      <c r="F1320" t="s">
        <v>412</v>
      </c>
      <c r="G1320" t="s">
        <v>413</v>
      </c>
      <c r="H1320" t="s">
        <v>414</v>
      </c>
      <c r="I1320" s="6" t="s">
        <v>744</v>
      </c>
      <c r="J1320" s="61" t="s">
        <v>745</v>
      </c>
      <c r="L1320" s="5" t="str">
        <f t="shared" si="286"/>
        <v>01319</v>
      </c>
      <c r="M1320" s="47" t="str">
        <f t="shared" si="287"/>
        <v>29 de julio de 2018</v>
      </c>
      <c r="N1320" s="323">
        <f t="shared" si="274"/>
        <v>29</v>
      </c>
      <c r="O1320" s="25">
        <f t="shared" si="288"/>
        <v>43282</v>
      </c>
      <c r="P1320" s="5" t="str">
        <f t="shared" si="289"/>
        <v>5,00</v>
      </c>
      <c r="Q1320" s="4" t="str">
        <f t="shared" si="290"/>
        <v>Cinco Bolívares con 00/100</v>
      </c>
    </row>
    <row r="1321" spans="1:17" x14ac:dyDescent="0.25">
      <c r="A1321" s="1">
        <f t="shared" si="283"/>
        <v>1320</v>
      </c>
      <c r="C1321" s="8" t="s">
        <v>17</v>
      </c>
      <c r="D1321" s="2">
        <v>43312</v>
      </c>
      <c r="E1321" s="3">
        <f>1000000/100000</f>
        <v>10</v>
      </c>
      <c r="F1321" t="s">
        <v>312</v>
      </c>
      <c r="G1321" t="s">
        <v>313</v>
      </c>
      <c r="H1321" t="s">
        <v>314</v>
      </c>
      <c r="I1321" s="6" t="s">
        <v>750</v>
      </c>
      <c r="J1321" s="61" t="s">
        <v>22</v>
      </c>
      <c r="L1321" s="5" t="str">
        <f t="shared" si="286"/>
        <v>01320</v>
      </c>
      <c r="M1321" s="47" t="str">
        <f t="shared" si="287"/>
        <v>31 de julio de 2018</v>
      </c>
      <c r="N1321" s="323">
        <f t="shared" si="274"/>
        <v>31</v>
      </c>
      <c r="O1321" s="25">
        <f t="shared" si="288"/>
        <v>43282</v>
      </c>
      <c r="P1321" s="5" t="str">
        <f t="shared" si="289"/>
        <v>10,00</v>
      </c>
      <c r="Q1321" s="4" t="str">
        <f t="shared" si="290"/>
        <v>Diez Bolívares con 00/100</v>
      </c>
    </row>
    <row r="1322" spans="1:17" x14ac:dyDescent="0.25">
      <c r="A1322" s="1">
        <f t="shared" si="283"/>
        <v>1321</v>
      </c>
      <c r="C1322" s="85" t="s">
        <v>17</v>
      </c>
      <c r="D1322" s="2">
        <v>43312</v>
      </c>
      <c r="E1322" s="162">
        <f>200000/100000</f>
        <v>2</v>
      </c>
      <c r="F1322" t="s">
        <v>492</v>
      </c>
      <c r="G1322" s="18" t="s">
        <v>58</v>
      </c>
      <c r="H1322" t="s">
        <v>493</v>
      </c>
      <c r="I1322" s="6" t="s">
        <v>760</v>
      </c>
      <c r="J1322" s="61" t="s">
        <v>22</v>
      </c>
      <c r="L1322" s="5" t="str">
        <f t="shared" si="286"/>
        <v>01321</v>
      </c>
      <c r="M1322" s="47" t="str">
        <f t="shared" si="287"/>
        <v>31 de julio de 2018</v>
      </c>
      <c r="N1322" s="323">
        <f t="shared" si="274"/>
        <v>31</v>
      </c>
      <c r="O1322" s="25">
        <f t="shared" si="288"/>
        <v>43282</v>
      </c>
      <c r="P1322" s="5" t="str">
        <f t="shared" si="289"/>
        <v>2,00</v>
      </c>
      <c r="Q1322" s="4" t="str">
        <f t="shared" si="290"/>
        <v>Dos Bolívares con 00/100</v>
      </c>
    </row>
    <row r="1323" spans="1:17" x14ac:dyDescent="0.25">
      <c r="A1323" s="1">
        <f t="shared" si="283"/>
        <v>1322</v>
      </c>
      <c r="C1323" s="8" t="s">
        <v>17</v>
      </c>
      <c r="D1323" s="2">
        <v>43312</v>
      </c>
      <c r="E1323" s="3">
        <f>1200000/100000</f>
        <v>12</v>
      </c>
      <c r="F1323" t="s">
        <v>243</v>
      </c>
      <c r="G1323" t="s">
        <v>244</v>
      </c>
      <c r="H1323" t="s">
        <v>245</v>
      </c>
      <c r="I1323" s="6" t="s">
        <v>788</v>
      </c>
      <c r="J1323" s="61" t="s">
        <v>22</v>
      </c>
      <c r="L1323" s="5" t="str">
        <f>IF(ISBLANK(A1323),"",TEXT(A1323,"00000"))</f>
        <v>01322</v>
      </c>
      <c r="M1323" s="47" t="str">
        <f>IF(ISBLANK(D1323),"",TEXT(D1323,"dd")&amp;" de "&amp;TEXT(D1323,"mmmm")&amp;" de "&amp;TEXT(YEAR(D1323),"0"))</f>
        <v>31 de julio de 2018</v>
      </c>
      <c r="N1323" s="323">
        <f t="shared" si="274"/>
        <v>31</v>
      </c>
      <c r="O1323" s="25">
        <f>DATE(YEAR(D1323),MONTH(D1323),1)</f>
        <v>43282</v>
      </c>
      <c r="P1323" s="5" t="str">
        <f t="shared" si="289"/>
        <v>12,00</v>
      </c>
      <c r="Q1323" s="4" t="str">
        <f t="shared" si="290"/>
        <v>Doce Bolívares con 00/100</v>
      </c>
    </row>
    <row r="1324" spans="1:17" x14ac:dyDescent="0.25">
      <c r="A1324" s="1">
        <f t="shared" si="283"/>
        <v>1323</v>
      </c>
      <c r="C1324" s="8" t="s">
        <v>17</v>
      </c>
      <c r="D1324" s="2">
        <v>43312</v>
      </c>
      <c r="E1324" s="3">
        <f>1220000/100000</f>
        <v>12.2</v>
      </c>
      <c r="F1324" t="s">
        <v>107</v>
      </c>
      <c r="G1324" t="s">
        <v>108</v>
      </c>
      <c r="H1324" t="s">
        <v>109</v>
      </c>
      <c r="I1324" s="6" t="s">
        <v>787</v>
      </c>
      <c r="J1324" s="61" t="s">
        <v>22</v>
      </c>
      <c r="L1324" s="5" t="str">
        <f t="shared" ref="L1324:L1325" si="291">IF(ISBLANK(A1324),"",TEXT(A1324,"00000"))</f>
        <v>01323</v>
      </c>
      <c r="M1324" s="47" t="str">
        <f t="shared" ref="M1324:M1325" si="292">IF(ISBLANK(D1324),"",TEXT(D1324,"dd")&amp;" de "&amp;TEXT(D1324,"mmmm")&amp;" de "&amp;TEXT(YEAR(D1324),"0"))</f>
        <v>31 de julio de 2018</v>
      </c>
      <c r="N1324" s="323">
        <f t="shared" si="274"/>
        <v>31</v>
      </c>
      <c r="O1324" s="25">
        <f t="shared" ref="O1324:O1325" si="293">DATE(YEAR(D1324),MONTH(D1324),1)</f>
        <v>43282</v>
      </c>
      <c r="P1324" s="5" t="str">
        <f t="shared" si="289"/>
        <v>12,20</v>
      </c>
      <c r="Q1324" s="4" t="str">
        <f t="shared" si="290"/>
        <v>Doce Bolívares con 20/100</v>
      </c>
    </row>
    <row r="1325" spans="1:17" x14ac:dyDescent="0.25">
      <c r="A1325" s="1">
        <f t="shared" si="283"/>
        <v>1324</v>
      </c>
      <c r="C1325" s="8" t="s">
        <v>17</v>
      </c>
      <c r="D1325" s="2">
        <v>43313</v>
      </c>
      <c r="E1325" s="3">
        <f>150000/100000+1200000/100000</f>
        <v>13.5</v>
      </c>
      <c r="F1325" t="s">
        <v>698</v>
      </c>
      <c r="G1325" t="s">
        <v>699</v>
      </c>
      <c r="H1325" t="s">
        <v>150</v>
      </c>
      <c r="I1325" s="6" t="s">
        <v>789</v>
      </c>
      <c r="J1325" s="61" t="s">
        <v>22</v>
      </c>
      <c r="L1325" s="5" t="str">
        <f t="shared" si="291"/>
        <v>01324</v>
      </c>
      <c r="M1325" s="47" t="str">
        <f t="shared" si="292"/>
        <v>01 de agosto de 2018</v>
      </c>
      <c r="N1325" s="323">
        <f t="shared" si="274"/>
        <v>1</v>
      </c>
      <c r="O1325" s="25">
        <f t="shared" si="293"/>
        <v>43313</v>
      </c>
      <c r="P1325" s="5" t="str">
        <f t="shared" si="289"/>
        <v>13,50</v>
      </c>
      <c r="Q1325" s="4" t="str">
        <f t="shared" si="290"/>
        <v>Trece Bolívares con 50/100</v>
      </c>
    </row>
    <row r="1326" spans="1:17" x14ac:dyDescent="0.25">
      <c r="A1326" s="1">
        <f t="shared" si="283"/>
        <v>1325</v>
      </c>
      <c r="C1326" s="8" t="s">
        <v>17</v>
      </c>
      <c r="D1326" s="2">
        <v>43313</v>
      </c>
      <c r="E1326" s="3">
        <f>1220000/100000</f>
        <v>12.2</v>
      </c>
      <c r="F1326" t="s">
        <v>698</v>
      </c>
      <c r="G1326" t="s">
        <v>699</v>
      </c>
      <c r="H1326" t="s">
        <v>150</v>
      </c>
      <c r="I1326" s="6" t="s">
        <v>744</v>
      </c>
      <c r="J1326" s="61" t="s">
        <v>745</v>
      </c>
      <c r="L1326" s="5" t="str">
        <f t="shared" ref="L1326:L1342" si="294">IF(ISBLANK(A1326),"",TEXT(A1326,"00000"))</f>
        <v>01325</v>
      </c>
      <c r="M1326" s="47" t="str">
        <f t="shared" ref="M1326:M1342" si="295">IF(ISBLANK(D1326),"",TEXT(D1326,"dd")&amp;" de "&amp;TEXT(D1326,"mmmm")&amp;" de "&amp;TEXT(YEAR(D1326),"0"))</f>
        <v>01 de agosto de 2018</v>
      </c>
      <c r="N1326" s="323">
        <f t="shared" si="274"/>
        <v>1</v>
      </c>
      <c r="O1326" s="25">
        <f t="shared" ref="O1326:O1342" si="296">DATE(YEAR(D1326),MONTH(D1326),1)</f>
        <v>43313</v>
      </c>
      <c r="P1326" s="5" t="str">
        <f t="shared" ref="P1326:P1342" si="297">TEXT(E1326,"#.##0,00")</f>
        <v>12,20</v>
      </c>
      <c r="Q1326" s="4" t="str">
        <f t="shared" ref="Q1326:Q1334" si="298">CONVERTIRNUM(E1326)</f>
        <v>Doce Bolívares con 20/100</v>
      </c>
    </row>
    <row r="1327" spans="1:17" x14ac:dyDescent="0.25">
      <c r="A1327" s="1">
        <f t="shared" si="283"/>
        <v>1326</v>
      </c>
      <c r="C1327" s="8" t="s">
        <v>17</v>
      </c>
      <c r="D1327" s="2">
        <v>43313</v>
      </c>
      <c r="E1327" s="3">
        <f>1200000/100000</f>
        <v>12</v>
      </c>
      <c r="F1327" t="s">
        <v>713</v>
      </c>
      <c r="G1327" t="s">
        <v>714</v>
      </c>
      <c r="H1327" t="s">
        <v>154</v>
      </c>
      <c r="I1327" s="6" t="s">
        <v>787</v>
      </c>
      <c r="J1327" s="61" t="s">
        <v>22</v>
      </c>
      <c r="L1327" s="5" t="str">
        <f t="shared" si="294"/>
        <v>01326</v>
      </c>
      <c r="M1327" s="47" t="str">
        <f t="shared" si="295"/>
        <v>01 de agosto de 2018</v>
      </c>
      <c r="N1327" s="323">
        <f t="shared" si="274"/>
        <v>1</v>
      </c>
      <c r="O1327" s="25">
        <f t="shared" si="296"/>
        <v>43313</v>
      </c>
      <c r="P1327" s="5" t="str">
        <f t="shared" si="297"/>
        <v>12,00</v>
      </c>
      <c r="Q1327" s="4" t="str">
        <f t="shared" si="298"/>
        <v>Doce Bolívares con 00/100</v>
      </c>
    </row>
    <row r="1328" spans="1:17" x14ac:dyDescent="0.25">
      <c r="A1328" s="1">
        <f t="shared" si="283"/>
        <v>1327</v>
      </c>
      <c r="C1328" s="8" t="s">
        <v>17</v>
      </c>
      <c r="D1328" s="2">
        <v>43313</v>
      </c>
      <c r="E1328" s="3">
        <f>1220000/100000</f>
        <v>12.2</v>
      </c>
      <c r="F1328" t="s">
        <v>713</v>
      </c>
      <c r="G1328" t="s">
        <v>714</v>
      </c>
      <c r="H1328" t="s">
        <v>154</v>
      </c>
      <c r="I1328" s="6" t="s">
        <v>744</v>
      </c>
      <c r="J1328" s="61" t="s">
        <v>745</v>
      </c>
      <c r="L1328" s="5" t="str">
        <f t="shared" si="294"/>
        <v>01327</v>
      </c>
      <c r="M1328" s="47" t="str">
        <f t="shared" si="295"/>
        <v>01 de agosto de 2018</v>
      </c>
      <c r="N1328" s="323">
        <f t="shared" si="274"/>
        <v>1</v>
      </c>
      <c r="O1328" s="25">
        <f t="shared" si="296"/>
        <v>43313</v>
      </c>
      <c r="P1328" s="5" t="str">
        <f t="shared" si="297"/>
        <v>12,20</v>
      </c>
      <c r="Q1328" s="4" t="str">
        <f t="shared" si="298"/>
        <v>Doce Bolívares con 20/100</v>
      </c>
    </row>
    <row r="1329" spans="1:17" x14ac:dyDescent="0.25">
      <c r="A1329" s="1">
        <f t="shared" si="283"/>
        <v>1328</v>
      </c>
      <c r="C1329" s="8" t="s">
        <v>17</v>
      </c>
      <c r="D1329" s="2">
        <v>43313</v>
      </c>
      <c r="E1329" s="3">
        <f>1000000/100000+1200000/100000</f>
        <v>22</v>
      </c>
      <c r="F1329" t="s">
        <v>334</v>
      </c>
      <c r="G1329" t="s">
        <v>85</v>
      </c>
      <c r="H1329" t="s">
        <v>335</v>
      </c>
      <c r="I1329" s="6" t="s">
        <v>783</v>
      </c>
      <c r="J1329" s="61" t="s">
        <v>22</v>
      </c>
      <c r="L1329" s="5" t="str">
        <f t="shared" si="294"/>
        <v>01328</v>
      </c>
      <c r="M1329" s="47" t="str">
        <f t="shared" si="295"/>
        <v>01 de agosto de 2018</v>
      </c>
      <c r="N1329" s="323">
        <f t="shared" si="274"/>
        <v>1</v>
      </c>
      <c r="O1329" s="25">
        <f t="shared" si="296"/>
        <v>43313</v>
      </c>
      <c r="P1329" s="5" t="str">
        <f t="shared" si="297"/>
        <v>22,00</v>
      </c>
      <c r="Q1329" s="4" t="str">
        <f t="shared" si="298"/>
        <v>Veintidos Bolívares con 00/100</v>
      </c>
    </row>
    <row r="1330" spans="1:17" x14ac:dyDescent="0.25">
      <c r="A1330" s="1">
        <f t="shared" si="283"/>
        <v>1329</v>
      </c>
      <c r="C1330" s="8" t="s">
        <v>17</v>
      </c>
      <c r="D1330" s="2">
        <v>43313</v>
      </c>
      <c r="E1330" s="3">
        <f>1220000/100000</f>
        <v>12.2</v>
      </c>
      <c r="F1330" t="s">
        <v>334</v>
      </c>
      <c r="G1330" t="s">
        <v>85</v>
      </c>
      <c r="H1330" t="s">
        <v>335</v>
      </c>
      <c r="I1330" s="6" t="s">
        <v>744</v>
      </c>
      <c r="J1330" s="61" t="s">
        <v>745</v>
      </c>
      <c r="L1330" s="5" t="str">
        <f t="shared" si="294"/>
        <v>01329</v>
      </c>
      <c r="M1330" s="47" t="str">
        <f t="shared" si="295"/>
        <v>01 de agosto de 2018</v>
      </c>
      <c r="N1330" s="323">
        <f t="shared" si="274"/>
        <v>1</v>
      </c>
      <c r="O1330" s="25">
        <f t="shared" si="296"/>
        <v>43313</v>
      </c>
      <c r="P1330" s="5" t="str">
        <f t="shared" si="297"/>
        <v>12,20</v>
      </c>
      <c r="Q1330" s="4" t="str">
        <f t="shared" si="298"/>
        <v>Doce Bolívares con 20/100</v>
      </c>
    </row>
    <row r="1331" spans="1:17" x14ac:dyDescent="0.25">
      <c r="A1331" s="1">
        <f t="shared" si="283"/>
        <v>1330</v>
      </c>
      <c r="C1331" s="8" t="s">
        <v>17</v>
      </c>
      <c r="D1331" s="2">
        <v>43313</v>
      </c>
      <c r="E1331" s="3">
        <f>1200000/100000</f>
        <v>12</v>
      </c>
      <c r="F1331" t="s">
        <v>84</v>
      </c>
      <c r="G1331" t="s">
        <v>85</v>
      </c>
      <c r="H1331" t="s">
        <v>86</v>
      </c>
      <c r="I1331" s="6" t="s">
        <v>787</v>
      </c>
      <c r="J1331" s="61" t="s">
        <v>22</v>
      </c>
      <c r="L1331" s="5" t="str">
        <f t="shared" si="294"/>
        <v>01330</v>
      </c>
      <c r="M1331" s="47" t="str">
        <f t="shared" si="295"/>
        <v>01 de agosto de 2018</v>
      </c>
      <c r="N1331" s="323">
        <f t="shared" si="274"/>
        <v>1</v>
      </c>
      <c r="O1331" s="25">
        <f t="shared" si="296"/>
        <v>43313</v>
      </c>
      <c r="P1331" s="5" t="str">
        <f t="shared" si="297"/>
        <v>12,00</v>
      </c>
      <c r="Q1331" s="4" t="str">
        <f t="shared" si="298"/>
        <v>Doce Bolívares con 00/100</v>
      </c>
    </row>
    <row r="1332" spans="1:17" x14ac:dyDescent="0.25">
      <c r="A1332" s="1">
        <f t="shared" si="283"/>
        <v>1331</v>
      </c>
      <c r="C1332" s="8" t="s">
        <v>17</v>
      </c>
      <c r="D1332" s="2">
        <v>43313</v>
      </c>
      <c r="E1332" s="3">
        <f>1220000/100000</f>
        <v>12.2</v>
      </c>
      <c r="F1332" t="s">
        <v>84</v>
      </c>
      <c r="G1332" t="s">
        <v>85</v>
      </c>
      <c r="H1332" t="s">
        <v>86</v>
      </c>
      <c r="I1332" s="6" t="s">
        <v>744</v>
      </c>
      <c r="J1332" s="61" t="s">
        <v>745</v>
      </c>
      <c r="L1332" s="5" t="str">
        <f t="shared" si="294"/>
        <v>01331</v>
      </c>
      <c r="M1332" s="47" t="str">
        <f t="shared" si="295"/>
        <v>01 de agosto de 2018</v>
      </c>
      <c r="N1332" s="323">
        <f t="shared" si="274"/>
        <v>1</v>
      </c>
      <c r="O1332" s="25">
        <f t="shared" si="296"/>
        <v>43313</v>
      </c>
      <c r="P1332" s="5" t="str">
        <f t="shared" si="297"/>
        <v>12,20</v>
      </c>
      <c r="Q1332" s="4" t="str">
        <f t="shared" si="298"/>
        <v>Doce Bolívares con 20/100</v>
      </c>
    </row>
    <row r="1333" spans="1:17" x14ac:dyDescent="0.25">
      <c r="A1333" s="1">
        <f t="shared" si="283"/>
        <v>1332</v>
      </c>
      <c r="C1333" s="8" t="s">
        <v>17</v>
      </c>
      <c r="D1333" s="2">
        <v>43313</v>
      </c>
      <c r="E1333" s="3">
        <f>1200000/100000+1300000/100000</f>
        <v>25</v>
      </c>
      <c r="F1333" t="s">
        <v>483</v>
      </c>
      <c r="G1333" t="s">
        <v>484</v>
      </c>
      <c r="H1333" t="s">
        <v>485</v>
      </c>
      <c r="I1333" s="6" t="s">
        <v>790</v>
      </c>
      <c r="J1333" s="61" t="s">
        <v>22</v>
      </c>
      <c r="L1333" s="5" t="str">
        <f t="shared" si="294"/>
        <v>01332</v>
      </c>
      <c r="M1333" s="47" t="str">
        <f t="shared" si="295"/>
        <v>01 de agosto de 2018</v>
      </c>
      <c r="N1333" s="323">
        <f t="shared" si="274"/>
        <v>1</v>
      </c>
      <c r="O1333" s="25">
        <f t="shared" si="296"/>
        <v>43313</v>
      </c>
      <c r="P1333" s="5" t="str">
        <f t="shared" si="297"/>
        <v>25,00</v>
      </c>
      <c r="Q1333" s="4" t="str">
        <f t="shared" si="298"/>
        <v>Veinticinco Bolívares con 00/100</v>
      </c>
    </row>
    <row r="1334" spans="1:17" x14ac:dyDescent="0.25">
      <c r="A1334" s="1">
        <f t="shared" si="283"/>
        <v>1333</v>
      </c>
      <c r="C1334" s="8" t="s">
        <v>17</v>
      </c>
      <c r="D1334" s="2">
        <v>43313</v>
      </c>
      <c r="E1334" s="3">
        <f>1200000/100000</f>
        <v>12</v>
      </c>
      <c r="F1334" t="s">
        <v>48</v>
      </c>
      <c r="G1334" t="s">
        <v>49</v>
      </c>
      <c r="H1334" t="s">
        <v>50</v>
      </c>
      <c r="I1334" s="6" t="s">
        <v>787</v>
      </c>
      <c r="J1334" s="61" t="s">
        <v>22</v>
      </c>
      <c r="L1334" s="5" t="str">
        <f t="shared" si="294"/>
        <v>01333</v>
      </c>
      <c r="M1334" s="47" t="str">
        <f t="shared" si="295"/>
        <v>01 de agosto de 2018</v>
      </c>
      <c r="N1334" s="323">
        <f t="shared" si="274"/>
        <v>1</v>
      </c>
      <c r="O1334" s="25">
        <f t="shared" si="296"/>
        <v>43313</v>
      </c>
      <c r="P1334" s="5" t="str">
        <f t="shared" si="297"/>
        <v>12,00</v>
      </c>
      <c r="Q1334" s="4" t="str">
        <f t="shared" si="298"/>
        <v>Doce Bolívares con 00/100</v>
      </c>
    </row>
    <row r="1335" spans="1:17" x14ac:dyDescent="0.25">
      <c r="A1335" s="1">
        <f t="shared" si="283"/>
        <v>1334</v>
      </c>
      <c r="C1335" s="8" t="s">
        <v>17</v>
      </c>
      <c r="D1335" s="2">
        <v>43313</v>
      </c>
      <c r="E1335" s="3">
        <f>1200000/100000</f>
        <v>12</v>
      </c>
      <c r="F1335" t="s">
        <v>407</v>
      </c>
      <c r="G1335" t="s">
        <v>408</v>
      </c>
      <c r="H1335" t="s">
        <v>409</v>
      </c>
      <c r="I1335" s="6" t="s">
        <v>787</v>
      </c>
      <c r="J1335" s="61" t="s">
        <v>22</v>
      </c>
      <c r="L1335" s="5" t="str">
        <f t="shared" si="294"/>
        <v>01334</v>
      </c>
      <c r="M1335" s="47" t="str">
        <f t="shared" si="295"/>
        <v>01 de agosto de 2018</v>
      </c>
      <c r="N1335" s="323">
        <f t="shared" si="274"/>
        <v>1</v>
      </c>
      <c r="O1335" s="25">
        <f t="shared" si="296"/>
        <v>43313</v>
      </c>
      <c r="P1335" s="5" t="str">
        <f t="shared" si="297"/>
        <v>12,00</v>
      </c>
      <c r="Q1335" s="4" t="str">
        <f>CONVERTIRNUM(E1335)</f>
        <v>Doce Bolívares con 00/100</v>
      </c>
    </row>
    <row r="1336" spans="1:17" x14ac:dyDescent="0.25">
      <c r="A1336" s="1">
        <f t="shared" si="283"/>
        <v>1335</v>
      </c>
      <c r="C1336" s="85" t="s">
        <v>17</v>
      </c>
      <c r="D1336" s="2">
        <v>43313</v>
      </c>
      <c r="E1336" s="3">
        <f>1200000/100000</f>
        <v>12</v>
      </c>
      <c r="F1336" t="s">
        <v>280</v>
      </c>
      <c r="G1336" s="18" t="s">
        <v>58</v>
      </c>
      <c r="H1336" t="s">
        <v>282</v>
      </c>
      <c r="I1336" s="6" t="s">
        <v>791</v>
      </c>
      <c r="J1336" s="61" t="s">
        <v>22</v>
      </c>
      <c r="L1336" s="5" t="str">
        <f t="shared" si="294"/>
        <v>01335</v>
      </c>
      <c r="M1336" s="47" t="str">
        <f t="shared" si="295"/>
        <v>01 de agosto de 2018</v>
      </c>
      <c r="N1336" s="323">
        <f t="shared" si="274"/>
        <v>1</v>
      </c>
      <c r="O1336" s="25">
        <f t="shared" si="296"/>
        <v>43313</v>
      </c>
      <c r="P1336" s="5" t="str">
        <f t="shared" si="297"/>
        <v>12,00</v>
      </c>
      <c r="Q1336" s="4" t="str">
        <f t="shared" ref="Q1336:Q1342" si="299">CONVERTIRNUM(E1336)</f>
        <v>Doce Bolívares con 00/100</v>
      </c>
    </row>
    <row r="1337" spans="1:17" x14ac:dyDescent="0.25">
      <c r="A1337" s="1">
        <f t="shared" si="283"/>
        <v>1336</v>
      </c>
      <c r="C1337" s="8" t="s">
        <v>17</v>
      </c>
      <c r="D1337" s="2">
        <v>43313</v>
      </c>
      <c r="E1337" s="3">
        <f>1740000/100000</f>
        <v>17.399999999999999</v>
      </c>
      <c r="F1337" s="23" t="s">
        <v>422</v>
      </c>
      <c r="G1337" s="18" t="s">
        <v>58</v>
      </c>
      <c r="H1337" t="s">
        <v>423</v>
      </c>
      <c r="I1337" s="6" t="s">
        <v>787</v>
      </c>
      <c r="J1337" s="61" t="s">
        <v>22</v>
      </c>
      <c r="L1337" s="5" t="str">
        <f t="shared" si="294"/>
        <v>01336</v>
      </c>
      <c r="M1337" s="47" t="str">
        <f t="shared" si="295"/>
        <v>01 de agosto de 2018</v>
      </c>
      <c r="N1337" s="323">
        <f t="shared" si="274"/>
        <v>1</v>
      </c>
      <c r="O1337" s="25">
        <f t="shared" si="296"/>
        <v>43313</v>
      </c>
      <c r="P1337" s="5" t="str">
        <f t="shared" si="297"/>
        <v>17,40</v>
      </c>
      <c r="Q1337" s="4" t="str">
        <f t="shared" si="299"/>
        <v>Diecisiete Bolívares con 40/100</v>
      </c>
    </row>
    <row r="1338" spans="1:17" x14ac:dyDescent="0.25">
      <c r="A1338" s="1">
        <f t="shared" si="283"/>
        <v>1337</v>
      </c>
      <c r="C1338" s="8" t="s">
        <v>17</v>
      </c>
      <c r="D1338" s="2">
        <v>43313</v>
      </c>
      <c r="E1338" s="3">
        <f>1200000/100000</f>
        <v>12</v>
      </c>
      <c r="F1338" t="s">
        <v>612</v>
      </c>
      <c r="G1338" t="s">
        <v>613</v>
      </c>
      <c r="H1338" t="s">
        <v>614</v>
      </c>
      <c r="I1338" s="6" t="s">
        <v>792</v>
      </c>
      <c r="J1338" s="61" t="s">
        <v>22</v>
      </c>
      <c r="L1338" s="5" t="str">
        <f t="shared" si="294"/>
        <v>01337</v>
      </c>
      <c r="M1338" s="47" t="str">
        <f t="shared" si="295"/>
        <v>01 de agosto de 2018</v>
      </c>
      <c r="N1338" s="323">
        <f t="shared" si="274"/>
        <v>1</v>
      </c>
      <c r="O1338" s="25">
        <f t="shared" si="296"/>
        <v>43313</v>
      </c>
      <c r="P1338" s="5" t="str">
        <f t="shared" si="297"/>
        <v>12,00</v>
      </c>
      <c r="Q1338" s="4" t="str">
        <f t="shared" si="299"/>
        <v>Doce Bolívares con 00/100</v>
      </c>
    </row>
    <row r="1339" spans="1:17" x14ac:dyDescent="0.25">
      <c r="A1339" s="1">
        <f t="shared" si="283"/>
        <v>1338</v>
      </c>
      <c r="C1339" s="8" t="s">
        <v>17</v>
      </c>
      <c r="D1339" s="2">
        <v>43313</v>
      </c>
      <c r="E1339" s="3">
        <f>1200000/100000</f>
        <v>12</v>
      </c>
      <c r="F1339" t="s">
        <v>219</v>
      </c>
      <c r="G1339" t="s">
        <v>220</v>
      </c>
      <c r="H1339" t="s">
        <v>221</v>
      </c>
      <c r="I1339" s="6" t="s">
        <v>793</v>
      </c>
      <c r="J1339" s="61" t="s">
        <v>22</v>
      </c>
      <c r="L1339" s="5" t="str">
        <f t="shared" si="294"/>
        <v>01338</v>
      </c>
      <c r="M1339" s="47" t="str">
        <f t="shared" si="295"/>
        <v>01 de agosto de 2018</v>
      </c>
      <c r="N1339" s="323">
        <f t="shared" si="274"/>
        <v>1</v>
      </c>
      <c r="O1339" s="25">
        <f t="shared" si="296"/>
        <v>43313</v>
      </c>
      <c r="P1339" s="5" t="str">
        <f t="shared" si="297"/>
        <v>12,00</v>
      </c>
      <c r="Q1339" s="4" t="str">
        <f t="shared" si="299"/>
        <v>Doce Bolívares con 00/100</v>
      </c>
    </row>
    <row r="1340" spans="1:17" x14ac:dyDescent="0.25">
      <c r="A1340" s="1">
        <f t="shared" si="283"/>
        <v>1339</v>
      </c>
      <c r="C1340" s="8" t="s">
        <v>17</v>
      </c>
      <c r="D1340" s="2">
        <v>43313</v>
      </c>
      <c r="E1340" s="3">
        <f>1200000/100000</f>
        <v>12</v>
      </c>
      <c r="F1340" t="s">
        <v>771</v>
      </c>
      <c r="G1340" t="s">
        <v>772</v>
      </c>
      <c r="H1340" t="s">
        <v>773</v>
      </c>
      <c r="I1340" s="6" t="s">
        <v>794</v>
      </c>
      <c r="J1340" s="61" t="s">
        <v>22</v>
      </c>
      <c r="L1340" s="5" t="str">
        <f t="shared" si="294"/>
        <v>01339</v>
      </c>
      <c r="M1340" s="47" t="str">
        <f t="shared" si="295"/>
        <v>01 de agosto de 2018</v>
      </c>
      <c r="N1340" s="323">
        <f t="shared" si="274"/>
        <v>1</v>
      </c>
      <c r="O1340" s="25">
        <f t="shared" si="296"/>
        <v>43313</v>
      </c>
      <c r="P1340" s="5" t="str">
        <f t="shared" si="297"/>
        <v>12,00</v>
      </c>
      <c r="Q1340" s="4" t="str">
        <f t="shared" si="299"/>
        <v>Doce Bolívares con 00/100</v>
      </c>
    </row>
    <row r="1341" spans="1:17" x14ac:dyDescent="0.25">
      <c r="A1341" s="1">
        <f t="shared" si="283"/>
        <v>1340</v>
      </c>
      <c r="C1341" s="8" t="s">
        <v>17</v>
      </c>
      <c r="D1341" s="2">
        <v>43313</v>
      </c>
      <c r="E1341" s="3">
        <f>1200000/100000</f>
        <v>12</v>
      </c>
      <c r="F1341" t="s">
        <v>18</v>
      </c>
      <c r="G1341" t="s">
        <v>19</v>
      </c>
      <c r="H1341" t="s">
        <v>20</v>
      </c>
      <c r="I1341" s="6" t="s">
        <v>795</v>
      </c>
      <c r="J1341" s="61" t="s">
        <v>22</v>
      </c>
      <c r="L1341" s="5" t="str">
        <f t="shared" si="294"/>
        <v>01340</v>
      </c>
      <c r="M1341" s="47" t="str">
        <f t="shared" si="295"/>
        <v>01 de agosto de 2018</v>
      </c>
      <c r="N1341" s="323">
        <f t="shared" si="274"/>
        <v>1</v>
      </c>
      <c r="O1341" s="25">
        <f t="shared" si="296"/>
        <v>43313</v>
      </c>
      <c r="P1341" s="5" t="str">
        <f t="shared" si="297"/>
        <v>12,00</v>
      </c>
      <c r="Q1341" s="4" t="str">
        <f t="shared" si="299"/>
        <v>Doce Bolívares con 00/100</v>
      </c>
    </row>
    <row r="1342" spans="1:17" x14ac:dyDescent="0.25">
      <c r="A1342" s="1">
        <f t="shared" si="283"/>
        <v>1341</v>
      </c>
      <c r="C1342" s="8" t="s">
        <v>17</v>
      </c>
      <c r="D1342" s="2">
        <v>43313</v>
      </c>
      <c r="E1342" s="3">
        <f>990000/100000</f>
        <v>9.9</v>
      </c>
      <c r="F1342" t="s">
        <v>438</v>
      </c>
      <c r="G1342" t="s">
        <v>439</v>
      </c>
      <c r="H1342" t="s">
        <v>440</v>
      </c>
      <c r="I1342" s="6" t="s">
        <v>796</v>
      </c>
      <c r="J1342" s="61" t="s">
        <v>22</v>
      </c>
      <c r="L1342" s="5" t="str">
        <f t="shared" si="294"/>
        <v>01341</v>
      </c>
      <c r="M1342" s="47" t="str">
        <f t="shared" si="295"/>
        <v>01 de agosto de 2018</v>
      </c>
      <c r="N1342" s="323">
        <f t="shared" si="274"/>
        <v>1</v>
      </c>
      <c r="O1342" s="25">
        <f t="shared" si="296"/>
        <v>43313</v>
      </c>
      <c r="P1342" s="5" t="str">
        <f t="shared" si="297"/>
        <v>9,90</v>
      </c>
      <c r="Q1342" s="4" t="str">
        <f t="shared" si="299"/>
        <v>Nueve Bolívares con 90/100</v>
      </c>
    </row>
    <row r="1343" spans="1:17" x14ac:dyDescent="0.25">
      <c r="A1343" s="1">
        <f t="shared" si="283"/>
        <v>1342</v>
      </c>
      <c r="C1343" s="8" t="s">
        <v>17</v>
      </c>
      <c r="D1343" s="2">
        <v>43314</v>
      </c>
      <c r="E1343" s="3">
        <f>1200000/100000-990000/100000</f>
        <v>2.0999999999999996</v>
      </c>
      <c r="F1343" t="s">
        <v>438</v>
      </c>
      <c r="G1343" t="s">
        <v>439</v>
      </c>
      <c r="H1343" t="s">
        <v>440</v>
      </c>
      <c r="I1343" s="6" t="s">
        <v>797</v>
      </c>
      <c r="J1343" s="61" t="s">
        <v>22</v>
      </c>
      <c r="L1343" s="5" t="str">
        <f t="shared" ref="L1343:L1352" si="300">IF(ISBLANK(A1343),"",TEXT(A1343,"00000"))</f>
        <v>01342</v>
      </c>
      <c r="M1343" s="47" t="str">
        <f t="shared" ref="M1343:M1352" si="301">IF(ISBLANK(D1343),"",TEXT(D1343,"dd")&amp;" de "&amp;TEXT(D1343,"mmmm")&amp;" de "&amp;TEXT(YEAR(D1343),"0"))</f>
        <v>02 de agosto de 2018</v>
      </c>
      <c r="N1343" s="323">
        <f t="shared" si="274"/>
        <v>2</v>
      </c>
      <c r="O1343" s="25">
        <f t="shared" ref="O1343:O1352" si="302">DATE(YEAR(D1343),MONTH(D1343),1)</f>
        <v>43313</v>
      </c>
      <c r="P1343" s="5" t="str">
        <f t="shared" ref="P1343:P1352" si="303">TEXT(E1343,"#.##0,00")</f>
        <v>2,10</v>
      </c>
      <c r="Q1343" s="4" t="str">
        <f t="shared" ref="Q1343:Q1352" si="304">CONVERTIRNUM(E1343)</f>
        <v>Dos Bolívares con 10/100</v>
      </c>
    </row>
    <row r="1344" spans="1:17" x14ac:dyDescent="0.25">
      <c r="A1344" s="1">
        <f t="shared" si="283"/>
        <v>1343</v>
      </c>
      <c r="C1344" s="8" t="s">
        <v>17</v>
      </c>
      <c r="D1344" s="2">
        <v>43314</v>
      </c>
      <c r="E1344" s="3">
        <f>1200000/100000</f>
        <v>12</v>
      </c>
      <c r="F1344" t="s">
        <v>633</v>
      </c>
      <c r="G1344" t="s">
        <v>634</v>
      </c>
      <c r="H1344" t="s">
        <v>635</v>
      </c>
      <c r="I1344" s="6" t="s">
        <v>787</v>
      </c>
      <c r="J1344" s="61" t="s">
        <v>22</v>
      </c>
      <c r="L1344" s="5" t="str">
        <f t="shared" si="300"/>
        <v>01343</v>
      </c>
      <c r="M1344" s="47" t="str">
        <f t="shared" si="301"/>
        <v>02 de agosto de 2018</v>
      </c>
      <c r="N1344" s="323">
        <f t="shared" si="274"/>
        <v>2</v>
      </c>
      <c r="O1344" s="25">
        <f t="shared" si="302"/>
        <v>43313</v>
      </c>
      <c r="P1344" s="5" t="str">
        <f t="shared" si="303"/>
        <v>12,00</v>
      </c>
      <c r="Q1344" s="4" t="str">
        <f t="shared" si="304"/>
        <v>Doce Bolívares con 00/100</v>
      </c>
    </row>
    <row r="1345" spans="1:17" x14ac:dyDescent="0.25">
      <c r="A1345" s="1">
        <f t="shared" si="283"/>
        <v>1344</v>
      </c>
      <c r="C1345" s="8" t="s">
        <v>17</v>
      </c>
      <c r="D1345" s="2">
        <v>43311</v>
      </c>
      <c r="E1345" s="3">
        <f>1000000/100000</f>
        <v>10</v>
      </c>
      <c r="F1345" t="s">
        <v>239</v>
      </c>
      <c r="G1345" s="73" t="s">
        <v>240</v>
      </c>
      <c r="H1345" t="s">
        <v>241</v>
      </c>
      <c r="I1345" s="6" t="s">
        <v>750</v>
      </c>
      <c r="J1345" s="61" t="s">
        <v>22</v>
      </c>
      <c r="L1345" s="5" t="str">
        <f t="shared" si="300"/>
        <v>01344</v>
      </c>
      <c r="M1345" s="47" t="str">
        <f t="shared" si="301"/>
        <v>30 de julio de 2018</v>
      </c>
      <c r="N1345" s="323">
        <f t="shared" si="274"/>
        <v>30</v>
      </c>
      <c r="O1345" s="25">
        <f t="shared" si="302"/>
        <v>43282</v>
      </c>
      <c r="P1345" s="5" t="str">
        <f t="shared" si="303"/>
        <v>10,00</v>
      </c>
      <c r="Q1345" s="4" t="str">
        <f t="shared" si="304"/>
        <v>Diez Bolívares con 00/100</v>
      </c>
    </row>
    <row r="1346" spans="1:17" x14ac:dyDescent="0.25">
      <c r="A1346" s="1">
        <f t="shared" si="283"/>
        <v>1345</v>
      </c>
      <c r="C1346" s="8" t="s">
        <v>17</v>
      </c>
      <c r="D1346" s="2">
        <v>43315</v>
      </c>
      <c r="E1346" s="3">
        <f>1800000/100000-1200000/100000</f>
        <v>6</v>
      </c>
      <c r="F1346" t="s">
        <v>28</v>
      </c>
      <c r="G1346" t="s">
        <v>716</v>
      </c>
      <c r="H1346" t="s">
        <v>30</v>
      </c>
      <c r="I1346" s="6" t="s">
        <v>760</v>
      </c>
      <c r="J1346" s="61" t="s">
        <v>22</v>
      </c>
      <c r="L1346" s="5" t="str">
        <f t="shared" si="300"/>
        <v>01345</v>
      </c>
      <c r="M1346" s="47" t="str">
        <f t="shared" si="301"/>
        <v>03 de agosto de 2018</v>
      </c>
      <c r="N1346" s="323">
        <f t="shared" si="274"/>
        <v>3</v>
      </c>
      <c r="O1346" s="25">
        <f t="shared" si="302"/>
        <v>43313</v>
      </c>
      <c r="P1346" s="5" t="str">
        <f t="shared" si="303"/>
        <v>6,00</v>
      </c>
      <c r="Q1346" s="4" t="str">
        <f t="shared" si="304"/>
        <v>Seis Bolívares con 00/100</v>
      </c>
    </row>
    <row r="1347" spans="1:17" x14ac:dyDescent="0.25">
      <c r="A1347" s="1">
        <f t="shared" si="283"/>
        <v>1346</v>
      </c>
      <c r="C1347" s="8" t="s">
        <v>17</v>
      </c>
      <c r="D1347" s="2">
        <v>43315</v>
      </c>
      <c r="E1347" s="3">
        <f>1200000/100000</f>
        <v>12</v>
      </c>
      <c r="F1347" t="s">
        <v>28</v>
      </c>
      <c r="G1347" t="s">
        <v>716</v>
      </c>
      <c r="H1347" t="s">
        <v>30</v>
      </c>
      <c r="I1347" s="6" t="s">
        <v>744</v>
      </c>
      <c r="J1347" s="61" t="s">
        <v>745</v>
      </c>
      <c r="L1347" s="5" t="str">
        <f t="shared" si="300"/>
        <v>01346</v>
      </c>
      <c r="M1347" s="47" t="str">
        <f t="shared" si="301"/>
        <v>03 de agosto de 2018</v>
      </c>
      <c r="N1347" s="323">
        <f t="shared" ref="N1347:N1410" si="305">DAY(D1347)</f>
        <v>3</v>
      </c>
      <c r="O1347" s="25">
        <f t="shared" si="302"/>
        <v>43313</v>
      </c>
      <c r="P1347" s="5" t="str">
        <f t="shared" si="303"/>
        <v>12,00</v>
      </c>
      <c r="Q1347" s="4" t="str">
        <f t="shared" si="304"/>
        <v>Doce Bolívares con 00/100</v>
      </c>
    </row>
    <row r="1348" spans="1:17" x14ac:dyDescent="0.25">
      <c r="A1348" s="1">
        <f t="shared" si="283"/>
        <v>1347</v>
      </c>
      <c r="C1348" s="8" t="s">
        <v>17</v>
      </c>
      <c r="D1348" s="2">
        <v>43316</v>
      </c>
      <c r="E1348" s="3">
        <f>600000/100000</f>
        <v>6</v>
      </c>
      <c r="F1348" t="s">
        <v>134</v>
      </c>
      <c r="G1348" t="s">
        <v>135</v>
      </c>
      <c r="H1348" t="s">
        <v>136</v>
      </c>
      <c r="I1348" s="6" t="s">
        <v>744</v>
      </c>
      <c r="J1348" s="61" t="s">
        <v>745</v>
      </c>
      <c r="L1348" s="5" t="str">
        <f t="shared" si="300"/>
        <v>01347</v>
      </c>
      <c r="M1348" s="47" t="str">
        <f t="shared" si="301"/>
        <v>04 de agosto de 2018</v>
      </c>
      <c r="N1348" s="323">
        <f t="shared" si="305"/>
        <v>4</v>
      </c>
      <c r="O1348" s="25">
        <f t="shared" si="302"/>
        <v>43313</v>
      </c>
      <c r="P1348" s="5" t="str">
        <f t="shared" si="303"/>
        <v>6,00</v>
      </c>
      <c r="Q1348" s="4" t="str">
        <f t="shared" si="304"/>
        <v>Seis Bolívares con 00/100</v>
      </c>
    </row>
    <row r="1349" spans="1:17" x14ac:dyDescent="0.25">
      <c r="A1349" s="1">
        <f t="shared" si="283"/>
        <v>1348</v>
      </c>
      <c r="C1349" s="8" t="s">
        <v>17</v>
      </c>
      <c r="D1349" s="2">
        <v>43318</v>
      </c>
      <c r="E1349" s="3">
        <f>875000/100000</f>
        <v>8.75</v>
      </c>
      <c r="F1349" t="s">
        <v>537</v>
      </c>
      <c r="G1349" t="s">
        <v>538</v>
      </c>
      <c r="H1349" t="s">
        <v>539</v>
      </c>
      <c r="I1349" s="6" t="s">
        <v>798</v>
      </c>
      <c r="J1349" s="61" t="s">
        <v>22</v>
      </c>
      <c r="L1349" s="5" t="str">
        <f t="shared" si="300"/>
        <v>01348</v>
      </c>
      <c r="M1349" s="47" t="str">
        <f t="shared" si="301"/>
        <v>06 de agosto de 2018</v>
      </c>
      <c r="N1349" s="323">
        <f t="shared" si="305"/>
        <v>6</v>
      </c>
      <c r="O1349" s="25">
        <f t="shared" si="302"/>
        <v>43313</v>
      </c>
      <c r="P1349" s="5" t="str">
        <f t="shared" si="303"/>
        <v>8,75</v>
      </c>
      <c r="Q1349" s="4" t="str">
        <f t="shared" si="304"/>
        <v>Ocho Bolívares con 75/100</v>
      </c>
    </row>
    <row r="1350" spans="1:17" x14ac:dyDescent="0.25">
      <c r="A1350" s="1">
        <f t="shared" si="283"/>
        <v>1349</v>
      </c>
      <c r="C1350" s="8" t="s">
        <v>17</v>
      </c>
      <c r="D1350" s="2">
        <v>43318</v>
      </c>
      <c r="E1350" s="3">
        <f>1220000/100000</f>
        <v>12.2</v>
      </c>
      <c r="F1350" t="s">
        <v>337</v>
      </c>
      <c r="G1350" t="s">
        <v>338</v>
      </c>
      <c r="H1350" t="s">
        <v>339</v>
      </c>
      <c r="I1350" s="6" t="s">
        <v>744</v>
      </c>
      <c r="J1350" s="61" t="s">
        <v>745</v>
      </c>
      <c r="L1350" s="5" t="str">
        <f t="shared" si="300"/>
        <v>01349</v>
      </c>
      <c r="M1350" s="47" t="str">
        <f t="shared" si="301"/>
        <v>06 de agosto de 2018</v>
      </c>
      <c r="N1350" s="323">
        <f t="shared" si="305"/>
        <v>6</v>
      </c>
      <c r="O1350" s="25">
        <f t="shared" si="302"/>
        <v>43313</v>
      </c>
      <c r="P1350" s="5" t="str">
        <f t="shared" si="303"/>
        <v>12,20</v>
      </c>
      <c r="Q1350" s="4" t="str">
        <f t="shared" si="304"/>
        <v>Doce Bolívares con 20/100</v>
      </c>
    </row>
    <row r="1351" spans="1:17" x14ac:dyDescent="0.25">
      <c r="A1351" s="1">
        <f t="shared" si="283"/>
        <v>1350</v>
      </c>
      <c r="C1351" s="85" t="s">
        <v>17</v>
      </c>
      <c r="D1351" s="2">
        <v>43318</v>
      </c>
      <c r="E1351" s="3">
        <f>2200000/100000</f>
        <v>22</v>
      </c>
      <c r="F1351" t="s">
        <v>410</v>
      </c>
      <c r="G1351" s="18" t="s">
        <v>58</v>
      </c>
      <c r="H1351" t="s">
        <v>411</v>
      </c>
      <c r="I1351" s="6" t="s">
        <v>783</v>
      </c>
      <c r="J1351" s="61" t="s">
        <v>22</v>
      </c>
      <c r="L1351" s="5" t="str">
        <f t="shared" si="300"/>
        <v>01350</v>
      </c>
      <c r="M1351" s="47" t="str">
        <f t="shared" si="301"/>
        <v>06 de agosto de 2018</v>
      </c>
      <c r="N1351" s="323">
        <f t="shared" si="305"/>
        <v>6</v>
      </c>
      <c r="O1351" s="25">
        <f t="shared" si="302"/>
        <v>43313</v>
      </c>
      <c r="P1351" s="5" t="str">
        <f t="shared" si="303"/>
        <v>22,00</v>
      </c>
      <c r="Q1351" s="4" t="str">
        <f t="shared" si="304"/>
        <v>Veintidos Bolívares con 00/100</v>
      </c>
    </row>
    <row r="1352" spans="1:17" x14ac:dyDescent="0.25">
      <c r="A1352" s="1">
        <f t="shared" si="283"/>
        <v>1351</v>
      </c>
      <c r="C1352" s="8" t="s">
        <v>17</v>
      </c>
      <c r="D1352" s="2">
        <v>43318</v>
      </c>
      <c r="E1352" s="3">
        <f>1000000/100000</f>
        <v>10</v>
      </c>
      <c r="F1352" t="s">
        <v>197</v>
      </c>
      <c r="G1352" t="s">
        <v>198</v>
      </c>
      <c r="H1352" t="s">
        <v>199</v>
      </c>
      <c r="I1352" s="6" t="s">
        <v>750</v>
      </c>
      <c r="J1352" s="61" t="s">
        <v>22</v>
      </c>
      <c r="L1352" s="5" t="str">
        <f t="shared" si="300"/>
        <v>01351</v>
      </c>
      <c r="M1352" s="47" t="str">
        <f t="shared" si="301"/>
        <v>06 de agosto de 2018</v>
      </c>
      <c r="N1352" s="323">
        <f t="shared" si="305"/>
        <v>6</v>
      </c>
      <c r="O1352" s="25">
        <f t="shared" si="302"/>
        <v>43313</v>
      </c>
      <c r="P1352" s="5" t="str">
        <f t="shared" si="303"/>
        <v>10,00</v>
      </c>
      <c r="Q1352" s="4" t="str">
        <f t="shared" si="304"/>
        <v>Diez Bolívares con 00/100</v>
      </c>
    </row>
    <row r="1353" spans="1:17" x14ac:dyDescent="0.25">
      <c r="A1353" s="1">
        <f t="shared" si="283"/>
        <v>1352</v>
      </c>
      <c r="C1353" s="8" t="s">
        <v>17</v>
      </c>
      <c r="D1353" s="2">
        <v>43318</v>
      </c>
      <c r="E1353" s="3">
        <f>1425000/100000</f>
        <v>14.25</v>
      </c>
      <c r="F1353" t="s">
        <v>197</v>
      </c>
      <c r="G1353" t="s">
        <v>198</v>
      </c>
      <c r="H1353" t="s">
        <v>199</v>
      </c>
      <c r="I1353" s="6" t="s">
        <v>799</v>
      </c>
      <c r="J1353" s="61" t="s">
        <v>22</v>
      </c>
      <c r="L1353" s="5" t="str">
        <f t="shared" ref="L1353:L1356" si="306">IF(ISBLANK(A1353),"",TEXT(A1353,"00000"))</f>
        <v>01352</v>
      </c>
      <c r="M1353" s="47" t="str">
        <f t="shared" ref="M1353:M1356" si="307">IF(ISBLANK(D1353),"",TEXT(D1353,"dd")&amp;" de "&amp;TEXT(D1353,"mmmm")&amp;" de "&amp;TEXT(YEAR(D1353),"0"))</f>
        <v>06 de agosto de 2018</v>
      </c>
      <c r="N1353" s="323">
        <f t="shared" si="305"/>
        <v>6</v>
      </c>
      <c r="O1353" s="25">
        <f t="shared" ref="O1353:O1356" si="308">DATE(YEAR(D1353),MONTH(D1353),1)</f>
        <v>43313</v>
      </c>
      <c r="P1353" s="5" t="str">
        <f t="shared" ref="P1353:P1369" si="309">TEXT(E1353,"#.##0,00")</f>
        <v>14,25</v>
      </c>
      <c r="Q1353" s="4" t="str">
        <f t="shared" ref="Q1353:Q1369" si="310">CONVERTIRNUM(E1353)</f>
        <v>Catorce Bolívares con 25/100</v>
      </c>
    </row>
    <row r="1354" spans="1:17" x14ac:dyDescent="0.25">
      <c r="A1354" s="1">
        <f t="shared" si="283"/>
        <v>1353</v>
      </c>
      <c r="C1354" s="8" t="s">
        <v>17</v>
      </c>
      <c r="D1354" s="2">
        <v>43318</v>
      </c>
      <c r="E1354" s="3">
        <f>1200000/100000</f>
        <v>12</v>
      </c>
      <c r="F1354" t="s">
        <v>80</v>
      </c>
      <c r="G1354" t="s">
        <v>81</v>
      </c>
      <c r="H1354" t="s">
        <v>82</v>
      </c>
      <c r="I1354" s="6" t="s">
        <v>787</v>
      </c>
      <c r="J1354" s="61" t="s">
        <v>22</v>
      </c>
      <c r="L1354" s="5" t="str">
        <f t="shared" si="306"/>
        <v>01353</v>
      </c>
      <c r="M1354" s="47" t="str">
        <f t="shared" si="307"/>
        <v>06 de agosto de 2018</v>
      </c>
      <c r="N1354" s="323">
        <f t="shared" si="305"/>
        <v>6</v>
      </c>
      <c r="O1354" s="25">
        <f t="shared" si="308"/>
        <v>43313</v>
      </c>
      <c r="P1354" s="5" t="str">
        <f t="shared" si="309"/>
        <v>12,00</v>
      </c>
      <c r="Q1354" s="4" t="str">
        <f t="shared" si="310"/>
        <v>Doce Bolívares con 00/100</v>
      </c>
    </row>
    <row r="1355" spans="1:17" x14ac:dyDescent="0.25">
      <c r="A1355" s="1">
        <f t="shared" si="283"/>
        <v>1354</v>
      </c>
      <c r="C1355" s="85" t="s">
        <v>17</v>
      </c>
      <c r="D1355" s="2">
        <v>43319</v>
      </c>
      <c r="E1355" s="3">
        <f>1400000/100000</f>
        <v>14</v>
      </c>
      <c r="F1355" t="s">
        <v>40</v>
      </c>
      <c r="G1355" s="18" t="s">
        <v>58</v>
      </c>
      <c r="H1355" t="s">
        <v>42</v>
      </c>
      <c r="I1355" s="6" t="s">
        <v>800</v>
      </c>
      <c r="J1355" s="61" t="s">
        <v>22</v>
      </c>
      <c r="L1355" s="5" t="str">
        <f t="shared" si="306"/>
        <v>01354</v>
      </c>
      <c r="M1355" s="47" t="str">
        <f t="shared" si="307"/>
        <v>07 de agosto de 2018</v>
      </c>
      <c r="N1355" s="323">
        <f t="shared" si="305"/>
        <v>7</v>
      </c>
      <c r="O1355" s="25">
        <f t="shared" si="308"/>
        <v>43313</v>
      </c>
      <c r="P1355" s="5" t="str">
        <f t="shared" si="309"/>
        <v>14,00</v>
      </c>
      <c r="Q1355" s="4" t="str">
        <f t="shared" si="310"/>
        <v>Catorce Bolívares con 00/100</v>
      </c>
    </row>
    <row r="1356" spans="1:17" x14ac:dyDescent="0.25">
      <c r="A1356" s="1">
        <f t="shared" si="283"/>
        <v>1355</v>
      </c>
      <c r="C1356" s="8" t="s">
        <v>17</v>
      </c>
      <c r="D1356" s="2">
        <v>43319</v>
      </c>
      <c r="E1356" s="3">
        <f>800000/100000</f>
        <v>8</v>
      </c>
      <c r="F1356" t="s">
        <v>252</v>
      </c>
      <c r="G1356" t="s">
        <v>253</v>
      </c>
      <c r="H1356" t="s">
        <v>254</v>
      </c>
      <c r="I1356" t="s">
        <v>801</v>
      </c>
      <c r="J1356" s="61" t="s">
        <v>22</v>
      </c>
      <c r="L1356" s="5" t="str">
        <f t="shared" si="306"/>
        <v>01355</v>
      </c>
      <c r="M1356" s="47" t="str">
        <f t="shared" si="307"/>
        <v>07 de agosto de 2018</v>
      </c>
      <c r="N1356" s="323">
        <f t="shared" si="305"/>
        <v>7</v>
      </c>
      <c r="O1356" s="25">
        <f t="shared" si="308"/>
        <v>43313</v>
      </c>
      <c r="P1356" s="5" t="str">
        <f t="shared" si="309"/>
        <v>8,00</v>
      </c>
      <c r="Q1356" s="4" t="str">
        <f t="shared" si="310"/>
        <v>Ocho Bolívares con 00/100</v>
      </c>
    </row>
    <row r="1357" spans="1:17" x14ac:dyDescent="0.25">
      <c r="A1357" s="1">
        <f t="shared" si="283"/>
        <v>1356</v>
      </c>
      <c r="C1357" s="8" t="s">
        <v>17</v>
      </c>
      <c r="D1357" s="2">
        <v>43318</v>
      </c>
      <c r="E1357" s="3">
        <f>1500000/100000</f>
        <v>15</v>
      </c>
      <c r="F1357" t="s">
        <v>44</v>
      </c>
      <c r="G1357" t="s">
        <v>45</v>
      </c>
      <c r="H1357" t="s">
        <v>46</v>
      </c>
      <c r="I1357" s="6" t="s">
        <v>802</v>
      </c>
      <c r="J1357" s="61" t="s">
        <v>22</v>
      </c>
      <c r="L1357" s="5" t="str">
        <f>IF(ISBLANK(A1357),"",TEXT(A1357,"00000"))</f>
        <v>01356</v>
      </c>
      <c r="M1357" s="47" t="str">
        <f>IF(ISBLANK(D1357),"",TEXT(D1357,"dd")&amp;" de "&amp;TEXT(D1357,"mmmm")&amp;" de "&amp;TEXT(YEAR(D1357),"0"))</f>
        <v>06 de agosto de 2018</v>
      </c>
      <c r="N1357" s="323">
        <f t="shared" si="305"/>
        <v>6</v>
      </c>
      <c r="O1357" s="25">
        <f>DATE(YEAR(D1357),MONTH(D1357),1)</f>
        <v>43313</v>
      </c>
      <c r="P1357" s="5" t="str">
        <f t="shared" si="309"/>
        <v>15,00</v>
      </c>
      <c r="Q1357" s="4" t="str">
        <f t="shared" si="310"/>
        <v>Quince Bolívares con 00/100</v>
      </c>
    </row>
    <row r="1358" spans="1:17" x14ac:dyDescent="0.25">
      <c r="A1358" s="1">
        <f t="shared" si="283"/>
        <v>1357</v>
      </c>
      <c r="C1358" s="8" t="s">
        <v>17</v>
      </c>
      <c r="D1358" s="2">
        <v>43319</v>
      </c>
      <c r="E1358" s="3">
        <f>1200000/100000</f>
        <v>12</v>
      </c>
      <c r="F1358" t="s">
        <v>24</v>
      </c>
      <c r="G1358" t="s">
        <v>25</v>
      </c>
      <c r="H1358" t="s">
        <v>26</v>
      </c>
      <c r="I1358" s="6" t="s">
        <v>787</v>
      </c>
      <c r="J1358" s="61" t="s">
        <v>22</v>
      </c>
      <c r="L1358" s="5" t="str">
        <f t="shared" ref="L1358:L1370" si="311">IF(ISBLANK(A1358),"",TEXT(A1358,"00000"))</f>
        <v>01357</v>
      </c>
      <c r="M1358" s="47" t="str">
        <f t="shared" ref="M1358:M1370" si="312">IF(ISBLANK(D1358),"",TEXT(D1358,"dd")&amp;" de "&amp;TEXT(D1358,"mmmm")&amp;" de "&amp;TEXT(YEAR(D1358),"0"))</f>
        <v>07 de agosto de 2018</v>
      </c>
      <c r="N1358" s="323">
        <f t="shared" si="305"/>
        <v>7</v>
      </c>
      <c r="O1358" s="25">
        <f t="shared" ref="O1358:O1370" si="313">DATE(YEAR(D1358),MONTH(D1358),1)</f>
        <v>43313</v>
      </c>
      <c r="P1358" s="5" t="str">
        <f t="shared" si="309"/>
        <v>12,00</v>
      </c>
      <c r="Q1358" s="4" t="str">
        <f t="shared" si="310"/>
        <v>Doce Bolívares con 00/100</v>
      </c>
    </row>
    <row r="1359" spans="1:17" x14ac:dyDescent="0.25">
      <c r="A1359" s="1">
        <f t="shared" si="283"/>
        <v>1358</v>
      </c>
      <c r="C1359" s="8" t="s">
        <v>17</v>
      </c>
      <c r="D1359" s="2">
        <v>43320</v>
      </c>
      <c r="E1359" s="3">
        <f>1200000/100000</f>
        <v>12</v>
      </c>
      <c r="F1359" t="s">
        <v>362</v>
      </c>
      <c r="G1359" t="s">
        <v>363</v>
      </c>
      <c r="H1359" t="s">
        <v>364</v>
      </c>
      <c r="I1359" s="6" t="s">
        <v>787</v>
      </c>
      <c r="J1359" s="61" t="s">
        <v>22</v>
      </c>
      <c r="L1359" s="5" t="str">
        <f t="shared" si="311"/>
        <v>01358</v>
      </c>
      <c r="M1359" s="47" t="str">
        <f t="shared" si="312"/>
        <v>08 de agosto de 2018</v>
      </c>
      <c r="N1359" s="323">
        <f t="shared" si="305"/>
        <v>8</v>
      </c>
      <c r="O1359" s="25">
        <f t="shared" si="313"/>
        <v>43313</v>
      </c>
      <c r="P1359" s="5" t="str">
        <f t="shared" si="309"/>
        <v>12,00</v>
      </c>
      <c r="Q1359" s="4" t="str">
        <f t="shared" si="310"/>
        <v>Doce Bolívares con 00/100</v>
      </c>
    </row>
    <row r="1360" spans="1:17" x14ac:dyDescent="0.25">
      <c r="A1360" s="1">
        <f t="shared" si="283"/>
        <v>1359</v>
      </c>
      <c r="C1360" s="8" t="s">
        <v>17</v>
      </c>
      <c r="D1360" s="2">
        <v>43322</v>
      </c>
      <c r="E1360" s="3">
        <f>100000/100000</f>
        <v>1</v>
      </c>
      <c r="F1360" t="s">
        <v>433</v>
      </c>
      <c r="G1360" t="s">
        <v>434</v>
      </c>
      <c r="H1360" t="s">
        <v>435</v>
      </c>
      <c r="I1360" s="6" t="s">
        <v>760</v>
      </c>
      <c r="J1360" s="61" t="s">
        <v>22</v>
      </c>
      <c r="L1360" s="5" t="str">
        <f t="shared" si="311"/>
        <v>01359</v>
      </c>
      <c r="M1360" s="47" t="str">
        <f t="shared" si="312"/>
        <v>10 de agosto de 2018</v>
      </c>
      <c r="N1360" s="323">
        <f t="shared" si="305"/>
        <v>10</v>
      </c>
      <c r="O1360" s="25">
        <f t="shared" si="313"/>
        <v>43313</v>
      </c>
      <c r="P1360" s="5" t="str">
        <f t="shared" si="309"/>
        <v>1,00</v>
      </c>
      <c r="Q1360" s="4" t="str">
        <f t="shared" si="310"/>
        <v>Un Bolívar con 00/100</v>
      </c>
    </row>
    <row r="1361" spans="1:17" x14ac:dyDescent="0.25">
      <c r="A1361" s="1">
        <f t="shared" si="283"/>
        <v>1360</v>
      </c>
      <c r="C1361" s="8" t="s">
        <v>17</v>
      </c>
      <c r="D1361" s="2">
        <v>43324</v>
      </c>
      <c r="E1361" s="3">
        <f t="shared" ref="E1361:E1368" si="314">1200000/100000</f>
        <v>12</v>
      </c>
      <c r="F1361" t="s">
        <v>36</v>
      </c>
      <c r="G1361" t="s">
        <v>37</v>
      </c>
      <c r="H1361" t="s">
        <v>38</v>
      </c>
      <c r="I1361" s="6" t="s">
        <v>787</v>
      </c>
      <c r="J1361" s="61" t="s">
        <v>22</v>
      </c>
      <c r="L1361" s="5" t="str">
        <f t="shared" si="311"/>
        <v>01360</v>
      </c>
      <c r="M1361" s="47" t="str">
        <f t="shared" si="312"/>
        <v>12 de agosto de 2018</v>
      </c>
      <c r="N1361" s="323">
        <f t="shared" si="305"/>
        <v>12</v>
      </c>
      <c r="O1361" s="25">
        <f t="shared" si="313"/>
        <v>43313</v>
      </c>
      <c r="P1361" s="5" t="str">
        <f t="shared" si="309"/>
        <v>12,00</v>
      </c>
      <c r="Q1361" s="4" t="str">
        <f t="shared" si="310"/>
        <v>Doce Bolívares con 00/100</v>
      </c>
    </row>
    <row r="1362" spans="1:17" x14ac:dyDescent="0.25">
      <c r="A1362" s="1">
        <f t="shared" si="283"/>
        <v>1361</v>
      </c>
      <c r="C1362" s="8" t="s">
        <v>17</v>
      </c>
      <c r="D1362" s="2">
        <v>43324</v>
      </c>
      <c r="E1362" s="3">
        <f t="shared" si="314"/>
        <v>12</v>
      </c>
      <c r="F1362" t="s">
        <v>185</v>
      </c>
      <c r="G1362" t="s">
        <v>186</v>
      </c>
      <c r="H1362" t="s">
        <v>187</v>
      </c>
      <c r="I1362" s="6" t="s">
        <v>787</v>
      </c>
      <c r="J1362" s="61" t="s">
        <v>22</v>
      </c>
      <c r="L1362" s="5" t="str">
        <f t="shared" si="311"/>
        <v>01361</v>
      </c>
      <c r="M1362" s="47" t="str">
        <f t="shared" si="312"/>
        <v>12 de agosto de 2018</v>
      </c>
      <c r="N1362" s="323">
        <f t="shared" si="305"/>
        <v>12</v>
      </c>
      <c r="O1362" s="25">
        <f t="shared" si="313"/>
        <v>43313</v>
      </c>
      <c r="P1362" s="5" t="str">
        <f t="shared" si="309"/>
        <v>12,00</v>
      </c>
      <c r="Q1362" s="4" t="str">
        <f t="shared" si="310"/>
        <v>Doce Bolívares con 00/100</v>
      </c>
    </row>
    <row r="1363" spans="1:17" x14ac:dyDescent="0.25">
      <c r="A1363" s="1">
        <f>A1362+1</f>
        <v>1362</v>
      </c>
      <c r="C1363" s="8" t="s">
        <v>17</v>
      </c>
      <c r="D1363" s="2">
        <v>43324</v>
      </c>
      <c r="E1363" s="3">
        <f t="shared" si="314"/>
        <v>12</v>
      </c>
      <c r="F1363" t="s">
        <v>70</v>
      </c>
      <c r="G1363" t="s">
        <v>71</v>
      </c>
      <c r="H1363" t="s">
        <v>72</v>
      </c>
      <c r="I1363" s="6" t="s">
        <v>787</v>
      </c>
      <c r="J1363" s="61" t="s">
        <v>22</v>
      </c>
      <c r="L1363" s="5" t="str">
        <f t="shared" si="311"/>
        <v>01362</v>
      </c>
      <c r="M1363" s="47" t="str">
        <f t="shared" si="312"/>
        <v>12 de agosto de 2018</v>
      </c>
      <c r="N1363" s="323">
        <f t="shared" si="305"/>
        <v>12</v>
      </c>
      <c r="O1363" s="25">
        <f t="shared" si="313"/>
        <v>43313</v>
      </c>
      <c r="P1363" s="5" t="str">
        <f t="shared" si="309"/>
        <v>12,00</v>
      </c>
      <c r="Q1363" s="4" t="str">
        <f t="shared" si="310"/>
        <v>Doce Bolívares con 00/100</v>
      </c>
    </row>
    <row r="1364" spans="1:17" x14ac:dyDescent="0.25">
      <c r="A1364" s="1">
        <f t="shared" ref="A1364:A1430" si="315">A1363+1</f>
        <v>1363</v>
      </c>
      <c r="C1364" s="8" t="s">
        <v>17</v>
      </c>
      <c r="D1364" s="2">
        <v>43324</v>
      </c>
      <c r="E1364" s="3">
        <f t="shared" si="314"/>
        <v>12</v>
      </c>
      <c r="F1364" t="s">
        <v>94</v>
      </c>
      <c r="G1364" t="s">
        <v>607</v>
      </c>
      <c r="H1364" t="s">
        <v>96</v>
      </c>
      <c r="I1364" s="6" t="s">
        <v>787</v>
      </c>
      <c r="J1364" s="61" t="s">
        <v>22</v>
      </c>
      <c r="L1364" s="5" t="str">
        <f t="shared" si="311"/>
        <v>01363</v>
      </c>
      <c r="M1364" s="47" t="str">
        <f t="shared" si="312"/>
        <v>12 de agosto de 2018</v>
      </c>
      <c r="N1364" s="323">
        <f t="shared" si="305"/>
        <v>12</v>
      </c>
      <c r="O1364" s="25">
        <f t="shared" si="313"/>
        <v>43313</v>
      </c>
      <c r="P1364" s="5" t="str">
        <f t="shared" si="309"/>
        <v>12,00</v>
      </c>
      <c r="Q1364" s="4" t="str">
        <f t="shared" si="310"/>
        <v>Doce Bolívares con 00/100</v>
      </c>
    </row>
    <row r="1365" spans="1:17" x14ac:dyDescent="0.25">
      <c r="A1365" s="1">
        <f t="shared" si="315"/>
        <v>1364</v>
      </c>
      <c r="C1365" s="8" t="s">
        <v>17</v>
      </c>
      <c r="D1365" s="2">
        <v>43325</v>
      </c>
      <c r="E1365" s="3">
        <f t="shared" si="314"/>
        <v>12</v>
      </c>
      <c r="F1365" t="s">
        <v>337</v>
      </c>
      <c r="G1365" t="s">
        <v>338</v>
      </c>
      <c r="H1365" t="s">
        <v>339</v>
      </c>
      <c r="I1365" s="6" t="s">
        <v>787</v>
      </c>
      <c r="J1365" s="61" t="s">
        <v>22</v>
      </c>
      <c r="L1365" s="5" t="str">
        <f t="shared" si="311"/>
        <v>01364</v>
      </c>
      <c r="M1365" s="47" t="str">
        <f t="shared" si="312"/>
        <v>13 de agosto de 2018</v>
      </c>
      <c r="N1365" s="323">
        <f t="shared" si="305"/>
        <v>13</v>
      </c>
      <c r="O1365" s="25">
        <f t="shared" si="313"/>
        <v>43313</v>
      </c>
      <c r="P1365" s="5" t="str">
        <f t="shared" si="309"/>
        <v>12,00</v>
      </c>
      <c r="Q1365" s="4" t="str">
        <f t="shared" si="310"/>
        <v>Doce Bolívares con 00/100</v>
      </c>
    </row>
    <row r="1366" spans="1:17" x14ac:dyDescent="0.25">
      <c r="A1366" s="1">
        <f t="shared" si="315"/>
        <v>1365</v>
      </c>
      <c r="C1366" s="8" t="s">
        <v>17</v>
      </c>
      <c r="D1366" s="2">
        <v>43325</v>
      </c>
      <c r="E1366" s="3">
        <f t="shared" si="314"/>
        <v>12</v>
      </c>
      <c r="F1366" t="s">
        <v>443</v>
      </c>
      <c r="G1366" t="s">
        <v>444</v>
      </c>
      <c r="H1366" t="s">
        <v>75</v>
      </c>
      <c r="I1366" s="6" t="s">
        <v>787</v>
      </c>
      <c r="J1366" s="61" t="s">
        <v>22</v>
      </c>
      <c r="L1366" s="5" t="str">
        <f t="shared" si="311"/>
        <v>01365</v>
      </c>
      <c r="M1366" s="47" t="str">
        <f t="shared" si="312"/>
        <v>13 de agosto de 2018</v>
      </c>
      <c r="N1366" s="323">
        <f t="shared" si="305"/>
        <v>13</v>
      </c>
      <c r="O1366" s="25">
        <f t="shared" si="313"/>
        <v>43313</v>
      </c>
      <c r="P1366" s="5" t="str">
        <f t="shared" si="309"/>
        <v>12,00</v>
      </c>
      <c r="Q1366" s="4" t="str">
        <f t="shared" si="310"/>
        <v>Doce Bolívares con 00/100</v>
      </c>
    </row>
    <row r="1367" spans="1:17" x14ac:dyDescent="0.25">
      <c r="A1367" s="1">
        <f t="shared" si="315"/>
        <v>1366</v>
      </c>
      <c r="C1367" s="8" t="s">
        <v>17</v>
      </c>
      <c r="D1367" s="2">
        <v>43325</v>
      </c>
      <c r="E1367" s="3">
        <f t="shared" si="314"/>
        <v>12</v>
      </c>
      <c r="F1367" t="s">
        <v>248</v>
      </c>
      <c r="G1367" t="s">
        <v>249</v>
      </c>
      <c r="H1367" t="s">
        <v>250</v>
      </c>
      <c r="I1367" s="6" t="s">
        <v>787</v>
      </c>
      <c r="J1367" s="61" t="s">
        <v>22</v>
      </c>
      <c r="L1367" s="5" t="str">
        <f t="shared" si="311"/>
        <v>01366</v>
      </c>
      <c r="M1367" s="47" t="str">
        <f t="shared" si="312"/>
        <v>13 de agosto de 2018</v>
      </c>
      <c r="N1367" s="323">
        <f t="shared" si="305"/>
        <v>13</v>
      </c>
      <c r="O1367" s="25">
        <f t="shared" si="313"/>
        <v>43313</v>
      </c>
      <c r="P1367" s="5" t="str">
        <f t="shared" si="309"/>
        <v>12,00</v>
      </c>
      <c r="Q1367" s="4" t="str">
        <f t="shared" si="310"/>
        <v>Doce Bolívares con 00/100</v>
      </c>
    </row>
    <row r="1368" spans="1:17" x14ac:dyDescent="0.25">
      <c r="A1368" s="1">
        <f t="shared" si="315"/>
        <v>1367</v>
      </c>
      <c r="C1368" s="8" t="s">
        <v>17</v>
      </c>
      <c r="D1368" s="2">
        <v>43326</v>
      </c>
      <c r="E1368" s="3">
        <f t="shared" si="314"/>
        <v>12</v>
      </c>
      <c r="F1368" t="s">
        <v>181</v>
      </c>
      <c r="G1368" t="s">
        <v>182</v>
      </c>
      <c r="H1368" t="s">
        <v>183</v>
      </c>
      <c r="I1368" s="6" t="s">
        <v>787</v>
      </c>
      <c r="J1368" s="61" t="s">
        <v>22</v>
      </c>
      <c r="L1368" s="5" t="str">
        <f t="shared" si="311"/>
        <v>01367</v>
      </c>
      <c r="M1368" s="47" t="str">
        <f t="shared" si="312"/>
        <v>14 de agosto de 2018</v>
      </c>
      <c r="N1368" s="323">
        <f t="shared" si="305"/>
        <v>14</v>
      </c>
      <c r="O1368" s="25">
        <f t="shared" si="313"/>
        <v>43313</v>
      </c>
      <c r="P1368" s="5" t="str">
        <f t="shared" si="309"/>
        <v>12,00</v>
      </c>
      <c r="Q1368" s="4" t="str">
        <f t="shared" si="310"/>
        <v>Doce Bolívares con 00/100</v>
      </c>
    </row>
    <row r="1369" spans="1:17" x14ac:dyDescent="0.25">
      <c r="A1369" s="1">
        <f t="shared" si="315"/>
        <v>1368</v>
      </c>
      <c r="C1369" s="8" t="s">
        <v>17</v>
      </c>
      <c r="D1369" s="2">
        <v>43327</v>
      </c>
      <c r="E1369" s="3">
        <f>400000/100000</f>
        <v>4</v>
      </c>
      <c r="F1369" t="s">
        <v>206</v>
      </c>
      <c r="G1369" t="s">
        <v>207</v>
      </c>
      <c r="H1369" t="s">
        <v>208</v>
      </c>
      <c r="I1369" s="6" t="s">
        <v>684</v>
      </c>
      <c r="J1369" s="61" t="s">
        <v>22</v>
      </c>
      <c r="L1369" s="5" t="str">
        <f t="shared" si="311"/>
        <v>01368</v>
      </c>
      <c r="M1369" s="47" t="str">
        <f t="shared" si="312"/>
        <v>15 de agosto de 2018</v>
      </c>
      <c r="N1369" s="323">
        <f t="shared" si="305"/>
        <v>15</v>
      </c>
      <c r="O1369" s="25">
        <f t="shared" si="313"/>
        <v>43313</v>
      </c>
      <c r="P1369" s="5" t="str">
        <f t="shared" si="309"/>
        <v>4,00</v>
      </c>
      <c r="Q1369" s="4" t="str">
        <f t="shared" si="310"/>
        <v>Cuatro Bolívares con 00/100</v>
      </c>
    </row>
    <row r="1370" spans="1:17" x14ac:dyDescent="0.25">
      <c r="A1370" s="1">
        <f t="shared" si="315"/>
        <v>1369</v>
      </c>
      <c r="C1370" s="8" t="s">
        <v>17</v>
      </c>
      <c r="D1370" s="2">
        <v>43327</v>
      </c>
      <c r="E1370" s="3">
        <f>150000/100000+800000/100000</f>
        <v>9.5</v>
      </c>
      <c r="F1370" t="s">
        <v>162</v>
      </c>
      <c r="G1370" t="s">
        <v>163</v>
      </c>
      <c r="H1370" t="s">
        <v>164</v>
      </c>
      <c r="I1370" s="6" t="s">
        <v>803</v>
      </c>
      <c r="J1370" s="61" t="s">
        <v>22</v>
      </c>
      <c r="L1370" s="5" t="str">
        <f t="shared" si="311"/>
        <v>01369</v>
      </c>
      <c r="M1370" s="47" t="str">
        <f t="shared" si="312"/>
        <v>15 de agosto de 2018</v>
      </c>
      <c r="N1370" s="323">
        <f t="shared" si="305"/>
        <v>15</v>
      </c>
      <c r="O1370" s="25">
        <f t="shared" si="313"/>
        <v>43313</v>
      </c>
      <c r="P1370" s="5" t="str">
        <f>TEXT(E1370,"#.##0,00")</f>
        <v>9,50</v>
      </c>
      <c r="Q1370" s="4" t="str">
        <f>CONVERTIRNUM(E1370)</f>
        <v>Nueve Bolívares con 50/100</v>
      </c>
    </row>
    <row r="1371" spans="1:17" x14ac:dyDescent="0.25">
      <c r="A1371" s="1">
        <f t="shared" si="315"/>
        <v>1370</v>
      </c>
      <c r="C1371" s="8" t="s">
        <v>17</v>
      </c>
      <c r="D1371" s="2">
        <v>43327</v>
      </c>
      <c r="E1371" s="3">
        <f>4000000/100000-(150000+800000)/100000</f>
        <v>30.5</v>
      </c>
      <c r="F1371" t="s">
        <v>162</v>
      </c>
      <c r="G1371" t="s">
        <v>163</v>
      </c>
      <c r="H1371" t="s">
        <v>164</v>
      </c>
      <c r="I1371" s="6" t="s">
        <v>804</v>
      </c>
      <c r="J1371" s="61" t="s">
        <v>652</v>
      </c>
      <c r="L1371" s="5" t="str">
        <f t="shared" ref="L1371:L1384" si="316">IF(ISBLANK(A1371),"",TEXT(A1371,"00000"))</f>
        <v>01370</v>
      </c>
      <c r="M1371" s="47" t="str">
        <f t="shared" ref="M1371:M1384" si="317">IF(ISBLANK(D1371),"",TEXT(D1371,"dd")&amp;" de "&amp;TEXT(D1371,"mmmm")&amp;" de "&amp;TEXT(YEAR(D1371),"0"))</f>
        <v>15 de agosto de 2018</v>
      </c>
      <c r="N1371" s="323">
        <f t="shared" si="305"/>
        <v>15</v>
      </c>
      <c r="O1371" s="25">
        <f t="shared" ref="O1371:O1384" si="318">DATE(YEAR(D1371),MONTH(D1371),1)</f>
        <v>43313</v>
      </c>
      <c r="P1371" s="5" t="str">
        <f>TEXT(E1371,"#.##0,00")</f>
        <v>30,50</v>
      </c>
      <c r="Q1371" s="4" t="str">
        <f>CONVERTIRNUM(E1371)</f>
        <v>Treinta Bolívares con 50/100</v>
      </c>
    </row>
    <row r="1372" spans="1:17" x14ac:dyDescent="0.25">
      <c r="A1372" s="1">
        <f t="shared" si="315"/>
        <v>1371</v>
      </c>
      <c r="C1372" s="8" t="s">
        <v>17</v>
      </c>
      <c r="D1372" s="2">
        <v>43327</v>
      </c>
      <c r="E1372" s="3">
        <f>800000/100000</f>
        <v>8</v>
      </c>
      <c r="F1372" t="s">
        <v>342</v>
      </c>
      <c r="G1372" t="s">
        <v>343</v>
      </c>
      <c r="H1372" t="s">
        <v>344</v>
      </c>
      <c r="I1372" s="6" t="s">
        <v>788</v>
      </c>
      <c r="J1372" s="61" t="s">
        <v>22</v>
      </c>
      <c r="L1372" s="5" t="str">
        <f t="shared" si="316"/>
        <v>01371</v>
      </c>
      <c r="M1372" s="47" t="str">
        <f t="shared" si="317"/>
        <v>15 de agosto de 2018</v>
      </c>
      <c r="N1372" s="323">
        <f t="shared" si="305"/>
        <v>15</v>
      </c>
      <c r="O1372" s="25">
        <f t="shared" si="318"/>
        <v>43313</v>
      </c>
      <c r="P1372" s="5" t="str">
        <f t="shared" ref="P1372:P1384" si="319">TEXT(E1372,"#.##0,00")</f>
        <v>8,00</v>
      </c>
      <c r="Q1372" s="4" t="str">
        <f t="shared" ref="Q1372:Q1384" si="320">CONVERTIRNUM(E1372)</f>
        <v>Ocho Bolívares con 00/100</v>
      </c>
    </row>
    <row r="1373" spans="1:17" x14ac:dyDescent="0.25">
      <c r="A1373" s="1">
        <f t="shared" si="315"/>
        <v>1372</v>
      </c>
      <c r="C1373" s="8" t="s">
        <v>17</v>
      </c>
      <c r="D1373" s="2">
        <v>43327</v>
      </c>
      <c r="E1373" s="3">
        <f>1200000/100000</f>
        <v>12</v>
      </c>
      <c r="F1373" t="s">
        <v>62</v>
      </c>
      <c r="G1373" t="s">
        <v>63</v>
      </c>
      <c r="H1373" t="s">
        <v>64</v>
      </c>
      <c r="I1373" s="6" t="s">
        <v>787</v>
      </c>
      <c r="J1373" s="61" t="s">
        <v>22</v>
      </c>
      <c r="L1373" s="5" t="str">
        <f t="shared" si="316"/>
        <v>01372</v>
      </c>
      <c r="M1373" s="47" t="str">
        <f t="shared" si="317"/>
        <v>15 de agosto de 2018</v>
      </c>
      <c r="N1373" s="323">
        <f t="shared" si="305"/>
        <v>15</v>
      </c>
      <c r="O1373" s="25">
        <f t="shared" si="318"/>
        <v>43313</v>
      </c>
      <c r="P1373" s="5" t="str">
        <f t="shared" si="319"/>
        <v>12,00</v>
      </c>
      <c r="Q1373" s="4" t="str">
        <f t="shared" si="320"/>
        <v>Doce Bolívares con 00/100</v>
      </c>
    </row>
    <row r="1374" spans="1:17" x14ac:dyDescent="0.25">
      <c r="A1374" s="1">
        <f t="shared" si="315"/>
        <v>1373</v>
      </c>
      <c r="C1374" s="8" t="s">
        <v>17</v>
      </c>
      <c r="D1374" s="2">
        <v>43328</v>
      </c>
      <c r="E1374" s="3">
        <f>1200000/100000</f>
        <v>12</v>
      </c>
      <c r="F1374" t="s">
        <v>201</v>
      </c>
      <c r="G1374" t="s">
        <v>202</v>
      </c>
      <c r="H1374" t="s">
        <v>203</v>
      </c>
      <c r="I1374" s="6" t="s">
        <v>787</v>
      </c>
      <c r="J1374" s="61" t="s">
        <v>22</v>
      </c>
      <c r="L1374" s="5" t="str">
        <f t="shared" si="316"/>
        <v>01373</v>
      </c>
      <c r="M1374" s="47" t="str">
        <f t="shared" si="317"/>
        <v>16 de agosto de 2018</v>
      </c>
      <c r="N1374" s="323">
        <f t="shared" si="305"/>
        <v>16</v>
      </c>
      <c r="O1374" s="25">
        <f t="shared" si="318"/>
        <v>43313</v>
      </c>
      <c r="P1374" s="5" t="str">
        <f t="shared" si="319"/>
        <v>12,00</v>
      </c>
      <c r="Q1374" s="4" t="str">
        <f t="shared" si="320"/>
        <v>Doce Bolívares con 00/100</v>
      </c>
    </row>
    <row r="1375" spans="1:17" x14ac:dyDescent="0.25">
      <c r="A1375" s="1">
        <f t="shared" si="315"/>
        <v>1374</v>
      </c>
      <c r="C1375" s="8" t="s">
        <v>17</v>
      </c>
      <c r="D1375" s="2">
        <v>43328</v>
      </c>
      <c r="E1375" s="3">
        <f>1200000/100000</f>
        <v>12</v>
      </c>
      <c r="F1375" t="s">
        <v>103</v>
      </c>
      <c r="G1375" t="s">
        <v>104</v>
      </c>
      <c r="H1375" t="s">
        <v>105</v>
      </c>
      <c r="I1375" s="6" t="s">
        <v>787</v>
      </c>
      <c r="J1375" s="61" t="s">
        <v>22</v>
      </c>
      <c r="L1375" s="5" t="str">
        <f t="shared" si="316"/>
        <v>01374</v>
      </c>
      <c r="M1375" s="47" t="str">
        <f t="shared" si="317"/>
        <v>16 de agosto de 2018</v>
      </c>
      <c r="N1375" s="323">
        <f t="shared" si="305"/>
        <v>16</v>
      </c>
      <c r="O1375" s="25">
        <f t="shared" si="318"/>
        <v>43313</v>
      </c>
      <c r="P1375" s="5" t="str">
        <f t="shared" si="319"/>
        <v>12,00</v>
      </c>
      <c r="Q1375" s="4" t="str">
        <f t="shared" si="320"/>
        <v>Doce Bolívares con 00/100</v>
      </c>
    </row>
    <row r="1376" spans="1:17" x14ac:dyDescent="0.25">
      <c r="A1376" s="1">
        <f t="shared" si="315"/>
        <v>1375</v>
      </c>
      <c r="C1376" s="8" t="s">
        <v>17</v>
      </c>
      <c r="D1376" s="2">
        <v>43328</v>
      </c>
      <c r="E1376" s="3">
        <f>1200000/100000</f>
        <v>12</v>
      </c>
      <c r="F1376" t="s">
        <v>122</v>
      </c>
      <c r="G1376" t="s">
        <v>123</v>
      </c>
      <c r="H1376" t="s">
        <v>124</v>
      </c>
      <c r="I1376" s="6" t="s">
        <v>787</v>
      </c>
      <c r="J1376" s="61" t="s">
        <v>22</v>
      </c>
      <c r="L1376" s="5" t="str">
        <f t="shared" si="316"/>
        <v>01375</v>
      </c>
      <c r="M1376" s="47" t="str">
        <f t="shared" si="317"/>
        <v>16 de agosto de 2018</v>
      </c>
      <c r="N1376" s="323">
        <f t="shared" si="305"/>
        <v>16</v>
      </c>
      <c r="O1376" s="25">
        <f t="shared" si="318"/>
        <v>43313</v>
      </c>
      <c r="P1376" s="5" t="str">
        <f t="shared" si="319"/>
        <v>12,00</v>
      </c>
      <c r="Q1376" s="4" t="str">
        <f t="shared" si="320"/>
        <v>Doce Bolívares con 00/100</v>
      </c>
    </row>
    <row r="1377" spans="1:17" x14ac:dyDescent="0.25">
      <c r="A1377" s="1">
        <f t="shared" si="315"/>
        <v>1376</v>
      </c>
      <c r="C1377" s="8" t="s">
        <v>17</v>
      </c>
      <c r="D1377" s="2">
        <v>43328</v>
      </c>
      <c r="E1377" s="3">
        <f>1350000/100000</f>
        <v>13.5</v>
      </c>
      <c r="F1377" t="s">
        <v>259</v>
      </c>
      <c r="G1377" s="18" t="s">
        <v>58</v>
      </c>
      <c r="H1377" t="s">
        <v>261</v>
      </c>
      <c r="I1377" s="6" t="s">
        <v>805</v>
      </c>
      <c r="J1377" s="61" t="s">
        <v>22</v>
      </c>
      <c r="L1377" s="5" t="str">
        <f t="shared" si="316"/>
        <v>01376</v>
      </c>
      <c r="M1377" s="47" t="str">
        <f t="shared" si="317"/>
        <v>16 de agosto de 2018</v>
      </c>
      <c r="N1377" s="323">
        <f t="shared" si="305"/>
        <v>16</v>
      </c>
      <c r="O1377" s="25">
        <f t="shared" si="318"/>
        <v>43313</v>
      </c>
      <c r="P1377" s="5" t="str">
        <f t="shared" si="319"/>
        <v>13,50</v>
      </c>
      <c r="Q1377" s="4" t="str">
        <f t="shared" si="320"/>
        <v>Trece Bolívares con 50/100</v>
      </c>
    </row>
    <row r="1378" spans="1:17" x14ac:dyDescent="0.25">
      <c r="A1378" s="1">
        <f t="shared" si="315"/>
        <v>1377</v>
      </c>
      <c r="C1378" s="85" t="s">
        <v>17</v>
      </c>
      <c r="D1378" s="2">
        <v>43330</v>
      </c>
      <c r="E1378" s="3">
        <f>1100000/100000</f>
        <v>11</v>
      </c>
      <c r="F1378" s="20" t="s">
        <v>57</v>
      </c>
      <c r="G1378" s="18" t="s">
        <v>58</v>
      </c>
      <c r="H1378" s="21" t="s">
        <v>59</v>
      </c>
      <c r="I1378" s="6" t="s">
        <v>806</v>
      </c>
      <c r="J1378" s="61" t="s">
        <v>22</v>
      </c>
      <c r="K1378" s="22"/>
      <c r="L1378" s="5" t="str">
        <f t="shared" si="316"/>
        <v>01377</v>
      </c>
      <c r="M1378" s="47" t="str">
        <f t="shared" si="317"/>
        <v>18 de agosto de 2018</v>
      </c>
      <c r="N1378" s="323">
        <f t="shared" si="305"/>
        <v>18</v>
      </c>
      <c r="O1378" s="25">
        <f t="shared" si="318"/>
        <v>43313</v>
      </c>
      <c r="P1378" s="5" t="str">
        <f t="shared" si="319"/>
        <v>11,00</v>
      </c>
      <c r="Q1378" s="4" t="str">
        <f t="shared" si="320"/>
        <v>Once Bolívares con 00/100</v>
      </c>
    </row>
    <row r="1379" spans="1:17" x14ac:dyDescent="0.25">
      <c r="A1379" s="1">
        <f t="shared" si="315"/>
        <v>1378</v>
      </c>
      <c r="C1379" s="8" t="s">
        <v>17</v>
      </c>
      <c r="D1379" s="2">
        <v>43331</v>
      </c>
      <c r="E1379" s="3">
        <f>1200000/100000</f>
        <v>12</v>
      </c>
      <c r="F1379" t="s">
        <v>134</v>
      </c>
      <c r="G1379" t="s">
        <v>135</v>
      </c>
      <c r="H1379" t="s">
        <v>136</v>
      </c>
      <c r="I1379" s="6" t="s">
        <v>787</v>
      </c>
      <c r="J1379" s="61" t="s">
        <v>22</v>
      </c>
      <c r="L1379" s="5" t="str">
        <f t="shared" si="316"/>
        <v>01378</v>
      </c>
      <c r="M1379" s="47" t="str">
        <f t="shared" si="317"/>
        <v>19 de agosto de 2018</v>
      </c>
      <c r="N1379" s="323">
        <f t="shared" si="305"/>
        <v>19</v>
      </c>
      <c r="O1379" s="25">
        <f t="shared" si="318"/>
        <v>43313</v>
      </c>
      <c r="P1379" s="5" t="str">
        <f t="shared" si="319"/>
        <v>12,00</v>
      </c>
      <c r="Q1379" s="4" t="str">
        <f t="shared" si="320"/>
        <v>Doce Bolívares con 00/100</v>
      </c>
    </row>
    <row r="1380" spans="1:17" x14ac:dyDescent="0.25">
      <c r="A1380" s="1">
        <f t="shared" si="315"/>
        <v>1379</v>
      </c>
      <c r="C1380" s="8" t="s">
        <v>17</v>
      </c>
      <c r="D1380" s="2">
        <v>43331</v>
      </c>
      <c r="E1380" s="3">
        <f>600000/100000</f>
        <v>6</v>
      </c>
      <c r="F1380" t="s">
        <v>134</v>
      </c>
      <c r="G1380" t="s">
        <v>135</v>
      </c>
      <c r="H1380" t="s">
        <v>136</v>
      </c>
      <c r="I1380" s="6" t="s">
        <v>744</v>
      </c>
      <c r="J1380" s="61" t="s">
        <v>745</v>
      </c>
      <c r="L1380" s="5" t="str">
        <f t="shared" si="316"/>
        <v>01379</v>
      </c>
      <c r="M1380" s="47" t="str">
        <f t="shared" si="317"/>
        <v>19 de agosto de 2018</v>
      </c>
      <c r="N1380" s="323">
        <f t="shared" si="305"/>
        <v>19</v>
      </c>
      <c r="O1380" s="25">
        <f t="shared" si="318"/>
        <v>43313</v>
      </c>
      <c r="P1380" s="5" t="str">
        <f t="shared" si="319"/>
        <v>6,00</v>
      </c>
      <c r="Q1380" s="4" t="str">
        <f t="shared" si="320"/>
        <v>Seis Bolívares con 00/100</v>
      </c>
    </row>
    <row r="1381" spans="1:17" x14ac:dyDescent="0.25">
      <c r="A1381" s="1">
        <f t="shared" si="315"/>
        <v>1380</v>
      </c>
      <c r="C1381" s="8" t="s">
        <v>17</v>
      </c>
      <c r="D1381" s="2">
        <v>43334</v>
      </c>
      <c r="E1381" s="3">
        <v>12</v>
      </c>
      <c r="F1381" t="s">
        <v>126</v>
      </c>
      <c r="G1381" t="s">
        <v>127</v>
      </c>
      <c r="H1381" t="s">
        <v>128</v>
      </c>
      <c r="I1381" s="6" t="s">
        <v>787</v>
      </c>
      <c r="J1381" s="61" t="s">
        <v>22</v>
      </c>
      <c r="L1381" s="5" t="str">
        <f t="shared" si="316"/>
        <v>01380</v>
      </c>
      <c r="M1381" s="47" t="str">
        <f t="shared" si="317"/>
        <v>22 de agosto de 2018</v>
      </c>
      <c r="N1381" s="323">
        <f t="shared" si="305"/>
        <v>22</v>
      </c>
      <c r="O1381" s="25">
        <f t="shared" si="318"/>
        <v>43313</v>
      </c>
      <c r="P1381" s="5" t="str">
        <f t="shared" si="319"/>
        <v>12,00</v>
      </c>
      <c r="Q1381" s="4" t="str">
        <f t="shared" si="320"/>
        <v>Doce Bolívares con 00/100</v>
      </c>
    </row>
    <row r="1382" spans="1:17" x14ac:dyDescent="0.25">
      <c r="A1382" s="1">
        <f t="shared" si="315"/>
        <v>1381</v>
      </c>
      <c r="C1382" s="8" t="s">
        <v>17</v>
      </c>
      <c r="D1382" s="2">
        <v>43335</v>
      </c>
      <c r="E1382" s="3">
        <v>12</v>
      </c>
      <c r="F1382" t="s">
        <v>287</v>
      </c>
      <c r="G1382" t="s">
        <v>288</v>
      </c>
      <c r="H1382" t="s">
        <v>289</v>
      </c>
      <c r="I1382" s="6" t="s">
        <v>787</v>
      </c>
      <c r="J1382" s="61" t="s">
        <v>22</v>
      </c>
      <c r="L1382" s="5" t="str">
        <f t="shared" si="316"/>
        <v>01381</v>
      </c>
      <c r="M1382" s="47" t="str">
        <f t="shared" si="317"/>
        <v>23 de agosto de 2018</v>
      </c>
      <c r="N1382" s="323">
        <f t="shared" si="305"/>
        <v>23</v>
      </c>
      <c r="O1382" s="25">
        <f t="shared" si="318"/>
        <v>43313</v>
      </c>
      <c r="P1382" s="5" t="str">
        <f t="shared" si="319"/>
        <v>12,00</v>
      </c>
      <c r="Q1382" s="4" t="str">
        <f t="shared" si="320"/>
        <v>Doce Bolívares con 00/100</v>
      </c>
    </row>
    <row r="1383" spans="1:17" x14ac:dyDescent="0.25">
      <c r="A1383" s="1">
        <f t="shared" si="315"/>
        <v>1382</v>
      </c>
      <c r="C1383" s="8" t="s">
        <v>17</v>
      </c>
      <c r="D1383" s="2">
        <v>43335</v>
      </c>
      <c r="E1383" s="3">
        <v>11.5</v>
      </c>
      <c r="F1383" t="s">
        <v>537</v>
      </c>
      <c r="G1383" t="s">
        <v>538</v>
      </c>
      <c r="H1383" t="s">
        <v>539</v>
      </c>
      <c r="I1383" s="6" t="s">
        <v>788</v>
      </c>
      <c r="J1383" s="61" t="s">
        <v>22</v>
      </c>
      <c r="L1383" s="5" t="str">
        <f t="shared" si="316"/>
        <v>01382</v>
      </c>
      <c r="M1383" s="47" t="str">
        <f t="shared" si="317"/>
        <v>23 de agosto de 2018</v>
      </c>
      <c r="N1383" s="323">
        <f t="shared" si="305"/>
        <v>23</v>
      </c>
      <c r="O1383" s="25">
        <f t="shared" si="318"/>
        <v>43313</v>
      </c>
      <c r="P1383" s="5" t="str">
        <f t="shared" si="319"/>
        <v>11,50</v>
      </c>
      <c r="Q1383" s="4" t="str">
        <f t="shared" si="320"/>
        <v>Once Bolívares con 50/100</v>
      </c>
    </row>
    <row r="1384" spans="1:17" x14ac:dyDescent="0.25">
      <c r="A1384" s="1">
        <f t="shared" si="315"/>
        <v>1383</v>
      </c>
      <c r="C1384" s="8" t="s">
        <v>17</v>
      </c>
      <c r="D1384" s="2">
        <v>43335</v>
      </c>
      <c r="E1384" s="3">
        <v>12</v>
      </c>
      <c r="F1384" t="s">
        <v>53</v>
      </c>
      <c r="G1384" t="s">
        <v>677</v>
      </c>
      <c r="H1384" t="s">
        <v>55</v>
      </c>
      <c r="I1384" s="6" t="s">
        <v>787</v>
      </c>
      <c r="J1384" s="61" t="s">
        <v>22</v>
      </c>
      <c r="L1384" s="5" t="str">
        <f t="shared" si="316"/>
        <v>01383</v>
      </c>
      <c r="M1384" s="47" t="str">
        <f t="shared" si="317"/>
        <v>23 de agosto de 2018</v>
      </c>
      <c r="N1384" s="323">
        <f t="shared" si="305"/>
        <v>23</v>
      </c>
      <c r="O1384" s="25">
        <f t="shared" si="318"/>
        <v>43313</v>
      </c>
      <c r="P1384" s="5" t="str">
        <f t="shared" si="319"/>
        <v>12,00</v>
      </c>
      <c r="Q1384" s="4" t="str">
        <f t="shared" si="320"/>
        <v>Doce Bolívares con 00/100</v>
      </c>
    </row>
    <row r="1385" spans="1:17" x14ac:dyDescent="0.25">
      <c r="A1385" s="1">
        <f t="shared" si="315"/>
        <v>1384</v>
      </c>
      <c r="C1385" s="8" t="s">
        <v>17</v>
      </c>
      <c r="D1385" s="2">
        <v>43335</v>
      </c>
      <c r="E1385" s="3">
        <v>2</v>
      </c>
      <c r="F1385" t="s">
        <v>53</v>
      </c>
      <c r="G1385" t="s">
        <v>677</v>
      </c>
      <c r="H1385" t="s">
        <v>55</v>
      </c>
      <c r="I1385" s="6" t="s">
        <v>732</v>
      </c>
      <c r="J1385" s="61" t="s">
        <v>733</v>
      </c>
      <c r="L1385" s="5" t="str">
        <f t="shared" ref="L1385:L1400" si="321">IF(ISBLANK(A1385),"",TEXT(A1385,"00000"))</f>
        <v>01384</v>
      </c>
      <c r="M1385" s="47" t="str">
        <f t="shared" ref="M1385:M1400" si="322">IF(ISBLANK(D1385),"",TEXT(D1385,"dd")&amp;" de "&amp;TEXT(D1385,"mmmm")&amp;" de "&amp;TEXT(YEAR(D1385),"0"))</f>
        <v>23 de agosto de 2018</v>
      </c>
      <c r="N1385" s="323">
        <f t="shared" si="305"/>
        <v>23</v>
      </c>
      <c r="O1385" s="25">
        <f t="shared" ref="O1385:O1400" si="323">DATE(YEAR(D1385),MONTH(D1385),1)</f>
        <v>43313</v>
      </c>
      <c r="P1385" s="5" t="str">
        <f t="shared" ref="P1385:P1389" si="324">TEXT(E1385,"#.##0,00")</f>
        <v>2,00</v>
      </c>
      <c r="Q1385" s="4" t="str">
        <f t="shared" ref="Q1385:Q1389" si="325">CONVERTIRNUM(E1385)</f>
        <v>Dos Bolívares con 00/100</v>
      </c>
    </row>
    <row r="1386" spans="1:17" x14ac:dyDescent="0.25">
      <c r="A1386" s="1">
        <f t="shared" si="315"/>
        <v>1385</v>
      </c>
      <c r="C1386" s="8" t="s">
        <v>17</v>
      </c>
      <c r="D1386" s="2">
        <v>43335</v>
      </c>
      <c r="E1386" s="3">
        <v>24</v>
      </c>
      <c r="F1386" t="s">
        <v>324</v>
      </c>
      <c r="G1386" t="s">
        <v>325</v>
      </c>
      <c r="H1386" t="s">
        <v>326</v>
      </c>
      <c r="I1386" s="6" t="s">
        <v>802</v>
      </c>
      <c r="J1386" s="61" t="s">
        <v>22</v>
      </c>
      <c r="L1386" s="5" t="str">
        <f t="shared" si="321"/>
        <v>01385</v>
      </c>
      <c r="M1386" s="47" t="str">
        <f t="shared" si="322"/>
        <v>23 de agosto de 2018</v>
      </c>
      <c r="N1386" s="323">
        <f t="shared" si="305"/>
        <v>23</v>
      </c>
      <c r="O1386" s="25">
        <f t="shared" si="323"/>
        <v>43313</v>
      </c>
      <c r="P1386" s="5" t="str">
        <f t="shared" si="324"/>
        <v>24,00</v>
      </c>
      <c r="Q1386" s="4" t="str">
        <f t="shared" si="325"/>
        <v>Veinticuatro Bolívares con 00/100</v>
      </c>
    </row>
    <row r="1387" spans="1:17" x14ac:dyDescent="0.25">
      <c r="A1387" s="1">
        <f t="shared" si="315"/>
        <v>1386</v>
      </c>
      <c r="C1387" s="8" t="s">
        <v>17</v>
      </c>
      <c r="D1387" s="2">
        <v>43335</v>
      </c>
      <c r="E1387" s="3">
        <v>12</v>
      </c>
      <c r="F1387" t="s">
        <v>66</v>
      </c>
      <c r="G1387" t="s">
        <v>67</v>
      </c>
      <c r="H1387" t="s">
        <v>68</v>
      </c>
      <c r="I1387" s="6" t="s">
        <v>787</v>
      </c>
      <c r="J1387" s="61" t="s">
        <v>22</v>
      </c>
      <c r="L1387" s="5" t="str">
        <f t="shared" si="321"/>
        <v>01386</v>
      </c>
      <c r="M1387" s="47" t="str">
        <f t="shared" si="322"/>
        <v>23 de agosto de 2018</v>
      </c>
      <c r="N1387" s="323">
        <f t="shared" si="305"/>
        <v>23</v>
      </c>
      <c r="O1387" s="25">
        <f t="shared" si="323"/>
        <v>43313</v>
      </c>
      <c r="P1387" s="5" t="str">
        <f t="shared" si="324"/>
        <v>12,00</v>
      </c>
      <c r="Q1387" s="4" t="str">
        <f t="shared" si="325"/>
        <v>Doce Bolívares con 00/100</v>
      </c>
    </row>
    <row r="1388" spans="1:17" x14ac:dyDescent="0.25">
      <c r="A1388" s="1">
        <f t="shared" si="315"/>
        <v>1387</v>
      </c>
      <c r="C1388" s="8" t="s">
        <v>17</v>
      </c>
      <c r="D1388" s="2">
        <v>43335</v>
      </c>
      <c r="E1388" s="3">
        <v>12</v>
      </c>
      <c r="F1388" t="s">
        <v>401</v>
      </c>
      <c r="G1388" t="s">
        <v>402</v>
      </c>
      <c r="H1388" t="s">
        <v>403</v>
      </c>
      <c r="I1388" s="6" t="s">
        <v>787</v>
      </c>
      <c r="J1388" s="61" t="s">
        <v>22</v>
      </c>
      <c r="L1388" s="5" t="str">
        <f t="shared" si="321"/>
        <v>01387</v>
      </c>
      <c r="M1388" s="47" t="str">
        <f t="shared" si="322"/>
        <v>23 de agosto de 2018</v>
      </c>
      <c r="N1388" s="323">
        <f t="shared" si="305"/>
        <v>23</v>
      </c>
      <c r="O1388" s="25">
        <f t="shared" si="323"/>
        <v>43313</v>
      </c>
      <c r="P1388" s="5" t="str">
        <f t="shared" si="324"/>
        <v>12,00</v>
      </c>
      <c r="Q1388" s="4" t="str">
        <f t="shared" si="325"/>
        <v>Doce Bolívares con 00/100</v>
      </c>
    </row>
    <row r="1389" spans="1:17" x14ac:dyDescent="0.25">
      <c r="A1389" s="1">
        <f t="shared" si="315"/>
        <v>1388</v>
      </c>
      <c r="C1389" s="8" t="s">
        <v>17</v>
      </c>
      <c r="D1389" s="2">
        <v>43335</v>
      </c>
      <c r="E1389" s="3">
        <v>12</v>
      </c>
      <c r="F1389" t="s">
        <v>239</v>
      </c>
      <c r="G1389" s="73" t="s">
        <v>240</v>
      </c>
      <c r="H1389" t="s">
        <v>241</v>
      </c>
      <c r="I1389" s="6" t="s">
        <v>787</v>
      </c>
      <c r="J1389" s="61" t="s">
        <v>22</v>
      </c>
      <c r="L1389" s="5" t="str">
        <f t="shared" si="321"/>
        <v>01388</v>
      </c>
      <c r="M1389" s="47" t="str">
        <f t="shared" si="322"/>
        <v>23 de agosto de 2018</v>
      </c>
      <c r="N1389" s="323">
        <f t="shared" si="305"/>
        <v>23</v>
      </c>
      <c r="O1389" s="25">
        <f t="shared" si="323"/>
        <v>43313</v>
      </c>
      <c r="P1389" s="5" t="str">
        <f t="shared" si="324"/>
        <v>12,00</v>
      </c>
      <c r="Q1389" s="4" t="str">
        <f t="shared" si="325"/>
        <v>Doce Bolívares con 00/100</v>
      </c>
    </row>
    <row r="1390" spans="1:17" x14ac:dyDescent="0.25">
      <c r="A1390" s="1">
        <f t="shared" si="315"/>
        <v>1389</v>
      </c>
      <c r="C1390" s="8" t="s">
        <v>17</v>
      </c>
      <c r="D1390" s="2">
        <v>43335</v>
      </c>
      <c r="E1390" s="3">
        <v>12</v>
      </c>
      <c r="F1390" t="s">
        <v>100</v>
      </c>
      <c r="G1390" t="s">
        <v>95</v>
      </c>
      <c r="H1390" t="s">
        <v>101</v>
      </c>
      <c r="I1390" s="6" t="s">
        <v>787</v>
      </c>
      <c r="J1390" s="61" t="s">
        <v>22</v>
      </c>
      <c r="L1390" s="5" t="str">
        <f t="shared" si="321"/>
        <v>01389</v>
      </c>
      <c r="M1390" s="47" t="str">
        <f t="shared" si="322"/>
        <v>23 de agosto de 2018</v>
      </c>
      <c r="N1390" s="323">
        <f t="shared" si="305"/>
        <v>23</v>
      </c>
      <c r="O1390" s="25">
        <f t="shared" si="323"/>
        <v>43313</v>
      </c>
      <c r="P1390" s="5" t="str">
        <f>TEXT(E1390,"#.##0,00")</f>
        <v>12,00</v>
      </c>
      <c r="Q1390" s="4" t="str">
        <f>CONVERTIRNUM(E1390)</f>
        <v>Doce Bolívares con 00/100</v>
      </c>
    </row>
    <row r="1391" spans="1:17" x14ac:dyDescent="0.25">
      <c r="A1391" s="1">
        <f t="shared" si="315"/>
        <v>1390</v>
      </c>
      <c r="C1391" s="8" t="s">
        <v>17</v>
      </c>
      <c r="D1391" s="2">
        <v>43336</v>
      </c>
      <c r="E1391" s="3">
        <v>12</v>
      </c>
      <c r="F1391" t="s">
        <v>130</v>
      </c>
      <c r="G1391" t="s">
        <v>131</v>
      </c>
      <c r="H1391" t="s">
        <v>132</v>
      </c>
      <c r="I1391" s="6" t="s">
        <v>787</v>
      </c>
      <c r="J1391" s="61" t="s">
        <v>22</v>
      </c>
      <c r="L1391" s="5" t="str">
        <f t="shared" si="321"/>
        <v>01390</v>
      </c>
      <c r="M1391" s="47" t="str">
        <f t="shared" si="322"/>
        <v>24 de agosto de 2018</v>
      </c>
      <c r="N1391" s="323">
        <f t="shared" si="305"/>
        <v>24</v>
      </c>
      <c r="O1391" s="25">
        <f t="shared" si="323"/>
        <v>43313</v>
      </c>
      <c r="P1391" s="5" t="str">
        <f t="shared" ref="P1391:P1423" si="326">TEXT(E1391,"#.##0,00")</f>
        <v>12,00</v>
      </c>
      <c r="Q1391" s="4" t="str">
        <f t="shared" ref="Q1391:Q1420" si="327">CONVERTIRNUM(E1391)</f>
        <v>Doce Bolívares con 00/100</v>
      </c>
    </row>
    <row r="1392" spans="1:17" x14ac:dyDescent="0.25">
      <c r="A1392" s="1">
        <f t="shared" si="315"/>
        <v>1391</v>
      </c>
      <c r="C1392" s="8" t="s">
        <v>17</v>
      </c>
      <c r="D1392" s="2">
        <v>43337</v>
      </c>
      <c r="E1392" s="3">
        <v>12</v>
      </c>
      <c r="F1392" t="s">
        <v>312</v>
      </c>
      <c r="G1392" t="s">
        <v>313</v>
      </c>
      <c r="H1392" t="s">
        <v>314</v>
      </c>
      <c r="I1392" s="6" t="s">
        <v>787</v>
      </c>
      <c r="J1392" s="61" t="s">
        <v>22</v>
      </c>
      <c r="L1392" s="5" t="str">
        <f t="shared" si="321"/>
        <v>01391</v>
      </c>
      <c r="M1392" s="47" t="str">
        <f t="shared" si="322"/>
        <v>25 de agosto de 2018</v>
      </c>
      <c r="N1392" s="323">
        <f t="shared" si="305"/>
        <v>25</v>
      </c>
      <c r="O1392" s="25">
        <f t="shared" si="323"/>
        <v>43313</v>
      </c>
      <c r="P1392" s="5" t="str">
        <f t="shared" si="326"/>
        <v>12,00</v>
      </c>
      <c r="Q1392" s="4" t="str">
        <f t="shared" si="327"/>
        <v>Doce Bolívares con 00/100</v>
      </c>
    </row>
    <row r="1393" spans="1:17" x14ac:dyDescent="0.25">
      <c r="A1393" s="1">
        <f t="shared" si="315"/>
        <v>1392</v>
      </c>
      <c r="C1393" s="85" t="s">
        <v>17</v>
      </c>
      <c r="D1393" s="2">
        <v>43339</v>
      </c>
      <c r="E1393" s="3">
        <v>2.2000000000000002</v>
      </c>
      <c r="F1393" s="20" t="s">
        <v>57</v>
      </c>
      <c r="G1393" s="18" t="s">
        <v>58</v>
      </c>
      <c r="H1393" s="21" t="s">
        <v>59</v>
      </c>
      <c r="I1393" s="6" t="s">
        <v>788</v>
      </c>
      <c r="J1393" s="61" t="s">
        <v>22</v>
      </c>
      <c r="K1393" s="22"/>
      <c r="L1393" s="5" t="str">
        <f t="shared" si="321"/>
        <v>01392</v>
      </c>
      <c r="M1393" s="47" t="str">
        <f t="shared" si="322"/>
        <v>27 de agosto de 2018</v>
      </c>
      <c r="N1393" s="323">
        <f t="shared" si="305"/>
        <v>27</v>
      </c>
      <c r="O1393" s="25">
        <f t="shared" si="323"/>
        <v>43313</v>
      </c>
      <c r="P1393" s="5" t="str">
        <f t="shared" si="326"/>
        <v>2,20</v>
      </c>
      <c r="Q1393" s="4" t="str">
        <f t="shared" si="327"/>
        <v>Dos Bolívares con 20/100</v>
      </c>
    </row>
    <row r="1394" spans="1:17" x14ac:dyDescent="0.25">
      <c r="A1394" s="1">
        <f t="shared" si="315"/>
        <v>1393</v>
      </c>
      <c r="C1394" s="8" t="s">
        <v>17</v>
      </c>
      <c r="D1394" s="2">
        <v>43339</v>
      </c>
      <c r="E1394" s="3">
        <v>12</v>
      </c>
      <c r="F1394" t="s">
        <v>211</v>
      </c>
      <c r="G1394" t="s">
        <v>212</v>
      </c>
      <c r="H1394" t="s">
        <v>213</v>
      </c>
      <c r="I1394" s="6" t="s">
        <v>787</v>
      </c>
      <c r="J1394" s="61" t="s">
        <v>22</v>
      </c>
      <c r="L1394" s="5" t="str">
        <f t="shared" si="321"/>
        <v>01393</v>
      </c>
      <c r="M1394" s="47" t="str">
        <f t="shared" si="322"/>
        <v>27 de agosto de 2018</v>
      </c>
      <c r="N1394" s="323">
        <f t="shared" si="305"/>
        <v>27</v>
      </c>
      <c r="O1394" s="25">
        <f t="shared" si="323"/>
        <v>43313</v>
      </c>
      <c r="P1394" s="5" t="str">
        <f t="shared" si="326"/>
        <v>12,00</v>
      </c>
      <c r="Q1394" s="4" t="str">
        <f t="shared" si="327"/>
        <v>Doce Bolívares con 00/100</v>
      </c>
    </row>
    <row r="1395" spans="1:17" x14ac:dyDescent="0.25">
      <c r="A1395" s="1">
        <f t="shared" si="315"/>
        <v>1394</v>
      </c>
      <c r="C1395" s="85" t="s">
        <v>17</v>
      </c>
      <c r="D1395" s="2">
        <v>43339</v>
      </c>
      <c r="E1395" s="162">
        <v>12</v>
      </c>
      <c r="F1395" t="s">
        <v>492</v>
      </c>
      <c r="G1395" s="18" t="s">
        <v>58</v>
      </c>
      <c r="H1395" t="s">
        <v>493</v>
      </c>
      <c r="I1395" s="6" t="s">
        <v>787</v>
      </c>
      <c r="J1395" s="61" t="s">
        <v>22</v>
      </c>
      <c r="L1395" s="5" t="str">
        <f t="shared" si="321"/>
        <v>01394</v>
      </c>
      <c r="M1395" s="47" t="str">
        <f t="shared" si="322"/>
        <v>27 de agosto de 2018</v>
      </c>
      <c r="N1395" s="323">
        <f t="shared" si="305"/>
        <v>27</v>
      </c>
      <c r="O1395" s="25">
        <f t="shared" si="323"/>
        <v>43313</v>
      </c>
      <c r="P1395" s="5" t="str">
        <f t="shared" si="326"/>
        <v>12,00</v>
      </c>
      <c r="Q1395" s="4" t="str">
        <f t="shared" si="327"/>
        <v>Doce Bolívares con 00/100</v>
      </c>
    </row>
    <row r="1396" spans="1:17" x14ac:dyDescent="0.25">
      <c r="A1396" s="1">
        <f t="shared" si="315"/>
        <v>1395</v>
      </c>
      <c r="C1396" s="8" t="s">
        <v>17</v>
      </c>
      <c r="D1396" s="2">
        <v>43339</v>
      </c>
      <c r="E1396" s="3">
        <v>15</v>
      </c>
      <c r="F1396" t="s">
        <v>558</v>
      </c>
      <c r="G1396" t="s">
        <v>559</v>
      </c>
      <c r="H1396" t="s">
        <v>560</v>
      </c>
      <c r="I1396" s="6" t="s">
        <v>787</v>
      </c>
      <c r="J1396" s="61" t="s">
        <v>22</v>
      </c>
      <c r="L1396" s="5" t="str">
        <f t="shared" si="321"/>
        <v>01395</v>
      </c>
      <c r="M1396" s="47" t="str">
        <f t="shared" si="322"/>
        <v>27 de agosto de 2018</v>
      </c>
      <c r="N1396" s="323">
        <f t="shared" si="305"/>
        <v>27</v>
      </c>
      <c r="O1396" s="25">
        <f t="shared" si="323"/>
        <v>43313</v>
      </c>
      <c r="P1396" s="5" t="str">
        <f t="shared" si="326"/>
        <v>15,00</v>
      </c>
      <c r="Q1396" s="4" t="str">
        <f t="shared" si="327"/>
        <v>Quince Bolívares con 00/100</v>
      </c>
    </row>
    <row r="1397" spans="1:17" x14ac:dyDescent="0.25">
      <c r="A1397" s="1">
        <f t="shared" si="315"/>
        <v>1396</v>
      </c>
      <c r="C1397" s="85" t="s">
        <v>17</v>
      </c>
      <c r="D1397" s="2">
        <v>43339</v>
      </c>
      <c r="E1397" s="3">
        <v>12</v>
      </c>
      <c r="F1397" t="s">
        <v>319</v>
      </c>
      <c r="G1397" s="18" t="s">
        <v>58</v>
      </c>
      <c r="H1397" t="s">
        <v>320</v>
      </c>
      <c r="I1397" s="6" t="s">
        <v>787</v>
      </c>
      <c r="J1397" s="61" t="s">
        <v>22</v>
      </c>
      <c r="L1397" s="5" t="str">
        <f t="shared" si="321"/>
        <v>01396</v>
      </c>
      <c r="M1397" s="47" t="str">
        <f t="shared" si="322"/>
        <v>27 de agosto de 2018</v>
      </c>
      <c r="N1397" s="323">
        <f t="shared" si="305"/>
        <v>27</v>
      </c>
      <c r="O1397" s="25">
        <f t="shared" si="323"/>
        <v>43313</v>
      </c>
      <c r="P1397" s="5" t="str">
        <f t="shared" si="326"/>
        <v>12,00</v>
      </c>
      <c r="Q1397" s="4" t="str">
        <f t="shared" si="327"/>
        <v>Doce Bolívares con 00/100</v>
      </c>
    </row>
    <row r="1398" spans="1:17" x14ac:dyDescent="0.25">
      <c r="A1398" s="1">
        <f t="shared" si="315"/>
        <v>1397</v>
      </c>
      <c r="C1398" s="8" t="s">
        <v>17</v>
      </c>
      <c r="D1398" s="2">
        <v>43339</v>
      </c>
      <c r="E1398" s="3">
        <v>12</v>
      </c>
      <c r="F1398" t="s">
        <v>230</v>
      </c>
      <c r="G1398" t="s">
        <v>231</v>
      </c>
      <c r="H1398" t="s">
        <v>232</v>
      </c>
      <c r="I1398" s="6" t="s">
        <v>787</v>
      </c>
      <c r="J1398" s="61" t="s">
        <v>22</v>
      </c>
      <c r="L1398" s="5" t="str">
        <f t="shared" si="321"/>
        <v>01397</v>
      </c>
      <c r="M1398" s="47" t="str">
        <f t="shared" si="322"/>
        <v>27 de agosto de 2018</v>
      </c>
      <c r="N1398" s="323">
        <f t="shared" si="305"/>
        <v>27</v>
      </c>
      <c r="O1398" s="25">
        <f t="shared" si="323"/>
        <v>43313</v>
      </c>
      <c r="P1398" s="5" t="str">
        <f t="shared" si="326"/>
        <v>12,00</v>
      </c>
      <c r="Q1398" s="4" t="str">
        <f t="shared" si="327"/>
        <v>Doce Bolívares con 00/100</v>
      </c>
    </row>
    <row r="1399" spans="1:17" x14ac:dyDescent="0.25">
      <c r="A1399" s="1">
        <f t="shared" si="315"/>
        <v>1398</v>
      </c>
      <c r="C1399" s="8" t="s">
        <v>17</v>
      </c>
      <c r="D1399" s="2">
        <v>43341</v>
      </c>
      <c r="E1399" s="3">
        <v>12</v>
      </c>
      <c r="F1399" t="s">
        <v>284</v>
      </c>
      <c r="G1399" t="s">
        <v>687</v>
      </c>
      <c r="H1399" t="s">
        <v>285</v>
      </c>
      <c r="I1399" s="6" t="s">
        <v>787</v>
      </c>
      <c r="J1399" s="61" t="s">
        <v>22</v>
      </c>
      <c r="L1399" s="5" t="str">
        <f t="shared" si="321"/>
        <v>01398</v>
      </c>
      <c r="M1399" s="47" t="str">
        <f t="shared" si="322"/>
        <v>29 de agosto de 2018</v>
      </c>
      <c r="N1399" s="323">
        <f t="shared" si="305"/>
        <v>29</v>
      </c>
      <c r="O1399" s="25">
        <f t="shared" si="323"/>
        <v>43313</v>
      </c>
      <c r="P1399" s="5" t="str">
        <f t="shared" si="326"/>
        <v>12,00</v>
      </c>
      <c r="Q1399" s="4" t="str">
        <f t="shared" si="327"/>
        <v>Doce Bolívares con 00/100</v>
      </c>
    </row>
    <row r="1400" spans="1:17" x14ac:dyDescent="0.25">
      <c r="A1400" s="1">
        <f t="shared" si="315"/>
        <v>1399</v>
      </c>
      <c r="C1400" s="8" t="s">
        <v>17</v>
      </c>
      <c r="D1400" s="2">
        <v>43341</v>
      </c>
      <c r="E1400" s="3">
        <v>12</v>
      </c>
      <c r="F1400" t="s">
        <v>785</v>
      </c>
      <c r="G1400" t="s">
        <v>786</v>
      </c>
      <c r="H1400" t="s">
        <v>719</v>
      </c>
      <c r="I1400" s="6" t="s">
        <v>787</v>
      </c>
      <c r="J1400" s="61" t="s">
        <v>22</v>
      </c>
      <c r="L1400" s="5" t="str">
        <f t="shared" si="321"/>
        <v>01399</v>
      </c>
      <c r="M1400" s="47" t="str">
        <f t="shared" si="322"/>
        <v>29 de agosto de 2018</v>
      </c>
      <c r="N1400" s="323">
        <f t="shared" si="305"/>
        <v>29</v>
      </c>
      <c r="O1400" s="25">
        <f t="shared" si="323"/>
        <v>43313</v>
      </c>
      <c r="P1400" s="5" t="str">
        <f t="shared" si="326"/>
        <v>12,00</v>
      </c>
      <c r="Q1400" s="4" t="str">
        <f t="shared" si="327"/>
        <v>Doce Bolívares con 00/100</v>
      </c>
    </row>
    <row r="1401" spans="1:17" x14ac:dyDescent="0.25">
      <c r="A1401" s="1">
        <f t="shared" si="315"/>
        <v>1400</v>
      </c>
      <c r="C1401" s="8" t="s">
        <v>17</v>
      </c>
      <c r="D1401" s="2">
        <v>43324</v>
      </c>
      <c r="E1401" s="3">
        <v>12</v>
      </c>
      <c r="F1401" t="s">
        <v>454</v>
      </c>
      <c r="G1401" t="s">
        <v>761</v>
      </c>
      <c r="H1401" t="s">
        <v>455</v>
      </c>
      <c r="I1401" s="6" t="s">
        <v>787</v>
      </c>
      <c r="J1401" s="61" t="s">
        <v>22</v>
      </c>
      <c r="L1401" s="5" t="str">
        <f>IF(ISBLANK(A1401),"",TEXT(A1401,"00000"))</f>
        <v>01400</v>
      </c>
      <c r="M1401" s="47" t="str">
        <f>IF(ISBLANK(D1401),"",TEXT(D1401,"dd")&amp;" de "&amp;TEXT(D1401,"mmmm")&amp;" de "&amp;TEXT(YEAR(D1401),"0"))</f>
        <v>12 de agosto de 2018</v>
      </c>
      <c r="N1401" s="323">
        <f t="shared" si="305"/>
        <v>12</v>
      </c>
      <c r="O1401" s="25">
        <f>DATE(YEAR(D1401),MONTH(D1401),1)</f>
        <v>43313</v>
      </c>
      <c r="P1401" s="5" t="str">
        <f t="shared" si="326"/>
        <v>12,00</v>
      </c>
      <c r="Q1401" s="4" t="str">
        <f t="shared" si="327"/>
        <v>Doce Bolívares con 00/100</v>
      </c>
    </row>
    <row r="1402" spans="1:17" x14ac:dyDescent="0.25">
      <c r="A1402" s="1">
        <f t="shared" si="315"/>
        <v>1401</v>
      </c>
      <c r="C1402" s="8" t="s">
        <v>17</v>
      </c>
      <c r="D1402" s="2">
        <v>43343</v>
      </c>
      <c r="E1402" s="3">
        <v>8</v>
      </c>
      <c r="F1402" t="s">
        <v>28</v>
      </c>
      <c r="G1402" t="s">
        <v>716</v>
      </c>
      <c r="H1402" t="s">
        <v>30</v>
      </c>
      <c r="I1402" s="6" t="s">
        <v>807</v>
      </c>
      <c r="J1402" s="61" t="s">
        <v>22</v>
      </c>
      <c r="L1402" s="5" t="str">
        <f t="shared" ref="L1402:L1414" si="328">IF(ISBLANK(A1402),"",TEXT(A1402,"00000"))</f>
        <v>01401</v>
      </c>
      <c r="M1402" s="47" t="str">
        <f t="shared" ref="M1402:M1414" si="329">IF(ISBLANK(D1402),"",TEXT(D1402,"dd")&amp;" de "&amp;TEXT(D1402,"mmmm")&amp;" de "&amp;TEXT(YEAR(D1402),"0"))</f>
        <v>31 de agosto de 2018</v>
      </c>
      <c r="N1402" s="323">
        <f t="shared" si="305"/>
        <v>31</v>
      </c>
      <c r="O1402" s="25">
        <f t="shared" ref="O1402:O1414" si="330">DATE(YEAR(D1402),MONTH(D1402),1)</f>
        <v>43313</v>
      </c>
      <c r="P1402" s="5" t="str">
        <f t="shared" si="326"/>
        <v>8,00</v>
      </c>
      <c r="Q1402" s="4" t="str">
        <f t="shared" si="327"/>
        <v>Ocho Bolívares con 00/100</v>
      </c>
    </row>
    <row r="1403" spans="1:17" x14ac:dyDescent="0.25">
      <c r="A1403" s="1">
        <f t="shared" si="315"/>
        <v>1402</v>
      </c>
      <c r="C1403" s="8" t="s">
        <v>17</v>
      </c>
      <c r="D1403" s="2">
        <v>43344</v>
      </c>
      <c r="E1403" s="3">
        <v>370</v>
      </c>
      <c r="F1403" t="s">
        <v>713</v>
      </c>
      <c r="G1403" t="s">
        <v>714</v>
      </c>
      <c r="H1403" t="s">
        <v>154</v>
      </c>
      <c r="I1403" s="6" t="s">
        <v>808</v>
      </c>
      <c r="J1403" s="61" t="s">
        <v>22</v>
      </c>
      <c r="L1403" s="5" t="str">
        <f t="shared" si="328"/>
        <v>01402</v>
      </c>
      <c r="M1403" s="47" t="str">
        <f t="shared" si="329"/>
        <v>01 de septiembre de 2018</v>
      </c>
      <c r="N1403" s="323">
        <f t="shared" si="305"/>
        <v>1</v>
      </c>
      <c r="O1403" s="25">
        <f t="shared" si="330"/>
        <v>43344</v>
      </c>
      <c r="P1403" s="5" t="str">
        <f t="shared" si="326"/>
        <v>370,00</v>
      </c>
      <c r="Q1403" s="4" t="str">
        <f t="shared" si="327"/>
        <v>Trescientos Setenta Bolívares con 00/100</v>
      </c>
    </row>
    <row r="1404" spans="1:17" x14ac:dyDescent="0.25">
      <c r="A1404" s="1">
        <f t="shared" si="315"/>
        <v>1403</v>
      </c>
      <c r="C1404" s="8" t="s">
        <v>17</v>
      </c>
      <c r="D1404" s="2">
        <v>43344</v>
      </c>
      <c r="E1404" s="3">
        <v>12</v>
      </c>
      <c r="F1404" t="s">
        <v>144</v>
      </c>
      <c r="G1404" t="s">
        <v>661</v>
      </c>
      <c r="H1404" t="s">
        <v>146</v>
      </c>
      <c r="I1404" s="6" t="s">
        <v>787</v>
      </c>
      <c r="J1404" s="61" t="s">
        <v>22</v>
      </c>
      <c r="L1404" s="5" t="str">
        <f t="shared" si="328"/>
        <v>01403</v>
      </c>
      <c r="M1404" s="47" t="str">
        <f t="shared" si="329"/>
        <v>01 de septiembre de 2018</v>
      </c>
      <c r="N1404" s="323">
        <f t="shared" si="305"/>
        <v>1</v>
      </c>
      <c r="O1404" s="25">
        <f t="shared" si="330"/>
        <v>43344</v>
      </c>
      <c r="P1404" s="5" t="str">
        <f t="shared" si="326"/>
        <v>12,00</v>
      </c>
      <c r="Q1404" s="4" t="str">
        <f t="shared" si="327"/>
        <v>Doce Bolívares con 00/100</v>
      </c>
    </row>
    <row r="1405" spans="1:17" x14ac:dyDescent="0.25">
      <c r="A1405" s="1">
        <f t="shared" si="315"/>
        <v>1404</v>
      </c>
      <c r="C1405" s="85" t="s">
        <v>17</v>
      </c>
      <c r="D1405" s="2">
        <v>43345</v>
      </c>
      <c r="E1405" s="3">
        <v>27</v>
      </c>
      <c r="F1405" t="s">
        <v>40</v>
      </c>
      <c r="G1405" s="18" t="s">
        <v>58</v>
      </c>
      <c r="H1405" t="s">
        <v>42</v>
      </c>
      <c r="I1405" s="6" t="s">
        <v>809</v>
      </c>
      <c r="J1405" s="61" t="s">
        <v>22</v>
      </c>
      <c r="L1405" s="5" t="str">
        <f t="shared" si="328"/>
        <v>01404</v>
      </c>
      <c r="M1405" s="47" t="str">
        <f t="shared" si="329"/>
        <v>02 de septiembre de 2018</v>
      </c>
      <c r="N1405" s="323">
        <f t="shared" si="305"/>
        <v>2</v>
      </c>
      <c r="O1405" s="25">
        <f t="shared" si="330"/>
        <v>43344</v>
      </c>
      <c r="P1405" s="5" t="str">
        <f t="shared" si="326"/>
        <v>27,00</v>
      </c>
      <c r="Q1405" s="4" t="str">
        <f t="shared" si="327"/>
        <v>Veintisiete Bolívares con 00/100</v>
      </c>
    </row>
    <row r="1406" spans="1:17" x14ac:dyDescent="0.25">
      <c r="A1406" s="1">
        <f t="shared" si="315"/>
        <v>1405</v>
      </c>
      <c r="C1406" s="8" t="s">
        <v>17</v>
      </c>
      <c r="D1406" s="2">
        <v>43345</v>
      </c>
      <c r="E1406" s="3">
        <v>12</v>
      </c>
      <c r="F1406" t="s">
        <v>118</v>
      </c>
      <c r="G1406" t="s">
        <v>119</v>
      </c>
      <c r="H1406" t="s">
        <v>120</v>
      </c>
      <c r="I1406" s="6" t="s">
        <v>787</v>
      </c>
      <c r="J1406" s="61" t="s">
        <v>22</v>
      </c>
      <c r="L1406" s="5" t="str">
        <f t="shared" si="328"/>
        <v>01405</v>
      </c>
      <c r="M1406" s="47" t="str">
        <f t="shared" si="329"/>
        <v>02 de septiembre de 2018</v>
      </c>
      <c r="N1406" s="323">
        <f t="shared" si="305"/>
        <v>2</v>
      </c>
      <c r="O1406" s="25">
        <f t="shared" si="330"/>
        <v>43344</v>
      </c>
      <c r="P1406" s="5" t="str">
        <f t="shared" si="326"/>
        <v>12,00</v>
      </c>
      <c r="Q1406" s="4" t="str">
        <f t="shared" si="327"/>
        <v>Doce Bolívares con 00/100</v>
      </c>
    </row>
    <row r="1407" spans="1:17" x14ac:dyDescent="0.25">
      <c r="A1407" s="1">
        <f t="shared" si="315"/>
        <v>1406</v>
      </c>
      <c r="C1407" s="8" t="s">
        <v>17</v>
      </c>
      <c r="D1407" s="2">
        <v>43346</v>
      </c>
      <c r="E1407" s="3">
        <v>10</v>
      </c>
      <c r="F1407" t="s">
        <v>412</v>
      </c>
      <c r="G1407" t="s">
        <v>413</v>
      </c>
      <c r="H1407" t="s">
        <v>414</v>
      </c>
      <c r="I1407" s="6" t="s">
        <v>807</v>
      </c>
      <c r="J1407" s="61" t="s">
        <v>22</v>
      </c>
      <c r="L1407" s="5" t="str">
        <f t="shared" si="328"/>
        <v>01406</v>
      </c>
      <c r="M1407" s="47" t="str">
        <f t="shared" si="329"/>
        <v>03 de septiembre de 2018</v>
      </c>
      <c r="N1407" s="323">
        <f t="shared" si="305"/>
        <v>3</v>
      </c>
      <c r="O1407" s="25">
        <f t="shared" si="330"/>
        <v>43344</v>
      </c>
      <c r="P1407" s="5" t="str">
        <f t="shared" si="326"/>
        <v>10,00</v>
      </c>
      <c r="Q1407" s="4" t="str">
        <f t="shared" si="327"/>
        <v>Diez Bolívares con 00/100</v>
      </c>
    </row>
    <row r="1408" spans="1:17" x14ac:dyDescent="0.25">
      <c r="A1408" s="1">
        <f t="shared" si="315"/>
        <v>1407</v>
      </c>
      <c r="C1408" s="8" t="s">
        <v>17</v>
      </c>
      <c r="D1408" s="2">
        <v>43346</v>
      </c>
      <c r="E1408" s="3">
        <v>12</v>
      </c>
      <c r="F1408" t="s">
        <v>296</v>
      </c>
      <c r="G1408" t="s">
        <v>297</v>
      </c>
      <c r="H1408" t="s">
        <v>298</v>
      </c>
      <c r="I1408" s="6" t="s">
        <v>787</v>
      </c>
      <c r="J1408" s="61" t="s">
        <v>22</v>
      </c>
      <c r="L1408" s="5" t="str">
        <f t="shared" si="328"/>
        <v>01407</v>
      </c>
      <c r="M1408" s="47" t="str">
        <f t="shared" si="329"/>
        <v>03 de septiembre de 2018</v>
      </c>
      <c r="N1408" s="323">
        <f t="shared" si="305"/>
        <v>3</v>
      </c>
      <c r="O1408" s="25">
        <f t="shared" si="330"/>
        <v>43344</v>
      </c>
      <c r="P1408" s="5" t="str">
        <f t="shared" si="326"/>
        <v>12,00</v>
      </c>
      <c r="Q1408" s="4" t="str">
        <f t="shared" si="327"/>
        <v>Doce Bolívares con 00/100</v>
      </c>
    </row>
    <row r="1409" spans="1:17" x14ac:dyDescent="0.25">
      <c r="A1409" s="1">
        <f t="shared" si="315"/>
        <v>1408</v>
      </c>
      <c r="C1409" s="8" t="s">
        <v>17</v>
      </c>
      <c r="D1409" s="2">
        <v>43348</v>
      </c>
      <c r="E1409" s="3">
        <v>320</v>
      </c>
      <c r="F1409" t="s">
        <v>80</v>
      </c>
      <c r="G1409" t="s">
        <v>81</v>
      </c>
      <c r="H1409" t="s">
        <v>82</v>
      </c>
      <c r="I1409" s="6" t="s">
        <v>810</v>
      </c>
      <c r="J1409" s="61" t="s">
        <v>22</v>
      </c>
      <c r="L1409" s="5" t="str">
        <f t="shared" si="328"/>
        <v>01408</v>
      </c>
      <c r="M1409" s="47" t="str">
        <f t="shared" si="329"/>
        <v>05 de septiembre de 2018</v>
      </c>
      <c r="N1409" s="323">
        <f t="shared" si="305"/>
        <v>5</v>
      </c>
      <c r="O1409" s="25">
        <f t="shared" si="330"/>
        <v>43344</v>
      </c>
      <c r="P1409" s="5" t="str">
        <f t="shared" si="326"/>
        <v>320,00</v>
      </c>
      <c r="Q1409" s="4" t="str">
        <f t="shared" si="327"/>
        <v>Trescientos Veinte Bolívares con 00/100</v>
      </c>
    </row>
    <row r="1410" spans="1:17" x14ac:dyDescent="0.25">
      <c r="A1410" s="1">
        <f>A1409+1</f>
        <v>1409</v>
      </c>
      <c r="C1410" s="8" t="s">
        <v>17</v>
      </c>
      <c r="D1410" s="2">
        <v>43348</v>
      </c>
      <c r="E1410" s="3">
        <v>320</v>
      </c>
      <c r="F1410" t="s">
        <v>70</v>
      </c>
      <c r="G1410" t="s">
        <v>71</v>
      </c>
      <c r="H1410" t="s">
        <v>72</v>
      </c>
      <c r="I1410" s="6" t="s">
        <v>810</v>
      </c>
      <c r="J1410" s="61" t="s">
        <v>22</v>
      </c>
      <c r="L1410" s="5" t="str">
        <f t="shared" si="328"/>
        <v>01409</v>
      </c>
      <c r="M1410" s="47" t="str">
        <f t="shared" si="329"/>
        <v>05 de septiembre de 2018</v>
      </c>
      <c r="N1410" s="323">
        <f t="shared" si="305"/>
        <v>5</v>
      </c>
      <c r="O1410" s="25">
        <f t="shared" si="330"/>
        <v>43344</v>
      </c>
      <c r="P1410" s="5" t="str">
        <f t="shared" si="326"/>
        <v>320,00</v>
      </c>
      <c r="Q1410" s="4" t="str">
        <f t="shared" si="327"/>
        <v>Trescientos Veinte Bolívares con 00/100</v>
      </c>
    </row>
    <row r="1411" spans="1:17" x14ac:dyDescent="0.25">
      <c r="A1411" s="1">
        <f t="shared" si="315"/>
        <v>1410</v>
      </c>
      <c r="C1411" s="8" t="s">
        <v>17</v>
      </c>
      <c r="D1411" s="2">
        <v>43348</v>
      </c>
      <c r="E1411" s="3">
        <v>320</v>
      </c>
      <c r="F1411" t="s">
        <v>342</v>
      </c>
      <c r="G1411" t="s">
        <v>343</v>
      </c>
      <c r="H1411" t="s">
        <v>344</v>
      </c>
      <c r="I1411" s="6" t="s">
        <v>810</v>
      </c>
      <c r="J1411" s="61" t="s">
        <v>22</v>
      </c>
      <c r="L1411" s="5" t="str">
        <f t="shared" si="328"/>
        <v>01410</v>
      </c>
      <c r="M1411" s="47" t="str">
        <f t="shared" si="329"/>
        <v>05 de septiembre de 2018</v>
      </c>
      <c r="N1411" s="323">
        <f t="shared" ref="N1411:N1462" si="331">DAY(D1411)</f>
        <v>5</v>
      </c>
      <c r="O1411" s="25">
        <f t="shared" si="330"/>
        <v>43344</v>
      </c>
      <c r="P1411" s="5" t="str">
        <f t="shared" si="326"/>
        <v>320,00</v>
      </c>
      <c r="Q1411" s="4" t="str">
        <f t="shared" si="327"/>
        <v>Trescientos Veinte Bolívares con 00/100</v>
      </c>
    </row>
    <row r="1412" spans="1:17" x14ac:dyDescent="0.25">
      <c r="A1412" s="1">
        <f t="shared" si="315"/>
        <v>1411</v>
      </c>
      <c r="C1412" s="8" t="s">
        <v>17</v>
      </c>
      <c r="D1412" s="2">
        <v>43348</v>
      </c>
      <c r="E1412" s="3">
        <v>320</v>
      </c>
      <c r="F1412" t="s">
        <v>48</v>
      </c>
      <c r="G1412" t="s">
        <v>49</v>
      </c>
      <c r="H1412" t="s">
        <v>50</v>
      </c>
      <c r="I1412" s="6" t="s">
        <v>810</v>
      </c>
      <c r="J1412" s="61" t="s">
        <v>22</v>
      </c>
      <c r="L1412" s="5" t="str">
        <f t="shared" si="328"/>
        <v>01411</v>
      </c>
      <c r="M1412" s="47" t="str">
        <f t="shared" si="329"/>
        <v>05 de septiembre de 2018</v>
      </c>
      <c r="N1412" s="323">
        <f t="shared" si="331"/>
        <v>5</v>
      </c>
      <c r="O1412" s="25">
        <f t="shared" si="330"/>
        <v>43344</v>
      </c>
      <c r="P1412" s="5" t="str">
        <f t="shared" si="326"/>
        <v>320,00</v>
      </c>
      <c r="Q1412" s="4" t="str">
        <f t="shared" si="327"/>
        <v>Trescientos Veinte Bolívares con 00/100</v>
      </c>
    </row>
    <row r="1413" spans="1:17" x14ac:dyDescent="0.25">
      <c r="A1413" s="1">
        <f t="shared" si="315"/>
        <v>1412</v>
      </c>
      <c r="C1413" s="8" t="s">
        <v>17</v>
      </c>
      <c r="D1413" s="2">
        <v>43348</v>
      </c>
      <c r="E1413" s="3">
        <v>320</v>
      </c>
      <c r="F1413" t="s">
        <v>66</v>
      </c>
      <c r="G1413" t="s">
        <v>67</v>
      </c>
      <c r="H1413" t="s">
        <v>68</v>
      </c>
      <c r="I1413" s="6" t="s">
        <v>810</v>
      </c>
      <c r="J1413" s="61" t="s">
        <v>22</v>
      </c>
      <c r="L1413" s="5" t="str">
        <f t="shared" si="328"/>
        <v>01412</v>
      </c>
      <c r="M1413" s="47" t="str">
        <f t="shared" si="329"/>
        <v>05 de septiembre de 2018</v>
      </c>
      <c r="N1413" s="323">
        <f t="shared" si="331"/>
        <v>5</v>
      </c>
      <c r="O1413" s="25">
        <f t="shared" si="330"/>
        <v>43344</v>
      </c>
      <c r="P1413" s="5" t="str">
        <f t="shared" si="326"/>
        <v>320,00</v>
      </c>
      <c r="Q1413" s="4" t="str">
        <f t="shared" si="327"/>
        <v>Trescientos Veinte Bolívares con 00/100</v>
      </c>
    </row>
    <row r="1414" spans="1:17" x14ac:dyDescent="0.25">
      <c r="A1414" s="1">
        <f t="shared" si="315"/>
        <v>1413</v>
      </c>
      <c r="C1414" s="8" t="s">
        <v>17</v>
      </c>
      <c r="D1414" s="2">
        <v>43348</v>
      </c>
      <c r="E1414" s="3">
        <v>320</v>
      </c>
      <c r="F1414" t="s">
        <v>24</v>
      </c>
      <c r="G1414" t="s">
        <v>25</v>
      </c>
      <c r="H1414" t="s">
        <v>26</v>
      </c>
      <c r="I1414" s="6" t="s">
        <v>810</v>
      </c>
      <c r="J1414" s="61" t="s">
        <v>22</v>
      </c>
      <c r="L1414" s="5" t="str">
        <f t="shared" si="328"/>
        <v>01413</v>
      </c>
      <c r="M1414" s="47" t="str">
        <f t="shared" si="329"/>
        <v>05 de septiembre de 2018</v>
      </c>
      <c r="N1414" s="323">
        <f t="shared" si="331"/>
        <v>5</v>
      </c>
      <c r="O1414" s="25">
        <f t="shared" si="330"/>
        <v>43344</v>
      </c>
      <c r="P1414" s="5" t="str">
        <f t="shared" si="326"/>
        <v>320,00</v>
      </c>
      <c r="Q1414" s="4" t="str">
        <f t="shared" si="327"/>
        <v>Trescientos Veinte Bolívares con 00/100</v>
      </c>
    </row>
    <row r="1415" spans="1:17" x14ac:dyDescent="0.25">
      <c r="A1415" s="1">
        <f t="shared" si="315"/>
        <v>1414</v>
      </c>
      <c r="C1415" s="8" t="s">
        <v>17</v>
      </c>
      <c r="D1415" s="2">
        <v>43348</v>
      </c>
      <c r="E1415" s="3">
        <v>400</v>
      </c>
      <c r="F1415" t="s">
        <v>44</v>
      </c>
      <c r="G1415" t="s">
        <v>45</v>
      </c>
      <c r="H1415" t="s">
        <v>46</v>
      </c>
      <c r="I1415" s="6" t="s">
        <v>811</v>
      </c>
      <c r="J1415" s="61" t="s">
        <v>22</v>
      </c>
      <c r="L1415" s="5" t="str">
        <f>IF(ISBLANK(A1415),"",TEXT(A1415,"00000"))</f>
        <v>01414</v>
      </c>
      <c r="M1415" s="47" t="str">
        <f>IF(ISBLANK(D1415),"",TEXT(D1415,"dd")&amp;" de "&amp;TEXT(D1415,"mmmm")&amp;" de "&amp;TEXT(YEAR(D1415),"0"))</f>
        <v>05 de septiembre de 2018</v>
      </c>
      <c r="N1415" s="323">
        <f t="shared" si="331"/>
        <v>5</v>
      </c>
      <c r="O1415" s="25">
        <f>DATE(YEAR(D1415),MONTH(D1415),1)</f>
        <v>43344</v>
      </c>
      <c r="P1415" s="5" t="str">
        <f t="shared" si="326"/>
        <v>400,00</v>
      </c>
      <c r="Q1415" s="4" t="str">
        <f t="shared" si="327"/>
        <v>Cuatrocientos Bolívares con 00/100</v>
      </c>
    </row>
    <row r="1416" spans="1:17" x14ac:dyDescent="0.25">
      <c r="A1416" s="1">
        <f t="shared" si="315"/>
        <v>1415</v>
      </c>
      <c r="C1416" s="8" t="s">
        <v>17</v>
      </c>
      <c r="D1416" s="2">
        <v>43348</v>
      </c>
      <c r="E1416" s="3">
        <f>308.4+11.6</f>
        <v>320</v>
      </c>
      <c r="F1416" t="s">
        <v>36</v>
      </c>
      <c r="G1416" t="s">
        <v>37</v>
      </c>
      <c r="H1416" t="s">
        <v>38</v>
      </c>
      <c r="I1416" s="6" t="s">
        <v>810</v>
      </c>
      <c r="J1416" s="61" t="s">
        <v>22</v>
      </c>
      <c r="L1416" s="5" t="str">
        <f t="shared" ref="L1416:L1423" si="332">IF(ISBLANK(A1416),"",TEXT(A1416,"00000"))</f>
        <v>01415</v>
      </c>
      <c r="M1416" s="47" t="str">
        <f t="shared" ref="M1416:M1423" si="333">IF(ISBLANK(D1416),"",TEXT(D1416,"dd")&amp;" de "&amp;TEXT(D1416,"mmmm")&amp;" de "&amp;TEXT(YEAR(D1416),"0"))</f>
        <v>05 de septiembre de 2018</v>
      </c>
      <c r="N1416" s="323">
        <f t="shared" si="331"/>
        <v>5</v>
      </c>
      <c r="O1416" s="25">
        <f t="shared" ref="O1416:O1423" si="334">DATE(YEAR(D1416),MONTH(D1416),1)</f>
        <v>43344</v>
      </c>
      <c r="P1416" s="5" t="str">
        <f t="shared" si="326"/>
        <v>320,00</v>
      </c>
      <c r="Q1416" s="4" t="str">
        <f t="shared" si="327"/>
        <v>Trescientos Veinte Bolívares con 00/100</v>
      </c>
    </row>
    <row r="1417" spans="1:17" x14ac:dyDescent="0.25">
      <c r="A1417" s="1">
        <f t="shared" si="315"/>
        <v>1416</v>
      </c>
      <c r="C1417" s="8" t="s">
        <v>17</v>
      </c>
      <c r="D1417" s="2">
        <v>43349</v>
      </c>
      <c r="E1417" s="3">
        <v>320</v>
      </c>
      <c r="F1417" t="s">
        <v>201</v>
      </c>
      <c r="G1417" t="s">
        <v>202</v>
      </c>
      <c r="H1417" t="s">
        <v>203</v>
      </c>
      <c r="I1417" s="6" t="s">
        <v>810</v>
      </c>
      <c r="J1417" s="61" t="s">
        <v>22</v>
      </c>
      <c r="L1417" s="5" t="str">
        <f t="shared" si="332"/>
        <v>01416</v>
      </c>
      <c r="M1417" s="47" t="str">
        <f t="shared" si="333"/>
        <v>06 de septiembre de 2018</v>
      </c>
      <c r="N1417" s="323">
        <f t="shared" si="331"/>
        <v>6</v>
      </c>
      <c r="O1417" s="25">
        <f t="shared" si="334"/>
        <v>43344</v>
      </c>
      <c r="P1417" s="5" t="str">
        <f t="shared" si="326"/>
        <v>320,00</v>
      </c>
      <c r="Q1417" s="4" t="str">
        <f t="shared" si="327"/>
        <v>Trescientos Veinte Bolívares con 00/100</v>
      </c>
    </row>
    <row r="1418" spans="1:17" x14ac:dyDescent="0.25">
      <c r="A1418" s="1">
        <f t="shared" si="315"/>
        <v>1417</v>
      </c>
      <c r="C1418" s="8" t="s">
        <v>17</v>
      </c>
      <c r="D1418" s="2">
        <v>43349</v>
      </c>
      <c r="E1418" s="3">
        <v>320</v>
      </c>
      <c r="F1418" t="s">
        <v>483</v>
      </c>
      <c r="G1418" t="s">
        <v>484</v>
      </c>
      <c r="H1418" t="s">
        <v>485</v>
      </c>
      <c r="I1418" s="6" t="s">
        <v>810</v>
      </c>
      <c r="J1418" s="61" t="s">
        <v>22</v>
      </c>
      <c r="L1418" s="5" t="str">
        <f t="shared" si="332"/>
        <v>01417</v>
      </c>
      <c r="M1418" s="47" t="str">
        <f t="shared" si="333"/>
        <v>06 de septiembre de 2018</v>
      </c>
      <c r="N1418" s="323">
        <f t="shared" si="331"/>
        <v>6</v>
      </c>
      <c r="O1418" s="25">
        <f t="shared" si="334"/>
        <v>43344</v>
      </c>
      <c r="P1418" s="5" t="str">
        <f t="shared" si="326"/>
        <v>320,00</v>
      </c>
      <c r="Q1418" s="4" t="str">
        <f t="shared" si="327"/>
        <v>Trescientos Veinte Bolívares con 00/100</v>
      </c>
    </row>
    <row r="1419" spans="1:17" x14ac:dyDescent="0.25">
      <c r="A1419" s="1">
        <f t="shared" si="315"/>
        <v>1418</v>
      </c>
      <c r="C1419" s="8" t="s">
        <v>17</v>
      </c>
      <c r="D1419" s="2">
        <v>43349</v>
      </c>
      <c r="E1419" s="3">
        <v>350</v>
      </c>
      <c r="F1419" t="s">
        <v>107</v>
      </c>
      <c r="G1419" t="s">
        <v>108</v>
      </c>
      <c r="H1419" t="s">
        <v>109</v>
      </c>
      <c r="I1419" s="6" t="s">
        <v>811</v>
      </c>
      <c r="J1419" s="61" t="s">
        <v>22</v>
      </c>
      <c r="L1419" s="5" t="str">
        <f t="shared" si="332"/>
        <v>01418</v>
      </c>
      <c r="M1419" s="47" t="str">
        <f t="shared" si="333"/>
        <v>06 de septiembre de 2018</v>
      </c>
      <c r="N1419" s="323">
        <f t="shared" si="331"/>
        <v>6</v>
      </c>
      <c r="O1419" s="25">
        <f t="shared" si="334"/>
        <v>43344</v>
      </c>
      <c r="P1419" s="5" t="str">
        <f t="shared" si="326"/>
        <v>350,00</v>
      </c>
      <c r="Q1419" s="4" t="str">
        <f t="shared" si="327"/>
        <v>Trescientos Cincuenta Bolívares con 00/100</v>
      </c>
    </row>
    <row r="1420" spans="1:17" x14ac:dyDescent="0.25">
      <c r="A1420" s="1">
        <f t="shared" si="315"/>
        <v>1419</v>
      </c>
      <c r="C1420" s="8" t="s">
        <v>17</v>
      </c>
      <c r="D1420" s="2">
        <v>43349</v>
      </c>
      <c r="E1420" s="3">
        <v>320</v>
      </c>
      <c r="F1420" t="s">
        <v>337</v>
      </c>
      <c r="G1420" t="s">
        <v>338</v>
      </c>
      <c r="H1420" t="s">
        <v>339</v>
      </c>
      <c r="I1420" s="6" t="s">
        <v>810</v>
      </c>
      <c r="J1420" s="61" t="s">
        <v>22</v>
      </c>
      <c r="L1420" s="5" t="str">
        <f t="shared" si="332"/>
        <v>01419</v>
      </c>
      <c r="M1420" s="47" t="str">
        <f t="shared" si="333"/>
        <v>06 de septiembre de 2018</v>
      </c>
      <c r="N1420" s="323">
        <f t="shared" si="331"/>
        <v>6</v>
      </c>
      <c r="O1420" s="25">
        <f t="shared" si="334"/>
        <v>43344</v>
      </c>
      <c r="P1420" s="5" t="str">
        <f t="shared" si="326"/>
        <v>320,00</v>
      </c>
      <c r="Q1420" s="4" t="str">
        <f t="shared" si="327"/>
        <v>Trescientos Veinte Bolívares con 00/100</v>
      </c>
    </row>
    <row r="1421" spans="1:17" x14ac:dyDescent="0.25">
      <c r="A1421" s="1">
        <f t="shared" si="315"/>
        <v>1420</v>
      </c>
      <c r="C1421" s="8" t="s">
        <v>17</v>
      </c>
      <c r="D1421" s="2">
        <v>43349</v>
      </c>
      <c r="E1421" s="3">
        <v>320</v>
      </c>
      <c r="F1421" t="s">
        <v>407</v>
      </c>
      <c r="G1421" t="s">
        <v>408</v>
      </c>
      <c r="H1421" t="s">
        <v>409</v>
      </c>
      <c r="I1421" s="6" t="s">
        <v>810</v>
      </c>
      <c r="J1421" s="61" t="s">
        <v>22</v>
      </c>
      <c r="L1421" s="5" t="str">
        <f t="shared" si="332"/>
        <v>01420</v>
      </c>
      <c r="M1421" s="47" t="str">
        <f t="shared" si="333"/>
        <v>06 de septiembre de 2018</v>
      </c>
      <c r="N1421" s="323">
        <f t="shared" si="331"/>
        <v>6</v>
      </c>
      <c r="O1421" s="25">
        <f t="shared" si="334"/>
        <v>43344</v>
      </c>
      <c r="P1421" s="5" t="str">
        <f t="shared" si="326"/>
        <v>320,00</v>
      </c>
      <c r="Q1421" s="4" t="str">
        <f>CONVERTIRNUM(E1421)</f>
        <v>Trescientos Veinte Bolívares con 00/100</v>
      </c>
    </row>
    <row r="1422" spans="1:17" x14ac:dyDescent="0.25">
      <c r="A1422" s="1">
        <f t="shared" si="315"/>
        <v>1421</v>
      </c>
      <c r="C1422" s="8" t="s">
        <v>17</v>
      </c>
      <c r="D1422" s="2">
        <v>43350</v>
      </c>
      <c r="E1422" s="3">
        <v>320</v>
      </c>
      <c r="F1422" t="s">
        <v>126</v>
      </c>
      <c r="G1422" t="s">
        <v>127</v>
      </c>
      <c r="H1422" t="s">
        <v>128</v>
      </c>
      <c r="I1422" s="6" t="s">
        <v>810</v>
      </c>
      <c r="J1422" s="61" t="s">
        <v>22</v>
      </c>
      <c r="L1422" s="5" t="str">
        <f t="shared" si="332"/>
        <v>01421</v>
      </c>
      <c r="M1422" s="47" t="str">
        <f t="shared" si="333"/>
        <v>07 de septiembre de 2018</v>
      </c>
      <c r="N1422" s="323">
        <f t="shared" si="331"/>
        <v>7</v>
      </c>
      <c r="O1422" s="25">
        <f t="shared" si="334"/>
        <v>43344</v>
      </c>
      <c r="P1422" s="5" t="str">
        <f t="shared" si="326"/>
        <v>320,00</v>
      </c>
      <c r="Q1422" s="4" t="str">
        <f t="shared" ref="Q1422:Q1428" si="335">CONVERTIRNUM(E1422)</f>
        <v>Trescientos Veinte Bolívares con 00/100</v>
      </c>
    </row>
    <row r="1423" spans="1:17" x14ac:dyDescent="0.25">
      <c r="A1423" s="1">
        <f t="shared" si="315"/>
        <v>1422</v>
      </c>
      <c r="C1423" s="8" t="s">
        <v>17</v>
      </c>
      <c r="D1423" s="2">
        <v>43350</v>
      </c>
      <c r="E1423" s="3">
        <v>320</v>
      </c>
      <c r="F1423" t="s">
        <v>771</v>
      </c>
      <c r="G1423" t="s">
        <v>772</v>
      </c>
      <c r="H1423" t="s">
        <v>773</v>
      </c>
      <c r="I1423" s="6" t="s">
        <v>812</v>
      </c>
      <c r="J1423" s="61" t="s">
        <v>22</v>
      </c>
      <c r="L1423" s="5" t="str">
        <f t="shared" si="332"/>
        <v>01422</v>
      </c>
      <c r="M1423" s="47" t="str">
        <f t="shared" si="333"/>
        <v>07 de septiembre de 2018</v>
      </c>
      <c r="N1423" s="323">
        <f t="shared" si="331"/>
        <v>7</v>
      </c>
      <c r="O1423" s="25">
        <f t="shared" si="334"/>
        <v>43344</v>
      </c>
      <c r="P1423" s="5" t="str">
        <f t="shared" si="326"/>
        <v>320,00</v>
      </c>
      <c r="Q1423" s="4" t="str">
        <f t="shared" si="335"/>
        <v>Trescientos Veinte Bolívares con 00/100</v>
      </c>
    </row>
    <row r="1424" spans="1:17" x14ac:dyDescent="0.25">
      <c r="A1424" s="1">
        <f t="shared" si="315"/>
        <v>1423</v>
      </c>
      <c r="C1424" s="8" t="s">
        <v>17</v>
      </c>
      <c r="D1424" s="2">
        <v>43350</v>
      </c>
      <c r="E1424" s="3">
        <v>320</v>
      </c>
      <c r="F1424" t="s">
        <v>454</v>
      </c>
      <c r="G1424" t="s">
        <v>761</v>
      </c>
      <c r="H1424" t="s">
        <v>455</v>
      </c>
      <c r="I1424" s="6" t="s">
        <v>810</v>
      </c>
      <c r="J1424" s="61" t="s">
        <v>22</v>
      </c>
      <c r="L1424" s="5" t="str">
        <f>IF(ISBLANK(A1424),"",TEXT(A1424,"00000"))</f>
        <v>01423</v>
      </c>
      <c r="M1424" s="47" t="str">
        <f>IF(ISBLANK(D1424),"",TEXT(D1424,"dd")&amp;" de "&amp;TEXT(D1424,"mmmm")&amp;" de "&amp;TEXT(YEAR(D1424),"0"))</f>
        <v>07 de septiembre de 2018</v>
      </c>
      <c r="N1424" s="323">
        <f t="shared" si="331"/>
        <v>7</v>
      </c>
      <c r="O1424" s="25">
        <f>DATE(YEAR(D1424),MONTH(D1424),1)</f>
        <v>43344</v>
      </c>
      <c r="P1424" s="5" t="str">
        <f t="shared" ref="P1424:P1428" si="336">TEXT(E1424,"#.##0,00")</f>
        <v>320,00</v>
      </c>
      <c r="Q1424" s="4" t="str">
        <f t="shared" si="335"/>
        <v>Trescientos Veinte Bolívares con 00/100</v>
      </c>
    </row>
    <row r="1425" spans="1:17" x14ac:dyDescent="0.25">
      <c r="A1425" s="1">
        <f t="shared" si="315"/>
        <v>1424</v>
      </c>
      <c r="C1425" s="8" t="s">
        <v>17</v>
      </c>
      <c r="D1425" s="2">
        <v>43352</v>
      </c>
      <c r="E1425" s="3">
        <v>320</v>
      </c>
      <c r="F1425" t="s">
        <v>362</v>
      </c>
      <c r="G1425" t="s">
        <v>363</v>
      </c>
      <c r="H1425" t="s">
        <v>364</v>
      </c>
      <c r="I1425" s="6" t="s">
        <v>810</v>
      </c>
      <c r="J1425" s="61" t="s">
        <v>22</v>
      </c>
      <c r="L1425" s="5" t="str">
        <f t="shared" ref="L1425:L1454" si="337">IF(ISBLANK(A1425),"",TEXT(A1425,"00000"))</f>
        <v>01424</v>
      </c>
      <c r="M1425" s="47" t="str">
        <f t="shared" ref="M1425:M1454" si="338">IF(ISBLANK(D1425),"",TEXT(D1425,"dd")&amp;" de "&amp;TEXT(D1425,"mmmm")&amp;" de "&amp;TEXT(YEAR(D1425),"0"))</f>
        <v>09 de septiembre de 2018</v>
      </c>
      <c r="N1425" s="323">
        <f t="shared" si="331"/>
        <v>9</v>
      </c>
      <c r="O1425" s="25">
        <f t="shared" ref="O1425:O1454" si="339">DATE(YEAR(D1425),MONTH(D1425),1)</f>
        <v>43344</v>
      </c>
      <c r="P1425" s="5" t="str">
        <f t="shared" si="336"/>
        <v>320,00</v>
      </c>
      <c r="Q1425" s="4" t="str">
        <f t="shared" si="335"/>
        <v>Trescientos Veinte Bolívares con 00/100</v>
      </c>
    </row>
    <row r="1426" spans="1:17" x14ac:dyDescent="0.25">
      <c r="A1426" s="1">
        <f t="shared" si="315"/>
        <v>1425</v>
      </c>
      <c r="C1426" s="85" t="s">
        <v>17</v>
      </c>
      <c r="D1426" s="2">
        <v>43354</v>
      </c>
      <c r="E1426" s="3">
        <v>320</v>
      </c>
      <c r="F1426" t="s">
        <v>319</v>
      </c>
      <c r="G1426" s="18" t="s">
        <v>58</v>
      </c>
      <c r="H1426" t="s">
        <v>320</v>
      </c>
      <c r="I1426" s="6" t="s">
        <v>810</v>
      </c>
      <c r="J1426" s="61" t="s">
        <v>22</v>
      </c>
      <c r="L1426" s="5" t="str">
        <f t="shared" si="337"/>
        <v>01425</v>
      </c>
      <c r="M1426" s="47" t="str">
        <f t="shared" si="338"/>
        <v>11 de septiembre de 2018</v>
      </c>
      <c r="N1426" s="323">
        <f t="shared" si="331"/>
        <v>11</v>
      </c>
      <c r="O1426" s="25">
        <f t="shared" si="339"/>
        <v>43344</v>
      </c>
      <c r="P1426" s="5" t="str">
        <f t="shared" si="336"/>
        <v>320,00</v>
      </c>
      <c r="Q1426" s="4" t="str">
        <f t="shared" ref="Q1426:Q1427" si="340">CONVERTIRNUM(E1426)</f>
        <v>Trescientos Veinte Bolívares con 00/100</v>
      </c>
    </row>
    <row r="1427" spans="1:17" x14ac:dyDescent="0.25">
      <c r="A1427" s="1">
        <f t="shared" si="315"/>
        <v>1426</v>
      </c>
      <c r="C1427" s="85" t="s">
        <v>17</v>
      </c>
      <c r="D1427" s="2">
        <v>43354</v>
      </c>
      <c r="E1427" s="3">
        <v>320</v>
      </c>
      <c r="F1427" s="20" t="s">
        <v>57</v>
      </c>
      <c r="G1427" s="18" t="s">
        <v>58</v>
      </c>
      <c r="H1427" s="21" t="s">
        <v>59</v>
      </c>
      <c r="I1427" s="6" t="s">
        <v>810</v>
      </c>
      <c r="J1427" s="61" t="s">
        <v>22</v>
      </c>
      <c r="K1427" s="22"/>
      <c r="L1427" s="5" t="str">
        <f t="shared" si="337"/>
        <v>01426</v>
      </c>
      <c r="M1427" s="47" t="str">
        <f t="shared" si="338"/>
        <v>11 de septiembre de 2018</v>
      </c>
      <c r="N1427" s="323">
        <f t="shared" si="331"/>
        <v>11</v>
      </c>
      <c r="O1427" s="25">
        <f t="shared" si="339"/>
        <v>43344</v>
      </c>
      <c r="P1427" s="5" t="str">
        <f t="shared" si="336"/>
        <v>320,00</v>
      </c>
      <c r="Q1427" s="4" t="str">
        <f t="shared" si="340"/>
        <v>Trescientos Veinte Bolívares con 00/100</v>
      </c>
    </row>
    <row r="1428" spans="1:17" x14ac:dyDescent="0.25">
      <c r="A1428" s="1">
        <f t="shared" si="315"/>
        <v>1427</v>
      </c>
      <c r="C1428" s="8" t="s">
        <v>17</v>
      </c>
      <c r="D1428" s="2">
        <v>43355</v>
      </c>
      <c r="E1428" s="3">
        <f>20.55+299.45</f>
        <v>320</v>
      </c>
      <c r="F1428" t="s">
        <v>612</v>
      </c>
      <c r="G1428" t="s">
        <v>613</v>
      </c>
      <c r="H1428" t="s">
        <v>614</v>
      </c>
      <c r="I1428" s="6" t="s">
        <v>813</v>
      </c>
      <c r="J1428" s="61" t="s">
        <v>22</v>
      </c>
      <c r="L1428" s="5" t="str">
        <f t="shared" si="337"/>
        <v>01427</v>
      </c>
      <c r="M1428" s="47" t="str">
        <f t="shared" si="338"/>
        <v>12 de septiembre de 2018</v>
      </c>
      <c r="N1428" s="323">
        <f t="shared" si="331"/>
        <v>12</v>
      </c>
      <c r="O1428" s="25">
        <f t="shared" si="339"/>
        <v>43344</v>
      </c>
      <c r="P1428" s="5" t="str">
        <f t="shared" si="336"/>
        <v>320,00</v>
      </c>
      <c r="Q1428" s="4" t="str">
        <f t="shared" si="335"/>
        <v>Trescientos Veinte Bolívares con 00/100</v>
      </c>
    </row>
    <row r="1429" spans="1:17" x14ac:dyDescent="0.25">
      <c r="A1429" s="1">
        <f t="shared" si="315"/>
        <v>1428</v>
      </c>
      <c r="C1429" s="8" t="s">
        <v>17</v>
      </c>
      <c r="D1429" s="2">
        <v>43355</v>
      </c>
      <c r="E1429" s="3">
        <f>20.55+299.45</f>
        <v>320</v>
      </c>
      <c r="F1429" t="s">
        <v>100</v>
      </c>
      <c r="G1429" t="s">
        <v>95</v>
      </c>
      <c r="H1429" t="s">
        <v>101</v>
      </c>
      <c r="I1429" s="6" t="s">
        <v>810</v>
      </c>
      <c r="J1429" s="61" t="s">
        <v>22</v>
      </c>
      <c r="L1429" s="5" t="str">
        <f t="shared" si="337"/>
        <v>01428</v>
      </c>
      <c r="M1429" s="47" t="str">
        <f t="shared" si="338"/>
        <v>12 de septiembre de 2018</v>
      </c>
      <c r="N1429" s="323">
        <f t="shared" si="331"/>
        <v>12</v>
      </c>
      <c r="O1429" s="25">
        <f t="shared" si="339"/>
        <v>43344</v>
      </c>
      <c r="P1429" s="5" t="str">
        <f>TEXT(E1429,"#.##0,00")</f>
        <v>320,00</v>
      </c>
      <c r="Q1429" s="4" t="str">
        <f>CONVERTIRNUM(E1429)</f>
        <v>Trescientos Veinte Bolívares con 00/100</v>
      </c>
    </row>
    <row r="1430" spans="1:17" x14ac:dyDescent="0.25">
      <c r="A1430" s="1">
        <f t="shared" si="315"/>
        <v>1429</v>
      </c>
      <c r="C1430" s="8" t="s">
        <v>17</v>
      </c>
      <c r="D1430" s="2">
        <v>43355</v>
      </c>
      <c r="E1430" s="3">
        <f>20.55+299.45</f>
        <v>320</v>
      </c>
      <c r="F1430" t="s">
        <v>94</v>
      </c>
      <c r="G1430" t="s">
        <v>607</v>
      </c>
      <c r="H1430" t="s">
        <v>96</v>
      </c>
      <c r="I1430" s="6" t="s">
        <v>810</v>
      </c>
      <c r="J1430" s="61" t="s">
        <v>22</v>
      </c>
      <c r="L1430" s="5" t="str">
        <f t="shared" si="337"/>
        <v>01429</v>
      </c>
      <c r="M1430" s="47" t="str">
        <f t="shared" si="338"/>
        <v>12 de septiembre de 2018</v>
      </c>
      <c r="N1430" s="323">
        <f t="shared" si="331"/>
        <v>12</v>
      </c>
      <c r="O1430" s="25">
        <f t="shared" si="339"/>
        <v>43344</v>
      </c>
      <c r="P1430" s="5" t="str">
        <f t="shared" ref="P1430:P1462" si="341">TEXT(E1430,"#.##0,00")</f>
        <v>320,00</v>
      </c>
      <c r="Q1430" s="4" t="str">
        <f t="shared" ref="Q1430:Q1462" si="342">CONVERTIRNUM(E1430)</f>
        <v>Trescientos Veinte Bolívares con 00/100</v>
      </c>
    </row>
    <row r="1431" spans="1:17" x14ac:dyDescent="0.25">
      <c r="A1431" s="1">
        <f t="shared" ref="A1431:A1471" si="343">A1430+1</f>
        <v>1430</v>
      </c>
      <c r="C1431" s="8" t="s">
        <v>17</v>
      </c>
      <c r="D1431" s="2">
        <v>43355</v>
      </c>
      <c r="E1431" s="3">
        <v>12</v>
      </c>
      <c r="F1431" t="s">
        <v>433</v>
      </c>
      <c r="G1431" t="s">
        <v>434</v>
      </c>
      <c r="H1431" t="s">
        <v>435</v>
      </c>
      <c r="I1431" s="6" t="s">
        <v>807</v>
      </c>
      <c r="J1431" s="61" t="s">
        <v>22</v>
      </c>
      <c r="L1431" s="5" t="str">
        <f t="shared" si="337"/>
        <v>01430</v>
      </c>
      <c r="M1431" s="47" t="str">
        <f t="shared" si="338"/>
        <v>12 de septiembre de 2018</v>
      </c>
      <c r="N1431" s="323">
        <f t="shared" si="331"/>
        <v>12</v>
      </c>
      <c r="O1431" s="25">
        <f t="shared" si="339"/>
        <v>43344</v>
      </c>
      <c r="P1431" s="5" t="str">
        <f t="shared" si="341"/>
        <v>12,00</v>
      </c>
      <c r="Q1431" s="4" t="str">
        <f t="shared" si="342"/>
        <v>Doce Bolívares con 00/100</v>
      </c>
    </row>
    <row r="1432" spans="1:17" x14ac:dyDescent="0.25">
      <c r="A1432" s="1">
        <f t="shared" si="343"/>
        <v>1431</v>
      </c>
      <c r="C1432" s="8" t="s">
        <v>17</v>
      </c>
      <c r="D1432" s="2">
        <v>43355</v>
      </c>
      <c r="E1432" s="3">
        <v>320</v>
      </c>
      <c r="F1432" t="s">
        <v>18</v>
      </c>
      <c r="G1432" t="s">
        <v>19</v>
      </c>
      <c r="H1432" t="s">
        <v>20</v>
      </c>
      <c r="I1432" s="6" t="s">
        <v>814</v>
      </c>
      <c r="J1432" s="61" t="s">
        <v>22</v>
      </c>
      <c r="L1432" s="5" t="str">
        <f t="shared" si="337"/>
        <v>01431</v>
      </c>
      <c r="M1432" s="47" t="str">
        <f t="shared" si="338"/>
        <v>12 de septiembre de 2018</v>
      </c>
      <c r="N1432" s="323">
        <f t="shared" si="331"/>
        <v>12</v>
      </c>
      <c r="O1432" s="25">
        <f t="shared" si="339"/>
        <v>43344</v>
      </c>
      <c r="P1432" s="5" t="str">
        <f t="shared" si="341"/>
        <v>320,00</v>
      </c>
      <c r="Q1432" s="4" t="str">
        <f t="shared" si="342"/>
        <v>Trescientos Veinte Bolívares con 00/100</v>
      </c>
    </row>
    <row r="1433" spans="1:17" x14ac:dyDescent="0.25">
      <c r="A1433" s="1">
        <f t="shared" si="343"/>
        <v>1432</v>
      </c>
      <c r="C1433" s="8" t="s">
        <v>17</v>
      </c>
      <c r="D1433" s="2">
        <v>43356</v>
      </c>
      <c r="E1433" s="3">
        <v>320</v>
      </c>
      <c r="F1433" t="s">
        <v>122</v>
      </c>
      <c r="G1433" t="s">
        <v>123</v>
      </c>
      <c r="H1433" t="s">
        <v>124</v>
      </c>
      <c r="I1433" s="6" t="s">
        <v>810</v>
      </c>
      <c r="J1433" s="61" t="s">
        <v>22</v>
      </c>
      <c r="L1433" s="5" t="str">
        <f t="shared" si="337"/>
        <v>01432</v>
      </c>
      <c r="M1433" s="47" t="str">
        <f t="shared" si="338"/>
        <v>13 de septiembre de 2018</v>
      </c>
      <c r="N1433" s="323">
        <f t="shared" si="331"/>
        <v>13</v>
      </c>
      <c r="O1433" s="25">
        <f t="shared" si="339"/>
        <v>43344</v>
      </c>
      <c r="P1433" s="5" t="str">
        <f t="shared" si="341"/>
        <v>320,00</v>
      </c>
      <c r="Q1433" s="4" t="str">
        <f t="shared" si="342"/>
        <v>Trescientos Veinte Bolívares con 00/100</v>
      </c>
    </row>
    <row r="1434" spans="1:17" x14ac:dyDescent="0.25">
      <c r="A1434" s="1">
        <f t="shared" si="343"/>
        <v>1433</v>
      </c>
      <c r="C1434" s="8" t="s">
        <v>17</v>
      </c>
      <c r="D1434" s="2">
        <v>43357</v>
      </c>
      <c r="E1434" s="3">
        <v>500</v>
      </c>
      <c r="F1434" t="s">
        <v>90</v>
      </c>
      <c r="G1434" t="s">
        <v>91</v>
      </c>
      <c r="H1434" t="s">
        <v>92</v>
      </c>
      <c r="I1434" s="6" t="s">
        <v>815</v>
      </c>
      <c r="J1434" s="61" t="s">
        <v>22</v>
      </c>
      <c r="L1434" s="5" t="str">
        <f t="shared" si="337"/>
        <v>01433</v>
      </c>
      <c r="M1434" s="47" t="str">
        <f t="shared" si="338"/>
        <v>14 de septiembre de 2018</v>
      </c>
      <c r="N1434" s="323">
        <f t="shared" si="331"/>
        <v>14</v>
      </c>
      <c r="O1434" s="25">
        <f t="shared" si="339"/>
        <v>43344</v>
      </c>
      <c r="P1434" s="5" t="str">
        <f t="shared" si="341"/>
        <v>500,00</v>
      </c>
      <c r="Q1434" s="4" t="str">
        <f t="shared" si="342"/>
        <v>Quinientos Bolívares con 00/100</v>
      </c>
    </row>
    <row r="1435" spans="1:17" x14ac:dyDescent="0.25">
      <c r="A1435" s="1">
        <f t="shared" si="343"/>
        <v>1434</v>
      </c>
      <c r="C1435" s="8" t="s">
        <v>17</v>
      </c>
      <c r="D1435" s="2">
        <v>43357</v>
      </c>
      <c r="E1435" s="3">
        <v>320</v>
      </c>
      <c r="F1435" t="s">
        <v>284</v>
      </c>
      <c r="G1435" t="s">
        <v>687</v>
      </c>
      <c r="H1435" t="s">
        <v>285</v>
      </c>
      <c r="I1435" s="6" t="s">
        <v>810</v>
      </c>
      <c r="J1435" s="61" t="s">
        <v>22</v>
      </c>
      <c r="L1435" s="5" t="str">
        <f t="shared" si="337"/>
        <v>01434</v>
      </c>
      <c r="M1435" s="47" t="str">
        <f t="shared" si="338"/>
        <v>14 de septiembre de 2018</v>
      </c>
      <c r="N1435" s="323">
        <f t="shared" si="331"/>
        <v>14</v>
      </c>
      <c r="O1435" s="25">
        <f t="shared" si="339"/>
        <v>43344</v>
      </c>
      <c r="P1435" s="5" t="str">
        <f t="shared" si="341"/>
        <v>320,00</v>
      </c>
      <c r="Q1435" s="4" t="str">
        <f t="shared" si="342"/>
        <v>Trescientos Veinte Bolívares con 00/100</v>
      </c>
    </row>
    <row r="1436" spans="1:17" x14ac:dyDescent="0.25">
      <c r="A1436" s="1">
        <f t="shared" si="343"/>
        <v>1435</v>
      </c>
      <c r="C1436" s="8" t="s">
        <v>17</v>
      </c>
      <c r="D1436" s="2">
        <v>43358</v>
      </c>
      <c r="E1436" s="3">
        <v>320</v>
      </c>
      <c r="F1436" t="s">
        <v>239</v>
      </c>
      <c r="G1436" s="73" t="s">
        <v>240</v>
      </c>
      <c r="H1436" t="s">
        <v>241</v>
      </c>
      <c r="I1436" s="6" t="s">
        <v>810</v>
      </c>
      <c r="J1436" s="61" t="s">
        <v>22</v>
      </c>
      <c r="L1436" s="5" t="str">
        <f t="shared" si="337"/>
        <v>01435</v>
      </c>
      <c r="M1436" s="47" t="str">
        <f t="shared" si="338"/>
        <v>15 de septiembre de 2018</v>
      </c>
      <c r="N1436" s="323">
        <f t="shared" si="331"/>
        <v>15</v>
      </c>
      <c r="O1436" s="25">
        <f t="shared" si="339"/>
        <v>43344</v>
      </c>
      <c r="P1436" s="5" t="str">
        <f t="shared" si="341"/>
        <v>320,00</v>
      </c>
      <c r="Q1436" s="4" t="str">
        <f t="shared" si="342"/>
        <v>Trescientos Veinte Bolívares con 00/100</v>
      </c>
    </row>
    <row r="1437" spans="1:17" x14ac:dyDescent="0.25">
      <c r="A1437" s="1">
        <f t="shared" si="343"/>
        <v>1436</v>
      </c>
      <c r="C1437" s="8" t="s">
        <v>17</v>
      </c>
      <c r="D1437" s="2">
        <v>43359</v>
      </c>
      <c r="E1437" s="3">
        <v>350</v>
      </c>
      <c r="F1437" t="s">
        <v>248</v>
      </c>
      <c r="G1437" t="s">
        <v>249</v>
      </c>
      <c r="H1437" t="s">
        <v>250</v>
      </c>
      <c r="I1437" s="6" t="s">
        <v>816</v>
      </c>
      <c r="J1437" s="61" t="s">
        <v>22</v>
      </c>
      <c r="L1437" s="5" t="str">
        <f t="shared" si="337"/>
        <v>01436</v>
      </c>
      <c r="M1437" s="47" t="str">
        <f t="shared" si="338"/>
        <v>16 de septiembre de 2018</v>
      </c>
      <c r="N1437" s="323">
        <f t="shared" si="331"/>
        <v>16</v>
      </c>
      <c r="O1437" s="25">
        <f t="shared" si="339"/>
        <v>43344</v>
      </c>
      <c r="P1437" s="5" t="str">
        <f t="shared" si="341"/>
        <v>350,00</v>
      </c>
      <c r="Q1437" s="4" t="str">
        <f t="shared" si="342"/>
        <v>Trescientos Cincuenta Bolívares con 00/100</v>
      </c>
    </row>
    <row r="1438" spans="1:17" x14ac:dyDescent="0.25">
      <c r="A1438" s="1">
        <f t="shared" si="343"/>
        <v>1437</v>
      </c>
      <c r="C1438" s="8" t="s">
        <v>17</v>
      </c>
      <c r="D1438" s="2">
        <v>43360</v>
      </c>
      <c r="E1438" s="3">
        <v>320</v>
      </c>
      <c r="F1438" t="s">
        <v>785</v>
      </c>
      <c r="G1438" t="s">
        <v>786</v>
      </c>
      <c r="H1438" t="s">
        <v>719</v>
      </c>
      <c r="I1438" s="6" t="s">
        <v>810</v>
      </c>
      <c r="J1438" s="61" t="s">
        <v>22</v>
      </c>
      <c r="L1438" s="5" t="str">
        <f t="shared" si="337"/>
        <v>01437</v>
      </c>
      <c r="M1438" s="47" t="str">
        <f t="shared" si="338"/>
        <v>17 de septiembre de 2018</v>
      </c>
      <c r="N1438" s="323">
        <f t="shared" si="331"/>
        <v>17</v>
      </c>
      <c r="O1438" s="25">
        <f t="shared" si="339"/>
        <v>43344</v>
      </c>
      <c r="P1438" s="5" t="str">
        <f t="shared" si="341"/>
        <v>320,00</v>
      </c>
      <c r="Q1438" s="4" t="str">
        <f t="shared" si="342"/>
        <v>Trescientos Veinte Bolívares con 00/100</v>
      </c>
    </row>
    <row r="1439" spans="1:17" x14ac:dyDescent="0.25">
      <c r="A1439" s="1">
        <f t="shared" si="343"/>
        <v>1438</v>
      </c>
      <c r="C1439" s="85" t="s">
        <v>17</v>
      </c>
      <c r="D1439" s="2">
        <v>43361</v>
      </c>
      <c r="E1439" s="3">
        <f>10+12+320</f>
        <v>342</v>
      </c>
      <c r="F1439" t="s">
        <v>479</v>
      </c>
      <c r="G1439" s="18" t="s">
        <v>58</v>
      </c>
      <c r="H1439" t="s">
        <v>481</v>
      </c>
      <c r="I1439" s="6" t="s">
        <v>817</v>
      </c>
      <c r="J1439" s="61" t="s">
        <v>22</v>
      </c>
      <c r="L1439" s="5" t="str">
        <f t="shared" si="337"/>
        <v>01438</v>
      </c>
      <c r="M1439" s="47" t="str">
        <f t="shared" si="338"/>
        <v>18 de septiembre de 2018</v>
      </c>
      <c r="N1439" s="323">
        <f t="shared" si="331"/>
        <v>18</v>
      </c>
      <c r="O1439" s="25">
        <f t="shared" si="339"/>
        <v>43344</v>
      </c>
      <c r="P1439" s="5" t="str">
        <f t="shared" si="341"/>
        <v>342,00</v>
      </c>
      <c r="Q1439" s="4" t="str">
        <f t="shared" si="342"/>
        <v>Trescientos Cuarenta y Dos Bolívares con 00/100</v>
      </c>
    </row>
    <row r="1440" spans="1:17" x14ac:dyDescent="0.25">
      <c r="A1440" s="1">
        <f t="shared" si="343"/>
        <v>1439</v>
      </c>
      <c r="C1440" s="8" t="s">
        <v>17</v>
      </c>
      <c r="D1440" s="2">
        <v>43361</v>
      </c>
      <c r="E1440" s="3">
        <v>320</v>
      </c>
      <c r="F1440" t="s">
        <v>443</v>
      </c>
      <c r="G1440" t="s">
        <v>444</v>
      </c>
      <c r="H1440" t="s">
        <v>75</v>
      </c>
      <c r="I1440" s="6" t="s">
        <v>810</v>
      </c>
      <c r="J1440" s="61" t="s">
        <v>22</v>
      </c>
      <c r="L1440" s="5" t="str">
        <f t="shared" si="337"/>
        <v>01439</v>
      </c>
      <c r="M1440" s="47" t="str">
        <f t="shared" si="338"/>
        <v>18 de septiembre de 2018</v>
      </c>
      <c r="N1440" s="323">
        <f t="shared" si="331"/>
        <v>18</v>
      </c>
      <c r="O1440" s="25">
        <f t="shared" si="339"/>
        <v>43344</v>
      </c>
      <c r="P1440" s="5" t="str">
        <f t="shared" si="341"/>
        <v>320,00</v>
      </c>
      <c r="Q1440" s="4" t="str">
        <f t="shared" si="342"/>
        <v>Trescientos Veinte Bolívares con 00/100</v>
      </c>
    </row>
    <row r="1441" spans="1:17" x14ac:dyDescent="0.25">
      <c r="A1441" s="1">
        <f t="shared" si="343"/>
        <v>1440</v>
      </c>
      <c r="C1441" s="8" t="s">
        <v>17</v>
      </c>
      <c r="D1441" s="2">
        <v>43360</v>
      </c>
      <c r="E1441" s="3">
        <v>320</v>
      </c>
      <c r="F1441" t="s">
        <v>185</v>
      </c>
      <c r="G1441" t="s">
        <v>186</v>
      </c>
      <c r="H1441" t="s">
        <v>187</v>
      </c>
      <c r="I1441" s="6" t="s">
        <v>810</v>
      </c>
      <c r="J1441" s="61" t="s">
        <v>22</v>
      </c>
      <c r="L1441" s="5" t="str">
        <f t="shared" si="337"/>
        <v>01440</v>
      </c>
      <c r="M1441" s="47" t="str">
        <f t="shared" si="338"/>
        <v>17 de septiembre de 2018</v>
      </c>
      <c r="N1441" s="323">
        <f t="shared" si="331"/>
        <v>17</v>
      </c>
      <c r="O1441" s="25">
        <f t="shared" si="339"/>
        <v>43344</v>
      </c>
      <c r="P1441" s="5" t="str">
        <f t="shared" si="341"/>
        <v>320,00</v>
      </c>
      <c r="Q1441" s="4" t="str">
        <f t="shared" si="342"/>
        <v>Trescientos Veinte Bolívares con 00/100</v>
      </c>
    </row>
    <row r="1442" spans="1:17" x14ac:dyDescent="0.25">
      <c r="A1442" s="1">
        <f t="shared" si="343"/>
        <v>1441</v>
      </c>
      <c r="C1442" s="8" t="s">
        <v>17</v>
      </c>
      <c r="D1442" s="2">
        <v>43361</v>
      </c>
      <c r="E1442" s="3">
        <v>320</v>
      </c>
      <c r="F1442" t="s">
        <v>134</v>
      </c>
      <c r="G1442" t="s">
        <v>135</v>
      </c>
      <c r="H1442" t="s">
        <v>136</v>
      </c>
      <c r="I1442" s="6" t="s">
        <v>810</v>
      </c>
      <c r="J1442" s="61" t="s">
        <v>22</v>
      </c>
      <c r="L1442" s="5" t="str">
        <f t="shared" si="337"/>
        <v>01441</v>
      </c>
      <c r="M1442" s="47" t="str">
        <f t="shared" si="338"/>
        <v>18 de septiembre de 2018</v>
      </c>
      <c r="N1442" s="323">
        <f t="shared" si="331"/>
        <v>18</v>
      </c>
      <c r="O1442" s="25">
        <f t="shared" si="339"/>
        <v>43344</v>
      </c>
      <c r="P1442" s="5" t="str">
        <f t="shared" si="341"/>
        <v>320,00</v>
      </c>
      <c r="Q1442" s="4" t="str">
        <f t="shared" si="342"/>
        <v>Trescientos Veinte Bolívares con 00/100</v>
      </c>
    </row>
    <row r="1443" spans="1:17" x14ac:dyDescent="0.25">
      <c r="A1443" s="1">
        <f t="shared" si="343"/>
        <v>1442</v>
      </c>
      <c r="C1443" s="8" t="s">
        <v>17</v>
      </c>
      <c r="D1443" s="2">
        <v>43361</v>
      </c>
      <c r="E1443" s="3">
        <v>345.25</v>
      </c>
      <c r="F1443" t="s">
        <v>206</v>
      </c>
      <c r="G1443" t="s">
        <v>207</v>
      </c>
      <c r="H1443" t="s">
        <v>208</v>
      </c>
      <c r="I1443" s="6" t="s">
        <v>818</v>
      </c>
      <c r="J1443" s="61" t="s">
        <v>22</v>
      </c>
      <c r="L1443" s="5" t="str">
        <f t="shared" si="337"/>
        <v>01442</v>
      </c>
      <c r="M1443" s="47" t="str">
        <f t="shared" si="338"/>
        <v>18 de septiembre de 2018</v>
      </c>
      <c r="N1443" s="323">
        <f t="shared" si="331"/>
        <v>18</v>
      </c>
      <c r="O1443" s="25">
        <f t="shared" si="339"/>
        <v>43344</v>
      </c>
      <c r="P1443" s="5" t="str">
        <f t="shared" si="341"/>
        <v>345,25</v>
      </c>
      <c r="Q1443" s="4" t="str">
        <f t="shared" si="342"/>
        <v>Trescientos Cuarenta y Cinco Bolívares con 25/100</v>
      </c>
    </row>
    <row r="1444" spans="1:17" x14ac:dyDescent="0.25">
      <c r="A1444" s="1">
        <f t="shared" si="343"/>
        <v>1443</v>
      </c>
      <c r="C1444" s="85" t="s">
        <v>17</v>
      </c>
      <c r="D1444" s="2">
        <v>43361</v>
      </c>
      <c r="E1444" s="3">
        <v>601</v>
      </c>
      <c r="F1444" t="s">
        <v>40</v>
      </c>
      <c r="G1444" s="18" t="s">
        <v>58</v>
      </c>
      <c r="H1444" t="s">
        <v>42</v>
      </c>
      <c r="I1444" s="6" t="s">
        <v>819</v>
      </c>
      <c r="J1444" s="61" t="s">
        <v>22</v>
      </c>
      <c r="L1444" s="5" t="str">
        <f t="shared" si="337"/>
        <v>01443</v>
      </c>
      <c r="M1444" s="47" t="str">
        <f t="shared" si="338"/>
        <v>18 de septiembre de 2018</v>
      </c>
      <c r="N1444" s="323">
        <f t="shared" si="331"/>
        <v>18</v>
      </c>
      <c r="O1444" s="25">
        <f t="shared" si="339"/>
        <v>43344</v>
      </c>
      <c r="P1444" s="5" t="str">
        <f t="shared" si="341"/>
        <v>601,00</v>
      </c>
      <c r="Q1444" s="4" t="str">
        <f t="shared" si="342"/>
        <v>Seiscientos Un Bolívares con 00/100</v>
      </c>
    </row>
    <row r="1445" spans="1:17" x14ac:dyDescent="0.25">
      <c r="A1445" s="1">
        <f t="shared" si="343"/>
        <v>1444</v>
      </c>
      <c r="C1445" s="8" t="s">
        <v>17</v>
      </c>
      <c r="D1445" s="2">
        <v>43362</v>
      </c>
      <c r="E1445" s="3">
        <v>465</v>
      </c>
      <c r="F1445" s="23" t="s">
        <v>422</v>
      </c>
      <c r="G1445" s="18" t="s">
        <v>58</v>
      </c>
      <c r="H1445" t="s">
        <v>423</v>
      </c>
      <c r="I1445" s="6" t="s">
        <v>810</v>
      </c>
      <c r="J1445" s="61" t="s">
        <v>22</v>
      </c>
      <c r="L1445" s="5" t="str">
        <f t="shared" si="337"/>
        <v>01444</v>
      </c>
      <c r="M1445" s="47" t="str">
        <f t="shared" si="338"/>
        <v>19 de septiembre de 2018</v>
      </c>
      <c r="N1445" s="323">
        <f t="shared" si="331"/>
        <v>19</v>
      </c>
      <c r="O1445" s="25">
        <f t="shared" si="339"/>
        <v>43344</v>
      </c>
      <c r="P1445" s="5" t="str">
        <f t="shared" si="341"/>
        <v>465,00</v>
      </c>
      <c r="Q1445" s="4" t="str">
        <f t="shared" si="342"/>
        <v>Cuatrocientos Sesenta y Cinco Bolívares con 00/100</v>
      </c>
    </row>
    <row r="1446" spans="1:17" x14ac:dyDescent="0.25">
      <c r="A1446" s="1">
        <f t="shared" si="343"/>
        <v>1445</v>
      </c>
      <c r="C1446" s="8" t="s">
        <v>17</v>
      </c>
      <c r="D1446" s="2">
        <v>43362</v>
      </c>
      <c r="E1446" s="3">
        <v>320</v>
      </c>
      <c r="F1446" t="s">
        <v>633</v>
      </c>
      <c r="G1446" t="s">
        <v>634</v>
      </c>
      <c r="H1446" t="s">
        <v>635</v>
      </c>
      <c r="I1446" s="6" t="s">
        <v>810</v>
      </c>
      <c r="J1446" s="61" t="s">
        <v>22</v>
      </c>
      <c r="L1446" s="5" t="str">
        <f t="shared" si="337"/>
        <v>01445</v>
      </c>
      <c r="M1446" s="47" t="str">
        <f t="shared" si="338"/>
        <v>19 de septiembre de 2018</v>
      </c>
      <c r="N1446" s="323">
        <f t="shared" si="331"/>
        <v>19</v>
      </c>
      <c r="O1446" s="25">
        <f t="shared" si="339"/>
        <v>43344</v>
      </c>
      <c r="P1446" s="5" t="str">
        <f t="shared" si="341"/>
        <v>320,00</v>
      </c>
      <c r="Q1446" s="4" t="str">
        <f t="shared" si="342"/>
        <v>Trescientos Veinte Bolívares con 00/100</v>
      </c>
    </row>
    <row r="1447" spans="1:17" x14ac:dyDescent="0.25">
      <c r="A1447" s="1">
        <f t="shared" si="343"/>
        <v>1446</v>
      </c>
      <c r="C1447" s="8" t="s">
        <v>17</v>
      </c>
      <c r="D1447" s="2">
        <v>43364</v>
      </c>
      <c r="E1447" s="3">
        <v>320</v>
      </c>
      <c r="F1447" t="s">
        <v>84</v>
      </c>
      <c r="G1447" t="s">
        <v>85</v>
      </c>
      <c r="H1447" t="s">
        <v>86</v>
      </c>
      <c r="I1447" s="6" t="s">
        <v>810</v>
      </c>
      <c r="J1447" s="61" t="s">
        <v>22</v>
      </c>
      <c r="L1447" s="5" t="str">
        <f t="shared" si="337"/>
        <v>01446</v>
      </c>
      <c r="M1447" s="47" t="str">
        <f t="shared" si="338"/>
        <v>21 de septiembre de 2018</v>
      </c>
      <c r="N1447" s="323">
        <f t="shared" si="331"/>
        <v>21</v>
      </c>
      <c r="O1447" s="25">
        <f t="shared" si="339"/>
        <v>43344</v>
      </c>
      <c r="P1447" s="5" t="str">
        <f t="shared" si="341"/>
        <v>320,00</v>
      </c>
      <c r="Q1447" s="4" t="str">
        <f t="shared" si="342"/>
        <v>Trescientos Veinte Bolívares con 00/100</v>
      </c>
    </row>
    <row r="1448" spans="1:17" x14ac:dyDescent="0.25">
      <c r="A1448" s="1">
        <f t="shared" si="343"/>
        <v>1447</v>
      </c>
      <c r="C1448" s="8" t="s">
        <v>17</v>
      </c>
      <c r="D1448" s="2">
        <v>43364</v>
      </c>
      <c r="E1448" s="3">
        <v>160</v>
      </c>
      <c r="F1448" t="s">
        <v>334</v>
      </c>
      <c r="G1448" t="s">
        <v>85</v>
      </c>
      <c r="H1448" t="s">
        <v>335</v>
      </c>
      <c r="I1448" s="6" t="s">
        <v>820</v>
      </c>
      <c r="J1448" s="61" t="s">
        <v>22</v>
      </c>
      <c r="L1448" s="5" t="str">
        <f t="shared" si="337"/>
        <v>01447</v>
      </c>
      <c r="M1448" s="47" t="str">
        <f t="shared" si="338"/>
        <v>21 de septiembre de 2018</v>
      </c>
      <c r="N1448" s="323">
        <f t="shared" si="331"/>
        <v>21</v>
      </c>
      <c r="O1448" s="25">
        <f t="shared" si="339"/>
        <v>43344</v>
      </c>
      <c r="P1448" s="5" t="str">
        <f t="shared" si="341"/>
        <v>160,00</v>
      </c>
      <c r="Q1448" s="4" t="str">
        <f t="shared" si="342"/>
        <v>Ciento Sesenta Bolívares con 00/100</v>
      </c>
    </row>
    <row r="1449" spans="1:17" x14ac:dyDescent="0.25">
      <c r="A1449" s="1">
        <f t="shared" si="343"/>
        <v>1448</v>
      </c>
      <c r="C1449" s="8" t="s">
        <v>17</v>
      </c>
      <c r="D1449" s="2">
        <v>43365</v>
      </c>
      <c r="E1449" s="3">
        <v>320</v>
      </c>
      <c r="F1449" t="s">
        <v>103</v>
      </c>
      <c r="G1449" t="s">
        <v>104</v>
      </c>
      <c r="H1449" t="s">
        <v>105</v>
      </c>
      <c r="I1449" s="6" t="s">
        <v>810</v>
      </c>
      <c r="J1449" s="61" t="s">
        <v>22</v>
      </c>
      <c r="L1449" s="5" t="str">
        <f t="shared" si="337"/>
        <v>01448</v>
      </c>
      <c r="M1449" s="47" t="str">
        <f t="shared" si="338"/>
        <v>22 de septiembre de 2018</v>
      </c>
      <c r="N1449" s="323">
        <f t="shared" si="331"/>
        <v>22</v>
      </c>
      <c r="O1449" s="25">
        <f t="shared" si="339"/>
        <v>43344</v>
      </c>
      <c r="P1449" s="5" t="str">
        <f t="shared" si="341"/>
        <v>320,00</v>
      </c>
      <c r="Q1449" s="4" t="str">
        <f t="shared" si="342"/>
        <v>Trescientos Veinte Bolívares con 00/100</v>
      </c>
    </row>
    <row r="1450" spans="1:17" x14ac:dyDescent="0.25">
      <c r="A1450" s="1">
        <f t="shared" si="343"/>
        <v>1449</v>
      </c>
      <c r="C1450" s="8" t="s">
        <v>17</v>
      </c>
      <c r="D1450" s="2">
        <v>43367</v>
      </c>
      <c r="E1450" s="3">
        <v>320</v>
      </c>
      <c r="F1450" t="s">
        <v>537</v>
      </c>
      <c r="G1450" t="s">
        <v>538</v>
      </c>
      <c r="H1450" t="s">
        <v>539</v>
      </c>
      <c r="I1450" s="6" t="s">
        <v>810</v>
      </c>
      <c r="J1450" s="61" t="s">
        <v>22</v>
      </c>
      <c r="L1450" s="5" t="str">
        <f t="shared" si="337"/>
        <v>01449</v>
      </c>
      <c r="M1450" s="47" t="str">
        <f t="shared" si="338"/>
        <v>24 de septiembre de 2018</v>
      </c>
      <c r="N1450" s="323">
        <f t="shared" si="331"/>
        <v>24</v>
      </c>
      <c r="O1450" s="25">
        <f t="shared" si="339"/>
        <v>43344</v>
      </c>
      <c r="P1450" s="5" t="str">
        <f t="shared" si="341"/>
        <v>320,00</v>
      </c>
      <c r="Q1450" s="4" t="str">
        <f t="shared" si="342"/>
        <v>Trescientos Veinte Bolívares con 00/100</v>
      </c>
    </row>
    <row r="1451" spans="1:17" x14ac:dyDescent="0.25">
      <c r="A1451" s="1">
        <f t="shared" si="343"/>
        <v>1450</v>
      </c>
      <c r="C1451" s="8" t="s">
        <v>17</v>
      </c>
      <c r="D1451" s="2">
        <v>43341</v>
      </c>
      <c r="E1451" s="3">
        <v>12</v>
      </c>
      <c r="F1451" t="s">
        <v>264</v>
      </c>
      <c r="G1451" t="s">
        <v>265</v>
      </c>
      <c r="H1451" t="s">
        <v>266</v>
      </c>
      <c r="I1451" s="6" t="s">
        <v>787</v>
      </c>
      <c r="J1451" s="61" t="s">
        <v>22</v>
      </c>
      <c r="L1451" s="5" t="str">
        <f t="shared" si="337"/>
        <v>01450</v>
      </c>
      <c r="M1451" s="47" t="str">
        <f t="shared" si="338"/>
        <v>29 de agosto de 2018</v>
      </c>
      <c r="N1451" s="323">
        <f t="shared" si="331"/>
        <v>29</v>
      </c>
      <c r="O1451" s="25">
        <f t="shared" si="339"/>
        <v>43313</v>
      </c>
      <c r="P1451" s="5" t="str">
        <f t="shared" si="341"/>
        <v>12,00</v>
      </c>
      <c r="Q1451" s="4" t="str">
        <f t="shared" si="342"/>
        <v>Doce Bolívares con 00/100</v>
      </c>
    </row>
    <row r="1452" spans="1:17" x14ac:dyDescent="0.25">
      <c r="A1452" s="1">
        <f t="shared" si="343"/>
        <v>1451</v>
      </c>
      <c r="C1452" s="8" t="s">
        <v>17</v>
      </c>
      <c r="D1452" s="2">
        <v>43368</v>
      </c>
      <c r="E1452" s="3">
        <v>320</v>
      </c>
      <c r="F1452" t="s">
        <v>264</v>
      </c>
      <c r="G1452" t="s">
        <v>265</v>
      </c>
      <c r="H1452" t="s">
        <v>266</v>
      </c>
      <c r="I1452" s="6" t="s">
        <v>810</v>
      </c>
      <c r="J1452" s="61" t="s">
        <v>22</v>
      </c>
      <c r="L1452" s="5" t="str">
        <f t="shared" si="337"/>
        <v>01451</v>
      </c>
      <c r="M1452" s="47" t="str">
        <f t="shared" si="338"/>
        <v>25 de septiembre de 2018</v>
      </c>
      <c r="N1452" s="323">
        <f t="shared" si="331"/>
        <v>25</v>
      </c>
      <c r="O1452" s="25">
        <f t="shared" si="339"/>
        <v>43344</v>
      </c>
      <c r="P1452" s="5" t="str">
        <f t="shared" si="341"/>
        <v>320,00</v>
      </c>
      <c r="Q1452" s="4" t="str">
        <f t="shared" si="342"/>
        <v>Trescientos Veinte Bolívares con 00/100</v>
      </c>
    </row>
    <row r="1453" spans="1:17" x14ac:dyDescent="0.25">
      <c r="A1453" s="1">
        <f t="shared" si="343"/>
        <v>1452</v>
      </c>
      <c r="C1453" s="8" t="s">
        <v>17</v>
      </c>
      <c r="D1453" s="2">
        <v>43368</v>
      </c>
      <c r="E1453" s="3">
        <v>320</v>
      </c>
      <c r="F1453" t="s">
        <v>144</v>
      </c>
      <c r="G1453" t="s">
        <v>661</v>
      </c>
      <c r="H1453" t="s">
        <v>146</v>
      </c>
      <c r="I1453" s="6" t="s">
        <v>810</v>
      </c>
      <c r="J1453" s="61" t="s">
        <v>22</v>
      </c>
      <c r="L1453" s="5" t="str">
        <f t="shared" si="337"/>
        <v>01452</v>
      </c>
      <c r="M1453" s="47" t="str">
        <f t="shared" si="338"/>
        <v>25 de septiembre de 2018</v>
      </c>
      <c r="N1453" s="323">
        <f t="shared" si="331"/>
        <v>25</v>
      </c>
      <c r="O1453" s="25">
        <f t="shared" si="339"/>
        <v>43344</v>
      </c>
      <c r="P1453" s="5" t="str">
        <f t="shared" si="341"/>
        <v>320,00</v>
      </c>
      <c r="Q1453" s="4" t="str">
        <f t="shared" si="342"/>
        <v>Trescientos Veinte Bolívares con 00/100</v>
      </c>
    </row>
    <row r="1454" spans="1:17" x14ac:dyDescent="0.25">
      <c r="A1454" s="1">
        <f t="shared" si="343"/>
        <v>1453</v>
      </c>
      <c r="C1454" s="8" t="s">
        <v>17</v>
      </c>
      <c r="D1454" s="2">
        <v>43368</v>
      </c>
      <c r="E1454" s="3">
        <v>320</v>
      </c>
      <c r="F1454" t="s">
        <v>219</v>
      </c>
      <c r="G1454" t="s">
        <v>220</v>
      </c>
      <c r="H1454" t="s">
        <v>221</v>
      </c>
      <c r="I1454" s="6" t="s">
        <v>821</v>
      </c>
      <c r="J1454" s="61" t="s">
        <v>22</v>
      </c>
      <c r="L1454" s="5" t="str">
        <f t="shared" si="337"/>
        <v>01453</v>
      </c>
      <c r="M1454" s="47" t="str">
        <f t="shared" si="338"/>
        <v>25 de septiembre de 2018</v>
      </c>
      <c r="N1454" s="323">
        <f t="shared" si="331"/>
        <v>25</v>
      </c>
      <c r="O1454" s="25">
        <f t="shared" si="339"/>
        <v>43344</v>
      </c>
      <c r="P1454" s="5" t="str">
        <f t="shared" si="341"/>
        <v>320,00</v>
      </c>
      <c r="Q1454" s="4" t="str">
        <f t="shared" si="342"/>
        <v>Trescientos Veinte Bolívares con 00/100</v>
      </c>
    </row>
    <row r="1455" spans="1:17" x14ac:dyDescent="0.25">
      <c r="A1455" s="1">
        <f t="shared" si="343"/>
        <v>1454</v>
      </c>
      <c r="C1455" s="8" t="s">
        <v>17</v>
      </c>
      <c r="D1455" s="2">
        <v>43368</v>
      </c>
      <c r="E1455" s="3">
        <v>320</v>
      </c>
      <c r="F1455" t="s">
        <v>243</v>
      </c>
      <c r="G1455" t="s">
        <v>244</v>
      </c>
      <c r="H1455" t="s">
        <v>245</v>
      </c>
      <c r="I1455" s="6" t="s">
        <v>810</v>
      </c>
      <c r="J1455" s="61" t="s">
        <v>22</v>
      </c>
      <c r="L1455" s="5" t="str">
        <f>IF(ISBLANK(A1455),"",TEXT(A1455,"00000"))</f>
        <v>01454</v>
      </c>
      <c r="M1455" s="47" t="str">
        <f>IF(ISBLANK(D1455),"",TEXT(D1455,"dd")&amp;" de "&amp;TEXT(D1455,"mmmm")&amp;" de "&amp;TEXT(YEAR(D1455),"0"))</f>
        <v>25 de septiembre de 2018</v>
      </c>
      <c r="N1455" s="323">
        <f t="shared" si="331"/>
        <v>25</v>
      </c>
      <c r="O1455" s="25">
        <f>DATE(YEAR(D1455),MONTH(D1455),1)</f>
        <v>43344</v>
      </c>
      <c r="P1455" s="5" t="str">
        <f t="shared" si="341"/>
        <v>320,00</v>
      </c>
      <c r="Q1455" s="4" t="str">
        <f t="shared" si="342"/>
        <v>Trescientos Veinte Bolívares con 00/100</v>
      </c>
    </row>
    <row r="1456" spans="1:17" x14ac:dyDescent="0.25">
      <c r="A1456" s="1">
        <f t="shared" si="343"/>
        <v>1455</v>
      </c>
      <c r="C1456" s="8" t="s">
        <v>17</v>
      </c>
      <c r="D1456" s="2">
        <v>43368</v>
      </c>
      <c r="E1456" s="3">
        <v>320</v>
      </c>
      <c r="F1456" t="s">
        <v>312</v>
      </c>
      <c r="G1456" t="s">
        <v>313</v>
      </c>
      <c r="H1456" t="s">
        <v>314</v>
      </c>
      <c r="I1456" s="6" t="s">
        <v>810</v>
      </c>
      <c r="J1456" s="61" t="s">
        <v>22</v>
      </c>
      <c r="L1456" s="5" t="str">
        <f t="shared" ref="L1456:L1469" si="344">IF(ISBLANK(A1456),"",TEXT(A1456,"00000"))</f>
        <v>01455</v>
      </c>
      <c r="M1456" s="47" t="str">
        <f t="shared" ref="M1456:M1469" si="345">IF(ISBLANK(D1456),"",TEXT(D1456,"dd")&amp;" de "&amp;TEXT(D1456,"mmmm")&amp;" de "&amp;TEXT(YEAR(D1456),"0"))</f>
        <v>25 de septiembre de 2018</v>
      </c>
      <c r="N1456" s="323">
        <f t="shared" si="331"/>
        <v>25</v>
      </c>
      <c r="O1456" s="25">
        <f t="shared" ref="O1456:O1469" si="346">DATE(YEAR(D1456),MONTH(D1456),1)</f>
        <v>43344</v>
      </c>
      <c r="P1456" s="5" t="str">
        <f t="shared" si="341"/>
        <v>320,00</v>
      </c>
      <c r="Q1456" s="4" t="str">
        <f t="shared" si="342"/>
        <v>Trescientos Veinte Bolívares con 00/100</v>
      </c>
    </row>
    <row r="1457" spans="1:17" x14ac:dyDescent="0.25">
      <c r="A1457" s="1">
        <f t="shared" si="343"/>
        <v>1456</v>
      </c>
      <c r="C1457" s="8" t="s">
        <v>17</v>
      </c>
      <c r="D1457" s="2">
        <v>43276</v>
      </c>
      <c r="E1457" s="3">
        <v>320</v>
      </c>
      <c r="F1457" t="s">
        <v>259</v>
      </c>
      <c r="G1457" s="18" t="s">
        <v>58</v>
      </c>
      <c r="H1457" t="s">
        <v>261</v>
      </c>
      <c r="I1457" s="6" t="s">
        <v>810</v>
      </c>
      <c r="J1457" s="61" t="s">
        <v>22</v>
      </c>
      <c r="L1457" s="5" t="str">
        <f t="shared" si="344"/>
        <v>01456</v>
      </c>
      <c r="M1457" s="47" t="str">
        <f t="shared" si="345"/>
        <v>25 de junio de 2018</v>
      </c>
      <c r="N1457" s="323">
        <f t="shared" si="331"/>
        <v>25</v>
      </c>
      <c r="O1457" s="25">
        <f t="shared" si="346"/>
        <v>43252</v>
      </c>
      <c r="P1457" s="5" t="str">
        <f t="shared" si="341"/>
        <v>320,00</v>
      </c>
      <c r="Q1457" s="4" t="str">
        <f t="shared" si="342"/>
        <v>Trescientos Veinte Bolívares con 00/100</v>
      </c>
    </row>
    <row r="1458" spans="1:17" x14ac:dyDescent="0.25">
      <c r="A1458" s="1">
        <f t="shared" si="343"/>
        <v>1457</v>
      </c>
      <c r="C1458" s="8" t="s">
        <v>17</v>
      </c>
      <c r="D1458" s="2">
        <v>43370</v>
      </c>
      <c r="E1458" s="3">
        <v>320</v>
      </c>
      <c r="F1458" t="s">
        <v>181</v>
      </c>
      <c r="G1458" t="s">
        <v>182</v>
      </c>
      <c r="H1458" t="s">
        <v>183</v>
      </c>
      <c r="I1458" s="6" t="s">
        <v>810</v>
      </c>
      <c r="J1458" s="61" t="s">
        <v>22</v>
      </c>
      <c r="L1458" s="5" t="str">
        <f t="shared" si="344"/>
        <v>01457</v>
      </c>
      <c r="M1458" s="47" t="str">
        <f t="shared" si="345"/>
        <v>27 de septiembre de 2018</v>
      </c>
      <c r="N1458" s="323">
        <f t="shared" si="331"/>
        <v>27</v>
      </c>
      <c r="O1458" s="25">
        <f t="shared" si="346"/>
        <v>43344</v>
      </c>
      <c r="P1458" s="5" t="str">
        <f t="shared" si="341"/>
        <v>320,00</v>
      </c>
      <c r="Q1458" s="4" t="str">
        <f t="shared" si="342"/>
        <v>Trescientos Veinte Bolívares con 00/100</v>
      </c>
    </row>
    <row r="1459" spans="1:17" x14ac:dyDescent="0.25">
      <c r="A1459" s="1">
        <f t="shared" si="343"/>
        <v>1458</v>
      </c>
      <c r="C1459" s="8" t="s">
        <v>17</v>
      </c>
      <c r="D1459" s="2">
        <v>43370</v>
      </c>
      <c r="E1459" s="3">
        <v>320</v>
      </c>
      <c r="F1459" t="s">
        <v>558</v>
      </c>
      <c r="G1459" t="s">
        <v>559</v>
      </c>
      <c r="H1459" t="s">
        <v>560</v>
      </c>
      <c r="I1459" s="6" t="s">
        <v>810</v>
      </c>
      <c r="J1459" s="61" t="s">
        <v>22</v>
      </c>
      <c r="L1459" s="5" t="str">
        <f t="shared" si="344"/>
        <v>01458</v>
      </c>
      <c r="M1459" s="47" t="str">
        <f t="shared" si="345"/>
        <v>27 de septiembre de 2018</v>
      </c>
      <c r="N1459" s="323">
        <f t="shared" si="331"/>
        <v>27</v>
      </c>
      <c r="O1459" s="25">
        <f t="shared" si="346"/>
        <v>43344</v>
      </c>
      <c r="P1459" s="5" t="str">
        <f t="shared" si="341"/>
        <v>320,00</v>
      </c>
      <c r="Q1459" s="4" t="str">
        <f t="shared" si="342"/>
        <v>Trescientos Veinte Bolívares con 00/100</v>
      </c>
    </row>
    <row r="1460" spans="1:17" x14ac:dyDescent="0.25">
      <c r="A1460" s="1">
        <f t="shared" si="343"/>
        <v>1459</v>
      </c>
      <c r="C1460" s="8" t="s">
        <v>17</v>
      </c>
      <c r="D1460" s="2">
        <v>43370</v>
      </c>
      <c r="E1460" s="3">
        <v>320</v>
      </c>
      <c r="F1460" t="s">
        <v>211</v>
      </c>
      <c r="G1460" t="s">
        <v>212</v>
      </c>
      <c r="H1460" t="s">
        <v>213</v>
      </c>
      <c r="I1460" s="6" t="s">
        <v>810</v>
      </c>
      <c r="J1460" s="61" t="s">
        <v>22</v>
      </c>
      <c r="L1460" s="5" t="str">
        <f t="shared" si="344"/>
        <v>01459</v>
      </c>
      <c r="M1460" s="47" t="str">
        <f t="shared" si="345"/>
        <v>27 de septiembre de 2018</v>
      </c>
      <c r="N1460" s="323">
        <f t="shared" si="331"/>
        <v>27</v>
      </c>
      <c r="O1460" s="25">
        <f t="shared" si="346"/>
        <v>43344</v>
      </c>
      <c r="P1460" s="5" t="str">
        <f t="shared" si="341"/>
        <v>320,00</v>
      </c>
      <c r="Q1460" s="4" t="str">
        <f t="shared" si="342"/>
        <v>Trescientos Veinte Bolívares con 00/100</v>
      </c>
    </row>
    <row r="1461" spans="1:17" x14ac:dyDescent="0.25">
      <c r="A1461" s="1">
        <f t="shared" si="343"/>
        <v>1460</v>
      </c>
      <c r="C1461" s="8" t="s">
        <v>17</v>
      </c>
      <c r="D1461" s="2">
        <v>43370</v>
      </c>
      <c r="E1461" s="3">
        <v>320</v>
      </c>
      <c r="F1461" t="s">
        <v>197</v>
      </c>
      <c r="G1461" t="s">
        <v>198</v>
      </c>
      <c r="H1461" t="s">
        <v>199</v>
      </c>
      <c r="I1461" s="6" t="s">
        <v>810</v>
      </c>
      <c r="J1461" s="61" t="s">
        <v>22</v>
      </c>
      <c r="L1461" s="5" t="str">
        <f t="shared" si="344"/>
        <v>01460</v>
      </c>
      <c r="M1461" s="47" t="str">
        <f t="shared" si="345"/>
        <v>27 de septiembre de 2018</v>
      </c>
      <c r="N1461" s="323">
        <f t="shared" si="331"/>
        <v>27</v>
      </c>
      <c r="O1461" s="25">
        <f t="shared" si="346"/>
        <v>43344</v>
      </c>
      <c r="P1461" s="5" t="str">
        <f t="shared" si="341"/>
        <v>320,00</v>
      </c>
      <c r="Q1461" s="4" t="str">
        <f t="shared" si="342"/>
        <v>Trescientos Veinte Bolívares con 00/100</v>
      </c>
    </row>
    <row r="1462" spans="1:17" x14ac:dyDescent="0.25">
      <c r="A1462" s="1">
        <f t="shared" si="343"/>
        <v>1461</v>
      </c>
      <c r="C1462" s="8" t="s">
        <v>17</v>
      </c>
      <c r="D1462" s="2">
        <v>43372</v>
      </c>
      <c r="E1462" s="3">
        <v>320</v>
      </c>
      <c r="F1462" t="s">
        <v>401</v>
      </c>
      <c r="G1462" t="s">
        <v>402</v>
      </c>
      <c r="H1462" t="s">
        <v>403</v>
      </c>
      <c r="I1462" s="6" t="s">
        <v>810</v>
      </c>
      <c r="J1462" s="61" t="s">
        <v>22</v>
      </c>
      <c r="L1462" s="5" t="str">
        <f t="shared" si="344"/>
        <v>01461</v>
      </c>
      <c r="M1462" s="47" t="str">
        <f t="shared" si="345"/>
        <v>29 de septiembre de 2018</v>
      </c>
      <c r="N1462" s="323">
        <f t="shared" si="331"/>
        <v>29</v>
      </c>
      <c r="O1462" s="25">
        <f t="shared" si="346"/>
        <v>43344</v>
      </c>
      <c r="P1462" s="5" t="str">
        <f t="shared" si="341"/>
        <v>320,00</v>
      </c>
      <c r="Q1462" s="4" t="str">
        <f t="shared" si="342"/>
        <v>Trescientos Veinte Bolívares con 00/100</v>
      </c>
    </row>
    <row r="1463" spans="1:17" x14ac:dyDescent="0.25">
      <c r="A1463" s="1">
        <f t="shared" si="343"/>
        <v>1462</v>
      </c>
      <c r="C1463" s="8" t="s">
        <v>17</v>
      </c>
      <c r="D1463" s="2">
        <v>43373</v>
      </c>
      <c r="E1463" s="3">
        <v>100</v>
      </c>
      <c r="F1463" t="s">
        <v>433</v>
      </c>
      <c r="G1463" t="s">
        <v>434</v>
      </c>
      <c r="H1463" t="s">
        <v>435</v>
      </c>
      <c r="I1463" s="6" t="s">
        <v>822</v>
      </c>
      <c r="J1463" s="61" t="s">
        <v>22</v>
      </c>
      <c r="L1463" s="5" t="str">
        <f t="shared" si="344"/>
        <v>01462</v>
      </c>
      <c r="M1463" s="47" t="str">
        <f t="shared" si="345"/>
        <v>30 de septiembre de 2018</v>
      </c>
      <c r="N1463" s="323">
        <f t="shared" ref="N1463:N1472" si="347">DAY(D1463)</f>
        <v>30</v>
      </c>
      <c r="O1463" s="25">
        <f t="shared" si="346"/>
        <v>43344</v>
      </c>
      <c r="P1463" s="5" t="str">
        <f t="shared" ref="P1463:P1472" si="348">TEXT(E1463,"#.##0,00")</f>
        <v>100,00</v>
      </c>
      <c r="Q1463" s="4" t="str">
        <f t="shared" ref="Q1463:Q1467" si="349">CONVERTIRNUM(E1463)</f>
        <v>Cien Bolívares con 00/100</v>
      </c>
    </row>
    <row r="1464" spans="1:17" x14ac:dyDescent="0.25">
      <c r="A1464" s="1">
        <f t="shared" si="343"/>
        <v>1463</v>
      </c>
      <c r="C1464" s="8" t="s">
        <v>17</v>
      </c>
      <c r="D1464" s="2">
        <v>43375</v>
      </c>
      <c r="E1464" s="3">
        <v>270</v>
      </c>
      <c r="F1464" t="s">
        <v>28</v>
      </c>
      <c r="G1464" t="s">
        <v>716</v>
      </c>
      <c r="H1464" t="s">
        <v>30</v>
      </c>
      <c r="I1464" s="6" t="s">
        <v>822</v>
      </c>
      <c r="J1464" s="61" t="s">
        <v>22</v>
      </c>
      <c r="L1464" s="5" t="str">
        <f t="shared" si="344"/>
        <v>01463</v>
      </c>
      <c r="M1464" s="47" t="str">
        <f t="shared" si="345"/>
        <v>02 de octubre de 2018</v>
      </c>
      <c r="N1464" s="323">
        <f t="shared" si="347"/>
        <v>2</v>
      </c>
      <c r="O1464" s="25">
        <f t="shared" si="346"/>
        <v>43374</v>
      </c>
      <c r="P1464" s="5" t="str">
        <f t="shared" si="348"/>
        <v>270,00</v>
      </c>
      <c r="Q1464" s="4" t="str">
        <f t="shared" si="349"/>
        <v>Doscientos Setenta Bolívares con 00/100</v>
      </c>
    </row>
    <row r="1465" spans="1:17" x14ac:dyDescent="0.25">
      <c r="A1465" s="1">
        <f t="shared" si="343"/>
        <v>1464</v>
      </c>
      <c r="C1465" s="8" t="s">
        <v>17</v>
      </c>
      <c r="D1465" s="2">
        <v>43376</v>
      </c>
      <c r="E1465" s="3">
        <v>320</v>
      </c>
      <c r="F1465" t="s">
        <v>48</v>
      </c>
      <c r="G1465" t="s">
        <v>49</v>
      </c>
      <c r="H1465" t="s">
        <v>50</v>
      </c>
      <c r="I1465" s="6" t="s">
        <v>823</v>
      </c>
      <c r="J1465" s="61" t="s">
        <v>22</v>
      </c>
      <c r="L1465" s="5" t="str">
        <f t="shared" si="344"/>
        <v>01464</v>
      </c>
      <c r="M1465" s="47" t="str">
        <f t="shared" si="345"/>
        <v>03 de octubre de 2018</v>
      </c>
      <c r="N1465" s="323">
        <f t="shared" si="347"/>
        <v>3</v>
      </c>
      <c r="O1465" s="25">
        <f t="shared" si="346"/>
        <v>43374</v>
      </c>
      <c r="P1465" s="5" t="str">
        <f t="shared" si="348"/>
        <v>320,00</v>
      </c>
      <c r="Q1465" s="4" t="str">
        <f t="shared" si="349"/>
        <v>Trescientos Veinte Bolívares con 00/100</v>
      </c>
    </row>
    <row r="1466" spans="1:17" x14ac:dyDescent="0.25">
      <c r="A1466" s="1">
        <f t="shared" si="343"/>
        <v>1465</v>
      </c>
      <c r="C1466" s="8" t="s">
        <v>17</v>
      </c>
      <c r="D1466" s="2">
        <v>43376</v>
      </c>
      <c r="E1466" s="3">
        <v>320</v>
      </c>
      <c r="F1466" t="s">
        <v>138</v>
      </c>
      <c r="G1466" t="s">
        <v>139</v>
      </c>
      <c r="H1466" t="s">
        <v>140</v>
      </c>
      <c r="I1466" s="6" t="s">
        <v>810</v>
      </c>
      <c r="J1466" s="61" t="s">
        <v>22</v>
      </c>
      <c r="L1466" s="5" t="str">
        <f t="shared" si="344"/>
        <v>01465</v>
      </c>
      <c r="M1466" s="47" t="str">
        <f t="shared" si="345"/>
        <v>03 de octubre de 2018</v>
      </c>
      <c r="N1466" s="323">
        <f t="shared" si="347"/>
        <v>3</v>
      </c>
      <c r="O1466" s="25">
        <f t="shared" si="346"/>
        <v>43374</v>
      </c>
      <c r="P1466" s="5" t="str">
        <f t="shared" si="348"/>
        <v>320,00</v>
      </c>
      <c r="Q1466" s="4" t="str">
        <f t="shared" si="349"/>
        <v>Trescientos Veinte Bolívares con 00/100</v>
      </c>
    </row>
    <row r="1467" spans="1:17" x14ac:dyDescent="0.25">
      <c r="A1467" s="1">
        <f t="shared" si="343"/>
        <v>1466</v>
      </c>
      <c r="C1467" s="8" t="s">
        <v>17</v>
      </c>
      <c r="D1467" s="2">
        <v>43376</v>
      </c>
      <c r="E1467" s="3">
        <v>350</v>
      </c>
      <c r="F1467" t="s">
        <v>32</v>
      </c>
      <c r="G1467" t="s">
        <v>33</v>
      </c>
      <c r="H1467" t="s">
        <v>34</v>
      </c>
      <c r="I1467" s="161" t="s">
        <v>824</v>
      </c>
      <c r="J1467" s="61" t="s">
        <v>22</v>
      </c>
      <c r="L1467" s="5" t="str">
        <f t="shared" si="344"/>
        <v>01466</v>
      </c>
      <c r="M1467" s="47" t="str">
        <f t="shared" si="345"/>
        <v>03 de octubre de 2018</v>
      </c>
      <c r="N1467" s="323">
        <f t="shared" si="347"/>
        <v>3</v>
      </c>
      <c r="O1467" s="25">
        <f t="shared" si="346"/>
        <v>43374</v>
      </c>
      <c r="P1467" s="5" t="str">
        <f t="shared" si="348"/>
        <v>350,00</v>
      </c>
      <c r="Q1467" s="4" t="str">
        <f t="shared" si="349"/>
        <v>Trescientos Cincuenta Bolívares con 00/100</v>
      </c>
    </row>
    <row r="1468" spans="1:17" x14ac:dyDescent="0.25">
      <c r="A1468" s="1">
        <f t="shared" si="343"/>
        <v>1467</v>
      </c>
      <c r="C1468" s="8" t="s">
        <v>17</v>
      </c>
      <c r="D1468" s="2">
        <v>43376</v>
      </c>
      <c r="E1468" s="3">
        <v>320</v>
      </c>
      <c r="F1468" t="s">
        <v>407</v>
      </c>
      <c r="G1468" t="s">
        <v>408</v>
      </c>
      <c r="H1468" t="s">
        <v>409</v>
      </c>
      <c r="I1468" s="6" t="s">
        <v>823</v>
      </c>
      <c r="J1468" s="61" t="s">
        <v>22</v>
      </c>
      <c r="L1468" s="5" t="str">
        <f t="shared" si="344"/>
        <v>01467</v>
      </c>
      <c r="M1468" s="47" t="str">
        <f t="shared" si="345"/>
        <v>03 de octubre de 2018</v>
      </c>
      <c r="N1468" s="323">
        <f t="shared" si="347"/>
        <v>3</v>
      </c>
      <c r="O1468" s="25">
        <f t="shared" si="346"/>
        <v>43374</v>
      </c>
      <c r="P1468" s="5" t="str">
        <f t="shared" si="348"/>
        <v>320,00</v>
      </c>
      <c r="Q1468" s="4" t="str">
        <f>CONVERTIRNUM(E1468)</f>
        <v>Trescientos Veinte Bolívares con 00/100</v>
      </c>
    </row>
    <row r="1469" spans="1:17" x14ac:dyDescent="0.25">
      <c r="A1469" s="1">
        <f t="shared" si="343"/>
        <v>1468</v>
      </c>
      <c r="C1469" s="8" t="s">
        <v>17</v>
      </c>
      <c r="D1469" s="2">
        <v>43376</v>
      </c>
      <c r="E1469" s="3">
        <v>320</v>
      </c>
      <c r="F1469" t="s">
        <v>53</v>
      </c>
      <c r="G1469" t="s">
        <v>677</v>
      </c>
      <c r="H1469" t="s">
        <v>55</v>
      </c>
      <c r="I1469" s="6" t="s">
        <v>810</v>
      </c>
      <c r="J1469" s="61" t="s">
        <v>22</v>
      </c>
      <c r="L1469" s="5" t="str">
        <f t="shared" si="344"/>
        <v>01468</v>
      </c>
      <c r="M1469" s="47" t="str">
        <f t="shared" si="345"/>
        <v>03 de octubre de 2018</v>
      </c>
      <c r="N1469" s="323">
        <f t="shared" si="347"/>
        <v>3</v>
      </c>
      <c r="O1469" s="25">
        <f t="shared" si="346"/>
        <v>43374</v>
      </c>
      <c r="P1469" s="5" t="str">
        <f t="shared" si="348"/>
        <v>320,00</v>
      </c>
      <c r="Q1469" s="4" t="str">
        <f t="shared" ref="Q1469:Q1472" si="350">CONVERTIRNUM(E1469)</f>
        <v>Trescientos Veinte Bolívares con 00/100</v>
      </c>
    </row>
    <row r="1470" spans="1:17" x14ac:dyDescent="0.25">
      <c r="A1470" s="1">
        <f t="shared" si="343"/>
        <v>1469</v>
      </c>
      <c r="C1470" s="8" t="s">
        <v>17</v>
      </c>
      <c r="D1470" s="2">
        <v>43375</v>
      </c>
      <c r="E1470" s="3">
        <v>500</v>
      </c>
      <c r="F1470" t="s">
        <v>44</v>
      </c>
      <c r="G1470" t="s">
        <v>45</v>
      </c>
      <c r="H1470" t="s">
        <v>46</v>
      </c>
      <c r="I1470" s="6" t="s">
        <v>825</v>
      </c>
      <c r="J1470" s="61" t="s">
        <v>22</v>
      </c>
      <c r="L1470" s="5" t="str">
        <f>IF(ISBLANK(A1470),"",TEXT(A1470,"00000"))</f>
        <v>01469</v>
      </c>
      <c r="M1470" s="47" t="str">
        <f>IF(ISBLANK(D1470),"",TEXT(D1470,"dd")&amp;" de "&amp;TEXT(D1470,"mmmm")&amp;" de "&amp;TEXT(YEAR(D1470),"0"))</f>
        <v>02 de octubre de 2018</v>
      </c>
      <c r="N1470" s="323">
        <f t="shared" si="347"/>
        <v>2</v>
      </c>
      <c r="O1470" s="25">
        <f>DATE(YEAR(D1470),MONTH(D1470),1)</f>
        <v>43374</v>
      </c>
      <c r="P1470" s="5" t="str">
        <f t="shared" si="348"/>
        <v>500,00</v>
      </c>
      <c r="Q1470" s="4" t="str">
        <f t="shared" si="350"/>
        <v>Quinientos Bolívares con 00/100</v>
      </c>
    </row>
    <row r="1471" spans="1:17" x14ac:dyDescent="0.25">
      <c r="A1471" s="1">
        <f t="shared" si="343"/>
        <v>1470</v>
      </c>
      <c r="C1471" s="8" t="s">
        <v>17</v>
      </c>
      <c r="D1471" s="2">
        <v>43377</v>
      </c>
      <c r="E1471" s="3">
        <v>320</v>
      </c>
      <c r="F1471" t="s">
        <v>483</v>
      </c>
      <c r="G1471" t="s">
        <v>484</v>
      </c>
      <c r="H1471" t="s">
        <v>485</v>
      </c>
      <c r="I1471" s="6" t="s">
        <v>823</v>
      </c>
      <c r="J1471" s="61" t="s">
        <v>22</v>
      </c>
      <c r="L1471" s="5" t="str">
        <f t="shared" ref="L1471:L1472" si="351">IF(ISBLANK(A1471),"",TEXT(A1471,"00000"))</f>
        <v>01470</v>
      </c>
      <c r="M1471" s="47" t="str">
        <f t="shared" ref="M1471:M1472" si="352">IF(ISBLANK(D1471),"",TEXT(D1471,"dd")&amp;" de "&amp;TEXT(D1471,"mmmm")&amp;" de "&amp;TEXT(YEAR(D1471),"0"))</f>
        <v>04 de octubre de 2018</v>
      </c>
      <c r="N1471" s="323">
        <f t="shared" si="347"/>
        <v>4</v>
      </c>
      <c r="O1471" s="25">
        <f t="shared" ref="O1471:O1472" si="353">DATE(YEAR(D1471),MONTH(D1471),1)</f>
        <v>43374</v>
      </c>
      <c r="P1471" s="5" t="str">
        <f t="shared" si="348"/>
        <v>320,00</v>
      </c>
      <c r="Q1471" s="4" t="str">
        <f t="shared" si="350"/>
        <v>Trescientos Veinte Bolívares con 00/100</v>
      </c>
    </row>
    <row r="1472" spans="1:17" x14ac:dyDescent="0.25">
      <c r="A1472" s="1">
        <f>A1471+1</f>
        <v>1471</v>
      </c>
      <c r="C1472" s="8" t="s">
        <v>17</v>
      </c>
      <c r="D1472" s="2">
        <v>43377</v>
      </c>
      <c r="E1472" s="3">
        <v>10</v>
      </c>
      <c r="F1472" t="s">
        <v>70</v>
      </c>
      <c r="G1472" t="s">
        <v>71</v>
      </c>
      <c r="H1472" t="s">
        <v>72</v>
      </c>
      <c r="I1472" s="6" t="s">
        <v>826</v>
      </c>
      <c r="J1472" s="61" t="s">
        <v>827</v>
      </c>
      <c r="L1472" s="5" t="str">
        <f t="shared" si="351"/>
        <v>01471</v>
      </c>
      <c r="M1472" s="47" t="str">
        <f t="shared" si="352"/>
        <v>04 de octubre de 2018</v>
      </c>
      <c r="N1472" s="323">
        <f t="shared" si="347"/>
        <v>4</v>
      </c>
      <c r="O1472" s="25">
        <f t="shared" si="353"/>
        <v>43374</v>
      </c>
      <c r="P1472" s="5" t="str">
        <f t="shared" si="348"/>
        <v>10,00</v>
      </c>
      <c r="Q1472" s="4" t="str">
        <f t="shared" si="350"/>
        <v>Diez Bolívares con 00/100</v>
      </c>
    </row>
    <row r="1473" spans="1:17" x14ac:dyDescent="0.25">
      <c r="A1473" s="1">
        <f>A1472+1</f>
        <v>1472</v>
      </c>
      <c r="C1473" s="8" t="s">
        <v>17</v>
      </c>
      <c r="D1473" s="2">
        <v>43377</v>
      </c>
      <c r="E1473" s="3">
        <v>320</v>
      </c>
      <c r="F1473" t="s">
        <v>70</v>
      </c>
      <c r="G1473" t="s">
        <v>71</v>
      </c>
      <c r="H1473" t="s">
        <v>72</v>
      </c>
      <c r="I1473" s="6" t="s">
        <v>823</v>
      </c>
      <c r="J1473" s="61" t="s">
        <v>22</v>
      </c>
      <c r="L1473" s="5" t="str">
        <f t="shared" ref="L1473:L1477" si="354">IF(ISBLANK(A1473),"",TEXT(A1473,"00000"))</f>
        <v>01472</v>
      </c>
      <c r="M1473" s="47" t="str">
        <f t="shared" ref="M1473:M1477" si="355">IF(ISBLANK(D1473),"",TEXT(D1473,"dd")&amp;" de "&amp;TEXT(D1473,"mmmm")&amp;" de "&amp;TEXT(YEAR(D1473),"0"))</f>
        <v>04 de octubre de 2018</v>
      </c>
      <c r="N1473" s="323">
        <f t="shared" ref="N1473:N1484" si="356">DAY(D1473)</f>
        <v>4</v>
      </c>
      <c r="O1473" s="25">
        <f t="shared" ref="O1473:O1477" si="357">DATE(YEAR(D1473),MONTH(D1473),1)</f>
        <v>43374</v>
      </c>
      <c r="P1473" s="5" t="str">
        <f t="shared" ref="P1473:P1484" si="358">TEXT(E1473,"#.##0,00")</f>
        <v>320,00</v>
      </c>
      <c r="Q1473" s="4" t="str">
        <f t="shared" ref="Q1473:Q1484" si="359">CONVERTIRNUM(E1473)</f>
        <v>Trescientos Veinte Bolívares con 00/100</v>
      </c>
    </row>
    <row r="1474" spans="1:17" x14ac:dyDescent="0.25">
      <c r="A1474" s="1">
        <f t="shared" ref="A1474:A1537" si="360">A1473+1</f>
        <v>1473</v>
      </c>
      <c r="C1474" s="8" t="s">
        <v>17</v>
      </c>
      <c r="D1474" s="2">
        <v>43377</v>
      </c>
      <c r="E1474" s="3">
        <v>50</v>
      </c>
      <c r="F1474" t="s">
        <v>558</v>
      </c>
      <c r="G1474" t="s">
        <v>559</v>
      </c>
      <c r="H1474" t="s">
        <v>560</v>
      </c>
      <c r="I1474" s="6" t="s">
        <v>826</v>
      </c>
      <c r="J1474" s="61" t="s">
        <v>827</v>
      </c>
      <c r="L1474" s="5" t="str">
        <f t="shared" si="354"/>
        <v>01473</v>
      </c>
      <c r="M1474" s="47" t="str">
        <f t="shared" si="355"/>
        <v>04 de octubre de 2018</v>
      </c>
      <c r="N1474" s="323">
        <f t="shared" si="356"/>
        <v>4</v>
      </c>
      <c r="O1474" s="25">
        <f t="shared" si="357"/>
        <v>43374</v>
      </c>
      <c r="P1474" s="5" t="str">
        <f t="shared" si="358"/>
        <v>50,00</v>
      </c>
      <c r="Q1474" s="4" t="str">
        <f t="shared" si="359"/>
        <v>Cincuenta Bolívares con 00/100</v>
      </c>
    </row>
    <row r="1475" spans="1:17" x14ac:dyDescent="0.25">
      <c r="A1475" s="1">
        <f t="shared" si="360"/>
        <v>1474</v>
      </c>
      <c r="C1475" s="8" t="s">
        <v>17</v>
      </c>
      <c r="D1475" s="2">
        <v>43377</v>
      </c>
      <c r="E1475" s="3">
        <v>10</v>
      </c>
      <c r="F1475" t="s">
        <v>537</v>
      </c>
      <c r="G1475" t="s">
        <v>538</v>
      </c>
      <c r="H1475" t="s">
        <v>539</v>
      </c>
      <c r="I1475" s="6" t="s">
        <v>826</v>
      </c>
      <c r="J1475" s="61" t="s">
        <v>827</v>
      </c>
      <c r="L1475" s="5" t="str">
        <f t="shared" si="354"/>
        <v>01474</v>
      </c>
      <c r="M1475" s="47" t="str">
        <f t="shared" si="355"/>
        <v>04 de octubre de 2018</v>
      </c>
      <c r="N1475" s="323">
        <f t="shared" si="356"/>
        <v>4</v>
      </c>
      <c r="O1475" s="25">
        <f t="shared" si="357"/>
        <v>43374</v>
      </c>
      <c r="P1475" s="5" t="str">
        <f t="shared" si="358"/>
        <v>10,00</v>
      </c>
      <c r="Q1475" s="4" t="str">
        <f t="shared" si="359"/>
        <v>Diez Bolívares con 00/100</v>
      </c>
    </row>
    <row r="1476" spans="1:17" x14ac:dyDescent="0.25">
      <c r="A1476" s="1">
        <f t="shared" si="360"/>
        <v>1475</v>
      </c>
      <c r="C1476" s="8" t="s">
        <v>17</v>
      </c>
      <c r="D1476" s="2">
        <v>43377</v>
      </c>
      <c r="E1476" s="3">
        <v>320</v>
      </c>
      <c r="F1476" t="s">
        <v>24</v>
      </c>
      <c r="G1476" t="s">
        <v>25</v>
      </c>
      <c r="H1476" t="s">
        <v>26</v>
      </c>
      <c r="I1476" s="6" t="s">
        <v>823</v>
      </c>
      <c r="J1476" s="61" t="s">
        <v>22</v>
      </c>
      <c r="L1476" s="5" t="str">
        <f t="shared" si="354"/>
        <v>01475</v>
      </c>
      <c r="M1476" s="47" t="str">
        <f t="shared" si="355"/>
        <v>04 de octubre de 2018</v>
      </c>
      <c r="N1476" s="323">
        <f t="shared" si="356"/>
        <v>4</v>
      </c>
      <c r="O1476" s="25">
        <f t="shared" si="357"/>
        <v>43374</v>
      </c>
      <c r="P1476" s="5" t="str">
        <f t="shared" si="358"/>
        <v>320,00</v>
      </c>
      <c r="Q1476" s="4" t="str">
        <f t="shared" si="359"/>
        <v>Trescientos Veinte Bolívares con 00/100</v>
      </c>
    </row>
    <row r="1477" spans="1:17" x14ac:dyDescent="0.25">
      <c r="A1477" s="1">
        <f t="shared" si="360"/>
        <v>1476</v>
      </c>
      <c r="C1477" s="8" t="s">
        <v>17</v>
      </c>
      <c r="D1477" s="2">
        <v>43377</v>
      </c>
      <c r="E1477" s="3">
        <v>10</v>
      </c>
      <c r="F1477" t="s">
        <v>24</v>
      </c>
      <c r="G1477" t="s">
        <v>25</v>
      </c>
      <c r="H1477" t="s">
        <v>26</v>
      </c>
      <c r="I1477" s="6" t="s">
        <v>826</v>
      </c>
      <c r="J1477" s="61" t="s">
        <v>827</v>
      </c>
      <c r="L1477" s="5" t="str">
        <f t="shared" si="354"/>
        <v>01476</v>
      </c>
      <c r="M1477" s="47" t="str">
        <f t="shared" si="355"/>
        <v>04 de octubre de 2018</v>
      </c>
      <c r="N1477" s="323">
        <f t="shared" si="356"/>
        <v>4</v>
      </c>
      <c r="O1477" s="25">
        <f t="shared" si="357"/>
        <v>43374</v>
      </c>
      <c r="P1477" s="5" t="str">
        <f t="shared" si="358"/>
        <v>10,00</v>
      </c>
      <c r="Q1477" s="4" t="str">
        <f t="shared" si="359"/>
        <v>Diez Bolívares con 00/100</v>
      </c>
    </row>
    <row r="1478" spans="1:17" x14ac:dyDescent="0.25">
      <c r="A1478" s="1">
        <f t="shared" si="360"/>
        <v>1477</v>
      </c>
      <c r="C1478" s="8" t="s">
        <v>17</v>
      </c>
      <c r="D1478" s="2">
        <v>43377</v>
      </c>
      <c r="E1478" s="3">
        <v>50</v>
      </c>
      <c r="F1478" t="s">
        <v>44</v>
      </c>
      <c r="G1478" t="s">
        <v>45</v>
      </c>
      <c r="H1478" t="s">
        <v>46</v>
      </c>
      <c r="I1478" s="6" t="s">
        <v>826</v>
      </c>
      <c r="J1478" s="61" t="s">
        <v>827</v>
      </c>
      <c r="L1478" s="5" t="str">
        <f>IF(ISBLANK(A1478),"",TEXT(A1478,"00000"))</f>
        <v>01477</v>
      </c>
      <c r="M1478" s="47" t="str">
        <f>IF(ISBLANK(D1478),"",TEXT(D1478,"dd")&amp;" de "&amp;TEXT(D1478,"mmmm")&amp;" de "&amp;TEXT(YEAR(D1478),"0"))</f>
        <v>04 de octubre de 2018</v>
      </c>
      <c r="N1478" s="323">
        <f t="shared" si="356"/>
        <v>4</v>
      </c>
      <c r="O1478" s="25">
        <f>DATE(YEAR(D1478),MONTH(D1478),1)</f>
        <v>43374</v>
      </c>
      <c r="P1478" s="5" t="str">
        <f t="shared" si="358"/>
        <v>50,00</v>
      </c>
      <c r="Q1478" s="4" t="str">
        <f t="shared" si="359"/>
        <v>Cincuenta Bolívares con 00/100</v>
      </c>
    </row>
    <row r="1479" spans="1:17" x14ac:dyDescent="0.25">
      <c r="A1479" s="1">
        <f t="shared" si="360"/>
        <v>1478</v>
      </c>
      <c r="C1479" s="8" t="s">
        <v>17</v>
      </c>
      <c r="D1479" s="2">
        <v>43378</v>
      </c>
      <c r="E1479" s="3">
        <f>308+320</f>
        <v>628</v>
      </c>
      <c r="F1479" t="s">
        <v>324</v>
      </c>
      <c r="G1479" t="s">
        <v>325</v>
      </c>
      <c r="H1479" t="s">
        <v>326</v>
      </c>
      <c r="I1479" s="6" t="s">
        <v>819</v>
      </c>
      <c r="J1479" s="61" t="s">
        <v>22</v>
      </c>
      <c r="L1479" s="5" t="str">
        <f t="shared" ref="L1479:L1484" si="361">IF(ISBLANK(A1479),"",TEXT(A1479,"00000"))</f>
        <v>01478</v>
      </c>
      <c r="M1479" s="47" t="str">
        <f t="shared" ref="M1479:M1484" si="362">IF(ISBLANK(D1479),"",TEXT(D1479,"dd")&amp;" de "&amp;TEXT(D1479,"mmmm")&amp;" de "&amp;TEXT(YEAR(D1479),"0"))</f>
        <v>05 de octubre de 2018</v>
      </c>
      <c r="N1479" s="323">
        <f t="shared" si="356"/>
        <v>5</v>
      </c>
      <c r="O1479" s="25">
        <f t="shared" ref="O1479:O1484" si="363">DATE(YEAR(D1479),MONTH(D1479),1)</f>
        <v>43374</v>
      </c>
      <c r="P1479" s="5" t="str">
        <f t="shared" si="358"/>
        <v>628,00</v>
      </c>
      <c r="Q1479" s="4" t="str">
        <f t="shared" si="359"/>
        <v>Seiscientos Veintiocho Bolívares con 00/100</v>
      </c>
    </row>
    <row r="1480" spans="1:17" x14ac:dyDescent="0.25">
      <c r="A1480" s="1">
        <f t="shared" si="360"/>
        <v>1479</v>
      </c>
      <c r="C1480" s="8" t="s">
        <v>17</v>
      </c>
      <c r="D1480" s="2">
        <v>43378</v>
      </c>
      <c r="E1480" s="3">
        <f>700-628</f>
        <v>72</v>
      </c>
      <c r="F1480" t="s">
        <v>324</v>
      </c>
      <c r="G1480" t="s">
        <v>325</v>
      </c>
      <c r="H1480" t="s">
        <v>326</v>
      </c>
      <c r="I1480" s="6" t="s">
        <v>826</v>
      </c>
      <c r="J1480" s="61" t="s">
        <v>827</v>
      </c>
      <c r="L1480" s="5" t="str">
        <f t="shared" si="361"/>
        <v>01479</v>
      </c>
      <c r="M1480" s="47" t="str">
        <f t="shared" si="362"/>
        <v>05 de octubre de 2018</v>
      </c>
      <c r="N1480" s="323">
        <f t="shared" si="356"/>
        <v>5</v>
      </c>
      <c r="O1480" s="25">
        <f t="shared" si="363"/>
        <v>43374</v>
      </c>
      <c r="P1480" s="5" t="str">
        <f t="shared" si="358"/>
        <v>72,00</v>
      </c>
      <c r="Q1480" s="4" t="str">
        <f t="shared" si="359"/>
        <v>Setenta y Dos Bolívares con 00/100</v>
      </c>
    </row>
    <row r="1481" spans="1:17" x14ac:dyDescent="0.25">
      <c r="A1481" s="1">
        <f t="shared" si="360"/>
        <v>1480</v>
      </c>
      <c r="C1481" s="8" t="s">
        <v>17</v>
      </c>
      <c r="D1481" s="2">
        <v>43378</v>
      </c>
      <c r="E1481" s="3">
        <f t="shared" ref="E1481" si="364">308.4+11.6</f>
        <v>320</v>
      </c>
      <c r="F1481" t="s">
        <v>36</v>
      </c>
      <c r="G1481" t="s">
        <v>37</v>
      </c>
      <c r="H1481" t="s">
        <v>38</v>
      </c>
      <c r="I1481" s="6" t="s">
        <v>823</v>
      </c>
      <c r="J1481" s="61" t="s">
        <v>22</v>
      </c>
      <c r="L1481" s="5" t="str">
        <f t="shared" si="361"/>
        <v>01480</v>
      </c>
      <c r="M1481" s="47" t="str">
        <f t="shared" si="362"/>
        <v>05 de octubre de 2018</v>
      </c>
      <c r="N1481" s="323">
        <f t="shared" si="356"/>
        <v>5</v>
      </c>
      <c r="O1481" s="25">
        <f t="shared" si="363"/>
        <v>43374</v>
      </c>
      <c r="P1481" s="5" t="str">
        <f t="shared" si="358"/>
        <v>320,00</v>
      </c>
      <c r="Q1481" s="4" t="str">
        <f t="shared" si="359"/>
        <v>Trescientos Veinte Bolívares con 00/100</v>
      </c>
    </row>
    <row r="1482" spans="1:17" x14ac:dyDescent="0.25">
      <c r="A1482" s="1">
        <f t="shared" si="360"/>
        <v>1481</v>
      </c>
      <c r="C1482" s="8" t="s">
        <v>17</v>
      </c>
      <c r="D1482" s="2">
        <v>43378</v>
      </c>
      <c r="E1482" s="3">
        <v>10</v>
      </c>
      <c r="F1482" t="s">
        <v>36</v>
      </c>
      <c r="G1482" t="s">
        <v>37</v>
      </c>
      <c r="H1482" t="s">
        <v>38</v>
      </c>
      <c r="I1482" s="6" t="s">
        <v>826</v>
      </c>
      <c r="J1482" s="61" t="s">
        <v>827</v>
      </c>
      <c r="L1482" s="5" t="str">
        <f t="shared" si="361"/>
        <v>01481</v>
      </c>
      <c r="M1482" s="47" t="str">
        <f t="shared" si="362"/>
        <v>05 de octubre de 2018</v>
      </c>
      <c r="N1482" s="323">
        <f t="shared" si="356"/>
        <v>5</v>
      </c>
      <c r="O1482" s="25">
        <f t="shared" si="363"/>
        <v>43374</v>
      </c>
      <c r="P1482" s="5" t="str">
        <f t="shared" si="358"/>
        <v>10,00</v>
      </c>
      <c r="Q1482" s="4" t="str">
        <f t="shared" si="359"/>
        <v>Diez Bolívares con 00/100</v>
      </c>
    </row>
    <row r="1483" spans="1:17" x14ac:dyDescent="0.25">
      <c r="A1483" s="1">
        <f t="shared" si="360"/>
        <v>1482</v>
      </c>
      <c r="C1483" s="8" t="s">
        <v>17</v>
      </c>
      <c r="D1483" s="2">
        <v>43378</v>
      </c>
      <c r="E1483" s="3">
        <v>10</v>
      </c>
      <c r="F1483" t="s">
        <v>342</v>
      </c>
      <c r="G1483" t="s">
        <v>343</v>
      </c>
      <c r="H1483" t="s">
        <v>344</v>
      </c>
      <c r="I1483" s="6" t="s">
        <v>826</v>
      </c>
      <c r="J1483" s="61" t="s">
        <v>827</v>
      </c>
      <c r="L1483" s="5" t="str">
        <f t="shared" si="361"/>
        <v>01482</v>
      </c>
      <c r="M1483" s="47" t="str">
        <f t="shared" si="362"/>
        <v>05 de octubre de 2018</v>
      </c>
      <c r="N1483" s="323">
        <f t="shared" si="356"/>
        <v>5</v>
      </c>
      <c r="O1483" s="25">
        <f t="shared" si="363"/>
        <v>43374</v>
      </c>
      <c r="P1483" s="5" t="str">
        <f t="shared" si="358"/>
        <v>10,00</v>
      </c>
      <c r="Q1483" s="4" t="str">
        <f t="shared" si="359"/>
        <v>Diez Bolívares con 00/100</v>
      </c>
    </row>
    <row r="1484" spans="1:17" x14ac:dyDescent="0.25">
      <c r="A1484" s="1">
        <f t="shared" si="360"/>
        <v>1483</v>
      </c>
      <c r="C1484" s="8" t="s">
        <v>17</v>
      </c>
      <c r="D1484" s="2">
        <v>43378</v>
      </c>
      <c r="E1484" s="3">
        <v>270</v>
      </c>
      <c r="F1484" t="s">
        <v>713</v>
      </c>
      <c r="G1484" t="s">
        <v>714</v>
      </c>
      <c r="H1484" t="s">
        <v>154</v>
      </c>
      <c r="I1484" s="6" t="s">
        <v>828</v>
      </c>
      <c r="J1484" s="61" t="s">
        <v>22</v>
      </c>
      <c r="L1484" s="5" t="str">
        <f t="shared" si="361"/>
        <v>01483</v>
      </c>
      <c r="M1484" s="47" t="str">
        <f t="shared" si="362"/>
        <v>05 de octubre de 2018</v>
      </c>
      <c r="N1484" s="323">
        <f t="shared" si="356"/>
        <v>5</v>
      </c>
      <c r="O1484" s="25">
        <f t="shared" si="363"/>
        <v>43374</v>
      </c>
      <c r="P1484" s="5" t="str">
        <f t="shared" si="358"/>
        <v>270,00</v>
      </c>
      <c r="Q1484" s="4" t="str">
        <f t="shared" si="359"/>
        <v>Doscientos Setenta Bolívares con 00/100</v>
      </c>
    </row>
    <row r="1485" spans="1:17" x14ac:dyDescent="0.25">
      <c r="A1485" s="1">
        <f t="shared" si="360"/>
        <v>1484</v>
      </c>
      <c r="C1485" s="8" t="s">
        <v>17</v>
      </c>
      <c r="D1485" s="2">
        <v>43378</v>
      </c>
      <c r="E1485" s="3">
        <v>10</v>
      </c>
      <c r="F1485" t="s">
        <v>713</v>
      </c>
      <c r="G1485" t="s">
        <v>714</v>
      </c>
      <c r="H1485" t="s">
        <v>154</v>
      </c>
      <c r="I1485" s="6" t="s">
        <v>826</v>
      </c>
      <c r="J1485" s="61" t="s">
        <v>827</v>
      </c>
      <c r="L1485" s="5" t="str">
        <f t="shared" ref="L1485:L1489" si="365">IF(ISBLANK(A1485),"",TEXT(A1485,"00000"))</f>
        <v>01484</v>
      </c>
      <c r="M1485" s="47" t="str">
        <f t="shared" ref="M1485:M1489" si="366">IF(ISBLANK(D1485),"",TEXT(D1485,"dd")&amp;" de "&amp;TEXT(D1485,"mmmm")&amp;" de "&amp;TEXT(YEAR(D1485),"0"))</f>
        <v>05 de octubre de 2018</v>
      </c>
      <c r="N1485" s="323">
        <f t="shared" ref="N1485:N1489" si="367">DAY(D1485)</f>
        <v>5</v>
      </c>
      <c r="O1485" s="25">
        <f t="shared" ref="O1485:O1489" si="368">DATE(YEAR(D1485),MONTH(D1485),1)</f>
        <v>43374</v>
      </c>
      <c r="P1485" s="5" t="str">
        <f t="shared" ref="P1485:P1489" si="369">TEXT(E1485,"#.##0,00")</f>
        <v>10,00</v>
      </c>
      <c r="Q1485" s="4" t="str">
        <f t="shared" ref="Q1485:Q1489" si="370">CONVERTIRNUM(E1485)</f>
        <v>Diez Bolívares con 00/100</v>
      </c>
    </row>
    <row r="1486" spans="1:17" x14ac:dyDescent="0.25">
      <c r="A1486" s="1">
        <f t="shared" si="360"/>
        <v>1485</v>
      </c>
      <c r="C1486" s="8" t="s">
        <v>17</v>
      </c>
      <c r="D1486" s="2">
        <v>43378</v>
      </c>
      <c r="E1486" s="3">
        <v>10</v>
      </c>
      <c r="F1486" t="s">
        <v>103</v>
      </c>
      <c r="G1486" t="s">
        <v>104</v>
      </c>
      <c r="H1486" t="s">
        <v>105</v>
      </c>
      <c r="I1486" s="6" t="s">
        <v>826</v>
      </c>
      <c r="J1486" s="61" t="s">
        <v>827</v>
      </c>
      <c r="L1486" s="5" t="str">
        <f t="shared" si="365"/>
        <v>01485</v>
      </c>
      <c r="M1486" s="47" t="str">
        <f t="shared" si="366"/>
        <v>05 de octubre de 2018</v>
      </c>
      <c r="N1486" s="323">
        <f t="shared" si="367"/>
        <v>5</v>
      </c>
      <c r="O1486" s="25">
        <f t="shared" si="368"/>
        <v>43374</v>
      </c>
      <c r="P1486" s="5" t="str">
        <f t="shared" si="369"/>
        <v>10,00</v>
      </c>
      <c r="Q1486" s="4" t="str">
        <f t="shared" si="370"/>
        <v>Diez Bolívares con 00/100</v>
      </c>
    </row>
    <row r="1487" spans="1:17" x14ac:dyDescent="0.25">
      <c r="A1487" s="1">
        <f t="shared" si="360"/>
        <v>1486</v>
      </c>
      <c r="C1487" s="85" t="s">
        <v>17</v>
      </c>
      <c r="D1487" s="2">
        <v>43372</v>
      </c>
      <c r="E1487" s="3">
        <v>322</v>
      </c>
      <c r="F1487" t="s">
        <v>177</v>
      </c>
      <c r="G1487" s="18" t="s">
        <v>58</v>
      </c>
      <c r="H1487" t="s">
        <v>179</v>
      </c>
      <c r="I1487" s="6" t="s">
        <v>829</v>
      </c>
      <c r="J1487" s="61" t="s">
        <v>22</v>
      </c>
      <c r="L1487" s="5" t="str">
        <f t="shared" si="365"/>
        <v>01486</v>
      </c>
      <c r="M1487" s="47" t="str">
        <f t="shared" si="366"/>
        <v>29 de septiembre de 2018</v>
      </c>
      <c r="N1487" s="323">
        <f t="shared" si="367"/>
        <v>29</v>
      </c>
      <c r="O1487" s="25">
        <f t="shared" si="368"/>
        <v>43344</v>
      </c>
      <c r="P1487" s="5" t="str">
        <f t="shared" si="369"/>
        <v>322,00</v>
      </c>
      <c r="Q1487" s="4" t="str">
        <f t="shared" si="370"/>
        <v>Trescientos Veintidos Bolívares con 00/100</v>
      </c>
    </row>
    <row r="1488" spans="1:17" x14ac:dyDescent="0.25">
      <c r="A1488" s="1">
        <f t="shared" si="360"/>
        <v>1487</v>
      </c>
      <c r="C1488" s="8" t="s">
        <v>17</v>
      </c>
      <c r="D1488" s="2">
        <v>43378</v>
      </c>
      <c r="E1488" s="3">
        <v>10</v>
      </c>
      <c r="F1488" t="s">
        <v>134</v>
      </c>
      <c r="G1488" t="s">
        <v>135</v>
      </c>
      <c r="H1488" t="s">
        <v>136</v>
      </c>
      <c r="I1488" s="6" t="s">
        <v>826</v>
      </c>
      <c r="J1488" s="61" t="s">
        <v>827</v>
      </c>
      <c r="L1488" s="5" t="str">
        <f t="shared" si="365"/>
        <v>01487</v>
      </c>
      <c r="M1488" s="47" t="str">
        <f t="shared" si="366"/>
        <v>05 de octubre de 2018</v>
      </c>
      <c r="N1488" s="323">
        <f t="shared" si="367"/>
        <v>5</v>
      </c>
      <c r="O1488" s="25">
        <f t="shared" si="368"/>
        <v>43374</v>
      </c>
      <c r="P1488" s="5" t="str">
        <f t="shared" si="369"/>
        <v>10,00</v>
      </c>
      <c r="Q1488" s="4" t="str">
        <f t="shared" si="370"/>
        <v>Diez Bolívares con 00/100</v>
      </c>
    </row>
    <row r="1489" spans="1:17" x14ac:dyDescent="0.25">
      <c r="A1489" s="1">
        <f t="shared" si="360"/>
        <v>1488</v>
      </c>
      <c r="C1489" s="8" t="s">
        <v>17</v>
      </c>
      <c r="D1489" s="2">
        <v>43378</v>
      </c>
      <c r="E1489" s="3">
        <v>10</v>
      </c>
      <c r="F1489" t="s">
        <v>201</v>
      </c>
      <c r="G1489" t="s">
        <v>202</v>
      </c>
      <c r="H1489" t="s">
        <v>203</v>
      </c>
      <c r="I1489" s="6" t="s">
        <v>826</v>
      </c>
      <c r="J1489" s="61" t="s">
        <v>827</v>
      </c>
      <c r="L1489" s="5" t="str">
        <f t="shared" si="365"/>
        <v>01488</v>
      </c>
      <c r="M1489" s="47" t="str">
        <f t="shared" si="366"/>
        <v>05 de octubre de 2018</v>
      </c>
      <c r="N1489" s="323">
        <f t="shared" si="367"/>
        <v>5</v>
      </c>
      <c r="O1489" s="25">
        <f t="shared" si="368"/>
        <v>43374</v>
      </c>
      <c r="P1489" s="5" t="str">
        <f t="shared" si="369"/>
        <v>10,00</v>
      </c>
      <c r="Q1489" s="4" t="str">
        <f t="shared" si="370"/>
        <v>Diez Bolívares con 00/100</v>
      </c>
    </row>
    <row r="1490" spans="1:17" x14ac:dyDescent="0.25">
      <c r="A1490" s="1">
        <f t="shared" si="360"/>
        <v>1489</v>
      </c>
      <c r="C1490" s="85" t="s">
        <v>17</v>
      </c>
      <c r="D1490" s="2">
        <v>43378</v>
      </c>
      <c r="E1490" s="3">
        <v>10</v>
      </c>
      <c r="F1490" t="s">
        <v>830</v>
      </c>
      <c r="G1490" t="s">
        <v>831</v>
      </c>
      <c r="H1490" t="s">
        <v>832</v>
      </c>
      <c r="I1490" s="6" t="s">
        <v>826</v>
      </c>
      <c r="J1490" s="61" t="s">
        <v>827</v>
      </c>
      <c r="L1490" s="5" t="str">
        <f t="shared" ref="L1490" si="371">IF(ISBLANK(A1490),"",TEXT(A1490,"00000"))</f>
        <v>01489</v>
      </c>
      <c r="M1490" s="47" t="str">
        <f t="shared" ref="M1490" si="372">IF(ISBLANK(D1490),"",TEXT(D1490,"dd")&amp;" de "&amp;TEXT(D1490,"mmmm")&amp;" de "&amp;TEXT(YEAR(D1490),"0"))</f>
        <v>05 de octubre de 2018</v>
      </c>
      <c r="N1490" s="323">
        <f t="shared" ref="N1490:N1523" si="373">DAY(D1490)</f>
        <v>5</v>
      </c>
      <c r="O1490" s="25">
        <f t="shared" ref="O1490" si="374">DATE(YEAR(D1490),MONTH(D1490),1)</f>
        <v>43374</v>
      </c>
      <c r="P1490" s="5" t="str">
        <f t="shared" ref="P1490:P1523" si="375">TEXT(E1490,"#.##0,00")</f>
        <v>10,00</v>
      </c>
      <c r="Q1490" s="4" t="str">
        <f t="shared" ref="Q1490:Q1498" si="376">CONVERTIRNUM(E1490)</f>
        <v>Diez Bolívares con 00/100</v>
      </c>
    </row>
    <row r="1491" spans="1:17" x14ac:dyDescent="0.25">
      <c r="A1491" s="1">
        <f t="shared" si="360"/>
        <v>1490</v>
      </c>
      <c r="C1491" s="8" t="s">
        <v>17</v>
      </c>
      <c r="D1491" s="2">
        <v>43378</v>
      </c>
      <c r="E1491" s="3">
        <v>10</v>
      </c>
      <c r="F1491" t="s">
        <v>243</v>
      </c>
      <c r="G1491" t="s">
        <v>244</v>
      </c>
      <c r="H1491" t="s">
        <v>245</v>
      </c>
      <c r="I1491" s="6" t="s">
        <v>826</v>
      </c>
      <c r="J1491" s="61" t="s">
        <v>827</v>
      </c>
      <c r="L1491" s="5" t="str">
        <f>IF(ISBLANK(A1491),"",TEXT(A1491,"00000"))</f>
        <v>01490</v>
      </c>
      <c r="M1491" s="47" t="str">
        <f>IF(ISBLANK(D1491),"",TEXT(D1491,"dd")&amp;" de "&amp;TEXT(D1491,"mmmm")&amp;" de "&amp;TEXT(YEAR(D1491),"0"))</f>
        <v>05 de octubre de 2018</v>
      </c>
      <c r="N1491" s="323">
        <f t="shared" si="373"/>
        <v>5</v>
      </c>
      <c r="O1491" s="25">
        <f>DATE(YEAR(D1491),MONTH(D1491),1)</f>
        <v>43374</v>
      </c>
      <c r="P1491" s="5" t="str">
        <f t="shared" si="375"/>
        <v>10,00</v>
      </c>
      <c r="Q1491" s="4" t="str">
        <f t="shared" si="376"/>
        <v>Diez Bolívares con 00/100</v>
      </c>
    </row>
    <row r="1492" spans="1:17" x14ac:dyDescent="0.25">
      <c r="A1492" s="1">
        <f t="shared" si="360"/>
        <v>1491</v>
      </c>
      <c r="C1492" s="8" t="s">
        <v>17</v>
      </c>
      <c r="D1492" s="2">
        <v>43378</v>
      </c>
      <c r="E1492" s="3">
        <v>15</v>
      </c>
      <c r="F1492" t="s">
        <v>90</v>
      </c>
      <c r="G1492" t="s">
        <v>91</v>
      </c>
      <c r="H1492" t="s">
        <v>92</v>
      </c>
      <c r="I1492" s="6" t="s">
        <v>826</v>
      </c>
      <c r="J1492" s="61" t="s">
        <v>827</v>
      </c>
      <c r="L1492" s="5" t="str">
        <f t="shared" ref="L1492:L1523" si="377">IF(ISBLANK(A1492),"",TEXT(A1492,"00000"))</f>
        <v>01491</v>
      </c>
      <c r="M1492" s="47" t="str">
        <f t="shared" ref="M1492:M1523" si="378">IF(ISBLANK(D1492),"",TEXT(D1492,"dd")&amp;" de "&amp;TEXT(D1492,"mmmm")&amp;" de "&amp;TEXT(YEAR(D1492),"0"))</f>
        <v>05 de octubre de 2018</v>
      </c>
      <c r="N1492" s="323">
        <f t="shared" si="373"/>
        <v>5</v>
      </c>
      <c r="O1492" s="25">
        <f t="shared" ref="O1492:O1523" si="379">DATE(YEAR(D1492),MONTH(D1492),1)</f>
        <v>43374</v>
      </c>
      <c r="P1492" s="5" t="str">
        <f t="shared" si="375"/>
        <v>15,00</v>
      </c>
      <c r="Q1492" s="4" t="str">
        <f t="shared" si="376"/>
        <v>Quince Bolívares con 00/100</v>
      </c>
    </row>
    <row r="1493" spans="1:17" x14ac:dyDescent="0.25">
      <c r="A1493" s="1">
        <f t="shared" si="360"/>
        <v>1492</v>
      </c>
      <c r="C1493" s="8" t="s">
        <v>17</v>
      </c>
      <c r="D1493" s="2">
        <v>43378</v>
      </c>
      <c r="E1493" s="3">
        <v>10</v>
      </c>
      <c r="F1493" t="s">
        <v>48</v>
      </c>
      <c r="G1493" t="s">
        <v>49</v>
      </c>
      <c r="H1493" t="s">
        <v>50</v>
      </c>
      <c r="I1493" s="6" t="s">
        <v>826</v>
      </c>
      <c r="J1493" s="61" t="s">
        <v>827</v>
      </c>
      <c r="L1493" s="5" t="str">
        <f t="shared" si="377"/>
        <v>01492</v>
      </c>
      <c r="M1493" s="47" t="str">
        <f t="shared" si="378"/>
        <v>05 de octubre de 2018</v>
      </c>
      <c r="N1493" s="323">
        <f t="shared" si="373"/>
        <v>5</v>
      </c>
      <c r="O1493" s="25">
        <f t="shared" si="379"/>
        <v>43374</v>
      </c>
      <c r="P1493" s="5" t="str">
        <f t="shared" si="375"/>
        <v>10,00</v>
      </c>
      <c r="Q1493" s="4" t="str">
        <f t="shared" si="376"/>
        <v>Diez Bolívares con 00/100</v>
      </c>
    </row>
    <row r="1494" spans="1:17" x14ac:dyDescent="0.25">
      <c r="A1494" s="1">
        <f t="shared" si="360"/>
        <v>1493</v>
      </c>
      <c r="C1494" s="8" t="s">
        <v>17</v>
      </c>
      <c r="D1494" s="2">
        <v>43378</v>
      </c>
      <c r="E1494" s="3">
        <v>10</v>
      </c>
      <c r="F1494" t="s">
        <v>211</v>
      </c>
      <c r="G1494" t="s">
        <v>212</v>
      </c>
      <c r="H1494" t="s">
        <v>213</v>
      </c>
      <c r="I1494" s="6" t="s">
        <v>826</v>
      </c>
      <c r="J1494" s="61" t="s">
        <v>827</v>
      </c>
      <c r="L1494" s="5" t="str">
        <f t="shared" si="377"/>
        <v>01493</v>
      </c>
      <c r="M1494" s="47" t="str">
        <f t="shared" si="378"/>
        <v>05 de octubre de 2018</v>
      </c>
      <c r="N1494" s="323">
        <f t="shared" si="373"/>
        <v>5</v>
      </c>
      <c r="O1494" s="25">
        <f t="shared" si="379"/>
        <v>43374</v>
      </c>
      <c r="P1494" s="5" t="str">
        <f t="shared" si="375"/>
        <v>10,00</v>
      </c>
      <c r="Q1494" s="4" t="str">
        <f t="shared" si="376"/>
        <v>Diez Bolívares con 00/100</v>
      </c>
    </row>
    <row r="1495" spans="1:17" x14ac:dyDescent="0.25">
      <c r="A1495" s="1">
        <f t="shared" si="360"/>
        <v>1494</v>
      </c>
      <c r="C1495" s="85" t="s">
        <v>17</v>
      </c>
      <c r="D1495" s="2">
        <v>43379</v>
      </c>
      <c r="E1495" s="3">
        <v>100</v>
      </c>
      <c r="F1495" t="s">
        <v>303</v>
      </c>
      <c r="G1495" s="18" t="s">
        <v>58</v>
      </c>
      <c r="H1495" t="s">
        <v>304</v>
      </c>
      <c r="I1495" s="6" t="s">
        <v>833</v>
      </c>
      <c r="J1495" s="61" t="s">
        <v>22</v>
      </c>
      <c r="L1495" s="5" t="str">
        <f t="shared" si="377"/>
        <v>01494</v>
      </c>
      <c r="M1495" s="47" t="str">
        <f t="shared" si="378"/>
        <v>06 de octubre de 2018</v>
      </c>
      <c r="N1495" s="323">
        <f t="shared" si="373"/>
        <v>6</v>
      </c>
      <c r="O1495" s="25">
        <f t="shared" si="379"/>
        <v>43374</v>
      </c>
      <c r="P1495" s="5" t="str">
        <f t="shared" si="375"/>
        <v>100,00</v>
      </c>
      <c r="Q1495" s="4" t="str">
        <f t="shared" si="376"/>
        <v>Cien Bolívares con 00/100</v>
      </c>
    </row>
    <row r="1496" spans="1:17" x14ac:dyDescent="0.25">
      <c r="A1496" s="1">
        <f t="shared" si="360"/>
        <v>1495</v>
      </c>
      <c r="C1496" s="8" t="s">
        <v>17</v>
      </c>
      <c r="D1496" s="2">
        <v>43379</v>
      </c>
      <c r="E1496" s="3">
        <v>10</v>
      </c>
      <c r="F1496" t="s">
        <v>334</v>
      </c>
      <c r="G1496" t="s">
        <v>85</v>
      </c>
      <c r="H1496" t="s">
        <v>335</v>
      </c>
      <c r="I1496" s="6" t="s">
        <v>826</v>
      </c>
      <c r="J1496" s="61" t="s">
        <v>827</v>
      </c>
      <c r="L1496" s="5" t="str">
        <f t="shared" si="377"/>
        <v>01495</v>
      </c>
      <c r="M1496" s="47" t="str">
        <f t="shared" si="378"/>
        <v>06 de octubre de 2018</v>
      </c>
      <c r="N1496" s="323">
        <f t="shared" si="373"/>
        <v>6</v>
      </c>
      <c r="O1496" s="25">
        <f t="shared" si="379"/>
        <v>43374</v>
      </c>
      <c r="P1496" s="5" t="str">
        <f t="shared" si="375"/>
        <v>10,00</v>
      </c>
      <c r="Q1496" s="4" t="str">
        <f t="shared" si="376"/>
        <v>Diez Bolívares con 00/100</v>
      </c>
    </row>
    <row r="1497" spans="1:17" x14ac:dyDescent="0.25">
      <c r="A1497" s="1">
        <f t="shared" si="360"/>
        <v>1496</v>
      </c>
      <c r="C1497" s="8" t="s">
        <v>17</v>
      </c>
      <c r="D1497" s="2">
        <v>43379</v>
      </c>
      <c r="E1497" s="3">
        <v>320</v>
      </c>
      <c r="F1497" t="s">
        <v>84</v>
      </c>
      <c r="G1497" t="s">
        <v>85</v>
      </c>
      <c r="H1497" t="s">
        <v>86</v>
      </c>
      <c r="I1497" s="6" t="s">
        <v>823</v>
      </c>
      <c r="J1497" s="61" t="s">
        <v>22</v>
      </c>
      <c r="L1497" s="5" t="str">
        <f t="shared" si="377"/>
        <v>01496</v>
      </c>
      <c r="M1497" s="47" t="str">
        <f t="shared" si="378"/>
        <v>06 de octubre de 2018</v>
      </c>
      <c r="N1497" s="323">
        <f t="shared" si="373"/>
        <v>6</v>
      </c>
      <c r="O1497" s="25">
        <f t="shared" si="379"/>
        <v>43374</v>
      </c>
      <c r="P1497" s="5" t="str">
        <f t="shared" si="375"/>
        <v>320,00</v>
      </c>
      <c r="Q1497" s="4" t="str">
        <f t="shared" si="376"/>
        <v>Trescientos Veinte Bolívares con 00/100</v>
      </c>
    </row>
    <row r="1498" spans="1:17" x14ac:dyDescent="0.25">
      <c r="A1498" s="1">
        <f t="shared" si="360"/>
        <v>1497</v>
      </c>
      <c r="C1498" s="8" t="s">
        <v>17</v>
      </c>
      <c r="D1498" s="2">
        <v>43379</v>
      </c>
      <c r="E1498" s="3">
        <v>10</v>
      </c>
      <c r="F1498" t="s">
        <v>84</v>
      </c>
      <c r="G1498" t="s">
        <v>85</v>
      </c>
      <c r="H1498" t="s">
        <v>86</v>
      </c>
      <c r="I1498" s="6" t="s">
        <v>826</v>
      </c>
      <c r="J1498" s="61" t="s">
        <v>827</v>
      </c>
      <c r="L1498" s="5" t="str">
        <f t="shared" si="377"/>
        <v>01497</v>
      </c>
      <c r="M1498" s="47" t="str">
        <f t="shared" si="378"/>
        <v>06 de octubre de 2018</v>
      </c>
      <c r="N1498" s="323">
        <f t="shared" si="373"/>
        <v>6</v>
      </c>
      <c r="O1498" s="25">
        <f t="shared" si="379"/>
        <v>43374</v>
      </c>
      <c r="P1498" s="5" t="str">
        <f t="shared" si="375"/>
        <v>10,00</v>
      </c>
      <c r="Q1498" s="4" t="str">
        <f t="shared" si="376"/>
        <v>Diez Bolívares con 00/100</v>
      </c>
    </row>
    <row r="1499" spans="1:17" x14ac:dyDescent="0.25">
      <c r="A1499" s="1">
        <f t="shared" si="360"/>
        <v>1498</v>
      </c>
      <c r="C1499" s="8" t="s">
        <v>17</v>
      </c>
      <c r="D1499" s="2">
        <v>43380</v>
      </c>
      <c r="E1499" s="3">
        <v>320</v>
      </c>
      <c r="F1499" t="s">
        <v>107</v>
      </c>
      <c r="G1499" t="s">
        <v>108</v>
      </c>
      <c r="H1499" t="s">
        <v>109</v>
      </c>
      <c r="I1499" s="6" t="s">
        <v>823</v>
      </c>
      <c r="J1499" s="61" t="s">
        <v>22</v>
      </c>
      <c r="L1499" s="5" t="str">
        <f t="shared" si="377"/>
        <v>01498</v>
      </c>
      <c r="M1499" s="47" t="str">
        <f t="shared" si="378"/>
        <v>07 de octubre de 2018</v>
      </c>
      <c r="N1499" s="323">
        <f t="shared" si="373"/>
        <v>7</v>
      </c>
      <c r="O1499" s="25">
        <f t="shared" si="379"/>
        <v>43374</v>
      </c>
      <c r="P1499" s="5" t="str">
        <f t="shared" si="375"/>
        <v>320,00</v>
      </c>
      <c r="Q1499" s="4" t="str">
        <f t="shared" ref="Q1499:Q1523" si="380">CONVERTIRNUM(E1499)</f>
        <v>Trescientos Veinte Bolívares con 00/100</v>
      </c>
    </row>
    <row r="1500" spans="1:17" x14ac:dyDescent="0.25">
      <c r="A1500" s="1">
        <f t="shared" si="360"/>
        <v>1499</v>
      </c>
      <c r="C1500" s="8" t="s">
        <v>17</v>
      </c>
      <c r="D1500" s="2">
        <v>43380</v>
      </c>
      <c r="E1500" s="3">
        <v>10</v>
      </c>
      <c r="F1500" t="s">
        <v>107</v>
      </c>
      <c r="G1500" t="s">
        <v>108</v>
      </c>
      <c r="H1500" t="s">
        <v>109</v>
      </c>
      <c r="I1500" s="6" t="s">
        <v>826</v>
      </c>
      <c r="J1500" s="61" t="s">
        <v>827</v>
      </c>
      <c r="L1500" s="5" t="str">
        <f t="shared" si="377"/>
        <v>01499</v>
      </c>
      <c r="M1500" s="47" t="str">
        <f t="shared" si="378"/>
        <v>07 de octubre de 2018</v>
      </c>
      <c r="N1500" s="323">
        <f t="shared" si="373"/>
        <v>7</v>
      </c>
      <c r="O1500" s="25">
        <f t="shared" si="379"/>
        <v>43374</v>
      </c>
      <c r="P1500" s="5" t="str">
        <f t="shared" si="375"/>
        <v>10,00</v>
      </c>
      <c r="Q1500" s="4" t="str">
        <f t="shared" si="380"/>
        <v>Diez Bolívares con 00/100</v>
      </c>
    </row>
    <row r="1501" spans="1:17" x14ac:dyDescent="0.25">
      <c r="A1501" s="1">
        <f t="shared" si="360"/>
        <v>1500</v>
      </c>
      <c r="C1501" s="8" t="s">
        <v>17</v>
      </c>
      <c r="D1501" s="2">
        <v>43380</v>
      </c>
      <c r="E1501" s="3">
        <v>320</v>
      </c>
      <c r="F1501" t="s">
        <v>94</v>
      </c>
      <c r="G1501" t="s">
        <v>607</v>
      </c>
      <c r="H1501" t="s">
        <v>96</v>
      </c>
      <c r="I1501" s="6" t="s">
        <v>823</v>
      </c>
      <c r="J1501" s="61" t="s">
        <v>22</v>
      </c>
      <c r="L1501" s="5" t="str">
        <f t="shared" si="377"/>
        <v>01500</v>
      </c>
      <c r="M1501" s="47" t="str">
        <f t="shared" si="378"/>
        <v>07 de octubre de 2018</v>
      </c>
      <c r="N1501" s="323">
        <f t="shared" si="373"/>
        <v>7</v>
      </c>
      <c r="O1501" s="25">
        <f t="shared" si="379"/>
        <v>43374</v>
      </c>
      <c r="P1501" s="5" t="str">
        <f t="shared" si="375"/>
        <v>320,00</v>
      </c>
      <c r="Q1501" s="4" t="str">
        <f t="shared" si="380"/>
        <v>Trescientos Veinte Bolívares con 00/100</v>
      </c>
    </row>
    <row r="1502" spans="1:17" x14ac:dyDescent="0.25">
      <c r="A1502" s="1">
        <f t="shared" si="360"/>
        <v>1501</v>
      </c>
      <c r="C1502" s="8" t="s">
        <v>17</v>
      </c>
      <c r="D1502" s="2">
        <v>43380</v>
      </c>
      <c r="E1502" s="3">
        <v>10</v>
      </c>
      <c r="F1502" t="s">
        <v>94</v>
      </c>
      <c r="G1502" t="s">
        <v>607</v>
      </c>
      <c r="H1502" t="s">
        <v>96</v>
      </c>
      <c r="I1502" s="6" t="s">
        <v>826</v>
      </c>
      <c r="J1502" s="61" t="s">
        <v>827</v>
      </c>
      <c r="L1502" s="5" t="str">
        <f t="shared" si="377"/>
        <v>01501</v>
      </c>
      <c r="M1502" s="47" t="str">
        <f t="shared" si="378"/>
        <v>07 de octubre de 2018</v>
      </c>
      <c r="N1502" s="323">
        <f t="shared" si="373"/>
        <v>7</v>
      </c>
      <c r="O1502" s="25">
        <f t="shared" si="379"/>
        <v>43374</v>
      </c>
      <c r="P1502" s="5" t="str">
        <f t="shared" si="375"/>
        <v>10,00</v>
      </c>
      <c r="Q1502" s="4" t="str">
        <f t="shared" si="380"/>
        <v>Diez Bolívares con 00/100</v>
      </c>
    </row>
    <row r="1503" spans="1:17" x14ac:dyDescent="0.25">
      <c r="A1503" s="1">
        <f t="shared" si="360"/>
        <v>1502</v>
      </c>
      <c r="C1503" s="8" t="s">
        <v>17</v>
      </c>
      <c r="D1503" s="2">
        <v>43380</v>
      </c>
      <c r="E1503" s="3">
        <v>322</v>
      </c>
      <c r="F1503" t="s">
        <v>114</v>
      </c>
      <c r="G1503" t="s">
        <v>115</v>
      </c>
      <c r="H1503" t="s">
        <v>116</v>
      </c>
      <c r="I1503" s="6" t="s">
        <v>829</v>
      </c>
      <c r="J1503" s="61" t="s">
        <v>22</v>
      </c>
      <c r="L1503" s="5" t="str">
        <f t="shared" si="377"/>
        <v>01502</v>
      </c>
      <c r="M1503" s="47" t="str">
        <f t="shared" si="378"/>
        <v>07 de octubre de 2018</v>
      </c>
      <c r="N1503" s="323">
        <f t="shared" si="373"/>
        <v>7</v>
      </c>
      <c r="O1503" s="25">
        <f t="shared" si="379"/>
        <v>43374</v>
      </c>
      <c r="P1503" s="5" t="str">
        <f t="shared" si="375"/>
        <v>322,00</v>
      </c>
      <c r="Q1503" s="4" t="str">
        <f t="shared" si="380"/>
        <v>Trescientos Veintidos Bolívares con 00/100</v>
      </c>
    </row>
    <row r="1504" spans="1:17" x14ac:dyDescent="0.25">
      <c r="A1504" s="1">
        <f t="shared" si="360"/>
        <v>1503</v>
      </c>
      <c r="C1504" s="8" t="s">
        <v>17</v>
      </c>
      <c r="D1504" s="2">
        <v>43380</v>
      </c>
      <c r="E1504" s="3">
        <v>10</v>
      </c>
      <c r="F1504" t="s">
        <v>114</v>
      </c>
      <c r="G1504" t="s">
        <v>115</v>
      </c>
      <c r="H1504" t="s">
        <v>116</v>
      </c>
      <c r="I1504" s="6" t="s">
        <v>826</v>
      </c>
      <c r="J1504" s="61" t="s">
        <v>827</v>
      </c>
      <c r="L1504" s="5" t="str">
        <f t="shared" si="377"/>
        <v>01503</v>
      </c>
      <c r="M1504" s="47" t="str">
        <f t="shared" si="378"/>
        <v>07 de octubre de 2018</v>
      </c>
      <c r="N1504" s="323">
        <f t="shared" si="373"/>
        <v>7</v>
      </c>
      <c r="O1504" s="25">
        <f t="shared" si="379"/>
        <v>43374</v>
      </c>
      <c r="P1504" s="5" t="str">
        <f t="shared" si="375"/>
        <v>10,00</v>
      </c>
      <c r="Q1504" s="4" t="str">
        <f t="shared" si="380"/>
        <v>Diez Bolívares con 00/100</v>
      </c>
    </row>
    <row r="1505" spans="1:17" x14ac:dyDescent="0.25">
      <c r="A1505" s="1">
        <f t="shared" si="360"/>
        <v>1504</v>
      </c>
      <c r="C1505" s="8" t="s">
        <v>17</v>
      </c>
      <c r="D1505" s="2">
        <v>43380</v>
      </c>
      <c r="E1505" s="3">
        <v>320</v>
      </c>
      <c r="F1505" t="s">
        <v>114</v>
      </c>
      <c r="G1505" t="s">
        <v>115</v>
      </c>
      <c r="H1505" t="s">
        <v>105</v>
      </c>
      <c r="I1505" s="6" t="s">
        <v>823</v>
      </c>
      <c r="J1505" s="61" t="s">
        <v>22</v>
      </c>
      <c r="L1505" s="5" t="str">
        <f t="shared" si="377"/>
        <v>01504</v>
      </c>
      <c r="M1505" s="47" t="str">
        <f t="shared" si="378"/>
        <v>07 de octubre de 2018</v>
      </c>
      <c r="N1505" s="323">
        <f t="shared" si="373"/>
        <v>7</v>
      </c>
      <c r="O1505" s="25">
        <f t="shared" si="379"/>
        <v>43374</v>
      </c>
      <c r="P1505" s="5" t="str">
        <f t="shared" si="375"/>
        <v>320,00</v>
      </c>
      <c r="Q1505" s="4" t="str">
        <f t="shared" si="380"/>
        <v>Trescientos Veinte Bolívares con 00/100</v>
      </c>
    </row>
    <row r="1506" spans="1:17" x14ac:dyDescent="0.25">
      <c r="A1506" s="1">
        <f t="shared" si="360"/>
        <v>1505</v>
      </c>
      <c r="C1506" s="8" t="s">
        <v>17</v>
      </c>
      <c r="D1506" s="2">
        <v>43380</v>
      </c>
      <c r="E1506" s="3">
        <v>320</v>
      </c>
      <c r="F1506" t="s">
        <v>443</v>
      </c>
      <c r="G1506" t="s">
        <v>444</v>
      </c>
      <c r="H1506" t="s">
        <v>75</v>
      </c>
      <c r="I1506" s="6" t="s">
        <v>823</v>
      </c>
      <c r="J1506" s="61" t="s">
        <v>22</v>
      </c>
      <c r="L1506" s="5" t="str">
        <f t="shared" si="377"/>
        <v>01505</v>
      </c>
      <c r="M1506" s="47" t="str">
        <f t="shared" si="378"/>
        <v>07 de octubre de 2018</v>
      </c>
      <c r="N1506" s="323">
        <f t="shared" si="373"/>
        <v>7</v>
      </c>
      <c r="O1506" s="25">
        <f t="shared" si="379"/>
        <v>43374</v>
      </c>
      <c r="P1506" s="5" t="str">
        <f t="shared" si="375"/>
        <v>320,00</v>
      </c>
      <c r="Q1506" s="4" t="str">
        <f t="shared" si="380"/>
        <v>Trescientos Veinte Bolívares con 00/100</v>
      </c>
    </row>
    <row r="1507" spans="1:17" x14ac:dyDescent="0.25">
      <c r="A1507" s="1">
        <f t="shared" si="360"/>
        <v>1506</v>
      </c>
      <c r="C1507" s="8" t="s">
        <v>17</v>
      </c>
      <c r="D1507" s="2">
        <v>43380</v>
      </c>
      <c r="E1507" s="3">
        <v>30</v>
      </c>
      <c r="F1507" t="s">
        <v>443</v>
      </c>
      <c r="G1507" t="s">
        <v>444</v>
      </c>
      <c r="H1507" t="s">
        <v>75</v>
      </c>
      <c r="I1507" s="6" t="s">
        <v>826</v>
      </c>
      <c r="J1507" s="61" t="s">
        <v>827</v>
      </c>
      <c r="L1507" s="5" t="str">
        <f t="shared" si="377"/>
        <v>01506</v>
      </c>
      <c r="M1507" s="47" t="str">
        <f t="shared" si="378"/>
        <v>07 de octubre de 2018</v>
      </c>
      <c r="N1507" s="323">
        <f t="shared" si="373"/>
        <v>7</v>
      </c>
      <c r="O1507" s="25">
        <f t="shared" si="379"/>
        <v>43374</v>
      </c>
      <c r="P1507" s="5" t="str">
        <f t="shared" si="375"/>
        <v>30,00</v>
      </c>
      <c r="Q1507" s="4" t="str">
        <f t="shared" si="380"/>
        <v>Treinta Bolívares con 00/100</v>
      </c>
    </row>
    <row r="1508" spans="1:17" x14ac:dyDescent="0.25">
      <c r="A1508" s="1">
        <f t="shared" si="360"/>
        <v>1507</v>
      </c>
      <c r="C1508" s="8" t="s">
        <v>17</v>
      </c>
      <c r="D1508" s="2">
        <v>43381</v>
      </c>
      <c r="E1508" s="3">
        <v>320</v>
      </c>
      <c r="F1508" t="s">
        <v>126</v>
      </c>
      <c r="G1508" t="s">
        <v>127</v>
      </c>
      <c r="H1508" t="s">
        <v>128</v>
      </c>
      <c r="I1508" s="6" t="s">
        <v>823</v>
      </c>
      <c r="J1508" s="61" t="s">
        <v>22</v>
      </c>
      <c r="L1508" s="5" t="str">
        <f t="shared" si="377"/>
        <v>01507</v>
      </c>
      <c r="M1508" s="47" t="str">
        <f t="shared" si="378"/>
        <v>08 de octubre de 2018</v>
      </c>
      <c r="N1508" s="323">
        <f t="shared" si="373"/>
        <v>8</v>
      </c>
      <c r="O1508" s="25">
        <f t="shared" si="379"/>
        <v>43374</v>
      </c>
      <c r="P1508" s="5" t="str">
        <f t="shared" si="375"/>
        <v>320,00</v>
      </c>
      <c r="Q1508" s="4" t="str">
        <f t="shared" si="380"/>
        <v>Trescientos Veinte Bolívares con 00/100</v>
      </c>
    </row>
    <row r="1509" spans="1:17" x14ac:dyDescent="0.25">
      <c r="A1509" s="1">
        <f t="shared" si="360"/>
        <v>1508</v>
      </c>
      <c r="C1509" s="8" t="s">
        <v>17</v>
      </c>
      <c r="D1509" s="2">
        <v>43381</v>
      </c>
      <c r="E1509" s="3">
        <v>10</v>
      </c>
      <c r="F1509" t="s">
        <v>126</v>
      </c>
      <c r="G1509" t="s">
        <v>127</v>
      </c>
      <c r="H1509" t="s">
        <v>128</v>
      </c>
      <c r="I1509" s="6" t="s">
        <v>826</v>
      </c>
      <c r="J1509" s="61" t="s">
        <v>827</v>
      </c>
      <c r="L1509" s="5" t="str">
        <f t="shared" si="377"/>
        <v>01508</v>
      </c>
      <c r="M1509" s="47" t="str">
        <f t="shared" si="378"/>
        <v>08 de octubre de 2018</v>
      </c>
      <c r="N1509" s="323">
        <f t="shared" si="373"/>
        <v>8</v>
      </c>
      <c r="O1509" s="25">
        <f t="shared" si="379"/>
        <v>43374</v>
      </c>
      <c r="P1509" s="5" t="str">
        <f t="shared" si="375"/>
        <v>10,00</v>
      </c>
      <c r="Q1509" s="4" t="str">
        <f t="shared" si="380"/>
        <v>Diez Bolívares con 00/100</v>
      </c>
    </row>
    <row r="1510" spans="1:17" x14ac:dyDescent="0.25">
      <c r="A1510" s="1">
        <f t="shared" si="360"/>
        <v>1509</v>
      </c>
      <c r="C1510" s="8" t="s">
        <v>17</v>
      </c>
      <c r="D1510" s="2">
        <v>43381</v>
      </c>
      <c r="E1510" s="3">
        <v>320</v>
      </c>
      <c r="F1510" t="s">
        <v>337</v>
      </c>
      <c r="G1510" t="s">
        <v>338</v>
      </c>
      <c r="H1510" t="s">
        <v>339</v>
      </c>
      <c r="I1510" s="6" t="s">
        <v>823</v>
      </c>
      <c r="J1510" s="61" t="s">
        <v>22</v>
      </c>
      <c r="L1510" s="5" t="str">
        <f t="shared" si="377"/>
        <v>01509</v>
      </c>
      <c r="M1510" s="47" t="str">
        <f t="shared" si="378"/>
        <v>08 de octubre de 2018</v>
      </c>
      <c r="N1510" s="323">
        <f t="shared" si="373"/>
        <v>8</v>
      </c>
      <c r="O1510" s="25">
        <f t="shared" si="379"/>
        <v>43374</v>
      </c>
      <c r="P1510" s="5" t="str">
        <f t="shared" si="375"/>
        <v>320,00</v>
      </c>
      <c r="Q1510" s="4" t="str">
        <f t="shared" si="380"/>
        <v>Trescientos Veinte Bolívares con 00/100</v>
      </c>
    </row>
    <row r="1511" spans="1:17" x14ac:dyDescent="0.25">
      <c r="A1511" s="1">
        <f t="shared" si="360"/>
        <v>1510</v>
      </c>
      <c r="C1511" s="8" t="s">
        <v>17</v>
      </c>
      <c r="D1511" s="2">
        <v>43381</v>
      </c>
      <c r="E1511" s="3">
        <v>10</v>
      </c>
      <c r="F1511" t="s">
        <v>337</v>
      </c>
      <c r="G1511" t="s">
        <v>338</v>
      </c>
      <c r="H1511" t="s">
        <v>339</v>
      </c>
      <c r="I1511" s="6" t="s">
        <v>826</v>
      </c>
      <c r="J1511" s="61" t="s">
        <v>827</v>
      </c>
      <c r="L1511" s="5" t="str">
        <f t="shared" si="377"/>
        <v>01510</v>
      </c>
      <c r="M1511" s="47" t="str">
        <f t="shared" si="378"/>
        <v>08 de octubre de 2018</v>
      </c>
      <c r="N1511" s="323">
        <f t="shared" si="373"/>
        <v>8</v>
      </c>
      <c r="O1511" s="25">
        <f t="shared" si="379"/>
        <v>43374</v>
      </c>
      <c r="P1511" s="5" t="str">
        <f t="shared" si="375"/>
        <v>10,00</v>
      </c>
      <c r="Q1511" s="4" t="str">
        <f t="shared" si="380"/>
        <v>Diez Bolívares con 00/100</v>
      </c>
    </row>
    <row r="1512" spans="1:17" x14ac:dyDescent="0.25">
      <c r="A1512" s="1">
        <f t="shared" si="360"/>
        <v>1511</v>
      </c>
      <c r="C1512" s="8" t="s">
        <v>17</v>
      </c>
      <c r="D1512" s="2">
        <v>43381</v>
      </c>
      <c r="E1512" s="3">
        <v>320</v>
      </c>
      <c r="F1512" t="s">
        <v>248</v>
      </c>
      <c r="G1512" t="s">
        <v>249</v>
      </c>
      <c r="H1512" t="s">
        <v>250</v>
      </c>
      <c r="I1512" s="6" t="s">
        <v>834</v>
      </c>
      <c r="J1512" s="61" t="s">
        <v>22</v>
      </c>
      <c r="L1512" s="5" t="str">
        <f t="shared" si="377"/>
        <v>01511</v>
      </c>
      <c r="M1512" s="47" t="str">
        <f t="shared" si="378"/>
        <v>08 de octubre de 2018</v>
      </c>
      <c r="N1512" s="323">
        <f t="shared" si="373"/>
        <v>8</v>
      </c>
      <c r="O1512" s="25">
        <f t="shared" si="379"/>
        <v>43374</v>
      </c>
      <c r="P1512" s="5" t="str">
        <f t="shared" si="375"/>
        <v>320,00</v>
      </c>
      <c r="Q1512" s="4" t="str">
        <f t="shared" si="380"/>
        <v>Trescientos Veinte Bolívares con 00/100</v>
      </c>
    </row>
    <row r="1513" spans="1:17" x14ac:dyDescent="0.25">
      <c r="A1513" s="1">
        <f t="shared" si="360"/>
        <v>1512</v>
      </c>
      <c r="C1513" s="8" t="s">
        <v>17</v>
      </c>
      <c r="D1513" s="2">
        <v>43381</v>
      </c>
      <c r="E1513" s="3">
        <v>10</v>
      </c>
      <c r="F1513" t="s">
        <v>248</v>
      </c>
      <c r="G1513" t="s">
        <v>249</v>
      </c>
      <c r="H1513" t="s">
        <v>250</v>
      </c>
      <c r="I1513" s="6" t="s">
        <v>826</v>
      </c>
      <c r="J1513" s="61" t="s">
        <v>827</v>
      </c>
      <c r="L1513" s="5" t="str">
        <f t="shared" si="377"/>
        <v>01512</v>
      </c>
      <c r="M1513" s="47" t="str">
        <f t="shared" si="378"/>
        <v>08 de octubre de 2018</v>
      </c>
      <c r="N1513" s="323">
        <f t="shared" si="373"/>
        <v>8</v>
      </c>
      <c r="O1513" s="25">
        <f t="shared" si="379"/>
        <v>43374</v>
      </c>
      <c r="P1513" s="5" t="str">
        <f t="shared" si="375"/>
        <v>10,00</v>
      </c>
      <c r="Q1513" s="4" t="str">
        <f t="shared" si="380"/>
        <v>Diez Bolívares con 00/100</v>
      </c>
    </row>
    <row r="1514" spans="1:17" x14ac:dyDescent="0.25">
      <c r="A1514" s="1">
        <f t="shared" si="360"/>
        <v>1513</v>
      </c>
      <c r="C1514" s="8" t="s">
        <v>17</v>
      </c>
      <c r="D1514" s="2">
        <v>43381</v>
      </c>
      <c r="E1514" s="3">
        <v>320</v>
      </c>
      <c r="F1514" t="s">
        <v>80</v>
      </c>
      <c r="G1514" t="s">
        <v>81</v>
      </c>
      <c r="H1514" t="s">
        <v>82</v>
      </c>
      <c r="I1514" s="6" t="s">
        <v>823</v>
      </c>
      <c r="J1514" s="61" t="s">
        <v>22</v>
      </c>
      <c r="L1514" s="5" t="str">
        <f t="shared" si="377"/>
        <v>01513</v>
      </c>
      <c r="M1514" s="47" t="str">
        <f t="shared" si="378"/>
        <v>08 de octubre de 2018</v>
      </c>
      <c r="N1514" s="323">
        <f t="shared" si="373"/>
        <v>8</v>
      </c>
      <c r="O1514" s="25">
        <f t="shared" si="379"/>
        <v>43374</v>
      </c>
      <c r="P1514" s="5" t="str">
        <f t="shared" si="375"/>
        <v>320,00</v>
      </c>
      <c r="Q1514" s="4" t="str">
        <f t="shared" si="380"/>
        <v>Trescientos Veinte Bolívares con 00/100</v>
      </c>
    </row>
    <row r="1515" spans="1:17" x14ac:dyDescent="0.25">
      <c r="A1515" s="1">
        <f t="shared" si="360"/>
        <v>1514</v>
      </c>
      <c r="C1515" s="8" t="s">
        <v>17</v>
      </c>
      <c r="D1515" s="2">
        <v>43381</v>
      </c>
      <c r="E1515" s="3">
        <v>10</v>
      </c>
      <c r="F1515" t="s">
        <v>80</v>
      </c>
      <c r="G1515" t="s">
        <v>81</v>
      </c>
      <c r="H1515" t="s">
        <v>82</v>
      </c>
      <c r="I1515" s="6" t="s">
        <v>826</v>
      </c>
      <c r="J1515" s="61" t="s">
        <v>827</v>
      </c>
      <c r="L1515" s="5" t="str">
        <f t="shared" si="377"/>
        <v>01514</v>
      </c>
      <c r="M1515" s="47" t="str">
        <f t="shared" si="378"/>
        <v>08 de octubre de 2018</v>
      </c>
      <c r="N1515" s="323">
        <f t="shared" si="373"/>
        <v>8</v>
      </c>
      <c r="O1515" s="25">
        <f t="shared" si="379"/>
        <v>43374</v>
      </c>
      <c r="P1515" s="5" t="str">
        <f t="shared" si="375"/>
        <v>10,00</v>
      </c>
      <c r="Q1515" s="4" t="str">
        <f t="shared" si="380"/>
        <v>Diez Bolívares con 00/100</v>
      </c>
    </row>
    <row r="1516" spans="1:17" x14ac:dyDescent="0.25">
      <c r="A1516" s="1">
        <f t="shared" si="360"/>
        <v>1515</v>
      </c>
      <c r="C1516" s="8" t="s">
        <v>17</v>
      </c>
      <c r="D1516" s="2">
        <v>43381</v>
      </c>
      <c r="E1516" s="3">
        <v>320</v>
      </c>
      <c r="F1516" t="s">
        <v>118</v>
      </c>
      <c r="G1516" t="s">
        <v>119</v>
      </c>
      <c r="H1516" t="s">
        <v>120</v>
      </c>
      <c r="I1516" s="6" t="s">
        <v>810</v>
      </c>
      <c r="J1516" s="61" t="s">
        <v>22</v>
      </c>
      <c r="L1516" s="5" t="str">
        <f t="shared" si="377"/>
        <v>01515</v>
      </c>
      <c r="M1516" s="47" t="str">
        <f t="shared" si="378"/>
        <v>08 de octubre de 2018</v>
      </c>
      <c r="N1516" s="323">
        <f t="shared" si="373"/>
        <v>8</v>
      </c>
      <c r="O1516" s="25">
        <f t="shared" si="379"/>
        <v>43374</v>
      </c>
      <c r="P1516" s="5" t="str">
        <f t="shared" si="375"/>
        <v>320,00</v>
      </c>
      <c r="Q1516" s="4" t="str">
        <f t="shared" si="380"/>
        <v>Trescientos Veinte Bolívares con 00/100</v>
      </c>
    </row>
    <row r="1517" spans="1:17" x14ac:dyDescent="0.25">
      <c r="A1517" s="1">
        <f t="shared" si="360"/>
        <v>1516</v>
      </c>
      <c r="C1517" s="8" t="s">
        <v>17</v>
      </c>
      <c r="D1517" s="2">
        <v>43381</v>
      </c>
      <c r="E1517" s="3">
        <v>10</v>
      </c>
      <c r="F1517" t="s">
        <v>118</v>
      </c>
      <c r="G1517" t="s">
        <v>119</v>
      </c>
      <c r="H1517" t="s">
        <v>120</v>
      </c>
      <c r="I1517" s="6" t="s">
        <v>826</v>
      </c>
      <c r="J1517" s="61" t="s">
        <v>827</v>
      </c>
      <c r="L1517" s="5" t="str">
        <f t="shared" si="377"/>
        <v>01516</v>
      </c>
      <c r="M1517" s="47" t="str">
        <f t="shared" si="378"/>
        <v>08 de octubre de 2018</v>
      </c>
      <c r="N1517" s="323">
        <f t="shared" si="373"/>
        <v>8</v>
      </c>
      <c r="O1517" s="25">
        <f t="shared" si="379"/>
        <v>43374</v>
      </c>
      <c r="P1517" s="5" t="str">
        <f t="shared" si="375"/>
        <v>10,00</v>
      </c>
      <c r="Q1517" s="4" t="str">
        <f t="shared" si="380"/>
        <v>Diez Bolívares con 00/100</v>
      </c>
    </row>
    <row r="1518" spans="1:17" x14ac:dyDescent="0.25">
      <c r="A1518" s="1">
        <f t="shared" si="360"/>
        <v>1517</v>
      </c>
      <c r="C1518" s="85" t="s">
        <v>17</v>
      </c>
      <c r="D1518" s="2">
        <v>43382</v>
      </c>
      <c r="E1518" s="3">
        <v>10</v>
      </c>
      <c r="F1518" t="s">
        <v>177</v>
      </c>
      <c r="G1518" s="18" t="s">
        <v>58</v>
      </c>
      <c r="H1518" t="s">
        <v>179</v>
      </c>
      <c r="I1518" s="6" t="s">
        <v>826</v>
      </c>
      <c r="J1518" s="61" t="s">
        <v>827</v>
      </c>
      <c r="L1518" s="5" t="str">
        <f t="shared" si="377"/>
        <v>01517</v>
      </c>
      <c r="M1518" s="47" t="str">
        <f t="shared" si="378"/>
        <v>09 de octubre de 2018</v>
      </c>
      <c r="N1518" s="323">
        <f t="shared" si="373"/>
        <v>9</v>
      </c>
      <c r="O1518" s="25">
        <f t="shared" si="379"/>
        <v>43374</v>
      </c>
      <c r="P1518" s="5" t="str">
        <f t="shared" si="375"/>
        <v>10,00</v>
      </c>
      <c r="Q1518" s="4" t="str">
        <f t="shared" si="380"/>
        <v>Diez Bolívares con 00/100</v>
      </c>
    </row>
    <row r="1519" spans="1:17" x14ac:dyDescent="0.25">
      <c r="A1519" s="1">
        <f t="shared" si="360"/>
        <v>1518</v>
      </c>
      <c r="C1519" s="8" t="s">
        <v>17</v>
      </c>
      <c r="D1519" s="2">
        <v>43383</v>
      </c>
      <c r="E1519" s="3">
        <v>320</v>
      </c>
      <c r="F1519" t="s">
        <v>633</v>
      </c>
      <c r="G1519" t="s">
        <v>634</v>
      </c>
      <c r="H1519" t="s">
        <v>635</v>
      </c>
      <c r="I1519" s="6" t="s">
        <v>823</v>
      </c>
      <c r="J1519" s="61" t="s">
        <v>22</v>
      </c>
      <c r="L1519" s="5" t="str">
        <f t="shared" si="377"/>
        <v>01518</v>
      </c>
      <c r="M1519" s="47" t="str">
        <f t="shared" si="378"/>
        <v>10 de octubre de 2018</v>
      </c>
      <c r="N1519" s="323">
        <f t="shared" si="373"/>
        <v>10</v>
      </c>
      <c r="O1519" s="25">
        <f t="shared" si="379"/>
        <v>43374</v>
      </c>
      <c r="P1519" s="5" t="str">
        <f t="shared" si="375"/>
        <v>320,00</v>
      </c>
      <c r="Q1519" s="4" t="str">
        <f t="shared" si="380"/>
        <v>Trescientos Veinte Bolívares con 00/100</v>
      </c>
    </row>
    <row r="1520" spans="1:17" x14ac:dyDescent="0.25">
      <c r="A1520" s="1">
        <f t="shared" si="360"/>
        <v>1519</v>
      </c>
      <c r="C1520" s="8" t="s">
        <v>17</v>
      </c>
      <c r="D1520" s="2">
        <v>43384</v>
      </c>
      <c r="E1520" s="3">
        <f t="shared" ref="E1520" si="381">20.55+299.45</f>
        <v>320</v>
      </c>
      <c r="F1520" t="s">
        <v>100</v>
      </c>
      <c r="G1520" t="s">
        <v>95</v>
      </c>
      <c r="H1520" t="s">
        <v>101</v>
      </c>
      <c r="I1520" s="6" t="s">
        <v>823</v>
      </c>
      <c r="J1520" s="61" t="s">
        <v>22</v>
      </c>
      <c r="L1520" s="5" t="str">
        <f t="shared" si="377"/>
        <v>01519</v>
      </c>
      <c r="M1520" s="47" t="str">
        <f t="shared" si="378"/>
        <v>11 de octubre de 2018</v>
      </c>
      <c r="N1520" s="323">
        <f t="shared" si="373"/>
        <v>11</v>
      </c>
      <c r="O1520" s="25">
        <f t="shared" si="379"/>
        <v>43374</v>
      </c>
      <c r="P1520" s="5" t="str">
        <f t="shared" si="375"/>
        <v>320,00</v>
      </c>
      <c r="Q1520" s="4" t="str">
        <f t="shared" si="380"/>
        <v>Trescientos Veinte Bolívares con 00/100</v>
      </c>
    </row>
    <row r="1521" spans="1:17" x14ac:dyDescent="0.25">
      <c r="A1521" s="1">
        <f t="shared" si="360"/>
        <v>1520</v>
      </c>
      <c r="C1521" s="8" t="s">
        <v>17</v>
      </c>
      <c r="D1521" s="2">
        <v>43384</v>
      </c>
      <c r="E1521" s="3">
        <v>10</v>
      </c>
      <c r="F1521" t="s">
        <v>100</v>
      </c>
      <c r="G1521" t="s">
        <v>95</v>
      </c>
      <c r="H1521" t="s">
        <v>101</v>
      </c>
      <c r="I1521" s="6" t="s">
        <v>826</v>
      </c>
      <c r="J1521" s="61" t="s">
        <v>827</v>
      </c>
      <c r="L1521" s="5" t="str">
        <f t="shared" si="377"/>
        <v>01520</v>
      </c>
      <c r="M1521" s="47" t="str">
        <f t="shared" si="378"/>
        <v>11 de octubre de 2018</v>
      </c>
      <c r="N1521" s="323">
        <f t="shared" si="373"/>
        <v>11</v>
      </c>
      <c r="O1521" s="25">
        <f t="shared" si="379"/>
        <v>43374</v>
      </c>
      <c r="P1521" s="5" t="str">
        <f t="shared" si="375"/>
        <v>10,00</v>
      </c>
      <c r="Q1521" s="4" t="str">
        <f t="shared" si="380"/>
        <v>Diez Bolívares con 00/100</v>
      </c>
    </row>
    <row r="1522" spans="1:17" x14ac:dyDescent="0.25">
      <c r="A1522" s="1">
        <f t="shared" si="360"/>
        <v>1521</v>
      </c>
      <c r="C1522" s="8" t="s">
        <v>17</v>
      </c>
      <c r="D1522" s="2">
        <v>43382</v>
      </c>
      <c r="E1522" s="3">
        <v>640</v>
      </c>
      <c r="F1522" t="s">
        <v>230</v>
      </c>
      <c r="G1522" t="s">
        <v>231</v>
      </c>
      <c r="H1522" t="s">
        <v>232</v>
      </c>
      <c r="I1522" s="6" t="s">
        <v>835</v>
      </c>
      <c r="J1522" s="61" t="s">
        <v>22</v>
      </c>
      <c r="L1522" s="5" t="str">
        <f t="shared" si="377"/>
        <v>01521</v>
      </c>
      <c r="M1522" s="47" t="str">
        <f t="shared" si="378"/>
        <v>09 de octubre de 2018</v>
      </c>
      <c r="N1522" s="323">
        <f t="shared" si="373"/>
        <v>9</v>
      </c>
      <c r="O1522" s="25">
        <f t="shared" si="379"/>
        <v>43374</v>
      </c>
      <c r="P1522" s="5" t="str">
        <f t="shared" si="375"/>
        <v>640,00</v>
      </c>
      <c r="Q1522" s="4" t="str">
        <f t="shared" si="380"/>
        <v>Seiscientos Cuarenta Bolívares con 00/100</v>
      </c>
    </row>
    <row r="1523" spans="1:17" x14ac:dyDescent="0.25">
      <c r="A1523" s="1">
        <f t="shared" si="360"/>
        <v>1522</v>
      </c>
      <c r="C1523" s="8" t="s">
        <v>17</v>
      </c>
      <c r="D1523" s="2">
        <v>43382</v>
      </c>
      <c r="E1523" s="3">
        <v>10</v>
      </c>
      <c r="F1523" t="s">
        <v>230</v>
      </c>
      <c r="G1523" t="s">
        <v>231</v>
      </c>
      <c r="H1523" t="s">
        <v>232</v>
      </c>
      <c r="I1523" s="6" t="s">
        <v>826</v>
      </c>
      <c r="J1523" s="61" t="s">
        <v>827</v>
      </c>
      <c r="L1523" s="5" t="str">
        <f t="shared" si="377"/>
        <v>01522</v>
      </c>
      <c r="M1523" s="47" t="str">
        <f t="shared" si="378"/>
        <v>09 de octubre de 2018</v>
      </c>
      <c r="N1523" s="323">
        <f t="shared" si="373"/>
        <v>9</v>
      </c>
      <c r="O1523" s="25">
        <f t="shared" si="379"/>
        <v>43374</v>
      </c>
      <c r="P1523" s="5" t="str">
        <f t="shared" si="375"/>
        <v>10,00</v>
      </c>
      <c r="Q1523" s="4" t="str">
        <f t="shared" si="380"/>
        <v>Diez Bolívares con 00/100</v>
      </c>
    </row>
    <row r="1524" spans="1:17" x14ac:dyDescent="0.25">
      <c r="A1524" s="1">
        <f t="shared" si="360"/>
        <v>1523</v>
      </c>
      <c r="C1524" s="8" t="s">
        <v>17</v>
      </c>
      <c r="D1524" s="2">
        <v>43377</v>
      </c>
      <c r="E1524" s="3">
        <v>10</v>
      </c>
      <c r="F1524" t="s">
        <v>633</v>
      </c>
      <c r="G1524" t="s">
        <v>634</v>
      </c>
      <c r="H1524" t="s">
        <v>635</v>
      </c>
      <c r="I1524" s="6" t="s">
        <v>826</v>
      </c>
      <c r="J1524" s="61" t="s">
        <v>827</v>
      </c>
      <c r="L1524" s="5" t="str">
        <f t="shared" ref="L1524:L1526" si="382">IF(ISBLANK(A1524),"",TEXT(A1524,"00000"))</f>
        <v>01523</v>
      </c>
      <c r="M1524" s="47" t="str">
        <f t="shared" ref="M1524:M1526" si="383">IF(ISBLANK(D1524),"",TEXT(D1524,"dd")&amp;" de "&amp;TEXT(D1524,"mmmm")&amp;" de "&amp;TEXT(YEAR(D1524),"0"))</f>
        <v>04 de octubre de 2018</v>
      </c>
      <c r="N1524" s="323">
        <f t="shared" ref="N1524:N1526" si="384">DAY(D1524)</f>
        <v>4</v>
      </c>
      <c r="O1524" s="25">
        <f t="shared" ref="O1524:O1526" si="385">DATE(YEAR(D1524),MONTH(D1524),1)</f>
        <v>43374</v>
      </c>
      <c r="P1524" s="5" t="str">
        <f t="shared" ref="P1524:P1526" si="386">TEXT(E1524,"#.##0,00")</f>
        <v>10,00</v>
      </c>
      <c r="Q1524" s="4" t="str">
        <f t="shared" ref="Q1524:Q1526" si="387">CONVERTIRNUM(E1524)</f>
        <v>Diez Bolívares con 00/100</v>
      </c>
    </row>
    <row r="1525" spans="1:17" x14ac:dyDescent="0.25">
      <c r="A1525" s="1">
        <f t="shared" si="360"/>
        <v>1524</v>
      </c>
      <c r="C1525" s="8" t="s">
        <v>17</v>
      </c>
      <c r="D1525" s="2">
        <v>43384</v>
      </c>
      <c r="E1525" s="3">
        <v>320</v>
      </c>
      <c r="F1525" t="s">
        <v>18</v>
      </c>
      <c r="G1525" t="s">
        <v>19</v>
      </c>
      <c r="H1525" t="s">
        <v>20</v>
      </c>
      <c r="I1525" s="6" t="s">
        <v>836</v>
      </c>
      <c r="J1525" s="61" t="s">
        <v>22</v>
      </c>
      <c r="L1525" s="5" t="str">
        <f t="shared" si="382"/>
        <v>01524</v>
      </c>
      <c r="M1525" s="47" t="str">
        <f t="shared" si="383"/>
        <v>11 de octubre de 2018</v>
      </c>
      <c r="N1525" s="323">
        <f t="shared" si="384"/>
        <v>11</v>
      </c>
      <c r="O1525" s="25">
        <f t="shared" si="385"/>
        <v>43374</v>
      </c>
      <c r="P1525" s="5" t="str">
        <f t="shared" si="386"/>
        <v>320,00</v>
      </c>
      <c r="Q1525" s="4" t="str">
        <f t="shared" si="387"/>
        <v>Trescientos Veinte Bolívares con 00/100</v>
      </c>
    </row>
    <row r="1526" spans="1:17" x14ac:dyDescent="0.25">
      <c r="A1526" s="1">
        <f t="shared" si="360"/>
        <v>1525</v>
      </c>
      <c r="C1526" s="8" t="s">
        <v>17</v>
      </c>
      <c r="D1526" s="2">
        <v>43381</v>
      </c>
      <c r="E1526" s="3">
        <v>320</v>
      </c>
      <c r="F1526" t="s">
        <v>296</v>
      </c>
      <c r="G1526" t="s">
        <v>297</v>
      </c>
      <c r="H1526" t="s">
        <v>298</v>
      </c>
      <c r="I1526" s="6" t="s">
        <v>810</v>
      </c>
      <c r="J1526" s="61" t="s">
        <v>22</v>
      </c>
      <c r="L1526" s="5" t="str">
        <f t="shared" si="382"/>
        <v>01525</v>
      </c>
      <c r="M1526" s="47" t="str">
        <f t="shared" si="383"/>
        <v>08 de octubre de 2018</v>
      </c>
      <c r="N1526" s="323">
        <f t="shared" si="384"/>
        <v>8</v>
      </c>
      <c r="O1526" s="25">
        <f t="shared" si="385"/>
        <v>43374</v>
      </c>
      <c r="P1526" s="5" t="str">
        <f t="shared" si="386"/>
        <v>320,00</v>
      </c>
      <c r="Q1526" s="4" t="str">
        <f t="shared" si="387"/>
        <v>Trescientos Veinte Bolívares con 00/100</v>
      </c>
    </row>
    <row r="1527" spans="1:17" x14ac:dyDescent="0.25">
      <c r="A1527" s="1">
        <f t="shared" si="360"/>
        <v>1526</v>
      </c>
      <c r="C1527" s="8" t="s">
        <v>17</v>
      </c>
      <c r="D1527" s="2">
        <v>43381</v>
      </c>
      <c r="E1527" s="3">
        <v>10</v>
      </c>
      <c r="F1527" t="s">
        <v>296</v>
      </c>
      <c r="G1527" t="s">
        <v>297</v>
      </c>
      <c r="H1527" t="s">
        <v>298</v>
      </c>
      <c r="I1527" s="6" t="s">
        <v>826</v>
      </c>
      <c r="J1527" s="61" t="s">
        <v>827</v>
      </c>
      <c r="L1527" s="5" t="str">
        <f t="shared" ref="L1527:L1548" si="388">IF(ISBLANK(A1527),"",TEXT(A1527,"00000"))</f>
        <v>01526</v>
      </c>
      <c r="M1527" s="47" t="str">
        <f t="shared" ref="M1527:M1548" si="389">IF(ISBLANK(D1527),"",TEXT(D1527,"dd")&amp;" de "&amp;TEXT(D1527,"mmmm")&amp;" de "&amp;TEXT(YEAR(D1527),"0"))</f>
        <v>08 de octubre de 2018</v>
      </c>
      <c r="N1527" s="323">
        <f t="shared" ref="N1527:N1556" si="390">DAY(D1527)</f>
        <v>8</v>
      </c>
      <c r="O1527" s="25">
        <f t="shared" ref="O1527:O1548" si="391">DATE(YEAR(D1527),MONTH(D1527),1)</f>
        <v>43374</v>
      </c>
      <c r="P1527" s="5" t="str">
        <f t="shared" ref="P1527:P1556" si="392">TEXT(E1527,"#.##0,00")</f>
        <v>10,00</v>
      </c>
      <c r="Q1527" s="4" t="str">
        <f t="shared" ref="Q1527:Q1551" si="393">CONVERTIRNUM(E1527)</f>
        <v>Diez Bolívares con 00/100</v>
      </c>
    </row>
    <row r="1528" spans="1:17" x14ac:dyDescent="0.25">
      <c r="A1528" s="1">
        <f t="shared" si="360"/>
        <v>1527</v>
      </c>
      <c r="C1528" s="8" t="s">
        <v>17</v>
      </c>
      <c r="D1528" s="2">
        <v>43385</v>
      </c>
      <c r="E1528" s="3">
        <v>320</v>
      </c>
      <c r="F1528" t="s">
        <v>62</v>
      </c>
      <c r="G1528" t="s">
        <v>63</v>
      </c>
      <c r="H1528" t="s">
        <v>64</v>
      </c>
      <c r="I1528" s="6" t="s">
        <v>810</v>
      </c>
      <c r="J1528" s="61" t="s">
        <v>22</v>
      </c>
      <c r="L1528" s="5" t="str">
        <f t="shared" si="388"/>
        <v>01527</v>
      </c>
      <c r="M1528" s="47" t="str">
        <f t="shared" si="389"/>
        <v>12 de octubre de 2018</v>
      </c>
      <c r="N1528" s="323">
        <f t="shared" si="390"/>
        <v>12</v>
      </c>
      <c r="O1528" s="25">
        <f t="shared" si="391"/>
        <v>43374</v>
      </c>
      <c r="P1528" s="5" t="str">
        <f t="shared" si="392"/>
        <v>320,00</v>
      </c>
      <c r="Q1528" s="4" t="str">
        <f t="shared" si="393"/>
        <v>Trescientos Veinte Bolívares con 00/100</v>
      </c>
    </row>
    <row r="1529" spans="1:17" x14ac:dyDescent="0.25">
      <c r="A1529" s="1">
        <f t="shared" si="360"/>
        <v>1528</v>
      </c>
      <c r="C1529" s="8" t="s">
        <v>17</v>
      </c>
      <c r="D1529" s="2">
        <v>43385</v>
      </c>
      <c r="E1529" s="3">
        <v>10</v>
      </c>
      <c r="F1529" t="s">
        <v>62</v>
      </c>
      <c r="G1529" t="s">
        <v>63</v>
      </c>
      <c r="H1529" t="s">
        <v>64</v>
      </c>
      <c r="I1529" s="6" t="s">
        <v>826</v>
      </c>
      <c r="J1529" s="61" t="s">
        <v>827</v>
      </c>
      <c r="L1529" s="5" t="str">
        <f t="shared" si="388"/>
        <v>01528</v>
      </c>
      <c r="M1529" s="47" t="str">
        <f t="shared" si="389"/>
        <v>12 de octubre de 2018</v>
      </c>
      <c r="N1529" s="323">
        <f t="shared" si="390"/>
        <v>12</v>
      </c>
      <c r="O1529" s="25">
        <f t="shared" si="391"/>
        <v>43374</v>
      </c>
      <c r="P1529" s="5" t="str">
        <f t="shared" si="392"/>
        <v>10,00</v>
      </c>
      <c r="Q1529" s="4" t="str">
        <f t="shared" si="393"/>
        <v>Diez Bolívares con 00/100</v>
      </c>
    </row>
    <row r="1530" spans="1:17" x14ac:dyDescent="0.25">
      <c r="A1530" s="1">
        <f t="shared" si="360"/>
        <v>1529</v>
      </c>
      <c r="C1530" s="8" t="s">
        <v>17</v>
      </c>
      <c r="D1530" s="2">
        <v>43385</v>
      </c>
      <c r="E1530" s="3">
        <v>320</v>
      </c>
      <c r="F1530" t="s">
        <v>284</v>
      </c>
      <c r="G1530" t="s">
        <v>687</v>
      </c>
      <c r="H1530" t="s">
        <v>285</v>
      </c>
      <c r="I1530" s="6" t="s">
        <v>823</v>
      </c>
      <c r="J1530" s="61" t="s">
        <v>22</v>
      </c>
      <c r="L1530" s="5" t="str">
        <f t="shared" si="388"/>
        <v>01529</v>
      </c>
      <c r="M1530" s="47" t="str">
        <f t="shared" si="389"/>
        <v>12 de octubre de 2018</v>
      </c>
      <c r="N1530" s="323">
        <f t="shared" si="390"/>
        <v>12</v>
      </c>
      <c r="O1530" s="25">
        <f t="shared" si="391"/>
        <v>43374</v>
      </c>
      <c r="P1530" s="5" t="str">
        <f t="shared" si="392"/>
        <v>320,00</v>
      </c>
      <c r="Q1530" s="4" t="str">
        <f t="shared" si="393"/>
        <v>Trescientos Veinte Bolívares con 00/100</v>
      </c>
    </row>
    <row r="1531" spans="1:17" x14ac:dyDescent="0.25">
      <c r="A1531" s="1">
        <f t="shared" si="360"/>
        <v>1530</v>
      </c>
      <c r="C1531" s="8" t="s">
        <v>17</v>
      </c>
      <c r="D1531" s="2">
        <v>43385</v>
      </c>
      <c r="E1531" s="3">
        <v>10</v>
      </c>
      <c r="F1531" t="s">
        <v>284</v>
      </c>
      <c r="G1531" t="s">
        <v>687</v>
      </c>
      <c r="H1531" t="s">
        <v>285</v>
      </c>
      <c r="I1531" s="6" t="s">
        <v>826</v>
      </c>
      <c r="J1531" s="61" t="s">
        <v>827</v>
      </c>
      <c r="L1531" s="5" t="str">
        <f t="shared" si="388"/>
        <v>01530</v>
      </c>
      <c r="M1531" s="47" t="str">
        <f t="shared" si="389"/>
        <v>12 de octubre de 2018</v>
      </c>
      <c r="N1531" s="323">
        <f t="shared" si="390"/>
        <v>12</v>
      </c>
      <c r="O1531" s="25">
        <f t="shared" si="391"/>
        <v>43374</v>
      </c>
      <c r="P1531" s="5" t="str">
        <f t="shared" si="392"/>
        <v>10,00</v>
      </c>
      <c r="Q1531" s="4" t="str">
        <f t="shared" si="393"/>
        <v>Diez Bolívares con 00/100</v>
      </c>
    </row>
    <row r="1532" spans="1:17" x14ac:dyDescent="0.25">
      <c r="A1532" s="1">
        <f t="shared" si="360"/>
        <v>1531</v>
      </c>
      <c r="C1532" s="8" t="s">
        <v>17</v>
      </c>
      <c r="D1532" s="2">
        <v>43385</v>
      </c>
      <c r="E1532" s="3">
        <v>320</v>
      </c>
      <c r="F1532" t="s">
        <v>771</v>
      </c>
      <c r="G1532" t="s">
        <v>772</v>
      </c>
      <c r="H1532" t="s">
        <v>773</v>
      </c>
      <c r="I1532" s="6" t="s">
        <v>823</v>
      </c>
      <c r="J1532" s="61" t="s">
        <v>22</v>
      </c>
      <c r="L1532" s="5" t="str">
        <f t="shared" si="388"/>
        <v>01531</v>
      </c>
      <c r="M1532" s="47" t="str">
        <f t="shared" si="389"/>
        <v>12 de octubre de 2018</v>
      </c>
      <c r="N1532" s="323">
        <f t="shared" si="390"/>
        <v>12</v>
      </c>
      <c r="O1532" s="25">
        <f t="shared" si="391"/>
        <v>43374</v>
      </c>
      <c r="P1532" s="5" t="str">
        <f t="shared" si="392"/>
        <v>320,00</v>
      </c>
      <c r="Q1532" s="4" t="str">
        <f t="shared" si="393"/>
        <v>Trescientos Veinte Bolívares con 00/100</v>
      </c>
    </row>
    <row r="1533" spans="1:17" x14ac:dyDescent="0.25">
      <c r="A1533" s="1">
        <f t="shared" si="360"/>
        <v>1532</v>
      </c>
      <c r="C1533" s="8" t="s">
        <v>17</v>
      </c>
      <c r="D1533" s="2">
        <v>43385</v>
      </c>
      <c r="E1533" s="3">
        <v>10</v>
      </c>
      <c r="F1533" t="s">
        <v>771</v>
      </c>
      <c r="G1533" t="s">
        <v>772</v>
      </c>
      <c r="H1533" t="s">
        <v>773</v>
      </c>
      <c r="I1533" s="6" t="s">
        <v>826</v>
      </c>
      <c r="J1533" s="61" t="s">
        <v>827</v>
      </c>
      <c r="L1533" s="5" t="str">
        <f t="shared" si="388"/>
        <v>01532</v>
      </c>
      <c r="M1533" s="47" t="str">
        <f t="shared" si="389"/>
        <v>12 de octubre de 2018</v>
      </c>
      <c r="N1533" s="323">
        <f t="shared" si="390"/>
        <v>12</v>
      </c>
      <c r="O1533" s="25">
        <f t="shared" si="391"/>
        <v>43374</v>
      </c>
      <c r="P1533" s="5" t="str">
        <f t="shared" si="392"/>
        <v>10,00</v>
      </c>
      <c r="Q1533" s="4" t="str">
        <f t="shared" si="393"/>
        <v>Diez Bolívares con 00/100</v>
      </c>
    </row>
    <row r="1534" spans="1:17" x14ac:dyDescent="0.25">
      <c r="A1534" s="1">
        <f t="shared" si="360"/>
        <v>1533</v>
      </c>
      <c r="C1534" s="8" t="s">
        <v>17</v>
      </c>
      <c r="D1534" s="2">
        <v>43385</v>
      </c>
      <c r="E1534" s="3">
        <v>320</v>
      </c>
      <c r="F1534" t="s">
        <v>362</v>
      </c>
      <c r="G1534" t="s">
        <v>363</v>
      </c>
      <c r="H1534" t="s">
        <v>364</v>
      </c>
      <c r="I1534" s="6" t="s">
        <v>823</v>
      </c>
      <c r="J1534" s="61" t="s">
        <v>22</v>
      </c>
      <c r="L1534" s="5" t="str">
        <f t="shared" si="388"/>
        <v>01533</v>
      </c>
      <c r="M1534" s="47" t="str">
        <f t="shared" si="389"/>
        <v>12 de octubre de 2018</v>
      </c>
      <c r="N1534" s="323">
        <f t="shared" si="390"/>
        <v>12</v>
      </c>
      <c r="O1534" s="25">
        <f t="shared" si="391"/>
        <v>43374</v>
      </c>
      <c r="P1534" s="5" t="str">
        <f t="shared" si="392"/>
        <v>320,00</v>
      </c>
      <c r="Q1534" s="4" t="str">
        <f t="shared" si="393"/>
        <v>Trescientos Veinte Bolívares con 00/100</v>
      </c>
    </row>
    <row r="1535" spans="1:17" x14ac:dyDescent="0.25">
      <c r="A1535" s="1">
        <f t="shared" si="360"/>
        <v>1534</v>
      </c>
      <c r="C1535" s="8" t="s">
        <v>17</v>
      </c>
      <c r="D1535" s="2">
        <v>43385</v>
      </c>
      <c r="E1535" s="3">
        <v>10</v>
      </c>
      <c r="F1535" t="s">
        <v>362</v>
      </c>
      <c r="G1535" t="s">
        <v>363</v>
      </c>
      <c r="H1535" t="s">
        <v>364</v>
      </c>
      <c r="I1535" s="6" t="s">
        <v>826</v>
      </c>
      <c r="J1535" s="61" t="s">
        <v>827</v>
      </c>
      <c r="L1535" s="5" t="str">
        <f t="shared" si="388"/>
        <v>01534</v>
      </c>
      <c r="M1535" s="47" t="str">
        <f t="shared" si="389"/>
        <v>12 de octubre de 2018</v>
      </c>
      <c r="N1535" s="323">
        <f t="shared" si="390"/>
        <v>12</v>
      </c>
      <c r="O1535" s="25">
        <f t="shared" si="391"/>
        <v>43374</v>
      </c>
      <c r="P1535" s="5" t="str">
        <f t="shared" si="392"/>
        <v>10,00</v>
      </c>
      <c r="Q1535" s="4" t="str">
        <f t="shared" si="393"/>
        <v>Diez Bolívares con 00/100</v>
      </c>
    </row>
    <row r="1536" spans="1:17" x14ac:dyDescent="0.25">
      <c r="A1536" s="1">
        <f t="shared" si="360"/>
        <v>1535</v>
      </c>
      <c r="C1536" s="8" t="s">
        <v>17</v>
      </c>
      <c r="D1536" s="2">
        <v>43386</v>
      </c>
      <c r="E1536" s="3">
        <v>320</v>
      </c>
      <c r="F1536" t="s">
        <v>454</v>
      </c>
      <c r="G1536" t="s">
        <v>761</v>
      </c>
      <c r="H1536" t="s">
        <v>455</v>
      </c>
      <c r="I1536" s="6" t="s">
        <v>823</v>
      </c>
      <c r="J1536" s="61" t="s">
        <v>22</v>
      </c>
      <c r="L1536" s="5" t="str">
        <f t="shared" si="388"/>
        <v>01535</v>
      </c>
      <c r="M1536" s="47" t="str">
        <f t="shared" si="389"/>
        <v>13 de octubre de 2018</v>
      </c>
      <c r="N1536" s="323">
        <f t="shared" si="390"/>
        <v>13</v>
      </c>
      <c r="O1536" s="25">
        <f t="shared" si="391"/>
        <v>43374</v>
      </c>
      <c r="P1536" s="5" t="str">
        <f t="shared" si="392"/>
        <v>320,00</v>
      </c>
      <c r="Q1536" s="4" t="str">
        <f t="shared" si="393"/>
        <v>Trescientos Veinte Bolívares con 00/100</v>
      </c>
    </row>
    <row r="1537" spans="1:17" x14ac:dyDescent="0.25">
      <c r="A1537" s="1">
        <f t="shared" si="360"/>
        <v>1536</v>
      </c>
      <c r="C1537" s="8" t="s">
        <v>17</v>
      </c>
      <c r="D1537" s="2">
        <v>43386</v>
      </c>
      <c r="E1537" s="3">
        <v>10</v>
      </c>
      <c r="F1537" t="s">
        <v>454</v>
      </c>
      <c r="G1537" t="s">
        <v>761</v>
      </c>
      <c r="H1537" t="s">
        <v>455</v>
      </c>
      <c r="I1537" s="6" t="s">
        <v>826</v>
      </c>
      <c r="J1537" s="61" t="s">
        <v>827</v>
      </c>
      <c r="L1537" s="5" t="str">
        <f t="shared" si="388"/>
        <v>01536</v>
      </c>
      <c r="M1537" s="47" t="str">
        <f t="shared" si="389"/>
        <v>13 de octubre de 2018</v>
      </c>
      <c r="N1537" s="323">
        <f t="shared" si="390"/>
        <v>13</v>
      </c>
      <c r="O1537" s="25">
        <f t="shared" si="391"/>
        <v>43374</v>
      </c>
      <c r="P1537" s="5" t="str">
        <f t="shared" si="392"/>
        <v>10,00</v>
      </c>
      <c r="Q1537" s="4" t="str">
        <f t="shared" si="393"/>
        <v>Diez Bolívares con 00/100</v>
      </c>
    </row>
    <row r="1538" spans="1:17" x14ac:dyDescent="0.25">
      <c r="A1538" s="1">
        <f t="shared" ref="A1538:A1606" si="394">A1537+1</f>
        <v>1537</v>
      </c>
      <c r="C1538" s="8" t="s">
        <v>17</v>
      </c>
      <c r="D1538" s="2">
        <v>43387</v>
      </c>
      <c r="E1538" s="3">
        <f>970-10</f>
        <v>960</v>
      </c>
      <c r="F1538" t="s">
        <v>66</v>
      </c>
      <c r="G1538" t="s">
        <v>67</v>
      </c>
      <c r="H1538" t="s">
        <v>68</v>
      </c>
      <c r="I1538" s="6" t="s">
        <v>837</v>
      </c>
      <c r="J1538" s="61" t="s">
        <v>22</v>
      </c>
      <c r="L1538" s="5" t="str">
        <f t="shared" si="388"/>
        <v>01537</v>
      </c>
      <c r="M1538" s="47" t="str">
        <f t="shared" si="389"/>
        <v>14 de octubre de 2018</v>
      </c>
      <c r="N1538" s="323">
        <f t="shared" si="390"/>
        <v>14</v>
      </c>
      <c r="O1538" s="25">
        <f t="shared" si="391"/>
        <v>43374</v>
      </c>
      <c r="P1538" s="5" t="str">
        <f t="shared" si="392"/>
        <v>960,00</v>
      </c>
      <c r="Q1538" s="4" t="str">
        <f t="shared" si="393"/>
        <v>Novecientos Sesenta Bolívares con 00/100</v>
      </c>
    </row>
    <row r="1539" spans="1:17" x14ac:dyDescent="0.25">
      <c r="A1539" s="1">
        <f t="shared" si="394"/>
        <v>1538</v>
      </c>
      <c r="C1539" s="8" t="s">
        <v>17</v>
      </c>
      <c r="D1539" s="2">
        <v>43387</v>
      </c>
      <c r="E1539" s="3">
        <v>10</v>
      </c>
      <c r="F1539" t="s">
        <v>66</v>
      </c>
      <c r="G1539" t="s">
        <v>67</v>
      </c>
      <c r="H1539" t="s">
        <v>68</v>
      </c>
      <c r="I1539" s="6" t="s">
        <v>826</v>
      </c>
      <c r="J1539" s="61" t="s">
        <v>827</v>
      </c>
      <c r="L1539" s="5" t="str">
        <f t="shared" si="388"/>
        <v>01538</v>
      </c>
      <c r="M1539" s="47" t="str">
        <f t="shared" si="389"/>
        <v>14 de octubre de 2018</v>
      </c>
      <c r="N1539" s="323">
        <f t="shared" si="390"/>
        <v>14</v>
      </c>
      <c r="O1539" s="25">
        <f t="shared" si="391"/>
        <v>43374</v>
      </c>
      <c r="P1539" s="5" t="str">
        <f t="shared" si="392"/>
        <v>10,00</v>
      </c>
      <c r="Q1539" s="4" t="str">
        <f t="shared" si="393"/>
        <v>Diez Bolívares con 00/100</v>
      </c>
    </row>
    <row r="1540" spans="1:17" x14ac:dyDescent="0.25">
      <c r="A1540" s="1">
        <f t="shared" si="394"/>
        <v>1539</v>
      </c>
      <c r="C1540" s="8" t="s">
        <v>17</v>
      </c>
      <c r="D1540" s="2">
        <v>43390</v>
      </c>
      <c r="E1540" s="3">
        <v>320</v>
      </c>
      <c r="F1540" t="s">
        <v>122</v>
      </c>
      <c r="G1540" t="s">
        <v>123</v>
      </c>
      <c r="H1540" t="s">
        <v>124</v>
      </c>
      <c r="I1540" s="6" t="s">
        <v>823</v>
      </c>
      <c r="J1540" s="61" t="s">
        <v>22</v>
      </c>
      <c r="L1540" s="5" t="str">
        <f t="shared" si="388"/>
        <v>01539</v>
      </c>
      <c r="M1540" s="47" t="str">
        <f t="shared" si="389"/>
        <v>17 de octubre de 2018</v>
      </c>
      <c r="N1540" s="323">
        <f t="shared" si="390"/>
        <v>17</v>
      </c>
      <c r="O1540" s="25">
        <f t="shared" si="391"/>
        <v>43374</v>
      </c>
      <c r="P1540" s="5" t="str">
        <f t="shared" si="392"/>
        <v>320,00</v>
      </c>
      <c r="Q1540" s="4" t="str">
        <f t="shared" si="393"/>
        <v>Trescientos Veinte Bolívares con 00/100</v>
      </c>
    </row>
    <row r="1541" spans="1:17" x14ac:dyDescent="0.25">
      <c r="A1541" s="1">
        <f t="shared" si="394"/>
        <v>1540</v>
      </c>
      <c r="C1541" s="8" t="s">
        <v>17</v>
      </c>
      <c r="D1541" s="2">
        <v>43394</v>
      </c>
      <c r="E1541" s="3">
        <v>360</v>
      </c>
      <c r="F1541" t="s">
        <v>201</v>
      </c>
      <c r="G1541" t="s">
        <v>202</v>
      </c>
      <c r="H1541" t="s">
        <v>203</v>
      </c>
      <c r="I1541" s="6" t="s">
        <v>838</v>
      </c>
      <c r="J1541" s="61" t="s">
        <v>22</v>
      </c>
      <c r="L1541" s="5" t="str">
        <f t="shared" si="388"/>
        <v>01540</v>
      </c>
      <c r="M1541" s="47" t="str">
        <f t="shared" si="389"/>
        <v>21 de octubre de 2018</v>
      </c>
      <c r="N1541" s="323">
        <f t="shared" si="390"/>
        <v>21</v>
      </c>
      <c r="O1541" s="25">
        <f t="shared" si="391"/>
        <v>43374</v>
      </c>
      <c r="P1541" s="5" t="str">
        <f t="shared" si="392"/>
        <v>360,00</v>
      </c>
      <c r="Q1541" s="4" t="str">
        <f t="shared" si="393"/>
        <v>Trescientos Sesenta Bolívares con 00/100</v>
      </c>
    </row>
    <row r="1542" spans="1:17" x14ac:dyDescent="0.25">
      <c r="A1542" s="1">
        <f t="shared" si="394"/>
        <v>1541</v>
      </c>
      <c r="C1542" s="8" t="s">
        <v>17</v>
      </c>
      <c r="D1542" s="2">
        <v>43394</v>
      </c>
      <c r="E1542" s="3">
        <v>320</v>
      </c>
      <c r="F1542" t="s">
        <v>312</v>
      </c>
      <c r="G1542" t="s">
        <v>313</v>
      </c>
      <c r="H1542" t="s">
        <v>314</v>
      </c>
      <c r="I1542" s="6" t="s">
        <v>823</v>
      </c>
      <c r="J1542" s="61" t="s">
        <v>22</v>
      </c>
      <c r="L1542" s="5" t="str">
        <f t="shared" si="388"/>
        <v>01541</v>
      </c>
      <c r="M1542" s="47" t="str">
        <f t="shared" si="389"/>
        <v>21 de octubre de 2018</v>
      </c>
      <c r="N1542" s="323">
        <f t="shared" si="390"/>
        <v>21</v>
      </c>
      <c r="O1542" s="25">
        <f t="shared" si="391"/>
        <v>43374</v>
      </c>
      <c r="P1542" s="5" t="str">
        <f t="shared" si="392"/>
        <v>320,00</v>
      </c>
      <c r="Q1542" s="4" t="str">
        <f t="shared" si="393"/>
        <v>Trescientos Veinte Bolívares con 00/100</v>
      </c>
    </row>
    <row r="1543" spans="1:17" x14ac:dyDescent="0.25">
      <c r="A1543" s="1">
        <f t="shared" si="394"/>
        <v>1542</v>
      </c>
      <c r="C1543" s="8" t="s">
        <v>17</v>
      </c>
      <c r="D1543" s="2">
        <v>43397</v>
      </c>
      <c r="E1543" s="3">
        <v>320</v>
      </c>
      <c r="F1543" t="s">
        <v>181</v>
      </c>
      <c r="G1543" t="s">
        <v>182</v>
      </c>
      <c r="H1543" t="s">
        <v>183</v>
      </c>
      <c r="I1543" s="6" t="s">
        <v>823</v>
      </c>
      <c r="J1543" s="61" t="s">
        <v>22</v>
      </c>
      <c r="L1543" s="5" t="str">
        <f t="shared" si="388"/>
        <v>01542</v>
      </c>
      <c r="M1543" s="47" t="str">
        <f t="shared" si="389"/>
        <v>24 de octubre de 2018</v>
      </c>
      <c r="N1543" s="323">
        <f t="shared" si="390"/>
        <v>24</v>
      </c>
      <c r="O1543" s="25">
        <f t="shared" si="391"/>
        <v>43374</v>
      </c>
      <c r="P1543" s="5" t="str">
        <f t="shared" si="392"/>
        <v>320,00</v>
      </c>
      <c r="Q1543" s="4" t="str">
        <f t="shared" si="393"/>
        <v>Trescientos Veinte Bolívares con 00/100</v>
      </c>
    </row>
    <row r="1544" spans="1:17" x14ac:dyDescent="0.25">
      <c r="A1544" s="1">
        <f t="shared" si="394"/>
        <v>1543</v>
      </c>
      <c r="C1544" s="8" t="s">
        <v>17</v>
      </c>
      <c r="D1544" s="2">
        <v>43397</v>
      </c>
      <c r="E1544" s="3">
        <v>10</v>
      </c>
      <c r="F1544" t="s">
        <v>181</v>
      </c>
      <c r="G1544" t="s">
        <v>182</v>
      </c>
      <c r="H1544" t="s">
        <v>183</v>
      </c>
      <c r="I1544" s="6" t="s">
        <v>826</v>
      </c>
      <c r="J1544" s="61" t="s">
        <v>827</v>
      </c>
      <c r="L1544" s="5" t="str">
        <f t="shared" si="388"/>
        <v>01543</v>
      </c>
      <c r="M1544" s="47" t="str">
        <f t="shared" si="389"/>
        <v>24 de octubre de 2018</v>
      </c>
      <c r="N1544" s="323">
        <f t="shared" si="390"/>
        <v>24</v>
      </c>
      <c r="O1544" s="25">
        <f t="shared" si="391"/>
        <v>43374</v>
      </c>
      <c r="P1544" s="5" t="str">
        <f t="shared" si="392"/>
        <v>10,00</v>
      </c>
      <c r="Q1544" s="4" t="str">
        <f t="shared" si="393"/>
        <v>Diez Bolívares con 00/100</v>
      </c>
    </row>
    <row r="1545" spans="1:17" x14ac:dyDescent="0.25">
      <c r="A1545" s="1">
        <f t="shared" si="394"/>
        <v>1544</v>
      </c>
      <c r="C1545" s="85" t="s">
        <v>17</v>
      </c>
      <c r="D1545" s="2">
        <v>43397</v>
      </c>
      <c r="E1545" s="3">
        <v>465</v>
      </c>
      <c r="F1545" s="23" t="s">
        <v>422</v>
      </c>
      <c r="G1545" s="18" t="s">
        <v>58</v>
      </c>
      <c r="H1545" t="s">
        <v>423</v>
      </c>
      <c r="I1545" s="6" t="s">
        <v>823</v>
      </c>
      <c r="J1545" s="61" t="s">
        <v>22</v>
      </c>
      <c r="L1545" s="5" t="str">
        <f t="shared" si="388"/>
        <v>01544</v>
      </c>
      <c r="M1545" s="47" t="str">
        <f t="shared" si="389"/>
        <v>24 de octubre de 2018</v>
      </c>
      <c r="N1545" s="323">
        <f t="shared" si="390"/>
        <v>24</v>
      </c>
      <c r="O1545" s="25">
        <f t="shared" si="391"/>
        <v>43374</v>
      </c>
      <c r="P1545" s="5" t="str">
        <f t="shared" si="392"/>
        <v>465,00</v>
      </c>
      <c r="Q1545" s="4" t="str">
        <f t="shared" si="393"/>
        <v>Cuatrocientos Sesenta y Cinco Bolívares con 00/100</v>
      </c>
    </row>
    <row r="1546" spans="1:17" x14ac:dyDescent="0.25">
      <c r="A1546" s="1">
        <f t="shared" si="394"/>
        <v>1545</v>
      </c>
      <c r="C1546" s="8" t="s">
        <v>17</v>
      </c>
      <c r="D1546" s="2">
        <v>43398</v>
      </c>
      <c r="E1546" s="3">
        <v>320</v>
      </c>
      <c r="F1546" t="s">
        <v>134</v>
      </c>
      <c r="G1546" t="s">
        <v>135</v>
      </c>
      <c r="H1546" t="s">
        <v>136</v>
      </c>
      <c r="I1546" s="6" t="s">
        <v>823</v>
      </c>
      <c r="J1546" s="61" t="s">
        <v>22</v>
      </c>
      <c r="L1546" s="5" t="str">
        <f t="shared" si="388"/>
        <v>01545</v>
      </c>
      <c r="M1546" s="47" t="str">
        <f t="shared" si="389"/>
        <v>25 de octubre de 2018</v>
      </c>
      <c r="N1546" s="323">
        <f t="shared" si="390"/>
        <v>25</v>
      </c>
      <c r="O1546" s="25">
        <f t="shared" si="391"/>
        <v>43374</v>
      </c>
      <c r="P1546" s="5" t="str">
        <f t="shared" si="392"/>
        <v>320,00</v>
      </c>
      <c r="Q1546" s="4" t="str">
        <f t="shared" si="393"/>
        <v>Trescientos Veinte Bolívares con 00/100</v>
      </c>
    </row>
    <row r="1547" spans="1:17" x14ac:dyDescent="0.25">
      <c r="A1547" s="1">
        <f t="shared" si="394"/>
        <v>1546</v>
      </c>
      <c r="C1547" s="8" t="s">
        <v>17</v>
      </c>
      <c r="D1547" s="2">
        <v>43398</v>
      </c>
      <c r="E1547" s="3">
        <v>320</v>
      </c>
      <c r="F1547" t="s">
        <v>558</v>
      </c>
      <c r="G1547" t="s">
        <v>559</v>
      </c>
      <c r="H1547" t="s">
        <v>560</v>
      </c>
      <c r="I1547" s="6" t="s">
        <v>823</v>
      </c>
      <c r="J1547" s="61" t="s">
        <v>22</v>
      </c>
      <c r="L1547" s="5" t="str">
        <f t="shared" si="388"/>
        <v>01546</v>
      </c>
      <c r="M1547" s="47" t="str">
        <f t="shared" si="389"/>
        <v>25 de octubre de 2018</v>
      </c>
      <c r="N1547" s="323">
        <f t="shared" si="390"/>
        <v>25</v>
      </c>
      <c r="O1547" s="25">
        <f t="shared" si="391"/>
        <v>43374</v>
      </c>
      <c r="P1547" s="5" t="str">
        <f t="shared" si="392"/>
        <v>320,00</v>
      </c>
      <c r="Q1547" s="4" t="str">
        <f t="shared" si="393"/>
        <v>Trescientos Veinte Bolívares con 00/100</v>
      </c>
    </row>
    <row r="1548" spans="1:17" x14ac:dyDescent="0.25">
      <c r="A1548" s="1">
        <f t="shared" si="394"/>
        <v>1547</v>
      </c>
      <c r="C1548" s="8" t="s">
        <v>17</v>
      </c>
      <c r="D1548" s="2">
        <v>43398</v>
      </c>
      <c r="E1548" s="3">
        <v>320</v>
      </c>
      <c r="F1548" t="s">
        <v>103</v>
      </c>
      <c r="G1548" t="s">
        <v>104</v>
      </c>
      <c r="H1548" t="s">
        <v>105</v>
      </c>
      <c r="I1548" s="6" t="s">
        <v>823</v>
      </c>
      <c r="J1548" s="61" t="s">
        <v>22</v>
      </c>
      <c r="L1548" s="5" t="str">
        <f t="shared" si="388"/>
        <v>01547</v>
      </c>
      <c r="M1548" s="47" t="str">
        <f t="shared" si="389"/>
        <v>25 de octubre de 2018</v>
      </c>
      <c r="N1548" s="323">
        <f t="shared" si="390"/>
        <v>25</v>
      </c>
      <c r="O1548" s="25">
        <f t="shared" si="391"/>
        <v>43374</v>
      </c>
      <c r="P1548" s="5" t="str">
        <f t="shared" si="392"/>
        <v>320,00</v>
      </c>
      <c r="Q1548" s="4" t="str">
        <f t="shared" si="393"/>
        <v>Trescientos Veinte Bolívares con 00/100</v>
      </c>
    </row>
    <row r="1549" spans="1:17" x14ac:dyDescent="0.25">
      <c r="A1549" s="1">
        <f t="shared" si="394"/>
        <v>1548</v>
      </c>
      <c r="C1549" s="8" t="s">
        <v>17</v>
      </c>
      <c r="D1549" s="2">
        <v>43398</v>
      </c>
      <c r="E1549" s="3">
        <v>320</v>
      </c>
      <c r="F1549" t="s">
        <v>243</v>
      </c>
      <c r="G1549" t="s">
        <v>244</v>
      </c>
      <c r="H1549" t="s">
        <v>245</v>
      </c>
      <c r="I1549" s="6" t="s">
        <v>823</v>
      </c>
      <c r="J1549" s="61" t="s">
        <v>22</v>
      </c>
      <c r="L1549" s="5" t="str">
        <f>IF(ISBLANK(A1549),"",TEXT(A1549,"00000"))</f>
        <v>01548</v>
      </c>
      <c r="M1549" s="47" t="str">
        <f>IF(ISBLANK(D1549),"",TEXT(D1549,"dd")&amp;" de "&amp;TEXT(D1549,"mmmm")&amp;" de "&amp;TEXT(YEAR(D1549),"0"))</f>
        <v>25 de octubre de 2018</v>
      </c>
      <c r="N1549" s="323">
        <f t="shared" si="390"/>
        <v>25</v>
      </c>
      <c r="O1549" s="25">
        <f>DATE(YEAR(D1549),MONTH(D1549),1)</f>
        <v>43374</v>
      </c>
      <c r="P1549" s="5" t="str">
        <f t="shared" si="392"/>
        <v>320,00</v>
      </c>
      <c r="Q1549" s="4" t="str">
        <f t="shared" si="393"/>
        <v>Trescientos Veinte Bolívares con 00/100</v>
      </c>
    </row>
    <row r="1550" spans="1:17" x14ac:dyDescent="0.25">
      <c r="A1550" s="1">
        <f t="shared" si="394"/>
        <v>1549</v>
      </c>
      <c r="C1550" s="85" t="s">
        <v>17</v>
      </c>
      <c r="D1550" s="2">
        <v>43398</v>
      </c>
      <c r="E1550" s="3">
        <v>355</v>
      </c>
      <c r="F1550" s="20" t="s">
        <v>57</v>
      </c>
      <c r="G1550" s="18" t="s">
        <v>58</v>
      </c>
      <c r="H1550" s="21" t="s">
        <v>59</v>
      </c>
      <c r="I1550" s="6" t="s">
        <v>823</v>
      </c>
      <c r="J1550" s="61" t="s">
        <v>22</v>
      </c>
      <c r="K1550" s="22"/>
      <c r="L1550" s="5" t="str">
        <f t="shared" ref="L1550:L1556" si="395">IF(ISBLANK(A1550),"",TEXT(A1550,"00000"))</f>
        <v>01549</v>
      </c>
      <c r="M1550" s="47" t="str">
        <f t="shared" ref="M1550:M1556" si="396">IF(ISBLANK(D1550),"",TEXT(D1550,"dd")&amp;" de "&amp;TEXT(D1550,"mmmm")&amp;" de "&amp;TEXT(YEAR(D1550),"0"))</f>
        <v>25 de octubre de 2018</v>
      </c>
      <c r="N1550" s="323">
        <f t="shared" si="390"/>
        <v>25</v>
      </c>
      <c r="O1550" s="25">
        <f t="shared" ref="O1550:O1556" si="397">DATE(YEAR(D1550),MONTH(D1550),1)</f>
        <v>43374</v>
      </c>
      <c r="P1550" s="5" t="str">
        <f t="shared" si="392"/>
        <v>355,00</v>
      </c>
      <c r="Q1550" s="4" t="str">
        <f t="shared" si="393"/>
        <v>Trescientos Cincuenta y Cinco Bolívares con 00/100</v>
      </c>
    </row>
    <row r="1551" spans="1:17" x14ac:dyDescent="0.25">
      <c r="A1551" s="1">
        <f t="shared" si="394"/>
        <v>1550</v>
      </c>
      <c r="C1551" s="8" t="s">
        <v>17</v>
      </c>
      <c r="D1551" s="2">
        <v>43398</v>
      </c>
      <c r="E1551" s="3">
        <v>300</v>
      </c>
      <c r="F1551" t="s">
        <v>412</v>
      </c>
      <c r="G1551" t="s">
        <v>413</v>
      </c>
      <c r="H1551" t="s">
        <v>414</v>
      </c>
      <c r="I1551" s="6" t="s">
        <v>534</v>
      </c>
      <c r="J1551" s="61" t="s">
        <v>22</v>
      </c>
      <c r="L1551" s="5" t="str">
        <f t="shared" si="395"/>
        <v>01550</v>
      </c>
      <c r="M1551" s="47" t="str">
        <f t="shared" si="396"/>
        <v>25 de octubre de 2018</v>
      </c>
      <c r="N1551" s="323">
        <f t="shared" si="390"/>
        <v>25</v>
      </c>
      <c r="O1551" s="25">
        <f t="shared" si="397"/>
        <v>43374</v>
      </c>
      <c r="P1551" s="5" t="str">
        <f t="shared" si="392"/>
        <v>300,00</v>
      </c>
      <c r="Q1551" s="4" t="str">
        <f t="shared" si="393"/>
        <v>Trescientos Bolívares con 00/100</v>
      </c>
    </row>
    <row r="1552" spans="1:17" x14ac:dyDescent="0.25">
      <c r="A1552" s="1">
        <f t="shared" si="394"/>
        <v>1551</v>
      </c>
      <c r="C1552" s="85" t="s">
        <v>17</v>
      </c>
      <c r="D1552" s="2">
        <v>43399</v>
      </c>
      <c r="E1552" s="3">
        <v>320</v>
      </c>
      <c r="F1552" t="s">
        <v>319</v>
      </c>
      <c r="G1552" s="18" t="s">
        <v>58</v>
      </c>
      <c r="H1552" t="s">
        <v>320</v>
      </c>
      <c r="I1552" s="6" t="s">
        <v>823</v>
      </c>
      <c r="J1552" s="61" t="s">
        <v>22</v>
      </c>
      <c r="L1552" s="5" t="str">
        <f t="shared" si="395"/>
        <v>01551</v>
      </c>
      <c r="M1552" s="47" t="str">
        <f t="shared" si="396"/>
        <v>26 de octubre de 2018</v>
      </c>
      <c r="N1552" s="323">
        <f t="shared" si="390"/>
        <v>26</v>
      </c>
      <c r="O1552" s="25">
        <f t="shared" si="397"/>
        <v>43374</v>
      </c>
      <c r="P1552" s="5" t="str">
        <f t="shared" si="392"/>
        <v>320,00</v>
      </c>
      <c r="Q1552" s="4" t="str">
        <f t="shared" ref="Q1552:Q1556" si="398">CONVERTIRNUM(E1552)</f>
        <v>Trescientos Veinte Bolívares con 00/100</v>
      </c>
    </row>
    <row r="1553" spans="1:17" x14ac:dyDescent="0.25">
      <c r="A1553" s="1">
        <f t="shared" si="394"/>
        <v>1552</v>
      </c>
      <c r="C1553" s="8" t="s">
        <v>17</v>
      </c>
      <c r="D1553" s="2">
        <v>43398</v>
      </c>
      <c r="E1553" s="3">
        <v>250</v>
      </c>
      <c r="F1553" t="s">
        <v>401</v>
      </c>
      <c r="G1553" t="s">
        <v>402</v>
      </c>
      <c r="H1553" t="s">
        <v>403</v>
      </c>
      <c r="I1553" s="6" t="s">
        <v>839</v>
      </c>
      <c r="J1553" s="61" t="s">
        <v>22</v>
      </c>
      <c r="L1553" s="5" t="str">
        <f t="shared" si="395"/>
        <v>01552</v>
      </c>
      <c r="M1553" s="47" t="str">
        <f t="shared" si="396"/>
        <v>25 de octubre de 2018</v>
      </c>
      <c r="N1553" s="323">
        <f t="shared" si="390"/>
        <v>25</v>
      </c>
      <c r="O1553" s="25">
        <f t="shared" si="397"/>
        <v>43374</v>
      </c>
      <c r="P1553" s="5" t="str">
        <f t="shared" si="392"/>
        <v>250,00</v>
      </c>
      <c r="Q1553" s="4" t="str">
        <f t="shared" si="398"/>
        <v>Doscientos Cincuenta Bolívares con 00/100</v>
      </c>
    </row>
    <row r="1554" spans="1:17" x14ac:dyDescent="0.25">
      <c r="A1554" s="1">
        <f t="shared" si="394"/>
        <v>1553</v>
      </c>
      <c r="C1554" s="8" t="s">
        <v>17</v>
      </c>
      <c r="D1554" s="2">
        <v>43402</v>
      </c>
      <c r="E1554" s="3">
        <v>320</v>
      </c>
      <c r="F1554" t="s">
        <v>296</v>
      </c>
      <c r="G1554" t="s">
        <v>297</v>
      </c>
      <c r="H1554" t="s">
        <v>298</v>
      </c>
      <c r="I1554" s="6" t="s">
        <v>823</v>
      </c>
      <c r="J1554" s="61" t="s">
        <v>22</v>
      </c>
      <c r="L1554" s="5" t="str">
        <f t="shared" si="395"/>
        <v>01553</v>
      </c>
      <c r="M1554" s="47" t="str">
        <f t="shared" si="396"/>
        <v>29 de octubre de 2018</v>
      </c>
      <c r="N1554" s="323">
        <f t="shared" si="390"/>
        <v>29</v>
      </c>
      <c r="O1554" s="25">
        <f t="shared" si="397"/>
        <v>43374</v>
      </c>
      <c r="P1554" s="5" t="str">
        <f t="shared" si="392"/>
        <v>320,00</v>
      </c>
      <c r="Q1554" s="4" t="str">
        <f t="shared" si="398"/>
        <v>Trescientos Veinte Bolívares con 00/100</v>
      </c>
    </row>
    <row r="1555" spans="1:17" x14ac:dyDescent="0.25">
      <c r="A1555" s="1">
        <f t="shared" si="394"/>
        <v>1554</v>
      </c>
      <c r="C1555" s="8" t="s">
        <v>17</v>
      </c>
      <c r="D1555" s="2">
        <v>43403</v>
      </c>
      <c r="E1555" s="3">
        <v>10</v>
      </c>
      <c r="F1555" t="s">
        <v>438</v>
      </c>
      <c r="G1555" t="s">
        <v>439</v>
      </c>
      <c r="H1555" t="s">
        <v>440</v>
      </c>
      <c r="I1555" s="6" t="s">
        <v>840</v>
      </c>
      <c r="J1555" s="61" t="s">
        <v>827</v>
      </c>
      <c r="L1555" s="5" t="str">
        <f t="shared" si="395"/>
        <v>01554</v>
      </c>
      <c r="M1555" s="47" t="str">
        <f t="shared" si="396"/>
        <v>30 de octubre de 2018</v>
      </c>
      <c r="N1555" s="323">
        <f t="shared" si="390"/>
        <v>30</v>
      </c>
      <c r="O1555" s="25">
        <f t="shared" si="397"/>
        <v>43374</v>
      </c>
      <c r="P1555" s="5" t="str">
        <f t="shared" si="392"/>
        <v>10,00</v>
      </c>
      <c r="Q1555" s="4" t="str">
        <f t="shared" si="398"/>
        <v>Diez Bolívares con 00/100</v>
      </c>
    </row>
    <row r="1556" spans="1:17" x14ac:dyDescent="0.25">
      <c r="A1556" s="1">
        <f t="shared" si="394"/>
        <v>1555</v>
      </c>
      <c r="C1556" s="8" t="s">
        <v>17</v>
      </c>
      <c r="D1556" s="2">
        <v>43403</v>
      </c>
      <c r="E1556" s="3">
        <v>320</v>
      </c>
      <c r="F1556" t="s">
        <v>130</v>
      </c>
      <c r="G1556" t="s">
        <v>131</v>
      </c>
      <c r="H1556" t="s">
        <v>132</v>
      </c>
      <c r="I1556" s="6" t="s">
        <v>823</v>
      </c>
      <c r="J1556" s="61" t="s">
        <v>22</v>
      </c>
      <c r="L1556" s="5" t="str">
        <f t="shared" si="395"/>
        <v>01555</v>
      </c>
      <c r="M1556" s="47" t="str">
        <f t="shared" si="396"/>
        <v>30 de octubre de 2018</v>
      </c>
      <c r="N1556" s="323">
        <f t="shared" si="390"/>
        <v>30</v>
      </c>
      <c r="O1556" s="25">
        <f t="shared" si="397"/>
        <v>43374</v>
      </c>
      <c r="P1556" s="5" t="str">
        <f t="shared" si="392"/>
        <v>320,00</v>
      </c>
      <c r="Q1556" s="4" t="str">
        <f t="shared" si="398"/>
        <v>Trescientos Veinte Bolívares con 00/100</v>
      </c>
    </row>
    <row r="1557" spans="1:17" x14ac:dyDescent="0.25">
      <c r="A1557" s="1">
        <f t="shared" si="394"/>
        <v>1556</v>
      </c>
      <c r="C1557" s="8" t="s">
        <v>17</v>
      </c>
      <c r="D1557" s="2">
        <v>43403</v>
      </c>
      <c r="E1557" s="3">
        <f>320*2</f>
        <v>640</v>
      </c>
      <c r="F1557" t="s">
        <v>438</v>
      </c>
      <c r="G1557" t="s">
        <v>439</v>
      </c>
      <c r="H1557" t="s">
        <v>440</v>
      </c>
      <c r="I1557" s="6" t="s">
        <v>841</v>
      </c>
      <c r="J1557" s="61" t="s">
        <v>22</v>
      </c>
      <c r="L1557" s="5" t="str">
        <f t="shared" ref="L1557:L1558" si="399">IF(ISBLANK(A1557),"",TEXT(A1557,"00000"))</f>
        <v>01556</v>
      </c>
      <c r="M1557" s="47" t="str">
        <f t="shared" ref="M1557:M1558" si="400">IF(ISBLANK(D1557),"",TEXT(D1557,"dd")&amp;" de "&amp;TEXT(D1557,"mmmm")&amp;" de "&amp;TEXT(YEAR(D1557),"0"))</f>
        <v>30 de octubre de 2018</v>
      </c>
      <c r="N1557" s="323">
        <f t="shared" ref="N1557:N1558" si="401">DAY(D1557)</f>
        <v>30</v>
      </c>
      <c r="O1557" s="25">
        <f t="shared" ref="O1557:O1558" si="402">DATE(YEAR(D1557),MONTH(D1557),1)</f>
        <v>43374</v>
      </c>
      <c r="P1557" s="5" t="str">
        <f t="shared" ref="P1557:P1558" si="403">TEXT(E1557,"#.##0,00")</f>
        <v>640,00</v>
      </c>
      <c r="Q1557" s="4" t="str">
        <f t="shared" ref="Q1557:Q1558" si="404">CONVERTIRNUM(E1557)</f>
        <v>Seiscientos Cuarenta Bolívares con 00/100</v>
      </c>
    </row>
    <row r="1558" spans="1:17" x14ac:dyDescent="0.25">
      <c r="A1558" s="1">
        <f t="shared" si="394"/>
        <v>1557</v>
      </c>
      <c r="C1558" s="8" t="s">
        <v>17</v>
      </c>
      <c r="D1558" s="2">
        <v>43403</v>
      </c>
      <c r="E1558" s="3">
        <v>645</v>
      </c>
      <c r="F1558" t="s">
        <v>353</v>
      </c>
      <c r="G1558" t="s">
        <v>354</v>
      </c>
      <c r="H1558" t="s">
        <v>355</v>
      </c>
      <c r="I1558" s="6" t="s">
        <v>842</v>
      </c>
      <c r="J1558" s="61" t="s">
        <v>22</v>
      </c>
      <c r="L1558" s="5" t="str">
        <f t="shared" si="399"/>
        <v>01557</v>
      </c>
      <c r="M1558" s="47" t="str">
        <f t="shared" si="400"/>
        <v>30 de octubre de 2018</v>
      </c>
      <c r="N1558" s="323">
        <f t="shared" si="401"/>
        <v>30</v>
      </c>
      <c r="O1558" s="25">
        <f t="shared" si="402"/>
        <v>43374</v>
      </c>
      <c r="P1558" s="5" t="str">
        <f t="shared" si="403"/>
        <v>645,00</v>
      </c>
      <c r="Q1558" s="4" t="str">
        <f t="shared" si="404"/>
        <v>Seiscientos Cuarenta y Cinco Bolívares con 00/100</v>
      </c>
    </row>
    <row r="1559" spans="1:17" x14ac:dyDescent="0.25">
      <c r="A1559" s="1">
        <f t="shared" si="394"/>
        <v>1558</v>
      </c>
      <c r="C1559" s="8" t="s">
        <v>17</v>
      </c>
      <c r="D1559" s="2">
        <v>43403</v>
      </c>
      <c r="E1559" s="3">
        <v>320</v>
      </c>
      <c r="F1559" t="s">
        <v>843</v>
      </c>
      <c r="G1559" t="s">
        <v>844</v>
      </c>
      <c r="H1559" t="s">
        <v>169</v>
      </c>
      <c r="I1559" s="6" t="s">
        <v>823</v>
      </c>
      <c r="J1559" s="61" t="s">
        <v>22</v>
      </c>
      <c r="L1559" s="5" t="str">
        <f t="shared" ref="L1559" si="405">IF(ISBLANK(A1559),"",TEXT(A1559,"00000"))</f>
        <v>01558</v>
      </c>
      <c r="M1559" s="47" t="str">
        <f t="shared" ref="M1559" si="406">IF(ISBLANK(D1559),"",TEXT(D1559,"dd")&amp;" de "&amp;TEXT(D1559,"mmmm")&amp;" de "&amp;TEXT(YEAR(D1559),"0"))</f>
        <v>30 de octubre de 2018</v>
      </c>
      <c r="N1559" s="323">
        <f t="shared" ref="N1559" si="407">DAY(D1559)</f>
        <v>30</v>
      </c>
      <c r="O1559" s="25">
        <f t="shared" ref="O1559" si="408">DATE(YEAR(D1559),MONTH(D1559),1)</f>
        <v>43374</v>
      </c>
      <c r="P1559" s="5" t="str">
        <f t="shared" ref="P1559" si="409">TEXT(E1559,"#.##0,00")</f>
        <v>320,00</v>
      </c>
      <c r="Q1559" s="4" t="str">
        <f t="shared" ref="Q1559" si="410">CONVERTIRNUM(E1559)</f>
        <v>Trescientos Veinte Bolívares con 00/100</v>
      </c>
    </row>
    <row r="1560" spans="1:17" x14ac:dyDescent="0.25">
      <c r="A1560" s="1">
        <f t="shared" si="394"/>
        <v>1559</v>
      </c>
      <c r="C1560" s="8" t="s">
        <v>17</v>
      </c>
      <c r="D1560" s="2">
        <v>43403</v>
      </c>
      <c r="E1560" s="3">
        <v>10</v>
      </c>
      <c r="F1560" t="s">
        <v>843</v>
      </c>
      <c r="G1560" t="s">
        <v>844</v>
      </c>
      <c r="H1560" t="s">
        <v>169</v>
      </c>
      <c r="I1560" s="6" t="s">
        <v>840</v>
      </c>
      <c r="J1560" s="61" t="s">
        <v>827</v>
      </c>
      <c r="L1560" s="5" t="str">
        <f t="shared" ref="L1560:L1592" si="411">IF(ISBLANK(A1560),"",TEXT(A1560,"00000"))</f>
        <v>01559</v>
      </c>
      <c r="M1560" s="47" t="str">
        <f t="shared" ref="M1560:M1592" si="412">IF(ISBLANK(D1560),"",TEXT(D1560,"dd")&amp;" de "&amp;TEXT(D1560,"mmmm")&amp;" de "&amp;TEXT(YEAR(D1560),"0"))</f>
        <v>30 de octubre de 2018</v>
      </c>
      <c r="N1560" s="323">
        <f t="shared" ref="N1560:N1596" si="413">DAY(D1560)</f>
        <v>30</v>
      </c>
      <c r="O1560" s="25">
        <f t="shared" ref="O1560:O1592" si="414">DATE(YEAR(D1560),MONTH(D1560),1)</f>
        <v>43374</v>
      </c>
      <c r="P1560" s="5" t="str">
        <f t="shared" ref="P1560:P1589" si="415">TEXT(E1560,"#.##0,00")</f>
        <v>10,00</v>
      </c>
      <c r="Q1560" s="4" t="str">
        <f t="shared" ref="Q1560:Q1577" si="416">CONVERTIRNUM(E1560)</f>
        <v>Diez Bolívares con 00/100</v>
      </c>
    </row>
    <row r="1561" spans="1:17" x14ac:dyDescent="0.25">
      <c r="A1561" s="1">
        <f t="shared" si="394"/>
        <v>1560</v>
      </c>
      <c r="C1561" s="8" t="s">
        <v>17</v>
      </c>
      <c r="D1561" s="2">
        <v>43396</v>
      </c>
      <c r="E1561" s="3">
        <v>320</v>
      </c>
      <c r="F1561" t="s">
        <v>594</v>
      </c>
      <c r="G1561" t="s">
        <v>595</v>
      </c>
      <c r="H1561" t="s">
        <v>596</v>
      </c>
      <c r="I1561" s="161" t="s">
        <v>845</v>
      </c>
      <c r="J1561" s="61" t="s">
        <v>22</v>
      </c>
      <c r="L1561" s="5" t="str">
        <f t="shared" si="411"/>
        <v>01560</v>
      </c>
      <c r="M1561" s="47" t="str">
        <f t="shared" si="412"/>
        <v>23 de octubre de 2018</v>
      </c>
      <c r="N1561" s="323">
        <f t="shared" si="413"/>
        <v>23</v>
      </c>
      <c r="O1561" s="25">
        <f t="shared" si="414"/>
        <v>43374</v>
      </c>
      <c r="P1561" s="5" t="str">
        <f t="shared" si="415"/>
        <v>320,00</v>
      </c>
      <c r="Q1561" s="4" t="str">
        <f t="shared" si="416"/>
        <v>Trescientos Veinte Bolívares con 00/100</v>
      </c>
    </row>
    <row r="1562" spans="1:17" x14ac:dyDescent="0.25">
      <c r="A1562" s="1">
        <f t="shared" si="394"/>
        <v>1561</v>
      </c>
      <c r="C1562" s="85" t="s">
        <v>17</v>
      </c>
      <c r="D1562" s="2">
        <v>43403</v>
      </c>
      <c r="E1562" s="3">
        <v>320</v>
      </c>
      <c r="F1562" t="s">
        <v>259</v>
      </c>
      <c r="G1562" s="18" t="s">
        <v>58</v>
      </c>
      <c r="H1562" t="s">
        <v>261</v>
      </c>
      <c r="I1562" s="6" t="s">
        <v>823</v>
      </c>
      <c r="J1562" s="61" t="s">
        <v>22</v>
      </c>
      <c r="L1562" s="5" t="str">
        <f t="shared" si="411"/>
        <v>01561</v>
      </c>
      <c r="M1562" s="47" t="str">
        <f t="shared" si="412"/>
        <v>30 de octubre de 2018</v>
      </c>
      <c r="N1562" s="323">
        <f t="shared" si="413"/>
        <v>30</v>
      </c>
      <c r="O1562" s="25">
        <f t="shared" si="414"/>
        <v>43374</v>
      </c>
      <c r="P1562" s="5" t="str">
        <f t="shared" si="415"/>
        <v>320,00</v>
      </c>
      <c r="Q1562" s="4" t="str">
        <f t="shared" si="416"/>
        <v>Trescientos Veinte Bolívares con 00/100</v>
      </c>
    </row>
    <row r="1563" spans="1:17" x14ac:dyDescent="0.25">
      <c r="A1563" s="1">
        <f t="shared" si="394"/>
        <v>1562</v>
      </c>
      <c r="C1563" s="8" t="s">
        <v>17</v>
      </c>
      <c r="D1563" s="2">
        <v>43404</v>
      </c>
      <c r="E1563" s="3">
        <v>320</v>
      </c>
      <c r="F1563" t="s">
        <v>211</v>
      </c>
      <c r="G1563" t="s">
        <v>212</v>
      </c>
      <c r="H1563" t="s">
        <v>213</v>
      </c>
      <c r="I1563" s="6" t="s">
        <v>823</v>
      </c>
      <c r="J1563" s="61" t="s">
        <v>22</v>
      </c>
      <c r="L1563" s="5" t="str">
        <f t="shared" si="411"/>
        <v>01562</v>
      </c>
      <c r="M1563" s="47" t="str">
        <f t="shared" si="412"/>
        <v>31 de octubre de 2018</v>
      </c>
      <c r="N1563" s="323">
        <f t="shared" si="413"/>
        <v>31</v>
      </c>
      <c r="O1563" s="25">
        <f t="shared" si="414"/>
        <v>43374</v>
      </c>
      <c r="P1563" s="5" t="str">
        <f t="shared" si="415"/>
        <v>320,00</v>
      </c>
      <c r="Q1563" s="4" t="str">
        <f t="shared" si="416"/>
        <v>Trescientos Veinte Bolívares con 00/100</v>
      </c>
    </row>
    <row r="1564" spans="1:17" x14ac:dyDescent="0.25">
      <c r="A1564" s="1">
        <f t="shared" si="394"/>
        <v>1563</v>
      </c>
      <c r="C1564" s="8" t="s">
        <v>17</v>
      </c>
      <c r="D1564" s="2">
        <v>43405</v>
      </c>
      <c r="E1564" s="3">
        <v>320</v>
      </c>
      <c r="F1564" t="s">
        <v>537</v>
      </c>
      <c r="G1564" t="s">
        <v>538</v>
      </c>
      <c r="H1564" t="s">
        <v>539</v>
      </c>
      <c r="I1564" s="6" t="s">
        <v>823</v>
      </c>
      <c r="J1564" s="61" t="s">
        <v>22</v>
      </c>
      <c r="L1564" s="5" t="str">
        <f t="shared" si="411"/>
        <v>01563</v>
      </c>
      <c r="M1564" s="47" t="str">
        <f t="shared" si="412"/>
        <v>01 de noviembre de 2018</v>
      </c>
      <c r="N1564" s="323">
        <f t="shared" si="413"/>
        <v>1</v>
      </c>
      <c r="O1564" s="25">
        <f t="shared" si="414"/>
        <v>43405</v>
      </c>
      <c r="P1564" s="5" t="str">
        <f t="shared" si="415"/>
        <v>320,00</v>
      </c>
      <c r="Q1564" s="4" t="str">
        <f t="shared" si="416"/>
        <v>Trescientos Veinte Bolívares con 00/100</v>
      </c>
    </row>
    <row r="1565" spans="1:17" x14ac:dyDescent="0.25">
      <c r="A1565" s="1">
        <f t="shared" si="394"/>
        <v>1564</v>
      </c>
      <c r="C1565" s="8" t="s">
        <v>17</v>
      </c>
      <c r="D1565" s="2">
        <v>43405</v>
      </c>
      <c r="E1565" s="3">
        <v>640</v>
      </c>
      <c r="F1565" t="s">
        <v>785</v>
      </c>
      <c r="G1565" t="s">
        <v>786</v>
      </c>
      <c r="H1565" t="s">
        <v>719</v>
      </c>
      <c r="I1565" s="6" t="s">
        <v>846</v>
      </c>
      <c r="J1565" s="61" t="s">
        <v>22</v>
      </c>
      <c r="L1565" s="5" t="str">
        <f t="shared" si="411"/>
        <v>01564</v>
      </c>
      <c r="M1565" s="47" t="str">
        <f t="shared" si="412"/>
        <v>01 de noviembre de 2018</v>
      </c>
      <c r="N1565" s="323">
        <f t="shared" si="413"/>
        <v>1</v>
      </c>
      <c r="O1565" s="25">
        <f t="shared" si="414"/>
        <v>43405</v>
      </c>
      <c r="P1565" s="5" t="str">
        <f t="shared" si="415"/>
        <v>640,00</v>
      </c>
      <c r="Q1565" s="4" t="str">
        <f t="shared" si="416"/>
        <v>Seiscientos Cuarenta Bolívares con 00/100</v>
      </c>
    </row>
    <row r="1566" spans="1:17" x14ac:dyDescent="0.25">
      <c r="A1566" s="1">
        <f t="shared" si="394"/>
        <v>1565</v>
      </c>
      <c r="C1566" s="8" t="s">
        <v>17</v>
      </c>
      <c r="D1566" s="2">
        <v>43404</v>
      </c>
      <c r="E1566" s="3">
        <v>320</v>
      </c>
      <c r="F1566" t="s">
        <v>287</v>
      </c>
      <c r="G1566" t="s">
        <v>288</v>
      </c>
      <c r="H1566" t="s">
        <v>289</v>
      </c>
      <c r="I1566" s="6" t="s">
        <v>810</v>
      </c>
      <c r="J1566" s="61" t="s">
        <v>22</v>
      </c>
      <c r="L1566" s="5" t="str">
        <f t="shared" si="411"/>
        <v>01565</v>
      </c>
      <c r="M1566" s="47" t="str">
        <f t="shared" si="412"/>
        <v>31 de octubre de 2018</v>
      </c>
      <c r="N1566" s="323">
        <f t="shared" si="413"/>
        <v>31</v>
      </c>
      <c r="O1566" s="25">
        <f t="shared" si="414"/>
        <v>43374</v>
      </c>
      <c r="P1566" s="5" t="str">
        <f t="shared" si="415"/>
        <v>320,00</v>
      </c>
      <c r="Q1566" s="4" t="str">
        <f t="shared" si="416"/>
        <v>Trescientos Veinte Bolívares con 00/100</v>
      </c>
    </row>
    <row r="1567" spans="1:17" x14ac:dyDescent="0.25">
      <c r="A1567" s="1">
        <f t="shared" si="394"/>
        <v>1566</v>
      </c>
      <c r="C1567" s="8" t="s">
        <v>17</v>
      </c>
      <c r="D1567" s="2">
        <v>43404</v>
      </c>
      <c r="E1567" s="3">
        <v>10</v>
      </c>
      <c r="F1567" t="s">
        <v>287</v>
      </c>
      <c r="G1567" t="s">
        <v>288</v>
      </c>
      <c r="H1567" t="s">
        <v>289</v>
      </c>
      <c r="I1567" s="6" t="s">
        <v>826</v>
      </c>
      <c r="J1567" s="61" t="s">
        <v>827</v>
      </c>
      <c r="L1567" s="5" t="str">
        <f t="shared" si="411"/>
        <v>01566</v>
      </c>
      <c r="M1567" s="47" t="str">
        <f t="shared" si="412"/>
        <v>31 de octubre de 2018</v>
      </c>
      <c r="N1567" s="323">
        <f t="shared" si="413"/>
        <v>31</v>
      </c>
      <c r="O1567" s="25">
        <f t="shared" si="414"/>
        <v>43374</v>
      </c>
      <c r="P1567" s="5" t="str">
        <f t="shared" si="415"/>
        <v>10,00</v>
      </c>
      <c r="Q1567" s="4" t="str">
        <f t="shared" si="416"/>
        <v>Diez Bolívares con 00/100</v>
      </c>
    </row>
    <row r="1568" spans="1:17" x14ac:dyDescent="0.25">
      <c r="A1568" s="1">
        <f t="shared" si="394"/>
        <v>1567</v>
      </c>
      <c r="C1568" s="8" t="s">
        <v>17</v>
      </c>
      <c r="D1568" s="2">
        <v>43405</v>
      </c>
      <c r="E1568" s="3">
        <f>320*3</f>
        <v>960</v>
      </c>
      <c r="F1568" t="s">
        <v>138</v>
      </c>
      <c r="G1568" t="s">
        <v>139</v>
      </c>
      <c r="H1568" t="s">
        <v>140</v>
      </c>
      <c r="I1568" s="6" t="s">
        <v>847</v>
      </c>
      <c r="J1568" s="61" t="s">
        <v>22</v>
      </c>
      <c r="L1568" s="5" t="str">
        <f t="shared" si="411"/>
        <v>01567</v>
      </c>
      <c r="M1568" s="47" t="str">
        <f t="shared" si="412"/>
        <v>01 de noviembre de 2018</v>
      </c>
      <c r="N1568" s="323">
        <f t="shared" si="413"/>
        <v>1</v>
      </c>
      <c r="O1568" s="25">
        <f t="shared" si="414"/>
        <v>43405</v>
      </c>
      <c r="P1568" s="5" t="str">
        <f t="shared" si="415"/>
        <v>960,00</v>
      </c>
      <c r="Q1568" s="4" t="str">
        <f t="shared" si="416"/>
        <v>Novecientos Sesenta Bolívares con 00/100</v>
      </c>
    </row>
    <row r="1569" spans="1:17" x14ac:dyDescent="0.25">
      <c r="A1569" s="1">
        <f t="shared" si="394"/>
        <v>1568</v>
      </c>
      <c r="C1569" s="8" t="s">
        <v>17</v>
      </c>
      <c r="D1569" s="2">
        <v>43405</v>
      </c>
      <c r="E1569" s="3">
        <v>100</v>
      </c>
      <c r="F1569" t="s">
        <v>433</v>
      </c>
      <c r="G1569" t="s">
        <v>434</v>
      </c>
      <c r="H1569" t="s">
        <v>435</v>
      </c>
      <c r="I1569" s="6" t="s">
        <v>839</v>
      </c>
      <c r="J1569" s="61" t="s">
        <v>22</v>
      </c>
      <c r="L1569" s="5" t="str">
        <f t="shared" si="411"/>
        <v>01568</v>
      </c>
      <c r="M1569" s="47" t="str">
        <f t="shared" si="412"/>
        <v>01 de noviembre de 2018</v>
      </c>
      <c r="N1569" s="323">
        <f t="shared" si="413"/>
        <v>1</v>
      </c>
      <c r="O1569" s="25">
        <f t="shared" si="414"/>
        <v>43405</v>
      </c>
      <c r="P1569" s="5" t="str">
        <f t="shared" si="415"/>
        <v>100,00</v>
      </c>
      <c r="Q1569" s="4" t="str">
        <f t="shared" si="416"/>
        <v>Cien Bolívares con 00/100</v>
      </c>
    </row>
    <row r="1570" spans="1:17" x14ac:dyDescent="0.25">
      <c r="A1570" s="1">
        <f t="shared" si="394"/>
        <v>1569</v>
      </c>
      <c r="C1570" s="8" t="s">
        <v>17</v>
      </c>
      <c r="D1570" s="2">
        <v>43405</v>
      </c>
      <c r="E1570" s="3">
        <v>320</v>
      </c>
      <c r="F1570" t="s">
        <v>80</v>
      </c>
      <c r="G1570" t="s">
        <v>81</v>
      </c>
      <c r="H1570" t="s">
        <v>82</v>
      </c>
      <c r="I1570" s="6" t="s">
        <v>848</v>
      </c>
      <c r="J1570" s="61" t="s">
        <v>22</v>
      </c>
      <c r="L1570" s="5" t="str">
        <f t="shared" si="411"/>
        <v>01569</v>
      </c>
      <c r="M1570" s="47" t="str">
        <f t="shared" si="412"/>
        <v>01 de noviembre de 2018</v>
      </c>
      <c r="N1570" s="323">
        <f t="shared" si="413"/>
        <v>1</v>
      </c>
      <c r="O1570" s="25">
        <f t="shared" si="414"/>
        <v>43405</v>
      </c>
      <c r="P1570" s="5" t="str">
        <f t="shared" si="415"/>
        <v>320,00</v>
      </c>
      <c r="Q1570" s="4" t="str">
        <f t="shared" si="416"/>
        <v>Trescientos Veinte Bolívares con 00/100</v>
      </c>
    </row>
    <row r="1571" spans="1:17" x14ac:dyDescent="0.25">
      <c r="A1571" s="1">
        <f t="shared" si="394"/>
        <v>1570</v>
      </c>
      <c r="C1571" s="8" t="s">
        <v>17</v>
      </c>
      <c r="D1571" s="2">
        <v>43406</v>
      </c>
      <c r="E1571" s="3">
        <v>320</v>
      </c>
      <c r="F1571" t="s">
        <v>483</v>
      </c>
      <c r="G1571" t="s">
        <v>484</v>
      </c>
      <c r="H1571" t="s">
        <v>485</v>
      </c>
      <c r="I1571" s="6" t="s">
        <v>848</v>
      </c>
      <c r="J1571" s="61" t="s">
        <v>22</v>
      </c>
      <c r="L1571" s="5" t="str">
        <f t="shared" si="411"/>
        <v>01570</v>
      </c>
      <c r="M1571" s="47" t="str">
        <f t="shared" si="412"/>
        <v>02 de noviembre de 2018</v>
      </c>
      <c r="N1571" s="323">
        <f t="shared" si="413"/>
        <v>2</v>
      </c>
      <c r="O1571" s="25">
        <f t="shared" si="414"/>
        <v>43405</v>
      </c>
      <c r="P1571" s="5" t="str">
        <f t="shared" si="415"/>
        <v>320,00</v>
      </c>
      <c r="Q1571" s="4" t="str">
        <f t="shared" si="416"/>
        <v>Trescientos Veinte Bolívares con 00/100</v>
      </c>
    </row>
    <row r="1572" spans="1:17" x14ac:dyDescent="0.25">
      <c r="A1572" s="1">
        <f t="shared" si="394"/>
        <v>1571</v>
      </c>
      <c r="C1572" s="8" t="s">
        <v>17</v>
      </c>
      <c r="D1572" s="2">
        <v>43406</v>
      </c>
      <c r="E1572" s="3">
        <v>320</v>
      </c>
      <c r="F1572" t="s">
        <v>558</v>
      </c>
      <c r="G1572" t="s">
        <v>559</v>
      </c>
      <c r="H1572" t="s">
        <v>560</v>
      </c>
      <c r="I1572" s="6" t="s">
        <v>848</v>
      </c>
      <c r="J1572" s="61" t="s">
        <v>22</v>
      </c>
      <c r="L1572" s="5" t="str">
        <f t="shared" si="411"/>
        <v>01571</v>
      </c>
      <c r="M1572" s="47" t="str">
        <f t="shared" si="412"/>
        <v>02 de noviembre de 2018</v>
      </c>
      <c r="N1572" s="323">
        <f t="shared" si="413"/>
        <v>2</v>
      </c>
      <c r="O1572" s="25">
        <f t="shared" si="414"/>
        <v>43405</v>
      </c>
      <c r="P1572" s="5" t="str">
        <f t="shared" si="415"/>
        <v>320,00</v>
      </c>
      <c r="Q1572" s="4" t="str">
        <f t="shared" si="416"/>
        <v>Trescientos Veinte Bolívares con 00/100</v>
      </c>
    </row>
    <row r="1573" spans="1:17" x14ac:dyDescent="0.25">
      <c r="A1573" s="1">
        <f t="shared" si="394"/>
        <v>1572</v>
      </c>
      <c r="C1573" s="8" t="s">
        <v>17</v>
      </c>
      <c r="D1573" s="2">
        <v>43406</v>
      </c>
      <c r="E1573" s="3">
        <v>320</v>
      </c>
      <c r="F1573" t="s">
        <v>126</v>
      </c>
      <c r="G1573" t="s">
        <v>127</v>
      </c>
      <c r="H1573" t="s">
        <v>128</v>
      </c>
      <c r="I1573" s="6" t="s">
        <v>848</v>
      </c>
      <c r="J1573" s="61" t="s">
        <v>22</v>
      </c>
      <c r="L1573" s="5" t="str">
        <f t="shared" si="411"/>
        <v>01572</v>
      </c>
      <c r="M1573" s="47" t="str">
        <f t="shared" si="412"/>
        <v>02 de noviembre de 2018</v>
      </c>
      <c r="N1573" s="323">
        <f t="shared" si="413"/>
        <v>2</v>
      </c>
      <c r="O1573" s="25">
        <f t="shared" si="414"/>
        <v>43405</v>
      </c>
      <c r="P1573" s="5" t="str">
        <f t="shared" si="415"/>
        <v>320,00</v>
      </c>
      <c r="Q1573" s="4" t="str">
        <f t="shared" si="416"/>
        <v>Trescientos Veinte Bolívares con 00/100</v>
      </c>
    </row>
    <row r="1574" spans="1:17" x14ac:dyDescent="0.25">
      <c r="A1574" s="1">
        <f t="shared" si="394"/>
        <v>1573</v>
      </c>
      <c r="C1574" s="8" t="s">
        <v>17</v>
      </c>
      <c r="D1574" s="2">
        <v>43406</v>
      </c>
      <c r="E1574" s="3">
        <v>640</v>
      </c>
      <c r="F1574" t="s">
        <v>334</v>
      </c>
      <c r="G1574" t="s">
        <v>85</v>
      </c>
      <c r="H1574" t="s">
        <v>335</v>
      </c>
      <c r="I1574" s="6" t="s">
        <v>846</v>
      </c>
      <c r="J1574" s="61" t="s">
        <v>22</v>
      </c>
      <c r="L1574" s="5" t="str">
        <f t="shared" si="411"/>
        <v>01573</v>
      </c>
      <c r="M1574" s="47" t="str">
        <f t="shared" si="412"/>
        <v>02 de noviembre de 2018</v>
      </c>
      <c r="N1574" s="323">
        <f t="shared" si="413"/>
        <v>2</v>
      </c>
      <c r="O1574" s="25">
        <f t="shared" si="414"/>
        <v>43405</v>
      </c>
      <c r="P1574" s="5" t="str">
        <f t="shared" si="415"/>
        <v>640,00</v>
      </c>
      <c r="Q1574" s="4" t="str">
        <f t="shared" si="416"/>
        <v>Seiscientos Cuarenta Bolívares con 00/100</v>
      </c>
    </row>
    <row r="1575" spans="1:17" x14ac:dyDescent="0.25">
      <c r="A1575" s="1">
        <f t="shared" si="394"/>
        <v>1574</v>
      </c>
      <c r="C1575" s="8" t="s">
        <v>17</v>
      </c>
      <c r="D1575" s="2">
        <v>43406</v>
      </c>
      <c r="E1575" s="3">
        <v>320</v>
      </c>
      <c r="F1575" t="s">
        <v>219</v>
      </c>
      <c r="G1575" t="s">
        <v>220</v>
      </c>
      <c r="H1575" t="s">
        <v>221</v>
      </c>
      <c r="I1575" s="6" t="s">
        <v>849</v>
      </c>
      <c r="J1575" s="61" t="s">
        <v>22</v>
      </c>
      <c r="L1575" s="5" t="str">
        <f t="shared" si="411"/>
        <v>01574</v>
      </c>
      <c r="M1575" s="47" t="str">
        <f t="shared" si="412"/>
        <v>02 de noviembre de 2018</v>
      </c>
      <c r="N1575" s="323">
        <f t="shared" si="413"/>
        <v>2</v>
      </c>
      <c r="O1575" s="25">
        <f t="shared" si="414"/>
        <v>43405</v>
      </c>
      <c r="P1575" s="5" t="str">
        <f t="shared" si="415"/>
        <v>320,00</v>
      </c>
      <c r="Q1575" s="4" t="str">
        <f t="shared" si="416"/>
        <v>Trescientos Veinte Bolívares con 00/100</v>
      </c>
    </row>
    <row r="1576" spans="1:17" x14ac:dyDescent="0.25">
      <c r="A1576" s="1">
        <f t="shared" si="394"/>
        <v>1575</v>
      </c>
      <c r="C1576" s="85" t="s">
        <v>17</v>
      </c>
      <c r="D1576" s="2">
        <v>43407</v>
      </c>
      <c r="E1576" s="3">
        <v>320</v>
      </c>
      <c r="F1576" t="s">
        <v>40</v>
      </c>
      <c r="G1576" s="18" t="s">
        <v>58</v>
      </c>
      <c r="H1576" t="s">
        <v>42</v>
      </c>
      <c r="I1576" s="6" t="s">
        <v>848</v>
      </c>
      <c r="J1576" s="61" t="s">
        <v>22</v>
      </c>
      <c r="L1576" s="5" t="str">
        <f t="shared" si="411"/>
        <v>01575</v>
      </c>
      <c r="M1576" s="47" t="str">
        <f t="shared" si="412"/>
        <v>03 de noviembre de 2018</v>
      </c>
      <c r="N1576" s="323">
        <f t="shared" si="413"/>
        <v>3</v>
      </c>
      <c r="O1576" s="25">
        <f t="shared" si="414"/>
        <v>43405</v>
      </c>
      <c r="P1576" s="5" t="str">
        <f t="shared" si="415"/>
        <v>320,00</v>
      </c>
      <c r="Q1576" s="4" t="str">
        <f t="shared" si="416"/>
        <v>Trescientos Veinte Bolívares con 00/100</v>
      </c>
    </row>
    <row r="1577" spans="1:17" x14ac:dyDescent="0.25">
      <c r="A1577" s="1">
        <f t="shared" si="394"/>
        <v>1576</v>
      </c>
      <c r="C1577" s="8" t="s">
        <v>17</v>
      </c>
      <c r="D1577" s="2">
        <v>43407</v>
      </c>
      <c r="E1577" s="3">
        <v>320</v>
      </c>
      <c r="F1577" t="s">
        <v>48</v>
      </c>
      <c r="G1577" t="s">
        <v>49</v>
      </c>
      <c r="H1577" t="s">
        <v>50</v>
      </c>
      <c r="I1577" s="6" t="s">
        <v>848</v>
      </c>
      <c r="J1577" s="61" t="s">
        <v>22</v>
      </c>
      <c r="L1577" s="5" t="str">
        <f t="shared" si="411"/>
        <v>01576</v>
      </c>
      <c r="M1577" s="47" t="str">
        <f t="shared" si="412"/>
        <v>03 de noviembre de 2018</v>
      </c>
      <c r="N1577" s="323">
        <f t="shared" si="413"/>
        <v>3</v>
      </c>
      <c r="O1577" s="25">
        <f t="shared" si="414"/>
        <v>43405</v>
      </c>
      <c r="P1577" s="5" t="str">
        <f t="shared" si="415"/>
        <v>320,00</v>
      </c>
      <c r="Q1577" s="4" t="str">
        <f t="shared" si="416"/>
        <v>Trescientos Veinte Bolívares con 00/100</v>
      </c>
    </row>
    <row r="1578" spans="1:17" x14ac:dyDescent="0.25">
      <c r="A1578" s="1">
        <f t="shared" si="394"/>
        <v>1577</v>
      </c>
      <c r="C1578" s="8" t="s">
        <v>17</v>
      </c>
      <c r="D1578" s="2">
        <v>43408</v>
      </c>
      <c r="E1578" s="3">
        <v>320</v>
      </c>
      <c r="F1578" t="s">
        <v>407</v>
      </c>
      <c r="G1578" t="s">
        <v>408</v>
      </c>
      <c r="H1578" t="s">
        <v>409</v>
      </c>
      <c r="I1578" s="6" t="s">
        <v>848</v>
      </c>
      <c r="J1578" s="61" t="s">
        <v>22</v>
      </c>
      <c r="L1578" s="5" t="str">
        <f t="shared" si="411"/>
        <v>01577</v>
      </c>
      <c r="M1578" s="47" t="str">
        <f t="shared" si="412"/>
        <v>04 de noviembre de 2018</v>
      </c>
      <c r="N1578" s="323">
        <f t="shared" si="413"/>
        <v>4</v>
      </c>
      <c r="O1578" s="25">
        <f t="shared" si="414"/>
        <v>43405</v>
      </c>
      <c r="P1578" s="5" t="str">
        <f t="shared" si="415"/>
        <v>320,00</v>
      </c>
      <c r="Q1578" s="4" t="str">
        <f>CONVERTIRNUM(E1578)</f>
        <v>Trescientos Veinte Bolívares con 00/100</v>
      </c>
    </row>
    <row r="1579" spans="1:17" x14ac:dyDescent="0.25">
      <c r="A1579" s="1">
        <f t="shared" si="394"/>
        <v>1578</v>
      </c>
      <c r="C1579" s="8" t="s">
        <v>17</v>
      </c>
      <c r="D1579" s="2">
        <v>43408</v>
      </c>
      <c r="E1579" s="3">
        <f>260*2</f>
        <v>520</v>
      </c>
      <c r="F1579" t="s">
        <v>28</v>
      </c>
      <c r="G1579" t="s">
        <v>716</v>
      </c>
      <c r="H1579" t="s">
        <v>30</v>
      </c>
      <c r="I1579" s="6" t="s">
        <v>850</v>
      </c>
      <c r="J1579" s="61" t="s">
        <v>22</v>
      </c>
      <c r="L1579" s="5" t="str">
        <f t="shared" si="411"/>
        <v>01578</v>
      </c>
      <c r="M1579" s="47" t="str">
        <f t="shared" si="412"/>
        <v>04 de noviembre de 2018</v>
      </c>
      <c r="N1579" s="323">
        <f t="shared" si="413"/>
        <v>4</v>
      </c>
      <c r="O1579" s="25">
        <f t="shared" si="414"/>
        <v>43405</v>
      </c>
      <c r="P1579" s="5" t="str">
        <f t="shared" si="415"/>
        <v>520,00</v>
      </c>
      <c r="Q1579" s="4" t="str">
        <f t="shared" ref="Q1579:Q1589" si="417">CONVERTIRNUM(E1579)</f>
        <v>Quinientos Veinte Bolívares con 00/100</v>
      </c>
    </row>
    <row r="1580" spans="1:17" x14ac:dyDescent="0.25">
      <c r="A1580" s="1">
        <f t="shared" si="394"/>
        <v>1579</v>
      </c>
      <c r="C1580" s="8" t="s">
        <v>17</v>
      </c>
      <c r="D1580" s="2">
        <v>43408</v>
      </c>
      <c r="E1580" s="3">
        <v>320</v>
      </c>
      <c r="F1580" t="s">
        <v>118</v>
      </c>
      <c r="G1580" t="s">
        <v>119</v>
      </c>
      <c r="H1580" t="s">
        <v>120</v>
      </c>
      <c r="I1580" s="6" t="s">
        <v>823</v>
      </c>
      <c r="J1580" s="61" t="s">
        <v>22</v>
      </c>
      <c r="L1580" s="5" t="str">
        <f t="shared" si="411"/>
        <v>01579</v>
      </c>
      <c r="M1580" s="47" t="str">
        <f t="shared" si="412"/>
        <v>04 de noviembre de 2018</v>
      </c>
      <c r="N1580" s="323">
        <f t="shared" si="413"/>
        <v>4</v>
      </c>
      <c r="O1580" s="25">
        <f t="shared" si="414"/>
        <v>43405</v>
      </c>
      <c r="P1580" s="5" t="str">
        <f t="shared" si="415"/>
        <v>320,00</v>
      </c>
      <c r="Q1580" s="4" t="str">
        <f t="shared" si="417"/>
        <v>Trescientos Veinte Bolívares con 00/100</v>
      </c>
    </row>
    <row r="1581" spans="1:17" x14ac:dyDescent="0.25">
      <c r="A1581" s="1">
        <f t="shared" si="394"/>
        <v>1580</v>
      </c>
      <c r="C1581" s="8" t="s">
        <v>17</v>
      </c>
      <c r="D1581" s="2">
        <v>43408</v>
      </c>
      <c r="E1581" s="3">
        <v>320</v>
      </c>
      <c r="F1581" t="s">
        <v>337</v>
      </c>
      <c r="G1581" t="s">
        <v>338</v>
      </c>
      <c r="H1581" t="s">
        <v>339</v>
      </c>
      <c r="I1581" s="6" t="s">
        <v>848</v>
      </c>
      <c r="J1581" s="61" t="s">
        <v>22</v>
      </c>
      <c r="L1581" s="5" t="str">
        <f t="shared" si="411"/>
        <v>01580</v>
      </c>
      <c r="M1581" s="47" t="str">
        <f t="shared" si="412"/>
        <v>04 de noviembre de 2018</v>
      </c>
      <c r="N1581" s="323">
        <f t="shared" si="413"/>
        <v>4</v>
      </c>
      <c r="O1581" s="25">
        <f t="shared" si="414"/>
        <v>43405</v>
      </c>
      <c r="P1581" s="5" t="str">
        <f t="shared" si="415"/>
        <v>320,00</v>
      </c>
      <c r="Q1581" s="4" t="str">
        <f t="shared" si="417"/>
        <v>Trescientos Veinte Bolívares con 00/100</v>
      </c>
    </row>
    <row r="1582" spans="1:17" x14ac:dyDescent="0.25">
      <c r="A1582" s="1">
        <f t="shared" si="394"/>
        <v>1581</v>
      </c>
      <c r="C1582" s="8" t="s">
        <v>17</v>
      </c>
      <c r="D1582" s="2">
        <v>43409</v>
      </c>
      <c r="E1582" s="3">
        <f>320*2</f>
        <v>640</v>
      </c>
      <c r="F1582" t="s">
        <v>24</v>
      </c>
      <c r="G1582" t="s">
        <v>25</v>
      </c>
      <c r="H1582" t="s">
        <v>26</v>
      </c>
      <c r="I1582" s="6" t="s">
        <v>851</v>
      </c>
      <c r="J1582" s="61" t="s">
        <v>22</v>
      </c>
      <c r="L1582" s="5" t="str">
        <f t="shared" si="411"/>
        <v>01581</v>
      </c>
      <c r="M1582" s="47" t="str">
        <f t="shared" si="412"/>
        <v>05 de noviembre de 2018</v>
      </c>
      <c r="N1582" s="323">
        <f t="shared" si="413"/>
        <v>5</v>
      </c>
      <c r="O1582" s="25">
        <f t="shared" si="414"/>
        <v>43405</v>
      </c>
      <c r="P1582" s="5" t="str">
        <f t="shared" si="415"/>
        <v>640,00</v>
      </c>
      <c r="Q1582" s="4" t="str">
        <f t="shared" si="417"/>
        <v>Seiscientos Cuarenta Bolívares con 00/100</v>
      </c>
    </row>
    <row r="1583" spans="1:17" x14ac:dyDescent="0.25">
      <c r="A1583" s="1">
        <f t="shared" si="394"/>
        <v>1582</v>
      </c>
      <c r="C1583" s="8" t="s">
        <v>17</v>
      </c>
      <c r="D1583" s="2">
        <v>43409</v>
      </c>
      <c r="E1583" s="3">
        <v>320</v>
      </c>
      <c r="F1583" t="s">
        <v>53</v>
      </c>
      <c r="G1583" t="s">
        <v>677</v>
      </c>
      <c r="H1583" t="s">
        <v>55</v>
      </c>
      <c r="I1583" s="6" t="s">
        <v>823</v>
      </c>
      <c r="J1583" s="61" t="s">
        <v>22</v>
      </c>
      <c r="L1583" s="5" t="str">
        <f t="shared" si="411"/>
        <v>01582</v>
      </c>
      <c r="M1583" s="47" t="str">
        <f t="shared" si="412"/>
        <v>05 de noviembre de 2018</v>
      </c>
      <c r="N1583" s="323">
        <f t="shared" si="413"/>
        <v>5</v>
      </c>
      <c r="O1583" s="25">
        <f t="shared" si="414"/>
        <v>43405</v>
      </c>
      <c r="P1583" s="5" t="str">
        <f t="shared" si="415"/>
        <v>320,00</v>
      </c>
      <c r="Q1583" s="4" t="str">
        <f t="shared" si="417"/>
        <v>Trescientos Veinte Bolívares con 00/100</v>
      </c>
    </row>
    <row r="1584" spans="1:17" x14ac:dyDescent="0.25">
      <c r="A1584" s="1">
        <f t="shared" si="394"/>
        <v>1583</v>
      </c>
      <c r="C1584" s="8" t="s">
        <v>17</v>
      </c>
      <c r="D1584" s="2">
        <v>43409</v>
      </c>
      <c r="E1584" s="3">
        <v>320</v>
      </c>
      <c r="F1584" t="s">
        <v>713</v>
      </c>
      <c r="G1584" t="s">
        <v>714</v>
      </c>
      <c r="H1584" t="s">
        <v>154</v>
      </c>
      <c r="I1584" s="6" t="s">
        <v>848</v>
      </c>
      <c r="J1584" s="61" t="s">
        <v>22</v>
      </c>
      <c r="L1584" s="5" t="str">
        <f t="shared" si="411"/>
        <v>01583</v>
      </c>
      <c r="M1584" s="47" t="str">
        <f t="shared" si="412"/>
        <v>05 de noviembre de 2018</v>
      </c>
      <c r="N1584" s="323">
        <f t="shared" si="413"/>
        <v>5</v>
      </c>
      <c r="O1584" s="25">
        <f t="shared" si="414"/>
        <v>43405</v>
      </c>
      <c r="P1584" s="5" t="str">
        <f t="shared" si="415"/>
        <v>320,00</v>
      </c>
      <c r="Q1584" s="4" t="str">
        <f t="shared" si="417"/>
        <v>Trescientos Veinte Bolívares con 00/100</v>
      </c>
    </row>
    <row r="1585" spans="1:17" x14ac:dyDescent="0.25">
      <c r="A1585" s="1">
        <f t="shared" si="394"/>
        <v>1584</v>
      </c>
      <c r="C1585" s="8" t="s">
        <v>17</v>
      </c>
      <c r="D1585" s="2">
        <v>43410</v>
      </c>
      <c r="E1585" s="3">
        <v>350</v>
      </c>
      <c r="F1585" t="s">
        <v>342</v>
      </c>
      <c r="G1585" t="s">
        <v>343</v>
      </c>
      <c r="H1585" t="s">
        <v>344</v>
      </c>
      <c r="I1585" s="6" t="s">
        <v>823</v>
      </c>
      <c r="J1585" s="61" t="s">
        <v>22</v>
      </c>
      <c r="L1585" s="5" t="str">
        <f t="shared" si="411"/>
        <v>01584</v>
      </c>
      <c r="M1585" s="47" t="str">
        <f t="shared" si="412"/>
        <v>06 de noviembre de 2018</v>
      </c>
      <c r="N1585" s="323">
        <f t="shared" si="413"/>
        <v>6</v>
      </c>
      <c r="O1585" s="25">
        <f t="shared" si="414"/>
        <v>43405</v>
      </c>
      <c r="P1585" s="5" t="str">
        <f t="shared" si="415"/>
        <v>350,00</v>
      </c>
      <c r="Q1585" s="4" t="str">
        <f t="shared" si="417"/>
        <v>Trescientos Cincuenta Bolívares con 00/100</v>
      </c>
    </row>
    <row r="1586" spans="1:17" x14ac:dyDescent="0.25">
      <c r="A1586" s="1">
        <f t="shared" si="394"/>
        <v>1585</v>
      </c>
      <c r="C1586" s="8" t="s">
        <v>17</v>
      </c>
      <c r="D1586" s="2">
        <v>43410</v>
      </c>
      <c r="E1586" s="3">
        <v>350</v>
      </c>
      <c r="F1586" t="s">
        <v>107</v>
      </c>
      <c r="G1586" t="s">
        <v>108</v>
      </c>
      <c r="H1586" t="s">
        <v>109</v>
      </c>
      <c r="I1586" s="6" t="s">
        <v>848</v>
      </c>
      <c r="J1586" s="61" t="s">
        <v>22</v>
      </c>
      <c r="L1586" s="5" t="str">
        <f t="shared" si="411"/>
        <v>01585</v>
      </c>
      <c r="M1586" s="47" t="str">
        <f t="shared" si="412"/>
        <v>06 de noviembre de 2018</v>
      </c>
      <c r="N1586" s="323">
        <f t="shared" si="413"/>
        <v>6</v>
      </c>
      <c r="O1586" s="25">
        <f t="shared" si="414"/>
        <v>43405</v>
      </c>
      <c r="P1586" s="5" t="str">
        <f t="shared" si="415"/>
        <v>350,00</v>
      </c>
      <c r="Q1586" s="4" t="str">
        <f t="shared" si="417"/>
        <v>Trescientos Cincuenta Bolívares con 00/100</v>
      </c>
    </row>
    <row r="1587" spans="1:17" x14ac:dyDescent="0.25">
      <c r="A1587" s="1">
        <f>A1586+1</f>
        <v>1586</v>
      </c>
      <c r="C1587" s="8" t="s">
        <v>17</v>
      </c>
      <c r="D1587" s="2">
        <v>43410</v>
      </c>
      <c r="E1587" s="3">
        <v>320</v>
      </c>
      <c r="F1587" t="s">
        <v>70</v>
      </c>
      <c r="G1587" t="s">
        <v>71</v>
      </c>
      <c r="H1587" t="s">
        <v>72</v>
      </c>
      <c r="I1587" s="6" t="s">
        <v>848</v>
      </c>
      <c r="J1587" s="61" t="s">
        <v>22</v>
      </c>
      <c r="L1587" s="5" t="str">
        <f t="shared" si="411"/>
        <v>01586</v>
      </c>
      <c r="M1587" s="47" t="str">
        <f t="shared" si="412"/>
        <v>06 de noviembre de 2018</v>
      </c>
      <c r="N1587" s="323">
        <f t="shared" si="413"/>
        <v>6</v>
      </c>
      <c r="O1587" s="25">
        <f t="shared" si="414"/>
        <v>43405</v>
      </c>
      <c r="P1587" s="5" t="str">
        <f t="shared" si="415"/>
        <v>320,00</v>
      </c>
      <c r="Q1587" s="4" t="str">
        <f t="shared" si="417"/>
        <v>Trescientos Veinte Bolívares con 00/100</v>
      </c>
    </row>
    <row r="1588" spans="1:17" x14ac:dyDescent="0.25">
      <c r="A1588" s="1">
        <f t="shared" si="394"/>
        <v>1587</v>
      </c>
      <c r="C1588" s="8" t="s">
        <v>17</v>
      </c>
      <c r="D1588" s="2">
        <v>43410</v>
      </c>
      <c r="E1588" s="3">
        <v>320</v>
      </c>
      <c r="F1588" t="s">
        <v>134</v>
      </c>
      <c r="G1588" t="s">
        <v>135</v>
      </c>
      <c r="H1588" t="s">
        <v>136</v>
      </c>
      <c r="I1588" s="6" t="s">
        <v>848</v>
      </c>
      <c r="J1588" s="61" t="s">
        <v>22</v>
      </c>
      <c r="L1588" s="5" t="str">
        <f t="shared" si="411"/>
        <v>01587</v>
      </c>
      <c r="M1588" s="47" t="str">
        <f t="shared" si="412"/>
        <v>06 de noviembre de 2018</v>
      </c>
      <c r="N1588" s="323">
        <f t="shared" si="413"/>
        <v>6</v>
      </c>
      <c r="O1588" s="25">
        <f t="shared" si="414"/>
        <v>43405</v>
      </c>
      <c r="P1588" s="5" t="str">
        <f t="shared" si="415"/>
        <v>320,00</v>
      </c>
      <c r="Q1588" s="4" t="str">
        <f t="shared" si="417"/>
        <v>Trescientos Veinte Bolívares con 00/100</v>
      </c>
    </row>
    <row r="1589" spans="1:17" x14ac:dyDescent="0.25">
      <c r="A1589" s="1">
        <f t="shared" si="394"/>
        <v>1588</v>
      </c>
      <c r="C1589" s="8" t="s">
        <v>17</v>
      </c>
      <c r="D1589" s="2">
        <v>43411</v>
      </c>
      <c r="E1589" s="3">
        <v>320</v>
      </c>
      <c r="F1589" t="s">
        <v>843</v>
      </c>
      <c r="G1589" t="s">
        <v>844</v>
      </c>
      <c r="H1589" t="s">
        <v>169</v>
      </c>
      <c r="I1589" s="6" t="s">
        <v>848</v>
      </c>
      <c r="J1589" s="61" t="s">
        <v>22</v>
      </c>
      <c r="L1589" s="5" t="str">
        <f t="shared" si="411"/>
        <v>01588</v>
      </c>
      <c r="M1589" s="47" t="str">
        <f t="shared" si="412"/>
        <v>07 de noviembre de 2018</v>
      </c>
      <c r="N1589" s="323">
        <f t="shared" si="413"/>
        <v>7</v>
      </c>
      <c r="O1589" s="25">
        <f t="shared" si="414"/>
        <v>43405</v>
      </c>
      <c r="P1589" s="5" t="str">
        <f t="shared" si="415"/>
        <v>320,00</v>
      </c>
      <c r="Q1589" s="4" t="str">
        <f t="shared" si="417"/>
        <v>Trescientos Veinte Bolívares con 00/100</v>
      </c>
    </row>
    <row r="1590" spans="1:17" x14ac:dyDescent="0.25">
      <c r="A1590" s="1">
        <f t="shared" si="394"/>
        <v>1589</v>
      </c>
      <c r="C1590" s="8" t="s">
        <v>17</v>
      </c>
      <c r="D1590" s="2">
        <v>43412</v>
      </c>
      <c r="E1590" s="3">
        <v>1000</v>
      </c>
      <c r="F1590" t="s">
        <v>162</v>
      </c>
      <c r="G1590" t="s">
        <v>163</v>
      </c>
      <c r="H1590" t="s">
        <v>164</v>
      </c>
      <c r="I1590" s="6" t="s">
        <v>852</v>
      </c>
      <c r="J1590" s="61" t="s">
        <v>22</v>
      </c>
      <c r="L1590" s="5" t="str">
        <f t="shared" si="411"/>
        <v>01589</v>
      </c>
      <c r="M1590" s="47" t="str">
        <f t="shared" si="412"/>
        <v>08 de noviembre de 2018</v>
      </c>
      <c r="N1590" s="323">
        <f t="shared" si="413"/>
        <v>8</v>
      </c>
      <c r="O1590" s="25">
        <f t="shared" si="414"/>
        <v>43405</v>
      </c>
      <c r="P1590" s="5" t="str">
        <f>TEXT(E1590,"#.##0,00")</f>
        <v>1.000,00</v>
      </c>
      <c r="Q1590" s="4" t="str">
        <f>CONVERTIRNUM(E1590)</f>
        <v>Mil Bolívares con 00/100</v>
      </c>
    </row>
    <row r="1591" spans="1:17" x14ac:dyDescent="0.25">
      <c r="A1591" s="1">
        <f t="shared" si="394"/>
        <v>1590</v>
      </c>
      <c r="C1591" s="8" t="s">
        <v>17</v>
      </c>
      <c r="D1591" s="2">
        <v>43412</v>
      </c>
      <c r="E1591" s="3">
        <v>320</v>
      </c>
      <c r="F1591" t="s">
        <v>18</v>
      </c>
      <c r="G1591" t="s">
        <v>19</v>
      </c>
      <c r="H1591" t="s">
        <v>20</v>
      </c>
      <c r="I1591" s="6" t="s">
        <v>853</v>
      </c>
      <c r="J1591" s="61" t="s">
        <v>22</v>
      </c>
      <c r="L1591" s="5" t="str">
        <f t="shared" si="411"/>
        <v>01590</v>
      </c>
      <c r="M1591" s="47" t="str">
        <f t="shared" si="412"/>
        <v>08 de noviembre de 2018</v>
      </c>
      <c r="N1591" s="323">
        <f t="shared" si="413"/>
        <v>8</v>
      </c>
      <c r="O1591" s="25">
        <f t="shared" si="414"/>
        <v>43405</v>
      </c>
      <c r="P1591" s="5" t="str">
        <f t="shared" ref="P1591:P1596" si="418">TEXT(E1591,"#.##0,00")</f>
        <v>320,00</v>
      </c>
      <c r="Q1591" s="4" t="str">
        <f t="shared" ref="Q1591:Q1596" si="419">CONVERTIRNUM(E1591)</f>
        <v>Trescientos Veinte Bolívares con 00/100</v>
      </c>
    </row>
    <row r="1592" spans="1:17" x14ac:dyDescent="0.25">
      <c r="A1592" s="1">
        <f t="shared" si="394"/>
        <v>1591</v>
      </c>
      <c r="C1592" s="8" t="s">
        <v>17</v>
      </c>
      <c r="D1592" s="2">
        <v>43412</v>
      </c>
      <c r="E1592" s="3">
        <f>320</f>
        <v>320</v>
      </c>
      <c r="F1592" t="s">
        <v>438</v>
      </c>
      <c r="G1592" t="s">
        <v>439</v>
      </c>
      <c r="H1592" t="s">
        <v>440</v>
      </c>
      <c r="I1592" s="6" t="s">
        <v>854</v>
      </c>
      <c r="J1592" s="61" t="s">
        <v>22</v>
      </c>
      <c r="L1592" s="5" t="str">
        <f t="shared" si="411"/>
        <v>01591</v>
      </c>
      <c r="M1592" s="47" t="str">
        <f t="shared" si="412"/>
        <v>08 de noviembre de 2018</v>
      </c>
      <c r="N1592" s="323">
        <f t="shared" si="413"/>
        <v>8</v>
      </c>
      <c r="O1592" s="25">
        <f t="shared" si="414"/>
        <v>43405</v>
      </c>
      <c r="P1592" s="5" t="str">
        <f t="shared" si="418"/>
        <v>320,00</v>
      </c>
      <c r="Q1592" s="4" t="str">
        <f t="shared" si="419"/>
        <v>Trescientos Veinte Bolívares con 00/100</v>
      </c>
    </row>
    <row r="1593" spans="1:17" x14ac:dyDescent="0.25">
      <c r="A1593" s="1">
        <f t="shared" si="394"/>
        <v>1592</v>
      </c>
      <c r="C1593" s="8" t="s">
        <v>17</v>
      </c>
      <c r="D1593" s="2">
        <v>43412</v>
      </c>
      <c r="E1593" s="3">
        <v>500</v>
      </c>
      <c r="F1593" t="s">
        <v>44</v>
      </c>
      <c r="G1593" t="s">
        <v>45</v>
      </c>
      <c r="H1593" t="s">
        <v>46</v>
      </c>
      <c r="I1593" s="6" t="s">
        <v>855</v>
      </c>
      <c r="J1593" s="61" t="s">
        <v>22</v>
      </c>
      <c r="L1593" s="5" t="str">
        <f>IF(ISBLANK(A1593),"",TEXT(A1593,"00000"))</f>
        <v>01592</v>
      </c>
      <c r="M1593" s="47" t="str">
        <f>IF(ISBLANK(D1593),"",TEXT(D1593,"dd")&amp;" de "&amp;TEXT(D1593,"mmmm")&amp;" de "&amp;TEXT(YEAR(D1593),"0"))</f>
        <v>08 de noviembre de 2018</v>
      </c>
      <c r="N1593" s="323">
        <f t="shared" si="413"/>
        <v>8</v>
      </c>
      <c r="O1593" s="25">
        <f>DATE(YEAR(D1593),MONTH(D1593),1)</f>
        <v>43405</v>
      </c>
      <c r="P1593" s="5" t="str">
        <f t="shared" si="418"/>
        <v>500,00</v>
      </c>
      <c r="Q1593" s="4" t="str">
        <f t="shared" si="419"/>
        <v>Quinientos Bolívares con 00/100</v>
      </c>
    </row>
    <row r="1594" spans="1:17" x14ac:dyDescent="0.25">
      <c r="A1594" s="1">
        <f t="shared" si="394"/>
        <v>1593</v>
      </c>
      <c r="C1594" s="8" t="s">
        <v>17</v>
      </c>
      <c r="D1594" s="2">
        <v>43412</v>
      </c>
      <c r="E1594" s="3">
        <v>640</v>
      </c>
      <c r="F1594" t="s">
        <v>239</v>
      </c>
      <c r="G1594" s="73" t="s">
        <v>240</v>
      </c>
      <c r="H1594" t="s">
        <v>241</v>
      </c>
      <c r="I1594" s="6" t="s">
        <v>846</v>
      </c>
      <c r="J1594" s="61" t="s">
        <v>22</v>
      </c>
      <c r="L1594" s="5" t="str">
        <f t="shared" ref="L1594:L1596" si="420">IF(ISBLANK(A1594),"",TEXT(A1594,"00000"))</f>
        <v>01593</v>
      </c>
      <c r="M1594" s="47" t="str">
        <f t="shared" ref="M1594:M1596" si="421">IF(ISBLANK(D1594),"",TEXT(D1594,"dd")&amp;" de "&amp;TEXT(D1594,"mmmm")&amp;" de "&amp;TEXT(YEAR(D1594),"0"))</f>
        <v>08 de noviembre de 2018</v>
      </c>
      <c r="N1594" s="323">
        <f t="shared" si="413"/>
        <v>8</v>
      </c>
      <c r="O1594" s="25">
        <f t="shared" ref="O1594:O1596" si="422">DATE(YEAR(D1594),MONTH(D1594),1)</f>
        <v>43405</v>
      </c>
      <c r="P1594" s="5" t="str">
        <f t="shared" si="418"/>
        <v>640,00</v>
      </c>
      <c r="Q1594" s="4" t="str">
        <f t="shared" si="419"/>
        <v>Seiscientos Cuarenta Bolívares con 00/100</v>
      </c>
    </row>
    <row r="1595" spans="1:17" x14ac:dyDescent="0.25">
      <c r="A1595" s="1">
        <f t="shared" si="394"/>
        <v>1594</v>
      </c>
      <c r="C1595" s="8" t="s">
        <v>17</v>
      </c>
      <c r="D1595" s="2">
        <v>43413</v>
      </c>
      <c r="E1595" s="3">
        <v>320</v>
      </c>
      <c r="F1595" t="s">
        <v>185</v>
      </c>
      <c r="G1595" t="s">
        <v>186</v>
      </c>
      <c r="H1595" t="s">
        <v>187</v>
      </c>
      <c r="I1595" s="6" t="s">
        <v>823</v>
      </c>
      <c r="J1595" s="61" t="s">
        <v>22</v>
      </c>
      <c r="L1595" s="5" t="str">
        <f t="shared" si="420"/>
        <v>01594</v>
      </c>
      <c r="M1595" s="47" t="str">
        <f t="shared" si="421"/>
        <v>09 de noviembre de 2018</v>
      </c>
      <c r="N1595" s="323">
        <f t="shared" si="413"/>
        <v>9</v>
      </c>
      <c r="O1595" s="25">
        <f t="shared" si="422"/>
        <v>43405</v>
      </c>
      <c r="P1595" s="5" t="str">
        <f t="shared" si="418"/>
        <v>320,00</v>
      </c>
      <c r="Q1595" s="4" t="str">
        <f t="shared" si="419"/>
        <v>Trescientos Veinte Bolívares con 00/100</v>
      </c>
    </row>
    <row r="1596" spans="1:17" x14ac:dyDescent="0.25">
      <c r="A1596" s="1">
        <f t="shared" si="394"/>
        <v>1595</v>
      </c>
      <c r="C1596" s="8" t="s">
        <v>17</v>
      </c>
      <c r="D1596" s="2">
        <v>43414</v>
      </c>
      <c r="E1596" s="3">
        <v>320</v>
      </c>
      <c r="F1596" t="s">
        <v>62</v>
      </c>
      <c r="G1596" t="s">
        <v>63</v>
      </c>
      <c r="H1596" t="s">
        <v>64</v>
      </c>
      <c r="I1596" s="6" t="s">
        <v>823</v>
      </c>
      <c r="J1596" s="61" t="s">
        <v>22</v>
      </c>
      <c r="L1596" s="5" t="str">
        <f t="shared" si="420"/>
        <v>01595</v>
      </c>
      <c r="M1596" s="47" t="str">
        <f t="shared" si="421"/>
        <v>10 de noviembre de 2018</v>
      </c>
      <c r="N1596" s="323">
        <f t="shared" si="413"/>
        <v>10</v>
      </c>
      <c r="O1596" s="25">
        <f t="shared" si="422"/>
        <v>43405</v>
      </c>
      <c r="P1596" s="5" t="str">
        <f t="shared" si="418"/>
        <v>320,00</v>
      </c>
      <c r="Q1596" s="4" t="str">
        <f t="shared" si="419"/>
        <v>Trescientos Veinte Bolívares con 00/100</v>
      </c>
    </row>
    <row r="1597" spans="1:17" x14ac:dyDescent="0.25">
      <c r="A1597" s="1">
        <f t="shared" si="394"/>
        <v>1596</v>
      </c>
      <c r="C1597" s="8" t="s">
        <v>17</v>
      </c>
      <c r="D1597" s="2">
        <v>43415</v>
      </c>
      <c r="E1597" s="3">
        <v>1350</v>
      </c>
      <c r="F1597" t="s">
        <v>578</v>
      </c>
      <c r="G1597" t="s">
        <v>579</v>
      </c>
      <c r="H1597" t="s">
        <v>580</v>
      </c>
      <c r="I1597" s="6" t="s">
        <v>856</v>
      </c>
      <c r="J1597" s="61" t="s">
        <v>22</v>
      </c>
      <c r="L1597" s="5" t="str">
        <f t="shared" ref="L1597:L1624" si="423">IF(ISBLANK(A1597),"",TEXT(A1597,"00000"))</f>
        <v>01596</v>
      </c>
      <c r="M1597" s="47" t="str">
        <f t="shared" ref="M1597:M1624" si="424">IF(ISBLANK(D1597),"",TEXT(D1597,"dd")&amp;" de "&amp;TEXT(D1597,"mmmm")&amp;" de "&amp;TEXT(YEAR(D1597),"0"))</f>
        <v>11 de noviembre de 2018</v>
      </c>
      <c r="N1597" s="323">
        <f t="shared" ref="N1597:N1624" si="425">DAY(D1597)</f>
        <v>11</v>
      </c>
      <c r="O1597" s="25">
        <f t="shared" ref="O1597:O1624" si="426">DATE(YEAR(D1597),MONTH(D1597),1)</f>
        <v>43405</v>
      </c>
      <c r="P1597" s="5" t="str">
        <f t="shared" ref="P1597:P1624" si="427">TEXT(E1597,"#.##0,00")</f>
        <v>1.350,00</v>
      </c>
      <c r="Q1597" s="4" t="str">
        <f t="shared" ref="Q1597:Q1600" si="428">CONVERTIRNUM(E1597)</f>
        <v>Mil Trescientos Cincuenta Bolívares con 00/100</v>
      </c>
    </row>
    <row r="1598" spans="1:17" x14ac:dyDescent="0.25">
      <c r="A1598" s="1">
        <f t="shared" si="394"/>
        <v>1597</v>
      </c>
      <c r="C1598" s="8" t="s">
        <v>17</v>
      </c>
      <c r="D1598" s="2">
        <v>43416</v>
      </c>
      <c r="E1598" s="3">
        <v>320</v>
      </c>
      <c r="F1598" t="s">
        <v>206</v>
      </c>
      <c r="G1598" t="s">
        <v>207</v>
      </c>
      <c r="H1598" t="s">
        <v>208</v>
      </c>
      <c r="I1598" s="6" t="s">
        <v>823</v>
      </c>
      <c r="J1598" s="61" t="s">
        <v>22</v>
      </c>
      <c r="L1598" s="5" t="str">
        <f t="shared" si="423"/>
        <v>01597</v>
      </c>
      <c r="M1598" s="47" t="str">
        <f t="shared" si="424"/>
        <v>12 de noviembre de 2018</v>
      </c>
      <c r="N1598" s="323">
        <f t="shared" si="425"/>
        <v>12</v>
      </c>
      <c r="O1598" s="25">
        <f t="shared" si="426"/>
        <v>43405</v>
      </c>
      <c r="P1598" s="5" t="str">
        <f t="shared" si="427"/>
        <v>320,00</v>
      </c>
      <c r="Q1598" s="4" t="str">
        <f t="shared" si="428"/>
        <v>Trescientos Veinte Bolívares con 00/100</v>
      </c>
    </row>
    <row r="1599" spans="1:17" x14ac:dyDescent="0.25">
      <c r="A1599" s="1">
        <f t="shared" si="394"/>
        <v>1598</v>
      </c>
      <c r="C1599" s="8" t="s">
        <v>17</v>
      </c>
      <c r="D1599" s="2">
        <v>43417</v>
      </c>
      <c r="E1599" s="3">
        <v>320</v>
      </c>
      <c r="F1599" t="s">
        <v>94</v>
      </c>
      <c r="G1599" t="s">
        <v>607</v>
      </c>
      <c r="H1599" t="s">
        <v>96</v>
      </c>
      <c r="I1599" s="6" t="s">
        <v>848</v>
      </c>
      <c r="J1599" s="61" t="s">
        <v>22</v>
      </c>
      <c r="L1599" s="5" t="str">
        <f t="shared" si="423"/>
        <v>01598</v>
      </c>
      <c r="M1599" s="47" t="str">
        <f t="shared" si="424"/>
        <v>13 de noviembre de 2018</v>
      </c>
      <c r="N1599" s="323">
        <f t="shared" si="425"/>
        <v>13</v>
      </c>
      <c r="O1599" s="25">
        <f t="shared" si="426"/>
        <v>43405</v>
      </c>
      <c r="P1599" s="5" t="str">
        <f t="shared" si="427"/>
        <v>320,00</v>
      </c>
      <c r="Q1599" s="4" t="str">
        <f t="shared" si="428"/>
        <v>Trescientos Veinte Bolívares con 00/100</v>
      </c>
    </row>
    <row r="1600" spans="1:17" x14ac:dyDescent="0.25">
      <c r="A1600" s="1">
        <f t="shared" si="394"/>
        <v>1599</v>
      </c>
      <c r="C1600" s="8" t="s">
        <v>17</v>
      </c>
      <c r="D1600" s="2">
        <v>43418</v>
      </c>
      <c r="E1600" s="3">
        <v>320</v>
      </c>
      <c r="F1600" t="s">
        <v>201</v>
      </c>
      <c r="G1600" t="s">
        <v>202</v>
      </c>
      <c r="H1600" t="s">
        <v>203</v>
      </c>
      <c r="I1600" s="6" t="s">
        <v>857</v>
      </c>
      <c r="J1600" s="61" t="s">
        <v>22</v>
      </c>
      <c r="L1600" s="5" t="str">
        <f t="shared" si="423"/>
        <v>01599</v>
      </c>
      <c r="M1600" s="47" t="str">
        <f t="shared" si="424"/>
        <v>14 de noviembre de 2018</v>
      </c>
      <c r="N1600" s="323">
        <f t="shared" si="425"/>
        <v>14</v>
      </c>
      <c r="O1600" s="25">
        <f t="shared" si="426"/>
        <v>43405</v>
      </c>
      <c r="P1600" s="5" t="str">
        <f t="shared" si="427"/>
        <v>320,00</v>
      </c>
      <c r="Q1600" s="4" t="str">
        <f t="shared" si="428"/>
        <v>Trescientos Veinte Bolívares con 00/100</v>
      </c>
    </row>
    <row r="1601" spans="1:17" x14ac:dyDescent="0.25">
      <c r="A1601" s="1">
        <f t="shared" si="394"/>
        <v>1600</v>
      </c>
      <c r="C1601" s="8" t="s">
        <v>17</v>
      </c>
      <c r="D1601" s="2">
        <v>43387</v>
      </c>
      <c r="E1601" s="3">
        <v>320</v>
      </c>
      <c r="F1601" t="s">
        <v>771</v>
      </c>
      <c r="G1601" t="s">
        <v>772</v>
      </c>
      <c r="H1601" t="s">
        <v>773</v>
      </c>
      <c r="I1601" s="6" t="s">
        <v>848</v>
      </c>
      <c r="J1601" s="61" t="s">
        <v>22</v>
      </c>
      <c r="L1601" s="5" t="str">
        <f t="shared" si="423"/>
        <v>01600</v>
      </c>
      <c r="M1601" s="47" t="str">
        <f t="shared" si="424"/>
        <v>14 de octubre de 2018</v>
      </c>
      <c r="N1601" s="323">
        <f t="shared" si="425"/>
        <v>14</v>
      </c>
      <c r="O1601" s="25">
        <f t="shared" si="426"/>
        <v>43374</v>
      </c>
      <c r="P1601" s="5" t="str">
        <f t="shared" si="427"/>
        <v>320,00</v>
      </c>
      <c r="Q1601" s="4" t="str">
        <f t="shared" ref="Q1601:Q1616" si="429">CONVERTIRNUM(E1601)</f>
        <v>Trescientos Veinte Bolívares con 00/100</v>
      </c>
    </row>
    <row r="1602" spans="1:17" x14ac:dyDescent="0.25">
      <c r="A1602" s="1">
        <f t="shared" ref="A1602" si="430">A1601+1</f>
        <v>1601</v>
      </c>
      <c r="C1602" s="8" t="s">
        <v>17</v>
      </c>
      <c r="D1602" s="2">
        <v>43387</v>
      </c>
      <c r="E1602" s="3">
        <v>320</v>
      </c>
      <c r="F1602" t="s">
        <v>53</v>
      </c>
      <c r="G1602" t="s">
        <v>677</v>
      </c>
      <c r="H1602" t="s">
        <v>55</v>
      </c>
      <c r="I1602" s="6" t="s">
        <v>848</v>
      </c>
      <c r="J1602" s="61" t="s">
        <v>22</v>
      </c>
      <c r="L1602" s="5" t="str">
        <f t="shared" si="423"/>
        <v>01601</v>
      </c>
      <c r="M1602" s="47" t="str">
        <f t="shared" si="424"/>
        <v>14 de octubre de 2018</v>
      </c>
      <c r="N1602" s="323">
        <f t="shared" si="425"/>
        <v>14</v>
      </c>
      <c r="O1602" s="25">
        <f t="shared" si="426"/>
        <v>43374</v>
      </c>
      <c r="P1602" s="5" t="str">
        <f t="shared" si="427"/>
        <v>320,00</v>
      </c>
      <c r="Q1602" s="4" t="str">
        <f t="shared" si="429"/>
        <v>Trescientos Veinte Bolívares con 00/100</v>
      </c>
    </row>
    <row r="1603" spans="1:17" x14ac:dyDescent="0.25">
      <c r="A1603" s="1">
        <f t="shared" si="394"/>
        <v>1602</v>
      </c>
      <c r="C1603" s="8" t="s">
        <v>17</v>
      </c>
      <c r="D1603" s="2">
        <v>43419</v>
      </c>
      <c r="E1603" s="3">
        <v>320</v>
      </c>
      <c r="F1603" t="s">
        <v>122</v>
      </c>
      <c r="G1603" t="s">
        <v>123</v>
      </c>
      <c r="H1603" t="s">
        <v>124</v>
      </c>
      <c r="I1603" s="6" t="s">
        <v>848</v>
      </c>
      <c r="J1603" s="61" t="s">
        <v>22</v>
      </c>
      <c r="L1603" s="5" t="str">
        <f t="shared" si="423"/>
        <v>01602</v>
      </c>
      <c r="M1603" s="47" t="str">
        <f t="shared" si="424"/>
        <v>15 de noviembre de 2018</v>
      </c>
      <c r="N1603" s="323">
        <f t="shared" si="425"/>
        <v>15</v>
      </c>
      <c r="O1603" s="25">
        <f t="shared" si="426"/>
        <v>43405</v>
      </c>
      <c r="P1603" s="5" t="str">
        <f t="shared" si="427"/>
        <v>320,00</v>
      </c>
      <c r="Q1603" s="4" t="str">
        <f t="shared" si="429"/>
        <v>Trescientos Veinte Bolívares con 00/100</v>
      </c>
    </row>
    <row r="1604" spans="1:17" x14ac:dyDescent="0.25">
      <c r="A1604" s="1">
        <f t="shared" si="394"/>
        <v>1603</v>
      </c>
      <c r="C1604" s="8" t="s">
        <v>17</v>
      </c>
      <c r="D1604" s="2">
        <v>43421</v>
      </c>
      <c r="E1604" s="3">
        <v>320</v>
      </c>
      <c r="F1604" t="s">
        <v>62</v>
      </c>
      <c r="G1604" t="s">
        <v>63</v>
      </c>
      <c r="H1604" t="s">
        <v>64</v>
      </c>
      <c r="I1604" s="6" t="s">
        <v>848</v>
      </c>
      <c r="J1604" s="61" t="s">
        <v>22</v>
      </c>
      <c r="L1604" s="5" t="str">
        <f t="shared" si="423"/>
        <v>01603</v>
      </c>
      <c r="M1604" s="47" t="str">
        <f t="shared" si="424"/>
        <v>17 de noviembre de 2018</v>
      </c>
      <c r="N1604" s="323">
        <f t="shared" si="425"/>
        <v>17</v>
      </c>
      <c r="O1604" s="25">
        <f t="shared" si="426"/>
        <v>43405</v>
      </c>
      <c r="P1604" s="5" t="str">
        <f t="shared" si="427"/>
        <v>320,00</v>
      </c>
      <c r="Q1604" s="4" t="str">
        <f t="shared" si="429"/>
        <v>Trescientos Veinte Bolívares con 00/100</v>
      </c>
    </row>
    <row r="1605" spans="1:17" x14ac:dyDescent="0.25">
      <c r="A1605" s="1">
        <f t="shared" ref="A1605" si="431">A1604+1</f>
        <v>1604</v>
      </c>
      <c r="C1605" s="8" t="s">
        <v>17</v>
      </c>
      <c r="D1605" s="2">
        <v>43424</v>
      </c>
      <c r="E1605" s="3">
        <v>250</v>
      </c>
      <c r="F1605" t="s">
        <v>32</v>
      </c>
      <c r="G1605" t="s">
        <v>33</v>
      </c>
      <c r="H1605" t="s">
        <v>34</v>
      </c>
      <c r="I1605" s="161" t="s">
        <v>839</v>
      </c>
      <c r="J1605" s="61" t="s">
        <v>22</v>
      </c>
      <c r="L1605" s="5" t="str">
        <f t="shared" si="423"/>
        <v>01604</v>
      </c>
      <c r="M1605" s="47" t="str">
        <f t="shared" si="424"/>
        <v>20 de noviembre de 2018</v>
      </c>
      <c r="N1605" s="323">
        <f t="shared" si="425"/>
        <v>20</v>
      </c>
      <c r="O1605" s="25">
        <f t="shared" si="426"/>
        <v>43405</v>
      </c>
      <c r="P1605" s="5" t="str">
        <f t="shared" si="427"/>
        <v>250,00</v>
      </c>
      <c r="Q1605" s="4" t="str">
        <f t="shared" si="429"/>
        <v>Doscientos Cincuenta Bolívares con 00/100</v>
      </c>
    </row>
    <row r="1606" spans="1:17" x14ac:dyDescent="0.25">
      <c r="A1606" s="1">
        <f t="shared" si="394"/>
        <v>1605</v>
      </c>
      <c r="C1606" s="8" t="s">
        <v>17</v>
      </c>
      <c r="D1606" s="2">
        <v>43424</v>
      </c>
      <c r="E1606" s="3">
        <v>320</v>
      </c>
      <c r="F1606" t="s">
        <v>312</v>
      </c>
      <c r="G1606" t="s">
        <v>313</v>
      </c>
      <c r="H1606" t="s">
        <v>314</v>
      </c>
      <c r="I1606" s="6" t="s">
        <v>848</v>
      </c>
      <c r="J1606" s="61" t="s">
        <v>22</v>
      </c>
      <c r="L1606" s="5" t="str">
        <f t="shared" si="423"/>
        <v>01605</v>
      </c>
      <c r="M1606" s="47" t="str">
        <f t="shared" si="424"/>
        <v>20 de noviembre de 2018</v>
      </c>
      <c r="N1606" s="323">
        <f t="shared" si="425"/>
        <v>20</v>
      </c>
      <c r="O1606" s="25">
        <f t="shared" si="426"/>
        <v>43405</v>
      </c>
      <c r="P1606" s="5" t="str">
        <f t="shared" si="427"/>
        <v>320,00</v>
      </c>
      <c r="Q1606" s="4" t="str">
        <f t="shared" si="429"/>
        <v>Trescientos Veinte Bolívares con 00/100</v>
      </c>
    </row>
    <row r="1607" spans="1:17" x14ac:dyDescent="0.25">
      <c r="A1607" s="1">
        <f t="shared" ref="A1607:A1610" si="432">A1606+1</f>
        <v>1606</v>
      </c>
      <c r="C1607" s="8" t="s">
        <v>17</v>
      </c>
      <c r="D1607" s="2">
        <v>43424</v>
      </c>
      <c r="E1607" s="3">
        <v>320</v>
      </c>
      <c r="F1607" t="s">
        <v>633</v>
      </c>
      <c r="G1607" t="s">
        <v>634</v>
      </c>
      <c r="H1607" t="s">
        <v>635</v>
      </c>
      <c r="I1607" s="6" t="s">
        <v>848</v>
      </c>
      <c r="J1607" s="61" t="s">
        <v>22</v>
      </c>
      <c r="L1607" s="5" t="str">
        <f t="shared" si="423"/>
        <v>01606</v>
      </c>
      <c r="M1607" s="47" t="str">
        <f t="shared" si="424"/>
        <v>20 de noviembre de 2018</v>
      </c>
      <c r="N1607" s="323">
        <f t="shared" si="425"/>
        <v>20</v>
      </c>
      <c r="O1607" s="25">
        <f t="shared" si="426"/>
        <v>43405</v>
      </c>
      <c r="P1607" s="5" t="str">
        <f t="shared" si="427"/>
        <v>320,00</v>
      </c>
      <c r="Q1607" s="4" t="str">
        <f t="shared" si="429"/>
        <v>Trescientos Veinte Bolívares con 00/100</v>
      </c>
    </row>
    <row r="1608" spans="1:17" x14ac:dyDescent="0.25">
      <c r="A1608" s="1">
        <f t="shared" si="432"/>
        <v>1607</v>
      </c>
      <c r="C1608" s="85" t="s">
        <v>17</v>
      </c>
      <c r="D1608" s="2">
        <v>43425</v>
      </c>
      <c r="E1608" s="162">
        <v>200</v>
      </c>
      <c r="F1608" t="s">
        <v>492</v>
      </c>
      <c r="G1608" s="18" t="s">
        <v>58</v>
      </c>
      <c r="H1608" t="s">
        <v>493</v>
      </c>
      <c r="I1608" s="6" t="s">
        <v>845</v>
      </c>
      <c r="J1608" s="61" t="s">
        <v>22</v>
      </c>
      <c r="L1608" s="5" t="str">
        <f t="shared" si="423"/>
        <v>01607</v>
      </c>
      <c r="M1608" s="47" t="str">
        <f t="shared" si="424"/>
        <v>21 de noviembre de 2018</v>
      </c>
      <c r="N1608" s="323">
        <f t="shared" si="425"/>
        <v>21</v>
      </c>
      <c r="O1608" s="25">
        <f t="shared" si="426"/>
        <v>43405</v>
      </c>
      <c r="P1608" s="5" t="str">
        <f t="shared" si="427"/>
        <v>200,00</v>
      </c>
      <c r="Q1608" s="4" t="str">
        <f t="shared" si="429"/>
        <v>Doscientos Bolívares con 00/100</v>
      </c>
    </row>
    <row r="1609" spans="1:17" x14ac:dyDescent="0.25">
      <c r="A1609" s="1">
        <f t="shared" si="432"/>
        <v>1608</v>
      </c>
      <c r="C1609" s="8" t="s">
        <v>17</v>
      </c>
      <c r="D1609" s="2">
        <v>43425</v>
      </c>
      <c r="E1609" s="3">
        <v>320</v>
      </c>
      <c r="F1609" t="s">
        <v>287</v>
      </c>
      <c r="G1609" t="s">
        <v>288</v>
      </c>
      <c r="H1609" t="s">
        <v>289</v>
      </c>
      <c r="I1609" s="6" t="s">
        <v>823</v>
      </c>
      <c r="J1609" s="61" t="s">
        <v>22</v>
      </c>
      <c r="L1609" s="5" t="str">
        <f t="shared" si="423"/>
        <v>01608</v>
      </c>
      <c r="M1609" s="47" t="str">
        <f t="shared" si="424"/>
        <v>21 de noviembre de 2018</v>
      </c>
      <c r="N1609" s="323">
        <f t="shared" si="425"/>
        <v>21</v>
      </c>
      <c r="O1609" s="25">
        <f t="shared" si="426"/>
        <v>43405</v>
      </c>
      <c r="P1609" s="5" t="str">
        <f t="shared" si="427"/>
        <v>320,00</v>
      </c>
      <c r="Q1609" s="4" t="str">
        <f t="shared" si="429"/>
        <v>Trescientos Veinte Bolívares con 00/100</v>
      </c>
    </row>
    <row r="1610" spans="1:17" x14ac:dyDescent="0.25">
      <c r="A1610" s="1">
        <f t="shared" si="432"/>
        <v>1609</v>
      </c>
      <c r="C1610" s="8" t="s">
        <v>17</v>
      </c>
      <c r="D1610" s="2">
        <v>43425</v>
      </c>
      <c r="E1610" s="3">
        <v>640</v>
      </c>
      <c r="F1610" t="s">
        <v>324</v>
      </c>
      <c r="G1610" t="s">
        <v>325</v>
      </c>
      <c r="H1610" t="s">
        <v>326</v>
      </c>
      <c r="I1610" s="6" t="s">
        <v>851</v>
      </c>
      <c r="J1610" s="61" t="s">
        <v>22</v>
      </c>
      <c r="L1610" s="5" t="str">
        <f t="shared" si="423"/>
        <v>01609</v>
      </c>
      <c r="M1610" s="47" t="str">
        <f t="shared" si="424"/>
        <v>21 de noviembre de 2018</v>
      </c>
      <c r="N1610" s="323">
        <f t="shared" si="425"/>
        <v>21</v>
      </c>
      <c r="O1610" s="25">
        <f t="shared" si="426"/>
        <v>43405</v>
      </c>
      <c r="P1610" s="5" t="str">
        <f t="shared" si="427"/>
        <v>640,00</v>
      </c>
      <c r="Q1610" s="4" t="str">
        <f t="shared" si="429"/>
        <v>Seiscientos Cuarenta Bolívares con 00/100</v>
      </c>
    </row>
    <row r="1611" spans="1:17" x14ac:dyDescent="0.25">
      <c r="A1611" s="1">
        <f>A1610+1</f>
        <v>1610</v>
      </c>
      <c r="C1611" s="8" t="s">
        <v>17</v>
      </c>
      <c r="D1611" s="2">
        <v>43426</v>
      </c>
      <c r="E1611" s="3">
        <f t="shared" ref="E1611" si="433">308.4+11.6</f>
        <v>320</v>
      </c>
      <c r="F1611" t="s">
        <v>36</v>
      </c>
      <c r="G1611" t="s">
        <v>37</v>
      </c>
      <c r="H1611" t="s">
        <v>38</v>
      </c>
      <c r="I1611" s="6" t="s">
        <v>848</v>
      </c>
      <c r="J1611" s="61" t="s">
        <v>22</v>
      </c>
      <c r="L1611" s="5" t="str">
        <f t="shared" si="423"/>
        <v>01610</v>
      </c>
      <c r="M1611" s="47" t="str">
        <f t="shared" si="424"/>
        <v>22 de noviembre de 2018</v>
      </c>
      <c r="N1611" s="323">
        <f t="shared" si="425"/>
        <v>22</v>
      </c>
      <c r="O1611" s="25">
        <f t="shared" si="426"/>
        <v>43405</v>
      </c>
      <c r="P1611" s="5" t="str">
        <f t="shared" si="427"/>
        <v>320,00</v>
      </c>
      <c r="Q1611" s="4" t="str">
        <f t="shared" si="429"/>
        <v>Trescientos Veinte Bolívares con 00/100</v>
      </c>
    </row>
    <row r="1612" spans="1:17" x14ac:dyDescent="0.25">
      <c r="A1612" s="1">
        <f t="shared" ref="A1612:A1624" si="434">A1611+1</f>
        <v>1611</v>
      </c>
      <c r="C1612" s="8" t="s">
        <v>17</v>
      </c>
      <c r="D1612" s="2">
        <v>43414</v>
      </c>
      <c r="E1612" s="3">
        <v>640</v>
      </c>
      <c r="F1612" t="s">
        <v>197</v>
      </c>
      <c r="G1612" t="s">
        <v>198</v>
      </c>
      <c r="H1612" t="s">
        <v>199</v>
      </c>
      <c r="I1612" s="6" t="s">
        <v>846</v>
      </c>
      <c r="J1612" s="61" t="s">
        <v>22</v>
      </c>
      <c r="L1612" s="5" t="str">
        <f t="shared" si="423"/>
        <v>01611</v>
      </c>
      <c r="M1612" s="47" t="str">
        <f t="shared" si="424"/>
        <v>10 de noviembre de 2018</v>
      </c>
      <c r="N1612" s="323">
        <f t="shared" si="425"/>
        <v>10</v>
      </c>
      <c r="O1612" s="25">
        <f t="shared" si="426"/>
        <v>43405</v>
      </c>
      <c r="P1612" s="5" t="str">
        <f t="shared" si="427"/>
        <v>640,00</v>
      </c>
      <c r="Q1612" s="4" t="str">
        <f t="shared" si="429"/>
        <v>Seiscientos Cuarenta Bolívares con 00/100</v>
      </c>
    </row>
    <row r="1613" spans="1:17" x14ac:dyDescent="0.25">
      <c r="A1613" s="1">
        <f t="shared" si="434"/>
        <v>1612</v>
      </c>
      <c r="C1613" s="8" t="s">
        <v>17</v>
      </c>
      <c r="D1613" s="2">
        <v>43426</v>
      </c>
      <c r="E1613" s="3">
        <v>320</v>
      </c>
      <c r="F1613" t="s">
        <v>264</v>
      </c>
      <c r="G1613" t="s">
        <v>265</v>
      </c>
      <c r="H1613" t="s">
        <v>266</v>
      </c>
      <c r="I1613" s="6" t="s">
        <v>823</v>
      </c>
      <c r="J1613" s="61" t="s">
        <v>22</v>
      </c>
      <c r="L1613" s="5" t="str">
        <f t="shared" si="423"/>
        <v>01612</v>
      </c>
      <c r="M1613" s="47" t="str">
        <f t="shared" si="424"/>
        <v>22 de noviembre de 2018</v>
      </c>
      <c r="N1613" s="323">
        <f t="shared" si="425"/>
        <v>22</v>
      </c>
      <c r="O1613" s="25">
        <f t="shared" si="426"/>
        <v>43405</v>
      </c>
      <c r="P1613" s="5" t="str">
        <f t="shared" si="427"/>
        <v>320,00</v>
      </c>
      <c r="Q1613" s="4" t="str">
        <f t="shared" si="429"/>
        <v>Trescientos Veinte Bolívares con 00/100</v>
      </c>
    </row>
    <row r="1614" spans="1:17" x14ac:dyDescent="0.25">
      <c r="A1614" s="1">
        <f t="shared" si="434"/>
        <v>1613</v>
      </c>
      <c r="C1614" s="8" t="s">
        <v>17</v>
      </c>
      <c r="D1614" s="2">
        <v>43427</v>
      </c>
      <c r="E1614" s="3">
        <v>250</v>
      </c>
      <c r="F1614" t="s">
        <v>401</v>
      </c>
      <c r="G1614" t="s">
        <v>402</v>
      </c>
      <c r="H1614" t="s">
        <v>403</v>
      </c>
      <c r="I1614" s="6" t="s">
        <v>858</v>
      </c>
      <c r="J1614" s="61" t="s">
        <v>22</v>
      </c>
      <c r="L1614" s="5" t="str">
        <f t="shared" si="423"/>
        <v>01613</v>
      </c>
      <c r="M1614" s="47" t="str">
        <f t="shared" si="424"/>
        <v>23 de noviembre de 2018</v>
      </c>
      <c r="N1614" s="323">
        <f t="shared" si="425"/>
        <v>23</v>
      </c>
      <c r="O1614" s="25">
        <f t="shared" si="426"/>
        <v>43405</v>
      </c>
      <c r="P1614" s="5" t="str">
        <f t="shared" si="427"/>
        <v>250,00</v>
      </c>
      <c r="Q1614" s="4" t="str">
        <f t="shared" si="429"/>
        <v>Doscientos Cincuenta Bolívares con 00/100</v>
      </c>
    </row>
    <row r="1615" spans="1:17" x14ac:dyDescent="0.25">
      <c r="A1615" s="1">
        <f t="shared" si="434"/>
        <v>1614</v>
      </c>
      <c r="C1615" s="8" t="s">
        <v>17</v>
      </c>
      <c r="D1615" s="2">
        <v>43427</v>
      </c>
      <c r="E1615" s="3">
        <v>620</v>
      </c>
      <c r="F1615" t="s">
        <v>100</v>
      </c>
      <c r="G1615" t="s">
        <v>95</v>
      </c>
      <c r="H1615" t="s">
        <v>101</v>
      </c>
      <c r="I1615" s="6" t="s">
        <v>859</v>
      </c>
      <c r="J1615" s="61" t="s">
        <v>22</v>
      </c>
      <c r="L1615" s="5" t="str">
        <f t="shared" si="423"/>
        <v>01614</v>
      </c>
      <c r="M1615" s="47" t="str">
        <f t="shared" si="424"/>
        <v>23 de noviembre de 2018</v>
      </c>
      <c r="N1615" s="323">
        <f t="shared" si="425"/>
        <v>23</v>
      </c>
      <c r="O1615" s="25">
        <f t="shared" si="426"/>
        <v>43405</v>
      </c>
      <c r="P1615" s="5" t="str">
        <f t="shared" si="427"/>
        <v>620,00</v>
      </c>
      <c r="Q1615" s="4" t="str">
        <f t="shared" si="429"/>
        <v>Seiscientos Veinte Bolívares con 00/100</v>
      </c>
    </row>
    <row r="1616" spans="1:17" x14ac:dyDescent="0.25">
      <c r="A1616" s="1">
        <f t="shared" si="434"/>
        <v>1615</v>
      </c>
      <c r="C1616" s="8" t="s">
        <v>17</v>
      </c>
      <c r="D1616" s="2">
        <v>43424</v>
      </c>
      <c r="E1616" s="3">
        <v>640</v>
      </c>
      <c r="F1616" t="s">
        <v>80</v>
      </c>
      <c r="G1616" t="s">
        <v>81</v>
      </c>
      <c r="H1616" t="s">
        <v>82</v>
      </c>
      <c r="I1616" s="6" t="s">
        <v>860</v>
      </c>
      <c r="J1616" s="61" t="s">
        <v>22</v>
      </c>
      <c r="L1616" s="5" t="str">
        <f t="shared" si="423"/>
        <v>01615</v>
      </c>
      <c r="M1616" s="47" t="str">
        <f t="shared" si="424"/>
        <v>20 de noviembre de 2018</v>
      </c>
      <c r="N1616" s="323">
        <f t="shared" si="425"/>
        <v>20</v>
      </c>
      <c r="O1616" s="25">
        <f t="shared" si="426"/>
        <v>43405</v>
      </c>
      <c r="P1616" s="5" t="str">
        <f t="shared" si="427"/>
        <v>640,00</v>
      </c>
      <c r="Q1616" s="4" t="str">
        <f t="shared" si="429"/>
        <v>Seiscientos Cuarenta Bolívares con 00/100</v>
      </c>
    </row>
    <row r="1617" spans="1:17" x14ac:dyDescent="0.25">
      <c r="A1617" s="1">
        <f t="shared" si="434"/>
        <v>1616</v>
      </c>
      <c r="C1617" s="8" t="s">
        <v>17</v>
      </c>
      <c r="D1617" s="2">
        <v>43428</v>
      </c>
      <c r="E1617" s="3">
        <v>320</v>
      </c>
      <c r="F1617" t="s">
        <v>407</v>
      </c>
      <c r="G1617" t="s">
        <v>408</v>
      </c>
      <c r="H1617" t="s">
        <v>409</v>
      </c>
      <c r="I1617" s="6" t="s">
        <v>861</v>
      </c>
      <c r="J1617" s="61" t="s">
        <v>22</v>
      </c>
      <c r="L1617" s="5" t="str">
        <f t="shared" si="423"/>
        <v>01616</v>
      </c>
      <c r="M1617" s="47" t="str">
        <f t="shared" si="424"/>
        <v>24 de noviembre de 2018</v>
      </c>
      <c r="N1617" s="323">
        <f t="shared" si="425"/>
        <v>24</v>
      </c>
      <c r="O1617" s="25">
        <f t="shared" si="426"/>
        <v>43405</v>
      </c>
      <c r="P1617" s="5" t="str">
        <f t="shared" si="427"/>
        <v>320,00</v>
      </c>
      <c r="Q1617" s="4" t="str">
        <f>CONVERTIRNUM(E1617)</f>
        <v>Trescientos Veinte Bolívares con 00/100</v>
      </c>
    </row>
    <row r="1618" spans="1:17" x14ac:dyDescent="0.25">
      <c r="A1618" s="1">
        <f t="shared" si="434"/>
        <v>1617</v>
      </c>
      <c r="C1618" s="8" t="s">
        <v>17</v>
      </c>
      <c r="D1618" s="2">
        <v>43430</v>
      </c>
      <c r="E1618" s="3">
        <v>320</v>
      </c>
      <c r="F1618" t="s">
        <v>181</v>
      </c>
      <c r="G1618" t="s">
        <v>182</v>
      </c>
      <c r="H1618" t="s">
        <v>183</v>
      </c>
      <c r="I1618" s="6" t="s">
        <v>848</v>
      </c>
      <c r="J1618" s="61" t="s">
        <v>22</v>
      </c>
      <c r="L1618" s="5" t="str">
        <f t="shared" si="423"/>
        <v>01617</v>
      </c>
      <c r="M1618" s="47" t="str">
        <f t="shared" si="424"/>
        <v>26 de noviembre de 2018</v>
      </c>
      <c r="N1618" s="323">
        <f t="shared" si="425"/>
        <v>26</v>
      </c>
      <c r="O1618" s="25">
        <f t="shared" si="426"/>
        <v>43405</v>
      </c>
      <c r="P1618" s="5" t="str">
        <f t="shared" si="427"/>
        <v>320,00</v>
      </c>
      <c r="Q1618" s="4" t="str">
        <f t="shared" ref="Q1618:Q1630" si="435">CONVERTIRNUM(E1618)</f>
        <v>Trescientos Veinte Bolívares con 00/100</v>
      </c>
    </row>
    <row r="1619" spans="1:17" x14ac:dyDescent="0.25">
      <c r="A1619" s="1">
        <f t="shared" si="434"/>
        <v>1618</v>
      </c>
      <c r="C1619" s="8" t="s">
        <v>17</v>
      </c>
      <c r="D1619" s="2">
        <v>43430</v>
      </c>
      <c r="E1619" s="3">
        <v>320</v>
      </c>
      <c r="F1619" t="s">
        <v>211</v>
      </c>
      <c r="G1619" t="s">
        <v>212</v>
      </c>
      <c r="H1619" t="s">
        <v>213</v>
      </c>
      <c r="I1619" s="6" t="s">
        <v>848</v>
      </c>
      <c r="J1619" s="61" t="s">
        <v>22</v>
      </c>
      <c r="L1619" s="5" t="str">
        <f t="shared" si="423"/>
        <v>01618</v>
      </c>
      <c r="M1619" s="47" t="str">
        <f t="shared" si="424"/>
        <v>26 de noviembre de 2018</v>
      </c>
      <c r="N1619" s="323">
        <f t="shared" si="425"/>
        <v>26</v>
      </c>
      <c r="O1619" s="25">
        <f t="shared" si="426"/>
        <v>43405</v>
      </c>
      <c r="P1619" s="5" t="str">
        <f t="shared" si="427"/>
        <v>320,00</v>
      </c>
      <c r="Q1619" s="4" t="str">
        <f t="shared" si="435"/>
        <v>Trescientos Veinte Bolívares con 00/100</v>
      </c>
    </row>
    <row r="1620" spans="1:17" x14ac:dyDescent="0.25">
      <c r="A1620" s="1">
        <f t="shared" si="434"/>
        <v>1619</v>
      </c>
      <c r="C1620" s="8" t="s">
        <v>17</v>
      </c>
      <c r="D1620" s="2">
        <v>43430</v>
      </c>
      <c r="E1620" s="3">
        <v>350</v>
      </c>
      <c r="F1620" t="s">
        <v>248</v>
      </c>
      <c r="G1620" t="s">
        <v>249</v>
      </c>
      <c r="H1620" t="s">
        <v>250</v>
      </c>
      <c r="I1620" s="6" t="s">
        <v>857</v>
      </c>
      <c r="J1620" s="61" t="s">
        <v>22</v>
      </c>
      <c r="L1620" s="5" t="str">
        <f t="shared" si="423"/>
        <v>01619</v>
      </c>
      <c r="M1620" s="47" t="str">
        <f t="shared" si="424"/>
        <v>26 de noviembre de 2018</v>
      </c>
      <c r="N1620" s="323">
        <f t="shared" si="425"/>
        <v>26</v>
      </c>
      <c r="O1620" s="25">
        <f t="shared" si="426"/>
        <v>43405</v>
      </c>
      <c r="P1620" s="5" t="str">
        <f t="shared" si="427"/>
        <v>350,00</v>
      </c>
      <c r="Q1620" s="4" t="str">
        <f t="shared" si="435"/>
        <v>Trescientos Cincuenta Bolívares con 00/100</v>
      </c>
    </row>
    <row r="1621" spans="1:17" x14ac:dyDescent="0.25">
      <c r="A1621" s="1">
        <f t="shared" si="434"/>
        <v>1620</v>
      </c>
      <c r="C1621" s="85" t="s">
        <v>17</v>
      </c>
      <c r="D1621" s="2">
        <v>43430</v>
      </c>
      <c r="E1621" s="3">
        <v>320</v>
      </c>
      <c r="F1621" t="s">
        <v>319</v>
      </c>
      <c r="G1621" s="18" t="s">
        <v>58</v>
      </c>
      <c r="H1621" t="s">
        <v>320</v>
      </c>
      <c r="I1621" s="6" t="s">
        <v>848</v>
      </c>
      <c r="J1621" s="61" t="s">
        <v>22</v>
      </c>
      <c r="L1621" s="5" t="str">
        <f t="shared" si="423"/>
        <v>01620</v>
      </c>
      <c r="M1621" s="47" t="str">
        <f t="shared" si="424"/>
        <v>26 de noviembre de 2018</v>
      </c>
      <c r="N1621" s="323">
        <f t="shared" si="425"/>
        <v>26</v>
      </c>
      <c r="O1621" s="25">
        <f t="shared" si="426"/>
        <v>43405</v>
      </c>
      <c r="P1621" s="5" t="str">
        <f t="shared" si="427"/>
        <v>320,00</v>
      </c>
      <c r="Q1621" s="4" t="str">
        <f t="shared" si="435"/>
        <v>Trescientos Veinte Bolívares con 00/100</v>
      </c>
    </row>
    <row r="1622" spans="1:17" x14ac:dyDescent="0.25">
      <c r="A1622" s="1">
        <f t="shared" si="434"/>
        <v>1621</v>
      </c>
      <c r="C1622" s="8" t="s">
        <v>17</v>
      </c>
      <c r="D1622" s="2">
        <v>43433</v>
      </c>
      <c r="E1622" s="3">
        <v>330</v>
      </c>
      <c r="F1622" t="s">
        <v>454</v>
      </c>
      <c r="G1622" t="s">
        <v>761</v>
      </c>
      <c r="H1622" t="s">
        <v>455</v>
      </c>
      <c r="I1622" s="6" t="s">
        <v>848</v>
      </c>
      <c r="J1622" s="61" t="s">
        <v>22</v>
      </c>
      <c r="L1622" s="5" t="str">
        <f t="shared" si="423"/>
        <v>01621</v>
      </c>
      <c r="M1622" s="47" t="str">
        <f t="shared" si="424"/>
        <v>29 de noviembre de 2018</v>
      </c>
      <c r="N1622" s="323">
        <f t="shared" si="425"/>
        <v>29</v>
      </c>
      <c r="O1622" s="25">
        <f t="shared" si="426"/>
        <v>43405</v>
      </c>
      <c r="P1622" s="5" t="str">
        <f t="shared" si="427"/>
        <v>330,00</v>
      </c>
      <c r="Q1622" s="4" t="str">
        <f t="shared" si="435"/>
        <v>Trescientos Treinta Bolívares con 00/100</v>
      </c>
    </row>
    <row r="1623" spans="1:17" x14ac:dyDescent="0.25">
      <c r="A1623" s="1">
        <f t="shared" si="434"/>
        <v>1622</v>
      </c>
      <c r="C1623" s="8" t="s">
        <v>17</v>
      </c>
      <c r="D1623" s="2">
        <v>43436</v>
      </c>
      <c r="E1623" s="3">
        <v>500</v>
      </c>
      <c r="F1623" t="s">
        <v>558</v>
      </c>
      <c r="G1623" t="s">
        <v>559</v>
      </c>
      <c r="H1623" t="s">
        <v>560</v>
      </c>
      <c r="I1623" s="6" t="s">
        <v>862</v>
      </c>
      <c r="J1623" s="61" t="s">
        <v>22</v>
      </c>
      <c r="L1623" s="5" t="str">
        <f t="shared" si="423"/>
        <v>01622</v>
      </c>
      <c r="M1623" s="47" t="str">
        <f t="shared" si="424"/>
        <v>02 de diciembre de 2018</v>
      </c>
      <c r="N1623" s="323">
        <f t="shared" si="425"/>
        <v>2</v>
      </c>
      <c r="O1623" s="25">
        <f t="shared" si="426"/>
        <v>43435</v>
      </c>
      <c r="P1623" s="5" t="str">
        <f t="shared" si="427"/>
        <v>500,00</v>
      </c>
      <c r="Q1623" s="4" t="str">
        <f t="shared" si="435"/>
        <v>Quinientos Bolívares con 00/100</v>
      </c>
    </row>
    <row r="1624" spans="1:17" x14ac:dyDescent="0.25">
      <c r="A1624" s="1">
        <f t="shared" si="434"/>
        <v>1623</v>
      </c>
      <c r="C1624" s="8" t="s">
        <v>17</v>
      </c>
      <c r="D1624" s="2">
        <v>43436</v>
      </c>
      <c r="E1624" s="3">
        <v>320</v>
      </c>
      <c r="F1624" t="s">
        <v>483</v>
      </c>
      <c r="G1624" t="s">
        <v>484</v>
      </c>
      <c r="H1624" t="s">
        <v>485</v>
      </c>
      <c r="I1624" s="6" t="s">
        <v>862</v>
      </c>
      <c r="J1624" s="61" t="s">
        <v>22</v>
      </c>
      <c r="L1624" s="5" t="str">
        <f t="shared" si="423"/>
        <v>01623</v>
      </c>
      <c r="M1624" s="47" t="str">
        <f t="shared" si="424"/>
        <v>02 de diciembre de 2018</v>
      </c>
      <c r="N1624" s="323">
        <f t="shared" si="425"/>
        <v>2</v>
      </c>
      <c r="O1624" s="25">
        <f t="shared" si="426"/>
        <v>43435</v>
      </c>
      <c r="P1624" s="5" t="str">
        <f t="shared" si="427"/>
        <v>320,00</v>
      </c>
      <c r="Q1624" s="4" t="str">
        <f t="shared" si="435"/>
        <v>Trescientos Veinte Bolívares con 00/100</v>
      </c>
    </row>
    <row r="1625" spans="1:17" x14ac:dyDescent="0.25">
      <c r="A1625" s="1">
        <f>A1624+1</f>
        <v>1624</v>
      </c>
      <c r="C1625" s="8" t="s">
        <v>17</v>
      </c>
      <c r="D1625" s="2">
        <v>43437</v>
      </c>
      <c r="E1625" s="3">
        <v>240</v>
      </c>
      <c r="F1625" t="s">
        <v>36</v>
      </c>
      <c r="G1625" t="s">
        <v>37</v>
      </c>
      <c r="H1625" t="s">
        <v>38</v>
      </c>
      <c r="I1625" s="6" t="s">
        <v>862</v>
      </c>
      <c r="J1625" s="61" t="s">
        <v>22</v>
      </c>
      <c r="L1625" s="5" t="str">
        <f t="shared" ref="L1625:L1630" si="436">IF(ISBLANK(A1625),"",TEXT(A1625,"00000"))</f>
        <v>01624</v>
      </c>
      <c r="M1625" s="47" t="str">
        <f t="shared" ref="M1625:M1630" si="437">IF(ISBLANK(D1625),"",TEXT(D1625,"dd")&amp;" de "&amp;TEXT(D1625,"mmmm")&amp;" de "&amp;TEXT(YEAR(D1625),"0"))</f>
        <v>03 de diciembre de 2018</v>
      </c>
      <c r="N1625" s="323">
        <f t="shared" ref="N1625:N1630" si="438">DAY(D1625)</f>
        <v>3</v>
      </c>
      <c r="O1625" s="25">
        <f t="shared" ref="O1625:O1630" si="439">DATE(YEAR(D1625),MONTH(D1625),1)</f>
        <v>43435</v>
      </c>
      <c r="P1625" s="5" t="str">
        <f t="shared" ref="P1625:P1630" si="440">TEXT(E1625,"#.##0,00")</f>
        <v>240,00</v>
      </c>
      <c r="Q1625" s="4" t="str">
        <f t="shared" si="435"/>
        <v>Doscientos Cuarenta Bolívares con 00/100</v>
      </c>
    </row>
    <row r="1626" spans="1:17" x14ac:dyDescent="0.25">
      <c r="A1626" s="1">
        <f t="shared" ref="A1626" si="441">A1625+1</f>
        <v>1625</v>
      </c>
      <c r="C1626" s="85" t="s">
        <v>17</v>
      </c>
      <c r="D1626" s="2">
        <v>43437</v>
      </c>
      <c r="E1626" s="3">
        <v>320</v>
      </c>
      <c r="F1626" t="s">
        <v>40</v>
      </c>
      <c r="G1626" s="18" t="s">
        <v>58</v>
      </c>
      <c r="H1626" t="s">
        <v>42</v>
      </c>
      <c r="I1626" s="6" t="s">
        <v>862</v>
      </c>
      <c r="J1626" s="61" t="s">
        <v>22</v>
      </c>
      <c r="L1626" s="5" t="str">
        <f t="shared" si="436"/>
        <v>01625</v>
      </c>
      <c r="M1626" s="47" t="str">
        <f t="shared" si="437"/>
        <v>03 de diciembre de 2018</v>
      </c>
      <c r="N1626" s="323">
        <f t="shared" si="438"/>
        <v>3</v>
      </c>
      <c r="O1626" s="25">
        <f t="shared" si="439"/>
        <v>43435</v>
      </c>
      <c r="P1626" s="5" t="str">
        <f t="shared" si="440"/>
        <v>320,00</v>
      </c>
      <c r="Q1626" s="4" t="str">
        <f t="shared" si="435"/>
        <v>Trescientos Veinte Bolívares con 00/100</v>
      </c>
    </row>
    <row r="1627" spans="1:17" x14ac:dyDescent="0.25">
      <c r="A1627" s="1">
        <f>A1626+1</f>
        <v>1626</v>
      </c>
      <c r="C1627" s="8" t="s">
        <v>17</v>
      </c>
      <c r="D1627" s="2">
        <v>43437</v>
      </c>
      <c r="E1627" s="3">
        <v>800</v>
      </c>
      <c r="F1627" t="s">
        <v>70</v>
      </c>
      <c r="G1627" t="s">
        <v>71</v>
      </c>
      <c r="H1627" t="s">
        <v>72</v>
      </c>
      <c r="I1627" s="6" t="s">
        <v>861</v>
      </c>
      <c r="J1627" s="61" t="s">
        <v>22</v>
      </c>
      <c r="L1627" s="5" t="str">
        <f t="shared" si="436"/>
        <v>01626</v>
      </c>
      <c r="M1627" s="47" t="str">
        <f t="shared" si="437"/>
        <v>03 de diciembre de 2018</v>
      </c>
      <c r="N1627" s="323">
        <f t="shared" si="438"/>
        <v>3</v>
      </c>
      <c r="O1627" s="25">
        <f t="shared" si="439"/>
        <v>43435</v>
      </c>
      <c r="P1627" s="5" t="str">
        <f t="shared" si="440"/>
        <v>800,00</v>
      </c>
      <c r="Q1627" s="4" t="str">
        <f t="shared" si="435"/>
        <v>Ochocientos Bolívares con 00/100</v>
      </c>
    </row>
    <row r="1628" spans="1:17" x14ac:dyDescent="0.25">
      <c r="A1628" s="1">
        <f t="shared" ref="A1628:A1642" si="442">A1627+1</f>
        <v>1627</v>
      </c>
      <c r="C1628" s="8" t="s">
        <v>17</v>
      </c>
      <c r="D1628" s="2">
        <v>43437</v>
      </c>
      <c r="E1628" s="3">
        <v>800</v>
      </c>
      <c r="F1628" t="s">
        <v>443</v>
      </c>
      <c r="G1628" t="s">
        <v>444</v>
      </c>
      <c r="H1628" t="s">
        <v>75</v>
      </c>
      <c r="I1628" s="6" t="s">
        <v>861</v>
      </c>
      <c r="J1628" s="61" t="s">
        <v>22</v>
      </c>
      <c r="L1628" s="5" t="str">
        <f t="shared" si="436"/>
        <v>01627</v>
      </c>
      <c r="M1628" s="47" t="str">
        <f t="shared" si="437"/>
        <v>03 de diciembre de 2018</v>
      </c>
      <c r="N1628" s="323">
        <f t="shared" si="438"/>
        <v>3</v>
      </c>
      <c r="O1628" s="25">
        <f t="shared" si="439"/>
        <v>43435</v>
      </c>
      <c r="P1628" s="5" t="str">
        <f t="shared" si="440"/>
        <v>800,00</v>
      </c>
      <c r="Q1628" s="4" t="str">
        <f t="shared" si="435"/>
        <v>Ochocientos Bolívares con 00/100</v>
      </c>
    </row>
    <row r="1629" spans="1:17" x14ac:dyDescent="0.25">
      <c r="A1629" s="1">
        <f t="shared" si="442"/>
        <v>1628</v>
      </c>
      <c r="C1629" s="8" t="s">
        <v>17</v>
      </c>
      <c r="D1629" s="2">
        <v>43437</v>
      </c>
      <c r="E1629" s="3">
        <v>800</v>
      </c>
      <c r="F1629" t="s">
        <v>90</v>
      </c>
      <c r="G1629" t="s">
        <v>91</v>
      </c>
      <c r="H1629" t="s">
        <v>92</v>
      </c>
      <c r="I1629" s="6" t="s">
        <v>861</v>
      </c>
      <c r="J1629" s="61" t="s">
        <v>22</v>
      </c>
      <c r="L1629" s="5" t="str">
        <f t="shared" si="436"/>
        <v>01628</v>
      </c>
      <c r="M1629" s="47" t="str">
        <f t="shared" si="437"/>
        <v>03 de diciembre de 2018</v>
      </c>
      <c r="N1629" s="323">
        <f t="shared" si="438"/>
        <v>3</v>
      </c>
      <c r="O1629" s="25">
        <f t="shared" si="439"/>
        <v>43435</v>
      </c>
      <c r="P1629" s="5" t="str">
        <f t="shared" si="440"/>
        <v>800,00</v>
      </c>
      <c r="Q1629" s="4" t="str">
        <f t="shared" si="435"/>
        <v>Ochocientos Bolívares con 00/100</v>
      </c>
    </row>
    <row r="1630" spans="1:17" x14ac:dyDescent="0.25">
      <c r="A1630" s="1">
        <f t="shared" si="442"/>
        <v>1629</v>
      </c>
      <c r="C1630" s="8" t="s">
        <v>17</v>
      </c>
      <c r="D1630" s="2">
        <v>43438</v>
      </c>
      <c r="E1630" s="3">
        <v>800</v>
      </c>
      <c r="F1630" t="s">
        <v>107</v>
      </c>
      <c r="G1630" t="s">
        <v>108</v>
      </c>
      <c r="H1630" t="s">
        <v>109</v>
      </c>
      <c r="I1630" s="6" t="s">
        <v>861</v>
      </c>
      <c r="J1630" s="61" t="s">
        <v>22</v>
      </c>
      <c r="L1630" s="5" t="str">
        <f t="shared" si="436"/>
        <v>01629</v>
      </c>
      <c r="M1630" s="47" t="str">
        <f t="shared" si="437"/>
        <v>04 de diciembre de 2018</v>
      </c>
      <c r="N1630" s="323">
        <f t="shared" si="438"/>
        <v>4</v>
      </c>
      <c r="O1630" s="25">
        <f t="shared" si="439"/>
        <v>43435</v>
      </c>
      <c r="P1630" s="5" t="str">
        <f t="shared" si="440"/>
        <v>800,00</v>
      </c>
      <c r="Q1630" s="4" t="str">
        <f t="shared" si="435"/>
        <v>Ochocientos Bolívares con 00/100</v>
      </c>
    </row>
    <row r="1631" spans="1:17" x14ac:dyDescent="0.25">
      <c r="A1631" s="1">
        <f t="shared" si="442"/>
        <v>1630</v>
      </c>
      <c r="C1631" s="8" t="s">
        <v>17</v>
      </c>
      <c r="D1631" s="2">
        <v>43438</v>
      </c>
      <c r="E1631" s="3">
        <v>320</v>
      </c>
      <c r="F1631" t="s">
        <v>443</v>
      </c>
      <c r="G1631" t="s">
        <v>444</v>
      </c>
      <c r="H1631" t="s">
        <v>75</v>
      </c>
      <c r="I1631" s="6" t="s">
        <v>848</v>
      </c>
      <c r="J1631" s="61" t="s">
        <v>22</v>
      </c>
      <c r="L1631" s="5" t="str">
        <f t="shared" ref="L1631:L1636" si="443">IF(ISBLANK(A1631),"",TEXT(A1631,"00000"))</f>
        <v>01630</v>
      </c>
      <c r="M1631" s="47" t="str">
        <f t="shared" ref="M1631:M1636" si="444">IF(ISBLANK(D1631),"",TEXT(D1631,"dd")&amp;" de "&amp;TEXT(D1631,"mmmm")&amp;" de "&amp;TEXT(YEAR(D1631),"0"))</f>
        <v>04 de diciembre de 2018</v>
      </c>
      <c r="N1631" s="323">
        <f t="shared" ref="N1631:N1655" si="445">DAY(D1631)</f>
        <v>4</v>
      </c>
      <c r="O1631" s="25">
        <f t="shared" ref="O1631:O1636" si="446">DATE(YEAR(D1631),MONTH(D1631),1)</f>
        <v>43435</v>
      </c>
      <c r="P1631" s="5" t="str">
        <f t="shared" ref="P1631:P1655" si="447">TEXT(E1631,"#.##0,00")</f>
        <v>320,00</v>
      </c>
      <c r="Q1631" s="4" t="str">
        <f t="shared" ref="Q1631:Q1655" si="448">CONVERTIRNUM(E1631)</f>
        <v>Trescientos Veinte Bolívares con 00/100</v>
      </c>
    </row>
    <row r="1632" spans="1:17" x14ac:dyDescent="0.25">
      <c r="A1632" s="1">
        <f t="shared" si="442"/>
        <v>1631</v>
      </c>
      <c r="C1632" s="85" t="s">
        <v>17</v>
      </c>
      <c r="D1632" s="2">
        <v>43438</v>
      </c>
      <c r="E1632" s="3">
        <v>1625</v>
      </c>
      <c r="F1632" s="23" t="s">
        <v>422</v>
      </c>
      <c r="G1632" s="18" t="s">
        <v>58</v>
      </c>
      <c r="H1632" t="s">
        <v>423</v>
      </c>
      <c r="I1632" s="6" t="s">
        <v>851</v>
      </c>
      <c r="J1632" s="61" t="s">
        <v>22</v>
      </c>
      <c r="L1632" s="5" t="str">
        <f t="shared" si="443"/>
        <v>01631</v>
      </c>
      <c r="M1632" s="47" t="str">
        <f t="shared" si="444"/>
        <v>04 de diciembre de 2018</v>
      </c>
      <c r="N1632" s="323">
        <f t="shared" si="445"/>
        <v>4</v>
      </c>
      <c r="O1632" s="25">
        <f t="shared" si="446"/>
        <v>43435</v>
      </c>
      <c r="P1632" s="5" t="str">
        <f t="shared" si="447"/>
        <v>1.625,00</v>
      </c>
      <c r="Q1632" s="4" t="str">
        <f t="shared" si="448"/>
        <v>Mil Seiscientos Veinticinco Bolívares con 00/100</v>
      </c>
    </row>
    <row r="1633" spans="1:17" x14ac:dyDescent="0.25">
      <c r="A1633" s="1">
        <f t="shared" si="442"/>
        <v>1632</v>
      </c>
      <c r="C1633" s="8" t="s">
        <v>17</v>
      </c>
      <c r="D1633" s="2">
        <v>43438</v>
      </c>
      <c r="E1633" s="3">
        <v>320</v>
      </c>
      <c r="F1633" t="s">
        <v>118</v>
      </c>
      <c r="G1633" t="s">
        <v>119</v>
      </c>
      <c r="H1633" t="s">
        <v>120</v>
      </c>
      <c r="I1633" s="6" t="s">
        <v>848</v>
      </c>
      <c r="J1633" s="61" t="s">
        <v>22</v>
      </c>
      <c r="L1633" s="5" t="str">
        <f t="shared" si="443"/>
        <v>01632</v>
      </c>
      <c r="M1633" s="47" t="str">
        <f t="shared" si="444"/>
        <v>04 de diciembre de 2018</v>
      </c>
      <c r="N1633" s="323">
        <f t="shared" si="445"/>
        <v>4</v>
      </c>
      <c r="O1633" s="25">
        <f t="shared" si="446"/>
        <v>43435</v>
      </c>
      <c r="P1633" s="5" t="str">
        <f t="shared" si="447"/>
        <v>320,00</v>
      </c>
      <c r="Q1633" s="4" t="str">
        <f t="shared" si="448"/>
        <v>Trescientos Veinte Bolívares con 00/100</v>
      </c>
    </row>
    <row r="1634" spans="1:17" x14ac:dyDescent="0.25">
      <c r="A1634" s="1">
        <f t="shared" si="442"/>
        <v>1633</v>
      </c>
      <c r="C1634" s="8" t="s">
        <v>17</v>
      </c>
      <c r="D1634" s="2">
        <v>43438</v>
      </c>
      <c r="E1634" s="3">
        <v>800</v>
      </c>
      <c r="F1634" t="s">
        <v>48</v>
      </c>
      <c r="G1634" t="s">
        <v>49</v>
      </c>
      <c r="H1634" t="s">
        <v>50</v>
      </c>
      <c r="I1634" s="6" t="s">
        <v>861</v>
      </c>
      <c r="J1634" s="61" t="s">
        <v>22</v>
      </c>
      <c r="L1634" s="5" t="str">
        <f t="shared" si="443"/>
        <v>01633</v>
      </c>
      <c r="M1634" s="47" t="str">
        <f t="shared" si="444"/>
        <v>04 de diciembre de 2018</v>
      </c>
      <c r="N1634" s="323">
        <f t="shared" si="445"/>
        <v>4</v>
      </c>
      <c r="O1634" s="25">
        <f t="shared" si="446"/>
        <v>43435</v>
      </c>
      <c r="P1634" s="5" t="str">
        <f t="shared" si="447"/>
        <v>800,00</v>
      </c>
      <c r="Q1634" s="4" t="str">
        <f t="shared" si="448"/>
        <v>Ochocientos Bolívares con 00/100</v>
      </c>
    </row>
    <row r="1635" spans="1:17" x14ac:dyDescent="0.25">
      <c r="A1635" s="1">
        <f t="shared" si="442"/>
        <v>1634</v>
      </c>
      <c r="C1635" s="8" t="s">
        <v>17</v>
      </c>
      <c r="D1635" s="2">
        <v>43439</v>
      </c>
      <c r="E1635" s="3">
        <v>480</v>
      </c>
      <c r="F1635" t="s">
        <v>483</v>
      </c>
      <c r="G1635" t="s">
        <v>484</v>
      </c>
      <c r="H1635" t="s">
        <v>485</v>
      </c>
      <c r="I1635" s="6" t="s">
        <v>863</v>
      </c>
      <c r="J1635" s="61" t="s">
        <v>22</v>
      </c>
      <c r="L1635" s="5" t="str">
        <f t="shared" si="443"/>
        <v>01634</v>
      </c>
      <c r="M1635" s="47" t="str">
        <f t="shared" si="444"/>
        <v>05 de diciembre de 2018</v>
      </c>
      <c r="N1635" s="323">
        <f t="shared" si="445"/>
        <v>5</v>
      </c>
      <c r="O1635" s="25">
        <f t="shared" si="446"/>
        <v>43435</v>
      </c>
      <c r="P1635" s="5" t="str">
        <f t="shared" si="447"/>
        <v>480,00</v>
      </c>
      <c r="Q1635" s="4" t="str">
        <f t="shared" si="448"/>
        <v>Cuatrocientos Ochenta Bolívares con 00/100</v>
      </c>
    </row>
    <row r="1636" spans="1:17" x14ac:dyDescent="0.25">
      <c r="A1636" s="1">
        <f t="shared" si="442"/>
        <v>1635</v>
      </c>
      <c r="C1636" s="8" t="s">
        <v>17</v>
      </c>
      <c r="D1636" s="2">
        <v>43439</v>
      </c>
      <c r="E1636" s="3">
        <v>960</v>
      </c>
      <c r="F1636" t="s">
        <v>80</v>
      </c>
      <c r="G1636" t="s">
        <v>81</v>
      </c>
      <c r="H1636" t="s">
        <v>82</v>
      </c>
      <c r="I1636" s="6" t="s">
        <v>864</v>
      </c>
      <c r="J1636" s="61" t="s">
        <v>22</v>
      </c>
      <c r="L1636" s="5" t="str">
        <f t="shared" si="443"/>
        <v>01635</v>
      </c>
      <c r="M1636" s="47" t="str">
        <f t="shared" si="444"/>
        <v>05 de diciembre de 2018</v>
      </c>
      <c r="N1636" s="323">
        <f t="shared" si="445"/>
        <v>5</v>
      </c>
      <c r="O1636" s="25">
        <f t="shared" si="446"/>
        <v>43435</v>
      </c>
      <c r="P1636" s="5" t="str">
        <f t="shared" si="447"/>
        <v>960,00</v>
      </c>
      <c r="Q1636" s="4" t="str">
        <f t="shared" si="448"/>
        <v>Novecientos Sesenta Bolívares con 00/100</v>
      </c>
    </row>
    <row r="1637" spans="1:17" x14ac:dyDescent="0.25">
      <c r="A1637" s="1">
        <f t="shared" si="442"/>
        <v>1636</v>
      </c>
      <c r="C1637" s="8" t="s">
        <v>17</v>
      </c>
      <c r="D1637" s="2">
        <v>43439</v>
      </c>
      <c r="E1637" s="3">
        <v>1000</v>
      </c>
      <c r="F1637" t="s">
        <v>44</v>
      </c>
      <c r="G1637" t="s">
        <v>45</v>
      </c>
      <c r="H1637" t="s">
        <v>46</v>
      </c>
      <c r="I1637" s="6" t="s">
        <v>865</v>
      </c>
      <c r="J1637" s="61" t="s">
        <v>22</v>
      </c>
      <c r="L1637" s="5" t="str">
        <f>IF(ISBLANK(A1637),"",TEXT(A1637,"00000"))</f>
        <v>01636</v>
      </c>
      <c r="M1637" s="47" t="str">
        <f>IF(ISBLANK(D1637),"",TEXT(D1637,"dd")&amp;" de "&amp;TEXT(D1637,"mmmm")&amp;" de "&amp;TEXT(YEAR(D1637),"0"))</f>
        <v>05 de diciembre de 2018</v>
      </c>
      <c r="N1637" s="323">
        <f t="shared" si="445"/>
        <v>5</v>
      </c>
      <c r="O1637" s="25">
        <f>DATE(YEAR(D1637),MONTH(D1637),1)</f>
        <v>43435</v>
      </c>
      <c r="P1637" s="5" t="str">
        <f t="shared" si="447"/>
        <v>1.000,00</v>
      </c>
      <c r="Q1637" s="4" t="str">
        <f t="shared" si="448"/>
        <v>Mil Bolívares con 00/100</v>
      </c>
    </row>
    <row r="1638" spans="1:17" x14ac:dyDescent="0.25">
      <c r="A1638" s="1">
        <f t="shared" si="442"/>
        <v>1637</v>
      </c>
      <c r="C1638" s="8" t="s">
        <v>17</v>
      </c>
      <c r="D1638" s="2">
        <v>43439</v>
      </c>
      <c r="E1638" s="3">
        <v>662.95</v>
      </c>
      <c r="F1638" t="s">
        <v>18</v>
      </c>
      <c r="G1638" t="s">
        <v>19</v>
      </c>
      <c r="H1638" t="s">
        <v>20</v>
      </c>
      <c r="I1638" s="6" t="s">
        <v>866</v>
      </c>
      <c r="J1638" s="61" t="s">
        <v>22</v>
      </c>
      <c r="L1638" s="5" t="str">
        <f t="shared" ref="L1638:L1655" si="449">IF(ISBLANK(A1638),"",TEXT(A1638,"00000"))</f>
        <v>01637</v>
      </c>
      <c r="M1638" s="47" t="str">
        <f t="shared" ref="M1638:M1655" si="450">IF(ISBLANK(D1638),"",TEXT(D1638,"dd")&amp;" de "&amp;TEXT(D1638,"mmmm")&amp;" de "&amp;TEXT(YEAR(D1638),"0"))</f>
        <v>05 de diciembre de 2018</v>
      </c>
      <c r="N1638" s="323">
        <f t="shared" si="445"/>
        <v>5</v>
      </c>
      <c r="O1638" s="25">
        <f t="shared" ref="O1638:O1655" si="451">DATE(YEAR(D1638),MONTH(D1638),1)</f>
        <v>43435</v>
      </c>
      <c r="P1638" s="5" t="str">
        <f t="shared" si="447"/>
        <v>662,95</v>
      </c>
      <c r="Q1638" s="4" t="str">
        <f t="shared" si="448"/>
        <v>Seiscientos Sesenta y Dos Bolívares con 95/100</v>
      </c>
    </row>
    <row r="1639" spans="1:17" x14ac:dyDescent="0.25">
      <c r="A1639" s="1">
        <f t="shared" si="442"/>
        <v>1638</v>
      </c>
      <c r="C1639" s="8" t="s">
        <v>17</v>
      </c>
      <c r="D1639" s="2">
        <v>43439</v>
      </c>
      <c r="E1639" s="3">
        <v>800</v>
      </c>
      <c r="F1639" t="s">
        <v>438</v>
      </c>
      <c r="G1639" t="s">
        <v>439</v>
      </c>
      <c r="H1639" t="s">
        <v>440</v>
      </c>
      <c r="I1639" s="6" t="s">
        <v>867</v>
      </c>
      <c r="J1639" s="61" t="s">
        <v>22</v>
      </c>
      <c r="L1639" s="5" t="str">
        <f t="shared" si="449"/>
        <v>01638</v>
      </c>
      <c r="M1639" s="47" t="str">
        <f t="shared" si="450"/>
        <v>05 de diciembre de 2018</v>
      </c>
      <c r="N1639" s="323">
        <f t="shared" si="445"/>
        <v>5</v>
      </c>
      <c r="O1639" s="25">
        <f t="shared" si="451"/>
        <v>43435</v>
      </c>
      <c r="P1639" s="5" t="str">
        <f t="shared" si="447"/>
        <v>800,00</v>
      </c>
      <c r="Q1639" s="4" t="str">
        <f t="shared" si="448"/>
        <v>Ochocientos Bolívares con 00/100</v>
      </c>
    </row>
    <row r="1640" spans="1:17" x14ac:dyDescent="0.25">
      <c r="A1640" s="1">
        <f t="shared" si="442"/>
        <v>1639</v>
      </c>
      <c r="C1640" s="85" t="s">
        <v>17</v>
      </c>
      <c r="D1640" s="2">
        <v>43405</v>
      </c>
      <c r="E1640" s="3">
        <v>320</v>
      </c>
      <c r="F1640" t="s">
        <v>177</v>
      </c>
      <c r="G1640" s="18" t="s">
        <v>58</v>
      </c>
      <c r="H1640" t="s">
        <v>179</v>
      </c>
      <c r="I1640" s="6" t="s">
        <v>823</v>
      </c>
      <c r="J1640" s="61" t="s">
        <v>22</v>
      </c>
      <c r="L1640" s="5" t="str">
        <f t="shared" si="449"/>
        <v>01639</v>
      </c>
      <c r="M1640" s="47" t="str">
        <f t="shared" si="450"/>
        <v>01 de noviembre de 2018</v>
      </c>
      <c r="N1640" s="323">
        <f t="shared" si="445"/>
        <v>1</v>
      </c>
      <c r="O1640" s="25">
        <f t="shared" si="451"/>
        <v>43405</v>
      </c>
      <c r="P1640" s="5" t="str">
        <f t="shared" si="447"/>
        <v>320,00</v>
      </c>
      <c r="Q1640" s="4" t="str">
        <f t="shared" si="448"/>
        <v>Trescientos Veinte Bolívares con 00/100</v>
      </c>
    </row>
    <row r="1641" spans="1:17" x14ac:dyDescent="0.25">
      <c r="A1641" s="1">
        <f t="shared" si="442"/>
        <v>1640</v>
      </c>
      <c r="C1641" s="85" t="s">
        <v>17</v>
      </c>
      <c r="D1641" s="2">
        <v>43434</v>
      </c>
      <c r="E1641" s="3">
        <v>320</v>
      </c>
      <c r="F1641" t="s">
        <v>177</v>
      </c>
      <c r="G1641" s="18" t="s">
        <v>58</v>
      </c>
      <c r="H1641" t="s">
        <v>179</v>
      </c>
      <c r="I1641" s="6" t="s">
        <v>848</v>
      </c>
      <c r="J1641" s="61" t="s">
        <v>22</v>
      </c>
      <c r="L1641" s="5" t="str">
        <f t="shared" si="449"/>
        <v>01640</v>
      </c>
      <c r="M1641" s="47" t="str">
        <f t="shared" si="450"/>
        <v>30 de noviembre de 2018</v>
      </c>
      <c r="N1641" s="323">
        <f t="shared" si="445"/>
        <v>30</v>
      </c>
      <c r="O1641" s="25">
        <f t="shared" si="451"/>
        <v>43405</v>
      </c>
      <c r="P1641" s="5" t="str">
        <f t="shared" si="447"/>
        <v>320,00</v>
      </c>
      <c r="Q1641" s="4" t="str">
        <f t="shared" si="448"/>
        <v>Trescientos Veinte Bolívares con 00/100</v>
      </c>
    </row>
    <row r="1642" spans="1:17" x14ac:dyDescent="0.25">
      <c r="A1642" s="1">
        <f t="shared" si="442"/>
        <v>1641</v>
      </c>
      <c r="C1642" s="8" t="s">
        <v>17</v>
      </c>
      <c r="D1642" s="2">
        <v>43439</v>
      </c>
      <c r="E1642" s="3">
        <v>480</v>
      </c>
      <c r="F1642" t="s">
        <v>24</v>
      </c>
      <c r="G1642" t="s">
        <v>25</v>
      </c>
      <c r="H1642" t="s">
        <v>26</v>
      </c>
      <c r="I1642" s="6" t="s">
        <v>863</v>
      </c>
      <c r="J1642" s="61" t="s">
        <v>22</v>
      </c>
      <c r="L1642" s="5" t="str">
        <f t="shared" si="449"/>
        <v>01641</v>
      </c>
      <c r="M1642" s="47" t="str">
        <f t="shared" si="450"/>
        <v>05 de diciembre de 2018</v>
      </c>
      <c r="N1642" s="323">
        <f t="shared" si="445"/>
        <v>5</v>
      </c>
      <c r="O1642" s="25">
        <f t="shared" si="451"/>
        <v>43435</v>
      </c>
      <c r="P1642" s="5" t="str">
        <f t="shared" si="447"/>
        <v>480,00</v>
      </c>
      <c r="Q1642" s="4" t="str">
        <f t="shared" si="448"/>
        <v>Cuatrocientos Ochenta Bolívares con 00/100</v>
      </c>
    </row>
    <row r="1643" spans="1:17" x14ac:dyDescent="0.25">
      <c r="A1643" s="1">
        <f>A1642+1</f>
        <v>1642</v>
      </c>
      <c r="C1643" s="8" t="s">
        <v>17</v>
      </c>
      <c r="D1643" s="2">
        <v>43409</v>
      </c>
      <c r="E1643" s="3">
        <v>560</v>
      </c>
      <c r="F1643" t="s">
        <v>36</v>
      </c>
      <c r="G1643" t="s">
        <v>37</v>
      </c>
      <c r="H1643" t="s">
        <v>38</v>
      </c>
      <c r="I1643" s="6" t="s">
        <v>863</v>
      </c>
      <c r="J1643" s="61" t="s">
        <v>22</v>
      </c>
      <c r="L1643" s="5" t="str">
        <f t="shared" si="449"/>
        <v>01642</v>
      </c>
      <c r="M1643" s="47" t="str">
        <f t="shared" si="450"/>
        <v>05 de noviembre de 2018</v>
      </c>
      <c r="N1643" s="323">
        <f t="shared" si="445"/>
        <v>5</v>
      </c>
      <c r="O1643" s="25">
        <f t="shared" si="451"/>
        <v>43405</v>
      </c>
      <c r="P1643" s="5" t="str">
        <f t="shared" si="447"/>
        <v>560,00</v>
      </c>
      <c r="Q1643" s="4" t="str">
        <f t="shared" si="448"/>
        <v>Quinientos Sesenta Bolívares con 00/100</v>
      </c>
    </row>
    <row r="1644" spans="1:17" x14ac:dyDescent="0.25">
      <c r="A1644" s="1">
        <f t="shared" ref="A1644:A1693" si="452">A1643+1</f>
        <v>1643</v>
      </c>
      <c r="C1644" s="8" t="s">
        <v>17</v>
      </c>
      <c r="D1644" s="2">
        <v>43440</v>
      </c>
      <c r="E1644" s="3">
        <v>800</v>
      </c>
      <c r="F1644" t="s">
        <v>537</v>
      </c>
      <c r="G1644" t="s">
        <v>538</v>
      </c>
      <c r="H1644" t="s">
        <v>539</v>
      </c>
      <c r="I1644" s="6" t="s">
        <v>861</v>
      </c>
      <c r="J1644" s="61" t="s">
        <v>22</v>
      </c>
      <c r="L1644" s="5" t="str">
        <f t="shared" si="449"/>
        <v>01643</v>
      </c>
      <c r="M1644" s="47" t="str">
        <f t="shared" si="450"/>
        <v>06 de diciembre de 2018</v>
      </c>
      <c r="N1644" s="323">
        <f t="shared" si="445"/>
        <v>6</v>
      </c>
      <c r="O1644" s="25">
        <f t="shared" si="451"/>
        <v>43435</v>
      </c>
      <c r="P1644" s="5" t="str">
        <f t="shared" si="447"/>
        <v>800,00</v>
      </c>
      <c r="Q1644" s="4" t="str">
        <f t="shared" si="448"/>
        <v>Ochocientos Bolívares con 00/100</v>
      </c>
    </row>
    <row r="1645" spans="1:17" x14ac:dyDescent="0.25">
      <c r="A1645" s="1">
        <f t="shared" si="452"/>
        <v>1644</v>
      </c>
      <c r="C1645" s="8" t="s">
        <v>17</v>
      </c>
      <c r="D1645" s="2">
        <v>43440</v>
      </c>
      <c r="E1645" s="3">
        <v>800</v>
      </c>
      <c r="F1645" t="s">
        <v>633</v>
      </c>
      <c r="G1645" t="s">
        <v>634</v>
      </c>
      <c r="H1645" t="s">
        <v>635</v>
      </c>
      <c r="I1645" s="6" t="s">
        <v>861</v>
      </c>
      <c r="J1645" s="61" t="s">
        <v>22</v>
      </c>
      <c r="L1645" s="5" t="str">
        <f t="shared" si="449"/>
        <v>01644</v>
      </c>
      <c r="M1645" s="47" t="str">
        <f t="shared" si="450"/>
        <v>06 de diciembre de 2018</v>
      </c>
      <c r="N1645" s="323">
        <f t="shared" si="445"/>
        <v>6</v>
      </c>
      <c r="O1645" s="25">
        <f t="shared" si="451"/>
        <v>43435</v>
      </c>
      <c r="P1645" s="5" t="str">
        <f t="shared" si="447"/>
        <v>800,00</v>
      </c>
      <c r="Q1645" s="4" t="str">
        <f t="shared" si="448"/>
        <v>Ochocientos Bolívares con 00/100</v>
      </c>
    </row>
    <row r="1646" spans="1:17" x14ac:dyDescent="0.25">
      <c r="A1646" s="1">
        <f t="shared" si="452"/>
        <v>1645</v>
      </c>
      <c r="C1646" s="8" t="s">
        <v>17</v>
      </c>
      <c r="D1646" s="2">
        <v>43440</v>
      </c>
      <c r="E1646" s="3">
        <v>800</v>
      </c>
      <c r="F1646" t="s">
        <v>312</v>
      </c>
      <c r="G1646" t="s">
        <v>313</v>
      </c>
      <c r="H1646" t="s">
        <v>314</v>
      </c>
      <c r="I1646" s="6" t="s">
        <v>861</v>
      </c>
      <c r="J1646" s="61" t="s">
        <v>22</v>
      </c>
      <c r="L1646" s="5" t="str">
        <f t="shared" si="449"/>
        <v>01645</v>
      </c>
      <c r="M1646" s="47" t="str">
        <f t="shared" si="450"/>
        <v>06 de diciembre de 2018</v>
      </c>
      <c r="N1646" s="323">
        <f t="shared" si="445"/>
        <v>6</v>
      </c>
      <c r="O1646" s="25">
        <f t="shared" si="451"/>
        <v>43435</v>
      </c>
      <c r="P1646" s="5" t="str">
        <f t="shared" si="447"/>
        <v>800,00</v>
      </c>
      <c r="Q1646" s="4" t="str">
        <f t="shared" si="448"/>
        <v>Ochocientos Bolívares con 00/100</v>
      </c>
    </row>
    <row r="1647" spans="1:17" x14ac:dyDescent="0.25">
      <c r="A1647" s="1">
        <f t="shared" si="452"/>
        <v>1646</v>
      </c>
      <c r="C1647" s="8" t="s">
        <v>17</v>
      </c>
      <c r="D1647" s="2">
        <v>43440</v>
      </c>
      <c r="E1647" s="3">
        <v>800</v>
      </c>
      <c r="F1647" t="s">
        <v>126</v>
      </c>
      <c r="G1647" t="s">
        <v>127</v>
      </c>
      <c r="H1647" t="s">
        <v>128</v>
      </c>
      <c r="I1647" s="6" t="s">
        <v>861</v>
      </c>
      <c r="J1647" s="61" t="s">
        <v>22</v>
      </c>
      <c r="L1647" s="5" t="str">
        <f t="shared" si="449"/>
        <v>01646</v>
      </c>
      <c r="M1647" s="47" t="str">
        <f t="shared" si="450"/>
        <v>06 de diciembre de 2018</v>
      </c>
      <c r="N1647" s="323">
        <f t="shared" si="445"/>
        <v>6</v>
      </c>
      <c r="O1647" s="25">
        <f t="shared" si="451"/>
        <v>43435</v>
      </c>
      <c r="P1647" s="5" t="str">
        <f t="shared" si="447"/>
        <v>800,00</v>
      </c>
      <c r="Q1647" s="4" t="str">
        <f t="shared" si="448"/>
        <v>Ochocientos Bolívares con 00/100</v>
      </c>
    </row>
    <row r="1648" spans="1:17" x14ac:dyDescent="0.25">
      <c r="A1648" s="1">
        <f t="shared" si="452"/>
        <v>1647</v>
      </c>
      <c r="C1648" s="8" t="s">
        <v>17</v>
      </c>
      <c r="D1648" s="2">
        <v>43440</v>
      </c>
      <c r="E1648" s="3">
        <v>320</v>
      </c>
      <c r="F1648" t="s">
        <v>342</v>
      </c>
      <c r="G1648" t="s">
        <v>343</v>
      </c>
      <c r="H1648" t="s">
        <v>344</v>
      </c>
      <c r="I1648" s="6" t="s">
        <v>848</v>
      </c>
      <c r="J1648" s="61" t="s">
        <v>22</v>
      </c>
      <c r="L1648" s="5" t="str">
        <f t="shared" si="449"/>
        <v>01647</v>
      </c>
      <c r="M1648" s="47" t="str">
        <f t="shared" si="450"/>
        <v>06 de diciembre de 2018</v>
      </c>
      <c r="N1648" s="323">
        <f t="shared" si="445"/>
        <v>6</v>
      </c>
      <c r="O1648" s="25">
        <f t="shared" si="451"/>
        <v>43435</v>
      </c>
      <c r="P1648" s="5" t="str">
        <f t="shared" si="447"/>
        <v>320,00</v>
      </c>
      <c r="Q1648" s="4" t="str">
        <f t="shared" si="448"/>
        <v>Trescientos Veinte Bolívares con 00/100</v>
      </c>
    </row>
    <row r="1649" spans="1:17" x14ac:dyDescent="0.25">
      <c r="A1649" s="1">
        <f t="shared" si="452"/>
        <v>1648</v>
      </c>
      <c r="C1649" s="8" t="s">
        <v>17</v>
      </c>
      <c r="D1649" s="2">
        <v>43441</v>
      </c>
      <c r="E1649" s="3">
        <v>800</v>
      </c>
      <c r="F1649" t="s">
        <v>53</v>
      </c>
      <c r="G1649" t="s">
        <v>677</v>
      </c>
      <c r="H1649" t="s">
        <v>55</v>
      </c>
      <c r="I1649" s="6" t="s">
        <v>861</v>
      </c>
      <c r="J1649" s="61" t="s">
        <v>22</v>
      </c>
      <c r="L1649" s="5" t="str">
        <f t="shared" si="449"/>
        <v>01648</v>
      </c>
      <c r="M1649" s="47" t="str">
        <f t="shared" si="450"/>
        <v>07 de diciembre de 2018</v>
      </c>
      <c r="N1649" s="323">
        <f t="shared" si="445"/>
        <v>7</v>
      </c>
      <c r="O1649" s="25">
        <f t="shared" si="451"/>
        <v>43435</v>
      </c>
      <c r="P1649" s="5" t="str">
        <f t="shared" si="447"/>
        <v>800,00</v>
      </c>
      <c r="Q1649" s="4" t="str">
        <f t="shared" si="448"/>
        <v>Ochocientos Bolívares con 00/100</v>
      </c>
    </row>
    <row r="1650" spans="1:17" x14ac:dyDescent="0.25">
      <c r="A1650" s="1">
        <f t="shared" si="452"/>
        <v>1649</v>
      </c>
      <c r="C1650" s="8" t="s">
        <v>17</v>
      </c>
      <c r="D1650" s="2">
        <v>43442</v>
      </c>
      <c r="E1650" s="3">
        <v>1000</v>
      </c>
      <c r="F1650" t="s">
        <v>90</v>
      </c>
      <c r="G1650" t="s">
        <v>91</v>
      </c>
      <c r="H1650" t="s">
        <v>92</v>
      </c>
      <c r="I1650" s="6" t="s">
        <v>868</v>
      </c>
      <c r="J1650" s="61" t="s">
        <v>22</v>
      </c>
      <c r="L1650" s="5" t="str">
        <f t="shared" si="449"/>
        <v>01649</v>
      </c>
      <c r="M1650" s="47" t="str">
        <f t="shared" si="450"/>
        <v>08 de diciembre de 2018</v>
      </c>
      <c r="N1650" s="323">
        <f t="shared" si="445"/>
        <v>8</v>
      </c>
      <c r="O1650" s="25">
        <f t="shared" si="451"/>
        <v>43435</v>
      </c>
      <c r="P1650" s="5" t="str">
        <f t="shared" si="447"/>
        <v>1.000,00</v>
      </c>
      <c r="Q1650" s="4" t="str">
        <f t="shared" si="448"/>
        <v>Mil Bolívares con 00/100</v>
      </c>
    </row>
    <row r="1651" spans="1:17" x14ac:dyDescent="0.25">
      <c r="A1651" s="1">
        <f t="shared" si="452"/>
        <v>1650</v>
      </c>
      <c r="C1651" s="8" t="s">
        <v>17</v>
      </c>
      <c r="D1651" s="2">
        <v>43442</v>
      </c>
      <c r="E1651" s="3">
        <v>400</v>
      </c>
      <c r="F1651" t="s">
        <v>412</v>
      </c>
      <c r="G1651" t="s">
        <v>413</v>
      </c>
      <c r="H1651" t="s">
        <v>414</v>
      </c>
      <c r="I1651" s="6" t="s">
        <v>850</v>
      </c>
      <c r="J1651" s="61" t="s">
        <v>22</v>
      </c>
      <c r="L1651" s="5" t="str">
        <f t="shared" si="449"/>
        <v>01650</v>
      </c>
      <c r="M1651" s="47" t="str">
        <f t="shared" si="450"/>
        <v>08 de diciembre de 2018</v>
      </c>
      <c r="N1651" s="323">
        <f t="shared" si="445"/>
        <v>8</v>
      </c>
      <c r="O1651" s="25">
        <f t="shared" si="451"/>
        <v>43435</v>
      </c>
      <c r="P1651" s="5" t="str">
        <f t="shared" si="447"/>
        <v>400,00</v>
      </c>
      <c r="Q1651" s="4" t="str">
        <f t="shared" si="448"/>
        <v>Cuatrocientos Bolívares con 00/100</v>
      </c>
    </row>
    <row r="1652" spans="1:17" x14ac:dyDescent="0.25">
      <c r="A1652" s="1">
        <f t="shared" si="452"/>
        <v>1651</v>
      </c>
      <c r="C1652" s="8" t="s">
        <v>17</v>
      </c>
      <c r="D1652" s="2">
        <v>43442</v>
      </c>
      <c r="E1652" s="3">
        <v>800</v>
      </c>
      <c r="F1652" t="s">
        <v>454</v>
      </c>
      <c r="G1652" t="s">
        <v>761</v>
      </c>
      <c r="H1652" t="s">
        <v>455</v>
      </c>
      <c r="I1652" s="6" t="s">
        <v>861</v>
      </c>
      <c r="J1652" s="61" t="s">
        <v>22</v>
      </c>
      <c r="L1652" s="5" t="str">
        <f t="shared" si="449"/>
        <v>01651</v>
      </c>
      <c r="M1652" s="47" t="str">
        <f t="shared" si="450"/>
        <v>08 de diciembre de 2018</v>
      </c>
      <c r="N1652" s="323">
        <f t="shared" si="445"/>
        <v>8</v>
      </c>
      <c r="O1652" s="25">
        <f t="shared" si="451"/>
        <v>43435</v>
      </c>
      <c r="P1652" s="5" t="str">
        <f t="shared" si="447"/>
        <v>800,00</v>
      </c>
      <c r="Q1652" s="4" t="str">
        <f t="shared" si="448"/>
        <v>Ochocientos Bolívares con 00/100</v>
      </c>
    </row>
    <row r="1653" spans="1:17" x14ac:dyDescent="0.25">
      <c r="A1653" s="1">
        <f t="shared" si="452"/>
        <v>1652</v>
      </c>
      <c r="C1653" s="8" t="s">
        <v>17</v>
      </c>
      <c r="D1653" s="2">
        <v>43442</v>
      </c>
      <c r="E1653" s="3">
        <v>800</v>
      </c>
      <c r="F1653" t="s">
        <v>713</v>
      </c>
      <c r="G1653" t="s">
        <v>714</v>
      </c>
      <c r="H1653" t="s">
        <v>154</v>
      </c>
      <c r="I1653" s="6" t="s">
        <v>861</v>
      </c>
      <c r="J1653" s="61" t="s">
        <v>22</v>
      </c>
      <c r="L1653" s="5" t="str">
        <f t="shared" si="449"/>
        <v>01652</v>
      </c>
      <c r="M1653" s="47" t="str">
        <f t="shared" si="450"/>
        <v>08 de diciembre de 2018</v>
      </c>
      <c r="N1653" s="323">
        <f t="shared" si="445"/>
        <v>8</v>
      </c>
      <c r="O1653" s="25">
        <f t="shared" si="451"/>
        <v>43435</v>
      </c>
      <c r="P1653" s="5" t="str">
        <f t="shared" si="447"/>
        <v>800,00</v>
      </c>
      <c r="Q1653" s="4" t="str">
        <f t="shared" si="448"/>
        <v>Ochocientos Bolívares con 00/100</v>
      </c>
    </row>
    <row r="1654" spans="1:17" x14ac:dyDescent="0.25">
      <c r="A1654" s="1">
        <f t="shared" si="452"/>
        <v>1653</v>
      </c>
      <c r="C1654" s="8" t="s">
        <v>17</v>
      </c>
      <c r="D1654" s="2">
        <v>43443</v>
      </c>
      <c r="E1654" s="3">
        <v>320</v>
      </c>
      <c r="F1654" t="s">
        <v>84</v>
      </c>
      <c r="G1654" t="s">
        <v>85</v>
      </c>
      <c r="H1654" t="s">
        <v>86</v>
      </c>
      <c r="I1654" s="6" t="s">
        <v>848</v>
      </c>
      <c r="J1654" s="61" t="s">
        <v>22</v>
      </c>
      <c r="L1654" s="5" t="str">
        <f t="shared" si="449"/>
        <v>01653</v>
      </c>
      <c r="M1654" s="47" t="str">
        <f t="shared" si="450"/>
        <v>09 de diciembre de 2018</v>
      </c>
      <c r="N1654" s="323">
        <f t="shared" si="445"/>
        <v>9</v>
      </c>
      <c r="O1654" s="25">
        <f t="shared" si="451"/>
        <v>43435</v>
      </c>
      <c r="P1654" s="5" t="str">
        <f t="shared" si="447"/>
        <v>320,00</v>
      </c>
      <c r="Q1654" s="4" t="str">
        <f t="shared" si="448"/>
        <v>Trescientos Veinte Bolívares con 00/100</v>
      </c>
    </row>
    <row r="1655" spans="1:17" x14ac:dyDescent="0.25">
      <c r="A1655" s="1">
        <f t="shared" si="452"/>
        <v>1654</v>
      </c>
      <c r="C1655" s="8" t="s">
        <v>17</v>
      </c>
      <c r="D1655" s="2">
        <v>43443</v>
      </c>
      <c r="E1655" s="3">
        <v>800</v>
      </c>
      <c r="F1655" t="s">
        <v>334</v>
      </c>
      <c r="G1655" t="s">
        <v>85</v>
      </c>
      <c r="H1655" t="s">
        <v>335</v>
      </c>
      <c r="I1655" s="6" t="s">
        <v>861</v>
      </c>
      <c r="J1655" s="61" t="s">
        <v>22</v>
      </c>
      <c r="L1655" s="5" t="str">
        <f t="shared" si="449"/>
        <v>01654</v>
      </c>
      <c r="M1655" s="47" t="str">
        <f t="shared" si="450"/>
        <v>09 de diciembre de 2018</v>
      </c>
      <c r="N1655" s="323">
        <f t="shared" si="445"/>
        <v>9</v>
      </c>
      <c r="O1655" s="25">
        <f t="shared" si="451"/>
        <v>43435</v>
      </c>
      <c r="P1655" s="5" t="str">
        <f t="shared" si="447"/>
        <v>800,00</v>
      </c>
      <c r="Q1655" s="4" t="str">
        <f t="shared" si="448"/>
        <v>Ochocientos Bolívares con 00/100</v>
      </c>
    </row>
    <row r="1656" spans="1:17" x14ac:dyDescent="0.25">
      <c r="A1656" s="1">
        <f t="shared" si="452"/>
        <v>1655</v>
      </c>
      <c r="C1656" s="8" t="s">
        <v>17</v>
      </c>
      <c r="D1656" s="2">
        <v>43443</v>
      </c>
      <c r="E1656" s="3">
        <v>800</v>
      </c>
      <c r="F1656" t="s">
        <v>342</v>
      </c>
      <c r="G1656" t="s">
        <v>343</v>
      </c>
      <c r="H1656" t="s">
        <v>344</v>
      </c>
      <c r="I1656" s="6" t="s">
        <v>861</v>
      </c>
      <c r="J1656" s="61" t="s">
        <v>22</v>
      </c>
      <c r="L1656" s="5" t="str">
        <f t="shared" ref="L1656:L1672" si="453">IF(ISBLANK(A1656),"",TEXT(A1656,"00000"))</f>
        <v>01655</v>
      </c>
      <c r="M1656" s="47" t="str">
        <f t="shared" ref="M1656:M1672" si="454">IF(ISBLANK(D1656),"",TEXT(D1656,"dd")&amp;" de "&amp;TEXT(D1656,"mmmm")&amp;" de "&amp;TEXT(YEAR(D1656),"0"))</f>
        <v>09 de diciembre de 2018</v>
      </c>
      <c r="N1656" s="323">
        <f t="shared" ref="N1656:N1672" si="455">DAY(D1656)</f>
        <v>9</v>
      </c>
      <c r="O1656" s="25">
        <f t="shared" ref="O1656:O1672" si="456">DATE(YEAR(D1656),MONTH(D1656),1)</f>
        <v>43435</v>
      </c>
      <c r="P1656" s="5" t="str">
        <f t="shared" ref="P1656:P1664" si="457">TEXT(E1656,"#.##0,00")</f>
        <v>800,00</v>
      </c>
      <c r="Q1656" s="4" t="str">
        <f t="shared" ref="Q1656:Q1664" si="458">CONVERTIRNUM(E1656)</f>
        <v>Ochocientos Bolívares con 00/100</v>
      </c>
    </row>
    <row r="1657" spans="1:17" x14ac:dyDescent="0.25">
      <c r="A1657" s="1">
        <f t="shared" si="452"/>
        <v>1656</v>
      </c>
      <c r="C1657" s="8" t="s">
        <v>17</v>
      </c>
      <c r="D1657" s="2">
        <v>43443</v>
      </c>
      <c r="E1657" s="3">
        <v>800</v>
      </c>
      <c r="F1657" t="s">
        <v>84</v>
      </c>
      <c r="G1657" t="s">
        <v>85</v>
      </c>
      <c r="H1657" t="s">
        <v>86</v>
      </c>
      <c r="I1657" s="6" t="s">
        <v>861</v>
      </c>
      <c r="J1657" s="61" t="s">
        <v>22</v>
      </c>
      <c r="L1657" s="5" t="str">
        <f t="shared" si="453"/>
        <v>01656</v>
      </c>
      <c r="M1657" s="47" t="str">
        <f t="shared" si="454"/>
        <v>09 de diciembre de 2018</v>
      </c>
      <c r="N1657" s="323">
        <f t="shared" si="455"/>
        <v>9</v>
      </c>
      <c r="O1657" s="25">
        <f t="shared" si="456"/>
        <v>43435</v>
      </c>
      <c r="P1657" s="5" t="str">
        <f t="shared" si="457"/>
        <v>800,00</v>
      </c>
      <c r="Q1657" s="4" t="str">
        <f t="shared" si="458"/>
        <v>Ochocientos Bolívares con 00/100</v>
      </c>
    </row>
    <row r="1658" spans="1:17" x14ac:dyDescent="0.25">
      <c r="A1658" s="1">
        <f t="shared" si="452"/>
        <v>1657</v>
      </c>
      <c r="C1658" s="8" t="s">
        <v>17</v>
      </c>
      <c r="D1658" s="2">
        <v>43404</v>
      </c>
      <c r="E1658" s="3">
        <v>320</v>
      </c>
      <c r="F1658" t="s">
        <v>144</v>
      </c>
      <c r="G1658" t="s">
        <v>661</v>
      </c>
      <c r="H1658" t="s">
        <v>146</v>
      </c>
      <c r="I1658" s="6" t="s">
        <v>823</v>
      </c>
      <c r="J1658" s="61" t="s">
        <v>22</v>
      </c>
      <c r="L1658" s="5" t="str">
        <f t="shared" si="453"/>
        <v>01657</v>
      </c>
      <c r="M1658" s="47" t="str">
        <f t="shared" si="454"/>
        <v>31 de octubre de 2018</v>
      </c>
      <c r="N1658" s="323">
        <f t="shared" si="455"/>
        <v>31</v>
      </c>
      <c r="O1658" s="25">
        <f t="shared" si="456"/>
        <v>43374</v>
      </c>
      <c r="P1658" s="5" t="str">
        <f t="shared" si="457"/>
        <v>320,00</v>
      </c>
      <c r="Q1658" s="4" t="str">
        <f t="shared" si="458"/>
        <v>Trescientos Veinte Bolívares con 00/100</v>
      </c>
    </row>
    <row r="1659" spans="1:17" x14ac:dyDescent="0.25">
      <c r="A1659" s="1">
        <f t="shared" si="452"/>
        <v>1658</v>
      </c>
      <c r="C1659" s="8" t="s">
        <v>17</v>
      </c>
      <c r="D1659" s="2">
        <v>43441</v>
      </c>
      <c r="E1659" s="3">
        <v>800</v>
      </c>
      <c r="F1659" t="s">
        <v>181</v>
      </c>
      <c r="G1659" t="s">
        <v>182</v>
      </c>
      <c r="H1659" t="s">
        <v>183</v>
      </c>
      <c r="I1659" s="6" t="s">
        <v>861</v>
      </c>
      <c r="J1659" s="61" t="s">
        <v>22</v>
      </c>
      <c r="L1659" s="5" t="str">
        <f t="shared" si="453"/>
        <v>01658</v>
      </c>
      <c r="M1659" s="47" t="str">
        <f t="shared" si="454"/>
        <v>07 de diciembre de 2018</v>
      </c>
      <c r="N1659" s="323">
        <f t="shared" si="455"/>
        <v>7</v>
      </c>
      <c r="O1659" s="25">
        <f t="shared" si="456"/>
        <v>43435</v>
      </c>
      <c r="P1659" s="5" t="str">
        <f t="shared" si="457"/>
        <v>800,00</v>
      </c>
      <c r="Q1659" s="4" t="str">
        <f t="shared" si="458"/>
        <v>Ochocientos Bolívares con 00/100</v>
      </c>
    </row>
    <row r="1660" spans="1:17" x14ac:dyDescent="0.25">
      <c r="A1660" s="1">
        <f t="shared" si="452"/>
        <v>1659</v>
      </c>
      <c r="C1660" s="8" t="s">
        <v>17</v>
      </c>
      <c r="D1660" s="2">
        <v>43444</v>
      </c>
      <c r="E1660" s="3">
        <v>800</v>
      </c>
      <c r="F1660" t="s">
        <v>337</v>
      </c>
      <c r="G1660" t="s">
        <v>338</v>
      </c>
      <c r="H1660" t="s">
        <v>339</v>
      </c>
      <c r="I1660" s="6" t="s">
        <v>861</v>
      </c>
      <c r="J1660" s="61" t="s">
        <v>22</v>
      </c>
      <c r="L1660" s="5" t="str">
        <f t="shared" si="453"/>
        <v>01659</v>
      </c>
      <c r="M1660" s="47" t="str">
        <f t="shared" si="454"/>
        <v>10 de diciembre de 2018</v>
      </c>
      <c r="N1660" s="323">
        <f t="shared" si="455"/>
        <v>10</v>
      </c>
      <c r="O1660" s="25">
        <f t="shared" si="456"/>
        <v>43435</v>
      </c>
      <c r="P1660" s="5" t="str">
        <f t="shared" si="457"/>
        <v>800,00</v>
      </c>
      <c r="Q1660" s="4" t="str">
        <f t="shared" si="458"/>
        <v>Ochocientos Bolívares con 00/100</v>
      </c>
    </row>
    <row r="1661" spans="1:17" x14ac:dyDescent="0.25">
      <c r="A1661" s="1">
        <f t="shared" si="452"/>
        <v>1660</v>
      </c>
      <c r="C1661" s="8" t="s">
        <v>17</v>
      </c>
      <c r="D1661" s="2">
        <v>43445</v>
      </c>
      <c r="E1661" s="3">
        <v>800</v>
      </c>
      <c r="F1661" t="s">
        <v>239</v>
      </c>
      <c r="G1661" s="73" t="s">
        <v>240</v>
      </c>
      <c r="H1661" t="s">
        <v>241</v>
      </c>
      <c r="I1661" s="6" t="s">
        <v>861</v>
      </c>
      <c r="J1661" s="61" t="s">
        <v>22</v>
      </c>
      <c r="L1661" s="5" t="str">
        <f t="shared" si="453"/>
        <v>01660</v>
      </c>
      <c r="M1661" s="47" t="str">
        <f t="shared" si="454"/>
        <v>11 de diciembre de 2018</v>
      </c>
      <c r="N1661" s="323">
        <f t="shared" si="455"/>
        <v>11</v>
      </c>
      <c r="O1661" s="25">
        <f t="shared" si="456"/>
        <v>43435</v>
      </c>
      <c r="P1661" s="5" t="str">
        <f t="shared" si="457"/>
        <v>800,00</v>
      </c>
      <c r="Q1661" s="4" t="str">
        <f t="shared" si="458"/>
        <v>Ochocientos Bolívares con 00/100</v>
      </c>
    </row>
    <row r="1662" spans="1:17" x14ac:dyDescent="0.25">
      <c r="A1662" s="1">
        <f t="shared" si="452"/>
        <v>1661</v>
      </c>
      <c r="C1662" s="8" t="s">
        <v>17</v>
      </c>
      <c r="D1662" s="2">
        <v>43445</v>
      </c>
      <c r="E1662" s="3">
        <v>800</v>
      </c>
      <c r="F1662" t="s">
        <v>296</v>
      </c>
      <c r="G1662" t="s">
        <v>297</v>
      </c>
      <c r="H1662" t="s">
        <v>298</v>
      </c>
      <c r="I1662" s="9" t="s">
        <v>861</v>
      </c>
      <c r="J1662" s="61" t="s">
        <v>22</v>
      </c>
      <c r="L1662" s="5" t="str">
        <f t="shared" si="453"/>
        <v>01661</v>
      </c>
      <c r="M1662" s="47" t="str">
        <f t="shared" si="454"/>
        <v>11 de diciembre de 2018</v>
      </c>
      <c r="N1662" s="323">
        <f t="shared" si="455"/>
        <v>11</v>
      </c>
      <c r="O1662" s="25">
        <f t="shared" si="456"/>
        <v>43435</v>
      </c>
      <c r="P1662" s="5" t="str">
        <f t="shared" si="457"/>
        <v>800,00</v>
      </c>
      <c r="Q1662" s="4" t="str">
        <f t="shared" si="458"/>
        <v>Ochocientos Bolívares con 00/100</v>
      </c>
    </row>
    <row r="1663" spans="1:17" x14ac:dyDescent="0.25">
      <c r="A1663" s="1">
        <f t="shared" si="452"/>
        <v>1662</v>
      </c>
      <c r="C1663" s="8" t="s">
        <v>17</v>
      </c>
      <c r="D1663" s="2">
        <v>43423</v>
      </c>
      <c r="E1663" s="3">
        <v>320</v>
      </c>
      <c r="F1663" t="s">
        <v>362</v>
      </c>
      <c r="G1663" t="s">
        <v>363</v>
      </c>
      <c r="H1663" t="s">
        <v>364</v>
      </c>
      <c r="I1663" s="6" t="s">
        <v>848</v>
      </c>
      <c r="J1663" s="61" t="s">
        <v>22</v>
      </c>
      <c r="L1663" s="5" t="str">
        <f t="shared" si="453"/>
        <v>01662</v>
      </c>
      <c r="M1663" s="47" t="str">
        <f t="shared" si="454"/>
        <v>19 de noviembre de 2018</v>
      </c>
      <c r="N1663" s="323">
        <f t="shared" si="455"/>
        <v>19</v>
      </c>
      <c r="O1663" s="25">
        <f t="shared" si="456"/>
        <v>43405</v>
      </c>
      <c r="P1663" s="5" t="str">
        <f t="shared" si="457"/>
        <v>320,00</v>
      </c>
      <c r="Q1663" s="4" t="str">
        <f t="shared" si="458"/>
        <v>Trescientos Veinte Bolívares con 00/100</v>
      </c>
    </row>
    <row r="1664" spans="1:17" x14ac:dyDescent="0.25">
      <c r="A1664" s="1">
        <f t="shared" si="452"/>
        <v>1663</v>
      </c>
      <c r="C1664" s="8" t="s">
        <v>17</v>
      </c>
      <c r="D1664" s="2">
        <v>43447</v>
      </c>
      <c r="E1664" s="3">
        <v>800</v>
      </c>
      <c r="F1664" t="s">
        <v>362</v>
      </c>
      <c r="G1664" t="s">
        <v>363</v>
      </c>
      <c r="H1664" t="s">
        <v>364</v>
      </c>
      <c r="I1664" s="6" t="s">
        <v>861</v>
      </c>
      <c r="J1664" s="61" t="s">
        <v>22</v>
      </c>
      <c r="L1664" s="5" t="str">
        <f t="shared" si="453"/>
        <v>01663</v>
      </c>
      <c r="M1664" s="47" t="str">
        <f t="shared" si="454"/>
        <v>13 de diciembre de 2018</v>
      </c>
      <c r="N1664" s="323">
        <f t="shared" si="455"/>
        <v>13</v>
      </c>
      <c r="O1664" s="25">
        <f t="shared" si="456"/>
        <v>43435</v>
      </c>
      <c r="P1664" s="5" t="str">
        <f t="shared" si="457"/>
        <v>800,00</v>
      </c>
      <c r="Q1664" s="4" t="str">
        <f t="shared" si="458"/>
        <v>Ochocientos Bolívares con 00/100</v>
      </c>
    </row>
    <row r="1665" spans="1:17" x14ac:dyDescent="0.25">
      <c r="A1665" s="1">
        <f t="shared" si="452"/>
        <v>1664</v>
      </c>
      <c r="C1665" s="8" t="s">
        <v>17</v>
      </c>
      <c r="D1665" s="2">
        <v>43447</v>
      </c>
      <c r="E1665" s="3">
        <v>800</v>
      </c>
      <c r="F1665" t="s">
        <v>162</v>
      </c>
      <c r="G1665" t="s">
        <v>163</v>
      </c>
      <c r="H1665" t="s">
        <v>164</v>
      </c>
      <c r="I1665" s="6" t="s">
        <v>869</v>
      </c>
      <c r="J1665" s="61" t="s">
        <v>22</v>
      </c>
      <c r="L1665" s="5" t="str">
        <f t="shared" si="453"/>
        <v>01664</v>
      </c>
      <c r="M1665" s="47" t="str">
        <f t="shared" si="454"/>
        <v>13 de diciembre de 2018</v>
      </c>
      <c r="N1665" s="323">
        <f t="shared" si="455"/>
        <v>13</v>
      </c>
      <c r="O1665" s="25">
        <f t="shared" si="456"/>
        <v>43435</v>
      </c>
      <c r="P1665" s="5" t="str">
        <f>TEXT(E1665,"#.##0,00")</f>
        <v>800,00</v>
      </c>
      <c r="Q1665" s="4" t="str">
        <f>CONVERTIRNUM(E1665)</f>
        <v>Ochocientos Bolívares con 00/100</v>
      </c>
    </row>
    <row r="1666" spans="1:17" x14ac:dyDescent="0.25">
      <c r="A1666" s="1">
        <f t="shared" si="452"/>
        <v>1665</v>
      </c>
      <c r="C1666" s="8" t="s">
        <v>17</v>
      </c>
      <c r="D1666" s="2">
        <v>43415</v>
      </c>
      <c r="E1666" s="3">
        <v>320</v>
      </c>
      <c r="F1666" t="s">
        <v>103</v>
      </c>
      <c r="G1666" t="s">
        <v>104</v>
      </c>
      <c r="H1666" t="s">
        <v>105</v>
      </c>
      <c r="I1666" s="6" t="s">
        <v>848</v>
      </c>
      <c r="J1666" s="61" t="s">
        <v>22</v>
      </c>
      <c r="L1666" s="5" t="str">
        <f t="shared" si="453"/>
        <v>01665</v>
      </c>
      <c r="M1666" s="47" t="str">
        <f t="shared" si="454"/>
        <v>11 de noviembre de 2018</v>
      </c>
      <c r="N1666" s="323">
        <f t="shared" si="455"/>
        <v>11</v>
      </c>
      <c r="O1666" s="25">
        <f t="shared" si="456"/>
        <v>43405</v>
      </c>
      <c r="P1666" s="5" t="str">
        <f t="shared" ref="P1666:P1672" si="459">TEXT(E1666,"#.##0,00")</f>
        <v>320,00</v>
      </c>
      <c r="Q1666" s="4" t="str">
        <f t="shared" ref="Q1666:Q1672" si="460">CONVERTIRNUM(E1666)</f>
        <v>Trescientos Veinte Bolívares con 00/100</v>
      </c>
    </row>
    <row r="1667" spans="1:17" x14ac:dyDescent="0.25">
      <c r="A1667" s="1">
        <f t="shared" si="452"/>
        <v>1666</v>
      </c>
      <c r="C1667" s="8" t="s">
        <v>17</v>
      </c>
      <c r="D1667" s="2">
        <v>43447</v>
      </c>
      <c r="E1667" s="3">
        <f>1120+11.15</f>
        <v>1131.1500000000001</v>
      </c>
      <c r="F1667" t="s">
        <v>219</v>
      </c>
      <c r="G1667" t="s">
        <v>220</v>
      </c>
      <c r="H1667" t="s">
        <v>221</v>
      </c>
      <c r="I1667" s="6" t="s">
        <v>870</v>
      </c>
      <c r="J1667" s="61" t="s">
        <v>22</v>
      </c>
      <c r="L1667" s="5" t="str">
        <f t="shared" si="453"/>
        <v>01666</v>
      </c>
      <c r="M1667" s="47" t="str">
        <f t="shared" si="454"/>
        <v>13 de diciembre de 2018</v>
      </c>
      <c r="N1667" s="323">
        <f t="shared" si="455"/>
        <v>13</v>
      </c>
      <c r="O1667" s="25">
        <f t="shared" si="456"/>
        <v>43435</v>
      </c>
      <c r="P1667" s="5" t="str">
        <f t="shared" si="459"/>
        <v>1.131,15</v>
      </c>
      <c r="Q1667" s="4" t="str">
        <f t="shared" si="460"/>
        <v>Mil Ciento Treinta y Un Bolívares con 15/100</v>
      </c>
    </row>
    <row r="1668" spans="1:17" x14ac:dyDescent="0.25">
      <c r="A1668" s="1">
        <f t="shared" si="452"/>
        <v>1667</v>
      </c>
      <c r="C1668" s="8" t="s">
        <v>17</v>
      </c>
      <c r="D1668" s="2">
        <v>43447</v>
      </c>
      <c r="E1668" s="3">
        <v>320</v>
      </c>
      <c r="F1668" t="s">
        <v>287</v>
      </c>
      <c r="G1668" t="s">
        <v>288</v>
      </c>
      <c r="H1668" t="s">
        <v>289</v>
      </c>
      <c r="I1668" s="6" t="s">
        <v>848</v>
      </c>
      <c r="J1668" s="61" t="s">
        <v>22</v>
      </c>
      <c r="L1668" s="5" t="str">
        <f t="shared" si="453"/>
        <v>01667</v>
      </c>
      <c r="M1668" s="47" t="str">
        <f t="shared" si="454"/>
        <v>13 de diciembre de 2018</v>
      </c>
      <c r="N1668" s="323">
        <f t="shared" si="455"/>
        <v>13</v>
      </c>
      <c r="O1668" s="25">
        <f t="shared" si="456"/>
        <v>43435</v>
      </c>
      <c r="P1668" s="5" t="str">
        <f t="shared" si="459"/>
        <v>320,00</v>
      </c>
      <c r="Q1668" s="4" t="str">
        <f t="shared" si="460"/>
        <v>Trescientos Veinte Bolívares con 00/100</v>
      </c>
    </row>
    <row r="1669" spans="1:17" x14ac:dyDescent="0.25">
      <c r="A1669" s="1">
        <f t="shared" si="452"/>
        <v>1668</v>
      </c>
      <c r="C1669" s="8" t="s">
        <v>17</v>
      </c>
      <c r="D1669" s="2">
        <v>43448</v>
      </c>
      <c r="E1669" s="3">
        <v>320</v>
      </c>
      <c r="F1669" t="s">
        <v>537</v>
      </c>
      <c r="G1669" t="s">
        <v>538</v>
      </c>
      <c r="H1669" t="s">
        <v>539</v>
      </c>
      <c r="I1669" s="6" t="s">
        <v>848</v>
      </c>
      <c r="J1669" s="61" t="s">
        <v>22</v>
      </c>
      <c r="L1669" s="5" t="str">
        <f t="shared" si="453"/>
        <v>01668</v>
      </c>
      <c r="M1669" s="47" t="str">
        <f t="shared" si="454"/>
        <v>14 de diciembre de 2018</v>
      </c>
      <c r="N1669" s="323">
        <f t="shared" si="455"/>
        <v>14</v>
      </c>
      <c r="O1669" s="25">
        <f t="shared" si="456"/>
        <v>43435</v>
      </c>
      <c r="P1669" s="5" t="str">
        <f t="shared" si="459"/>
        <v>320,00</v>
      </c>
      <c r="Q1669" s="4" t="str">
        <f t="shared" si="460"/>
        <v>Trescientos Veinte Bolívares con 00/100</v>
      </c>
    </row>
    <row r="1670" spans="1:17" x14ac:dyDescent="0.25">
      <c r="A1670" s="1">
        <f t="shared" si="452"/>
        <v>1669</v>
      </c>
      <c r="C1670" s="85" t="s">
        <v>17</v>
      </c>
      <c r="D1670" s="2">
        <v>43448</v>
      </c>
      <c r="E1670" s="3">
        <v>320</v>
      </c>
      <c r="F1670" t="s">
        <v>259</v>
      </c>
      <c r="G1670" s="18" t="s">
        <v>58</v>
      </c>
      <c r="H1670" t="s">
        <v>261</v>
      </c>
      <c r="I1670" s="6" t="s">
        <v>848</v>
      </c>
      <c r="J1670" s="61" t="s">
        <v>22</v>
      </c>
      <c r="L1670" s="5" t="str">
        <f t="shared" si="453"/>
        <v>01669</v>
      </c>
      <c r="M1670" s="47" t="str">
        <f t="shared" si="454"/>
        <v>14 de diciembre de 2018</v>
      </c>
      <c r="N1670" s="323">
        <f t="shared" si="455"/>
        <v>14</v>
      </c>
      <c r="O1670" s="25">
        <f t="shared" si="456"/>
        <v>43435</v>
      </c>
      <c r="P1670" s="5" t="str">
        <f t="shared" si="459"/>
        <v>320,00</v>
      </c>
      <c r="Q1670" s="4" t="str">
        <f t="shared" si="460"/>
        <v>Trescientos Veinte Bolívares con 00/100</v>
      </c>
    </row>
    <row r="1671" spans="1:17" x14ac:dyDescent="0.25">
      <c r="A1671" s="1">
        <f t="shared" si="452"/>
        <v>1670</v>
      </c>
      <c r="C1671" s="8" t="s">
        <v>17</v>
      </c>
      <c r="D1671" s="2">
        <v>43448</v>
      </c>
      <c r="E1671" s="3">
        <v>3000</v>
      </c>
      <c r="F1671" t="s">
        <v>612</v>
      </c>
      <c r="G1671" t="s">
        <v>613</v>
      </c>
      <c r="H1671" t="s">
        <v>614</v>
      </c>
      <c r="I1671" s="6" t="s">
        <v>871</v>
      </c>
      <c r="J1671" s="61" t="s">
        <v>22</v>
      </c>
      <c r="L1671" s="5" t="str">
        <f t="shared" si="453"/>
        <v>01670</v>
      </c>
      <c r="M1671" s="47" t="str">
        <f t="shared" si="454"/>
        <v>14 de diciembre de 2018</v>
      </c>
      <c r="N1671" s="323">
        <f t="shared" si="455"/>
        <v>14</v>
      </c>
      <c r="O1671" s="25">
        <f t="shared" si="456"/>
        <v>43435</v>
      </c>
      <c r="P1671" s="5" t="str">
        <f t="shared" si="459"/>
        <v>3.000,00</v>
      </c>
      <c r="Q1671" s="4" t="str">
        <f t="shared" si="460"/>
        <v>Tres Mil Bolívares con 00/100</v>
      </c>
    </row>
    <row r="1672" spans="1:17" x14ac:dyDescent="0.25">
      <c r="A1672" s="1">
        <f t="shared" si="452"/>
        <v>1671</v>
      </c>
      <c r="C1672" s="85" t="s">
        <v>17</v>
      </c>
      <c r="D1672" s="2">
        <v>43448</v>
      </c>
      <c r="E1672" s="3">
        <f>320*3+800</f>
        <v>1760</v>
      </c>
      <c r="F1672" t="s">
        <v>410</v>
      </c>
      <c r="G1672" s="18" t="s">
        <v>58</v>
      </c>
      <c r="H1672" t="s">
        <v>411</v>
      </c>
      <c r="I1672" s="6" t="s">
        <v>872</v>
      </c>
      <c r="J1672" s="61" t="s">
        <v>22</v>
      </c>
      <c r="L1672" s="5" t="str">
        <f t="shared" si="453"/>
        <v>01671</v>
      </c>
      <c r="M1672" s="47" t="str">
        <f t="shared" si="454"/>
        <v>14 de diciembre de 2018</v>
      </c>
      <c r="N1672" s="323">
        <f t="shared" si="455"/>
        <v>14</v>
      </c>
      <c r="O1672" s="25">
        <f t="shared" si="456"/>
        <v>43435</v>
      </c>
      <c r="P1672" s="5" t="str">
        <f t="shared" si="459"/>
        <v>1.760,00</v>
      </c>
      <c r="Q1672" s="4" t="str">
        <f t="shared" si="460"/>
        <v>Mil Setecientos Sesenta Bolívares con 00/100</v>
      </c>
    </row>
    <row r="1673" spans="1:17" x14ac:dyDescent="0.25">
      <c r="A1673" s="1">
        <f t="shared" si="452"/>
        <v>1672</v>
      </c>
      <c r="C1673" s="8" t="s">
        <v>17</v>
      </c>
      <c r="D1673" s="2">
        <v>43449</v>
      </c>
      <c r="E1673" s="3">
        <v>800</v>
      </c>
      <c r="F1673" t="s">
        <v>103</v>
      </c>
      <c r="G1673" t="s">
        <v>104</v>
      </c>
      <c r="H1673" t="s">
        <v>105</v>
      </c>
      <c r="I1673" s="6" t="s">
        <v>861</v>
      </c>
      <c r="J1673" s="61" t="s">
        <v>22</v>
      </c>
      <c r="L1673" s="5" t="str">
        <f t="shared" ref="L1673:L1685" si="461">IF(ISBLANK(A1673),"",TEXT(A1673,"00000"))</f>
        <v>01672</v>
      </c>
      <c r="M1673" s="47" t="str">
        <f t="shared" ref="M1673:M1685" si="462">IF(ISBLANK(D1673),"",TEXT(D1673,"dd")&amp;" de "&amp;TEXT(D1673,"mmmm")&amp;" de "&amp;TEXT(YEAR(D1673),"0"))</f>
        <v>15 de diciembre de 2018</v>
      </c>
      <c r="N1673" s="323">
        <f t="shared" ref="N1673:N1685" si="463">DAY(D1673)</f>
        <v>15</v>
      </c>
      <c r="O1673" s="25">
        <f t="shared" ref="O1673:O1685" si="464">DATE(YEAR(D1673),MONTH(D1673),1)</f>
        <v>43435</v>
      </c>
      <c r="P1673" s="5" t="str">
        <f t="shared" ref="P1673:P1685" si="465">TEXT(E1673,"#.##0,00")</f>
        <v>800,00</v>
      </c>
      <c r="Q1673" s="4" t="str">
        <f t="shared" ref="Q1673:Q1685" si="466">CONVERTIRNUM(E1673)</f>
        <v>Ochocientos Bolívares con 00/100</v>
      </c>
    </row>
    <row r="1674" spans="1:17" x14ac:dyDescent="0.25">
      <c r="A1674" s="1">
        <f t="shared" si="452"/>
        <v>1673</v>
      </c>
      <c r="C1674" s="85" t="s">
        <v>17</v>
      </c>
      <c r="D1674" s="2">
        <v>43450</v>
      </c>
      <c r="E1674" s="3">
        <v>355</v>
      </c>
      <c r="F1674" s="20" t="s">
        <v>57</v>
      </c>
      <c r="G1674" s="18" t="s">
        <v>58</v>
      </c>
      <c r="H1674" s="21" t="s">
        <v>59</v>
      </c>
      <c r="I1674" s="6" t="s">
        <v>848</v>
      </c>
      <c r="J1674" s="61" t="s">
        <v>22</v>
      </c>
      <c r="K1674" s="22"/>
      <c r="L1674" s="5" t="str">
        <f t="shared" si="461"/>
        <v>01673</v>
      </c>
      <c r="M1674" s="47" t="str">
        <f t="shared" si="462"/>
        <v>16 de diciembre de 2018</v>
      </c>
      <c r="N1674" s="323">
        <f t="shared" si="463"/>
        <v>16</v>
      </c>
      <c r="O1674" s="25">
        <f t="shared" si="464"/>
        <v>43435</v>
      </c>
      <c r="P1674" s="5" t="str">
        <f t="shared" si="465"/>
        <v>355,00</v>
      </c>
      <c r="Q1674" s="4" t="str">
        <f t="shared" si="466"/>
        <v>Trescientos Cincuenta y Cinco Bolívares con 00/100</v>
      </c>
    </row>
    <row r="1675" spans="1:17" x14ac:dyDescent="0.25">
      <c r="A1675" s="1">
        <f t="shared" si="452"/>
        <v>1674</v>
      </c>
      <c r="C1675" s="8" t="s">
        <v>17</v>
      </c>
      <c r="D1675" s="2">
        <v>43450</v>
      </c>
      <c r="E1675" s="3">
        <v>200</v>
      </c>
      <c r="F1675" t="s">
        <v>433</v>
      </c>
      <c r="G1675" t="s">
        <v>434</v>
      </c>
      <c r="H1675" t="s">
        <v>435</v>
      </c>
      <c r="I1675" s="6" t="s">
        <v>873</v>
      </c>
      <c r="J1675" s="61" t="s">
        <v>22</v>
      </c>
      <c r="L1675" s="5" t="str">
        <f t="shared" si="461"/>
        <v>01674</v>
      </c>
      <c r="M1675" s="47" t="str">
        <f t="shared" si="462"/>
        <v>16 de diciembre de 2018</v>
      </c>
      <c r="N1675" s="323">
        <f t="shared" si="463"/>
        <v>16</v>
      </c>
      <c r="O1675" s="25">
        <f t="shared" si="464"/>
        <v>43435</v>
      </c>
      <c r="P1675" s="5" t="str">
        <f t="shared" si="465"/>
        <v>200,00</v>
      </c>
      <c r="Q1675" s="4" t="str">
        <f t="shared" si="466"/>
        <v>Doscientos Bolívares con 00/100</v>
      </c>
    </row>
    <row r="1676" spans="1:17" x14ac:dyDescent="0.25">
      <c r="A1676" s="1">
        <f t="shared" si="452"/>
        <v>1675</v>
      </c>
      <c r="C1676" s="8" t="s">
        <v>17</v>
      </c>
      <c r="D1676" s="2">
        <v>43451</v>
      </c>
      <c r="E1676" s="3">
        <v>1600</v>
      </c>
      <c r="F1676" t="s">
        <v>417</v>
      </c>
      <c r="G1676" t="s">
        <v>418</v>
      </c>
      <c r="H1676" t="s">
        <v>419</v>
      </c>
      <c r="I1676" s="6" t="s">
        <v>874</v>
      </c>
      <c r="J1676" s="61" t="s">
        <v>22</v>
      </c>
      <c r="L1676" s="5" t="str">
        <f t="shared" si="461"/>
        <v>01675</v>
      </c>
      <c r="M1676" s="47" t="str">
        <f t="shared" si="462"/>
        <v>17 de diciembre de 2018</v>
      </c>
      <c r="N1676" s="323">
        <f t="shared" si="463"/>
        <v>17</v>
      </c>
      <c r="O1676" s="25">
        <f t="shared" si="464"/>
        <v>43435</v>
      </c>
      <c r="P1676" s="5" t="str">
        <f t="shared" si="465"/>
        <v>1.600,00</v>
      </c>
      <c r="Q1676" s="4" t="str">
        <f t="shared" si="466"/>
        <v>Mil Seiscientos Bolívares con 00/100</v>
      </c>
    </row>
    <row r="1677" spans="1:17" x14ac:dyDescent="0.25">
      <c r="A1677" s="1">
        <f t="shared" si="452"/>
        <v>1676</v>
      </c>
      <c r="C1677" s="8" t="s">
        <v>17</v>
      </c>
      <c r="D1677" s="2">
        <v>43451</v>
      </c>
      <c r="E1677" s="3">
        <f>320+800</f>
        <v>1120</v>
      </c>
      <c r="F1677" t="s">
        <v>130</v>
      </c>
      <c r="G1677" t="s">
        <v>131</v>
      </c>
      <c r="H1677" t="s">
        <v>132</v>
      </c>
      <c r="I1677" s="6" t="s">
        <v>851</v>
      </c>
      <c r="J1677" s="61" t="s">
        <v>22</v>
      </c>
      <c r="L1677" s="5" t="str">
        <f t="shared" si="461"/>
        <v>01676</v>
      </c>
      <c r="M1677" s="47" t="str">
        <f t="shared" si="462"/>
        <v>17 de diciembre de 2018</v>
      </c>
      <c r="N1677" s="323">
        <f t="shared" si="463"/>
        <v>17</v>
      </c>
      <c r="O1677" s="25">
        <f t="shared" si="464"/>
        <v>43435</v>
      </c>
      <c r="P1677" s="5" t="str">
        <f t="shared" si="465"/>
        <v>1.120,00</v>
      </c>
      <c r="Q1677" s="4" t="str">
        <f t="shared" si="466"/>
        <v>Mil Ciento Veinte Bolívares con 00/100</v>
      </c>
    </row>
    <row r="1678" spans="1:17" x14ac:dyDescent="0.25">
      <c r="A1678" s="1">
        <f t="shared" si="452"/>
        <v>1677</v>
      </c>
      <c r="C1678" s="8" t="s">
        <v>17</v>
      </c>
      <c r="D1678" s="2">
        <v>43451</v>
      </c>
      <c r="E1678" s="3">
        <v>320</v>
      </c>
      <c r="F1678" t="s">
        <v>206</v>
      </c>
      <c r="G1678" t="s">
        <v>207</v>
      </c>
      <c r="H1678" t="s">
        <v>208</v>
      </c>
      <c r="I1678" s="6" t="s">
        <v>848</v>
      </c>
      <c r="J1678" s="61" t="s">
        <v>22</v>
      </c>
      <c r="L1678" s="5" t="str">
        <f t="shared" si="461"/>
        <v>01677</v>
      </c>
      <c r="M1678" s="47" t="str">
        <f t="shared" si="462"/>
        <v>17 de diciembre de 2018</v>
      </c>
      <c r="N1678" s="323">
        <f t="shared" si="463"/>
        <v>17</v>
      </c>
      <c r="O1678" s="25">
        <f t="shared" si="464"/>
        <v>43435</v>
      </c>
      <c r="P1678" s="5" t="str">
        <f t="shared" si="465"/>
        <v>320,00</v>
      </c>
      <c r="Q1678" s="4" t="str">
        <f t="shared" si="466"/>
        <v>Trescientos Veinte Bolívares con 00/100</v>
      </c>
    </row>
    <row r="1679" spans="1:17" x14ac:dyDescent="0.25">
      <c r="A1679" s="1">
        <f t="shared" si="452"/>
        <v>1678</v>
      </c>
      <c r="C1679" s="8" t="s">
        <v>17</v>
      </c>
      <c r="D1679" s="2">
        <v>43452</v>
      </c>
      <c r="E1679" s="3">
        <v>1000</v>
      </c>
      <c r="F1679" t="s">
        <v>771</v>
      </c>
      <c r="G1679" t="s">
        <v>772</v>
      </c>
      <c r="H1679" t="s">
        <v>773</v>
      </c>
      <c r="I1679" s="6" t="s">
        <v>861</v>
      </c>
      <c r="J1679" s="61" t="s">
        <v>22</v>
      </c>
      <c r="L1679" s="5" t="str">
        <f t="shared" si="461"/>
        <v>01678</v>
      </c>
      <c r="M1679" s="47" t="str">
        <f t="shared" si="462"/>
        <v>18 de diciembre de 2018</v>
      </c>
      <c r="N1679" s="323">
        <f t="shared" si="463"/>
        <v>18</v>
      </c>
      <c r="O1679" s="25">
        <f t="shared" si="464"/>
        <v>43435</v>
      </c>
      <c r="P1679" s="5" t="str">
        <f t="shared" si="465"/>
        <v>1.000,00</v>
      </c>
      <c r="Q1679" s="4" t="str">
        <f t="shared" si="466"/>
        <v>Mil Bolívares con 00/100</v>
      </c>
    </row>
    <row r="1680" spans="1:17" x14ac:dyDescent="0.25">
      <c r="A1680" s="1">
        <f t="shared" si="452"/>
        <v>1679</v>
      </c>
      <c r="C1680" s="8" t="s">
        <v>17</v>
      </c>
      <c r="D1680" s="2">
        <v>43452</v>
      </c>
      <c r="E1680" s="3">
        <v>1950</v>
      </c>
      <c r="F1680" t="s">
        <v>114</v>
      </c>
      <c r="G1680" t="s">
        <v>115</v>
      </c>
      <c r="H1680" t="s">
        <v>105</v>
      </c>
      <c r="I1680" s="6" t="s">
        <v>875</v>
      </c>
      <c r="J1680" s="61" t="s">
        <v>22</v>
      </c>
      <c r="L1680" s="5" t="str">
        <f t="shared" si="461"/>
        <v>01679</v>
      </c>
      <c r="M1680" s="47" t="str">
        <f t="shared" si="462"/>
        <v>18 de diciembre de 2018</v>
      </c>
      <c r="N1680" s="323">
        <f t="shared" si="463"/>
        <v>18</v>
      </c>
      <c r="O1680" s="25">
        <f t="shared" si="464"/>
        <v>43435</v>
      </c>
      <c r="P1680" s="5" t="str">
        <f t="shared" si="465"/>
        <v>1.950,00</v>
      </c>
      <c r="Q1680" s="4" t="str">
        <f t="shared" si="466"/>
        <v>Mil Novecientos Cincuenta Bolívares con 00/100</v>
      </c>
    </row>
    <row r="1681" spans="1:17" x14ac:dyDescent="0.25">
      <c r="A1681" s="1">
        <f t="shared" si="452"/>
        <v>1680</v>
      </c>
      <c r="C1681" s="85" t="s">
        <v>17</v>
      </c>
      <c r="D1681" s="2">
        <v>43453</v>
      </c>
      <c r="E1681" s="3">
        <v>980</v>
      </c>
      <c r="F1681" t="s">
        <v>40</v>
      </c>
      <c r="G1681" s="18" t="s">
        <v>58</v>
      </c>
      <c r="H1681" t="s">
        <v>42</v>
      </c>
      <c r="I1681" s="6" t="s">
        <v>876</v>
      </c>
      <c r="J1681" s="61" t="s">
        <v>22</v>
      </c>
      <c r="L1681" s="5" t="str">
        <f t="shared" si="461"/>
        <v>01680</v>
      </c>
      <c r="M1681" s="47" t="str">
        <f t="shared" si="462"/>
        <v>19 de diciembre de 2018</v>
      </c>
      <c r="N1681" s="323">
        <f t="shared" si="463"/>
        <v>19</v>
      </c>
      <c r="O1681" s="25">
        <f t="shared" si="464"/>
        <v>43435</v>
      </c>
      <c r="P1681" s="5" t="str">
        <f t="shared" si="465"/>
        <v>980,00</v>
      </c>
      <c r="Q1681" s="4" t="str">
        <f t="shared" si="466"/>
        <v>Novecientos Ochenta Bolívares con 00/100</v>
      </c>
    </row>
    <row r="1682" spans="1:17" x14ac:dyDescent="0.25">
      <c r="A1682" s="1">
        <f t="shared" si="452"/>
        <v>1681</v>
      </c>
      <c r="C1682" s="8" t="s">
        <v>17</v>
      </c>
      <c r="D1682" s="2">
        <v>43456</v>
      </c>
      <c r="E1682" s="3">
        <v>800</v>
      </c>
      <c r="F1682" t="s">
        <v>185</v>
      </c>
      <c r="G1682" t="s">
        <v>186</v>
      </c>
      <c r="H1682" t="s">
        <v>187</v>
      </c>
      <c r="I1682" s="6" t="s">
        <v>861</v>
      </c>
      <c r="J1682" s="61" t="s">
        <v>22</v>
      </c>
      <c r="L1682" s="5" t="str">
        <f t="shared" si="461"/>
        <v>01681</v>
      </c>
      <c r="M1682" s="47" t="str">
        <f t="shared" si="462"/>
        <v>22 de diciembre de 2018</v>
      </c>
      <c r="N1682" s="323">
        <f t="shared" si="463"/>
        <v>22</v>
      </c>
      <c r="O1682" s="25">
        <f t="shared" si="464"/>
        <v>43435</v>
      </c>
      <c r="P1682" s="5" t="str">
        <f t="shared" si="465"/>
        <v>800,00</v>
      </c>
      <c r="Q1682" s="4" t="str">
        <f t="shared" si="466"/>
        <v>Ochocientos Bolívares con 00/100</v>
      </c>
    </row>
    <row r="1683" spans="1:17" x14ac:dyDescent="0.25">
      <c r="A1683" s="1">
        <f t="shared" si="452"/>
        <v>1682</v>
      </c>
      <c r="C1683" s="8" t="s">
        <v>17</v>
      </c>
      <c r="D1683" s="2">
        <v>43457</v>
      </c>
      <c r="E1683" s="3">
        <v>480</v>
      </c>
      <c r="F1683" t="s">
        <v>138</v>
      </c>
      <c r="G1683" t="s">
        <v>139</v>
      </c>
      <c r="H1683" t="s">
        <v>140</v>
      </c>
      <c r="I1683" s="6" t="s">
        <v>863</v>
      </c>
      <c r="J1683" s="61" t="s">
        <v>22</v>
      </c>
      <c r="L1683" s="5" t="str">
        <f t="shared" si="461"/>
        <v>01682</v>
      </c>
      <c r="M1683" s="47" t="str">
        <f t="shared" si="462"/>
        <v>23 de diciembre de 2018</v>
      </c>
      <c r="N1683" s="323">
        <f t="shared" si="463"/>
        <v>23</v>
      </c>
      <c r="O1683" s="25">
        <f t="shared" si="464"/>
        <v>43435</v>
      </c>
      <c r="P1683" s="5" t="str">
        <f t="shared" si="465"/>
        <v>480,00</v>
      </c>
      <c r="Q1683" s="4" t="str">
        <f t="shared" si="466"/>
        <v>Cuatrocientos Ochenta Bolívares con 00/100</v>
      </c>
    </row>
    <row r="1684" spans="1:17" x14ac:dyDescent="0.25">
      <c r="A1684" s="1">
        <f t="shared" si="452"/>
        <v>1683</v>
      </c>
      <c r="C1684" s="85" t="s">
        <v>17</v>
      </c>
      <c r="D1684" s="2">
        <v>43459</v>
      </c>
      <c r="E1684" s="3">
        <v>1450</v>
      </c>
      <c r="F1684" t="s">
        <v>479</v>
      </c>
      <c r="G1684" s="18" t="s">
        <v>58</v>
      </c>
      <c r="H1684" t="s">
        <v>481</v>
      </c>
      <c r="I1684" s="6" t="s">
        <v>877</v>
      </c>
      <c r="J1684" s="61" t="s">
        <v>22</v>
      </c>
      <c r="L1684" s="5" t="str">
        <f t="shared" si="461"/>
        <v>01683</v>
      </c>
      <c r="M1684" s="47" t="str">
        <f t="shared" si="462"/>
        <v>25 de diciembre de 2018</v>
      </c>
      <c r="N1684" s="323">
        <f t="shared" si="463"/>
        <v>25</v>
      </c>
      <c r="O1684" s="25">
        <f t="shared" si="464"/>
        <v>43435</v>
      </c>
      <c r="P1684" s="5" t="str">
        <f t="shared" si="465"/>
        <v>1.450,00</v>
      </c>
      <c r="Q1684" s="4" t="str">
        <f t="shared" si="466"/>
        <v>Mil Cuatrocientos Cincuenta Bolívares con 00/100</v>
      </c>
    </row>
    <row r="1685" spans="1:17" x14ac:dyDescent="0.25">
      <c r="A1685" s="1">
        <f t="shared" si="452"/>
        <v>1684</v>
      </c>
      <c r="C1685" s="8" t="s">
        <v>17</v>
      </c>
      <c r="D1685" s="2">
        <v>43459</v>
      </c>
      <c r="E1685" s="3">
        <v>500</v>
      </c>
      <c r="F1685" t="s">
        <v>412</v>
      </c>
      <c r="G1685" t="s">
        <v>413</v>
      </c>
      <c r="H1685" t="s">
        <v>414</v>
      </c>
      <c r="I1685" s="6" t="s">
        <v>878</v>
      </c>
      <c r="J1685" s="61" t="s">
        <v>22</v>
      </c>
      <c r="L1685" s="5" t="str">
        <f t="shared" si="461"/>
        <v>01684</v>
      </c>
      <c r="M1685" s="47" t="str">
        <f t="shared" si="462"/>
        <v>25 de diciembre de 2018</v>
      </c>
      <c r="N1685" s="323">
        <f t="shared" si="463"/>
        <v>25</v>
      </c>
      <c r="O1685" s="25">
        <f t="shared" si="464"/>
        <v>43435</v>
      </c>
      <c r="P1685" s="5" t="str">
        <f t="shared" si="465"/>
        <v>500,00</v>
      </c>
      <c r="Q1685" s="4" t="str">
        <f t="shared" si="466"/>
        <v>Quinientos Bolívares con 00/100</v>
      </c>
    </row>
    <row r="1686" spans="1:17" x14ac:dyDescent="0.25">
      <c r="A1686" s="1">
        <f t="shared" si="452"/>
        <v>1685</v>
      </c>
      <c r="C1686" s="85" t="s">
        <v>17</v>
      </c>
      <c r="D1686" s="2">
        <v>43460</v>
      </c>
      <c r="E1686" s="3">
        <v>800</v>
      </c>
      <c r="F1686" s="20" t="s">
        <v>57</v>
      </c>
      <c r="G1686" s="18" t="s">
        <v>58</v>
      </c>
      <c r="H1686" s="21" t="s">
        <v>59</v>
      </c>
      <c r="I1686" s="6" t="s">
        <v>861</v>
      </c>
      <c r="J1686" s="61" t="s">
        <v>22</v>
      </c>
      <c r="K1686" s="22"/>
      <c r="L1686" s="5" t="str">
        <f t="shared" ref="L1686:L1695" si="467">IF(ISBLANK(A1686),"",TEXT(A1686,"00000"))</f>
        <v>01685</v>
      </c>
      <c r="M1686" s="47" t="str">
        <f t="shared" ref="M1686:M1695" si="468">IF(ISBLANK(D1686),"",TEXT(D1686,"dd")&amp;" de "&amp;TEXT(D1686,"mmmm")&amp;" de "&amp;TEXT(YEAR(D1686),"0"))</f>
        <v>26 de diciembre de 2018</v>
      </c>
      <c r="N1686" s="323">
        <f t="shared" ref="N1686:N1695" si="469">DAY(D1686)</f>
        <v>26</v>
      </c>
      <c r="O1686" s="25">
        <f t="shared" ref="O1686:O1695" si="470">DATE(YEAR(D1686),MONTH(D1686),1)</f>
        <v>43435</v>
      </c>
      <c r="P1686" s="5" t="str">
        <f t="shared" ref="P1686:P1691" si="471">TEXT(E1686,"#.##0,00")</f>
        <v>800,00</v>
      </c>
      <c r="Q1686" s="4" t="str">
        <f t="shared" ref="Q1686:Q1691" si="472">CONVERTIRNUM(E1686)</f>
        <v>Ochocientos Bolívares con 00/100</v>
      </c>
    </row>
    <row r="1687" spans="1:17" x14ac:dyDescent="0.25">
      <c r="A1687" s="1">
        <f t="shared" si="452"/>
        <v>1686</v>
      </c>
      <c r="C1687" s="8" t="s">
        <v>17</v>
      </c>
      <c r="D1687" s="2">
        <v>43460</v>
      </c>
      <c r="E1687" s="3">
        <v>1000</v>
      </c>
      <c r="F1687" t="s">
        <v>32</v>
      </c>
      <c r="G1687" t="s">
        <v>33</v>
      </c>
      <c r="H1687" t="s">
        <v>34</v>
      </c>
      <c r="I1687" s="161" t="s">
        <v>873</v>
      </c>
      <c r="J1687" s="61" t="s">
        <v>22</v>
      </c>
      <c r="L1687" s="5" t="str">
        <f t="shared" si="467"/>
        <v>01686</v>
      </c>
      <c r="M1687" s="47" t="str">
        <f t="shared" si="468"/>
        <v>26 de diciembre de 2018</v>
      </c>
      <c r="N1687" s="323">
        <f t="shared" si="469"/>
        <v>26</v>
      </c>
      <c r="O1687" s="25">
        <f t="shared" si="470"/>
        <v>43435</v>
      </c>
      <c r="P1687" s="5" t="str">
        <f t="shared" si="471"/>
        <v>1.000,00</v>
      </c>
      <c r="Q1687" s="4" t="str">
        <f t="shared" si="472"/>
        <v>Mil Bolívares con 00/100</v>
      </c>
    </row>
    <row r="1688" spans="1:17" x14ac:dyDescent="0.25">
      <c r="A1688" s="1">
        <f t="shared" si="452"/>
        <v>1687</v>
      </c>
      <c r="C1688" s="8" t="s">
        <v>17</v>
      </c>
      <c r="D1688" s="2">
        <v>43462</v>
      </c>
      <c r="E1688" s="3">
        <v>800</v>
      </c>
      <c r="F1688" t="s">
        <v>122</v>
      </c>
      <c r="G1688" t="s">
        <v>123</v>
      </c>
      <c r="H1688" t="s">
        <v>124</v>
      </c>
      <c r="I1688" s="6" t="s">
        <v>861</v>
      </c>
      <c r="J1688" s="61" t="s">
        <v>22</v>
      </c>
      <c r="L1688" s="5" t="str">
        <f t="shared" si="467"/>
        <v>01687</v>
      </c>
      <c r="M1688" s="47" t="str">
        <f t="shared" si="468"/>
        <v>28 de diciembre de 2018</v>
      </c>
      <c r="N1688" s="323">
        <f t="shared" si="469"/>
        <v>28</v>
      </c>
      <c r="O1688" s="25">
        <f t="shared" si="470"/>
        <v>43435</v>
      </c>
      <c r="P1688" s="5" t="str">
        <f t="shared" si="471"/>
        <v>800,00</v>
      </c>
      <c r="Q1688" s="4" t="str">
        <f t="shared" si="472"/>
        <v>Ochocientos Bolívares con 00/100</v>
      </c>
    </row>
    <row r="1689" spans="1:17" x14ac:dyDescent="0.25">
      <c r="A1689" s="1">
        <f t="shared" si="452"/>
        <v>1688</v>
      </c>
      <c r="C1689" s="8" t="s">
        <v>17</v>
      </c>
      <c r="D1689" s="2">
        <v>43463</v>
      </c>
      <c r="E1689" s="3">
        <v>1600</v>
      </c>
      <c r="F1689" t="s">
        <v>287</v>
      </c>
      <c r="G1689" t="s">
        <v>288</v>
      </c>
      <c r="H1689" t="s">
        <v>289</v>
      </c>
      <c r="I1689" s="6" t="s">
        <v>879</v>
      </c>
      <c r="J1689" s="61" t="s">
        <v>22</v>
      </c>
      <c r="L1689" s="5" t="str">
        <f t="shared" si="467"/>
        <v>01688</v>
      </c>
      <c r="M1689" s="47" t="str">
        <f t="shared" si="468"/>
        <v>29 de diciembre de 2018</v>
      </c>
      <c r="N1689" s="323">
        <f t="shared" si="469"/>
        <v>29</v>
      </c>
      <c r="O1689" s="25">
        <f t="shared" si="470"/>
        <v>43435</v>
      </c>
      <c r="P1689" s="5" t="str">
        <f t="shared" si="471"/>
        <v>1.600,00</v>
      </c>
      <c r="Q1689" s="4" t="str">
        <f t="shared" si="472"/>
        <v>Mil Seiscientos Bolívares con 00/100</v>
      </c>
    </row>
    <row r="1690" spans="1:17" x14ac:dyDescent="0.25">
      <c r="A1690" s="1">
        <f t="shared" si="452"/>
        <v>1689</v>
      </c>
      <c r="C1690" s="8" t="s">
        <v>17</v>
      </c>
      <c r="D1690" s="2">
        <v>43467</v>
      </c>
      <c r="E1690" s="3">
        <v>1200</v>
      </c>
      <c r="F1690" t="s">
        <v>144</v>
      </c>
      <c r="G1690" t="s">
        <v>661</v>
      </c>
      <c r="H1690" t="s">
        <v>146</v>
      </c>
      <c r="I1690" s="6" t="s">
        <v>851</v>
      </c>
      <c r="J1690" s="61" t="s">
        <v>22</v>
      </c>
      <c r="L1690" s="5" t="str">
        <f t="shared" si="467"/>
        <v>01689</v>
      </c>
      <c r="M1690" s="47" t="str">
        <f t="shared" si="468"/>
        <v>02 de enero de 2019</v>
      </c>
      <c r="N1690" s="323">
        <f t="shared" si="469"/>
        <v>2</v>
      </c>
      <c r="O1690" s="25">
        <f t="shared" si="470"/>
        <v>43466</v>
      </c>
      <c r="P1690" s="5" t="str">
        <f t="shared" si="471"/>
        <v>1.200,00</v>
      </c>
      <c r="Q1690" s="4" t="str">
        <f t="shared" si="472"/>
        <v>Mil Doscientos Bolívares con 00/100</v>
      </c>
    </row>
    <row r="1691" spans="1:17" x14ac:dyDescent="0.25">
      <c r="A1691" s="1">
        <f t="shared" si="452"/>
        <v>1690</v>
      </c>
      <c r="C1691" s="8" t="s">
        <v>17</v>
      </c>
      <c r="D1691" s="2">
        <v>43468</v>
      </c>
      <c r="E1691" s="3">
        <v>400</v>
      </c>
      <c r="F1691" t="s">
        <v>401</v>
      </c>
      <c r="G1691" t="s">
        <v>402</v>
      </c>
      <c r="H1691" t="s">
        <v>403</v>
      </c>
      <c r="I1691" s="6" t="s">
        <v>878</v>
      </c>
      <c r="J1691" s="61" t="s">
        <v>22</v>
      </c>
      <c r="L1691" s="5" t="str">
        <f t="shared" si="467"/>
        <v>01690</v>
      </c>
      <c r="M1691" s="47" t="str">
        <f t="shared" si="468"/>
        <v>03 de enero de 2019</v>
      </c>
      <c r="N1691" s="323">
        <f t="shared" si="469"/>
        <v>3</v>
      </c>
      <c r="O1691" s="25">
        <f t="shared" si="470"/>
        <v>43466</v>
      </c>
      <c r="P1691" s="5" t="str">
        <f t="shared" si="471"/>
        <v>400,00</v>
      </c>
      <c r="Q1691" s="4" t="str">
        <f t="shared" si="472"/>
        <v>Cuatrocientos Bolívares con 00/100</v>
      </c>
    </row>
    <row r="1692" spans="1:17" x14ac:dyDescent="0.25">
      <c r="A1692" s="1">
        <f t="shared" si="452"/>
        <v>1691</v>
      </c>
      <c r="C1692" s="8" t="s">
        <v>17</v>
      </c>
      <c r="D1692" s="2">
        <v>43468</v>
      </c>
      <c r="E1692" s="3">
        <v>800</v>
      </c>
      <c r="F1692" t="s">
        <v>162</v>
      </c>
      <c r="G1692" t="s">
        <v>163</v>
      </c>
      <c r="H1692" t="s">
        <v>164</v>
      </c>
      <c r="I1692" s="6" t="s">
        <v>880</v>
      </c>
      <c r="J1692" s="61" t="s">
        <v>22</v>
      </c>
      <c r="L1692" s="5" t="str">
        <f t="shared" si="467"/>
        <v>01691</v>
      </c>
      <c r="M1692" s="47" t="str">
        <f t="shared" si="468"/>
        <v>03 de enero de 2019</v>
      </c>
      <c r="N1692" s="323">
        <f t="shared" si="469"/>
        <v>3</v>
      </c>
      <c r="O1692" s="25">
        <f t="shared" si="470"/>
        <v>43466</v>
      </c>
      <c r="P1692" s="5" t="str">
        <f>TEXT(E1692,"#.##0,00")</f>
        <v>800,00</v>
      </c>
      <c r="Q1692" s="4" t="str">
        <f>CONVERTIRNUM(E1692)</f>
        <v>Ochocientos Bolívares con 00/100</v>
      </c>
    </row>
    <row r="1693" spans="1:17" x14ac:dyDescent="0.25">
      <c r="A1693" s="1">
        <f t="shared" si="452"/>
        <v>1692</v>
      </c>
      <c r="C1693" s="85" t="s">
        <v>17</v>
      </c>
      <c r="D1693" s="2">
        <v>43468</v>
      </c>
      <c r="E1693" s="3">
        <v>1600</v>
      </c>
      <c r="F1693" t="s">
        <v>319</v>
      </c>
      <c r="G1693" s="18" t="s">
        <v>58</v>
      </c>
      <c r="H1693" t="s">
        <v>320</v>
      </c>
      <c r="I1693" s="6" t="s">
        <v>879</v>
      </c>
      <c r="J1693" s="61" t="s">
        <v>22</v>
      </c>
      <c r="L1693" s="5" t="str">
        <f t="shared" si="467"/>
        <v>01692</v>
      </c>
      <c r="M1693" s="47" t="str">
        <f t="shared" si="468"/>
        <v>03 de enero de 2019</v>
      </c>
      <c r="N1693" s="323">
        <f t="shared" si="469"/>
        <v>3</v>
      </c>
      <c r="O1693" s="25">
        <f t="shared" si="470"/>
        <v>43466</v>
      </c>
      <c r="P1693" s="5" t="str">
        <f t="shared" ref="P1693:P1695" si="473">TEXT(E1693,"#.##0,00")</f>
        <v>1.600,00</v>
      </c>
      <c r="Q1693" s="4" t="str">
        <f t="shared" ref="Q1693:Q1695" si="474">CONVERTIRNUM(E1693)</f>
        <v>Mil Seiscientos Bolívares con 00/100</v>
      </c>
    </row>
    <row r="1694" spans="1:17" x14ac:dyDescent="0.25">
      <c r="A1694" s="1">
        <f>A1693+1</f>
        <v>1693</v>
      </c>
      <c r="C1694" s="8" t="s">
        <v>17</v>
      </c>
      <c r="D1694" s="2">
        <v>43470</v>
      </c>
      <c r="E1694" s="3">
        <v>1800</v>
      </c>
      <c r="F1694" t="s">
        <v>36</v>
      </c>
      <c r="G1694" t="s">
        <v>37</v>
      </c>
      <c r="H1694" t="s">
        <v>38</v>
      </c>
      <c r="I1694" s="6" t="s">
        <v>881</v>
      </c>
      <c r="J1694" s="61" t="s">
        <v>22</v>
      </c>
      <c r="L1694" s="5" t="str">
        <f t="shared" si="467"/>
        <v>01693</v>
      </c>
      <c r="M1694" s="47" t="str">
        <f t="shared" si="468"/>
        <v>05 de enero de 2019</v>
      </c>
      <c r="N1694" s="323">
        <f t="shared" si="469"/>
        <v>5</v>
      </c>
      <c r="O1694" s="25">
        <f t="shared" si="470"/>
        <v>43466</v>
      </c>
      <c r="P1694" s="5" t="str">
        <f t="shared" si="473"/>
        <v>1.800,00</v>
      </c>
      <c r="Q1694" s="4" t="str">
        <f t="shared" si="474"/>
        <v>Mil Ochocientos Bolívares con 00/100</v>
      </c>
    </row>
    <row r="1695" spans="1:17" x14ac:dyDescent="0.25">
      <c r="A1695" s="1">
        <f t="shared" ref="A1695:A1706" si="475">A1694+1</f>
        <v>1694</v>
      </c>
      <c r="C1695" s="8" t="s">
        <v>17</v>
      </c>
      <c r="D1695" s="2">
        <v>43471</v>
      </c>
      <c r="E1695" s="3">
        <v>770</v>
      </c>
      <c r="F1695" t="s">
        <v>248</v>
      </c>
      <c r="G1695" t="s">
        <v>249</v>
      </c>
      <c r="H1695" t="s">
        <v>250</v>
      </c>
      <c r="I1695" s="6" t="s">
        <v>869</v>
      </c>
      <c r="J1695" s="61" t="s">
        <v>22</v>
      </c>
      <c r="L1695" s="5" t="str">
        <f t="shared" si="467"/>
        <v>01694</v>
      </c>
      <c r="M1695" s="47" t="str">
        <f t="shared" si="468"/>
        <v>06 de enero de 2019</v>
      </c>
      <c r="N1695" s="323">
        <f t="shared" si="469"/>
        <v>6</v>
      </c>
      <c r="O1695" s="25">
        <f t="shared" si="470"/>
        <v>43466</v>
      </c>
      <c r="P1695" s="5" t="str">
        <f t="shared" si="473"/>
        <v>770,00</v>
      </c>
      <c r="Q1695" s="4" t="str">
        <f t="shared" si="474"/>
        <v>Setecientos Setenta Bolívares con 00/100</v>
      </c>
    </row>
    <row r="1696" spans="1:17" x14ac:dyDescent="0.25">
      <c r="A1696" s="1">
        <f t="shared" si="475"/>
        <v>1695</v>
      </c>
      <c r="C1696" s="8" t="s">
        <v>17</v>
      </c>
      <c r="D1696" s="2">
        <v>43471</v>
      </c>
      <c r="E1696" s="3">
        <v>800</v>
      </c>
      <c r="F1696" t="s">
        <v>248</v>
      </c>
      <c r="G1696" t="s">
        <v>249</v>
      </c>
      <c r="H1696" t="s">
        <v>250</v>
      </c>
      <c r="I1696" s="6" t="s">
        <v>881</v>
      </c>
      <c r="J1696" s="61" t="s">
        <v>22</v>
      </c>
      <c r="L1696" s="5" t="str">
        <f t="shared" ref="L1696:L1713" si="476">IF(ISBLANK(A1696),"",TEXT(A1696,"00000"))</f>
        <v>01695</v>
      </c>
      <c r="M1696" s="47" t="str">
        <f t="shared" ref="M1696:M1713" si="477">IF(ISBLANK(D1696),"",TEXT(D1696,"dd")&amp;" de "&amp;TEXT(D1696,"mmmm")&amp;" de "&amp;TEXT(YEAR(D1696),"0"))</f>
        <v>06 de enero de 2019</v>
      </c>
      <c r="N1696" s="323">
        <f t="shared" ref="N1696:N1719" si="478">DAY(D1696)</f>
        <v>6</v>
      </c>
      <c r="O1696" s="25">
        <f t="shared" ref="O1696:O1713" si="479">DATE(YEAR(D1696),MONTH(D1696),1)</f>
        <v>43466</v>
      </c>
      <c r="P1696" s="5" t="str">
        <f t="shared" ref="P1696:P1719" si="480">TEXT(E1696,"#.##0,00")</f>
        <v>800,00</v>
      </c>
      <c r="Q1696" s="4" t="str">
        <f t="shared" ref="Q1696:Q1703" si="481">CONVERTIRNUM(E1696)</f>
        <v>Ochocientos Bolívares con 00/100</v>
      </c>
    </row>
    <row r="1697" spans="1:17" x14ac:dyDescent="0.25">
      <c r="A1697" s="1">
        <f t="shared" si="475"/>
        <v>1696</v>
      </c>
      <c r="C1697" s="8" t="s">
        <v>17</v>
      </c>
      <c r="D1697" s="2">
        <v>43472</v>
      </c>
      <c r="E1697" s="3">
        <v>800</v>
      </c>
      <c r="F1697" t="s">
        <v>713</v>
      </c>
      <c r="G1697" t="s">
        <v>714</v>
      </c>
      <c r="H1697" t="s">
        <v>154</v>
      </c>
      <c r="I1697" s="6" t="s">
        <v>881</v>
      </c>
      <c r="J1697" s="61" t="s">
        <v>22</v>
      </c>
      <c r="L1697" s="5" t="str">
        <f t="shared" si="476"/>
        <v>01696</v>
      </c>
      <c r="M1697" s="47" t="str">
        <f t="shared" si="477"/>
        <v>07 de enero de 2019</v>
      </c>
      <c r="N1697" s="323">
        <f t="shared" si="478"/>
        <v>7</v>
      </c>
      <c r="O1697" s="25">
        <f t="shared" si="479"/>
        <v>43466</v>
      </c>
      <c r="P1697" s="5" t="str">
        <f t="shared" si="480"/>
        <v>800,00</v>
      </c>
      <c r="Q1697" s="4" t="str">
        <f t="shared" si="481"/>
        <v>Ochocientos Bolívares con 00/100</v>
      </c>
    </row>
    <row r="1698" spans="1:17" x14ac:dyDescent="0.25">
      <c r="A1698" s="1">
        <f t="shared" si="475"/>
        <v>1697</v>
      </c>
      <c r="C1698" s="8" t="s">
        <v>17</v>
      </c>
      <c r="D1698" s="2">
        <v>43472</v>
      </c>
      <c r="E1698" s="3">
        <v>320</v>
      </c>
      <c r="F1698" t="s">
        <v>264</v>
      </c>
      <c r="G1698" t="s">
        <v>265</v>
      </c>
      <c r="H1698" t="s">
        <v>266</v>
      </c>
      <c r="I1698" s="6" t="s">
        <v>848</v>
      </c>
      <c r="J1698" s="61" t="s">
        <v>22</v>
      </c>
      <c r="L1698" s="5" t="str">
        <f t="shared" si="476"/>
        <v>01697</v>
      </c>
      <c r="M1698" s="47" t="str">
        <f t="shared" si="477"/>
        <v>07 de enero de 2019</v>
      </c>
      <c r="N1698" s="323">
        <f t="shared" si="478"/>
        <v>7</v>
      </c>
      <c r="O1698" s="25">
        <f t="shared" si="479"/>
        <v>43466</v>
      </c>
      <c r="P1698" s="5" t="str">
        <f t="shared" si="480"/>
        <v>320,00</v>
      </c>
      <c r="Q1698" s="4" t="str">
        <f t="shared" si="481"/>
        <v>Trescientos Veinte Bolívares con 00/100</v>
      </c>
    </row>
    <row r="1699" spans="1:17" x14ac:dyDescent="0.25">
      <c r="A1699" s="1">
        <f t="shared" si="475"/>
        <v>1698</v>
      </c>
      <c r="C1699" s="8" t="s">
        <v>17</v>
      </c>
      <c r="D1699" s="2">
        <v>43472</v>
      </c>
      <c r="E1699" s="3">
        <v>800</v>
      </c>
      <c r="F1699" t="s">
        <v>264</v>
      </c>
      <c r="G1699" t="s">
        <v>265</v>
      </c>
      <c r="H1699" t="s">
        <v>266</v>
      </c>
      <c r="I1699" s="6" t="s">
        <v>861</v>
      </c>
      <c r="J1699" s="61" t="s">
        <v>22</v>
      </c>
      <c r="L1699" s="5" t="str">
        <f t="shared" si="476"/>
        <v>01698</v>
      </c>
      <c r="M1699" s="47" t="str">
        <f t="shared" si="477"/>
        <v>07 de enero de 2019</v>
      </c>
      <c r="N1699" s="323">
        <f t="shared" si="478"/>
        <v>7</v>
      </c>
      <c r="O1699" s="25">
        <f t="shared" si="479"/>
        <v>43466</v>
      </c>
      <c r="P1699" s="5" t="str">
        <f t="shared" si="480"/>
        <v>800,00</v>
      </c>
      <c r="Q1699" s="4" t="str">
        <f t="shared" si="481"/>
        <v>Ochocientos Bolívares con 00/100</v>
      </c>
    </row>
    <row r="1700" spans="1:17" x14ac:dyDescent="0.25">
      <c r="A1700" s="1">
        <f t="shared" si="475"/>
        <v>1699</v>
      </c>
      <c r="C1700" s="8" t="s">
        <v>17</v>
      </c>
      <c r="D1700" s="2">
        <v>43472</v>
      </c>
      <c r="E1700" s="3">
        <v>800</v>
      </c>
      <c r="F1700" t="s">
        <v>118</v>
      </c>
      <c r="G1700" t="s">
        <v>119</v>
      </c>
      <c r="H1700" t="s">
        <v>120</v>
      </c>
      <c r="I1700" s="6" t="s">
        <v>861</v>
      </c>
      <c r="J1700" s="61" t="s">
        <v>22</v>
      </c>
      <c r="L1700" s="5" t="str">
        <f t="shared" si="476"/>
        <v>01699</v>
      </c>
      <c r="M1700" s="47" t="str">
        <f t="shared" si="477"/>
        <v>07 de enero de 2019</v>
      </c>
      <c r="N1700" s="323">
        <f t="shared" si="478"/>
        <v>7</v>
      </c>
      <c r="O1700" s="25">
        <f t="shared" si="479"/>
        <v>43466</v>
      </c>
      <c r="P1700" s="5" t="str">
        <f t="shared" si="480"/>
        <v>800,00</v>
      </c>
      <c r="Q1700" s="4" t="str">
        <f t="shared" si="481"/>
        <v>Ochocientos Bolívares con 00/100</v>
      </c>
    </row>
    <row r="1701" spans="1:17" x14ac:dyDescent="0.25">
      <c r="A1701" s="1">
        <f t="shared" si="475"/>
        <v>1700</v>
      </c>
      <c r="C1701" s="8" t="s">
        <v>17</v>
      </c>
      <c r="D1701" s="2">
        <v>43473</v>
      </c>
      <c r="E1701" s="3">
        <f>800-662.95+800</f>
        <v>937.05</v>
      </c>
      <c r="F1701" t="s">
        <v>18</v>
      </c>
      <c r="G1701" t="s">
        <v>19</v>
      </c>
      <c r="H1701" t="s">
        <v>20</v>
      </c>
      <c r="I1701" s="6" t="s">
        <v>882</v>
      </c>
      <c r="J1701" s="61" t="s">
        <v>22</v>
      </c>
      <c r="L1701" s="5" t="str">
        <f t="shared" si="476"/>
        <v>01700</v>
      </c>
      <c r="M1701" s="47" t="str">
        <f t="shared" si="477"/>
        <v>08 de enero de 2019</v>
      </c>
      <c r="N1701" s="323">
        <f t="shared" si="478"/>
        <v>8</v>
      </c>
      <c r="O1701" s="25">
        <f t="shared" si="479"/>
        <v>43466</v>
      </c>
      <c r="P1701" s="5" t="str">
        <f t="shared" si="480"/>
        <v>937,05</v>
      </c>
      <c r="Q1701" s="4" t="str">
        <f t="shared" si="481"/>
        <v>Novecientos Treinta y Siete Bolívares con 05/100</v>
      </c>
    </row>
    <row r="1702" spans="1:17" x14ac:dyDescent="0.25">
      <c r="A1702" s="1">
        <f t="shared" si="475"/>
        <v>1701</v>
      </c>
      <c r="C1702" s="8" t="s">
        <v>17</v>
      </c>
      <c r="D1702" s="2">
        <v>43473</v>
      </c>
      <c r="E1702" s="3">
        <v>800</v>
      </c>
      <c r="F1702" t="s">
        <v>107</v>
      </c>
      <c r="G1702" t="s">
        <v>108</v>
      </c>
      <c r="H1702" t="s">
        <v>109</v>
      </c>
      <c r="I1702" s="6" t="s">
        <v>881</v>
      </c>
      <c r="J1702" s="61" t="s">
        <v>22</v>
      </c>
      <c r="L1702" s="5" t="str">
        <f t="shared" si="476"/>
        <v>01701</v>
      </c>
      <c r="M1702" s="47" t="str">
        <f t="shared" si="477"/>
        <v>08 de enero de 2019</v>
      </c>
      <c r="N1702" s="323">
        <f t="shared" si="478"/>
        <v>8</v>
      </c>
      <c r="O1702" s="25">
        <f t="shared" si="479"/>
        <v>43466</v>
      </c>
      <c r="P1702" s="5" t="str">
        <f t="shared" si="480"/>
        <v>800,00</v>
      </c>
      <c r="Q1702" s="4" t="str">
        <f t="shared" si="481"/>
        <v>Ochocientos Bolívares con 00/100</v>
      </c>
    </row>
    <row r="1703" spans="1:17" x14ac:dyDescent="0.25">
      <c r="A1703" s="1">
        <f t="shared" si="475"/>
        <v>1702</v>
      </c>
      <c r="C1703" s="8" t="s">
        <v>17</v>
      </c>
      <c r="D1703" s="2">
        <v>43473</v>
      </c>
      <c r="E1703" s="3">
        <v>800</v>
      </c>
      <c r="F1703" t="s">
        <v>48</v>
      </c>
      <c r="G1703" t="s">
        <v>49</v>
      </c>
      <c r="H1703" t="s">
        <v>50</v>
      </c>
      <c r="I1703" s="6" t="s">
        <v>881</v>
      </c>
      <c r="J1703" s="61" t="s">
        <v>22</v>
      </c>
      <c r="L1703" s="5" t="str">
        <f t="shared" si="476"/>
        <v>01702</v>
      </c>
      <c r="M1703" s="47" t="str">
        <f t="shared" si="477"/>
        <v>08 de enero de 2019</v>
      </c>
      <c r="N1703" s="323">
        <f t="shared" si="478"/>
        <v>8</v>
      </c>
      <c r="O1703" s="25">
        <f t="shared" si="479"/>
        <v>43466</v>
      </c>
      <c r="P1703" s="5" t="str">
        <f t="shared" si="480"/>
        <v>800,00</v>
      </c>
      <c r="Q1703" s="4" t="str">
        <f t="shared" si="481"/>
        <v>Ochocientos Bolívares con 00/100</v>
      </c>
    </row>
    <row r="1704" spans="1:17" x14ac:dyDescent="0.25">
      <c r="A1704" s="1">
        <f t="shared" si="475"/>
        <v>1703</v>
      </c>
      <c r="C1704" s="8" t="s">
        <v>17</v>
      </c>
      <c r="D1704" s="2">
        <v>43473</v>
      </c>
      <c r="E1704" s="3">
        <v>1280</v>
      </c>
      <c r="F1704" t="s">
        <v>407</v>
      </c>
      <c r="G1704" t="s">
        <v>408</v>
      </c>
      <c r="H1704" t="s">
        <v>409</v>
      </c>
      <c r="I1704" s="6" t="s">
        <v>864</v>
      </c>
      <c r="J1704" s="61" t="s">
        <v>22</v>
      </c>
      <c r="L1704" s="5" t="str">
        <f t="shared" si="476"/>
        <v>01703</v>
      </c>
      <c r="M1704" s="47" t="str">
        <f t="shared" si="477"/>
        <v>08 de enero de 2019</v>
      </c>
      <c r="N1704" s="323">
        <f t="shared" si="478"/>
        <v>8</v>
      </c>
      <c r="O1704" s="25">
        <f t="shared" si="479"/>
        <v>43466</v>
      </c>
      <c r="P1704" s="5" t="str">
        <f t="shared" si="480"/>
        <v>1.280,00</v>
      </c>
      <c r="Q1704" s="4" t="str">
        <f>CONVERTIRNUM(E1704)</f>
        <v>Mil Doscientos Ochenta Bolívares con 00/100</v>
      </c>
    </row>
    <row r="1705" spans="1:17" x14ac:dyDescent="0.25">
      <c r="A1705" s="1">
        <f t="shared" si="475"/>
        <v>1704</v>
      </c>
      <c r="C1705" s="8" t="s">
        <v>17</v>
      </c>
      <c r="D1705" s="2">
        <v>43473</v>
      </c>
      <c r="E1705" s="3">
        <v>800</v>
      </c>
      <c r="F1705" t="s">
        <v>84</v>
      </c>
      <c r="G1705" t="s">
        <v>85</v>
      </c>
      <c r="H1705" t="s">
        <v>86</v>
      </c>
      <c r="I1705" s="6" t="s">
        <v>881</v>
      </c>
      <c r="J1705" s="61" t="s">
        <v>22</v>
      </c>
      <c r="L1705" s="5" t="str">
        <f t="shared" si="476"/>
        <v>01704</v>
      </c>
      <c r="M1705" s="47" t="str">
        <f t="shared" si="477"/>
        <v>08 de enero de 2019</v>
      </c>
      <c r="N1705" s="323">
        <f t="shared" si="478"/>
        <v>8</v>
      </c>
      <c r="O1705" s="25">
        <f t="shared" si="479"/>
        <v>43466</v>
      </c>
      <c r="P1705" s="5" t="str">
        <f t="shared" si="480"/>
        <v>800,00</v>
      </c>
      <c r="Q1705" s="4" t="str">
        <f t="shared" ref="Q1705:Q1719" si="482">CONVERTIRNUM(E1705)</f>
        <v>Ochocientos Bolívares con 00/100</v>
      </c>
    </row>
    <row r="1706" spans="1:17" x14ac:dyDescent="0.25">
      <c r="A1706" s="1">
        <f t="shared" si="475"/>
        <v>1705</v>
      </c>
      <c r="C1706" s="8" t="s">
        <v>17</v>
      </c>
      <c r="D1706" s="2">
        <v>43473</v>
      </c>
      <c r="E1706" s="3">
        <v>800</v>
      </c>
      <c r="F1706" t="s">
        <v>334</v>
      </c>
      <c r="G1706" t="s">
        <v>85</v>
      </c>
      <c r="H1706" t="s">
        <v>335</v>
      </c>
      <c r="I1706" s="6" t="s">
        <v>881</v>
      </c>
      <c r="J1706" s="61" t="s">
        <v>22</v>
      </c>
      <c r="L1706" s="5" t="str">
        <f t="shared" si="476"/>
        <v>01705</v>
      </c>
      <c r="M1706" s="47" t="str">
        <f t="shared" si="477"/>
        <v>08 de enero de 2019</v>
      </c>
      <c r="N1706" s="323">
        <f t="shared" si="478"/>
        <v>8</v>
      </c>
      <c r="O1706" s="25">
        <f t="shared" si="479"/>
        <v>43466</v>
      </c>
      <c r="P1706" s="5" t="str">
        <f t="shared" si="480"/>
        <v>800,00</v>
      </c>
      <c r="Q1706" s="4" t="str">
        <f t="shared" si="482"/>
        <v>Ochocientos Bolívares con 00/100</v>
      </c>
    </row>
    <row r="1707" spans="1:17" x14ac:dyDescent="0.25">
      <c r="A1707" s="1">
        <f>A1706+1</f>
        <v>1706</v>
      </c>
      <c r="C1707" s="8" t="s">
        <v>17</v>
      </c>
      <c r="D1707" s="2">
        <v>43474</v>
      </c>
      <c r="E1707" s="3">
        <v>800</v>
      </c>
      <c r="F1707" t="s">
        <v>70</v>
      </c>
      <c r="G1707" t="s">
        <v>71</v>
      </c>
      <c r="H1707" t="s">
        <v>72</v>
      </c>
      <c r="I1707" s="6" t="s">
        <v>881</v>
      </c>
      <c r="J1707" s="61" t="s">
        <v>22</v>
      </c>
      <c r="L1707" s="5" t="str">
        <f t="shared" si="476"/>
        <v>01706</v>
      </c>
      <c r="M1707" s="47" t="str">
        <f t="shared" si="477"/>
        <v>09 de enero de 2019</v>
      </c>
      <c r="N1707" s="323">
        <f t="shared" si="478"/>
        <v>9</v>
      </c>
      <c r="O1707" s="25">
        <f t="shared" si="479"/>
        <v>43466</v>
      </c>
      <c r="P1707" s="5" t="str">
        <f t="shared" si="480"/>
        <v>800,00</v>
      </c>
      <c r="Q1707" s="4" t="str">
        <f t="shared" si="482"/>
        <v>Ochocientos Bolívares con 00/100</v>
      </c>
    </row>
    <row r="1708" spans="1:17" x14ac:dyDescent="0.25">
      <c r="A1708" s="1">
        <f t="shared" ref="A1708:A1772" si="483">A1707+1</f>
        <v>1707</v>
      </c>
      <c r="C1708" s="8" t="s">
        <v>17</v>
      </c>
      <c r="D1708" s="2">
        <v>43475</v>
      </c>
      <c r="E1708" s="3">
        <v>800</v>
      </c>
      <c r="F1708" t="s">
        <v>483</v>
      </c>
      <c r="G1708" t="s">
        <v>484</v>
      </c>
      <c r="H1708" t="s">
        <v>485</v>
      </c>
      <c r="I1708" s="6" t="s">
        <v>881</v>
      </c>
      <c r="J1708" s="61" t="s">
        <v>22</v>
      </c>
      <c r="L1708" s="5" t="str">
        <f t="shared" si="476"/>
        <v>01707</v>
      </c>
      <c r="M1708" s="47" t="str">
        <f t="shared" si="477"/>
        <v>10 de enero de 2019</v>
      </c>
      <c r="N1708" s="323">
        <f t="shared" si="478"/>
        <v>10</v>
      </c>
      <c r="O1708" s="25">
        <f t="shared" si="479"/>
        <v>43466</v>
      </c>
      <c r="P1708" s="5" t="str">
        <f t="shared" si="480"/>
        <v>800,00</v>
      </c>
      <c r="Q1708" s="4" t="str">
        <f t="shared" si="482"/>
        <v>Ochocientos Bolívares con 00/100</v>
      </c>
    </row>
    <row r="1709" spans="1:17" x14ac:dyDescent="0.25">
      <c r="A1709" s="1">
        <f t="shared" si="483"/>
        <v>1708</v>
      </c>
      <c r="C1709" s="8" t="s">
        <v>17</v>
      </c>
      <c r="D1709" s="2">
        <v>43475</v>
      </c>
      <c r="E1709" s="3">
        <v>1600</v>
      </c>
      <c r="F1709" t="s">
        <v>785</v>
      </c>
      <c r="G1709" t="s">
        <v>786</v>
      </c>
      <c r="H1709" t="s">
        <v>719</v>
      </c>
      <c r="I1709" s="6" t="s">
        <v>883</v>
      </c>
      <c r="J1709" s="61" t="s">
        <v>22</v>
      </c>
      <c r="L1709" s="5" t="str">
        <f t="shared" si="476"/>
        <v>01708</v>
      </c>
      <c r="M1709" s="47" t="str">
        <f t="shared" si="477"/>
        <v>10 de enero de 2019</v>
      </c>
      <c r="N1709" s="323">
        <f t="shared" si="478"/>
        <v>10</v>
      </c>
      <c r="O1709" s="25">
        <f t="shared" si="479"/>
        <v>43466</v>
      </c>
      <c r="P1709" s="5" t="str">
        <f t="shared" si="480"/>
        <v>1.600,00</v>
      </c>
      <c r="Q1709" s="4" t="str">
        <f t="shared" si="482"/>
        <v>Mil Seiscientos Bolívares con 00/100</v>
      </c>
    </row>
    <row r="1710" spans="1:17" x14ac:dyDescent="0.25">
      <c r="A1710" s="1">
        <f t="shared" si="483"/>
        <v>1709</v>
      </c>
      <c r="C1710" s="8" t="s">
        <v>17</v>
      </c>
      <c r="D1710" s="2">
        <v>43475</v>
      </c>
      <c r="E1710" s="3">
        <v>1000</v>
      </c>
      <c r="F1710" t="s">
        <v>53</v>
      </c>
      <c r="G1710" t="s">
        <v>677</v>
      </c>
      <c r="H1710" t="s">
        <v>55</v>
      </c>
      <c r="I1710" s="6" t="s">
        <v>881</v>
      </c>
      <c r="J1710" s="61" t="s">
        <v>22</v>
      </c>
      <c r="L1710" s="5" t="str">
        <f t="shared" si="476"/>
        <v>01709</v>
      </c>
      <c r="M1710" s="47" t="str">
        <f t="shared" si="477"/>
        <v>10 de enero de 2019</v>
      </c>
      <c r="N1710" s="323">
        <f t="shared" si="478"/>
        <v>10</v>
      </c>
      <c r="O1710" s="25">
        <f t="shared" si="479"/>
        <v>43466</v>
      </c>
      <c r="P1710" s="5" t="str">
        <f t="shared" si="480"/>
        <v>1.000,00</v>
      </c>
      <c r="Q1710" s="4" t="str">
        <f t="shared" si="482"/>
        <v>Mil Bolívares con 00/100</v>
      </c>
    </row>
    <row r="1711" spans="1:17" x14ac:dyDescent="0.25">
      <c r="A1711" s="1">
        <f t="shared" si="483"/>
        <v>1710</v>
      </c>
      <c r="C1711" s="8" t="s">
        <v>17</v>
      </c>
      <c r="D1711" s="2">
        <v>43475</v>
      </c>
      <c r="E1711" s="3">
        <v>800</v>
      </c>
      <c r="F1711" t="s">
        <v>362</v>
      </c>
      <c r="G1711" t="s">
        <v>363</v>
      </c>
      <c r="H1711" t="s">
        <v>364</v>
      </c>
      <c r="I1711" s="6" t="s">
        <v>881</v>
      </c>
      <c r="J1711" s="61" t="s">
        <v>22</v>
      </c>
      <c r="L1711" s="5" t="str">
        <f t="shared" si="476"/>
        <v>01710</v>
      </c>
      <c r="M1711" s="47" t="str">
        <f t="shared" si="477"/>
        <v>10 de enero de 2019</v>
      </c>
      <c r="N1711" s="323">
        <f t="shared" si="478"/>
        <v>10</v>
      </c>
      <c r="O1711" s="25">
        <f t="shared" si="479"/>
        <v>43466</v>
      </c>
      <c r="P1711" s="5" t="str">
        <f t="shared" si="480"/>
        <v>800,00</v>
      </c>
      <c r="Q1711" s="4" t="str">
        <f t="shared" si="482"/>
        <v>Ochocientos Bolívares con 00/100</v>
      </c>
    </row>
    <row r="1712" spans="1:17" x14ac:dyDescent="0.25">
      <c r="A1712" s="1">
        <f t="shared" si="483"/>
        <v>1711</v>
      </c>
      <c r="C1712" s="8" t="s">
        <v>17</v>
      </c>
      <c r="D1712" s="2">
        <v>43475</v>
      </c>
      <c r="E1712" s="3">
        <v>1500</v>
      </c>
      <c r="F1712" t="s">
        <v>90</v>
      </c>
      <c r="G1712" t="s">
        <v>91</v>
      </c>
      <c r="H1712" t="s">
        <v>92</v>
      </c>
      <c r="I1712" s="6" t="s">
        <v>881</v>
      </c>
      <c r="J1712" s="61" t="s">
        <v>22</v>
      </c>
      <c r="L1712" s="5" t="str">
        <f t="shared" si="476"/>
        <v>01711</v>
      </c>
      <c r="M1712" s="47" t="str">
        <f t="shared" si="477"/>
        <v>10 de enero de 2019</v>
      </c>
      <c r="N1712" s="323">
        <f t="shared" si="478"/>
        <v>10</v>
      </c>
      <c r="O1712" s="25">
        <f t="shared" si="479"/>
        <v>43466</v>
      </c>
      <c r="P1712" s="5" t="str">
        <f t="shared" si="480"/>
        <v>1.500,00</v>
      </c>
      <c r="Q1712" s="4" t="str">
        <f t="shared" si="482"/>
        <v>Mil Quinientos Bolívares con 00/100</v>
      </c>
    </row>
    <row r="1713" spans="1:17" x14ac:dyDescent="0.25">
      <c r="A1713" s="1">
        <f t="shared" si="483"/>
        <v>1712</v>
      </c>
      <c r="C1713" s="8" t="s">
        <v>17</v>
      </c>
      <c r="D1713" s="2">
        <v>43476</v>
      </c>
      <c r="E1713" s="3">
        <v>800</v>
      </c>
      <c r="F1713" t="s">
        <v>438</v>
      </c>
      <c r="G1713" t="s">
        <v>439</v>
      </c>
      <c r="H1713" t="s">
        <v>440</v>
      </c>
      <c r="I1713" s="6" t="s">
        <v>884</v>
      </c>
      <c r="J1713" s="61" t="s">
        <v>22</v>
      </c>
      <c r="L1713" s="5" t="str">
        <f t="shared" si="476"/>
        <v>01712</v>
      </c>
      <c r="M1713" s="47" t="str">
        <f t="shared" si="477"/>
        <v>11 de enero de 2019</v>
      </c>
      <c r="N1713" s="323">
        <f t="shared" si="478"/>
        <v>11</v>
      </c>
      <c r="O1713" s="25">
        <f t="shared" si="479"/>
        <v>43466</v>
      </c>
      <c r="P1713" s="5" t="str">
        <f t="shared" si="480"/>
        <v>800,00</v>
      </c>
      <c r="Q1713" s="4" t="str">
        <f t="shared" si="482"/>
        <v>Ochocientos Bolívares con 00/100</v>
      </c>
    </row>
    <row r="1714" spans="1:17" x14ac:dyDescent="0.25">
      <c r="A1714" s="1">
        <f t="shared" si="483"/>
        <v>1713</v>
      </c>
      <c r="C1714" s="8" t="s">
        <v>17</v>
      </c>
      <c r="D1714" s="2">
        <v>43476</v>
      </c>
      <c r="E1714" s="3">
        <v>1000</v>
      </c>
      <c r="F1714" t="s">
        <v>44</v>
      </c>
      <c r="G1714" t="s">
        <v>45</v>
      </c>
      <c r="H1714" t="s">
        <v>46</v>
      </c>
      <c r="I1714" s="6" t="s">
        <v>881</v>
      </c>
      <c r="J1714" s="61" t="s">
        <v>22</v>
      </c>
      <c r="L1714" s="5" t="str">
        <f>IF(ISBLANK(A1714),"",TEXT(A1714,"00000"))</f>
        <v>01713</v>
      </c>
      <c r="M1714" s="47" t="str">
        <f>IF(ISBLANK(D1714),"",TEXT(D1714,"dd")&amp;" de "&amp;TEXT(D1714,"mmmm")&amp;" de "&amp;TEXT(YEAR(D1714),"0"))</f>
        <v>11 de enero de 2019</v>
      </c>
      <c r="N1714" s="323">
        <f t="shared" si="478"/>
        <v>11</v>
      </c>
      <c r="O1714" s="25">
        <f>DATE(YEAR(D1714),MONTH(D1714),1)</f>
        <v>43466</v>
      </c>
      <c r="P1714" s="5" t="str">
        <f t="shared" si="480"/>
        <v>1.000,00</v>
      </c>
      <c r="Q1714" s="4" t="str">
        <f t="shared" si="482"/>
        <v>Mil Bolívares con 00/100</v>
      </c>
    </row>
    <row r="1715" spans="1:17" x14ac:dyDescent="0.25">
      <c r="A1715" s="1">
        <f t="shared" si="483"/>
        <v>1714</v>
      </c>
      <c r="C1715" s="8" t="s">
        <v>17</v>
      </c>
      <c r="D1715" s="2">
        <v>43476</v>
      </c>
      <c r="E1715" s="3">
        <v>800</v>
      </c>
      <c r="F1715" t="s">
        <v>126</v>
      </c>
      <c r="G1715" t="s">
        <v>127</v>
      </c>
      <c r="H1715" t="s">
        <v>128</v>
      </c>
      <c r="I1715" s="6" t="s">
        <v>881</v>
      </c>
      <c r="J1715" s="61" t="s">
        <v>22</v>
      </c>
      <c r="L1715" s="5" t="str">
        <f t="shared" ref="L1715:L1730" si="484">IF(ISBLANK(A1715),"",TEXT(A1715,"00000"))</f>
        <v>01714</v>
      </c>
      <c r="M1715" s="47" t="str">
        <f t="shared" ref="M1715:M1730" si="485">IF(ISBLANK(D1715),"",TEXT(D1715,"dd")&amp;" de "&amp;TEXT(D1715,"mmmm")&amp;" de "&amp;TEXT(YEAR(D1715),"0"))</f>
        <v>11 de enero de 2019</v>
      </c>
      <c r="N1715" s="323">
        <f t="shared" si="478"/>
        <v>11</v>
      </c>
      <c r="O1715" s="25">
        <f t="shared" ref="O1715:O1730" si="486">DATE(YEAR(D1715),MONTH(D1715),1)</f>
        <v>43466</v>
      </c>
      <c r="P1715" s="5" t="str">
        <f t="shared" si="480"/>
        <v>800,00</v>
      </c>
      <c r="Q1715" s="4" t="str">
        <f t="shared" si="482"/>
        <v>Ochocientos Bolívares con 00/100</v>
      </c>
    </row>
    <row r="1716" spans="1:17" x14ac:dyDescent="0.25">
      <c r="A1716" s="1">
        <f t="shared" si="483"/>
        <v>1715</v>
      </c>
      <c r="C1716" s="8" t="s">
        <v>17</v>
      </c>
      <c r="D1716" s="2">
        <v>43476</v>
      </c>
      <c r="E1716" s="3">
        <v>800</v>
      </c>
      <c r="F1716" t="s">
        <v>454</v>
      </c>
      <c r="G1716" t="s">
        <v>761</v>
      </c>
      <c r="H1716" t="s">
        <v>455</v>
      </c>
      <c r="I1716" s="6" t="s">
        <v>881</v>
      </c>
      <c r="J1716" s="61" t="s">
        <v>22</v>
      </c>
      <c r="L1716" s="5" t="str">
        <f t="shared" si="484"/>
        <v>01715</v>
      </c>
      <c r="M1716" s="47" t="str">
        <f t="shared" si="485"/>
        <v>11 de enero de 2019</v>
      </c>
      <c r="N1716" s="323">
        <f t="shared" si="478"/>
        <v>11</v>
      </c>
      <c r="O1716" s="25">
        <f t="shared" si="486"/>
        <v>43466</v>
      </c>
      <c r="P1716" s="5" t="str">
        <f t="shared" si="480"/>
        <v>800,00</v>
      </c>
      <c r="Q1716" s="4" t="str">
        <f t="shared" si="482"/>
        <v>Ochocientos Bolívares con 00/100</v>
      </c>
    </row>
    <row r="1717" spans="1:17" x14ac:dyDescent="0.25">
      <c r="A1717" s="1">
        <f t="shared" si="483"/>
        <v>1716</v>
      </c>
      <c r="C1717" s="8" t="s">
        <v>17</v>
      </c>
      <c r="D1717" s="2">
        <v>43476</v>
      </c>
      <c r="E1717" s="3">
        <v>800</v>
      </c>
      <c r="F1717" t="s">
        <v>24</v>
      </c>
      <c r="G1717" t="s">
        <v>25</v>
      </c>
      <c r="H1717" t="s">
        <v>26</v>
      </c>
      <c r="I1717" s="6" t="s">
        <v>881</v>
      </c>
      <c r="J1717" s="61" t="s">
        <v>22</v>
      </c>
      <c r="L1717" s="5" t="str">
        <f t="shared" si="484"/>
        <v>01716</v>
      </c>
      <c r="M1717" s="47" t="str">
        <f t="shared" si="485"/>
        <v>11 de enero de 2019</v>
      </c>
      <c r="N1717" s="323">
        <f t="shared" si="478"/>
        <v>11</v>
      </c>
      <c r="O1717" s="25">
        <f t="shared" si="486"/>
        <v>43466</v>
      </c>
      <c r="P1717" s="5" t="str">
        <f t="shared" si="480"/>
        <v>800,00</v>
      </c>
      <c r="Q1717" s="4" t="str">
        <f t="shared" si="482"/>
        <v>Ochocientos Bolívares con 00/100</v>
      </c>
    </row>
    <row r="1718" spans="1:17" x14ac:dyDescent="0.25">
      <c r="A1718" s="1">
        <f t="shared" si="483"/>
        <v>1717</v>
      </c>
      <c r="C1718" s="8" t="s">
        <v>17</v>
      </c>
      <c r="D1718" s="2">
        <v>43478</v>
      </c>
      <c r="E1718" s="3">
        <v>850</v>
      </c>
      <c r="F1718" t="s">
        <v>558</v>
      </c>
      <c r="G1718" t="s">
        <v>559</v>
      </c>
      <c r="H1718" t="s">
        <v>560</v>
      </c>
      <c r="I1718" s="6" t="s">
        <v>881</v>
      </c>
      <c r="J1718" s="61" t="s">
        <v>22</v>
      </c>
      <c r="L1718" s="5" t="str">
        <f t="shared" si="484"/>
        <v>01717</v>
      </c>
      <c r="M1718" s="47" t="str">
        <f t="shared" si="485"/>
        <v>13 de enero de 2019</v>
      </c>
      <c r="N1718" s="323">
        <f t="shared" si="478"/>
        <v>13</v>
      </c>
      <c r="O1718" s="25">
        <f t="shared" si="486"/>
        <v>43466</v>
      </c>
      <c r="P1718" s="5" t="str">
        <f t="shared" si="480"/>
        <v>850,00</v>
      </c>
      <c r="Q1718" s="4" t="str">
        <f t="shared" si="482"/>
        <v>Ochocientos Cincuenta Bolívares con 00/100</v>
      </c>
    </row>
    <row r="1719" spans="1:17" x14ac:dyDescent="0.25">
      <c r="A1719" s="1">
        <f t="shared" si="483"/>
        <v>1718</v>
      </c>
      <c r="C1719" s="8" t="s">
        <v>17</v>
      </c>
      <c r="D1719" s="2">
        <v>43478</v>
      </c>
      <c r="E1719" s="3">
        <v>1120</v>
      </c>
      <c r="F1719" t="s">
        <v>284</v>
      </c>
      <c r="G1719" t="s">
        <v>687</v>
      </c>
      <c r="H1719" t="s">
        <v>285</v>
      </c>
      <c r="I1719" s="6" t="s">
        <v>851</v>
      </c>
      <c r="J1719" s="61" t="s">
        <v>22</v>
      </c>
      <c r="L1719" s="5" t="str">
        <f t="shared" si="484"/>
        <v>01718</v>
      </c>
      <c r="M1719" s="47" t="str">
        <f t="shared" si="485"/>
        <v>13 de enero de 2019</v>
      </c>
      <c r="N1719" s="323">
        <f t="shared" si="478"/>
        <v>13</v>
      </c>
      <c r="O1719" s="25">
        <f t="shared" si="486"/>
        <v>43466</v>
      </c>
      <c r="P1719" s="5" t="str">
        <f t="shared" si="480"/>
        <v>1.120,00</v>
      </c>
      <c r="Q1719" s="4" t="str">
        <f t="shared" si="482"/>
        <v>Mil Ciento Veinte Bolívares con 00/100</v>
      </c>
    </row>
    <row r="1720" spans="1:17" x14ac:dyDescent="0.25">
      <c r="A1720" s="1">
        <f t="shared" si="483"/>
        <v>1719</v>
      </c>
      <c r="C1720" s="8" t="s">
        <v>17</v>
      </c>
      <c r="D1720" s="2">
        <v>43478</v>
      </c>
      <c r="E1720" s="3">
        <v>1600</v>
      </c>
      <c r="F1720" t="s">
        <v>334</v>
      </c>
      <c r="G1720" t="s">
        <v>85</v>
      </c>
      <c r="H1720" t="s">
        <v>335</v>
      </c>
      <c r="I1720" s="6" t="s">
        <v>881</v>
      </c>
      <c r="J1720" s="61" t="s">
        <v>22</v>
      </c>
      <c r="L1720" s="5" t="str">
        <f t="shared" si="484"/>
        <v>01719</v>
      </c>
      <c r="M1720" s="47" t="str">
        <f t="shared" si="485"/>
        <v>13 de enero de 2019</v>
      </c>
      <c r="N1720" s="323">
        <f t="shared" ref="N1720:N1731" si="487">DAY(D1720)</f>
        <v>13</v>
      </c>
      <c r="O1720" s="25">
        <f t="shared" si="486"/>
        <v>43466</v>
      </c>
      <c r="P1720" s="5" t="str">
        <f t="shared" ref="P1720:P1731" si="488">TEXT(E1720,"#.##0,00")</f>
        <v>1.600,00</v>
      </c>
      <c r="Q1720" s="4" t="str">
        <f t="shared" ref="Q1720:Q1731" si="489">CONVERTIRNUM(E1720)</f>
        <v>Mil Seiscientos Bolívares con 00/100</v>
      </c>
    </row>
    <row r="1721" spans="1:17" x14ac:dyDescent="0.25">
      <c r="A1721" s="1">
        <f t="shared" si="483"/>
        <v>1720</v>
      </c>
      <c r="C1721" s="8" t="s">
        <v>17</v>
      </c>
      <c r="D1721" s="2">
        <v>43479</v>
      </c>
      <c r="E1721" s="3">
        <v>800</v>
      </c>
      <c r="F1721" t="s">
        <v>103</v>
      </c>
      <c r="G1721" t="s">
        <v>104</v>
      </c>
      <c r="H1721" t="s">
        <v>105</v>
      </c>
      <c r="I1721" s="6" t="s">
        <v>881</v>
      </c>
      <c r="J1721" s="61" t="s">
        <v>22</v>
      </c>
      <c r="L1721" s="5" t="str">
        <f t="shared" si="484"/>
        <v>01720</v>
      </c>
      <c r="M1721" s="47" t="str">
        <f t="shared" si="485"/>
        <v>14 de enero de 2019</v>
      </c>
      <c r="N1721" s="323">
        <f t="shared" si="487"/>
        <v>14</v>
      </c>
      <c r="O1721" s="25">
        <f t="shared" si="486"/>
        <v>43466</v>
      </c>
      <c r="P1721" s="5" t="str">
        <f t="shared" si="488"/>
        <v>800,00</v>
      </c>
      <c r="Q1721" s="4" t="str">
        <f t="shared" si="489"/>
        <v>Ochocientos Bolívares con 00/100</v>
      </c>
    </row>
    <row r="1722" spans="1:17" x14ac:dyDescent="0.25">
      <c r="A1722" s="1">
        <f t="shared" si="483"/>
        <v>1721</v>
      </c>
      <c r="C1722" s="85" t="s">
        <v>17</v>
      </c>
      <c r="D1722" s="2">
        <v>43478</v>
      </c>
      <c r="E1722" s="3">
        <v>1160</v>
      </c>
      <c r="F1722" s="23" t="s">
        <v>422</v>
      </c>
      <c r="G1722" s="18" t="s">
        <v>58</v>
      </c>
      <c r="H1722" t="s">
        <v>423</v>
      </c>
      <c r="I1722" s="6" t="s">
        <v>881</v>
      </c>
      <c r="J1722" s="61" t="s">
        <v>22</v>
      </c>
      <c r="L1722" s="5" t="str">
        <f t="shared" si="484"/>
        <v>01721</v>
      </c>
      <c r="M1722" s="47" t="str">
        <f t="shared" si="485"/>
        <v>13 de enero de 2019</v>
      </c>
      <c r="N1722" s="323">
        <f t="shared" si="487"/>
        <v>13</v>
      </c>
      <c r="O1722" s="25">
        <f t="shared" si="486"/>
        <v>43466</v>
      </c>
      <c r="P1722" s="5" t="str">
        <f t="shared" si="488"/>
        <v>1.160,00</v>
      </c>
      <c r="Q1722" s="4" t="str">
        <f t="shared" si="489"/>
        <v>Mil Ciento Sesenta Bolívares con 00/100</v>
      </c>
    </row>
    <row r="1723" spans="1:17" x14ac:dyDescent="0.25">
      <c r="A1723" s="1">
        <f t="shared" si="483"/>
        <v>1722</v>
      </c>
      <c r="C1723" s="8" t="s">
        <v>17</v>
      </c>
      <c r="D1723" s="2">
        <v>43479</v>
      </c>
      <c r="E1723" s="3">
        <v>800</v>
      </c>
      <c r="F1723" t="s">
        <v>417</v>
      </c>
      <c r="G1723" t="s">
        <v>418</v>
      </c>
      <c r="H1723" t="s">
        <v>419</v>
      </c>
      <c r="I1723" s="6" t="s">
        <v>881</v>
      </c>
      <c r="J1723" s="61" t="s">
        <v>22</v>
      </c>
      <c r="L1723" s="5" t="str">
        <f t="shared" si="484"/>
        <v>01722</v>
      </c>
      <c r="M1723" s="47" t="str">
        <f t="shared" si="485"/>
        <v>14 de enero de 2019</v>
      </c>
      <c r="N1723" s="323">
        <f t="shared" si="487"/>
        <v>14</v>
      </c>
      <c r="O1723" s="25">
        <f t="shared" si="486"/>
        <v>43466</v>
      </c>
      <c r="P1723" s="5" t="str">
        <f t="shared" si="488"/>
        <v>800,00</v>
      </c>
      <c r="Q1723" s="4" t="str">
        <f t="shared" si="489"/>
        <v>Ochocientos Bolívares con 00/100</v>
      </c>
    </row>
    <row r="1724" spans="1:17" x14ac:dyDescent="0.25">
      <c r="A1724" s="1">
        <f t="shared" si="483"/>
        <v>1723</v>
      </c>
      <c r="C1724" s="8" t="s">
        <v>17</v>
      </c>
      <c r="D1724" s="2">
        <v>43480</v>
      </c>
      <c r="E1724" s="3">
        <v>800</v>
      </c>
      <c r="F1724" t="s">
        <v>130</v>
      </c>
      <c r="G1724" t="s">
        <v>131</v>
      </c>
      <c r="H1724" t="s">
        <v>132</v>
      </c>
      <c r="I1724" s="6" t="s">
        <v>881</v>
      </c>
      <c r="J1724" s="61" t="s">
        <v>22</v>
      </c>
      <c r="L1724" s="5" t="str">
        <f t="shared" si="484"/>
        <v>01723</v>
      </c>
      <c r="M1724" s="47" t="str">
        <f t="shared" si="485"/>
        <v>15 de enero de 2019</v>
      </c>
      <c r="N1724" s="323">
        <f t="shared" si="487"/>
        <v>15</v>
      </c>
      <c r="O1724" s="25">
        <f t="shared" si="486"/>
        <v>43466</v>
      </c>
      <c r="P1724" s="5" t="str">
        <f t="shared" si="488"/>
        <v>800,00</v>
      </c>
      <c r="Q1724" s="4" t="str">
        <f t="shared" si="489"/>
        <v>Ochocientos Bolívares con 00/100</v>
      </c>
    </row>
    <row r="1725" spans="1:17" x14ac:dyDescent="0.25">
      <c r="A1725" s="1">
        <f t="shared" si="483"/>
        <v>1724</v>
      </c>
      <c r="C1725" s="8" t="s">
        <v>17</v>
      </c>
      <c r="D1725" s="2">
        <v>43479</v>
      </c>
      <c r="E1725" s="3">
        <v>2000</v>
      </c>
      <c r="F1725" t="s">
        <v>324</v>
      </c>
      <c r="G1725" t="s">
        <v>325</v>
      </c>
      <c r="H1725" t="s">
        <v>326</v>
      </c>
      <c r="I1725" s="6" t="s">
        <v>881</v>
      </c>
      <c r="J1725" s="61" t="s">
        <v>22</v>
      </c>
      <c r="L1725" s="5" t="str">
        <f t="shared" si="484"/>
        <v>01724</v>
      </c>
      <c r="M1725" s="47" t="str">
        <f t="shared" si="485"/>
        <v>14 de enero de 2019</v>
      </c>
      <c r="N1725" s="323">
        <f t="shared" si="487"/>
        <v>14</v>
      </c>
      <c r="O1725" s="25">
        <f t="shared" si="486"/>
        <v>43466</v>
      </c>
      <c r="P1725" s="5" t="str">
        <f t="shared" si="488"/>
        <v>2.000,00</v>
      </c>
      <c r="Q1725" s="4" t="str">
        <f t="shared" si="489"/>
        <v>Dos Mil Bolívares con 00/100</v>
      </c>
    </row>
    <row r="1726" spans="1:17" x14ac:dyDescent="0.25">
      <c r="A1726" s="1">
        <f t="shared" si="483"/>
        <v>1725</v>
      </c>
      <c r="C1726" s="8" t="s">
        <v>17</v>
      </c>
      <c r="D1726" s="2">
        <v>43480</v>
      </c>
      <c r="E1726" s="3">
        <v>800</v>
      </c>
      <c r="F1726" t="s">
        <v>342</v>
      </c>
      <c r="G1726" t="s">
        <v>343</v>
      </c>
      <c r="H1726" t="s">
        <v>344</v>
      </c>
      <c r="I1726" s="6" t="s">
        <v>881</v>
      </c>
      <c r="J1726" s="61" t="s">
        <v>22</v>
      </c>
      <c r="L1726" s="5" t="str">
        <f t="shared" si="484"/>
        <v>01725</v>
      </c>
      <c r="M1726" s="47" t="str">
        <f t="shared" si="485"/>
        <v>15 de enero de 2019</v>
      </c>
      <c r="N1726" s="323">
        <f t="shared" si="487"/>
        <v>15</v>
      </c>
      <c r="O1726" s="25">
        <f t="shared" si="486"/>
        <v>43466</v>
      </c>
      <c r="P1726" s="5" t="str">
        <f t="shared" si="488"/>
        <v>800,00</v>
      </c>
      <c r="Q1726" s="4" t="str">
        <f t="shared" si="489"/>
        <v>Ochocientos Bolívares con 00/100</v>
      </c>
    </row>
    <row r="1727" spans="1:17" x14ac:dyDescent="0.25">
      <c r="A1727" s="1">
        <f t="shared" si="483"/>
        <v>1726</v>
      </c>
      <c r="C1727" s="8" t="s">
        <v>17</v>
      </c>
      <c r="D1727" s="2">
        <v>43480</v>
      </c>
      <c r="E1727" s="3">
        <f>800+450</f>
        <v>1250</v>
      </c>
      <c r="F1727" t="s">
        <v>66</v>
      </c>
      <c r="G1727" t="s">
        <v>67</v>
      </c>
      <c r="H1727" t="s">
        <v>68</v>
      </c>
      <c r="I1727" s="6" t="s">
        <v>885</v>
      </c>
      <c r="J1727" s="61" t="s">
        <v>22</v>
      </c>
      <c r="L1727" s="5" t="str">
        <f t="shared" si="484"/>
        <v>01726</v>
      </c>
      <c r="M1727" s="47" t="str">
        <f t="shared" si="485"/>
        <v>15 de enero de 2019</v>
      </c>
      <c r="N1727" s="323">
        <f t="shared" si="487"/>
        <v>15</v>
      </c>
      <c r="O1727" s="25">
        <f t="shared" si="486"/>
        <v>43466</v>
      </c>
      <c r="P1727" s="5" t="str">
        <f t="shared" si="488"/>
        <v>1.250,00</v>
      </c>
      <c r="Q1727" s="4" t="str">
        <f t="shared" si="489"/>
        <v>Mil Doscientos Cincuenta Bolívares con 00/100</v>
      </c>
    </row>
    <row r="1728" spans="1:17" x14ac:dyDescent="0.25">
      <c r="A1728" s="1">
        <f t="shared" si="483"/>
        <v>1727</v>
      </c>
      <c r="C1728" s="8" t="s">
        <v>17</v>
      </c>
      <c r="D1728" s="2">
        <v>43480</v>
      </c>
      <c r="E1728" s="3">
        <v>800</v>
      </c>
      <c r="F1728" t="s">
        <v>239</v>
      </c>
      <c r="G1728" s="73" t="s">
        <v>240</v>
      </c>
      <c r="H1728" t="s">
        <v>241</v>
      </c>
      <c r="I1728" s="6" t="s">
        <v>881</v>
      </c>
      <c r="J1728" s="61" t="s">
        <v>22</v>
      </c>
      <c r="L1728" s="5" t="str">
        <f t="shared" si="484"/>
        <v>01727</v>
      </c>
      <c r="M1728" s="47" t="str">
        <f t="shared" si="485"/>
        <v>15 de enero de 2019</v>
      </c>
      <c r="N1728" s="323">
        <f t="shared" si="487"/>
        <v>15</v>
      </c>
      <c r="O1728" s="25">
        <f t="shared" si="486"/>
        <v>43466</v>
      </c>
      <c r="P1728" s="5" t="str">
        <f t="shared" si="488"/>
        <v>800,00</v>
      </c>
      <c r="Q1728" s="4" t="str">
        <f t="shared" si="489"/>
        <v>Ochocientos Bolívares con 00/100</v>
      </c>
    </row>
    <row r="1729" spans="1:17" x14ac:dyDescent="0.25">
      <c r="A1729" s="1">
        <f t="shared" si="483"/>
        <v>1728</v>
      </c>
      <c r="C1729" s="8" t="s">
        <v>17</v>
      </c>
      <c r="D1729" s="2">
        <v>43481</v>
      </c>
      <c r="E1729" s="3">
        <v>800</v>
      </c>
      <c r="F1729" t="s">
        <v>62</v>
      </c>
      <c r="G1729" t="s">
        <v>63</v>
      </c>
      <c r="H1729" t="s">
        <v>64</v>
      </c>
      <c r="I1729" s="6" t="s">
        <v>861</v>
      </c>
      <c r="J1729" s="61" t="s">
        <v>22</v>
      </c>
      <c r="L1729" s="5" t="str">
        <f t="shared" si="484"/>
        <v>01728</v>
      </c>
      <c r="M1729" s="47" t="str">
        <f t="shared" si="485"/>
        <v>16 de enero de 2019</v>
      </c>
      <c r="N1729" s="323">
        <f t="shared" si="487"/>
        <v>16</v>
      </c>
      <c r="O1729" s="25">
        <f t="shared" si="486"/>
        <v>43466</v>
      </c>
      <c r="P1729" s="5" t="str">
        <f t="shared" si="488"/>
        <v>800,00</v>
      </c>
      <c r="Q1729" s="4" t="str">
        <f t="shared" si="489"/>
        <v>Ochocientos Bolívares con 00/100</v>
      </c>
    </row>
    <row r="1730" spans="1:17" x14ac:dyDescent="0.25">
      <c r="A1730" s="1">
        <f t="shared" si="483"/>
        <v>1729</v>
      </c>
      <c r="C1730" s="8" t="s">
        <v>17</v>
      </c>
      <c r="D1730" s="2">
        <v>43481</v>
      </c>
      <c r="E1730" s="3">
        <v>2200</v>
      </c>
      <c r="F1730" t="s">
        <v>713</v>
      </c>
      <c r="G1730" t="s">
        <v>714</v>
      </c>
      <c r="H1730" t="s">
        <v>154</v>
      </c>
      <c r="I1730" s="6" t="s">
        <v>886</v>
      </c>
      <c r="J1730" s="61" t="s">
        <v>22</v>
      </c>
      <c r="L1730" s="5" t="str">
        <f t="shared" si="484"/>
        <v>01729</v>
      </c>
      <c r="M1730" s="47" t="str">
        <f t="shared" si="485"/>
        <v>16 de enero de 2019</v>
      </c>
      <c r="N1730" s="323">
        <f t="shared" si="487"/>
        <v>16</v>
      </c>
      <c r="O1730" s="25">
        <f t="shared" si="486"/>
        <v>43466</v>
      </c>
      <c r="P1730" s="5" t="str">
        <f t="shared" si="488"/>
        <v>2.200,00</v>
      </c>
      <c r="Q1730" s="4" t="str">
        <f t="shared" si="489"/>
        <v>Dos Mil Doscientos Bolívares con 00/100</v>
      </c>
    </row>
    <row r="1731" spans="1:17" x14ac:dyDescent="0.25">
      <c r="A1731" s="1">
        <f t="shared" si="483"/>
        <v>1730</v>
      </c>
      <c r="C1731" s="8" t="s">
        <v>17</v>
      </c>
      <c r="D1731" s="2">
        <v>43481</v>
      </c>
      <c r="E1731" s="3">
        <v>3000</v>
      </c>
      <c r="F1731" t="s">
        <v>243</v>
      </c>
      <c r="G1731" t="s">
        <v>244</v>
      </c>
      <c r="H1731" t="s">
        <v>245</v>
      </c>
      <c r="I1731" s="6" t="s">
        <v>887</v>
      </c>
      <c r="J1731" s="61" t="s">
        <v>22</v>
      </c>
      <c r="L1731" s="5" t="str">
        <f>IF(ISBLANK(A1731),"",TEXT(A1731,"00000"))</f>
        <v>01730</v>
      </c>
      <c r="M1731" s="47" t="str">
        <f>IF(ISBLANK(D1731),"",TEXT(D1731,"dd")&amp;" de "&amp;TEXT(D1731,"mmmm")&amp;" de "&amp;TEXT(YEAR(D1731),"0"))</f>
        <v>16 de enero de 2019</v>
      </c>
      <c r="N1731" s="323">
        <f t="shared" si="487"/>
        <v>16</v>
      </c>
      <c r="O1731" s="25">
        <f>DATE(YEAR(D1731),MONTH(D1731),1)</f>
        <v>43466</v>
      </c>
      <c r="P1731" s="5" t="str">
        <f t="shared" si="488"/>
        <v>3.000,00</v>
      </c>
      <c r="Q1731" s="4" t="str">
        <f t="shared" si="489"/>
        <v>Tres Mil Bolívares con 00/100</v>
      </c>
    </row>
    <row r="1732" spans="1:17" x14ac:dyDescent="0.25">
      <c r="A1732" s="1">
        <f t="shared" si="483"/>
        <v>1731</v>
      </c>
      <c r="C1732" s="8" t="s">
        <v>17</v>
      </c>
      <c r="D1732" s="2">
        <v>43481</v>
      </c>
      <c r="E1732" s="3">
        <f>320+800</f>
        <v>1120</v>
      </c>
      <c r="F1732" t="s">
        <v>243</v>
      </c>
      <c r="G1732" t="s">
        <v>244</v>
      </c>
      <c r="H1732" t="s">
        <v>245</v>
      </c>
      <c r="I1732" s="6" t="s">
        <v>851</v>
      </c>
      <c r="J1732" s="61" t="s">
        <v>22</v>
      </c>
      <c r="L1732" s="5" t="str">
        <f>IF(ISBLANK(A1732),"",TEXT(A1732,"00000"))</f>
        <v>01731</v>
      </c>
      <c r="M1732" s="47" t="str">
        <f>IF(ISBLANK(D1732),"",TEXT(D1732,"dd")&amp;" de "&amp;TEXT(D1732,"mmmm")&amp;" de "&amp;TEXT(YEAR(D1732),"0"))</f>
        <v>16 de enero de 2019</v>
      </c>
      <c r="N1732" s="323">
        <f t="shared" ref="N1732:N1748" si="490">DAY(D1732)</f>
        <v>16</v>
      </c>
      <c r="O1732" s="25">
        <f>DATE(YEAR(D1732),MONTH(D1732),1)</f>
        <v>43466</v>
      </c>
      <c r="P1732" s="5" t="str">
        <f t="shared" ref="P1732:P1741" si="491">TEXT(E1732,"#.##0,00")</f>
        <v>1.120,00</v>
      </c>
      <c r="Q1732" s="4" t="str">
        <f t="shared" ref="Q1732:Q1741" si="492">CONVERTIRNUM(E1732)</f>
        <v>Mil Ciento Veinte Bolívares con 00/100</v>
      </c>
    </row>
    <row r="1733" spans="1:17" x14ac:dyDescent="0.25">
      <c r="A1733" s="1">
        <f t="shared" si="483"/>
        <v>1732</v>
      </c>
      <c r="C1733" s="8" t="s">
        <v>17</v>
      </c>
      <c r="D1733" s="2">
        <v>43481</v>
      </c>
      <c r="E1733" s="3">
        <v>2200</v>
      </c>
      <c r="F1733" t="s">
        <v>18</v>
      </c>
      <c r="G1733" t="s">
        <v>19</v>
      </c>
      <c r="H1733" t="s">
        <v>20</v>
      </c>
      <c r="I1733" s="6" t="s">
        <v>888</v>
      </c>
      <c r="J1733" s="61" t="s">
        <v>22</v>
      </c>
      <c r="L1733" s="5" t="str">
        <f t="shared" ref="L1733:L1745" si="493">IF(ISBLANK(A1733),"",TEXT(A1733,"00000"))</f>
        <v>01732</v>
      </c>
      <c r="M1733" s="47" t="str">
        <f t="shared" ref="M1733:M1745" si="494">IF(ISBLANK(D1733),"",TEXT(D1733,"dd")&amp;" de "&amp;TEXT(D1733,"mmmm")&amp;" de "&amp;TEXT(YEAR(D1733),"0"))</f>
        <v>16 de enero de 2019</v>
      </c>
      <c r="N1733" s="323">
        <f t="shared" si="490"/>
        <v>16</v>
      </c>
      <c r="O1733" s="25">
        <f t="shared" ref="O1733:O1745" si="495">DATE(YEAR(D1733),MONTH(D1733),1)</f>
        <v>43466</v>
      </c>
      <c r="P1733" s="5" t="str">
        <f t="shared" si="491"/>
        <v>2.200,00</v>
      </c>
      <c r="Q1733" s="4" t="str">
        <f t="shared" si="492"/>
        <v>Dos Mil Doscientos Bolívares con 00/100</v>
      </c>
    </row>
    <row r="1734" spans="1:17" x14ac:dyDescent="0.25">
      <c r="A1734" s="1">
        <f t="shared" si="483"/>
        <v>1733</v>
      </c>
      <c r="C1734" s="8" t="s">
        <v>17</v>
      </c>
      <c r="D1734" s="2">
        <v>43481</v>
      </c>
      <c r="E1734" s="3">
        <v>2200</v>
      </c>
      <c r="F1734" t="s">
        <v>239</v>
      </c>
      <c r="G1734" s="73" t="s">
        <v>240</v>
      </c>
      <c r="H1734" t="s">
        <v>241</v>
      </c>
      <c r="I1734" s="6" t="s">
        <v>886</v>
      </c>
      <c r="J1734" s="61" t="s">
        <v>22</v>
      </c>
      <c r="L1734" s="5" t="str">
        <f t="shared" si="493"/>
        <v>01733</v>
      </c>
      <c r="M1734" s="47" t="str">
        <f t="shared" si="494"/>
        <v>16 de enero de 2019</v>
      </c>
      <c r="N1734" s="323">
        <f t="shared" si="490"/>
        <v>16</v>
      </c>
      <c r="O1734" s="25">
        <f t="shared" si="495"/>
        <v>43466</v>
      </c>
      <c r="P1734" s="5" t="str">
        <f t="shared" si="491"/>
        <v>2.200,00</v>
      </c>
      <c r="Q1734" s="4" t="str">
        <f t="shared" si="492"/>
        <v>Dos Mil Doscientos Bolívares con 00/100</v>
      </c>
    </row>
    <row r="1735" spans="1:17" x14ac:dyDescent="0.25">
      <c r="A1735" s="1">
        <f t="shared" si="483"/>
        <v>1734</v>
      </c>
      <c r="C1735" s="8" t="s">
        <v>17</v>
      </c>
      <c r="D1735" s="2">
        <v>43481</v>
      </c>
      <c r="E1735" s="3">
        <v>972</v>
      </c>
      <c r="F1735" t="s">
        <v>90</v>
      </c>
      <c r="G1735" t="s">
        <v>91</v>
      </c>
      <c r="H1735" t="s">
        <v>92</v>
      </c>
      <c r="I1735" s="6" t="s">
        <v>886</v>
      </c>
      <c r="J1735" s="61" t="s">
        <v>22</v>
      </c>
      <c r="L1735" s="5" t="str">
        <f t="shared" si="493"/>
        <v>01734</v>
      </c>
      <c r="M1735" s="47" t="str">
        <f t="shared" si="494"/>
        <v>16 de enero de 2019</v>
      </c>
      <c r="N1735" s="323">
        <f t="shared" si="490"/>
        <v>16</v>
      </c>
      <c r="O1735" s="25">
        <f t="shared" si="495"/>
        <v>43466</v>
      </c>
      <c r="P1735" s="5" t="str">
        <f t="shared" si="491"/>
        <v>972,00</v>
      </c>
      <c r="Q1735" s="4" t="str">
        <f t="shared" si="492"/>
        <v>Novecientos Setenta y Dos Bolívares con 00/100</v>
      </c>
    </row>
    <row r="1736" spans="1:17" x14ac:dyDescent="0.25">
      <c r="A1736" s="1">
        <f t="shared" si="483"/>
        <v>1735</v>
      </c>
      <c r="C1736" s="8" t="s">
        <v>17</v>
      </c>
      <c r="D1736" s="2">
        <v>43481</v>
      </c>
      <c r="E1736" s="3">
        <v>800</v>
      </c>
      <c r="F1736" t="s">
        <v>211</v>
      </c>
      <c r="G1736" t="s">
        <v>212</v>
      </c>
      <c r="H1736" t="s">
        <v>213</v>
      </c>
      <c r="I1736" s="6" t="s">
        <v>861</v>
      </c>
      <c r="J1736" s="61" t="s">
        <v>22</v>
      </c>
      <c r="L1736" s="5" t="str">
        <f t="shared" si="493"/>
        <v>01735</v>
      </c>
      <c r="M1736" s="47" t="str">
        <f t="shared" si="494"/>
        <v>16 de enero de 2019</v>
      </c>
      <c r="N1736" s="323">
        <f t="shared" si="490"/>
        <v>16</v>
      </c>
      <c r="O1736" s="25">
        <f t="shared" si="495"/>
        <v>43466</v>
      </c>
      <c r="P1736" s="5" t="str">
        <f t="shared" si="491"/>
        <v>800,00</v>
      </c>
      <c r="Q1736" s="4" t="str">
        <f t="shared" si="492"/>
        <v>Ochocientos Bolívares con 00/100</v>
      </c>
    </row>
    <row r="1737" spans="1:17" x14ac:dyDescent="0.25">
      <c r="A1737" s="1">
        <f t="shared" si="483"/>
        <v>1736</v>
      </c>
      <c r="C1737" s="8" t="s">
        <v>17</v>
      </c>
      <c r="D1737" s="2">
        <v>43481</v>
      </c>
      <c r="E1737" s="3">
        <v>2200</v>
      </c>
      <c r="F1737" t="s">
        <v>24</v>
      </c>
      <c r="G1737" t="s">
        <v>25</v>
      </c>
      <c r="H1737" t="s">
        <v>26</v>
      </c>
      <c r="I1737" s="6" t="s">
        <v>886</v>
      </c>
      <c r="J1737" s="61" t="s">
        <v>22</v>
      </c>
      <c r="L1737" s="5" t="str">
        <f t="shared" si="493"/>
        <v>01736</v>
      </c>
      <c r="M1737" s="47" t="str">
        <f t="shared" si="494"/>
        <v>16 de enero de 2019</v>
      </c>
      <c r="N1737" s="323">
        <f t="shared" si="490"/>
        <v>16</v>
      </c>
      <c r="O1737" s="25">
        <f t="shared" si="495"/>
        <v>43466</v>
      </c>
      <c r="P1737" s="5" t="str">
        <f t="shared" si="491"/>
        <v>2.200,00</v>
      </c>
      <c r="Q1737" s="4" t="str">
        <f t="shared" si="492"/>
        <v>Dos Mil Doscientos Bolívares con 00/100</v>
      </c>
    </row>
    <row r="1738" spans="1:17" x14ac:dyDescent="0.25">
      <c r="A1738" s="1">
        <f t="shared" si="483"/>
        <v>1737</v>
      </c>
      <c r="C1738" s="8" t="s">
        <v>17</v>
      </c>
      <c r="D1738" s="2">
        <v>43482</v>
      </c>
      <c r="E1738" s="3">
        <v>2200</v>
      </c>
      <c r="F1738" t="s">
        <v>84</v>
      </c>
      <c r="G1738" t="s">
        <v>85</v>
      </c>
      <c r="H1738" t="s">
        <v>86</v>
      </c>
      <c r="I1738" s="6" t="s">
        <v>886</v>
      </c>
      <c r="J1738" s="61" t="s">
        <v>22</v>
      </c>
      <c r="L1738" s="5" t="str">
        <f t="shared" si="493"/>
        <v>01737</v>
      </c>
      <c r="M1738" s="47" t="str">
        <f t="shared" si="494"/>
        <v>17 de enero de 2019</v>
      </c>
      <c r="N1738" s="323">
        <f t="shared" si="490"/>
        <v>17</v>
      </c>
      <c r="O1738" s="25">
        <f t="shared" si="495"/>
        <v>43466</v>
      </c>
      <c r="P1738" s="5" t="str">
        <f t="shared" si="491"/>
        <v>2.200,00</v>
      </c>
      <c r="Q1738" s="4" t="str">
        <f t="shared" si="492"/>
        <v>Dos Mil Doscientos Bolívares con 00/100</v>
      </c>
    </row>
    <row r="1739" spans="1:17" x14ac:dyDescent="0.25">
      <c r="A1739" s="1">
        <f t="shared" si="483"/>
        <v>1738</v>
      </c>
      <c r="C1739" s="8" t="s">
        <v>17</v>
      </c>
      <c r="D1739" s="2">
        <v>43482</v>
      </c>
      <c r="E1739" s="3">
        <v>3800</v>
      </c>
      <c r="F1739" t="s">
        <v>197</v>
      </c>
      <c r="G1739" t="s">
        <v>198</v>
      </c>
      <c r="H1739" t="s">
        <v>199</v>
      </c>
      <c r="I1739" s="6" t="s">
        <v>879</v>
      </c>
      <c r="J1739" s="61" t="s">
        <v>22</v>
      </c>
      <c r="L1739" s="5" t="str">
        <f t="shared" si="493"/>
        <v>01738</v>
      </c>
      <c r="M1739" s="47" t="str">
        <f t="shared" si="494"/>
        <v>17 de enero de 2019</v>
      </c>
      <c r="N1739" s="323">
        <f t="shared" si="490"/>
        <v>17</v>
      </c>
      <c r="O1739" s="25">
        <f t="shared" si="495"/>
        <v>43466</v>
      </c>
      <c r="P1739" s="5" t="str">
        <f t="shared" si="491"/>
        <v>3.800,00</v>
      </c>
      <c r="Q1739" s="4" t="str">
        <f t="shared" si="492"/>
        <v>Tres Mil Ochocientos Bolívares con 00/100</v>
      </c>
    </row>
    <row r="1740" spans="1:17" x14ac:dyDescent="0.25">
      <c r="A1740" s="1">
        <f t="shared" si="483"/>
        <v>1739</v>
      </c>
      <c r="C1740" s="8" t="s">
        <v>17</v>
      </c>
      <c r="D1740" s="2">
        <v>43482</v>
      </c>
      <c r="E1740" s="3">
        <v>600</v>
      </c>
      <c r="F1740" t="s">
        <v>334</v>
      </c>
      <c r="G1740" t="s">
        <v>85</v>
      </c>
      <c r="H1740" t="s">
        <v>335</v>
      </c>
      <c r="I1740" s="6" t="s">
        <v>886</v>
      </c>
      <c r="J1740" s="61" t="s">
        <v>22</v>
      </c>
      <c r="L1740" s="5" t="str">
        <f t="shared" si="493"/>
        <v>01739</v>
      </c>
      <c r="M1740" s="47" t="str">
        <f t="shared" si="494"/>
        <v>17 de enero de 2019</v>
      </c>
      <c r="N1740" s="323">
        <f t="shared" si="490"/>
        <v>17</v>
      </c>
      <c r="O1740" s="25">
        <f t="shared" si="495"/>
        <v>43466</v>
      </c>
      <c r="P1740" s="5" t="str">
        <f t="shared" si="491"/>
        <v>600,00</v>
      </c>
      <c r="Q1740" s="4" t="str">
        <f t="shared" si="492"/>
        <v>Seiscientos Bolívares con 00/100</v>
      </c>
    </row>
    <row r="1741" spans="1:17" x14ac:dyDescent="0.25">
      <c r="A1741" s="1">
        <f t="shared" si="483"/>
        <v>1740</v>
      </c>
      <c r="C1741" s="85" t="s">
        <v>17</v>
      </c>
      <c r="D1741" s="2">
        <v>43482</v>
      </c>
      <c r="E1741" s="3">
        <v>800</v>
      </c>
      <c r="F1741" t="s">
        <v>259</v>
      </c>
      <c r="G1741" s="18" t="s">
        <v>58</v>
      </c>
      <c r="H1741" t="s">
        <v>261</v>
      </c>
      <c r="I1741" s="6" t="s">
        <v>861</v>
      </c>
      <c r="J1741" s="61" t="s">
        <v>22</v>
      </c>
      <c r="L1741" s="5" t="str">
        <f t="shared" si="493"/>
        <v>01740</v>
      </c>
      <c r="M1741" s="47" t="str">
        <f t="shared" si="494"/>
        <v>17 de enero de 2019</v>
      </c>
      <c r="N1741" s="323">
        <f t="shared" si="490"/>
        <v>17</v>
      </c>
      <c r="O1741" s="25">
        <f t="shared" si="495"/>
        <v>43466</v>
      </c>
      <c r="P1741" s="5" t="str">
        <f t="shared" si="491"/>
        <v>800,00</v>
      </c>
      <c r="Q1741" s="4" t="str">
        <f t="shared" si="492"/>
        <v>Ochocientos Bolívares con 00/100</v>
      </c>
    </row>
    <row r="1742" spans="1:17" x14ac:dyDescent="0.25">
      <c r="A1742" s="1">
        <f t="shared" si="483"/>
        <v>1741</v>
      </c>
      <c r="C1742" s="8" t="s">
        <v>17</v>
      </c>
      <c r="D1742" s="2">
        <v>43482</v>
      </c>
      <c r="E1742" s="3">
        <v>2200</v>
      </c>
      <c r="F1742" t="s">
        <v>162</v>
      </c>
      <c r="G1742" t="s">
        <v>163</v>
      </c>
      <c r="H1742" t="s">
        <v>164</v>
      </c>
      <c r="I1742" s="6" t="s">
        <v>886</v>
      </c>
      <c r="J1742" s="61" t="s">
        <v>22</v>
      </c>
      <c r="L1742" s="5" t="str">
        <f t="shared" si="493"/>
        <v>01741</v>
      </c>
      <c r="M1742" s="47" t="str">
        <f t="shared" si="494"/>
        <v>17 de enero de 2019</v>
      </c>
      <c r="N1742" s="323">
        <f t="shared" si="490"/>
        <v>17</v>
      </c>
      <c r="O1742" s="25">
        <f t="shared" si="495"/>
        <v>43466</v>
      </c>
      <c r="P1742" s="5" t="str">
        <f>TEXT(E1742,"#.##0,00")</f>
        <v>2.200,00</v>
      </c>
      <c r="Q1742" s="4" t="str">
        <f>CONVERTIRNUM(E1742)</f>
        <v>Dos Mil Doscientos Bolívares con 00/100</v>
      </c>
    </row>
    <row r="1743" spans="1:17" x14ac:dyDescent="0.25">
      <c r="A1743" s="1">
        <f t="shared" si="483"/>
        <v>1742</v>
      </c>
      <c r="C1743" s="8" t="s">
        <v>17</v>
      </c>
      <c r="D1743" s="2">
        <v>43482</v>
      </c>
      <c r="E1743" s="3">
        <v>2200</v>
      </c>
      <c r="F1743" t="s">
        <v>126</v>
      </c>
      <c r="G1743" t="s">
        <v>127</v>
      </c>
      <c r="H1743" t="s">
        <v>128</v>
      </c>
      <c r="I1743" s="6" t="s">
        <v>886</v>
      </c>
      <c r="J1743" s="61" t="s">
        <v>22</v>
      </c>
      <c r="L1743" s="5" t="str">
        <f t="shared" si="493"/>
        <v>01742</v>
      </c>
      <c r="M1743" s="47" t="str">
        <f t="shared" si="494"/>
        <v>17 de enero de 2019</v>
      </c>
      <c r="N1743" s="323">
        <f t="shared" si="490"/>
        <v>17</v>
      </c>
      <c r="O1743" s="25">
        <f t="shared" si="495"/>
        <v>43466</v>
      </c>
      <c r="P1743" s="5" t="str">
        <f t="shared" ref="P1743:P1748" si="496">TEXT(E1743,"#.##0,00")</f>
        <v>2.200,00</v>
      </c>
      <c r="Q1743" s="4" t="str">
        <f t="shared" ref="Q1743:Q1748" si="497">CONVERTIRNUM(E1743)</f>
        <v>Dos Mil Doscientos Bolívares con 00/100</v>
      </c>
    </row>
    <row r="1744" spans="1:17" x14ac:dyDescent="0.25">
      <c r="A1744" s="1">
        <f t="shared" si="483"/>
        <v>1743</v>
      </c>
      <c r="C1744" s="8" t="s">
        <v>17</v>
      </c>
      <c r="D1744" s="2">
        <v>43482</v>
      </c>
      <c r="E1744" s="3">
        <v>2200</v>
      </c>
      <c r="F1744" t="s">
        <v>454</v>
      </c>
      <c r="G1744" t="s">
        <v>761</v>
      </c>
      <c r="H1744" t="s">
        <v>455</v>
      </c>
      <c r="I1744" s="6" t="s">
        <v>886</v>
      </c>
      <c r="J1744" s="61" t="s">
        <v>22</v>
      </c>
      <c r="L1744" s="5" t="str">
        <f t="shared" si="493"/>
        <v>01743</v>
      </c>
      <c r="M1744" s="47" t="str">
        <f t="shared" si="494"/>
        <v>17 de enero de 2019</v>
      </c>
      <c r="N1744" s="323">
        <f t="shared" si="490"/>
        <v>17</v>
      </c>
      <c r="O1744" s="25">
        <f t="shared" si="495"/>
        <v>43466</v>
      </c>
      <c r="P1744" s="5" t="str">
        <f t="shared" si="496"/>
        <v>2.200,00</v>
      </c>
      <c r="Q1744" s="4" t="str">
        <f t="shared" si="497"/>
        <v>Dos Mil Doscientos Bolívares con 00/100</v>
      </c>
    </row>
    <row r="1745" spans="1:17" x14ac:dyDescent="0.25">
      <c r="A1745" s="1">
        <f t="shared" si="483"/>
        <v>1744</v>
      </c>
      <c r="C1745" s="8" t="s">
        <v>17</v>
      </c>
      <c r="D1745" s="2">
        <v>43482</v>
      </c>
      <c r="E1745" s="3">
        <v>2200</v>
      </c>
      <c r="F1745" t="s">
        <v>107</v>
      </c>
      <c r="G1745" t="s">
        <v>108</v>
      </c>
      <c r="H1745" t="s">
        <v>109</v>
      </c>
      <c r="I1745" s="6" t="s">
        <v>886</v>
      </c>
      <c r="J1745" s="61" t="s">
        <v>22</v>
      </c>
      <c r="L1745" s="5" t="str">
        <f t="shared" si="493"/>
        <v>01744</v>
      </c>
      <c r="M1745" s="47" t="str">
        <f t="shared" si="494"/>
        <v>17 de enero de 2019</v>
      </c>
      <c r="N1745" s="323">
        <f t="shared" si="490"/>
        <v>17</v>
      </c>
      <c r="O1745" s="25">
        <f t="shared" si="495"/>
        <v>43466</v>
      </c>
      <c r="P1745" s="5" t="str">
        <f t="shared" si="496"/>
        <v>2.200,00</v>
      </c>
      <c r="Q1745" s="4" t="str">
        <f t="shared" si="497"/>
        <v>Dos Mil Doscientos Bolívares con 00/100</v>
      </c>
    </row>
    <row r="1746" spans="1:17" x14ac:dyDescent="0.25">
      <c r="A1746" s="1">
        <f t="shared" si="483"/>
        <v>1745</v>
      </c>
      <c r="C1746" s="8" t="s">
        <v>17</v>
      </c>
      <c r="D1746" s="2">
        <v>43482</v>
      </c>
      <c r="E1746" s="3">
        <v>3000</v>
      </c>
      <c r="F1746" t="s">
        <v>44</v>
      </c>
      <c r="G1746" t="s">
        <v>45</v>
      </c>
      <c r="H1746" t="s">
        <v>46</v>
      </c>
      <c r="I1746" s="6" t="s">
        <v>886</v>
      </c>
      <c r="J1746" s="61" t="s">
        <v>22</v>
      </c>
      <c r="L1746" s="5" t="str">
        <f>IF(ISBLANK(A1746),"",TEXT(A1746,"00000"))</f>
        <v>01745</v>
      </c>
      <c r="M1746" s="47" t="str">
        <f>IF(ISBLANK(D1746),"",TEXT(D1746,"dd")&amp;" de "&amp;TEXT(D1746,"mmmm")&amp;" de "&amp;TEXT(YEAR(D1746),"0"))</f>
        <v>17 de enero de 2019</v>
      </c>
      <c r="N1746" s="323">
        <f t="shared" si="490"/>
        <v>17</v>
      </c>
      <c r="O1746" s="25">
        <f>DATE(YEAR(D1746),MONTH(D1746),1)</f>
        <v>43466</v>
      </c>
      <c r="P1746" s="5" t="str">
        <f t="shared" si="496"/>
        <v>3.000,00</v>
      </c>
      <c r="Q1746" s="4" t="str">
        <f t="shared" si="497"/>
        <v>Tres Mil Bolívares con 00/100</v>
      </c>
    </row>
    <row r="1747" spans="1:17" x14ac:dyDescent="0.25">
      <c r="A1747" s="1">
        <f t="shared" si="483"/>
        <v>1746</v>
      </c>
      <c r="C1747" s="8" t="s">
        <v>17</v>
      </c>
      <c r="D1747" s="2">
        <v>43482</v>
      </c>
      <c r="E1747" s="3">
        <v>800</v>
      </c>
      <c r="F1747" t="s">
        <v>134</v>
      </c>
      <c r="G1747" t="s">
        <v>135</v>
      </c>
      <c r="H1747" t="s">
        <v>136</v>
      </c>
      <c r="I1747" s="6" t="s">
        <v>881</v>
      </c>
      <c r="J1747" s="61" t="s">
        <v>22</v>
      </c>
      <c r="L1747" s="5" t="str">
        <f t="shared" ref="L1747:L1748" si="498">IF(ISBLANK(A1747),"",TEXT(A1747,"00000"))</f>
        <v>01746</v>
      </c>
      <c r="M1747" s="47" t="str">
        <f t="shared" ref="M1747:M1748" si="499">IF(ISBLANK(D1747),"",TEXT(D1747,"dd")&amp;" de "&amp;TEXT(D1747,"mmmm")&amp;" de "&amp;TEXT(YEAR(D1747),"0"))</f>
        <v>17 de enero de 2019</v>
      </c>
      <c r="N1747" s="323">
        <f t="shared" si="490"/>
        <v>17</v>
      </c>
      <c r="O1747" s="25">
        <f t="shared" ref="O1747:O1748" si="500">DATE(YEAR(D1747),MONTH(D1747),1)</f>
        <v>43466</v>
      </c>
      <c r="P1747" s="5" t="str">
        <f t="shared" si="496"/>
        <v>800,00</v>
      </c>
      <c r="Q1747" s="4" t="str">
        <f t="shared" si="497"/>
        <v>Ochocientos Bolívares con 00/100</v>
      </c>
    </row>
    <row r="1748" spans="1:17" x14ac:dyDescent="0.25">
      <c r="A1748" s="1">
        <f>A1747+1</f>
        <v>1747</v>
      </c>
      <c r="C1748" s="8" t="s">
        <v>17</v>
      </c>
      <c r="D1748" s="2">
        <v>43483</v>
      </c>
      <c r="E1748" s="3">
        <v>1200</v>
      </c>
      <c r="F1748" t="s">
        <v>36</v>
      </c>
      <c r="G1748" t="s">
        <v>37</v>
      </c>
      <c r="H1748" t="s">
        <v>38</v>
      </c>
      <c r="I1748" s="6" t="s">
        <v>886</v>
      </c>
      <c r="J1748" s="61" t="s">
        <v>22</v>
      </c>
      <c r="L1748" s="5" t="str">
        <f t="shared" si="498"/>
        <v>01747</v>
      </c>
      <c r="M1748" s="47" t="str">
        <f t="shared" si="499"/>
        <v>18 de enero de 2019</v>
      </c>
      <c r="N1748" s="323">
        <f t="shared" si="490"/>
        <v>18</v>
      </c>
      <c r="O1748" s="25">
        <f t="shared" si="500"/>
        <v>43466</v>
      </c>
      <c r="P1748" s="5" t="str">
        <f t="shared" si="496"/>
        <v>1.200,00</v>
      </c>
      <c r="Q1748" s="4" t="str">
        <f t="shared" si="497"/>
        <v>Mil Doscientos Bolívares con 00/100</v>
      </c>
    </row>
    <row r="1749" spans="1:17" x14ac:dyDescent="0.25">
      <c r="A1749" s="1">
        <f t="shared" si="483"/>
        <v>1748</v>
      </c>
      <c r="C1749" s="8" t="s">
        <v>17</v>
      </c>
      <c r="D1749" s="2">
        <v>43441</v>
      </c>
      <c r="E1749" s="3">
        <v>800</v>
      </c>
      <c r="F1749" t="s">
        <v>134</v>
      </c>
      <c r="G1749" t="s">
        <v>135</v>
      </c>
      <c r="H1749" t="s">
        <v>136</v>
      </c>
      <c r="I1749" s="6" t="s">
        <v>861</v>
      </c>
      <c r="J1749" s="61" t="s">
        <v>22</v>
      </c>
      <c r="L1749" s="5" t="str">
        <f t="shared" ref="L1749:L1767" si="501">IF(ISBLANK(A1749),"",TEXT(A1749,"00000"))</f>
        <v>01748</v>
      </c>
      <c r="M1749" s="47" t="str">
        <f t="shared" ref="M1749:M1767" si="502">IF(ISBLANK(D1749),"",TEXT(D1749,"dd")&amp;" de "&amp;TEXT(D1749,"mmmm")&amp;" de "&amp;TEXT(YEAR(D1749),"0"))</f>
        <v>07 de diciembre de 2018</v>
      </c>
      <c r="N1749" s="323">
        <f t="shared" ref="N1749:N1767" si="503">DAY(D1749)</f>
        <v>7</v>
      </c>
      <c r="O1749" s="25">
        <f t="shared" ref="O1749:O1767" si="504">DATE(YEAR(D1749),MONTH(D1749),1)</f>
        <v>43435</v>
      </c>
      <c r="P1749" s="5" t="str">
        <f t="shared" ref="P1749:P1767" si="505">TEXT(E1749,"#.##0,00")</f>
        <v>800,00</v>
      </c>
      <c r="Q1749" s="4" t="str">
        <f t="shared" ref="Q1749:Q1758" si="506">CONVERTIRNUM(E1749)</f>
        <v>Ochocientos Bolívares con 00/100</v>
      </c>
    </row>
    <row r="1750" spans="1:17" x14ac:dyDescent="0.25">
      <c r="A1750" s="1">
        <f t="shared" si="483"/>
        <v>1749</v>
      </c>
      <c r="C1750" s="8" t="s">
        <v>17</v>
      </c>
      <c r="D1750" s="2">
        <v>43483</v>
      </c>
      <c r="E1750" s="3">
        <v>4120</v>
      </c>
      <c r="F1750" t="s">
        <v>230</v>
      </c>
      <c r="G1750" t="s">
        <v>231</v>
      </c>
      <c r="H1750" t="s">
        <v>232</v>
      </c>
      <c r="I1750" s="6" t="s">
        <v>889</v>
      </c>
      <c r="J1750" s="61" t="s">
        <v>22</v>
      </c>
      <c r="L1750" s="5" t="str">
        <f t="shared" si="501"/>
        <v>01749</v>
      </c>
      <c r="M1750" s="47" t="str">
        <f t="shared" si="502"/>
        <v>18 de enero de 2019</v>
      </c>
      <c r="N1750" s="323">
        <f t="shared" si="503"/>
        <v>18</v>
      </c>
      <c r="O1750" s="25">
        <f t="shared" si="504"/>
        <v>43466</v>
      </c>
      <c r="P1750" s="5" t="str">
        <f t="shared" si="505"/>
        <v>4.120,00</v>
      </c>
      <c r="Q1750" s="4" t="str">
        <f t="shared" si="506"/>
        <v>Cuatro Mil Ciento Veinte Bolívares con 00/100</v>
      </c>
    </row>
    <row r="1751" spans="1:17" x14ac:dyDescent="0.25">
      <c r="A1751" s="1">
        <f t="shared" si="483"/>
        <v>1750</v>
      </c>
      <c r="C1751" s="8" t="s">
        <v>17</v>
      </c>
      <c r="D1751" s="2">
        <v>43484</v>
      </c>
      <c r="E1751" s="3">
        <v>2200</v>
      </c>
      <c r="F1751" t="s">
        <v>342</v>
      </c>
      <c r="G1751" t="s">
        <v>343</v>
      </c>
      <c r="H1751" t="s">
        <v>344</v>
      </c>
      <c r="I1751" s="6" t="s">
        <v>886</v>
      </c>
      <c r="J1751" s="61" t="s">
        <v>22</v>
      </c>
      <c r="L1751" s="5" t="str">
        <f t="shared" si="501"/>
        <v>01750</v>
      </c>
      <c r="M1751" s="47" t="str">
        <f t="shared" si="502"/>
        <v>19 de enero de 2019</v>
      </c>
      <c r="N1751" s="323">
        <f t="shared" si="503"/>
        <v>19</v>
      </c>
      <c r="O1751" s="25">
        <f t="shared" si="504"/>
        <v>43466</v>
      </c>
      <c r="P1751" s="5" t="str">
        <f t="shared" si="505"/>
        <v>2.200,00</v>
      </c>
      <c r="Q1751" s="4" t="str">
        <f t="shared" si="506"/>
        <v>Dos Mil Doscientos Bolívares con 00/100</v>
      </c>
    </row>
    <row r="1752" spans="1:17" x14ac:dyDescent="0.25">
      <c r="A1752" s="1">
        <f t="shared" si="483"/>
        <v>1751</v>
      </c>
      <c r="C1752" s="8" t="s">
        <v>17</v>
      </c>
      <c r="D1752" s="2">
        <v>43484</v>
      </c>
      <c r="E1752" s="3">
        <v>2200</v>
      </c>
      <c r="F1752" t="s">
        <v>94</v>
      </c>
      <c r="G1752" t="s">
        <v>607</v>
      </c>
      <c r="H1752" t="s">
        <v>96</v>
      </c>
      <c r="I1752" s="6" t="s">
        <v>881</v>
      </c>
      <c r="J1752" s="61" t="s">
        <v>22</v>
      </c>
      <c r="L1752" s="5" t="str">
        <f t="shared" si="501"/>
        <v>01751</v>
      </c>
      <c r="M1752" s="47" t="str">
        <f t="shared" si="502"/>
        <v>19 de enero de 2019</v>
      </c>
      <c r="N1752" s="323">
        <f t="shared" si="503"/>
        <v>19</v>
      </c>
      <c r="O1752" s="25">
        <f t="shared" si="504"/>
        <v>43466</v>
      </c>
      <c r="P1752" s="5" t="str">
        <f t="shared" si="505"/>
        <v>2.200,00</v>
      </c>
      <c r="Q1752" s="4" t="str">
        <f t="shared" si="506"/>
        <v>Dos Mil Doscientos Bolívares con 00/100</v>
      </c>
    </row>
    <row r="1753" spans="1:17" x14ac:dyDescent="0.25">
      <c r="A1753" s="1">
        <f t="shared" si="483"/>
        <v>1752</v>
      </c>
      <c r="C1753" s="8" t="s">
        <v>17</v>
      </c>
      <c r="D1753" s="2">
        <v>43485</v>
      </c>
      <c r="E1753" s="3">
        <v>3800</v>
      </c>
      <c r="F1753" t="s">
        <v>201</v>
      </c>
      <c r="G1753" t="s">
        <v>202</v>
      </c>
      <c r="H1753" t="s">
        <v>203</v>
      </c>
      <c r="I1753" s="6" t="s">
        <v>890</v>
      </c>
      <c r="J1753" s="61" t="s">
        <v>22</v>
      </c>
      <c r="L1753" s="5" t="str">
        <f t="shared" si="501"/>
        <v>01752</v>
      </c>
      <c r="M1753" s="47" t="str">
        <f t="shared" si="502"/>
        <v>20 de enero de 2019</v>
      </c>
      <c r="N1753" s="323">
        <f t="shared" si="503"/>
        <v>20</v>
      </c>
      <c r="O1753" s="25">
        <f t="shared" si="504"/>
        <v>43466</v>
      </c>
      <c r="P1753" s="5" t="str">
        <f t="shared" si="505"/>
        <v>3.800,00</v>
      </c>
      <c r="Q1753" s="4" t="str">
        <f t="shared" si="506"/>
        <v>Tres Mil Ochocientos Bolívares con 00/100</v>
      </c>
    </row>
    <row r="1754" spans="1:17" x14ac:dyDescent="0.25">
      <c r="A1754" s="1">
        <f t="shared" si="483"/>
        <v>1753</v>
      </c>
      <c r="C1754" s="8" t="s">
        <v>17</v>
      </c>
      <c r="D1754" s="2">
        <v>43485</v>
      </c>
      <c r="E1754" s="3">
        <v>3000</v>
      </c>
      <c r="F1754" t="s">
        <v>312</v>
      </c>
      <c r="G1754" t="s">
        <v>313</v>
      </c>
      <c r="H1754" t="s">
        <v>314</v>
      </c>
      <c r="I1754" s="6" t="s">
        <v>887</v>
      </c>
      <c r="J1754" s="61" t="s">
        <v>22</v>
      </c>
      <c r="L1754" s="5" t="str">
        <f t="shared" si="501"/>
        <v>01753</v>
      </c>
      <c r="M1754" s="47" t="str">
        <f t="shared" si="502"/>
        <v>20 de enero de 2019</v>
      </c>
      <c r="N1754" s="323">
        <f t="shared" si="503"/>
        <v>20</v>
      </c>
      <c r="O1754" s="25">
        <f t="shared" si="504"/>
        <v>43466</v>
      </c>
      <c r="P1754" s="5" t="str">
        <f t="shared" si="505"/>
        <v>3.000,00</v>
      </c>
      <c r="Q1754" s="4" t="str">
        <f t="shared" si="506"/>
        <v>Tres Mil Bolívares con 00/100</v>
      </c>
    </row>
    <row r="1755" spans="1:17" x14ac:dyDescent="0.25">
      <c r="A1755" s="1">
        <f>A1754+1</f>
        <v>1754</v>
      </c>
      <c r="C1755" s="8" t="s">
        <v>17</v>
      </c>
      <c r="D1755" s="2">
        <v>43487</v>
      </c>
      <c r="E1755" s="3">
        <v>2200</v>
      </c>
      <c r="F1755" t="s">
        <v>70</v>
      </c>
      <c r="G1755" t="s">
        <v>71</v>
      </c>
      <c r="H1755" t="s">
        <v>72</v>
      </c>
      <c r="I1755" s="6" t="s">
        <v>886</v>
      </c>
      <c r="J1755" s="61" t="s">
        <v>22</v>
      </c>
      <c r="L1755" s="5" t="str">
        <f t="shared" si="501"/>
        <v>01754</v>
      </c>
      <c r="M1755" s="47" t="str">
        <f t="shared" si="502"/>
        <v>22 de enero de 2019</v>
      </c>
      <c r="N1755" s="323">
        <f t="shared" si="503"/>
        <v>22</v>
      </c>
      <c r="O1755" s="25">
        <f t="shared" si="504"/>
        <v>43466</v>
      </c>
      <c r="P1755" s="5" t="str">
        <f t="shared" si="505"/>
        <v>2.200,00</v>
      </c>
      <c r="Q1755" s="4" t="str">
        <f t="shared" si="506"/>
        <v>Dos Mil Doscientos Bolívares con 00/100</v>
      </c>
    </row>
    <row r="1756" spans="1:17" x14ac:dyDescent="0.25">
      <c r="A1756" s="1">
        <f t="shared" si="483"/>
        <v>1755</v>
      </c>
      <c r="C1756" s="8" t="s">
        <v>17</v>
      </c>
      <c r="D1756" s="2">
        <v>43488</v>
      </c>
      <c r="E1756" s="3">
        <v>2200</v>
      </c>
      <c r="F1756" t="s">
        <v>483</v>
      </c>
      <c r="G1756" t="s">
        <v>484</v>
      </c>
      <c r="H1756" t="s">
        <v>485</v>
      </c>
      <c r="I1756" s="6" t="s">
        <v>886</v>
      </c>
      <c r="J1756" s="61" t="s">
        <v>22</v>
      </c>
      <c r="L1756" s="5" t="str">
        <f t="shared" si="501"/>
        <v>01755</v>
      </c>
      <c r="M1756" s="47" t="str">
        <f t="shared" si="502"/>
        <v>23 de enero de 2019</v>
      </c>
      <c r="N1756" s="323">
        <f t="shared" si="503"/>
        <v>23</v>
      </c>
      <c r="O1756" s="25">
        <f t="shared" si="504"/>
        <v>43466</v>
      </c>
      <c r="P1756" s="5" t="str">
        <f t="shared" si="505"/>
        <v>2.200,00</v>
      </c>
      <c r="Q1756" s="4" t="str">
        <f t="shared" si="506"/>
        <v>Dos Mil Doscientos Bolívares con 00/100</v>
      </c>
    </row>
    <row r="1757" spans="1:17" x14ac:dyDescent="0.25">
      <c r="A1757" s="1">
        <f t="shared" si="483"/>
        <v>1756</v>
      </c>
      <c r="C1757" s="8" t="s">
        <v>17</v>
      </c>
      <c r="D1757" s="2">
        <v>43488</v>
      </c>
      <c r="E1757" s="3">
        <v>3000</v>
      </c>
      <c r="F1757" t="s">
        <v>181</v>
      </c>
      <c r="G1757" t="s">
        <v>182</v>
      </c>
      <c r="H1757" t="s">
        <v>183</v>
      </c>
      <c r="I1757" s="6" t="s">
        <v>887</v>
      </c>
      <c r="J1757" s="61" t="s">
        <v>22</v>
      </c>
      <c r="L1757" s="5" t="str">
        <f t="shared" si="501"/>
        <v>01756</v>
      </c>
      <c r="M1757" s="47" t="str">
        <f t="shared" si="502"/>
        <v>23 de enero de 2019</v>
      </c>
      <c r="N1757" s="323">
        <f t="shared" si="503"/>
        <v>23</v>
      </c>
      <c r="O1757" s="25">
        <f t="shared" si="504"/>
        <v>43466</v>
      </c>
      <c r="P1757" s="5" t="str">
        <f t="shared" si="505"/>
        <v>3.000,00</v>
      </c>
      <c r="Q1757" s="4" t="str">
        <f t="shared" si="506"/>
        <v>Tres Mil Bolívares con 00/100</v>
      </c>
    </row>
    <row r="1758" spans="1:17" x14ac:dyDescent="0.25">
      <c r="A1758" s="1">
        <f t="shared" si="483"/>
        <v>1757</v>
      </c>
      <c r="C1758" s="8" t="s">
        <v>17</v>
      </c>
      <c r="D1758" s="2">
        <v>43488</v>
      </c>
      <c r="E1758" s="3">
        <v>3000</v>
      </c>
      <c r="F1758" t="s">
        <v>211</v>
      </c>
      <c r="G1758" t="s">
        <v>212</v>
      </c>
      <c r="H1758" t="s">
        <v>213</v>
      </c>
      <c r="I1758" s="6" t="s">
        <v>887</v>
      </c>
      <c r="J1758" s="61" t="s">
        <v>22</v>
      </c>
      <c r="L1758" s="5" t="str">
        <f t="shared" si="501"/>
        <v>01757</v>
      </c>
      <c r="M1758" s="47" t="str">
        <f t="shared" si="502"/>
        <v>23 de enero de 2019</v>
      </c>
      <c r="N1758" s="323">
        <f t="shared" si="503"/>
        <v>23</v>
      </c>
      <c r="O1758" s="25">
        <f t="shared" si="504"/>
        <v>43466</v>
      </c>
      <c r="P1758" s="5" t="str">
        <f t="shared" si="505"/>
        <v>3.000,00</v>
      </c>
      <c r="Q1758" s="4" t="str">
        <f t="shared" si="506"/>
        <v>Tres Mil Bolívares con 00/100</v>
      </c>
    </row>
    <row r="1759" spans="1:17" x14ac:dyDescent="0.25">
      <c r="A1759" s="1">
        <f t="shared" si="483"/>
        <v>1758</v>
      </c>
      <c r="C1759" s="8" t="s">
        <v>17</v>
      </c>
      <c r="D1759" s="2">
        <v>43488</v>
      </c>
      <c r="E1759" s="3">
        <v>2200</v>
      </c>
      <c r="F1759" t="s">
        <v>407</v>
      </c>
      <c r="G1759" t="s">
        <v>408</v>
      </c>
      <c r="H1759" t="s">
        <v>409</v>
      </c>
      <c r="I1759" s="6" t="s">
        <v>886</v>
      </c>
      <c r="J1759" s="61" t="s">
        <v>22</v>
      </c>
      <c r="L1759" s="5" t="str">
        <f t="shared" si="501"/>
        <v>01758</v>
      </c>
      <c r="M1759" s="47" t="str">
        <f t="shared" si="502"/>
        <v>23 de enero de 2019</v>
      </c>
      <c r="N1759" s="323">
        <f t="shared" si="503"/>
        <v>23</v>
      </c>
      <c r="O1759" s="25">
        <f t="shared" si="504"/>
        <v>43466</v>
      </c>
      <c r="P1759" s="5" t="str">
        <f t="shared" si="505"/>
        <v>2.200,00</v>
      </c>
      <c r="Q1759" s="4" t="str">
        <f>CONVERTIRNUM(E1759)</f>
        <v>Dos Mil Doscientos Bolívares con 00/100</v>
      </c>
    </row>
    <row r="1760" spans="1:17" x14ac:dyDescent="0.25">
      <c r="A1760" s="1">
        <f t="shared" si="483"/>
        <v>1759</v>
      </c>
      <c r="C1760" s="8" t="s">
        <v>17</v>
      </c>
      <c r="D1760" s="2">
        <v>43489</v>
      </c>
      <c r="E1760" s="3">
        <v>3000</v>
      </c>
      <c r="F1760" t="s">
        <v>443</v>
      </c>
      <c r="G1760" t="s">
        <v>444</v>
      </c>
      <c r="H1760" t="s">
        <v>75</v>
      </c>
      <c r="I1760" s="6" t="s">
        <v>887</v>
      </c>
      <c r="J1760" s="61" t="s">
        <v>22</v>
      </c>
      <c r="L1760" s="5" t="str">
        <f t="shared" si="501"/>
        <v>01759</v>
      </c>
      <c r="M1760" s="47" t="str">
        <f t="shared" si="502"/>
        <v>24 de enero de 2019</v>
      </c>
      <c r="N1760" s="323">
        <f t="shared" si="503"/>
        <v>24</v>
      </c>
      <c r="O1760" s="25">
        <f t="shared" si="504"/>
        <v>43466</v>
      </c>
      <c r="P1760" s="5" t="str">
        <f t="shared" si="505"/>
        <v>3.000,00</v>
      </c>
      <c r="Q1760" s="4" t="str">
        <f t="shared" ref="Q1760:Q1777" si="507">CONVERTIRNUM(E1760)</f>
        <v>Tres Mil Bolívares con 00/100</v>
      </c>
    </row>
    <row r="1761" spans="1:17" x14ac:dyDescent="0.25">
      <c r="A1761" s="1">
        <f t="shared" si="483"/>
        <v>1760</v>
      </c>
      <c r="C1761" s="8" t="s">
        <v>17</v>
      </c>
      <c r="D1761" s="2">
        <v>43490</v>
      </c>
      <c r="E1761" s="3">
        <v>3000</v>
      </c>
      <c r="F1761" t="s">
        <v>633</v>
      </c>
      <c r="G1761" t="s">
        <v>634</v>
      </c>
      <c r="H1761" t="s">
        <v>635</v>
      </c>
      <c r="I1761" s="6" t="s">
        <v>887</v>
      </c>
      <c r="J1761" s="61" t="s">
        <v>22</v>
      </c>
      <c r="L1761" s="5" t="str">
        <f t="shared" si="501"/>
        <v>01760</v>
      </c>
      <c r="M1761" s="47" t="str">
        <f t="shared" si="502"/>
        <v>25 de enero de 2019</v>
      </c>
      <c r="N1761" s="323">
        <f t="shared" si="503"/>
        <v>25</v>
      </c>
      <c r="O1761" s="25">
        <f t="shared" si="504"/>
        <v>43466</v>
      </c>
      <c r="P1761" s="5" t="str">
        <f t="shared" si="505"/>
        <v>3.000,00</v>
      </c>
      <c r="Q1761" s="4" t="str">
        <f t="shared" si="507"/>
        <v>Tres Mil Bolívares con 00/100</v>
      </c>
    </row>
    <row r="1762" spans="1:17" x14ac:dyDescent="0.25">
      <c r="A1762" s="1">
        <f t="shared" si="483"/>
        <v>1761</v>
      </c>
      <c r="C1762" s="8" t="s">
        <v>17</v>
      </c>
      <c r="D1762" s="2">
        <v>43490</v>
      </c>
      <c r="E1762" s="3">
        <v>3000</v>
      </c>
      <c r="F1762" t="s">
        <v>771</v>
      </c>
      <c r="G1762" t="s">
        <v>772</v>
      </c>
      <c r="H1762" t="s">
        <v>773</v>
      </c>
      <c r="I1762" s="6" t="s">
        <v>891</v>
      </c>
      <c r="J1762" s="61" t="s">
        <v>22</v>
      </c>
      <c r="L1762" s="5" t="str">
        <f t="shared" si="501"/>
        <v>01761</v>
      </c>
      <c r="M1762" s="47" t="str">
        <f t="shared" si="502"/>
        <v>25 de enero de 2019</v>
      </c>
      <c r="N1762" s="323">
        <f t="shared" si="503"/>
        <v>25</v>
      </c>
      <c r="O1762" s="25">
        <f t="shared" si="504"/>
        <v>43466</v>
      </c>
      <c r="P1762" s="5" t="str">
        <f t="shared" si="505"/>
        <v>3.000,00</v>
      </c>
      <c r="Q1762" s="4" t="str">
        <f t="shared" si="507"/>
        <v>Tres Mil Bolívares con 00/100</v>
      </c>
    </row>
    <row r="1763" spans="1:17" x14ac:dyDescent="0.25">
      <c r="A1763" s="1">
        <f t="shared" si="483"/>
        <v>1762</v>
      </c>
      <c r="C1763" s="8" t="s">
        <v>17</v>
      </c>
      <c r="D1763" s="2">
        <v>43494</v>
      </c>
      <c r="E1763" s="3">
        <v>3000</v>
      </c>
      <c r="F1763" t="s">
        <v>296</v>
      </c>
      <c r="G1763" t="s">
        <v>297</v>
      </c>
      <c r="H1763" t="s">
        <v>298</v>
      </c>
      <c r="I1763" s="6" t="s">
        <v>887</v>
      </c>
      <c r="J1763" s="61" t="s">
        <v>22</v>
      </c>
      <c r="L1763" s="5" t="str">
        <f t="shared" si="501"/>
        <v>01762</v>
      </c>
      <c r="M1763" s="47" t="str">
        <f t="shared" si="502"/>
        <v>29 de enero de 2019</v>
      </c>
      <c r="N1763" s="323">
        <f t="shared" si="503"/>
        <v>29</v>
      </c>
      <c r="O1763" s="25">
        <f t="shared" si="504"/>
        <v>43466</v>
      </c>
      <c r="P1763" s="5" t="str">
        <f t="shared" si="505"/>
        <v>3.000,00</v>
      </c>
      <c r="Q1763" s="4" t="str">
        <f t="shared" si="507"/>
        <v>Tres Mil Bolívares con 00/100</v>
      </c>
    </row>
    <row r="1764" spans="1:17" x14ac:dyDescent="0.25">
      <c r="A1764" s="1">
        <f t="shared" si="483"/>
        <v>1763</v>
      </c>
      <c r="C1764" s="8" t="s">
        <v>17</v>
      </c>
      <c r="D1764" s="2">
        <v>43494</v>
      </c>
      <c r="E1764" s="3">
        <v>6500</v>
      </c>
      <c r="F1764" t="s">
        <v>100</v>
      </c>
      <c r="G1764" t="s">
        <v>95</v>
      </c>
      <c r="H1764" t="s">
        <v>101</v>
      </c>
      <c r="I1764" s="6" t="s">
        <v>890</v>
      </c>
      <c r="J1764" s="61" t="s">
        <v>22</v>
      </c>
      <c r="L1764" s="5" t="str">
        <f t="shared" si="501"/>
        <v>01763</v>
      </c>
      <c r="M1764" s="47" t="str">
        <f t="shared" si="502"/>
        <v>29 de enero de 2019</v>
      </c>
      <c r="N1764" s="323">
        <f t="shared" si="503"/>
        <v>29</v>
      </c>
      <c r="O1764" s="25">
        <f t="shared" si="504"/>
        <v>43466</v>
      </c>
      <c r="P1764" s="5" t="str">
        <f t="shared" si="505"/>
        <v>6.500,00</v>
      </c>
      <c r="Q1764" s="4" t="str">
        <f t="shared" si="507"/>
        <v>Seis Mil Quinientos Bolívares con 00/100</v>
      </c>
    </row>
    <row r="1765" spans="1:17" x14ac:dyDescent="0.25">
      <c r="A1765" s="1">
        <f t="shared" si="483"/>
        <v>1764</v>
      </c>
      <c r="C1765" s="8" t="s">
        <v>17</v>
      </c>
      <c r="D1765" s="2">
        <v>43495</v>
      </c>
      <c r="E1765" s="3">
        <v>2200</v>
      </c>
      <c r="F1765" t="s">
        <v>248</v>
      </c>
      <c r="G1765" t="s">
        <v>249</v>
      </c>
      <c r="H1765" t="s">
        <v>250</v>
      </c>
      <c r="I1765" s="6" t="s">
        <v>886</v>
      </c>
      <c r="J1765" s="61" t="s">
        <v>22</v>
      </c>
      <c r="L1765" s="5" t="str">
        <f t="shared" si="501"/>
        <v>01764</v>
      </c>
      <c r="M1765" s="47" t="str">
        <f t="shared" si="502"/>
        <v>30 de enero de 2019</v>
      </c>
      <c r="N1765" s="323">
        <f t="shared" si="503"/>
        <v>30</v>
      </c>
      <c r="O1765" s="25">
        <f t="shared" si="504"/>
        <v>43466</v>
      </c>
      <c r="P1765" s="5" t="str">
        <f t="shared" si="505"/>
        <v>2.200,00</v>
      </c>
      <c r="Q1765" s="4" t="str">
        <f t="shared" si="507"/>
        <v>Dos Mil Doscientos Bolívares con 00/100</v>
      </c>
    </row>
    <row r="1766" spans="1:17" x14ac:dyDescent="0.25">
      <c r="A1766" s="1">
        <f t="shared" si="483"/>
        <v>1765</v>
      </c>
      <c r="C1766" s="8" t="s">
        <v>17</v>
      </c>
      <c r="D1766" s="2">
        <v>43495</v>
      </c>
      <c r="E1766" s="3">
        <v>2200</v>
      </c>
      <c r="F1766" t="s">
        <v>114</v>
      </c>
      <c r="G1766" t="s">
        <v>115</v>
      </c>
      <c r="H1766" t="s">
        <v>105</v>
      </c>
      <c r="I1766" s="6" t="s">
        <v>886</v>
      </c>
      <c r="J1766" s="61" t="s">
        <v>22</v>
      </c>
      <c r="L1766" s="5" t="str">
        <f t="shared" si="501"/>
        <v>01765</v>
      </c>
      <c r="M1766" s="47" t="str">
        <f t="shared" si="502"/>
        <v>30 de enero de 2019</v>
      </c>
      <c r="N1766" s="323">
        <f t="shared" si="503"/>
        <v>30</v>
      </c>
      <c r="O1766" s="25">
        <f t="shared" si="504"/>
        <v>43466</v>
      </c>
      <c r="P1766" s="5" t="str">
        <f t="shared" si="505"/>
        <v>2.200,00</v>
      </c>
      <c r="Q1766" s="4" t="str">
        <f t="shared" si="507"/>
        <v>Dos Mil Doscientos Bolívares con 00/100</v>
      </c>
    </row>
    <row r="1767" spans="1:17" x14ac:dyDescent="0.25">
      <c r="A1767" s="1">
        <f t="shared" si="483"/>
        <v>1766</v>
      </c>
      <c r="C1767" s="8" t="s">
        <v>17</v>
      </c>
      <c r="D1767" s="2">
        <v>43495</v>
      </c>
      <c r="E1767" s="3">
        <v>500</v>
      </c>
      <c r="F1767" t="s">
        <v>324</v>
      </c>
      <c r="G1767" t="s">
        <v>325</v>
      </c>
      <c r="H1767" t="s">
        <v>326</v>
      </c>
      <c r="I1767" s="6" t="s">
        <v>881</v>
      </c>
      <c r="J1767" s="61" t="s">
        <v>22</v>
      </c>
      <c r="L1767" s="5" t="str">
        <f t="shared" si="501"/>
        <v>01766</v>
      </c>
      <c r="M1767" s="47" t="str">
        <f t="shared" si="502"/>
        <v>30 de enero de 2019</v>
      </c>
      <c r="N1767" s="323">
        <f t="shared" si="503"/>
        <v>30</v>
      </c>
      <c r="O1767" s="25">
        <f t="shared" si="504"/>
        <v>43466</v>
      </c>
      <c r="P1767" s="5" t="str">
        <f t="shared" si="505"/>
        <v>500,00</v>
      </c>
      <c r="Q1767" s="4" t="str">
        <f t="shared" si="507"/>
        <v>Quinientos Bolívares con 00/100</v>
      </c>
    </row>
    <row r="1768" spans="1:17" x14ac:dyDescent="0.25">
      <c r="A1768" s="1">
        <f t="shared" si="483"/>
        <v>1767</v>
      </c>
      <c r="C1768" s="8" t="s">
        <v>17</v>
      </c>
      <c r="D1768" s="2">
        <v>43495</v>
      </c>
      <c r="E1768" s="3">
        <v>2200</v>
      </c>
      <c r="F1768" t="s">
        <v>134</v>
      </c>
      <c r="G1768" t="s">
        <v>135</v>
      </c>
      <c r="H1768" t="s">
        <v>136</v>
      </c>
      <c r="I1768" s="6" t="s">
        <v>886</v>
      </c>
      <c r="J1768" s="61" t="s">
        <v>22</v>
      </c>
      <c r="L1768" s="5" t="str">
        <f t="shared" ref="L1768:L1784" si="508">IF(ISBLANK(A1768),"",TEXT(A1768,"00000"))</f>
        <v>01767</v>
      </c>
      <c r="M1768" s="47" t="str">
        <f t="shared" ref="M1768:M1784" si="509">IF(ISBLANK(D1768),"",TEXT(D1768,"dd")&amp;" de "&amp;TEXT(D1768,"mmmm")&amp;" de "&amp;TEXT(YEAR(D1768),"0"))</f>
        <v>30 de enero de 2019</v>
      </c>
      <c r="N1768" s="323">
        <f t="shared" ref="N1768:N1795" si="510">DAY(D1768)</f>
        <v>30</v>
      </c>
      <c r="O1768" s="25">
        <f t="shared" ref="O1768:O1784" si="511">DATE(YEAR(D1768),MONTH(D1768),1)</f>
        <v>43466</v>
      </c>
      <c r="P1768" s="5" t="str">
        <f t="shared" ref="P1768:P1795" si="512">TEXT(E1768,"#.##0,00")</f>
        <v>2.200,00</v>
      </c>
      <c r="Q1768" s="4" t="str">
        <f t="shared" si="507"/>
        <v>Dos Mil Doscientos Bolívares con 00/100</v>
      </c>
    </row>
    <row r="1769" spans="1:17" x14ac:dyDescent="0.25">
      <c r="A1769" s="1">
        <f t="shared" si="483"/>
        <v>1768</v>
      </c>
      <c r="C1769" s="8" t="s">
        <v>17</v>
      </c>
      <c r="D1769" s="2">
        <v>43495</v>
      </c>
      <c r="E1769" s="3">
        <v>2200</v>
      </c>
      <c r="F1769" t="s">
        <v>48</v>
      </c>
      <c r="G1769" t="s">
        <v>49</v>
      </c>
      <c r="H1769" t="s">
        <v>50</v>
      </c>
      <c r="I1769" s="6" t="s">
        <v>886</v>
      </c>
      <c r="J1769" s="61" t="s">
        <v>22</v>
      </c>
      <c r="L1769" s="5" t="str">
        <f t="shared" si="508"/>
        <v>01768</v>
      </c>
      <c r="M1769" s="47" t="str">
        <f t="shared" si="509"/>
        <v>30 de enero de 2019</v>
      </c>
      <c r="N1769" s="323">
        <f t="shared" si="510"/>
        <v>30</v>
      </c>
      <c r="O1769" s="25">
        <f t="shared" si="511"/>
        <v>43466</v>
      </c>
      <c r="P1769" s="5" t="str">
        <f t="shared" si="512"/>
        <v>2.200,00</v>
      </c>
      <c r="Q1769" s="4" t="str">
        <f t="shared" si="507"/>
        <v>Dos Mil Doscientos Bolívares con 00/100</v>
      </c>
    </row>
    <row r="1770" spans="1:17" x14ac:dyDescent="0.25">
      <c r="A1770" s="1">
        <f t="shared" si="483"/>
        <v>1769</v>
      </c>
      <c r="C1770" s="8" t="s">
        <v>17</v>
      </c>
      <c r="D1770" s="2">
        <v>43495</v>
      </c>
      <c r="E1770" s="3">
        <v>3000</v>
      </c>
      <c r="F1770" t="s">
        <v>537</v>
      </c>
      <c r="G1770" t="s">
        <v>538</v>
      </c>
      <c r="H1770" t="s">
        <v>539</v>
      </c>
      <c r="I1770" s="6" t="s">
        <v>887</v>
      </c>
      <c r="J1770" s="61" t="s">
        <v>22</v>
      </c>
      <c r="L1770" s="5" t="str">
        <f t="shared" si="508"/>
        <v>01769</v>
      </c>
      <c r="M1770" s="47" t="str">
        <f t="shared" si="509"/>
        <v>30 de enero de 2019</v>
      </c>
      <c r="N1770" s="323">
        <f t="shared" si="510"/>
        <v>30</v>
      </c>
      <c r="O1770" s="25">
        <f t="shared" si="511"/>
        <v>43466</v>
      </c>
      <c r="P1770" s="5" t="str">
        <f t="shared" si="512"/>
        <v>3.000,00</v>
      </c>
      <c r="Q1770" s="4" t="str">
        <f t="shared" si="507"/>
        <v>Tres Mil Bolívares con 00/100</v>
      </c>
    </row>
    <row r="1771" spans="1:17" x14ac:dyDescent="0.25">
      <c r="A1771" s="1">
        <f t="shared" si="483"/>
        <v>1770</v>
      </c>
      <c r="C1771" s="8" t="s">
        <v>17</v>
      </c>
      <c r="D1771" s="2">
        <v>43495</v>
      </c>
      <c r="E1771" s="3">
        <v>2200</v>
      </c>
      <c r="F1771" t="s">
        <v>80</v>
      </c>
      <c r="G1771" t="s">
        <v>81</v>
      </c>
      <c r="H1771" t="s">
        <v>82</v>
      </c>
      <c r="I1771" s="6" t="s">
        <v>886</v>
      </c>
      <c r="J1771" s="61" t="s">
        <v>22</v>
      </c>
      <c r="L1771" s="5" t="str">
        <f t="shared" si="508"/>
        <v>01770</v>
      </c>
      <c r="M1771" s="47" t="str">
        <f t="shared" si="509"/>
        <v>30 de enero de 2019</v>
      </c>
      <c r="N1771" s="323">
        <f t="shared" si="510"/>
        <v>30</v>
      </c>
      <c r="O1771" s="25">
        <f t="shared" si="511"/>
        <v>43466</v>
      </c>
      <c r="P1771" s="5" t="str">
        <f t="shared" si="512"/>
        <v>2.200,00</v>
      </c>
      <c r="Q1771" s="4" t="str">
        <f t="shared" si="507"/>
        <v>Dos Mil Doscientos Bolívares con 00/100</v>
      </c>
    </row>
    <row r="1772" spans="1:17" x14ac:dyDescent="0.25">
      <c r="A1772" s="1">
        <f t="shared" si="483"/>
        <v>1771</v>
      </c>
      <c r="C1772" s="8" t="s">
        <v>17</v>
      </c>
      <c r="D1772" s="2">
        <v>43495</v>
      </c>
      <c r="E1772" s="3">
        <v>2000</v>
      </c>
      <c r="F1772" t="s">
        <v>53</v>
      </c>
      <c r="G1772" t="s">
        <v>677</v>
      </c>
      <c r="H1772" t="s">
        <v>55</v>
      </c>
      <c r="I1772" s="6" t="s">
        <v>886</v>
      </c>
      <c r="J1772" s="61" t="s">
        <v>22</v>
      </c>
      <c r="L1772" s="5" t="str">
        <f t="shared" si="508"/>
        <v>01771</v>
      </c>
      <c r="M1772" s="47" t="str">
        <f t="shared" si="509"/>
        <v>30 de enero de 2019</v>
      </c>
      <c r="N1772" s="323">
        <f t="shared" si="510"/>
        <v>30</v>
      </c>
      <c r="O1772" s="25">
        <f t="shared" si="511"/>
        <v>43466</v>
      </c>
      <c r="P1772" s="5" t="str">
        <f t="shared" si="512"/>
        <v>2.000,00</v>
      </c>
      <c r="Q1772" s="4" t="str">
        <f t="shared" si="507"/>
        <v>Dos Mil Bolívares con 00/100</v>
      </c>
    </row>
    <row r="1773" spans="1:17" x14ac:dyDescent="0.25">
      <c r="A1773" s="1">
        <f t="shared" ref="A1773:A1783" si="513">A1772+1</f>
        <v>1772</v>
      </c>
      <c r="C1773" s="8" t="s">
        <v>17</v>
      </c>
      <c r="D1773" s="2">
        <v>43495</v>
      </c>
      <c r="E1773" s="3">
        <v>3800</v>
      </c>
      <c r="F1773" t="s">
        <v>843</v>
      </c>
      <c r="G1773" t="s">
        <v>844</v>
      </c>
      <c r="H1773" t="s">
        <v>169</v>
      </c>
      <c r="I1773" s="6" t="s">
        <v>879</v>
      </c>
      <c r="J1773" s="61" t="s">
        <v>22</v>
      </c>
      <c r="L1773" s="5" t="str">
        <f t="shared" si="508"/>
        <v>01772</v>
      </c>
      <c r="M1773" s="47" t="str">
        <f t="shared" si="509"/>
        <v>30 de enero de 2019</v>
      </c>
      <c r="N1773" s="323">
        <f t="shared" si="510"/>
        <v>30</v>
      </c>
      <c r="O1773" s="25">
        <f t="shared" si="511"/>
        <v>43466</v>
      </c>
      <c r="P1773" s="5" t="str">
        <f t="shared" si="512"/>
        <v>3.800,00</v>
      </c>
      <c r="Q1773" s="4" t="str">
        <f t="shared" si="507"/>
        <v>Tres Mil Ochocientos Bolívares con 00/100</v>
      </c>
    </row>
    <row r="1774" spans="1:17" x14ac:dyDescent="0.25">
      <c r="A1774" s="1">
        <f t="shared" si="513"/>
        <v>1773</v>
      </c>
      <c r="C1774" s="8" t="s">
        <v>17</v>
      </c>
      <c r="D1774" s="2">
        <v>43495</v>
      </c>
      <c r="E1774" s="3">
        <v>3000</v>
      </c>
      <c r="F1774" t="s">
        <v>337</v>
      </c>
      <c r="G1774" t="s">
        <v>338</v>
      </c>
      <c r="H1774" t="s">
        <v>339</v>
      </c>
      <c r="I1774" s="6" t="s">
        <v>887</v>
      </c>
      <c r="J1774" s="61" t="s">
        <v>22</v>
      </c>
      <c r="L1774" s="5" t="str">
        <f t="shared" si="508"/>
        <v>01773</v>
      </c>
      <c r="M1774" s="47" t="str">
        <f t="shared" si="509"/>
        <v>30 de enero de 2019</v>
      </c>
      <c r="N1774" s="323">
        <f t="shared" si="510"/>
        <v>30</v>
      </c>
      <c r="O1774" s="25">
        <f t="shared" si="511"/>
        <v>43466</v>
      </c>
      <c r="P1774" s="5" t="str">
        <f t="shared" si="512"/>
        <v>3.000,00</v>
      </c>
      <c r="Q1774" s="4" t="str">
        <f t="shared" si="507"/>
        <v>Tres Mil Bolívares con 00/100</v>
      </c>
    </row>
    <row r="1775" spans="1:17" x14ac:dyDescent="0.25">
      <c r="A1775" s="1">
        <f t="shared" si="513"/>
        <v>1774</v>
      </c>
      <c r="C1775" s="8" t="s">
        <v>17</v>
      </c>
      <c r="D1775" s="2">
        <v>43495</v>
      </c>
      <c r="E1775" s="3">
        <v>3000</v>
      </c>
      <c r="F1775" t="s">
        <v>122</v>
      </c>
      <c r="G1775" t="s">
        <v>123</v>
      </c>
      <c r="H1775" t="s">
        <v>124</v>
      </c>
      <c r="I1775" s="6" t="s">
        <v>887</v>
      </c>
      <c r="J1775" s="61" t="s">
        <v>22</v>
      </c>
      <c r="L1775" s="5" t="str">
        <f t="shared" si="508"/>
        <v>01774</v>
      </c>
      <c r="M1775" s="47" t="str">
        <f t="shared" si="509"/>
        <v>30 de enero de 2019</v>
      </c>
      <c r="N1775" s="323">
        <f t="shared" si="510"/>
        <v>30</v>
      </c>
      <c r="O1775" s="25">
        <f t="shared" si="511"/>
        <v>43466</v>
      </c>
      <c r="P1775" s="5" t="str">
        <f t="shared" si="512"/>
        <v>3.000,00</v>
      </c>
      <c r="Q1775" s="4" t="str">
        <f t="shared" si="507"/>
        <v>Tres Mil Bolívares con 00/100</v>
      </c>
    </row>
    <row r="1776" spans="1:17" x14ac:dyDescent="0.25">
      <c r="A1776" s="1">
        <f t="shared" si="513"/>
        <v>1775</v>
      </c>
      <c r="C1776" s="8" t="s">
        <v>17</v>
      </c>
      <c r="D1776" s="2">
        <v>43496</v>
      </c>
      <c r="E1776" s="3">
        <v>3000</v>
      </c>
      <c r="F1776" t="s">
        <v>892</v>
      </c>
      <c r="G1776" t="s">
        <v>893</v>
      </c>
      <c r="H1776" s="21" t="s">
        <v>59</v>
      </c>
      <c r="I1776" s="6" t="s">
        <v>887</v>
      </c>
      <c r="J1776" s="61" t="s">
        <v>22</v>
      </c>
      <c r="K1776" s="22"/>
      <c r="L1776" s="5" t="str">
        <f t="shared" si="508"/>
        <v>01775</v>
      </c>
      <c r="M1776" s="47" t="str">
        <f t="shared" si="509"/>
        <v>31 de enero de 2019</v>
      </c>
      <c r="N1776" s="323">
        <f t="shared" si="510"/>
        <v>31</v>
      </c>
      <c r="O1776" s="25">
        <f t="shared" si="511"/>
        <v>43466</v>
      </c>
      <c r="P1776" s="5" t="str">
        <f t="shared" si="512"/>
        <v>3.000,00</v>
      </c>
      <c r="Q1776" s="4" t="str">
        <f t="shared" si="507"/>
        <v>Tres Mil Bolívares con 00/100</v>
      </c>
    </row>
    <row r="1777" spans="1:17" x14ac:dyDescent="0.25">
      <c r="A1777" s="1">
        <f t="shared" si="513"/>
        <v>1776</v>
      </c>
      <c r="C1777" s="85" t="s">
        <v>17</v>
      </c>
      <c r="D1777" s="2">
        <v>43496</v>
      </c>
      <c r="E1777" s="3">
        <v>3190</v>
      </c>
      <c r="F1777" s="23" t="s">
        <v>422</v>
      </c>
      <c r="G1777" s="18" t="s">
        <v>58</v>
      </c>
      <c r="H1777" t="s">
        <v>423</v>
      </c>
      <c r="I1777" s="6" t="s">
        <v>886</v>
      </c>
      <c r="J1777" s="61" t="s">
        <v>22</v>
      </c>
      <c r="L1777" s="5" t="str">
        <f t="shared" si="508"/>
        <v>01776</v>
      </c>
      <c r="M1777" s="47" t="str">
        <f t="shared" si="509"/>
        <v>31 de enero de 2019</v>
      </c>
      <c r="N1777" s="323">
        <f t="shared" si="510"/>
        <v>31</v>
      </c>
      <c r="O1777" s="25">
        <f t="shared" si="511"/>
        <v>43466</v>
      </c>
      <c r="P1777" s="5" t="str">
        <f t="shared" si="512"/>
        <v>3.190,00</v>
      </c>
      <c r="Q1777" s="4" t="str">
        <f t="shared" si="507"/>
        <v>Tres Mil Ciento Noventa Bolívares con 00/100</v>
      </c>
    </row>
    <row r="1778" spans="1:17" x14ac:dyDescent="0.25">
      <c r="A1778" s="1">
        <f t="shared" si="513"/>
        <v>1777</v>
      </c>
      <c r="C1778" s="8" t="s">
        <v>17</v>
      </c>
      <c r="D1778" s="2">
        <v>43496</v>
      </c>
      <c r="E1778" s="3">
        <v>1500</v>
      </c>
      <c r="F1778" t="s">
        <v>324</v>
      </c>
      <c r="G1778" t="s">
        <v>325</v>
      </c>
      <c r="H1778" t="s">
        <v>326</v>
      </c>
      <c r="I1778" s="6" t="s">
        <v>894</v>
      </c>
      <c r="J1778" s="61" t="s">
        <v>22</v>
      </c>
      <c r="L1778" s="5" t="str">
        <f t="shared" si="508"/>
        <v>01777</v>
      </c>
      <c r="M1778" s="47" t="str">
        <f t="shared" si="509"/>
        <v>31 de enero de 2019</v>
      </c>
      <c r="N1778" s="323">
        <f t="shared" si="510"/>
        <v>31</v>
      </c>
      <c r="O1778" s="25">
        <f t="shared" si="511"/>
        <v>43466</v>
      </c>
      <c r="P1778" s="5" t="str">
        <f t="shared" si="512"/>
        <v>1.500,00</v>
      </c>
      <c r="Q1778" s="4" t="str">
        <f t="shared" ref="Q1778:Q1795" si="514">CONVERTIRNUM(E1778)</f>
        <v>Mil Quinientos Bolívares con 00/100</v>
      </c>
    </row>
    <row r="1779" spans="1:17" x14ac:dyDescent="0.25">
      <c r="A1779" s="1">
        <f t="shared" si="513"/>
        <v>1778</v>
      </c>
      <c r="C1779" s="8" t="s">
        <v>17</v>
      </c>
      <c r="D1779" s="2">
        <v>43496</v>
      </c>
      <c r="E1779" s="3">
        <v>2200</v>
      </c>
      <c r="F1779" t="s">
        <v>103</v>
      </c>
      <c r="G1779" t="s">
        <v>104</v>
      </c>
      <c r="H1779" t="s">
        <v>105</v>
      </c>
      <c r="I1779" s="6" t="s">
        <v>886</v>
      </c>
      <c r="J1779" s="61" t="s">
        <v>22</v>
      </c>
      <c r="L1779" s="5" t="str">
        <f t="shared" si="508"/>
        <v>01778</v>
      </c>
      <c r="M1779" s="47" t="str">
        <f t="shared" si="509"/>
        <v>31 de enero de 2019</v>
      </c>
      <c r="N1779" s="323">
        <f t="shared" si="510"/>
        <v>31</v>
      </c>
      <c r="O1779" s="25">
        <f t="shared" si="511"/>
        <v>43466</v>
      </c>
      <c r="P1779" s="5" t="str">
        <f t="shared" si="512"/>
        <v>2.200,00</v>
      </c>
      <c r="Q1779" s="4" t="str">
        <f t="shared" si="514"/>
        <v>Dos Mil Doscientos Bolívares con 00/100</v>
      </c>
    </row>
    <row r="1780" spans="1:17" x14ac:dyDescent="0.25">
      <c r="A1780" s="1">
        <f t="shared" si="513"/>
        <v>1779</v>
      </c>
      <c r="C1780" s="8" t="s">
        <v>17</v>
      </c>
      <c r="D1780" s="2">
        <v>43496</v>
      </c>
      <c r="E1780" s="3">
        <v>2200</v>
      </c>
      <c r="F1780" t="s">
        <v>130</v>
      </c>
      <c r="G1780" t="s">
        <v>131</v>
      </c>
      <c r="H1780" t="s">
        <v>132</v>
      </c>
      <c r="I1780" s="6" t="s">
        <v>886</v>
      </c>
      <c r="J1780" s="61" t="s">
        <v>22</v>
      </c>
      <c r="L1780" s="5" t="str">
        <f t="shared" si="508"/>
        <v>01779</v>
      </c>
      <c r="M1780" s="47" t="str">
        <f t="shared" si="509"/>
        <v>31 de enero de 2019</v>
      </c>
      <c r="N1780" s="323">
        <f t="shared" si="510"/>
        <v>31</v>
      </c>
      <c r="O1780" s="25">
        <f t="shared" si="511"/>
        <v>43466</v>
      </c>
      <c r="P1780" s="5" t="str">
        <f t="shared" si="512"/>
        <v>2.200,00</v>
      </c>
      <c r="Q1780" s="4" t="str">
        <f t="shared" si="514"/>
        <v>Dos Mil Doscientos Bolívares con 00/100</v>
      </c>
    </row>
    <row r="1781" spans="1:17" x14ac:dyDescent="0.25">
      <c r="A1781" s="1">
        <f t="shared" si="513"/>
        <v>1780</v>
      </c>
      <c r="C1781" s="8" t="s">
        <v>17</v>
      </c>
      <c r="D1781" s="2">
        <v>43496</v>
      </c>
      <c r="E1781" s="3">
        <v>3000</v>
      </c>
      <c r="F1781" t="s">
        <v>62</v>
      </c>
      <c r="G1781" t="s">
        <v>63</v>
      </c>
      <c r="H1781" t="s">
        <v>64</v>
      </c>
      <c r="I1781" s="6" t="s">
        <v>887</v>
      </c>
      <c r="J1781" s="61" t="s">
        <v>22</v>
      </c>
      <c r="L1781" s="5" t="str">
        <f t="shared" si="508"/>
        <v>01780</v>
      </c>
      <c r="M1781" s="47" t="str">
        <f t="shared" si="509"/>
        <v>31 de enero de 2019</v>
      </c>
      <c r="N1781" s="323">
        <f t="shared" si="510"/>
        <v>31</v>
      </c>
      <c r="O1781" s="25">
        <f t="shared" si="511"/>
        <v>43466</v>
      </c>
      <c r="P1781" s="5" t="str">
        <f t="shared" si="512"/>
        <v>3.000,00</v>
      </c>
      <c r="Q1781" s="4" t="str">
        <f t="shared" si="514"/>
        <v>Tres Mil Bolívares con 00/100</v>
      </c>
    </row>
    <row r="1782" spans="1:17" x14ac:dyDescent="0.25">
      <c r="A1782" s="1">
        <f t="shared" si="513"/>
        <v>1781</v>
      </c>
      <c r="C1782" s="85" t="s">
        <v>17</v>
      </c>
      <c r="D1782" s="2">
        <v>43497</v>
      </c>
      <c r="E1782" s="3">
        <v>2200</v>
      </c>
      <c r="F1782" t="s">
        <v>319</v>
      </c>
      <c r="G1782" s="18" t="s">
        <v>58</v>
      </c>
      <c r="H1782" t="s">
        <v>320</v>
      </c>
      <c r="I1782" s="6" t="s">
        <v>886</v>
      </c>
      <c r="J1782" s="61" t="s">
        <v>22</v>
      </c>
      <c r="L1782" s="5" t="str">
        <f t="shared" si="508"/>
        <v>01781</v>
      </c>
      <c r="M1782" s="47" t="str">
        <f t="shared" si="509"/>
        <v>01 de febrero de 2019</v>
      </c>
      <c r="N1782" s="323">
        <f t="shared" si="510"/>
        <v>1</v>
      </c>
      <c r="O1782" s="25">
        <f t="shared" si="511"/>
        <v>43497</v>
      </c>
      <c r="P1782" s="5" t="str">
        <f t="shared" si="512"/>
        <v>2.200,00</v>
      </c>
      <c r="Q1782" s="4" t="str">
        <f t="shared" si="514"/>
        <v>Dos Mil Doscientos Bolívares con 00/100</v>
      </c>
    </row>
    <row r="1783" spans="1:17" x14ac:dyDescent="0.25">
      <c r="A1783" s="1">
        <f t="shared" si="513"/>
        <v>1782</v>
      </c>
      <c r="C1783" s="8" t="s">
        <v>17</v>
      </c>
      <c r="D1783" s="2">
        <v>43486</v>
      </c>
      <c r="E1783" s="3">
        <v>5200</v>
      </c>
      <c r="F1783" t="s">
        <v>66</v>
      </c>
      <c r="G1783" t="s">
        <v>67</v>
      </c>
      <c r="H1783" t="s">
        <v>68</v>
      </c>
      <c r="I1783" s="6" t="s">
        <v>895</v>
      </c>
      <c r="J1783" s="61" t="s">
        <v>22</v>
      </c>
      <c r="L1783" s="5" t="str">
        <f t="shared" si="508"/>
        <v>01782</v>
      </c>
      <c r="M1783" s="47" t="str">
        <f t="shared" si="509"/>
        <v>21 de enero de 2019</v>
      </c>
      <c r="N1783" s="323">
        <f t="shared" si="510"/>
        <v>21</v>
      </c>
      <c r="O1783" s="25">
        <f t="shared" si="511"/>
        <v>43466</v>
      </c>
      <c r="P1783" s="5" t="str">
        <f t="shared" si="512"/>
        <v>5.200,00</v>
      </c>
      <c r="Q1783" s="4" t="str">
        <f t="shared" si="514"/>
        <v>Cinco Mil Doscientos Bolívares con 00/100</v>
      </c>
    </row>
    <row r="1784" spans="1:17" x14ac:dyDescent="0.25">
      <c r="A1784" s="1">
        <f>A1783+1</f>
        <v>1783</v>
      </c>
      <c r="C1784" s="8" t="s">
        <v>17</v>
      </c>
      <c r="D1784" s="2">
        <v>43495</v>
      </c>
      <c r="E1784" s="3">
        <v>1425</v>
      </c>
      <c r="F1784" t="s">
        <v>36</v>
      </c>
      <c r="G1784" t="s">
        <v>37</v>
      </c>
      <c r="H1784" t="s">
        <v>38</v>
      </c>
      <c r="I1784" s="6" t="s">
        <v>896</v>
      </c>
      <c r="J1784" s="61" t="s">
        <v>22</v>
      </c>
      <c r="L1784" s="5" t="str">
        <f t="shared" si="508"/>
        <v>01783</v>
      </c>
      <c r="M1784" s="47" t="str">
        <f t="shared" si="509"/>
        <v>30 de enero de 2019</v>
      </c>
      <c r="N1784" s="323">
        <f t="shared" si="510"/>
        <v>30</v>
      </c>
      <c r="O1784" s="25">
        <f t="shared" si="511"/>
        <v>43466</v>
      </c>
      <c r="P1784" s="5" t="str">
        <f t="shared" si="512"/>
        <v>1.425,00</v>
      </c>
      <c r="Q1784" s="4" t="str">
        <f t="shared" si="514"/>
        <v>Mil Cuatrocientos Veinticinco Bolívares con 00/100</v>
      </c>
    </row>
    <row r="1785" spans="1:17" x14ac:dyDescent="0.25">
      <c r="A1785" s="1">
        <f t="shared" ref="A1785:A1804" si="515">A1784+1</f>
        <v>1784</v>
      </c>
      <c r="C1785" s="8" t="s">
        <v>17</v>
      </c>
      <c r="D1785" s="2">
        <v>43498</v>
      </c>
      <c r="E1785" s="3">
        <v>4000</v>
      </c>
      <c r="F1785" t="s">
        <v>44</v>
      </c>
      <c r="G1785" t="s">
        <v>45</v>
      </c>
      <c r="H1785" t="s">
        <v>46</v>
      </c>
      <c r="I1785" s="6" t="s">
        <v>897</v>
      </c>
      <c r="J1785" s="61" t="s">
        <v>22</v>
      </c>
      <c r="L1785" s="5" t="str">
        <f>IF(ISBLANK(A1785),"",TEXT(A1785,"00000"))</f>
        <v>01784</v>
      </c>
      <c r="M1785" s="47" t="str">
        <f>IF(ISBLANK(D1785),"",TEXT(D1785,"dd")&amp;" de "&amp;TEXT(D1785,"mmmm")&amp;" de "&amp;TEXT(YEAR(D1785),"0"))</f>
        <v>02 de febrero de 2019</v>
      </c>
      <c r="N1785" s="323">
        <f t="shared" si="510"/>
        <v>2</v>
      </c>
      <c r="O1785" s="25">
        <f>DATE(YEAR(D1785),MONTH(D1785),1)</f>
        <v>43497</v>
      </c>
      <c r="P1785" s="5" t="str">
        <f t="shared" si="512"/>
        <v>4.000,00</v>
      </c>
      <c r="Q1785" s="4" t="str">
        <f t="shared" si="514"/>
        <v>Cuatro Mil Bolívares con 00/100</v>
      </c>
    </row>
    <row r="1786" spans="1:17" x14ac:dyDescent="0.25">
      <c r="A1786" s="1">
        <f t="shared" si="515"/>
        <v>1785</v>
      </c>
      <c r="C1786" s="8" t="s">
        <v>17</v>
      </c>
      <c r="D1786" s="2">
        <v>43500</v>
      </c>
      <c r="E1786" s="3">
        <v>800</v>
      </c>
      <c r="F1786" t="s">
        <v>94</v>
      </c>
      <c r="G1786" t="s">
        <v>607</v>
      </c>
      <c r="H1786" t="s">
        <v>96</v>
      </c>
      <c r="I1786" s="6" t="s">
        <v>861</v>
      </c>
      <c r="J1786" s="61" t="s">
        <v>22</v>
      </c>
      <c r="L1786" s="5" t="str">
        <f t="shared" ref="L1786:L1795" si="516">IF(ISBLANK(A1786),"",TEXT(A1786,"00000"))</f>
        <v>01785</v>
      </c>
      <c r="M1786" s="47" t="str">
        <f t="shared" ref="M1786:M1795" si="517">IF(ISBLANK(D1786),"",TEXT(D1786,"dd")&amp;" de "&amp;TEXT(D1786,"mmmm")&amp;" de "&amp;TEXT(YEAR(D1786),"0"))</f>
        <v>04 de febrero de 2019</v>
      </c>
      <c r="N1786" s="323">
        <f t="shared" si="510"/>
        <v>4</v>
      </c>
      <c r="O1786" s="25">
        <f t="shared" ref="O1786:O1795" si="518">DATE(YEAR(D1786),MONTH(D1786),1)</f>
        <v>43497</v>
      </c>
      <c r="P1786" s="5" t="str">
        <f t="shared" si="512"/>
        <v>800,00</v>
      </c>
      <c r="Q1786" s="4" t="str">
        <f t="shared" si="514"/>
        <v>Ochocientos Bolívares con 00/100</v>
      </c>
    </row>
    <row r="1787" spans="1:17" x14ac:dyDescent="0.25">
      <c r="A1787" s="1">
        <f t="shared" si="515"/>
        <v>1786</v>
      </c>
      <c r="C1787" s="8" t="s">
        <v>17</v>
      </c>
      <c r="D1787" s="2">
        <v>43500</v>
      </c>
      <c r="E1787" s="3">
        <v>5200</v>
      </c>
      <c r="F1787" t="s">
        <v>287</v>
      </c>
      <c r="G1787" t="s">
        <v>288</v>
      </c>
      <c r="H1787" t="s">
        <v>289</v>
      </c>
      <c r="I1787" s="6" t="s">
        <v>895</v>
      </c>
      <c r="J1787" s="61" t="s">
        <v>22</v>
      </c>
      <c r="L1787" s="5" t="str">
        <f t="shared" si="516"/>
        <v>01786</v>
      </c>
      <c r="M1787" s="47" t="str">
        <f t="shared" si="517"/>
        <v>04 de febrero de 2019</v>
      </c>
      <c r="N1787" s="323">
        <f t="shared" si="510"/>
        <v>4</v>
      </c>
      <c r="O1787" s="25">
        <f t="shared" si="518"/>
        <v>43497</v>
      </c>
      <c r="P1787" s="5" t="str">
        <f t="shared" si="512"/>
        <v>5.200,00</v>
      </c>
      <c r="Q1787" s="4" t="str">
        <f t="shared" si="514"/>
        <v>Cinco Mil Doscientos Bolívares con 00/100</v>
      </c>
    </row>
    <row r="1788" spans="1:17" x14ac:dyDescent="0.25">
      <c r="A1788" s="1">
        <f t="shared" si="515"/>
        <v>1787</v>
      </c>
      <c r="C1788" s="8" t="s">
        <v>17</v>
      </c>
      <c r="D1788" s="2">
        <v>43500</v>
      </c>
      <c r="E1788" s="3">
        <v>3000</v>
      </c>
      <c r="F1788" t="s">
        <v>284</v>
      </c>
      <c r="G1788" t="s">
        <v>687</v>
      </c>
      <c r="H1788" t="s">
        <v>285</v>
      </c>
      <c r="I1788" s="6" t="s">
        <v>887</v>
      </c>
      <c r="J1788" s="61" t="s">
        <v>22</v>
      </c>
      <c r="L1788" s="5" t="str">
        <f t="shared" si="516"/>
        <v>01787</v>
      </c>
      <c r="M1788" s="47" t="str">
        <f t="shared" si="517"/>
        <v>04 de febrero de 2019</v>
      </c>
      <c r="N1788" s="323">
        <f t="shared" si="510"/>
        <v>4</v>
      </c>
      <c r="O1788" s="25">
        <f t="shared" si="518"/>
        <v>43497</v>
      </c>
      <c r="P1788" s="5" t="str">
        <f t="shared" si="512"/>
        <v>3.000,00</v>
      </c>
      <c r="Q1788" s="4" t="str">
        <f t="shared" si="514"/>
        <v>Tres Mil Bolívares con 00/100</v>
      </c>
    </row>
    <row r="1789" spans="1:17" x14ac:dyDescent="0.25">
      <c r="A1789" s="1">
        <f t="shared" si="515"/>
        <v>1788</v>
      </c>
      <c r="C1789" s="85" t="s">
        <v>17</v>
      </c>
      <c r="D1789" s="2">
        <v>43500</v>
      </c>
      <c r="E1789" s="3">
        <v>300</v>
      </c>
      <c r="F1789" t="s">
        <v>40</v>
      </c>
      <c r="G1789" s="18" t="s">
        <v>58</v>
      </c>
      <c r="H1789" t="s">
        <v>42</v>
      </c>
      <c r="I1789" s="6" t="s">
        <v>898</v>
      </c>
      <c r="J1789" s="61" t="s">
        <v>22</v>
      </c>
      <c r="L1789" s="5" t="str">
        <f t="shared" si="516"/>
        <v>01788</v>
      </c>
      <c r="M1789" s="47" t="str">
        <f t="shared" si="517"/>
        <v>04 de febrero de 2019</v>
      </c>
      <c r="N1789" s="323">
        <f t="shared" si="510"/>
        <v>4</v>
      </c>
      <c r="O1789" s="25">
        <f t="shared" si="518"/>
        <v>43497</v>
      </c>
      <c r="P1789" s="5" t="str">
        <f t="shared" si="512"/>
        <v>300,00</v>
      </c>
      <c r="Q1789" s="4" t="str">
        <f t="shared" si="514"/>
        <v>Trescientos Bolívares con 00/100</v>
      </c>
    </row>
    <row r="1790" spans="1:17" x14ac:dyDescent="0.25">
      <c r="A1790" s="1">
        <f t="shared" si="515"/>
        <v>1789</v>
      </c>
      <c r="C1790" s="85" t="s">
        <v>17</v>
      </c>
      <c r="D1790" s="2">
        <v>43500</v>
      </c>
      <c r="E1790" s="3">
        <v>5700</v>
      </c>
      <c r="F1790" t="s">
        <v>40</v>
      </c>
      <c r="G1790" s="18" t="s">
        <v>58</v>
      </c>
      <c r="H1790" t="s">
        <v>42</v>
      </c>
      <c r="I1790" s="6" t="s">
        <v>899</v>
      </c>
      <c r="J1790" s="61" t="s">
        <v>22</v>
      </c>
      <c r="L1790" s="5" t="str">
        <f t="shared" si="516"/>
        <v>01789</v>
      </c>
      <c r="M1790" s="47" t="str">
        <f t="shared" si="517"/>
        <v>04 de febrero de 2019</v>
      </c>
      <c r="N1790" s="323">
        <f t="shared" si="510"/>
        <v>4</v>
      </c>
      <c r="O1790" s="25">
        <f t="shared" si="518"/>
        <v>43497</v>
      </c>
      <c r="P1790" s="5" t="str">
        <f t="shared" si="512"/>
        <v>5.700,00</v>
      </c>
      <c r="Q1790" s="4" t="str">
        <f t="shared" si="514"/>
        <v>Cinco Mil Setecientos Bolívares con 00/100</v>
      </c>
    </row>
    <row r="1791" spans="1:17" x14ac:dyDescent="0.25">
      <c r="A1791" s="1">
        <f t="shared" si="515"/>
        <v>1790</v>
      </c>
      <c r="C1791" s="8" t="s">
        <v>17</v>
      </c>
      <c r="D1791" s="2">
        <v>43503</v>
      </c>
      <c r="E1791" s="3">
        <v>600</v>
      </c>
      <c r="F1791" t="s">
        <v>28</v>
      </c>
      <c r="G1791" t="s">
        <v>716</v>
      </c>
      <c r="H1791" t="s">
        <v>30</v>
      </c>
      <c r="I1791" s="6" t="s">
        <v>900</v>
      </c>
      <c r="J1791" s="61" t="s">
        <v>22</v>
      </c>
      <c r="L1791" s="5" t="str">
        <f t="shared" si="516"/>
        <v>01790</v>
      </c>
      <c r="M1791" s="47" t="str">
        <f t="shared" si="517"/>
        <v>07 de febrero de 2019</v>
      </c>
      <c r="N1791" s="323">
        <f t="shared" si="510"/>
        <v>7</v>
      </c>
      <c r="O1791" s="25">
        <f t="shared" si="518"/>
        <v>43497</v>
      </c>
      <c r="P1791" s="5" t="str">
        <f t="shared" si="512"/>
        <v>600,00</v>
      </c>
      <c r="Q1791" s="4" t="str">
        <f t="shared" si="514"/>
        <v>Seiscientos Bolívares con 00/100</v>
      </c>
    </row>
    <row r="1792" spans="1:17" x14ac:dyDescent="0.25">
      <c r="A1792" s="1">
        <f t="shared" si="515"/>
        <v>1791</v>
      </c>
      <c r="C1792" s="8" t="s">
        <v>17</v>
      </c>
      <c r="D1792" s="2">
        <v>43500</v>
      </c>
      <c r="E1792" s="3">
        <v>3000</v>
      </c>
      <c r="F1792" t="s">
        <v>24</v>
      </c>
      <c r="G1792" t="s">
        <v>25</v>
      </c>
      <c r="H1792" t="s">
        <v>26</v>
      </c>
      <c r="I1792" s="6" t="s">
        <v>897</v>
      </c>
      <c r="J1792" s="61" t="s">
        <v>22</v>
      </c>
      <c r="L1792" s="5" t="str">
        <f t="shared" si="516"/>
        <v>01791</v>
      </c>
      <c r="M1792" s="47" t="str">
        <f t="shared" si="517"/>
        <v>04 de febrero de 2019</v>
      </c>
      <c r="N1792" s="323">
        <f t="shared" si="510"/>
        <v>4</v>
      </c>
      <c r="O1792" s="25">
        <f t="shared" si="518"/>
        <v>43497</v>
      </c>
      <c r="P1792" s="5" t="str">
        <f t="shared" si="512"/>
        <v>3.000,00</v>
      </c>
      <c r="Q1792" s="4" t="str">
        <f t="shared" si="514"/>
        <v>Tres Mil Bolívares con 00/100</v>
      </c>
    </row>
    <row r="1793" spans="1:17" x14ac:dyDescent="0.25">
      <c r="A1793" s="1">
        <f t="shared" si="515"/>
        <v>1792</v>
      </c>
      <c r="C1793" s="85" t="s">
        <v>17</v>
      </c>
      <c r="D1793" s="2">
        <v>43502</v>
      </c>
      <c r="E1793" s="3">
        <v>3000</v>
      </c>
      <c r="F1793" t="s">
        <v>259</v>
      </c>
      <c r="G1793" s="18" t="s">
        <v>58</v>
      </c>
      <c r="H1793" t="s">
        <v>261</v>
      </c>
      <c r="I1793" s="6" t="s">
        <v>887</v>
      </c>
      <c r="J1793" s="61" t="s">
        <v>22</v>
      </c>
      <c r="L1793" s="5" t="str">
        <f t="shared" si="516"/>
        <v>01792</v>
      </c>
      <c r="M1793" s="47" t="str">
        <f t="shared" si="517"/>
        <v>06 de febrero de 2019</v>
      </c>
      <c r="N1793" s="323">
        <f t="shared" si="510"/>
        <v>6</v>
      </c>
      <c r="O1793" s="25">
        <f t="shared" si="518"/>
        <v>43497</v>
      </c>
      <c r="P1793" s="5" t="str">
        <f t="shared" si="512"/>
        <v>3.000,00</v>
      </c>
      <c r="Q1793" s="4" t="str">
        <f t="shared" si="514"/>
        <v>Tres Mil Bolívares con 00/100</v>
      </c>
    </row>
    <row r="1794" spans="1:17" x14ac:dyDescent="0.25">
      <c r="A1794" s="1">
        <f t="shared" si="515"/>
        <v>1793</v>
      </c>
      <c r="C1794" s="8" t="s">
        <v>17</v>
      </c>
      <c r="D1794" s="2">
        <v>43502</v>
      </c>
      <c r="E1794" s="3">
        <v>3000</v>
      </c>
      <c r="F1794" t="s">
        <v>713</v>
      </c>
      <c r="G1794" t="s">
        <v>714</v>
      </c>
      <c r="H1794" t="s">
        <v>154</v>
      </c>
      <c r="I1794" s="6" t="s">
        <v>897</v>
      </c>
      <c r="J1794" s="61" t="s">
        <v>22</v>
      </c>
      <c r="L1794" s="5" t="str">
        <f t="shared" si="516"/>
        <v>01793</v>
      </c>
      <c r="M1794" s="47" t="str">
        <f t="shared" si="517"/>
        <v>06 de febrero de 2019</v>
      </c>
      <c r="N1794" s="323">
        <f t="shared" si="510"/>
        <v>6</v>
      </c>
      <c r="O1794" s="25">
        <f t="shared" si="518"/>
        <v>43497</v>
      </c>
      <c r="P1794" s="5" t="str">
        <f t="shared" si="512"/>
        <v>3.000,00</v>
      </c>
      <c r="Q1794" s="4" t="str">
        <f t="shared" si="514"/>
        <v>Tres Mil Bolívares con 00/100</v>
      </c>
    </row>
    <row r="1795" spans="1:17" x14ac:dyDescent="0.25">
      <c r="A1795" s="1">
        <f t="shared" si="515"/>
        <v>1794</v>
      </c>
      <c r="C1795" s="8" t="s">
        <v>17</v>
      </c>
      <c r="D1795" s="2">
        <v>43502</v>
      </c>
      <c r="E1795" s="3">
        <v>300</v>
      </c>
      <c r="F1795" t="s">
        <v>433</v>
      </c>
      <c r="G1795" t="s">
        <v>434</v>
      </c>
      <c r="H1795" t="s">
        <v>435</v>
      </c>
      <c r="I1795" s="6" t="s">
        <v>900</v>
      </c>
      <c r="J1795" s="61" t="s">
        <v>22</v>
      </c>
      <c r="L1795" s="5" t="str">
        <f t="shared" si="516"/>
        <v>01794</v>
      </c>
      <c r="M1795" s="47" t="str">
        <f t="shared" si="517"/>
        <v>06 de febrero de 2019</v>
      </c>
      <c r="N1795" s="323">
        <f t="shared" si="510"/>
        <v>6</v>
      </c>
      <c r="O1795" s="25">
        <f t="shared" si="518"/>
        <v>43497</v>
      </c>
      <c r="P1795" s="5" t="str">
        <f t="shared" si="512"/>
        <v>300,00</v>
      </c>
      <c r="Q1795" s="4" t="str">
        <f t="shared" si="514"/>
        <v>Trescientos Bolívares con 00/100</v>
      </c>
    </row>
    <row r="1796" spans="1:17" x14ac:dyDescent="0.25">
      <c r="A1796" s="1">
        <f t="shared" si="515"/>
        <v>1795</v>
      </c>
      <c r="C1796" s="8" t="s">
        <v>17</v>
      </c>
      <c r="D1796" s="2">
        <v>43502</v>
      </c>
      <c r="E1796" s="3">
        <v>2300</v>
      </c>
      <c r="F1796" t="s">
        <v>28</v>
      </c>
      <c r="G1796" t="s">
        <v>716</v>
      </c>
      <c r="H1796" t="s">
        <v>30</v>
      </c>
      <c r="I1796" s="6" t="s">
        <v>901</v>
      </c>
      <c r="J1796" s="61" t="s">
        <v>22</v>
      </c>
      <c r="L1796" s="5" t="str">
        <f t="shared" ref="L1796:L1828" si="519">IF(ISBLANK(A1796),"",TEXT(A1796,"00000"))</f>
        <v>01795</v>
      </c>
      <c r="M1796" s="47" t="str">
        <f t="shared" ref="M1796:M1828" si="520">IF(ISBLANK(D1796),"",TEXT(D1796,"dd")&amp;" de "&amp;TEXT(D1796,"mmmm")&amp;" de "&amp;TEXT(YEAR(D1796),"0"))</f>
        <v>06 de febrero de 2019</v>
      </c>
      <c r="N1796" s="323">
        <f t="shared" ref="N1796:N1828" si="521">DAY(D1796)</f>
        <v>6</v>
      </c>
      <c r="O1796" s="25">
        <f t="shared" ref="O1796:O1828" si="522">DATE(YEAR(D1796),MONTH(D1796),1)</f>
        <v>43497</v>
      </c>
      <c r="P1796" s="5" t="str">
        <f t="shared" ref="P1796:P1828" si="523">TEXT(E1796,"#.##0,00")</f>
        <v>2.300,00</v>
      </c>
      <c r="Q1796" s="4" t="str">
        <f t="shared" ref="Q1796:Q1799" si="524">CONVERTIRNUM(E1796)</f>
        <v>Dos Mil Trescientos Bolívares con 00/100</v>
      </c>
    </row>
    <row r="1797" spans="1:17" x14ac:dyDescent="0.25">
      <c r="A1797" s="1">
        <f t="shared" si="515"/>
        <v>1796</v>
      </c>
      <c r="C1797" s="8" t="s">
        <v>17</v>
      </c>
      <c r="D1797" s="2">
        <v>43502</v>
      </c>
      <c r="E1797" s="3">
        <v>320</v>
      </c>
      <c r="F1797" t="s">
        <v>296</v>
      </c>
      <c r="G1797" t="s">
        <v>297</v>
      </c>
      <c r="H1797" t="s">
        <v>298</v>
      </c>
      <c r="I1797" s="6" t="s">
        <v>848</v>
      </c>
      <c r="J1797" s="61" t="s">
        <v>22</v>
      </c>
      <c r="L1797" s="5" t="str">
        <f t="shared" si="519"/>
        <v>01796</v>
      </c>
      <c r="M1797" s="47" t="str">
        <f t="shared" si="520"/>
        <v>06 de febrero de 2019</v>
      </c>
      <c r="N1797" s="323">
        <f t="shared" si="521"/>
        <v>6</v>
      </c>
      <c r="O1797" s="25">
        <f t="shared" si="522"/>
        <v>43497</v>
      </c>
      <c r="P1797" s="5" t="str">
        <f t="shared" si="523"/>
        <v>320,00</v>
      </c>
      <c r="Q1797" s="4" t="str">
        <f t="shared" si="524"/>
        <v>Trescientos Veinte Bolívares con 00/100</v>
      </c>
    </row>
    <row r="1798" spans="1:17" x14ac:dyDescent="0.25">
      <c r="A1798" s="1">
        <f t="shared" si="515"/>
        <v>1797</v>
      </c>
      <c r="C1798" s="8" t="s">
        <v>17</v>
      </c>
      <c r="D1798" s="2">
        <v>43503</v>
      </c>
      <c r="E1798" s="3">
        <v>5200</v>
      </c>
      <c r="F1798" t="s">
        <v>438</v>
      </c>
      <c r="G1798" t="s">
        <v>439</v>
      </c>
      <c r="H1798" t="s">
        <v>440</v>
      </c>
      <c r="I1798" s="6" t="s">
        <v>902</v>
      </c>
      <c r="J1798" s="61" t="s">
        <v>22</v>
      </c>
      <c r="L1798" s="5" t="str">
        <f t="shared" si="519"/>
        <v>01797</v>
      </c>
      <c r="M1798" s="47" t="str">
        <f t="shared" si="520"/>
        <v>07 de febrero de 2019</v>
      </c>
      <c r="N1798" s="323">
        <f t="shared" si="521"/>
        <v>7</v>
      </c>
      <c r="O1798" s="25">
        <f t="shared" si="522"/>
        <v>43497</v>
      </c>
      <c r="P1798" s="5" t="str">
        <f t="shared" si="523"/>
        <v>5.200,00</v>
      </c>
      <c r="Q1798" s="4" t="str">
        <f t="shared" si="524"/>
        <v>Cinco Mil Doscientos Bolívares con 00/100</v>
      </c>
    </row>
    <row r="1799" spans="1:17" x14ac:dyDescent="0.25">
      <c r="A1799" s="1">
        <f t="shared" si="515"/>
        <v>1798</v>
      </c>
      <c r="C1799" s="8" t="s">
        <v>17</v>
      </c>
      <c r="D1799" s="2">
        <v>43504</v>
      </c>
      <c r="E1799" s="3">
        <v>3000</v>
      </c>
      <c r="F1799" t="s">
        <v>483</v>
      </c>
      <c r="G1799" t="s">
        <v>484</v>
      </c>
      <c r="H1799" t="s">
        <v>485</v>
      </c>
      <c r="I1799" s="6" t="s">
        <v>897</v>
      </c>
      <c r="J1799" s="61" t="s">
        <v>22</v>
      </c>
      <c r="L1799" s="5" t="str">
        <f t="shared" si="519"/>
        <v>01798</v>
      </c>
      <c r="M1799" s="47" t="str">
        <f t="shared" si="520"/>
        <v>08 de febrero de 2019</v>
      </c>
      <c r="N1799" s="323">
        <f t="shared" si="521"/>
        <v>8</v>
      </c>
      <c r="O1799" s="25">
        <f t="shared" si="522"/>
        <v>43497</v>
      </c>
      <c r="P1799" s="5" t="str">
        <f t="shared" si="523"/>
        <v>3.000,00</v>
      </c>
      <c r="Q1799" s="4" t="str">
        <f t="shared" si="524"/>
        <v>Tres Mil Bolívares con 00/100</v>
      </c>
    </row>
    <row r="1800" spans="1:17" x14ac:dyDescent="0.25">
      <c r="A1800" s="1">
        <f t="shared" si="515"/>
        <v>1799</v>
      </c>
      <c r="C1800" s="8" t="s">
        <v>17</v>
      </c>
      <c r="D1800" s="2">
        <v>43505</v>
      </c>
      <c r="E1800" s="3">
        <v>3000</v>
      </c>
      <c r="F1800" t="s">
        <v>407</v>
      </c>
      <c r="G1800" t="s">
        <v>408</v>
      </c>
      <c r="H1800" t="s">
        <v>409</v>
      </c>
      <c r="I1800" s="6" t="s">
        <v>897</v>
      </c>
      <c r="J1800" s="61" t="s">
        <v>22</v>
      </c>
      <c r="L1800" s="5" t="str">
        <f t="shared" si="519"/>
        <v>01799</v>
      </c>
      <c r="M1800" s="47" t="str">
        <f t="shared" si="520"/>
        <v>09 de febrero de 2019</v>
      </c>
      <c r="N1800" s="323">
        <f t="shared" si="521"/>
        <v>9</v>
      </c>
      <c r="O1800" s="25">
        <f t="shared" si="522"/>
        <v>43497</v>
      </c>
      <c r="P1800" s="5" t="str">
        <f t="shared" si="523"/>
        <v>3.000,00</v>
      </c>
      <c r="Q1800" s="4" t="str">
        <f>CONVERTIRNUM(E1800)</f>
        <v>Tres Mil Bolívares con 00/100</v>
      </c>
    </row>
    <row r="1801" spans="1:17" x14ac:dyDescent="0.25">
      <c r="A1801" s="1">
        <f t="shared" si="515"/>
        <v>1800</v>
      </c>
      <c r="C1801" s="8" t="s">
        <v>17</v>
      </c>
      <c r="D1801" s="2">
        <v>43505</v>
      </c>
      <c r="E1801" s="3">
        <v>1500</v>
      </c>
      <c r="F1801" t="s">
        <v>412</v>
      </c>
      <c r="G1801" t="s">
        <v>413</v>
      </c>
      <c r="H1801" t="s">
        <v>414</v>
      </c>
      <c r="I1801" s="6" t="s">
        <v>900</v>
      </c>
      <c r="J1801" s="61" t="s">
        <v>22</v>
      </c>
      <c r="L1801" s="5" t="str">
        <f t="shared" si="519"/>
        <v>01800</v>
      </c>
      <c r="M1801" s="47" t="str">
        <f t="shared" si="520"/>
        <v>09 de febrero de 2019</v>
      </c>
      <c r="N1801" s="323">
        <f t="shared" si="521"/>
        <v>9</v>
      </c>
      <c r="O1801" s="25">
        <f t="shared" si="522"/>
        <v>43497</v>
      </c>
      <c r="P1801" s="5" t="str">
        <f t="shared" si="523"/>
        <v>1.500,00</v>
      </c>
      <c r="Q1801" s="4" t="str">
        <f t="shared" ref="Q1801:Q1828" si="525">CONVERTIRNUM(E1801)</f>
        <v>Mil Quinientos Bolívares con 00/100</v>
      </c>
    </row>
    <row r="1802" spans="1:17" x14ac:dyDescent="0.25">
      <c r="A1802" s="1">
        <f t="shared" si="515"/>
        <v>1801</v>
      </c>
      <c r="C1802" s="8" t="s">
        <v>17</v>
      </c>
      <c r="D1802" s="2">
        <v>43505</v>
      </c>
      <c r="E1802" s="3">
        <v>3000</v>
      </c>
      <c r="F1802" t="s">
        <v>48</v>
      </c>
      <c r="G1802" t="s">
        <v>49</v>
      </c>
      <c r="H1802" t="s">
        <v>50</v>
      </c>
      <c r="I1802" s="6" t="s">
        <v>897</v>
      </c>
      <c r="J1802" s="61" t="s">
        <v>22</v>
      </c>
      <c r="L1802" s="5" t="str">
        <f t="shared" si="519"/>
        <v>01801</v>
      </c>
      <c r="M1802" s="47" t="str">
        <f t="shared" si="520"/>
        <v>09 de febrero de 2019</v>
      </c>
      <c r="N1802" s="323">
        <f t="shared" si="521"/>
        <v>9</v>
      </c>
      <c r="O1802" s="25">
        <f t="shared" si="522"/>
        <v>43497</v>
      </c>
      <c r="P1802" s="5" t="str">
        <f t="shared" si="523"/>
        <v>3.000,00</v>
      </c>
      <c r="Q1802" s="4" t="str">
        <f t="shared" si="525"/>
        <v>Tres Mil Bolívares con 00/100</v>
      </c>
    </row>
    <row r="1803" spans="1:17" x14ac:dyDescent="0.25">
      <c r="A1803" s="1">
        <f t="shared" si="515"/>
        <v>1802</v>
      </c>
      <c r="C1803" s="8" t="s">
        <v>17</v>
      </c>
      <c r="D1803" s="2">
        <v>43505</v>
      </c>
      <c r="E1803" s="3">
        <v>3000</v>
      </c>
      <c r="F1803" t="s">
        <v>107</v>
      </c>
      <c r="G1803" t="s">
        <v>108</v>
      </c>
      <c r="H1803" t="s">
        <v>109</v>
      </c>
      <c r="I1803" s="6" t="s">
        <v>897</v>
      </c>
      <c r="J1803" s="61" t="s">
        <v>22</v>
      </c>
      <c r="L1803" s="5" t="str">
        <f t="shared" si="519"/>
        <v>01802</v>
      </c>
      <c r="M1803" s="47" t="str">
        <f t="shared" si="520"/>
        <v>09 de febrero de 2019</v>
      </c>
      <c r="N1803" s="323">
        <f t="shared" si="521"/>
        <v>9</v>
      </c>
      <c r="O1803" s="25">
        <f t="shared" si="522"/>
        <v>43497</v>
      </c>
      <c r="P1803" s="5" t="str">
        <f t="shared" si="523"/>
        <v>3.000,00</v>
      </c>
      <c r="Q1803" s="4" t="str">
        <f t="shared" si="525"/>
        <v>Tres Mil Bolívares con 00/100</v>
      </c>
    </row>
    <row r="1804" spans="1:17" x14ac:dyDescent="0.25">
      <c r="A1804" s="1">
        <f t="shared" si="515"/>
        <v>1803</v>
      </c>
      <c r="C1804" s="8" t="s">
        <v>17</v>
      </c>
      <c r="D1804" s="2">
        <v>43505</v>
      </c>
      <c r="E1804" s="3">
        <v>3000</v>
      </c>
      <c r="F1804" t="s">
        <v>342</v>
      </c>
      <c r="G1804" t="s">
        <v>343</v>
      </c>
      <c r="H1804" t="s">
        <v>344</v>
      </c>
      <c r="I1804" s="6" t="s">
        <v>897</v>
      </c>
      <c r="J1804" s="61" t="s">
        <v>22</v>
      </c>
      <c r="L1804" s="5" t="str">
        <f t="shared" si="519"/>
        <v>01803</v>
      </c>
      <c r="M1804" s="47" t="str">
        <f t="shared" si="520"/>
        <v>09 de febrero de 2019</v>
      </c>
      <c r="N1804" s="323">
        <f t="shared" si="521"/>
        <v>9</v>
      </c>
      <c r="O1804" s="25">
        <f t="shared" si="522"/>
        <v>43497</v>
      </c>
      <c r="P1804" s="5" t="str">
        <f t="shared" si="523"/>
        <v>3.000,00</v>
      </c>
      <c r="Q1804" s="4" t="str">
        <f t="shared" si="525"/>
        <v>Tres Mil Bolívares con 00/100</v>
      </c>
    </row>
    <row r="1805" spans="1:17" x14ac:dyDescent="0.25">
      <c r="A1805" s="1">
        <f>A1804+1</f>
        <v>1804</v>
      </c>
      <c r="C1805" s="8" t="s">
        <v>17</v>
      </c>
      <c r="D1805" s="2">
        <v>43505</v>
      </c>
      <c r="E1805" s="3">
        <v>3000</v>
      </c>
      <c r="F1805" t="s">
        <v>70</v>
      </c>
      <c r="G1805" t="s">
        <v>71</v>
      </c>
      <c r="H1805" t="s">
        <v>72</v>
      </c>
      <c r="I1805" s="6" t="s">
        <v>897</v>
      </c>
      <c r="J1805" s="61" t="s">
        <v>22</v>
      </c>
      <c r="L1805" s="5" t="str">
        <f t="shared" si="519"/>
        <v>01804</v>
      </c>
      <c r="M1805" s="47" t="str">
        <f t="shared" si="520"/>
        <v>09 de febrero de 2019</v>
      </c>
      <c r="N1805" s="323">
        <f t="shared" si="521"/>
        <v>9</v>
      </c>
      <c r="O1805" s="25">
        <f t="shared" si="522"/>
        <v>43497</v>
      </c>
      <c r="P1805" s="5" t="str">
        <f t="shared" si="523"/>
        <v>3.000,00</v>
      </c>
      <c r="Q1805" s="4" t="str">
        <f t="shared" si="525"/>
        <v>Tres Mil Bolívares con 00/100</v>
      </c>
    </row>
    <row r="1806" spans="1:17" x14ac:dyDescent="0.25">
      <c r="A1806" s="1">
        <f t="shared" ref="A1806:A1817" si="526">A1805+1</f>
        <v>1805</v>
      </c>
      <c r="C1806" s="8" t="s">
        <v>17</v>
      </c>
      <c r="D1806" s="2">
        <v>43507</v>
      </c>
      <c r="E1806" s="3">
        <v>3000</v>
      </c>
      <c r="F1806" t="s">
        <v>337</v>
      </c>
      <c r="G1806" t="s">
        <v>338</v>
      </c>
      <c r="H1806" t="s">
        <v>339</v>
      </c>
      <c r="I1806" s="6" t="s">
        <v>897</v>
      </c>
      <c r="J1806" s="61" t="s">
        <v>22</v>
      </c>
      <c r="L1806" s="5" t="str">
        <f t="shared" si="519"/>
        <v>01805</v>
      </c>
      <c r="M1806" s="47" t="str">
        <f t="shared" si="520"/>
        <v>11 de febrero de 2019</v>
      </c>
      <c r="N1806" s="323">
        <f t="shared" si="521"/>
        <v>11</v>
      </c>
      <c r="O1806" s="25">
        <f t="shared" si="522"/>
        <v>43497</v>
      </c>
      <c r="P1806" s="5" t="str">
        <f t="shared" si="523"/>
        <v>3.000,00</v>
      </c>
      <c r="Q1806" s="4" t="str">
        <f t="shared" si="525"/>
        <v>Tres Mil Bolívares con 00/100</v>
      </c>
    </row>
    <row r="1807" spans="1:17" x14ac:dyDescent="0.25">
      <c r="A1807" s="1">
        <f t="shared" si="526"/>
        <v>1806</v>
      </c>
      <c r="C1807" s="8" t="s">
        <v>17</v>
      </c>
      <c r="D1807" s="2">
        <v>43508</v>
      </c>
      <c r="E1807" s="3">
        <v>6000</v>
      </c>
      <c r="F1807" t="s">
        <v>138</v>
      </c>
      <c r="G1807" t="s">
        <v>139</v>
      </c>
      <c r="H1807" t="s">
        <v>140</v>
      </c>
      <c r="I1807" s="6" t="s">
        <v>903</v>
      </c>
      <c r="J1807" s="61" t="s">
        <v>22</v>
      </c>
      <c r="L1807" s="5" t="str">
        <f t="shared" si="519"/>
        <v>01806</v>
      </c>
      <c r="M1807" s="47" t="str">
        <f t="shared" si="520"/>
        <v>12 de febrero de 2019</v>
      </c>
      <c r="N1807" s="323">
        <f t="shared" si="521"/>
        <v>12</v>
      </c>
      <c r="O1807" s="25">
        <f t="shared" si="522"/>
        <v>43497</v>
      </c>
      <c r="P1807" s="5" t="str">
        <f t="shared" si="523"/>
        <v>6.000,00</v>
      </c>
      <c r="Q1807" s="4" t="str">
        <f t="shared" si="525"/>
        <v>Seis Mil Bolívares con 00/100</v>
      </c>
    </row>
    <row r="1808" spans="1:17" x14ac:dyDescent="0.25">
      <c r="A1808" s="1">
        <f t="shared" si="526"/>
        <v>1807</v>
      </c>
      <c r="C1808" s="8" t="s">
        <v>17</v>
      </c>
      <c r="D1808" s="2">
        <v>43509</v>
      </c>
      <c r="E1808" s="3">
        <v>5200</v>
      </c>
      <c r="F1808" t="s">
        <v>362</v>
      </c>
      <c r="G1808" t="s">
        <v>363</v>
      </c>
      <c r="H1808" t="s">
        <v>364</v>
      </c>
      <c r="I1808" s="6" t="s">
        <v>895</v>
      </c>
      <c r="J1808" s="61" t="s">
        <v>22</v>
      </c>
      <c r="L1808" s="5" t="str">
        <f t="shared" si="519"/>
        <v>01807</v>
      </c>
      <c r="M1808" s="47" t="str">
        <f t="shared" si="520"/>
        <v>13 de febrero de 2019</v>
      </c>
      <c r="N1808" s="323">
        <f t="shared" si="521"/>
        <v>13</v>
      </c>
      <c r="O1808" s="25">
        <f t="shared" si="522"/>
        <v>43497</v>
      </c>
      <c r="P1808" s="5" t="str">
        <f t="shared" si="523"/>
        <v>5.200,00</v>
      </c>
      <c r="Q1808" s="4" t="str">
        <f t="shared" si="525"/>
        <v>Cinco Mil Doscientos Bolívares con 00/100</v>
      </c>
    </row>
    <row r="1809" spans="1:17" x14ac:dyDescent="0.25">
      <c r="A1809" s="1">
        <f t="shared" si="526"/>
        <v>1808</v>
      </c>
      <c r="C1809" s="8" t="s">
        <v>17</v>
      </c>
      <c r="D1809" s="2">
        <v>43509</v>
      </c>
      <c r="E1809" s="3">
        <v>3000</v>
      </c>
      <c r="F1809" t="s">
        <v>18</v>
      </c>
      <c r="G1809" t="s">
        <v>19</v>
      </c>
      <c r="H1809" t="s">
        <v>20</v>
      </c>
      <c r="I1809" s="6" t="s">
        <v>904</v>
      </c>
      <c r="J1809" s="61" t="s">
        <v>22</v>
      </c>
      <c r="L1809" s="5" t="str">
        <f t="shared" si="519"/>
        <v>01808</v>
      </c>
      <c r="M1809" s="47" t="str">
        <f t="shared" si="520"/>
        <v>13 de febrero de 2019</v>
      </c>
      <c r="N1809" s="323">
        <f t="shared" si="521"/>
        <v>13</v>
      </c>
      <c r="O1809" s="25">
        <f t="shared" si="522"/>
        <v>43497</v>
      </c>
      <c r="P1809" s="5" t="str">
        <f t="shared" si="523"/>
        <v>3.000,00</v>
      </c>
      <c r="Q1809" s="4" t="str">
        <f t="shared" si="525"/>
        <v>Tres Mil Bolívares con 00/100</v>
      </c>
    </row>
    <row r="1810" spans="1:17" x14ac:dyDescent="0.25">
      <c r="A1810" s="1">
        <f t="shared" si="526"/>
        <v>1809</v>
      </c>
      <c r="C1810" s="85" t="s">
        <v>17</v>
      </c>
      <c r="D1810" s="2">
        <v>43510</v>
      </c>
      <c r="E1810" s="3">
        <v>2200</v>
      </c>
      <c r="F1810" t="s">
        <v>40</v>
      </c>
      <c r="G1810" s="18" t="s">
        <v>58</v>
      </c>
      <c r="H1810" t="s">
        <v>42</v>
      </c>
      <c r="I1810" s="6" t="s">
        <v>905</v>
      </c>
      <c r="J1810" s="61" t="s">
        <v>22</v>
      </c>
      <c r="L1810" s="5" t="str">
        <f t="shared" si="519"/>
        <v>01809</v>
      </c>
      <c r="M1810" s="47" t="str">
        <f t="shared" si="520"/>
        <v>14 de febrero de 2019</v>
      </c>
      <c r="N1810" s="323">
        <f t="shared" si="521"/>
        <v>14</v>
      </c>
      <c r="O1810" s="25">
        <f t="shared" si="522"/>
        <v>43497</v>
      </c>
      <c r="P1810" s="5" t="str">
        <f t="shared" si="523"/>
        <v>2.200,00</v>
      </c>
      <c r="Q1810" s="4" t="str">
        <f t="shared" si="525"/>
        <v>Dos Mil Doscientos Bolívares con 00/100</v>
      </c>
    </row>
    <row r="1811" spans="1:17" x14ac:dyDescent="0.25">
      <c r="A1811" s="1">
        <f t="shared" si="526"/>
        <v>1810</v>
      </c>
      <c r="C1811" s="8" t="s">
        <v>17</v>
      </c>
      <c r="D1811" s="2">
        <v>43510</v>
      </c>
      <c r="E1811" s="3">
        <v>3000</v>
      </c>
      <c r="F1811" t="s">
        <v>118</v>
      </c>
      <c r="G1811" t="s">
        <v>119</v>
      </c>
      <c r="H1811" t="s">
        <v>120</v>
      </c>
      <c r="I1811" s="6" t="s">
        <v>887</v>
      </c>
      <c r="J1811" s="61" t="s">
        <v>22</v>
      </c>
      <c r="L1811" s="5" t="str">
        <f t="shared" si="519"/>
        <v>01810</v>
      </c>
      <c r="M1811" s="47" t="str">
        <f t="shared" si="520"/>
        <v>14 de febrero de 2019</v>
      </c>
      <c r="N1811" s="323">
        <f t="shared" si="521"/>
        <v>14</v>
      </c>
      <c r="O1811" s="25">
        <f t="shared" si="522"/>
        <v>43497</v>
      </c>
      <c r="P1811" s="5" t="str">
        <f t="shared" si="523"/>
        <v>3.000,00</v>
      </c>
      <c r="Q1811" s="4" t="str">
        <f t="shared" si="525"/>
        <v>Tres Mil Bolívares con 00/100</v>
      </c>
    </row>
    <row r="1812" spans="1:17" x14ac:dyDescent="0.25">
      <c r="A1812" s="1">
        <f t="shared" si="526"/>
        <v>1811</v>
      </c>
      <c r="C1812" s="8" t="s">
        <v>17</v>
      </c>
      <c r="D1812" s="2">
        <v>43510</v>
      </c>
      <c r="E1812" s="3">
        <v>3000</v>
      </c>
      <c r="F1812" t="s">
        <v>771</v>
      </c>
      <c r="G1812" t="s">
        <v>772</v>
      </c>
      <c r="H1812" t="s">
        <v>773</v>
      </c>
      <c r="I1812" s="6" t="s">
        <v>906</v>
      </c>
      <c r="J1812" s="61" t="s">
        <v>22</v>
      </c>
      <c r="L1812" s="5" t="str">
        <f t="shared" si="519"/>
        <v>01811</v>
      </c>
      <c r="M1812" s="47" t="str">
        <f t="shared" si="520"/>
        <v>14 de febrero de 2019</v>
      </c>
      <c r="N1812" s="323">
        <f t="shared" si="521"/>
        <v>14</v>
      </c>
      <c r="O1812" s="25">
        <f t="shared" si="522"/>
        <v>43497</v>
      </c>
      <c r="P1812" s="5" t="str">
        <f t="shared" si="523"/>
        <v>3.000,00</v>
      </c>
      <c r="Q1812" s="4" t="str">
        <f t="shared" si="525"/>
        <v>Tres Mil Bolívares con 00/100</v>
      </c>
    </row>
    <row r="1813" spans="1:17" x14ac:dyDescent="0.25">
      <c r="A1813" s="1">
        <f t="shared" si="526"/>
        <v>1812</v>
      </c>
      <c r="C1813" s="8" t="s">
        <v>17</v>
      </c>
      <c r="D1813" s="2">
        <v>43509</v>
      </c>
      <c r="E1813" s="3">
        <v>1500</v>
      </c>
      <c r="F1813" t="s">
        <v>417</v>
      </c>
      <c r="G1813" t="s">
        <v>418</v>
      </c>
      <c r="H1813" t="s">
        <v>419</v>
      </c>
      <c r="I1813" s="6" t="s">
        <v>901</v>
      </c>
      <c r="J1813" s="61" t="s">
        <v>22</v>
      </c>
      <c r="L1813" s="5" t="str">
        <f t="shared" si="519"/>
        <v>01812</v>
      </c>
      <c r="M1813" s="47" t="str">
        <f t="shared" si="520"/>
        <v>13 de febrero de 2019</v>
      </c>
      <c r="N1813" s="323">
        <f t="shared" si="521"/>
        <v>13</v>
      </c>
      <c r="O1813" s="25">
        <f t="shared" si="522"/>
        <v>43497</v>
      </c>
      <c r="P1813" s="5" t="str">
        <f t="shared" si="523"/>
        <v>1.500,00</v>
      </c>
      <c r="Q1813" s="4" t="str">
        <f t="shared" si="525"/>
        <v>Mil Quinientos Bolívares con 00/100</v>
      </c>
    </row>
    <row r="1814" spans="1:17" x14ac:dyDescent="0.25">
      <c r="A1814" s="1">
        <f t="shared" si="526"/>
        <v>1813</v>
      </c>
      <c r="C1814" s="8" t="s">
        <v>17</v>
      </c>
      <c r="D1814" s="2">
        <v>43511</v>
      </c>
      <c r="E1814" s="3">
        <v>3000</v>
      </c>
      <c r="F1814" t="s">
        <v>130</v>
      </c>
      <c r="G1814" t="s">
        <v>131</v>
      </c>
      <c r="H1814" t="s">
        <v>132</v>
      </c>
      <c r="I1814" s="6" t="s">
        <v>897</v>
      </c>
      <c r="J1814" s="61" t="s">
        <v>22</v>
      </c>
      <c r="L1814" s="5" t="str">
        <f t="shared" si="519"/>
        <v>01813</v>
      </c>
      <c r="M1814" s="47" t="str">
        <f t="shared" si="520"/>
        <v>15 de febrero de 2019</v>
      </c>
      <c r="N1814" s="323">
        <f t="shared" si="521"/>
        <v>15</v>
      </c>
      <c r="O1814" s="25">
        <f t="shared" si="522"/>
        <v>43497</v>
      </c>
      <c r="P1814" s="5" t="str">
        <f t="shared" si="523"/>
        <v>3.000,00</v>
      </c>
      <c r="Q1814" s="4" t="str">
        <f t="shared" si="525"/>
        <v>Tres Mil Bolívares con 00/100</v>
      </c>
    </row>
    <row r="1815" spans="1:17" x14ac:dyDescent="0.25">
      <c r="A1815" s="1">
        <f t="shared" si="526"/>
        <v>1814</v>
      </c>
      <c r="C1815" s="8" t="s">
        <v>17</v>
      </c>
      <c r="D1815" s="2">
        <v>43513</v>
      </c>
      <c r="E1815" s="3">
        <v>3000</v>
      </c>
      <c r="F1815" t="s">
        <v>312</v>
      </c>
      <c r="G1815" t="s">
        <v>313</v>
      </c>
      <c r="H1815" t="s">
        <v>314</v>
      </c>
      <c r="I1815" s="6" t="s">
        <v>897</v>
      </c>
      <c r="J1815" s="61" t="s">
        <v>22</v>
      </c>
      <c r="L1815" s="5" t="str">
        <f t="shared" si="519"/>
        <v>01814</v>
      </c>
      <c r="M1815" s="47" t="str">
        <f t="shared" si="520"/>
        <v>17 de febrero de 2019</v>
      </c>
      <c r="N1815" s="323">
        <f t="shared" si="521"/>
        <v>17</v>
      </c>
      <c r="O1815" s="25">
        <f t="shared" si="522"/>
        <v>43497</v>
      </c>
      <c r="P1815" s="5" t="str">
        <f t="shared" si="523"/>
        <v>3.000,00</v>
      </c>
      <c r="Q1815" s="4" t="str">
        <f t="shared" si="525"/>
        <v>Tres Mil Bolívares con 00/100</v>
      </c>
    </row>
    <row r="1816" spans="1:17" x14ac:dyDescent="0.25">
      <c r="A1816" s="319">
        <f t="shared" si="526"/>
        <v>1815</v>
      </c>
      <c r="B1816" s="574"/>
      <c r="C1816" s="12" t="s">
        <v>225</v>
      </c>
      <c r="D1816" s="17">
        <v>43513</v>
      </c>
      <c r="E1816" s="13">
        <v>3000</v>
      </c>
      <c r="F1816" s="14" t="s">
        <v>197</v>
      </c>
      <c r="G1816" s="14" t="s">
        <v>198</v>
      </c>
      <c r="H1816" s="14" t="s">
        <v>199</v>
      </c>
      <c r="I1816" s="15" t="s">
        <v>907</v>
      </c>
      <c r="J1816" s="62" t="s">
        <v>426</v>
      </c>
      <c r="K1816" s="16"/>
      <c r="L1816" s="5" t="str">
        <f t="shared" si="519"/>
        <v>01815</v>
      </c>
      <c r="M1816" s="47" t="str">
        <f t="shared" si="520"/>
        <v>17 de febrero de 2019</v>
      </c>
      <c r="N1816" s="323">
        <f t="shared" si="521"/>
        <v>17</v>
      </c>
      <c r="O1816" s="25">
        <f t="shared" si="522"/>
        <v>43497</v>
      </c>
      <c r="P1816" s="5" t="str">
        <f t="shared" si="523"/>
        <v>3.000,00</v>
      </c>
      <c r="Q1816" s="4" t="str">
        <f t="shared" si="525"/>
        <v>Tres Mil Bolívares con 00/100</v>
      </c>
    </row>
    <row r="1817" spans="1:17" x14ac:dyDescent="0.25">
      <c r="A1817" s="1">
        <f t="shared" si="526"/>
        <v>1816</v>
      </c>
      <c r="C1817" s="8" t="s">
        <v>17</v>
      </c>
      <c r="D1817" s="2">
        <v>43514</v>
      </c>
      <c r="E1817" s="3">
        <v>3000</v>
      </c>
      <c r="F1817" t="s">
        <v>53</v>
      </c>
      <c r="G1817" t="s">
        <v>677</v>
      </c>
      <c r="H1817" t="s">
        <v>55</v>
      </c>
      <c r="I1817" s="6" t="s">
        <v>897</v>
      </c>
      <c r="J1817" s="61" t="s">
        <v>22</v>
      </c>
      <c r="L1817" s="5" t="str">
        <f t="shared" si="519"/>
        <v>01816</v>
      </c>
      <c r="M1817" s="47" t="str">
        <f t="shared" si="520"/>
        <v>18 de febrero de 2019</v>
      </c>
      <c r="N1817" s="323">
        <f t="shared" si="521"/>
        <v>18</v>
      </c>
      <c r="O1817" s="25">
        <f t="shared" si="522"/>
        <v>43497</v>
      </c>
      <c r="P1817" s="5" t="str">
        <f t="shared" si="523"/>
        <v>3.000,00</v>
      </c>
      <c r="Q1817" s="4" t="str">
        <f t="shared" si="525"/>
        <v>Tres Mil Bolívares con 00/100</v>
      </c>
    </row>
    <row r="1818" spans="1:17" x14ac:dyDescent="0.25">
      <c r="A1818" s="1">
        <f>A1817+1</f>
        <v>1817</v>
      </c>
      <c r="C1818" s="8" t="s">
        <v>17</v>
      </c>
      <c r="D1818" s="2">
        <v>43515</v>
      </c>
      <c r="E1818" s="3">
        <v>1575</v>
      </c>
      <c r="F1818" t="s">
        <v>36</v>
      </c>
      <c r="G1818" t="s">
        <v>37</v>
      </c>
      <c r="H1818" t="s">
        <v>38</v>
      </c>
      <c r="I1818" s="6" t="s">
        <v>908</v>
      </c>
      <c r="J1818" s="61" t="s">
        <v>22</v>
      </c>
      <c r="L1818" s="5" t="str">
        <f t="shared" si="519"/>
        <v>01817</v>
      </c>
      <c r="M1818" s="47" t="str">
        <f t="shared" si="520"/>
        <v>19 de febrero de 2019</v>
      </c>
      <c r="N1818" s="323">
        <f t="shared" si="521"/>
        <v>19</v>
      </c>
      <c r="O1818" s="25">
        <f t="shared" si="522"/>
        <v>43497</v>
      </c>
      <c r="P1818" s="5" t="str">
        <f t="shared" si="523"/>
        <v>1.575,00</v>
      </c>
      <c r="Q1818" s="4" t="str">
        <f t="shared" si="525"/>
        <v>Mil Quinientos Setenta y Cinco Bolívares con 00/100</v>
      </c>
    </row>
    <row r="1819" spans="1:17" x14ac:dyDescent="0.25">
      <c r="A1819" s="1">
        <f t="shared" ref="A1819:A1854" si="527">A1818+1</f>
        <v>1818</v>
      </c>
      <c r="C1819" s="8" t="s">
        <v>17</v>
      </c>
      <c r="D1819" s="2">
        <v>43516</v>
      </c>
      <c r="E1819" s="3">
        <v>3000</v>
      </c>
      <c r="F1819" t="s">
        <v>633</v>
      </c>
      <c r="G1819" t="s">
        <v>634</v>
      </c>
      <c r="H1819" t="s">
        <v>635</v>
      </c>
      <c r="I1819" s="6" t="s">
        <v>897</v>
      </c>
      <c r="J1819" s="61" t="s">
        <v>22</v>
      </c>
      <c r="L1819" s="5" t="str">
        <f t="shared" si="519"/>
        <v>01818</v>
      </c>
      <c r="M1819" s="47" t="str">
        <f t="shared" si="520"/>
        <v>20 de febrero de 2019</v>
      </c>
      <c r="N1819" s="323">
        <f t="shared" si="521"/>
        <v>20</v>
      </c>
      <c r="O1819" s="25">
        <f t="shared" si="522"/>
        <v>43497</v>
      </c>
      <c r="P1819" s="5" t="str">
        <f t="shared" si="523"/>
        <v>3.000,00</v>
      </c>
      <c r="Q1819" s="4" t="str">
        <f t="shared" si="525"/>
        <v>Tres Mil Bolívares con 00/100</v>
      </c>
    </row>
    <row r="1820" spans="1:17" x14ac:dyDescent="0.25">
      <c r="A1820" s="1">
        <f t="shared" si="527"/>
        <v>1819</v>
      </c>
      <c r="C1820" s="8" t="s">
        <v>17</v>
      </c>
      <c r="D1820" s="2">
        <v>43518</v>
      </c>
      <c r="E1820" s="3">
        <v>600</v>
      </c>
      <c r="F1820" t="s">
        <v>401</v>
      </c>
      <c r="G1820" t="s">
        <v>402</v>
      </c>
      <c r="H1820" t="s">
        <v>403</v>
      </c>
      <c r="I1820" s="6" t="s">
        <v>900</v>
      </c>
      <c r="J1820" s="61" t="s">
        <v>22</v>
      </c>
      <c r="L1820" s="5" t="str">
        <f t="shared" si="519"/>
        <v>01819</v>
      </c>
      <c r="M1820" s="47" t="str">
        <f t="shared" si="520"/>
        <v>22 de febrero de 2019</v>
      </c>
      <c r="N1820" s="323">
        <f t="shared" si="521"/>
        <v>22</v>
      </c>
      <c r="O1820" s="25">
        <f t="shared" si="522"/>
        <v>43497</v>
      </c>
      <c r="P1820" s="5" t="str">
        <f t="shared" si="523"/>
        <v>600,00</v>
      </c>
      <c r="Q1820" s="4" t="str">
        <f t="shared" si="525"/>
        <v>Seiscientos Bolívares con 00/100</v>
      </c>
    </row>
    <row r="1821" spans="1:17" x14ac:dyDescent="0.25">
      <c r="A1821" s="1">
        <f t="shared" si="527"/>
        <v>1820</v>
      </c>
      <c r="C1821" s="8" t="s">
        <v>17</v>
      </c>
      <c r="D1821" s="2">
        <v>43518</v>
      </c>
      <c r="E1821" s="3">
        <v>3000</v>
      </c>
      <c r="F1821" t="s">
        <v>84</v>
      </c>
      <c r="G1821" t="s">
        <v>85</v>
      </c>
      <c r="H1821" t="s">
        <v>86</v>
      </c>
      <c r="I1821" s="6" t="s">
        <v>897</v>
      </c>
      <c r="J1821" s="61" t="s">
        <v>22</v>
      </c>
      <c r="L1821" s="5" t="str">
        <f t="shared" si="519"/>
        <v>01820</v>
      </c>
      <c r="M1821" s="47" t="str">
        <f t="shared" si="520"/>
        <v>22 de febrero de 2019</v>
      </c>
      <c r="N1821" s="323">
        <f t="shared" si="521"/>
        <v>22</v>
      </c>
      <c r="O1821" s="25">
        <f t="shared" si="522"/>
        <v>43497</v>
      </c>
      <c r="P1821" s="5" t="str">
        <f t="shared" si="523"/>
        <v>3.000,00</v>
      </c>
      <c r="Q1821" s="4" t="str">
        <f t="shared" si="525"/>
        <v>Tres Mil Bolívares con 00/100</v>
      </c>
    </row>
    <row r="1822" spans="1:17" x14ac:dyDescent="0.25">
      <c r="A1822" s="1">
        <f t="shared" si="527"/>
        <v>1821</v>
      </c>
      <c r="C1822" s="8" t="s">
        <v>17</v>
      </c>
      <c r="D1822" s="2">
        <v>43520</v>
      </c>
      <c r="E1822" s="3">
        <v>3000</v>
      </c>
      <c r="F1822" t="s">
        <v>100</v>
      </c>
      <c r="G1822" t="s">
        <v>95</v>
      </c>
      <c r="H1822" t="s">
        <v>101</v>
      </c>
      <c r="I1822" s="6" t="s">
        <v>909</v>
      </c>
      <c r="J1822" s="61" t="s">
        <v>22</v>
      </c>
      <c r="L1822" s="5" t="str">
        <f t="shared" si="519"/>
        <v>01821</v>
      </c>
      <c r="M1822" s="47" t="str">
        <f t="shared" si="520"/>
        <v>24 de febrero de 2019</v>
      </c>
      <c r="N1822" s="323">
        <f t="shared" si="521"/>
        <v>24</v>
      </c>
      <c r="O1822" s="25">
        <f t="shared" si="522"/>
        <v>43497</v>
      </c>
      <c r="P1822" s="5" t="str">
        <f t="shared" si="523"/>
        <v>3.000,00</v>
      </c>
      <c r="Q1822" s="4" t="str">
        <f t="shared" si="525"/>
        <v>Tres Mil Bolívares con 00/100</v>
      </c>
    </row>
    <row r="1823" spans="1:17" x14ac:dyDescent="0.25">
      <c r="A1823" s="1">
        <f t="shared" si="527"/>
        <v>1822</v>
      </c>
      <c r="C1823" s="8" t="s">
        <v>17</v>
      </c>
      <c r="D1823" s="2">
        <v>43521</v>
      </c>
      <c r="E1823" s="3">
        <v>6000</v>
      </c>
      <c r="F1823" t="s">
        <v>612</v>
      </c>
      <c r="G1823" t="s">
        <v>613</v>
      </c>
      <c r="H1823" t="s">
        <v>614</v>
      </c>
      <c r="I1823" s="6" t="s">
        <v>910</v>
      </c>
      <c r="J1823" s="61" t="s">
        <v>22</v>
      </c>
      <c r="L1823" s="5" t="str">
        <f t="shared" si="519"/>
        <v>01822</v>
      </c>
      <c r="M1823" s="47" t="str">
        <f t="shared" si="520"/>
        <v>25 de febrero de 2019</v>
      </c>
      <c r="N1823" s="323">
        <f t="shared" si="521"/>
        <v>25</v>
      </c>
      <c r="O1823" s="25">
        <f t="shared" si="522"/>
        <v>43497</v>
      </c>
      <c r="P1823" s="5" t="str">
        <f t="shared" si="523"/>
        <v>6.000,00</v>
      </c>
      <c r="Q1823" s="4" t="str">
        <f t="shared" si="525"/>
        <v>Seis Mil Bolívares con 00/100</v>
      </c>
    </row>
    <row r="1824" spans="1:17" x14ac:dyDescent="0.25">
      <c r="A1824" s="1">
        <f t="shared" si="527"/>
        <v>1823</v>
      </c>
      <c r="C1824" s="8" t="s">
        <v>17</v>
      </c>
      <c r="D1824" s="2">
        <v>43521</v>
      </c>
      <c r="E1824" s="3">
        <v>3000</v>
      </c>
      <c r="F1824" t="s">
        <v>181</v>
      </c>
      <c r="G1824" t="s">
        <v>182</v>
      </c>
      <c r="H1824" t="s">
        <v>183</v>
      </c>
      <c r="I1824" s="6" t="s">
        <v>897</v>
      </c>
      <c r="J1824" s="61" t="s">
        <v>22</v>
      </c>
      <c r="L1824" s="5" t="str">
        <f t="shared" si="519"/>
        <v>01823</v>
      </c>
      <c r="M1824" s="47" t="str">
        <f t="shared" si="520"/>
        <v>25 de febrero de 2019</v>
      </c>
      <c r="N1824" s="323">
        <f t="shared" si="521"/>
        <v>25</v>
      </c>
      <c r="O1824" s="25">
        <f t="shared" si="522"/>
        <v>43497</v>
      </c>
      <c r="P1824" s="5" t="str">
        <f t="shared" si="523"/>
        <v>3.000,00</v>
      </c>
      <c r="Q1824" s="4" t="str">
        <f t="shared" si="525"/>
        <v>Tres Mil Bolívares con 00/100</v>
      </c>
    </row>
    <row r="1825" spans="1:17" x14ac:dyDescent="0.25">
      <c r="A1825" s="1">
        <f t="shared" si="527"/>
        <v>1824</v>
      </c>
      <c r="C1825" s="85" t="s">
        <v>17</v>
      </c>
      <c r="D1825" s="2">
        <v>43521</v>
      </c>
      <c r="E1825" s="3">
        <v>3000</v>
      </c>
      <c r="F1825" t="s">
        <v>319</v>
      </c>
      <c r="G1825" s="18" t="s">
        <v>58</v>
      </c>
      <c r="H1825" t="s">
        <v>320</v>
      </c>
      <c r="I1825" s="6" t="s">
        <v>897</v>
      </c>
      <c r="J1825" s="61" t="s">
        <v>22</v>
      </c>
      <c r="L1825" s="5" t="str">
        <f t="shared" si="519"/>
        <v>01824</v>
      </c>
      <c r="M1825" s="47" t="str">
        <f t="shared" si="520"/>
        <v>25 de febrero de 2019</v>
      </c>
      <c r="N1825" s="323">
        <f t="shared" si="521"/>
        <v>25</v>
      </c>
      <c r="O1825" s="25">
        <f t="shared" si="522"/>
        <v>43497</v>
      </c>
      <c r="P1825" s="5" t="str">
        <f t="shared" si="523"/>
        <v>3.000,00</v>
      </c>
      <c r="Q1825" s="4" t="str">
        <f t="shared" si="525"/>
        <v>Tres Mil Bolívares con 00/100</v>
      </c>
    </row>
    <row r="1826" spans="1:17" x14ac:dyDescent="0.25">
      <c r="A1826" s="1">
        <f t="shared" si="527"/>
        <v>1825</v>
      </c>
      <c r="C1826" s="8" t="s">
        <v>17</v>
      </c>
      <c r="D1826" s="2">
        <v>43521</v>
      </c>
      <c r="E1826" s="3">
        <v>3000</v>
      </c>
      <c r="F1826" t="s">
        <v>122</v>
      </c>
      <c r="G1826" t="s">
        <v>123</v>
      </c>
      <c r="H1826" t="s">
        <v>124</v>
      </c>
      <c r="I1826" s="6" t="s">
        <v>897</v>
      </c>
      <c r="J1826" s="61" t="s">
        <v>22</v>
      </c>
      <c r="L1826" s="5" t="str">
        <f t="shared" si="519"/>
        <v>01825</v>
      </c>
      <c r="M1826" s="47" t="str">
        <f t="shared" si="520"/>
        <v>25 de febrero de 2019</v>
      </c>
      <c r="N1826" s="323">
        <f t="shared" si="521"/>
        <v>25</v>
      </c>
      <c r="O1826" s="25">
        <f t="shared" si="522"/>
        <v>43497</v>
      </c>
      <c r="P1826" s="5" t="str">
        <f t="shared" si="523"/>
        <v>3.000,00</v>
      </c>
      <c r="Q1826" s="4" t="str">
        <f t="shared" si="525"/>
        <v>Tres Mil Bolívares con 00/100</v>
      </c>
    </row>
    <row r="1827" spans="1:17" x14ac:dyDescent="0.25">
      <c r="A1827" s="1">
        <f t="shared" si="527"/>
        <v>1826</v>
      </c>
      <c r="C1827" s="8" t="s">
        <v>17</v>
      </c>
      <c r="D1827" s="2">
        <v>43521</v>
      </c>
      <c r="E1827" s="3">
        <v>3000</v>
      </c>
      <c r="F1827" t="s">
        <v>454</v>
      </c>
      <c r="G1827" t="s">
        <v>761</v>
      </c>
      <c r="H1827" t="s">
        <v>455</v>
      </c>
      <c r="I1827" s="6" t="s">
        <v>897</v>
      </c>
      <c r="J1827" s="61" t="s">
        <v>22</v>
      </c>
      <c r="L1827" s="5" t="str">
        <f t="shared" si="519"/>
        <v>01826</v>
      </c>
      <c r="M1827" s="47" t="str">
        <f t="shared" si="520"/>
        <v>25 de febrero de 2019</v>
      </c>
      <c r="N1827" s="323">
        <f t="shared" si="521"/>
        <v>25</v>
      </c>
      <c r="O1827" s="25">
        <f t="shared" si="522"/>
        <v>43497</v>
      </c>
      <c r="P1827" s="5" t="str">
        <f t="shared" si="523"/>
        <v>3.000,00</v>
      </c>
      <c r="Q1827" s="4" t="str">
        <f t="shared" si="525"/>
        <v>Tres Mil Bolívares con 00/100</v>
      </c>
    </row>
    <row r="1828" spans="1:17" x14ac:dyDescent="0.25">
      <c r="A1828" s="1">
        <f t="shared" si="527"/>
        <v>1827</v>
      </c>
      <c r="C1828" s="8" t="s">
        <v>17</v>
      </c>
      <c r="D1828" s="2">
        <v>43521</v>
      </c>
      <c r="E1828" s="3">
        <v>3000</v>
      </c>
      <c r="F1828" t="s">
        <v>443</v>
      </c>
      <c r="G1828" t="s">
        <v>444</v>
      </c>
      <c r="H1828" t="s">
        <v>75</v>
      </c>
      <c r="I1828" s="6" t="s">
        <v>897</v>
      </c>
      <c r="J1828" s="61" t="s">
        <v>22</v>
      </c>
      <c r="L1828" s="5" t="str">
        <f t="shared" si="519"/>
        <v>01827</v>
      </c>
      <c r="M1828" s="47" t="str">
        <f t="shared" si="520"/>
        <v>25 de febrero de 2019</v>
      </c>
      <c r="N1828" s="323">
        <f t="shared" si="521"/>
        <v>25</v>
      </c>
      <c r="O1828" s="25">
        <f t="shared" si="522"/>
        <v>43497</v>
      </c>
      <c r="P1828" s="5" t="str">
        <f t="shared" si="523"/>
        <v>3.000,00</v>
      </c>
      <c r="Q1828" s="4" t="str">
        <f t="shared" si="525"/>
        <v>Tres Mil Bolívares con 00/100</v>
      </c>
    </row>
    <row r="1829" spans="1:17" x14ac:dyDescent="0.25">
      <c r="A1829" s="1">
        <f t="shared" si="527"/>
        <v>1828</v>
      </c>
      <c r="C1829" s="8" t="s">
        <v>17</v>
      </c>
      <c r="D1829" s="2">
        <v>43521</v>
      </c>
      <c r="E1829" s="3">
        <v>1500</v>
      </c>
      <c r="F1829" t="s">
        <v>401</v>
      </c>
      <c r="G1829" t="s">
        <v>402</v>
      </c>
      <c r="H1829" t="s">
        <v>403</v>
      </c>
      <c r="I1829" s="6" t="s">
        <v>901</v>
      </c>
      <c r="J1829" s="61" t="s">
        <v>22</v>
      </c>
      <c r="L1829" s="5" t="str">
        <f t="shared" ref="L1829:L1835" si="528">IF(ISBLANK(A1829),"",TEXT(A1829,"00000"))</f>
        <v>01828</v>
      </c>
      <c r="M1829" s="47" t="str">
        <f t="shared" ref="M1829:M1835" si="529">IF(ISBLANK(D1829),"",TEXT(D1829,"dd")&amp;" de "&amp;TEXT(D1829,"mmmm")&amp;" de "&amp;TEXT(YEAR(D1829),"0"))</f>
        <v>25 de febrero de 2019</v>
      </c>
      <c r="N1829" s="323">
        <f t="shared" ref="N1829:N1848" si="530">DAY(D1829)</f>
        <v>25</v>
      </c>
      <c r="O1829" s="25">
        <f t="shared" ref="O1829:O1835" si="531">DATE(YEAR(D1829),MONTH(D1829),1)</f>
        <v>43497</v>
      </c>
      <c r="P1829" s="5" t="str">
        <f t="shared" ref="P1829:P1844" si="532">TEXT(E1829,"#.##0,00")</f>
        <v>1.500,00</v>
      </c>
      <c r="Q1829" s="4" t="str">
        <f t="shared" ref="Q1829:Q1834" si="533">CONVERTIRNUM(E1829)</f>
        <v>Mil Quinientos Bolívares con 00/100</v>
      </c>
    </row>
    <row r="1830" spans="1:17" x14ac:dyDescent="0.25">
      <c r="A1830" s="1">
        <f t="shared" si="527"/>
        <v>1829</v>
      </c>
      <c r="C1830" s="8" t="s">
        <v>17</v>
      </c>
      <c r="D1830" s="2">
        <v>43522</v>
      </c>
      <c r="E1830" s="3">
        <v>3000</v>
      </c>
      <c r="F1830" t="s">
        <v>296</v>
      </c>
      <c r="G1830" t="s">
        <v>297</v>
      </c>
      <c r="H1830" t="s">
        <v>298</v>
      </c>
      <c r="I1830" s="6" t="s">
        <v>897</v>
      </c>
      <c r="J1830" s="61" t="s">
        <v>22</v>
      </c>
      <c r="L1830" s="5" t="str">
        <f t="shared" si="528"/>
        <v>01829</v>
      </c>
      <c r="M1830" s="47" t="str">
        <f t="shared" si="529"/>
        <v>26 de febrero de 2019</v>
      </c>
      <c r="N1830" s="323">
        <f t="shared" si="530"/>
        <v>26</v>
      </c>
      <c r="O1830" s="25">
        <f t="shared" si="531"/>
        <v>43497</v>
      </c>
      <c r="P1830" s="5" t="str">
        <f t="shared" si="532"/>
        <v>3.000,00</v>
      </c>
      <c r="Q1830" s="4" t="str">
        <f t="shared" si="533"/>
        <v>Tres Mil Bolívares con 00/100</v>
      </c>
    </row>
    <row r="1831" spans="1:17" x14ac:dyDescent="0.25">
      <c r="A1831" s="1">
        <f t="shared" si="527"/>
        <v>1830</v>
      </c>
      <c r="C1831" s="8" t="s">
        <v>17</v>
      </c>
      <c r="D1831" s="2">
        <v>43513</v>
      </c>
      <c r="E1831" s="3">
        <v>3000</v>
      </c>
      <c r="F1831" t="s">
        <v>334</v>
      </c>
      <c r="G1831" t="s">
        <v>85</v>
      </c>
      <c r="H1831" t="s">
        <v>335</v>
      </c>
      <c r="I1831" s="6" t="s">
        <v>897</v>
      </c>
      <c r="J1831" s="61" t="s">
        <v>22</v>
      </c>
      <c r="L1831" s="5" t="str">
        <f t="shared" si="528"/>
        <v>01830</v>
      </c>
      <c r="M1831" s="47" t="str">
        <f t="shared" si="529"/>
        <v>17 de febrero de 2019</v>
      </c>
      <c r="N1831" s="323">
        <f t="shared" si="530"/>
        <v>17</v>
      </c>
      <c r="O1831" s="25">
        <f t="shared" si="531"/>
        <v>43497</v>
      </c>
      <c r="P1831" s="5" t="str">
        <f t="shared" si="532"/>
        <v>3.000,00</v>
      </c>
      <c r="Q1831" s="4" t="str">
        <f t="shared" si="533"/>
        <v>Tres Mil Bolívares con 00/100</v>
      </c>
    </row>
    <row r="1832" spans="1:17" x14ac:dyDescent="0.25">
      <c r="A1832" s="1">
        <f t="shared" si="527"/>
        <v>1831</v>
      </c>
      <c r="C1832" s="8" t="s">
        <v>17</v>
      </c>
      <c r="D1832" s="2">
        <v>43522</v>
      </c>
      <c r="E1832" s="3">
        <v>3000</v>
      </c>
      <c r="F1832" t="s">
        <v>537</v>
      </c>
      <c r="G1832" t="s">
        <v>538</v>
      </c>
      <c r="H1832" t="s">
        <v>539</v>
      </c>
      <c r="I1832" s="6" t="s">
        <v>897</v>
      </c>
      <c r="J1832" s="61" t="s">
        <v>22</v>
      </c>
      <c r="L1832" s="5" t="str">
        <f t="shared" si="528"/>
        <v>01831</v>
      </c>
      <c r="M1832" s="47" t="str">
        <f t="shared" si="529"/>
        <v>26 de febrero de 2019</v>
      </c>
      <c r="N1832" s="323">
        <f t="shared" si="530"/>
        <v>26</v>
      </c>
      <c r="O1832" s="25">
        <f t="shared" si="531"/>
        <v>43497</v>
      </c>
      <c r="P1832" s="5" t="str">
        <f t="shared" si="532"/>
        <v>3.000,00</v>
      </c>
      <c r="Q1832" s="4" t="str">
        <f t="shared" si="533"/>
        <v>Tres Mil Bolívares con 00/100</v>
      </c>
    </row>
    <row r="1833" spans="1:17" x14ac:dyDescent="0.25">
      <c r="A1833" s="1">
        <f t="shared" si="527"/>
        <v>1832</v>
      </c>
      <c r="C1833" s="8" t="s">
        <v>17</v>
      </c>
      <c r="D1833" s="2">
        <v>43523</v>
      </c>
      <c r="E1833" s="3">
        <v>3000</v>
      </c>
      <c r="F1833" t="s">
        <v>239</v>
      </c>
      <c r="G1833" s="73" t="s">
        <v>240</v>
      </c>
      <c r="H1833" t="s">
        <v>241</v>
      </c>
      <c r="I1833" s="6" t="s">
        <v>897</v>
      </c>
      <c r="J1833" s="61" t="s">
        <v>22</v>
      </c>
      <c r="L1833" s="5" t="str">
        <f t="shared" si="528"/>
        <v>01832</v>
      </c>
      <c r="M1833" s="47" t="str">
        <f t="shared" si="529"/>
        <v>27 de febrero de 2019</v>
      </c>
      <c r="N1833" s="323">
        <f t="shared" si="530"/>
        <v>27</v>
      </c>
      <c r="O1833" s="25">
        <f t="shared" si="531"/>
        <v>43497</v>
      </c>
      <c r="P1833" s="5" t="str">
        <f t="shared" si="532"/>
        <v>3.000,00</v>
      </c>
      <c r="Q1833" s="4" t="str">
        <f t="shared" si="533"/>
        <v>Tres Mil Bolívares con 00/100</v>
      </c>
    </row>
    <row r="1834" spans="1:17" x14ac:dyDescent="0.25">
      <c r="A1834" s="1">
        <f t="shared" si="527"/>
        <v>1833</v>
      </c>
      <c r="C1834" s="8" t="s">
        <v>17</v>
      </c>
      <c r="D1834" s="2">
        <v>43522</v>
      </c>
      <c r="E1834" s="3">
        <v>3000</v>
      </c>
      <c r="F1834" t="s">
        <v>284</v>
      </c>
      <c r="G1834" t="s">
        <v>687</v>
      </c>
      <c r="H1834" t="s">
        <v>285</v>
      </c>
      <c r="I1834" s="6" t="s">
        <v>897</v>
      </c>
      <c r="J1834" s="61" t="s">
        <v>22</v>
      </c>
      <c r="L1834" s="5" t="str">
        <f t="shared" si="528"/>
        <v>01833</v>
      </c>
      <c r="M1834" s="47" t="str">
        <f t="shared" si="529"/>
        <v>26 de febrero de 2019</v>
      </c>
      <c r="N1834" s="323">
        <f t="shared" si="530"/>
        <v>26</v>
      </c>
      <c r="O1834" s="25">
        <f t="shared" si="531"/>
        <v>43497</v>
      </c>
      <c r="P1834" s="5" t="str">
        <f t="shared" si="532"/>
        <v>3.000,00</v>
      </c>
      <c r="Q1834" s="4" t="str">
        <f t="shared" si="533"/>
        <v>Tres Mil Bolívares con 00/100</v>
      </c>
    </row>
    <row r="1835" spans="1:17" x14ac:dyDescent="0.25">
      <c r="A1835" s="1">
        <f t="shared" si="527"/>
        <v>1834</v>
      </c>
      <c r="C1835" s="8" t="s">
        <v>17</v>
      </c>
      <c r="D1835" s="2">
        <v>43523</v>
      </c>
      <c r="E1835" s="3">
        <v>3000</v>
      </c>
      <c r="F1835" t="s">
        <v>407</v>
      </c>
      <c r="G1835" t="s">
        <v>408</v>
      </c>
      <c r="H1835" t="s">
        <v>409</v>
      </c>
      <c r="I1835" s="6" t="s">
        <v>909</v>
      </c>
      <c r="J1835" s="61" t="s">
        <v>22</v>
      </c>
      <c r="L1835" s="5" t="str">
        <f t="shared" si="528"/>
        <v>01834</v>
      </c>
      <c r="M1835" s="47" t="str">
        <f t="shared" si="529"/>
        <v>27 de febrero de 2019</v>
      </c>
      <c r="N1835" s="323">
        <f t="shared" si="530"/>
        <v>27</v>
      </c>
      <c r="O1835" s="25">
        <f t="shared" si="531"/>
        <v>43497</v>
      </c>
      <c r="P1835" s="5" t="str">
        <f t="shared" si="532"/>
        <v>3.000,00</v>
      </c>
      <c r="Q1835" s="4" t="str">
        <f>CONVERTIRNUM(E1835)</f>
        <v>Tres Mil Bolívares con 00/100</v>
      </c>
    </row>
    <row r="1836" spans="1:17" x14ac:dyDescent="0.25">
      <c r="A1836" s="1">
        <f t="shared" si="527"/>
        <v>1835</v>
      </c>
      <c r="C1836" s="8" t="s">
        <v>17</v>
      </c>
      <c r="D1836" s="2">
        <v>43523</v>
      </c>
      <c r="E1836" s="3">
        <v>6000</v>
      </c>
      <c r="F1836" t="s">
        <v>44</v>
      </c>
      <c r="G1836" t="s">
        <v>45</v>
      </c>
      <c r="H1836" t="s">
        <v>46</v>
      </c>
      <c r="I1836" s="6" t="s">
        <v>911</v>
      </c>
      <c r="J1836" s="61" t="s">
        <v>22</v>
      </c>
      <c r="L1836" s="5" t="str">
        <f>IF(ISBLANK(A1836),"",TEXT(A1836,"00000"))</f>
        <v>01835</v>
      </c>
      <c r="M1836" s="47" t="str">
        <f>IF(ISBLANK(D1836),"",TEXT(D1836,"dd")&amp;" de "&amp;TEXT(D1836,"mmmm")&amp;" de "&amp;TEXT(YEAR(D1836),"0"))</f>
        <v>27 de febrero de 2019</v>
      </c>
      <c r="N1836" s="323">
        <f t="shared" si="530"/>
        <v>27</v>
      </c>
      <c r="O1836" s="25">
        <f>DATE(YEAR(D1836),MONTH(D1836),1)</f>
        <v>43497</v>
      </c>
      <c r="P1836" s="5" t="str">
        <f t="shared" si="532"/>
        <v>6.000,00</v>
      </c>
      <c r="Q1836" s="4" t="str">
        <f t="shared" ref="Q1836:Q1844" si="534">CONVERTIRNUM(E1836)</f>
        <v>Seis Mil Bolívares con 00/100</v>
      </c>
    </row>
    <row r="1837" spans="1:17" x14ac:dyDescent="0.25">
      <c r="A1837" s="1">
        <f t="shared" si="527"/>
        <v>1836</v>
      </c>
      <c r="C1837" s="8" t="s">
        <v>17</v>
      </c>
      <c r="D1837" s="2">
        <v>43523</v>
      </c>
      <c r="E1837" s="3">
        <v>6000</v>
      </c>
      <c r="F1837" t="s">
        <v>243</v>
      </c>
      <c r="G1837" t="s">
        <v>244</v>
      </c>
      <c r="H1837" t="s">
        <v>245</v>
      </c>
      <c r="I1837" s="6" t="s">
        <v>912</v>
      </c>
      <c r="J1837" s="61" t="s">
        <v>22</v>
      </c>
      <c r="L1837" s="5" t="str">
        <f>IF(ISBLANK(A1837),"",TEXT(A1837,"00000"))</f>
        <v>01836</v>
      </c>
      <c r="M1837" s="47" t="str">
        <f>IF(ISBLANK(D1837),"",TEXT(D1837,"dd")&amp;" de "&amp;TEXT(D1837,"mmmm")&amp;" de "&amp;TEXT(YEAR(D1837),"0"))</f>
        <v>27 de febrero de 2019</v>
      </c>
      <c r="N1837" s="323">
        <f t="shared" si="530"/>
        <v>27</v>
      </c>
      <c r="O1837" s="25">
        <f>DATE(YEAR(D1837),MONTH(D1837),1)</f>
        <v>43497</v>
      </c>
      <c r="P1837" s="5" t="str">
        <f t="shared" si="532"/>
        <v>6.000,00</v>
      </c>
      <c r="Q1837" s="4" t="str">
        <f t="shared" si="534"/>
        <v>Seis Mil Bolívares con 00/100</v>
      </c>
    </row>
    <row r="1838" spans="1:17" x14ac:dyDescent="0.25">
      <c r="A1838" s="1">
        <f t="shared" si="527"/>
        <v>1837</v>
      </c>
      <c r="C1838" s="85" t="s">
        <v>17</v>
      </c>
      <c r="D1838" s="2">
        <v>43523</v>
      </c>
      <c r="E1838" s="3">
        <v>3000</v>
      </c>
      <c r="F1838" t="s">
        <v>259</v>
      </c>
      <c r="G1838" s="18" t="s">
        <v>58</v>
      </c>
      <c r="H1838" t="s">
        <v>261</v>
      </c>
      <c r="I1838" s="6" t="s">
        <v>897</v>
      </c>
      <c r="J1838" s="61" t="s">
        <v>22</v>
      </c>
      <c r="L1838" s="5" t="str">
        <f t="shared" ref="L1838:L1848" si="535">IF(ISBLANK(A1838),"",TEXT(A1838,"00000"))</f>
        <v>01837</v>
      </c>
      <c r="M1838" s="47" t="str">
        <f t="shared" ref="M1838:M1848" si="536">IF(ISBLANK(D1838),"",TEXT(D1838,"dd")&amp;" de "&amp;TEXT(D1838,"mmmm")&amp;" de "&amp;TEXT(YEAR(D1838),"0"))</f>
        <v>27 de febrero de 2019</v>
      </c>
      <c r="N1838" s="323">
        <f t="shared" si="530"/>
        <v>27</v>
      </c>
      <c r="O1838" s="25">
        <f t="shared" ref="O1838:O1848" si="537">DATE(YEAR(D1838),MONTH(D1838),1)</f>
        <v>43497</v>
      </c>
      <c r="P1838" s="5" t="str">
        <f t="shared" si="532"/>
        <v>3.000,00</v>
      </c>
      <c r="Q1838" s="4" t="str">
        <f t="shared" si="534"/>
        <v>Tres Mil Bolívares con 00/100</v>
      </c>
    </row>
    <row r="1839" spans="1:17" x14ac:dyDescent="0.25">
      <c r="A1839" s="1">
        <f t="shared" si="527"/>
        <v>1838</v>
      </c>
      <c r="C1839" s="8" t="s">
        <v>17</v>
      </c>
      <c r="D1839" s="2">
        <v>43523</v>
      </c>
      <c r="E1839" s="3">
        <v>5000</v>
      </c>
      <c r="F1839" t="s">
        <v>90</v>
      </c>
      <c r="G1839" t="s">
        <v>91</v>
      </c>
      <c r="H1839" t="s">
        <v>92</v>
      </c>
      <c r="I1839" s="6" t="s">
        <v>913</v>
      </c>
      <c r="J1839" s="61" t="s">
        <v>22</v>
      </c>
      <c r="L1839" s="5" t="str">
        <f t="shared" si="535"/>
        <v>01838</v>
      </c>
      <c r="M1839" s="47" t="str">
        <f t="shared" si="536"/>
        <v>27 de febrero de 2019</v>
      </c>
      <c r="N1839" s="323">
        <f t="shared" si="530"/>
        <v>27</v>
      </c>
      <c r="O1839" s="25">
        <f t="shared" si="537"/>
        <v>43497</v>
      </c>
      <c r="P1839" s="5" t="str">
        <f t="shared" si="532"/>
        <v>5.000,00</v>
      </c>
      <c r="Q1839" s="4" t="str">
        <f t="shared" si="534"/>
        <v>Cinco Mil Bolívares con 00/100</v>
      </c>
    </row>
    <row r="1840" spans="1:17" x14ac:dyDescent="0.25">
      <c r="A1840" s="1">
        <f t="shared" si="527"/>
        <v>1839</v>
      </c>
      <c r="C1840" s="8" t="s">
        <v>17</v>
      </c>
      <c r="D1840" s="2">
        <v>43523</v>
      </c>
      <c r="E1840" s="3">
        <v>9000</v>
      </c>
      <c r="F1840" t="s">
        <v>324</v>
      </c>
      <c r="G1840" t="s">
        <v>325</v>
      </c>
      <c r="H1840" t="s">
        <v>326</v>
      </c>
      <c r="I1840" s="6" t="s">
        <v>914</v>
      </c>
      <c r="J1840" s="61" t="s">
        <v>22</v>
      </c>
      <c r="L1840" s="5" t="str">
        <f t="shared" si="535"/>
        <v>01839</v>
      </c>
      <c r="M1840" s="47" t="str">
        <f t="shared" si="536"/>
        <v>27 de febrero de 2019</v>
      </c>
      <c r="N1840" s="323">
        <f t="shared" si="530"/>
        <v>27</v>
      </c>
      <c r="O1840" s="25">
        <f t="shared" si="537"/>
        <v>43497</v>
      </c>
      <c r="P1840" s="5" t="str">
        <f t="shared" si="532"/>
        <v>9.000,00</v>
      </c>
      <c r="Q1840" s="4" t="str">
        <f t="shared" si="534"/>
        <v>Nueve Mil Bolívares con 00/100</v>
      </c>
    </row>
    <row r="1841" spans="1:17" x14ac:dyDescent="0.25">
      <c r="A1841" s="1">
        <f t="shared" si="527"/>
        <v>1840</v>
      </c>
      <c r="C1841" s="8" t="s">
        <v>17</v>
      </c>
      <c r="D1841" s="2">
        <v>43523</v>
      </c>
      <c r="E1841" s="3">
        <v>4000</v>
      </c>
      <c r="F1841" t="s">
        <v>32</v>
      </c>
      <c r="G1841" t="s">
        <v>33</v>
      </c>
      <c r="H1841" t="s">
        <v>34</v>
      </c>
      <c r="I1841" s="161" t="s">
        <v>915</v>
      </c>
      <c r="J1841" s="61" t="s">
        <v>22</v>
      </c>
      <c r="L1841" s="5" t="str">
        <f t="shared" si="535"/>
        <v>01840</v>
      </c>
      <c r="M1841" s="47" t="str">
        <f t="shared" si="536"/>
        <v>27 de febrero de 2019</v>
      </c>
      <c r="N1841" s="323">
        <f t="shared" si="530"/>
        <v>27</v>
      </c>
      <c r="O1841" s="25">
        <f t="shared" si="537"/>
        <v>43497</v>
      </c>
      <c r="P1841" s="5" t="str">
        <f t="shared" si="532"/>
        <v>4.000,00</v>
      </c>
      <c r="Q1841" s="4" t="str">
        <f t="shared" si="534"/>
        <v>Cuatro Mil Bolívares con 00/100</v>
      </c>
    </row>
    <row r="1842" spans="1:17" x14ac:dyDescent="0.25">
      <c r="A1842" s="1">
        <f t="shared" si="527"/>
        <v>1841</v>
      </c>
      <c r="C1842" s="8" t="s">
        <v>17</v>
      </c>
      <c r="D1842" s="2">
        <v>43523</v>
      </c>
      <c r="E1842" s="3">
        <v>3000</v>
      </c>
      <c r="F1842" t="s">
        <v>211</v>
      </c>
      <c r="G1842" t="s">
        <v>212</v>
      </c>
      <c r="H1842" t="s">
        <v>213</v>
      </c>
      <c r="I1842" s="6" t="s">
        <v>897</v>
      </c>
      <c r="J1842" s="61" t="s">
        <v>22</v>
      </c>
      <c r="L1842" s="5" t="str">
        <f t="shared" si="535"/>
        <v>01841</v>
      </c>
      <c r="M1842" s="47" t="str">
        <f t="shared" si="536"/>
        <v>27 de febrero de 2019</v>
      </c>
      <c r="N1842" s="323">
        <f t="shared" si="530"/>
        <v>27</v>
      </c>
      <c r="O1842" s="25">
        <f t="shared" si="537"/>
        <v>43497</v>
      </c>
      <c r="P1842" s="5" t="str">
        <f t="shared" si="532"/>
        <v>3.000,00</v>
      </c>
      <c r="Q1842" s="4" t="str">
        <f t="shared" si="534"/>
        <v>Tres Mil Bolívares con 00/100</v>
      </c>
    </row>
    <row r="1843" spans="1:17" x14ac:dyDescent="0.25">
      <c r="A1843" s="1">
        <f t="shared" si="527"/>
        <v>1842</v>
      </c>
      <c r="C1843" s="8" t="s">
        <v>17</v>
      </c>
      <c r="D1843" s="2">
        <v>43523</v>
      </c>
      <c r="E1843" s="3">
        <v>3000</v>
      </c>
      <c r="F1843" t="s">
        <v>103</v>
      </c>
      <c r="G1843" t="s">
        <v>104</v>
      </c>
      <c r="H1843" t="s">
        <v>105</v>
      </c>
      <c r="I1843" s="6" t="s">
        <v>897</v>
      </c>
      <c r="J1843" s="61" t="s">
        <v>22</v>
      </c>
      <c r="L1843" s="5" t="str">
        <f t="shared" si="535"/>
        <v>01842</v>
      </c>
      <c r="M1843" s="47" t="str">
        <f t="shared" si="536"/>
        <v>27 de febrero de 2019</v>
      </c>
      <c r="N1843" s="323">
        <f t="shared" si="530"/>
        <v>27</v>
      </c>
      <c r="O1843" s="25">
        <f t="shared" si="537"/>
        <v>43497</v>
      </c>
      <c r="P1843" s="5" t="str">
        <f t="shared" si="532"/>
        <v>3.000,00</v>
      </c>
      <c r="Q1843" s="4" t="str">
        <f t="shared" si="534"/>
        <v>Tres Mil Bolívares con 00/100</v>
      </c>
    </row>
    <row r="1844" spans="1:17" x14ac:dyDescent="0.25">
      <c r="A1844" s="1">
        <f t="shared" si="527"/>
        <v>1843</v>
      </c>
      <c r="C1844" s="8" t="s">
        <v>17</v>
      </c>
      <c r="D1844" s="2">
        <v>43523</v>
      </c>
      <c r="E1844" s="3">
        <v>3000</v>
      </c>
      <c r="F1844" t="s">
        <v>248</v>
      </c>
      <c r="G1844" t="s">
        <v>249</v>
      </c>
      <c r="H1844" t="s">
        <v>250</v>
      </c>
      <c r="I1844" s="6" t="s">
        <v>897</v>
      </c>
      <c r="J1844" s="61" t="s">
        <v>22</v>
      </c>
      <c r="L1844" s="5" t="str">
        <f t="shared" si="535"/>
        <v>01843</v>
      </c>
      <c r="M1844" s="47" t="str">
        <f t="shared" si="536"/>
        <v>27 de febrero de 2019</v>
      </c>
      <c r="N1844" s="323">
        <f t="shared" si="530"/>
        <v>27</v>
      </c>
      <c r="O1844" s="25">
        <f t="shared" si="537"/>
        <v>43497</v>
      </c>
      <c r="P1844" s="5" t="str">
        <f t="shared" si="532"/>
        <v>3.000,00</v>
      </c>
      <c r="Q1844" s="4" t="str">
        <f t="shared" si="534"/>
        <v>Tres Mil Bolívares con 00/100</v>
      </c>
    </row>
    <row r="1845" spans="1:17" x14ac:dyDescent="0.25">
      <c r="A1845" s="1">
        <f t="shared" si="527"/>
        <v>1844</v>
      </c>
      <c r="C1845" s="8" t="s">
        <v>17</v>
      </c>
      <c r="D1845" s="2">
        <v>43523</v>
      </c>
      <c r="E1845" s="3">
        <v>6000</v>
      </c>
      <c r="F1845" t="s">
        <v>162</v>
      </c>
      <c r="G1845" t="s">
        <v>163</v>
      </c>
      <c r="H1845" t="s">
        <v>164</v>
      </c>
      <c r="I1845" s="6" t="s">
        <v>912</v>
      </c>
      <c r="J1845" s="61" t="s">
        <v>22</v>
      </c>
      <c r="L1845" s="5" t="str">
        <f t="shared" si="535"/>
        <v>01844</v>
      </c>
      <c r="M1845" s="47" t="str">
        <f t="shared" si="536"/>
        <v>27 de febrero de 2019</v>
      </c>
      <c r="N1845" s="323">
        <f t="shared" si="530"/>
        <v>27</v>
      </c>
      <c r="O1845" s="25">
        <f t="shared" si="537"/>
        <v>43497</v>
      </c>
      <c r="P1845" s="5" t="str">
        <f>TEXT(E1845,"#.##0,00")</f>
        <v>6.000,00</v>
      </c>
      <c r="Q1845" s="4" t="str">
        <f>CONVERTIRNUM(E1845)</f>
        <v>Seis Mil Bolívares con 00/100</v>
      </c>
    </row>
    <row r="1846" spans="1:17" x14ac:dyDescent="0.25">
      <c r="A1846" s="1">
        <f t="shared" si="527"/>
        <v>1845</v>
      </c>
      <c r="C1846" s="8" t="s">
        <v>17</v>
      </c>
      <c r="D1846" s="2">
        <v>43523</v>
      </c>
      <c r="E1846" s="3">
        <v>6000</v>
      </c>
      <c r="F1846" t="s">
        <v>80</v>
      </c>
      <c r="G1846" t="s">
        <v>81</v>
      </c>
      <c r="H1846" t="s">
        <v>82</v>
      </c>
      <c r="I1846" s="6" t="s">
        <v>909</v>
      </c>
      <c r="J1846" s="61" t="s">
        <v>22</v>
      </c>
      <c r="L1846" s="5" t="str">
        <f t="shared" si="535"/>
        <v>01845</v>
      </c>
      <c r="M1846" s="47" t="str">
        <f t="shared" si="536"/>
        <v>27 de febrero de 2019</v>
      </c>
      <c r="N1846" s="323">
        <f t="shared" si="530"/>
        <v>27</v>
      </c>
      <c r="O1846" s="25">
        <f t="shared" si="537"/>
        <v>43497</v>
      </c>
      <c r="P1846" s="5" t="str">
        <f t="shared" ref="P1846:P1848" si="538">TEXT(E1846,"#.##0,00")</f>
        <v>6.000,00</v>
      </c>
      <c r="Q1846" s="4" t="str">
        <f t="shared" ref="Q1846:Q1848" si="539">CONVERTIRNUM(E1846)</f>
        <v>Seis Mil Bolívares con 00/100</v>
      </c>
    </row>
    <row r="1847" spans="1:17" x14ac:dyDescent="0.25">
      <c r="A1847" s="1">
        <f t="shared" si="527"/>
        <v>1846</v>
      </c>
      <c r="C1847" s="8" t="s">
        <v>17</v>
      </c>
      <c r="D1847" s="2">
        <v>43523</v>
      </c>
      <c r="E1847" s="3">
        <v>3000</v>
      </c>
      <c r="F1847" t="s">
        <v>134</v>
      </c>
      <c r="G1847" t="s">
        <v>135</v>
      </c>
      <c r="H1847" t="s">
        <v>136</v>
      </c>
      <c r="I1847" s="6" t="s">
        <v>897</v>
      </c>
      <c r="J1847" s="61" t="s">
        <v>22</v>
      </c>
      <c r="L1847" s="5" t="str">
        <f t="shared" si="535"/>
        <v>01846</v>
      </c>
      <c r="M1847" s="47" t="str">
        <f t="shared" si="536"/>
        <v>27 de febrero de 2019</v>
      </c>
      <c r="N1847" s="323">
        <f t="shared" si="530"/>
        <v>27</v>
      </c>
      <c r="O1847" s="25">
        <f t="shared" si="537"/>
        <v>43497</v>
      </c>
      <c r="P1847" s="5" t="str">
        <f t="shared" si="538"/>
        <v>3.000,00</v>
      </c>
      <c r="Q1847" s="4" t="str">
        <f t="shared" si="539"/>
        <v>Tres Mil Bolívares con 00/100</v>
      </c>
    </row>
    <row r="1848" spans="1:17" x14ac:dyDescent="0.25">
      <c r="A1848" s="1">
        <f t="shared" si="527"/>
        <v>1847</v>
      </c>
      <c r="C1848" s="8" t="s">
        <v>17</v>
      </c>
      <c r="D1848" s="2">
        <v>43523</v>
      </c>
      <c r="E1848" s="3">
        <v>3000</v>
      </c>
      <c r="F1848" t="s">
        <v>201</v>
      </c>
      <c r="G1848" t="s">
        <v>202</v>
      </c>
      <c r="H1848" t="s">
        <v>203</v>
      </c>
      <c r="I1848" s="6" t="s">
        <v>897</v>
      </c>
      <c r="J1848" s="61" t="s">
        <v>22</v>
      </c>
      <c r="L1848" s="5" t="str">
        <f t="shared" si="535"/>
        <v>01847</v>
      </c>
      <c r="M1848" s="47" t="str">
        <f t="shared" si="536"/>
        <v>27 de febrero de 2019</v>
      </c>
      <c r="N1848" s="323">
        <f t="shared" si="530"/>
        <v>27</v>
      </c>
      <c r="O1848" s="25">
        <f t="shared" si="537"/>
        <v>43497</v>
      </c>
      <c r="P1848" s="5" t="str">
        <f t="shared" si="538"/>
        <v>3.000,00</v>
      </c>
      <c r="Q1848" s="4" t="str">
        <f t="shared" si="539"/>
        <v>Tres Mil Bolívares con 00/100</v>
      </c>
    </row>
    <row r="1849" spans="1:17" x14ac:dyDescent="0.25">
      <c r="A1849" s="1">
        <f t="shared" si="527"/>
        <v>1848</v>
      </c>
      <c r="C1849" s="8" t="s">
        <v>17</v>
      </c>
      <c r="D1849" s="2">
        <v>43500</v>
      </c>
      <c r="E1849" s="3">
        <v>3000</v>
      </c>
      <c r="F1849" t="s">
        <v>80</v>
      </c>
      <c r="G1849" t="s">
        <v>81</v>
      </c>
      <c r="H1849" t="s">
        <v>82</v>
      </c>
      <c r="I1849" s="6" t="s">
        <v>897</v>
      </c>
      <c r="J1849" s="61" t="s">
        <v>22</v>
      </c>
      <c r="L1849" s="5" t="str">
        <f t="shared" ref="L1849:L1888" si="540">IF(ISBLANK(A1849),"",TEXT(A1849,"00000"))</f>
        <v>01848</v>
      </c>
      <c r="M1849" s="47" t="str">
        <f t="shared" ref="M1849:M1888" si="541">IF(ISBLANK(D1849),"",TEXT(D1849,"dd")&amp;" de "&amp;TEXT(D1849,"mmmm")&amp;" de "&amp;TEXT(YEAR(D1849),"0"))</f>
        <v>04 de febrero de 2019</v>
      </c>
      <c r="N1849" s="323">
        <f t="shared" ref="N1849:N1888" si="542">DAY(D1849)</f>
        <v>4</v>
      </c>
      <c r="O1849" s="25">
        <f t="shared" ref="O1849:O1888" si="543">DATE(YEAR(D1849),MONTH(D1849),1)</f>
        <v>43497</v>
      </c>
      <c r="P1849" s="5" t="str">
        <f t="shared" ref="P1849:P1888" si="544">TEXT(E1849,"#.##0,00")</f>
        <v>3.000,00</v>
      </c>
      <c r="Q1849" s="4" t="str">
        <f t="shared" ref="Q1849:Q1888" si="545">CONVERTIRNUM(E1849)</f>
        <v>Tres Mil Bolívares con 00/100</v>
      </c>
    </row>
    <row r="1850" spans="1:17" x14ac:dyDescent="0.25">
      <c r="A1850" s="1">
        <f t="shared" si="527"/>
        <v>1849</v>
      </c>
      <c r="C1850" s="8" t="s">
        <v>17</v>
      </c>
      <c r="D1850" s="2">
        <v>43524</v>
      </c>
      <c r="E1850" s="3">
        <v>6000</v>
      </c>
      <c r="F1850" t="s">
        <v>114</v>
      </c>
      <c r="G1850" t="s">
        <v>115</v>
      </c>
      <c r="H1850" t="s">
        <v>105</v>
      </c>
      <c r="I1850" s="6" t="s">
        <v>912</v>
      </c>
      <c r="J1850" s="61" t="s">
        <v>22</v>
      </c>
      <c r="L1850" s="5" t="str">
        <f t="shared" si="540"/>
        <v>01849</v>
      </c>
      <c r="M1850" s="47" t="str">
        <f t="shared" si="541"/>
        <v>28 de febrero de 2019</v>
      </c>
      <c r="N1850" s="323">
        <f t="shared" si="542"/>
        <v>28</v>
      </c>
      <c r="O1850" s="25">
        <f t="shared" si="543"/>
        <v>43497</v>
      </c>
      <c r="P1850" s="5" t="str">
        <f t="shared" si="544"/>
        <v>6.000,00</v>
      </c>
      <c r="Q1850" s="4" t="str">
        <f t="shared" si="545"/>
        <v>Seis Mil Bolívares con 00/100</v>
      </c>
    </row>
    <row r="1851" spans="1:17" x14ac:dyDescent="0.25">
      <c r="A1851" s="1">
        <f t="shared" si="527"/>
        <v>1850</v>
      </c>
      <c r="C1851" s="8" t="s">
        <v>17</v>
      </c>
      <c r="D1851" s="2">
        <v>43524</v>
      </c>
      <c r="E1851" s="3">
        <v>8000</v>
      </c>
      <c r="F1851" t="s">
        <v>785</v>
      </c>
      <c r="G1851" t="s">
        <v>786</v>
      </c>
      <c r="H1851" t="s">
        <v>719</v>
      </c>
      <c r="I1851" s="6" t="s">
        <v>916</v>
      </c>
      <c r="J1851" s="61" t="s">
        <v>22</v>
      </c>
      <c r="L1851" s="5" t="str">
        <f t="shared" si="540"/>
        <v>01850</v>
      </c>
      <c r="M1851" s="47" t="str">
        <f t="shared" si="541"/>
        <v>28 de febrero de 2019</v>
      </c>
      <c r="N1851" s="323">
        <f t="shared" si="542"/>
        <v>28</v>
      </c>
      <c r="O1851" s="25">
        <f t="shared" si="543"/>
        <v>43497</v>
      </c>
      <c r="P1851" s="5" t="str">
        <f t="shared" si="544"/>
        <v>8.000,00</v>
      </c>
      <c r="Q1851" s="4" t="str">
        <f t="shared" si="545"/>
        <v>Ocho Mil Bolívares con 00/100</v>
      </c>
    </row>
    <row r="1852" spans="1:17" x14ac:dyDescent="0.25">
      <c r="A1852" s="1">
        <f t="shared" si="527"/>
        <v>1851</v>
      </c>
      <c r="C1852" s="8" t="s">
        <v>17</v>
      </c>
      <c r="D1852" s="2">
        <v>43524</v>
      </c>
      <c r="E1852" s="3">
        <v>3000</v>
      </c>
      <c r="F1852" t="s">
        <v>334</v>
      </c>
      <c r="G1852" t="s">
        <v>85</v>
      </c>
      <c r="H1852" t="s">
        <v>335</v>
      </c>
      <c r="I1852" s="6" t="s">
        <v>909</v>
      </c>
      <c r="J1852" s="61" t="s">
        <v>22</v>
      </c>
      <c r="L1852" s="5" t="str">
        <f t="shared" si="540"/>
        <v>01851</v>
      </c>
      <c r="M1852" s="47" t="str">
        <f t="shared" si="541"/>
        <v>28 de febrero de 2019</v>
      </c>
      <c r="N1852" s="323">
        <f t="shared" si="542"/>
        <v>28</v>
      </c>
      <c r="O1852" s="25">
        <f t="shared" si="543"/>
        <v>43497</v>
      </c>
      <c r="P1852" s="5" t="str">
        <f t="shared" si="544"/>
        <v>3.000,00</v>
      </c>
      <c r="Q1852" s="4" t="str">
        <f t="shared" si="545"/>
        <v>Tres Mil Bolívares con 00/100</v>
      </c>
    </row>
    <row r="1853" spans="1:17" x14ac:dyDescent="0.25">
      <c r="A1853" s="1">
        <f t="shared" si="527"/>
        <v>1852</v>
      </c>
      <c r="C1853" s="8" t="s">
        <v>17</v>
      </c>
      <c r="D1853" s="2">
        <v>43524</v>
      </c>
      <c r="E1853" s="3">
        <v>3000</v>
      </c>
      <c r="F1853" t="s">
        <v>84</v>
      </c>
      <c r="G1853" t="s">
        <v>85</v>
      </c>
      <c r="H1853" t="s">
        <v>86</v>
      </c>
      <c r="I1853" s="6" t="s">
        <v>909</v>
      </c>
      <c r="J1853" s="61" t="s">
        <v>22</v>
      </c>
      <c r="L1853" s="5" t="str">
        <f t="shared" si="540"/>
        <v>01852</v>
      </c>
      <c r="M1853" s="47" t="str">
        <f t="shared" si="541"/>
        <v>28 de febrero de 2019</v>
      </c>
      <c r="N1853" s="323">
        <f t="shared" si="542"/>
        <v>28</v>
      </c>
      <c r="O1853" s="25">
        <f t="shared" si="543"/>
        <v>43497</v>
      </c>
      <c r="P1853" s="5" t="str">
        <f t="shared" si="544"/>
        <v>3.000,00</v>
      </c>
      <c r="Q1853" s="4" t="str">
        <f t="shared" si="545"/>
        <v>Tres Mil Bolívares con 00/100</v>
      </c>
    </row>
    <row r="1854" spans="1:17" x14ac:dyDescent="0.25">
      <c r="A1854" s="1">
        <f t="shared" si="527"/>
        <v>1853</v>
      </c>
      <c r="C1854" s="8" t="s">
        <v>17</v>
      </c>
      <c r="D1854" s="2">
        <v>43525</v>
      </c>
      <c r="E1854" s="3">
        <v>3000</v>
      </c>
      <c r="F1854" t="s">
        <v>62</v>
      </c>
      <c r="G1854" t="s">
        <v>63</v>
      </c>
      <c r="H1854" t="s">
        <v>64</v>
      </c>
      <c r="I1854" s="6" t="s">
        <v>897</v>
      </c>
      <c r="J1854" s="61" t="s">
        <v>22</v>
      </c>
      <c r="L1854" s="5" t="str">
        <f t="shared" si="540"/>
        <v>01853</v>
      </c>
      <c r="M1854" s="47" t="str">
        <f t="shared" si="541"/>
        <v>01 de marzo de 2019</v>
      </c>
      <c r="N1854" s="323">
        <f t="shared" si="542"/>
        <v>1</v>
      </c>
      <c r="O1854" s="25">
        <f t="shared" si="543"/>
        <v>43525</v>
      </c>
      <c r="P1854" s="5" t="str">
        <f t="shared" si="544"/>
        <v>3.000,00</v>
      </c>
      <c r="Q1854" s="4" t="str">
        <f t="shared" si="545"/>
        <v>Tres Mil Bolívares con 00/100</v>
      </c>
    </row>
    <row r="1855" spans="1:17" x14ac:dyDescent="0.25">
      <c r="A1855" s="1">
        <f>A1854+1</f>
        <v>1854</v>
      </c>
      <c r="C1855" s="8" t="s">
        <v>17</v>
      </c>
      <c r="D1855" s="2">
        <v>43530</v>
      </c>
      <c r="E1855" s="3">
        <v>3000</v>
      </c>
      <c r="F1855" t="s">
        <v>70</v>
      </c>
      <c r="G1855" t="s">
        <v>71</v>
      </c>
      <c r="H1855" t="s">
        <v>72</v>
      </c>
      <c r="I1855" s="6" t="s">
        <v>909</v>
      </c>
      <c r="J1855" s="61" t="s">
        <v>22</v>
      </c>
      <c r="L1855" s="5" t="str">
        <f t="shared" si="540"/>
        <v>01854</v>
      </c>
      <c r="M1855" s="47" t="str">
        <f t="shared" si="541"/>
        <v>06 de marzo de 2019</v>
      </c>
      <c r="N1855" s="323">
        <f t="shared" si="542"/>
        <v>6</v>
      </c>
      <c r="O1855" s="25">
        <f t="shared" si="543"/>
        <v>43525</v>
      </c>
      <c r="P1855" s="5" t="str">
        <f t="shared" si="544"/>
        <v>3.000,00</v>
      </c>
      <c r="Q1855" s="4" t="str">
        <f t="shared" si="545"/>
        <v>Tres Mil Bolívares con 00/100</v>
      </c>
    </row>
    <row r="1856" spans="1:17" x14ac:dyDescent="0.25">
      <c r="A1856" s="1">
        <f t="shared" ref="A1856:A1875" si="546">A1855+1</f>
        <v>1855</v>
      </c>
      <c r="C1856" s="8" t="s">
        <v>17</v>
      </c>
      <c r="D1856" s="2">
        <v>43530</v>
      </c>
      <c r="E1856" s="3">
        <v>4500</v>
      </c>
      <c r="F1856" t="s">
        <v>107</v>
      </c>
      <c r="G1856" t="s">
        <v>108</v>
      </c>
      <c r="H1856" t="s">
        <v>109</v>
      </c>
      <c r="I1856" s="6" t="s">
        <v>909</v>
      </c>
      <c r="J1856" s="61" t="s">
        <v>22</v>
      </c>
      <c r="L1856" s="5" t="str">
        <f t="shared" si="540"/>
        <v>01855</v>
      </c>
      <c r="M1856" s="47" t="str">
        <f t="shared" si="541"/>
        <v>06 de marzo de 2019</v>
      </c>
      <c r="N1856" s="323">
        <f t="shared" si="542"/>
        <v>6</v>
      </c>
      <c r="O1856" s="25">
        <f t="shared" si="543"/>
        <v>43525</v>
      </c>
      <c r="P1856" s="5" t="str">
        <f t="shared" si="544"/>
        <v>4.500,00</v>
      </c>
      <c r="Q1856" s="4" t="str">
        <f t="shared" si="545"/>
        <v>Cuatro Mil Quinientos Bolívares con 00/100</v>
      </c>
    </row>
    <row r="1857" spans="1:17" x14ac:dyDescent="0.25">
      <c r="A1857" s="1">
        <f t="shared" si="546"/>
        <v>1856</v>
      </c>
      <c r="C1857" s="8" t="s">
        <v>17</v>
      </c>
      <c r="D1857" s="2">
        <v>43530</v>
      </c>
      <c r="E1857" s="3">
        <v>3000</v>
      </c>
      <c r="F1857" t="s">
        <v>100</v>
      </c>
      <c r="G1857" t="s">
        <v>95</v>
      </c>
      <c r="H1857" t="s">
        <v>101</v>
      </c>
      <c r="I1857" s="6" t="s">
        <v>917</v>
      </c>
      <c r="J1857" s="61" t="s">
        <v>22</v>
      </c>
      <c r="L1857" s="5" t="str">
        <f t="shared" si="540"/>
        <v>01856</v>
      </c>
      <c r="M1857" s="47" t="str">
        <f t="shared" si="541"/>
        <v>06 de marzo de 2019</v>
      </c>
      <c r="N1857" s="323">
        <f t="shared" si="542"/>
        <v>6</v>
      </c>
      <c r="O1857" s="25">
        <f t="shared" si="543"/>
        <v>43525</v>
      </c>
      <c r="P1857" s="5" t="str">
        <f t="shared" si="544"/>
        <v>3.000,00</v>
      </c>
      <c r="Q1857" s="4" t="str">
        <f t="shared" si="545"/>
        <v>Tres Mil Bolívares con 00/100</v>
      </c>
    </row>
    <row r="1858" spans="1:17" x14ac:dyDescent="0.25">
      <c r="A1858" s="1">
        <f t="shared" si="546"/>
        <v>1857</v>
      </c>
      <c r="C1858" s="8" t="s">
        <v>17</v>
      </c>
      <c r="D1858" s="2">
        <v>43530</v>
      </c>
      <c r="E1858" s="3">
        <v>3000</v>
      </c>
      <c r="F1858" t="s">
        <v>483</v>
      </c>
      <c r="G1858" t="s">
        <v>484</v>
      </c>
      <c r="H1858" t="s">
        <v>485</v>
      </c>
      <c r="I1858" s="6" t="s">
        <v>909</v>
      </c>
      <c r="J1858" s="61" t="s">
        <v>22</v>
      </c>
      <c r="L1858" s="5" t="str">
        <f t="shared" si="540"/>
        <v>01857</v>
      </c>
      <c r="M1858" s="47" t="str">
        <f t="shared" si="541"/>
        <v>06 de marzo de 2019</v>
      </c>
      <c r="N1858" s="323">
        <f t="shared" si="542"/>
        <v>6</v>
      </c>
      <c r="O1858" s="25">
        <f t="shared" si="543"/>
        <v>43525</v>
      </c>
      <c r="P1858" s="5" t="str">
        <f t="shared" si="544"/>
        <v>3.000,00</v>
      </c>
      <c r="Q1858" s="4" t="str">
        <f t="shared" si="545"/>
        <v>Tres Mil Bolívares con 00/100</v>
      </c>
    </row>
    <row r="1859" spans="1:17" x14ac:dyDescent="0.25">
      <c r="A1859" s="1">
        <f t="shared" si="546"/>
        <v>1858</v>
      </c>
      <c r="C1859" s="8" t="s">
        <v>17</v>
      </c>
      <c r="D1859" s="2">
        <v>43530</v>
      </c>
      <c r="E1859" s="3">
        <v>3000</v>
      </c>
      <c r="F1859" t="s">
        <v>230</v>
      </c>
      <c r="G1859" t="s">
        <v>231</v>
      </c>
      <c r="H1859" t="s">
        <v>232</v>
      </c>
      <c r="I1859" s="6" t="s">
        <v>897</v>
      </c>
      <c r="J1859" s="61" t="s">
        <v>22</v>
      </c>
      <c r="L1859" s="5" t="str">
        <f t="shared" si="540"/>
        <v>01858</v>
      </c>
      <c r="M1859" s="47" t="str">
        <f t="shared" si="541"/>
        <v>06 de marzo de 2019</v>
      </c>
      <c r="N1859" s="323">
        <f t="shared" si="542"/>
        <v>6</v>
      </c>
      <c r="O1859" s="25">
        <f t="shared" si="543"/>
        <v>43525</v>
      </c>
      <c r="P1859" s="5" t="str">
        <f t="shared" si="544"/>
        <v>3.000,00</v>
      </c>
      <c r="Q1859" s="4" t="str">
        <f t="shared" si="545"/>
        <v>Tres Mil Bolívares con 00/100</v>
      </c>
    </row>
    <row r="1860" spans="1:17" x14ac:dyDescent="0.25">
      <c r="A1860" s="1">
        <f t="shared" si="546"/>
        <v>1859</v>
      </c>
      <c r="C1860" s="8" t="s">
        <v>17</v>
      </c>
      <c r="D1860" s="2">
        <v>43530</v>
      </c>
      <c r="E1860" s="3">
        <v>3000</v>
      </c>
      <c r="F1860" t="s">
        <v>118</v>
      </c>
      <c r="G1860" t="s">
        <v>119</v>
      </c>
      <c r="H1860" t="s">
        <v>120</v>
      </c>
      <c r="I1860" s="6" t="s">
        <v>897</v>
      </c>
      <c r="J1860" s="61" t="s">
        <v>22</v>
      </c>
      <c r="L1860" s="5" t="str">
        <f t="shared" si="540"/>
        <v>01859</v>
      </c>
      <c r="M1860" s="47" t="str">
        <f t="shared" si="541"/>
        <v>06 de marzo de 2019</v>
      </c>
      <c r="N1860" s="323">
        <f t="shared" si="542"/>
        <v>6</v>
      </c>
      <c r="O1860" s="25">
        <f t="shared" si="543"/>
        <v>43525</v>
      </c>
      <c r="P1860" s="5" t="str">
        <f t="shared" si="544"/>
        <v>3.000,00</v>
      </c>
      <c r="Q1860" s="4" t="str">
        <f t="shared" si="545"/>
        <v>Tres Mil Bolívares con 00/100</v>
      </c>
    </row>
    <row r="1861" spans="1:17" x14ac:dyDescent="0.25">
      <c r="A1861" s="1">
        <f t="shared" si="546"/>
        <v>1860</v>
      </c>
      <c r="C1861" s="8" t="s">
        <v>17</v>
      </c>
      <c r="D1861" s="2">
        <v>43531</v>
      </c>
      <c r="E1861" s="3">
        <v>3000</v>
      </c>
      <c r="F1861" t="s">
        <v>342</v>
      </c>
      <c r="G1861" t="s">
        <v>343</v>
      </c>
      <c r="H1861" t="s">
        <v>344</v>
      </c>
      <c r="I1861" s="6" t="s">
        <v>909</v>
      </c>
      <c r="J1861" s="61" t="s">
        <v>22</v>
      </c>
      <c r="L1861" s="5" t="str">
        <f t="shared" si="540"/>
        <v>01860</v>
      </c>
      <c r="M1861" s="47" t="str">
        <f t="shared" si="541"/>
        <v>07 de marzo de 2019</v>
      </c>
      <c r="N1861" s="323">
        <f t="shared" si="542"/>
        <v>7</v>
      </c>
      <c r="O1861" s="25">
        <f t="shared" si="543"/>
        <v>43525</v>
      </c>
      <c r="P1861" s="5" t="str">
        <f t="shared" si="544"/>
        <v>3.000,00</v>
      </c>
      <c r="Q1861" s="4" t="str">
        <f t="shared" si="545"/>
        <v>Tres Mil Bolívares con 00/100</v>
      </c>
    </row>
    <row r="1862" spans="1:17" x14ac:dyDescent="0.25">
      <c r="A1862" s="1">
        <f t="shared" si="546"/>
        <v>1861</v>
      </c>
      <c r="C1862" s="8" t="s">
        <v>17</v>
      </c>
      <c r="D1862" s="2">
        <v>43523</v>
      </c>
      <c r="E1862" s="3">
        <v>3000</v>
      </c>
      <c r="F1862" t="s">
        <v>843</v>
      </c>
      <c r="G1862" t="s">
        <v>844</v>
      </c>
      <c r="H1862" t="s">
        <v>169</v>
      </c>
      <c r="I1862" s="6" t="s">
        <v>897</v>
      </c>
      <c r="J1862" s="61" t="s">
        <v>22</v>
      </c>
      <c r="L1862" s="5" t="str">
        <f t="shared" si="540"/>
        <v>01861</v>
      </c>
      <c r="M1862" s="47" t="str">
        <f t="shared" si="541"/>
        <v>27 de febrero de 2019</v>
      </c>
      <c r="N1862" s="323">
        <f t="shared" si="542"/>
        <v>27</v>
      </c>
      <c r="O1862" s="25">
        <f t="shared" si="543"/>
        <v>43497</v>
      </c>
      <c r="P1862" s="5" t="str">
        <f t="shared" si="544"/>
        <v>3.000,00</v>
      </c>
      <c r="Q1862" s="4" t="str">
        <f t="shared" si="545"/>
        <v>Tres Mil Bolívares con 00/100</v>
      </c>
    </row>
    <row r="1863" spans="1:17" x14ac:dyDescent="0.25">
      <c r="A1863" s="1">
        <f t="shared" si="546"/>
        <v>1862</v>
      </c>
      <c r="C1863" s="8" t="s">
        <v>17</v>
      </c>
      <c r="D1863" s="2">
        <v>43531</v>
      </c>
      <c r="E1863" s="3">
        <v>3000</v>
      </c>
      <c r="F1863" t="s">
        <v>713</v>
      </c>
      <c r="G1863" t="s">
        <v>714</v>
      </c>
      <c r="H1863" t="s">
        <v>154</v>
      </c>
      <c r="I1863" s="6" t="s">
        <v>909</v>
      </c>
      <c r="J1863" s="61" t="s">
        <v>22</v>
      </c>
      <c r="L1863" s="5" t="str">
        <f t="shared" si="540"/>
        <v>01862</v>
      </c>
      <c r="M1863" s="47" t="str">
        <f t="shared" si="541"/>
        <v>07 de marzo de 2019</v>
      </c>
      <c r="N1863" s="323">
        <f t="shared" si="542"/>
        <v>7</v>
      </c>
      <c r="O1863" s="25">
        <f t="shared" si="543"/>
        <v>43525</v>
      </c>
      <c r="P1863" s="5" t="str">
        <f t="shared" si="544"/>
        <v>3.000,00</v>
      </c>
      <c r="Q1863" s="4" t="str">
        <f t="shared" si="545"/>
        <v>Tres Mil Bolívares con 00/100</v>
      </c>
    </row>
    <row r="1864" spans="1:17" x14ac:dyDescent="0.25">
      <c r="A1864" s="1">
        <f t="shared" si="546"/>
        <v>1863</v>
      </c>
      <c r="C1864" s="8" t="s">
        <v>17</v>
      </c>
      <c r="D1864" s="2">
        <v>43531</v>
      </c>
      <c r="E1864" s="3">
        <v>3000</v>
      </c>
      <c r="F1864" t="s">
        <v>53</v>
      </c>
      <c r="G1864" t="s">
        <v>677</v>
      </c>
      <c r="H1864" t="s">
        <v>55</v>
      </c>
      <c r="I1864" s="6" t="s">
        <v>909</v>
      </c>
      <c r="J1864" s="61" t="s">
        <v>22</v>
      </c>
      <c r="L1864" s="5" t="str">
        <f t="shared" si="540"/>
        <v>01863</v>
      </c>
      <c r="M1864" s="47" t="str">
        <f t="shared" si="541"/>
        <v>07 de marzo de 2019</v>
      </c>
      <c r="N1864" s="323">
        <f t="shared" si="542"/>
        <v>7</v>
      </c>
      <c r="O1864" s="25">
        <f t="shared" si="543"/>
        <v>43525</v>
      </c>
      <c r="P1864" s="5" t="str">
        <f t="shared" si="544"/>
        <v>3.000,00</v>
      </c>
      <c r="Q1864" s="4" t="str">
        <f t="shared" si="545"/>
        <v>Tres Mil Bolívares con 00/100</v>
      </c>
    </row>
    <row r="1865" spans="1:17" x14ac:dyDescent="0.25">
      <c r="A1865" s="1">
        <f t="shared" si="546"/>
        <v>1864</v>
      </c>
      <c r="C1865" s="8" t="s">
        <v>17</v>
      </c>
      <c r="D1865" s="2">
        <v>43532</v>
      </c>
      <c r="E1865" s="3">
        <v>1500</v>
      </c>
      <c r="F1865" t="s">
        <v>412</v>
      </c>
      <c r="G1865" t="s">
        <v>413</v>
      </c>
      <c r="H1865" t="s">
        <v>414</v>
      </c>
      <c r="I1865" s="6" t="s">
        <v>901</v>
      </c>
      <c r="J1865" s="61" t="s">
        <v>22</v>
      </c>
      <c r="L1865" s="5" t="str">
        <f t="shared" si="540"/>
        <v>01864</v>
      </c>
      <c r="M1865" s="47" t="str">
        <f t="shared" si="541"/>
        <v>08 de marzo de 2019</v>
      </c>
      <c r="N1865" s="323">
        <f t="shared" si="542"/>
        <v>8</v>
      </c>
      <c r="O1865" s="25">
        <f t="shared" si="543"/>
        <v>43525</v>
      </c>
      <c r="P1865" s="5" t="str">
        <f t="shared" si="544"/>
        <v>1.500,00</v>
      </c>
      <c r="Q1865" s="4" t="str">
        <f t="shared" si="545"/>
        <v>Mil Quinientos Bolívares con 00/100</v>
      </c>
    </row>
    <row r="1866" spans="1:17" x14ac:dyDescent="0.25">
      <c r="A1866" s="1">
        <f t="shared" si="546"/>
        <v>1865</v>
      </c>
      <c r="C1866" s="8" t="s">
        <v>17</v>
      </c>
      <c r="D1866" s="2">
        <v>43535</v>
      </c>
      <c r="E1866" s="3">
        <v>3000</v>
      </c>
      <c r="F1866" t="s">
        <v>48</v>
      </c>
      <c r="G1866" t="s">
        <v>49</v>
      </c>
      <c r="H1866" t="s">
        <v>50</v>
      </c>
      <c r="I1866" s="6" t="s">
        <v>909</v>
      </c>
      <c r="J1866" s="61" t="s">
        <v>22</v>
      </c>
      <c r="L1866" s="5" t="str">
        <f t="shared" si="540"/>
        <v>01865</v>
      </c>
      <c r="M1866" s="47" t="str">
        <f t="shared" si="541"/>
        <v>11 de marzo de 2019</v>
      </c>
      <c r="N1866" s="323">
        <f t="shared" si="542"/>
        <v>11</v>
      </c>
      <c r="O1866" s="25">
        <f t="shared" si="543"/>
        <v>43525</v>
      </c>
      <c r="P1866" s="5" t="str">
        <f t="shared" si="544"/>
        <v>3.000,00</v>
      </c>
      <c r="Q1866" s="4" t="str">
        <f t="shared" si="545"/>
        <v>Tres Mil Bolívares con 00/100</v>
      </c>
    </row>
    <row r="1867" spans="1:17" x14ac:dyDescent="0.25">
      <c r="A1867" s="1">
        <f t="shared" si="546"/>
        <v>1866</v>
      </c>
      <c r="C1867" s="8" t="s">
        <v>17</v>
      </c>
      <c r="D1867" s="2">
        <v>43533</v>
      </c>
      <c r="E1867" s="3">
        <v>3000</v>
      </c>
      <c r="F1867" t="s">
        <v>443</v>
      </c>
      <c r="G1867" t="s">
        <v>444</v>
      </c>
      <c r="H1867" t="s">
        <v>75</v>
      </c>
      <c r="I1867" s="6" t="s">
        <v>909</v>
      </c>
      <c r="J1867" s="61" t="s">
        <v>22</v>
      </c>
      <c r="L1867" s="5" t="str">
        <f t="shared" si="540"/>
        <v>01866</v>
      </c>
      <c r="M1867" s="47" t="str">
        <f t="shared" si="541"/>
        <v>09 de marzo de 2019</v>
      </c>
      <c r="N1867" s="323">
        <f t="shared" si="542"/>
        <v>9</v>
      </c>
      <c r="O1867" s="25">
        <f t="shared" si="543"/>
        <v>43525</v>
      </c>
      <c r="P1867" s="5" t="str">
        <f t="shared" si="544"/>
        <v>3.000,00</v>
      </c>
      <c r="Q1867" s="4" t="str">
        <f t="shared" si="545"/>
        <v>Tres Mil Bolívares con 00/100</v>
      </c>
    </row>
    <row r="1868" spans="1:17" x14ac:dyDescent="0.25">
      <c r="A1868" s="1">
        <f t="shared" si="546"/>
        <v>1867</v>
      </c>
      <c r="C1868" s="8" t="s">
        <v>17</v>
      </c>
      <c r="D1868" s="2">
        <v>43535</v>
      </c>
      <c r="E1868" s="3">
        <v>6000</v>
      </c>
      <c r="F1868" t="s">
        <v>66</v>
      </c>
      <c r="G1868" t="s">
        <v>67</v>
      </c>
      <c r="H1868" t="s">
        <v>68</v>
      </c>
      <c r="I1868" s="6" t="s">
        <v>918</v>
      </c>
      <c r="J1868" s="61" t="s">
        <v>22</v>
      </c>
      <c r="L1868" s="5" t="str">
        <f t="shared" si="540"/>
        <v>01867</v>
      </c>
      <c r="M1868" s="47" t="str">
        <f t="shared" si="541"/>
        <v>11 de marzo de 2019</v>
      </c>
      <c r="N1868" s="323">
        <f t="shared" si="542"/>
        <v>11</v>
      </c>
      <c r="O1868" s="25">
        <f t="shared" si="543"/>
        <v>43525</v>
      </c>
      <c r="P1868" s="5" t="str">
        <f t="shared" si="544"/>
        <v>6.000,00</v>
      </c>
      <c r="Q1868" s="4" t="str">
        <f t="shared" si="545"/>
        <v>Seis Mil Bolívares con 00/100</v>
      </c>
    </row>
    <row r="1869" spans="1:17" x14ac:dyDescent="0.25">
      <c r="A1869" s="1">
        <f t="shared" si="546"/>
        <v>1868</v>
      </c>
      <c r="C1869" s="8" t="s">
        <v>17</v>
      </c>
      <c r="D1869" s="2">
        <v>43535</v>
      </c>
      <c r="E1869" s="3">
        <v>3000</v>
      </c>
      <c r="F1869" t="s">
        <v>24</v>
      </c>
      <c r="G1869" t="s">
        <v>25</v>
      </c>
      <c r="H1869" t="s">
        <v>26</v>
      </c>
      <c r="I1869" s="6" t="s">
        <v>909</v>
      </c>
      <c r="J1869" s="61" t="s">
        <v>22</v>
      </c>
      <c r="L1869" s="5" t="str">
        <f t="shared" si="540"/>
        <v>01868</v>
      </c>
      <c r="M1869" s="47" t="str">
        <f t="shared" si="541"/>
        <v>11 de marzo de 2019</v>
      </c>
      <c r="N1869" s="323">
        <f t="shared" si="542"/>
        <v>11</v>
      </c>
      <c r="O1869" s="25">
        <f t="shared" si="543"/>
        <v>43525</v>
      </c>
      <c r="P1869" s="5" t="str">
        <f t="shared" si="544"/>
        <v>3.000,00</v>
      </c>
      <c r="Q1869" s="4" t="str">
        <f t="shared" si="545"/>
        <v>Tres Mil Bolívares con 00/100</v>
      </c>
    </row>
    <row r="1870" spans="1:17" ht="16.5" customHeight="1" x14ac:dyDescent="0.25">
      <c r="A1870" s="1">
        <f t="shared" si="546"/>
        <v>1869</v>
      </c>
      <c r="C1870" s="8" t="s">
        <v>17</v>
      </c>
      <c r="D1870" s="2">
        <v>43536</v>
      </c>
      <c r="E1870" s="3">
        <f>3000*3</f>
        <v>9000</v>
      </c>
      <c r="F1870" t="s">
        <v>219</v>
      </c>
      <c r="G1870" t="s">
        <v>220</v>
      </c>
      <c r="H1870" t="s">
        <v>221</v>
      </c>
      <c r="I1870" s="6" t="s">
        <v>919</v>
      </c>
      <c r="J1870" s="61" t="s">
        <v>22</v>
      </c>
      <c r="L1870" s="5" t="str">
        <f t="shared" si="540"/>
        <v>01869</v>
      </c>
      <c r="M1870" s="47" t="str">
        <f t="shared" si="541"/>
        <v>12 de marzo de 2019</v>
      </c>
      <c r="N1870" s="323">
        <f t="shared" si="542"/>
        <v>12</v>
      </c>
      <c r="O1870" s="25">
        <f t="shared" si="543"/>
        <v>43525</v>
      </c>
      <c r="P1870" s="5" t="str">
        <f t="shared" si="544"/>
        <v>9.000,00</v>
      </c>
      <c r="Q1870" s="4" t="str">
        <f t="shared" si="545"/>
        <v>Nueve Mil Bolívares con 00/100</v>
      </c>
    </row>
    <row r="1871" spans="1:17" x14ac:dyDescent="0.25">
      <c r="A1871" s="1">
        <f t="shared" si="546"/>
        <v>1870</v>
      </c>
      <c r="C1871" s="8" t="s">
        <v>17</v>
      </c>
      <c r="D1871" s="2">
        <v>43536</v>
      </c>
      <c r="E1871" s="3">
        <v>3000</v>
      </c>
      <c r="F1871" t="s">
        <v>18</v>
      </c>
      <c r="G1871" t="s">
        <v>19</v>
      </c>
      <c r="H1871" t="s">
        <v>20</v>
      </c>
      <c r="I1871" s="6" t="s">
        <v>920</v>
      </c>
      <c r="J1871" s="61" t="s">
        <v>22</v>
      </c>
      <c r="L1871" s="5" t="str">
        <f t="shared" si="540"/>
        <v>01870</v>
      </c>
      <c r="M1871" s="47" t="str">
        <f t="shared" si="541"/>
        <v>12 de marzo de 2019</v>
      </c>
      <c r="N1871" s="323">
        <f t="shared" si="542"/>
        <v>12</v>
      </c>
      <c r="O1871" s="25">
        <f t="shared" si="543"/>
        <v>43525</v>
      </c>
      <c r="P1871" s="5" t="str">
        <f t="shared" si="544"/>
        <v>3.000,00</v>
      </c>
      <c r="Q1871" s="4" t="str">
        <f t="shared" si="545"/>
        <v>Tres Mil Bolívares con 00/100</v>
      </c>
    </row>
    <row r="1872" spans="1:17" x14ac:dyDescent="0.25">
      <c r="A1872" s="1">
        <f t="shared" si="546"/>
        <v>1871</v>
      </c>
      <c r="C1872" s="8" t="s">
        <v>17</v>
      </c>
      <c r="D1872" s="2">
        <v>43536</v>
      </c>
      <c r="E1872" s="3">
        <v>3000</v>
      </c>
      <c r="F1872" t="s">
        <v>771</v>
      </c>
      <c r="G1872" t="s">
        <v>772</v>
      </c>
      <c r="H1872" t="s">
        <v>773</v>
      </c>
      <c r="I1872" s="6" t="s">
        <v>921</v>
      </c>
      <c r="J1872" s="61" t="s">
        <v>22</v>
      </c>
      <c r="L1872" s="5" t="str">
        <f t="shared" si="540"/>
        <v>01871</v>
      </c>
      <c r="M1872" s="47" t="str">
        <f t="shared" si="541"/>
        <v>12 de marzo de 2019</v>
      </c>
      <c r="N1872" s="323">
        <f t="shared" si="542"/>
        <v>12</v>
      </c>
      <c r="O1872" s="25">
        <f t="shared" si="543"/>
        <v>43525</v>
      </c>
      <c r="P1872" s="5" t="str">
        <f t="shared" si="544"/>
        <v>3.000,00</v>
      </c>
      <c r="Q1872" s="4" t="str">
        <f t="shared" si="545"/>
        <v>Tres Mil Bolívares con 00/100</v>
      </c>
    </row>
    <row r="1873" spans="1:17" x14ac:dyDescent="0.25">
      <c r="A1873" s="1">
        <f t="shared" si="546"/>
        <v>1872</v>
      </c>
      <c r="C1873" s="8" t="s">
        <v>17</v>
      </c>
      <c r="D1873" s="2">
        <v>43536</v>
      </c>
      <c r="E1873" s="3">
        <v>3000</v>
      </c>
      <c r="F1873" t="s">
        <v>438</v>
      </c>
      <c r="G1873" t="s">
        <v>439</v>
      </c>
      <c r="H1873" t="s">
        <v>440</v>
      </c>
      <c r="I1873" s="6" t="s">
        <v>922</v>
      </c>
      <c r="J1873" s="61" t="s">
        <v>22</v>
      </c>
      <c r="L1873" s="5" t="str">
        <f t="shared" si="540"/>
        <v>01872</v>
      </c>
      <c r="M1873" s="47" t="str">
        <f t="shared" si="541"/>
        <v>12 de marzo de 2019</v>
      </c>
      <c r="N1873" s="323">
        <f t="shared" si="542"/>
        <v>12</v>
      </c>
      <c r="O1873" s="25">
        <f t="shared" si="543"/>
        <v>43525</v>
      </c>
      <c r="P1873" s="5" t="str">
        <f t="shared" si="544"/>
        <v>3.000,00</v>
      </c>
      <c r="Q1873" s="4" t="str">
        <f t="shared" si="545"/>
        <v>Tres Mil Bolívares con 00/100</v>
      </c>
    </row>
    <row r="1874" spans="1:17" x14ac:dyDescent="0.25">
      <c r="A1874" s="1">
        <f t="shared" si="546"/>
        <v>1873</v>
      </c>
      <c r="C1874" s="8" t="s">
        <v>17</v>
      </c>
      <c r="D1874" s="2">
        <v>43536</v>
      </c>
      <c r="E1874" s="3">
        <v>3500</v>
      </c>
      <c r="F1874" t="s">
        <v>126</v>
      </c>
      <c r="G1874" t="s">
        <v>127</v>
      </c>
      <c r="H1874" t="s">
        <v>128</v>
      </c>
      <c r="I1874" s="6" t="s">
        <v>923</v>
      </c>
      <c r="J1874" s="61" t="s">
        <v>22</v>
      </c>
      <c r="L1874" s="5" t="str">
        <f t="shared" si="540"/>
        <v>01873</v>
      </c>
      <c r="M1874" s="47" t="str">
        <f t="shared" si="541"/>
        <v>12 de marzo de 2019</v>
      </c>
      <c r="N1874" s="323">
        <f t="shared" si="542"/>
        <v>12</v>
      </c>
      <c r="O1874" s="25">
        <f t="shared" si="543"/>
        <v>43525</v>
      </c>
      <c r="P1874" s="5" t="str">
        <f t="shared" si="544"/>
        <v>3.500,00</v>
      </c>
      <c r="Q1874" s="4" t="str">
        <f t="shared" si="545"/>
        <v>Tres Mil Quinientos Bolívares con 00/100</v>
      </c>
    </row>
    <row r="1875" spans="1:17" x14ac:dyDescent="0.25">
      <c r="A1875" s="1">
        <f t="shared" si="546"/>
        <v>1874</v>
      </c>
      <c r="C1875" s="8" t="s">
        <v>17</v>
      </c>
      <c r="D1875" s="2">
        <v>43537</v>
      </c>
      <c r="E1875" s="3">
        <v>3000</v>
      </c>
      <c r="F1875" t="s">
        <v>181</v>
      </c>
      <c r="G1875" t="s">
        <v>182</v>
      </c>
      <c r="H1875" t="s">
        <v>183</v>
      </c>
      <c r="I1875" s="6" t="s">
        <v>909</v>
      </c>
      <c r="J1875" s="61" t="s">
        <v>22</v>
      </c>
      <c r="L1875" s="5" t="str">
        <f t="shared" si="540"/>
        <v>01874</v>
      </c>
      <c r="M1875" s="47" t="str">
        <f t="shared" si="541"/>
        <v>13 de marzo de 2019</v>
      </c>
      <c r="N1875" s="323">
        <f t="shared" si="542"/>
        <v>13</v>
      </c>
      <c r="O1875" s="25">
        <f t="shared" si="543"/>
        <v>43525</v>
      </c>
      <c r="P1875" s="5" t="str">
        <f t="shared" si="544"/>
        <v>3.000,00</v>
      </c>
      <c r="Q1875" s="4" t="str">
        <f t="shared" si="545"/>
        <v>Tres Mil Bolívares con 00/100</v>
      </c>
    </row>
    <row r="1876" spans="1:17" x14ac:dyDescent="0.25">
      <c r="A1876" s="1">
        <f>A1875+1</f>
        <v>1875</v>
      </c>
      <c r="C1876" s="8" t="s">
        <v>17</v>
      </c>
      <c r="D1876" s="2">
        <v>43537</v>
      </c>
      <c r="E1876" s="3">
        <v>3000</v>
      </c>
      <c r="F1876" t="s">
        <v>36</v>
      </c>
      <c r="G1876" t="s">
        <v>37</v>
      </c>
      <c r="H1876" t="s">
        <v>38</v>
      </c>
      <c r="I1876" s="6" t="s">
        <v>909</v>
      </c>
      <c r="J1876" s="61" t="s">
        <v>22</v>
      </c>
      <c r="L1876" s="5" t="str">
        <f t="shared" si="540"/>
        <v>01875</v>
      </c>
      <c r="M1876" s="47" t="str">
        <f t="shared" si="541"/>
        <v>13 de marzo de 2019</v>
      </c>
      <c r="N1876" s="323">
        <f t="shared" si="542"/>
        <v>13</v>
      </c>
      <c r="O1876" s="25">
        <f t="shared" si="543"/>
        <v>43525</v>
      </c>
      <c r="P1876" s="5" t="str">
        <f t="shared" si="544"/>
        <v>3.000,00</v>
      </c>
      <c r="Q1876" s="4" t="str">
        <f t="shared" si="545"/>
        <v>Tres Mil Bolívares con 00/100</v>
      </c>
    </row>
    <row r="1877" spans="1:17" x14ac:dyDescent="0.25">
      <c r="A1877" s="1">
        <f t="shared" ref="A1877:A1908" si="547">A1876+1</f>
        <v>1876</v>
      </c>
      <c r="C1877" s="8" t="s">
        <v>17</v>
      </c>
      <c r="D1877" s="2">
        <v>43537</v>
      </c>
      <c r="E1877" s="3">
        <v>3000</v>
      </c>
      <c r="F1877" t="s">
        <v>211</v>
      </c>
      <c r="G1877" t="s">
        <v>212</v>
      </c>
      <c r="H1877" t="s">
        <v>213</v>
      </c>
      <c r="I1877" s="6" t="s">
        <v>909</v>
      </c>
      <c r="J1877" s="61" t="s">
        <v>22</v>
      </c>
      <c r="L1877" s="5" t="str">
        <f t="shared" si="540"/>
        <v>01876</v>
      </c>
      <c r="M1877" s="47" t="str">
        <f t="shared" si="541"/>
        <v>13 de marzo de 2019</v>
      </c>
      <c r="N1877" s="323">
        <f t="shared" si="542"/>
        <v>13</v>
      </c>
      <c r="O1877" s="25">
        <f t="shared" si="543"/>
        <v>43525</v>
      </c>
      <c r="P1877" s="5" t="str">
        <f t="shared" si="544"/>
        <v>3.000,00</v>
      </c>
      <c r="Q1877" s="4" t="str">
        <f t="shared" si="545"/>
        <v>Tres Mil Bolívares con 00/100</v>
      </c>
    </row>
    <row r="1878" spans="1:17" x14ac:dyDescent="0.25">
      <c r="A1878" s="1">
        <f t="shared" si="547"/>
        <v>1877</v>
      </c>
      <c r="C1878" s="8" t="s">
        <v>17</v>
      </c>
      <c r="D1878" s="2">
        <v>43538</v>
      </c>
      <c r="E1878" s="3">
        <v>6000</v>
      </c>
      <c r="F1878" t="s">
        <v>138</v>
      </c>
      <c r="G1878" t="s">
        <v>139</v>
      </c>
      <c r="H1878" t="s">
        <v>140</v>
      </c>
      <c r="I1878" s="6" t="s">
        <v>918</v>
      </c>
      <c r="J1878" s="61" t="s">
        <v>22</v>
      </c>
      <c r="L1878" s="5" t="str">
        <f t="shared" si="540"/>
        <v>01877</v>
      </c>
      <c r="M1878" s="47" t="str">
        <f t="shared" si="541"/>
        <v>14 de marzo de 2019</v>
      </c>
      <c r="N1878" s="323">
        <f t="shared" si="542"/>
        <v>14</v>
      </c>
      <c r="O1878" s="25">
        <f t="shared" si="543"/>
        <v>43525</v>
      </c>
      <c r="P1878" s="5" t="str">
        <f t="shared" si="544"/>
        <v>6.000,00</v>
      </c>
      <c r="Q1878" s="4" t="str">
        <f t="shared" si="545"/>
        <v>Seis Mil Bolívares con 00/100</v>
      </c>
    </row>
    <row r="1879" spans="1:17" x14ac:dyDescent="0.25">
      <c r="A1879" s="1">
        <f t="shared" si="547"/>
        <v>1878</v>
      </c>
      <c r="C1879" s="8" t="s">
        <v>17</v>
      </c>
      <c r="D1879" s="2">
        <v>43538</v>
      </c>
      <c r="E1879" s="3">
        <v>3000</v>
      </c>
      <c r="F1879" t="s">
        <v>454</v>
      </c>
      <c r="G1879" t="s">
        <v>761</v>
      </c>
      <c r="H1879" t="s">
        <v>455</v>
      </c>
      <c r="I1879" s="6" t="s">
        <v>909</v>
      </c>
      <c r="J1879" s="61" t="s">
        <v>22</v>
      </c>
      <c r="L1879" s="5" t="str">
        <f t="shared" si="540"/>
        <v>01878</v>
      </c>
      <c r="M1879" s="47" t="str">
        <f t="shared" si="541"/>
        <v>14 de marzo de 2019</v>
      </c>
      <c r="N1879" s="323">
        <f t="shared" si="542"/>
        <v>14</v>
      </c>
      <c r="O1879" s="25">
        <f t="shared" si="543"/>
        <v>43525</v>
      </c>
      <c r="P1879" s="5" t="str">
        <f t="shared" si="544"/>
        <v>3.000,00</v>
      </c>
      <c r="Q1879" s="4" t="str">
        <f t="shared" si="545"/>
        <v>Tres Mil Bolívares con 00/100</v>
      </c>
    </row>
    <row r="1880" spans="1:17" x14ac:dyDescent="0.25">
      <c r="A1880" s="1">
        <f t="shared" si="547"/>
        <v>1879</v>
      </c>
      <c r="C1880" s="8" t="s">
        <v>17</v>
      </c>
      <c r="D1880" s="2">
        <v>43539</v>
      </c>
      <c r="E1880" s="3">
        <f>316+320*2+800+3000</f>
        <v>4756</v>
      </c>
      <c r="F1880" t="s">
        <v>252</v>
      </c>
      <c r="G1880" t="s">
        <v>253</v>
      </c>
      <c r="H1880" t="s">
        <v>254</v>
      </c>
      <c r="I1880" t="s">
        <v>924</v>
      </c>
      <c r="J1880" s="61" t="s">
        <v>22</v>
      </c>
      <c r="L1880" s="5" t="str">
        <f t="shared" si="540"/>
        <v>01879</v>
      </c>
      <c r="M1880" s="47" t="str">
        <f t="shared" si="541"/>
        <v>15 de marzo de 2019</v>
      </c>
      <c r="N1880" s="323">
        <f t="shared" si="542"/>
        <v>15</v>
      </c>
      <c r="O1880" s="25">
        <f t="shared" si="543"/>
        <v>43525</v>
      </c>
      <c r="P1880" s="5" t="str">
        <f t="shared" si="544"/>
        <v>4.756,00</v>
      </c>
      <c r="Q1880" s="4" t="str">
        <f t="shared" si="545"/>
        <v>Cuatro Mil Setecientos Cincuenta y Seis Bolívares con 00/100</v>
      </c>
    </row>
    <row r="1881" spans="1:17" x14ac:dyDescent="0.25">
      <c r="A1881" s="1">
        <f t="shared" si="547"/>
        <v>1880</v>
      </c>
      <c r="C1881" s="8" t="s">
        <v>17</v>
      </c>
      <c r="D1881" s="2">
        <v>43539</v>
      </c>
      <c r="E1881" s="3">
        <v>3000</v>
      </c>
      <c r="F1881" t="s">
        <v>130</v>
      </c>
      <c r="G1881" t="s">
        <v>131</v>
      </c>
      <c r="H1881" t="s">
        <v>132</v>
      </c>
      <c r="I1881" s="6" t="s">
        <v>909</v>
      </c>
      <c r="J1881" s="61" t="s">
        <v>22</v>
      </c>
      <c r="L1881" s="5" t="str">
        <f t="shared" si="540"/>
        <v>01880</v>
      </c>
      <c r="M1881" s="47" t="str">
        <f t="shared" si="541"/>
        <v>15 de marzo de 2019</v>
      </c>
      <c r="N1881" s="323">
        <f t="shared" si="542"/>
        <v>15</v>
      </c>
      <c r="O1881" s="25">
        <f t="shared" si="543"/>
        <v>43525</v>
      </c>
      <c r="P1881" s="5" t="str">
        <f t="shared" si="544"/>
        <v>3.000,00</v>
      </c>
      <c r="Q1881" s="4" t="str">
        <f t="shared" si="545"/>
        <v>Tres Mil Bolívares con 00/100</v>
      </c>
    </row>
    <row r="1882" spans="1:17" x14ac:dyDescent="0.25">
      <c r="A1882" s="1">
        <f t="shared" si="547"/>
        <v>1881</v>
      </c>
      <c r="C1882" s="85" t="s">
        <v>17</v>
      </c>
      <c r="D1882" s="2">
        <v>43539</v>
      </c>
      <c r="E1882" s="3">
        <v>6000</v>
      </c>
      <c r="F1882" t="s">
        <v>40</v>
      </c>
      <c r="G1882" s="18" t="s">
        <v>58</v>
      </c>
      <c r="H1882" t="s">
        <v>42</v>
      </c>
      <c r="I1882" s="6" t="s">
        <v>925</v>
      </c>
      <c r="J1882" s="61" t="s">
        <v>22</v>
      </c>
      <c r="L1882" s="5" t="str">
        <f t="shared" si="540"/>
        <v>01881</v>
      </c>
      <c r="M1882" s="47" t="str">
        <f t="shared" si="541"/>
        <v>15 de marzo de 2019</v>
      </c>
      <c r="N1882" s="323">
        <f t="shared" si="542"/>
        <v>15</v>
      </c>
      <c r="O1882" s="25">
        <f t="shared" si="543"/>
        <v>43525</v>
      </c>
      <c r="P1882" s="5" t="str">
        <f t="shared" si="544"/>
        <v>6.000,00</v>
      </c>
      <c r="Q1882" s="4" t="str">
        <f t="shared" si="545"/>
        <v>Seis Mil Bolívares con 00/100</v>
      </c>
    </row>
    <row r="1883" spans="1:17" x14ac:dyDescent="0.25">
      <c r="A1883" s="1">
        <f t="shared" si="547"/>
        <v>1882</v>
      </c>
      <c r="C1883" s="8" t="s">
        <v>17</v>
      </c>
      <c r="D1883" s="2">
        <v>43542</v>
      </c>
      <c r="E1883" s="3">
        <v>3000</v>
      </c>
      <c r="F1883" t="s">
        <v>201</v>
      </c>
      <c r="G1883" t="s">
        <v>202</v>
      </c>
      <c r="H1883" t="s">
        <v>203</v>
      </c>
      <c r="I1883" s="6" t="s">
        <v>909</v>
      </c>
      <c r="J1883" s="61" t="s">
        <v>22</v>
      </c>
      <c r="L1883" s="5" t="str">
        <f t="shared" si="540"/>
        <v>01882</v>
      </c>
      <c r="M1883" s="47" t="str">
        <f t="shared" si="541"/>
        <v>18 de marzo de 2019</v>
      </c>
      <c r="N1883" s="323">
        <f t="shared" si="542"/>
        <v>18</v>
      </c>
      <c r="O1883" s="25">
        <f t="shared" si="543"/>
        <v>43525</v>
      </c>
      <c r="P1883" s="5" t="str">
        <f t="shared" si="544"/>
        <v>3.000,00</v>
      </c>
      <c r="Q1883" s="4" t="str">
        <f t="shared" si="545"/>
        <v>Tres Mil Bolívares con 00/100</v>
      </c>
    </row>
    <row r="1884" spans="1:17" x14ac:dyDescent="0.25">
      <c r="A1884" s="1">
        <f t="shared" si="547"/>
        <v>1883</v>
      </c>
      <c r="C1884" s="85" t="s">
        <v>17</v>
      </c>
      <c r="D1884" s="2">
        <v>43543</v>
      </c>
      <c r="E1884" s="3">
        <f>4350*2</f>
        <v>8700</v>
      </c>
      <c r="F1884" s="23" t="s">
        <v>422</v>
      </c>
      <c r="G1884" s="18" t="s">
        <v>58</v>
      </c>
      <c r="H1884" t="s">
        <v>423</v>
      </c>
      <c r="I1884" s="6" t="s">
        <v>912</v>
      </c>
      <c r="J1884" s="61" t="s">
        <v>22</v>
      </c>
      <c r="L1884" s="5" t="str">
        <f t="shared" si="540"/>
        <v>01883</v>
      </c>
      <c r="M1884" s="47" t="str">
        <f t="shared" si="541"/>
        <v>19 de marzo de 2019</v>
      </c>
      <c r="N1884" s="323">
        <f t="shared" si="542"/>
        <v>19</v>
      </c>
      <c r="O1884" s="25">
        <f t="shared" si="543"/>
        <v>43525</v>
      </c>
      <c r="P1884" s="5" t="str">
        <f t="shared" si="544"/>
        <v>8.700,00</v>
      </c>
      <c r="Q1884" s="4" t="str">
        <f t="shared" si="545"/>
        <v>Ocho Mil Setecientos Bolívares con 00/100</v>
      </c>
    </row>
    <row r="1885" spans="1:17" x14ac:dyDescent="0.25">
      <c r="A1885" s="1">
        <f t="shared" si="547"/>
        <v>1884</v>
      </c>
      <c r="C1885" s="8" t="s">
        <v>17</v>
      </c>
      <c r="D1885" s="2">
        <v>43512</v>
      </c>
      <c r="E1885" s="3">
        <v>3000</v>
      </c>
      <c r="F1885" t="s">
        <v>126</v>
      </c>
      <c r="G1885" t="s">
        <v>127</v>
      </c>
      <c r="H1885" t="s">
        <v>128</v>
      </c>
      <c r="I1885" s="6" t="s">
        <v>897</v>
      </c>
      <c r="J1885" s="61" t="s">
        <v>22</v>
      </c>
      <c r="L1885" s="5" t="str">
        <f t="shared" si="540"/>
        <v>01884</v>
      </c>
      <c r="M1885" s="47" t="str">
        <f t="shared" si="541"/>
        <v>16 de febrero de 2019</v>
      </c>
      <c r="N1885" s="323">
        <f t="shared" si="542"/>
        <v>16</v>
      </c>
      <c r="O1885" s="25">
        <f t="shared" si="543"/>
        <v>43497</v>
      </c>
      <c r="P1885" s="5" t="str">
        <f t="shared" si="544"/>
        <v>3.000,00</v>
      </c>
      <c r="Q1885" s="4" t="str">
        <f t="shared" si="545"/>
        <v>Tres Mil Bolívares con 00/100</v>
      </c>
    </row>
    <row r="1886" spans="1:17" x14ac:dyDescent="0.25">
      <c r="A1886" s="1">
        <f t="shared" si="547"/>
        <v>1885</v>
      </c>
      <c r="C1886" s="8" t="s">
        <v>17</v>
      </c>
      <c r="D1886" s="2">
        <v>43455</v>
      </c>
      <c r="E1886" s="3">
        <v>800</v>
      </c>
      <c r="F1886" t="s">
        <v>594</v>
      </c>
      <c r="G1886" t="s">
        <v>595</v>
      </c>
      <c r="H1886" t="s">
        <v>596</v>
      </c>
      <c r="I1886" s="161" t="s">
        <v>861</v>
      </c>
      <c r="J1886" s="61" t="s">
        <v>22</v>
      </c>
      <c r="L1886" s="5" t="str">
        <f t="shared" si="540"/>
        <v>01885</v>
      </c>
      <c r="M1886" s="47" t="str">
        <f t="shared" si="541"/>
        <v>21 de diciembre de 2018</v>
      </c>
      <c r="N1886" s="323">
        <f t="shared" si="542"/>
        <v>21</v>
      </c>
      <c r="O1886" s="25">
        <f t="shared" si="543"/>
        <v>43435</v>
      </c>
      <c r="P1886" s="5" t="str">
        <f t="shared" si="544"/>
        <v>800,00</v>
      </c>
      <c r="Q1886" s="4" t="str">
        <f t="shared" si="545"/>
        <v>Ochocientos Bolívares con 00/100</v>
      </c>
    </row>
    <row r="1887" spans="1:17" x14ac:dyDescent="0.25">
      <c r="A1887" s="1">
        <f t="shared" si="547"/>
        <v>1886</v>
      </c>
      <c r="C1887" s="8" t="s">
        <v>17</v>
      </c>
      <c r="D1887" s="2">
        <v>43544</v>
      </c>
      <c r="E1887" s="3">
        <v>3000</v>
      </c>
      <c r="F1887" t="s">
        <v>134</v>
      </c>
      <c r="G1887" t="s">
        <v>135</v>
      </c>
      <c r="H1887" t="s">
        <v>136</v>
      </c>
      <c r="I1887" s="6" t="s">
        <v>909</v>
      </c>
      <c r="J1887" s="61" t="s">
        <v>22</v>
      </c>
      <c r="L1887" s="5" t="str">
        <f t="shared" si="540"/>
        <v>01886</v>
      </c>
      <c r="M1887" s="47" t="str">
        <f t="shared" si="541"/>
        <v>20 de marzo de 2019</v>
      </c>
      <c r="N1887" s="323">
        <f t="shared" si="542"/>
        <v>20</v>
      </c>
      <c r="O1887" s="25">
        <f t="shared" si="543"/>
        <v>43525</v>
      </c>
      <c r="P1887" s="5" t="str">
        <f t="shared" si="544"/>
        <v>3.000,00</v>
      </c>
      <c r="Q1887" s="4" t="str">
        <f t="shared" si="545"/>
        <v>Tres Mil Bolívares con 00/100</v>
      </c>
    </row>
    <row r="1888" spans="1:17" x14ac:dyDescent="0.25">
      <c r="A1888" s="1">
        <f t="shared" si="547"/>
        <v>1887</v>
      </c>
      <c r="C1888" s="8" t="s">
        <v>17</v>
      </c>
      <c r="D1888" s="2">
        <v>43538</v>
      </c>
      <c r="E1888" s="3">
        <v>5000</v>
      </c>
      <c r="F1888" t="s">
        <v>558</v>
      </c>
      <c r="G1888" t="s">
        <v>559</v>
      </c>
      <c r="H1888" t="s">
        <v>560</v>
      </c>
      <c r="I1888" s="6" t="s">
        <v>894</v>
      </c>
      <c r="J1888" s="61" t="s">
        <v>22</v>
      </c>
      <c r="L1888" s="5" t="str">
        <f t="shared" si="540"/>
        <v>01887</v>
      </c>
      <c r="M1888" s="47" t="str">
        <f t="shared" si="541"/>
        <v>14 de marzo de 2019</v>
      </c>
      <c r="N1888" s="323">
        <f t="shared" si="542"/>
        <v>14</v>
      </c>
      <c r="O1888" s="25">
        <f t="shared" si="543"/>
        <v>43525</v>
      </c>
      <c r="P1888" s="5" t="str">
        <f t="shared" si="544"/>
        <v>5.000,00</v>
      </c>
      <c r="Q1888" s="4" t="str">
        <f t="shared" si="545"/>
        <v>Cinco Mil Bolívares con 00/100</v>
      </c>
    </row>
    <row r="1889" spans="1:17" x14ac:dyDescent="0.25">
      <c r="A1889" s="1">
        <f t="shared" si="547"/>
        <v>1888</v>
      </c>
      <c r="C1889" s="8" t="s">
        <v>17</v>
      </c>
      <c r="D1889" s="2">
        <v>43545</v>
      </c>
      <c r="E1889" s="3">
        <v>3150</v>
      </c>
      <c r="F1889" t="s">
        <v>558</v>
      </c>
      <c r="G1889" t="s">
        <v>559</v>
      </c>
      <c r="H1889" t="s">
        <v>560</v>
      </c>
      <c r="I1889" s="6" t="s">
        <v>926</v>
      </c>
      <c r="J1889" s="61" t="s">
        <v>22</v>
      </c>
      <c r="L1889" s="5" t="str">
        <f t="shared" ref="L1889:L1924" si="548">IF(ISBLANK(A1889),"",TEXT(A1889,"00000"))</f>
        <v>01888</v>
      </c>
      <c r="M1889" s="47" t="str">
        <f t="shared" ref="M1889:M1924" si="549">IF(ISBLANK(D1889),"",TEXT(D1889,"dd")&amp;" de "&amp;TEXT(D1889,"mmmm")&amp;" de "&amp;TEXT(YEAR(D1889),"0"))</f>
        <v>21 de marzo de 2019</v>
      </c>
      <c r="N1889" s="323">
        <f t="shared" ref="N1889:N1924" si="550">DAY(D1889)</f>
        <v>21</v>
      </c>
      <c r="O1889" s="25">
        <f t="shared" ref="O1889:O1924" si="551">DATE(YEAR(D1889),MONTH(D1889),1)</f>
        <v>43525</v>
      </c>
      <c r="P1889" s="5" t="str">
        <f t="shared" ref="P1889:P1924" si="552">TEXT(E1889,"#.##0,00")</f>
        <v>3.150,00</v>
      </c>
      <c r="Q1889" s="4" t="str">
        <f t="shared" ref="Q1889:Q1895" si="553">CONVERTIRNUM(E1889)</f>
        <v>Tres Mil Ciento Cincuenta Bolívares con 00/100</v>
      </c>
    </row>
    <row r="1890" spans="1:17" x14ac:dyDescent="0.25">
      <c r="A1890" s="1">
        <f t="shared" si="547"/>
        <v>1889</v>
      </c>
      <c r="C1890" s="8" t="s">
        <v>17</v>
      </c>
      <c r="D1890" s="2">
        <v>43545</v>
      </c>
      <c r="E1890" s="3">
        <v>3000</v>
      </c>
      <c r="F1890" t="s">
        <v>633</v>
      </c>
      <c r="G1890" t="s">
        <v>634</v>
      </c>
      <c r="H1890" t="s">
        <v>635</v>
      </c>
      <c r="I1890" s="6" t="s">
        <v>909</v>
      </c>
      <c r="J1890" s="61" t="s">
        <v>22</v>
      </c>
      <c r="L1890" s="5" t="str">
        <f t="shared" si="548"/>
        <v>01889</v>
      </c>
      <c r="M1890" s="47" t="str">
        <f t="shared" si="549"/>
        <v>21 de marzo de 2019</v>
      </c>
      <c r="N1890" s="323">
        <f t="shared" si="550"/>
        <v>21</v>
      </c>
      <c r="O1890" s="25">
        <f t="shared" si="551"/>
        <v>43525</v>
      </c>
      <c r="P1890" s="5" t="str">
        <f t="shared" si="552"/>
        <v>3.000,00</v>
      </c>
      <c r="Q1890" s="4" t="str">
        <f t="shared" si="553"/>
        <v>Tres Mil Bolívares con 00/100</v>
      </c>
    </row>
    <row r="1891" spans="1:17" x14ac:dyDescent="0.25">
      <c r="A1891" s="1">
        <f t="shared" si="547"/>
        <v>1890</v>
      </c>
      <c r="C1891" s="8" t="s">
        <v>17</v>
      </c>
      <c r="D1891" s="2">
        <v>43546</v>
      </c>
      <c r="E1891" s="3">
        <v>3000</v>
      </c>
      <c r="F1891" t="s">
        <v>103</v>
      </c>
      <c r="G1891" t="s">
        <v>104</v>
      </c>
      <c r="H1891" t="s">
        <v>105</v>
      </c>
      <c r="I1891" s="6" t="s">
        <v>909</v>
      </c>
      <c r="J1891" s="61" t="s">
        <v>22</v>
      </c>
      <c r="L1891" s="5" t="str">
        <f t="shared" si="548"/>
        <v>01890</v>
      </c>
      <c r="M1891" s="47" t="str">
        <f t="shared" si="549"/>
        <v>22 de marzo de 2019</v>
      </c>
      <c r="N1891" s="323">
        <f t="shared" si="550"/>
        <v>22</v>
      </c>
      <c r="O1891" s="25">
        <f t="shared" si="551"/>
        <v>43525</v>
      </c>
      <c r="P1891" s="5" t="str">
        <f t="shared" si="552"/>
        <v>3.000,00</v>
      </c>
      <c r="Q1891" s="4" t="str">
        <f t="shared" si="553"/>
        <v>Tres Mil Bolívares con 00/100</v>
      </c>
    </row>
    <row r="1892" spans="1:17" x14ac:dyDescent="0.25">
      <c r="A1892" s="1">
        <f t="shared" si="547"/>
        <v>1891</v>
      </c>
      <c r="C1892" s="8" t="s">
        <v>17</v>
      </c>
      <c r="D1892" s="2">
        <v>43547</v>
      </c>
      <c r="E1892" s="3">
        <v>3000</v>
      </c>
      <c r="F1892" t="s">
        <v>362</v>
      </c>
      <c r="G1892" t="s">
        <v>363</v>
      </c>
      <c r="H1892" t="s">
        <v>364</v>
      </c>
      <c r="I1892" s="6" t="s">
        <v>909</v>
      </c>
      <c r="J1892" s="61" t="s">
        <v>22</v>
      </c>
      <c r="L1892" s="5" t="str">
        <f t="shared" si="548"/>
        <v>01891</v>
      </c>
      <c r="M1892" s="47" t="str">
        <f t="shared" si="549"/>
        <v>23 de marzo de 2019</v>
      </c>
      <c r="N1892" s="323">
        <f t="shared" si="550"/>
        <v>23</v>
      </c>
      <c r="O1892" s="25">
        <f t="shared" si="551"/>
        <v>43525</v>
      </c>
      <c r="P1892" s="5" t="str">
        <f t="shared" si="552"/>
        <v>3.000,00</v>
      </c>
      <c r="Q1892" s="4" t="str">
        <f t="shared" si="553"/>
        <v>Tres Mil Bolívares con 00/100</v>
      </c>
    </row>
    <row r="1893" spans="1:17" x14ac:dyDescent="0.25">
      <c r="A1893" s="1">
        <f t="shared" si="547"/>
        <v>1892</v>
      </c>
      <c r="C1893" s="8" t="s">
        <v>17</v>
      </c>
      <c r="D1893" s="2">
        <v>43552</v>
      </c>
      <c r="E1893" s="3">
        <v>3000</v>
      </c>
      <c r="F1893" t="s">
        <v>312</v>
      </c>
      <c r="G1893" t="s">
        <v>313</v>
      </c>
      <c r="H1893" t="s">
        <v>314</v>
      </c>
      <c r="I1893" s="6" t="s">
        <v>909</v>
      </c>
      <c r="J1893" s="61" t="s">
        <v>22</v>
      </c>
      <c r="L1893" s="5" t="str">
        <f t="shared" si="548"/>
        <v>01892</v>
      </c>
      <c r="M1893" s="47" t="str">
        <f t="shared" si="549"/>
        <v>28 de marzo de 2019</v>
      </c>
      <c r="N1893" s="323">
        <f t="shared" si="550"/>
        <v>28</v>
      </c>
      <c r="O1893" s="25">
        <f t="shared" si="551"/>
        <v>43525</v>
      </c>
      <c r="P1893" s="5" t="str">
        <f t="shared" si="552"/>
        <v>3.000,00</v>
      </c>
      <c r="Q1893" s="4" t="str">
        <f t="shared" si="553"/>
        <v>Tres Mil Bolívares con 00/100</v>
      </c>
    </row>
    <row r="1894" spans="1:17" x14ac:dyDescent="0.25">
      <c r="A1894" s="1">
        <f t="shared" si="547"/>
        <v>1893</v>
      </c>
      <c r="C1894" s="8" t="s">
        <v>17</v>
      </c>
      <c r="D1894" s="2">
        <v>43552</v>
      </c>
      <c r="E1894" s="3">
        <v>3000</v>
      </c>
      <c r="F1894" t="s">
        <v>118</v>
      </c>
      <c r="G1894" t="s">
        <v>119</v>
      </c>
      <c r="H1894" t="s">
        <v>120</v>
      </c>
      <c r="I1894" s="6" t="s">
        <v>909</v>
      </c>
      <c r="J1894" s="61" t="s">
        <v>22</v>
      </c>
      <c r="L1894" s="5" t="str">
        <f t="shared" si="548"/>
        <v>01893</v>
      </c>
      <c r="M1894" s="47" t="str">
        <f t="shared" si="549"/>
        <v>28 de marzo de 2019</v>
      </c>
      <c r="N1894" s="323">
        <f t="shared" si="550"/>
        <v>28</v>
      </c>
      <c r="O1894" s="25">
        <f t="shared" si="551"/>
        <v>43525</v>
      </c>
      <c r="P1894" s="5" t="str">
        <f t="shared" si="552"/>
        <v>3.000,00</v>
      </c>
      <c r="Q1894" s="4" t="str">
        <f t="shared" si="553"/>
        <v>Tres Mil Bolívares con 00/100</v>
      </c>
    </row>
    <row r="1895" spans="1:17" x14ac:dyDescent="0.25">
      <c r="A1895" s="1">
        <f t="shared" si="547"/>
        <v>1894</v>
      </c>
      <c r="C1895" s="8" t="s">
        <v>17</v>
      </c>
      <c r="D1895" s="2">
        <v>43554</v>
      </c>
      <c r="E1895" s="3">
        <v>3000</v>
      </c>
      <c r="F1895" t="s">
        <v>337</v>
      </c>
      <c r="G1895" t="s">
        <v>338</v>
      </c>
      <c r="H1895" t="s">
        <v>339</v>
      </c>
      <c r="I1895" s="6" t="s">
        <v>909</v>
      </c>
      <c r="J1895" s="61" t="s">
        <v>22</v>
      </c>
      <c r="L1895" s="5" t="str">
        <f t="shared" si="548"/>
        <v>01894</v>
      </c>
      <c r="M1895" s="47" t="str">
        <f t="shared" si="549"/>
        <v>30 de marzo de 2019</v>
      </c>
      <c r="N1895" s="323">
        <f t="shared" si="550"/>
        <v>30</v>
      </c>
      <c r="O1895" s="25">
        <f t="shared" si="551"/>
        <v>43525</v>
      </c>
      <c r="P1895" s="5" t="str">
        <f t="shared" si="552"/>
        <v>3.000,00</v>
      </c>
      <c r="Q1895" s="4" t="str">
        <f t="shared" si="553"/>
        <v>Tres Mil Bolívares con 00/100</v>
      </c>
    </row>
    <row r="1896" spans="1:17" x14ac:dyDescent="0.25">
      <c r="A1896" s="1">
        <f t="shared" si="547"/>
        <v>1895</v>
      </c>
      <c r="C1896" s="8" t="s">
        <v>17</v>
      </c>
      <c r="D1896" s="2">
        <v>43554</v>
      </c>
      <c r="E1896" s="3">
        <v>3000</v>
      </c>
      <c r="F1896" t="s">
        <v>407</v>
      </c>
      <c r="G1896" t="s">
        <v>408</v>
      </c>
      <c r="H1896" t="s">
        <v>409</v>
      </c>
      <c r="I1896" s="6" t="s">
        <v>917</v>
      </c>
      <c r="J1896" s="61" t="s">
        <v>22</v>
      </c>
      <c r="L1896" s="5" t="str">
        <f t="shared" si="548"/>
        <v>01895</v>
      </c>
      <c r="M1896" s="47" t="str">
        <f t="shared" si="549"/>
        <v>30 de marzo de 2019</v>
      </c>
      <c r="N1896" s="323">
        <f t="shared" si="550"/>
        <v>30</v>
      </c>
      <c r="O1896" s="25">
        <f t="shared" si="551"/>
        <v>43525</v>
      </c>
      <c r="P1896" s="5" t="str">
        <f t="shared" si="552"/>
        <v>3.000,00</v>
      </c>
      <c r="Q1896" s="4" t="str">
        <f>CONVERTIRNUM(E1896)</f>
        <v>Tres Mil Bolívares con 00/100</v>
      </c>
    </row>
    <row r="1897" spans="1:17" x14ac:dyDescent="0.25">
      <c r="A1897" s="1">
        <f t="shared" si="547"/>
        <v>1896</v>
      </c>
      <c r="C1897" s="85" t="s">
        <v>17</v>
      </c>
      <c r="D1897" s="2">
        <v>43554</v>
      </c>
      <c r="E1897" s="3">
        <v>3000</v>
      </c>
      <c r="F1897" t="s">
        <v>319</v>
      </c>
      <c r="G1897" s="18" t="s">
        <v>58</v>
      </c>
      <c r="H1897" t="s">
        <v>320</v>
      </c>
      <c r="I1897" s="6" t="s">
        <v>909</v>
      </c>
      <c r="J1897" s="61" t="s">
        <v>22</v>
      </c>
      <c r="L1897" s="5" t="str">
        <f t="shared" si="548"/>
        <v>01896</v>
      </c>
      <c r="M1897" s="47" t="str">
        <f t="shared" si="549"/>
        <v>30 de marzo de 2019</v>
      </c>
      <c r="N1897" s="323">
        <f t="shared" si="550"/>
        <v>30</v>
      </c>
      <c r="O1897" s="25">
        <f t="shared" si="551"/>
        <v>43525</v>
      </c>
      <c r="P1897" s="5" t="str">
        <f t="shared" si="552"/>
        <v>3.000,00</v>
      </c>
      <c r="Q1897" s="4" t="str">
        <f t="shared" ref="Q1897:Q1924" si="554">CONVERTIRNUM(E1897)</f>
        <v>Tres Mil Bolívares con 00/100</v>
      </c>
    </row>
    <row r="1898" spans="1:17" x14ac:dyDescent="0.25">
      <c r="A1898" s="1">
        <f t="shared" si="547"/>
        <v>1897</v>
      </c>
      <c r="C1898" s="8" t="s">
        <v>17</v>
      </c>
      <c r="D1898" s="2">
        <v>43523</v>
      </c>
      <c r="E1898" s="3">
        <v>6000</v>
      </c>
      <c r="F1898" t="s">
        <v>185</v>
      </c>
      <c r="G1898" t="s">
        <v>186</v>
      </c>
      <c r="H1898" t="s">
        <v>187</v>
      </c>
      <c r="I1898" s="6" t="s">
        <v>903</v>
      </c>
      <c r="J1898" s="61" t="s">
        <v>22</v>
      </c>
      <c r="L1898" s="5" t="str">
        <f t="shared" si="548"/>
        <v>01897</v>
      </c>
      <c r="M1898" s="47" t="str">
        <f t="shared" si="549"/>
        <v>27 de febrero de 2019</v>
      </c>
      <c r="N1898" s="323">
        <f t="shared" si="550"/>
        <v>27</v>
      </c>
      <c r="O1898" s="25">
        <f t="shared" si="551"/>
        <v>43497</v>
      </c>
      <c r="P1898" s="5" t="str">
        <f t="shared" si="552"/>
        <v>6.000,00</v>
      </c>
      <c r="Q1898" s="4" t="str">
        <f t="shared" si="554"/>
        <v>Seis Mil Bolívares con 00/100</v>
      </c>
    </row>
    <row r="1899" spans="1:17" x14ac:dyDescent="0.25">
      <c r="A1899" s="1">
        <f t="shared" si="547"/>
        <v>1898</v>
      </c>
      <c r="C1899" s="85" t="s">
        <v>17</v>
      </c>
      <c r="D1899" s="2">
        <v>43557</v>
      </c>
      <c r="E1899" s="3">
        <v>9000</v>
      </c>
      <c r="F1899" t="s">
        <v>410</v>
      </c>
      <c r="G1899" s="18" t="s">
        <v>58</v>
      </c>
      <c r="H1899" t="s">
        <v>411</v>
      </c>
      <c r="I1899" s="6" t="s">
        <v>927</v>
      </c>
      <c r="J1899" s="61" t="s">
        <v>22</v>
      </c>
      <c r="L1899" s="5" t="str">
        <f t="shared" si="548"/>
        <v>01898</v>
      </c>
      <c r="M1899" s="47" t="str">
        <f t="shared" si="549"/>
        <v>02 de abril de 2019</v>
      </c>
      <c r="N1899" s="323">
        <f t="shared" si="550"/>
        <v>2</v>
      </c>
      <c r="O1899" s="25">
        <f t="shared" si="551"/>
        <v>43556</v>
      </c>
      <c r="P1899" s="5" t="str">
        <f t="shared" si="552"/>
        <v>9.000,00</v>
      </c>
      <c r="Q1899" s="4" t="str">
        <f t="shared" si="554"/>
        <v>Nueve Mil Bolívares con 00/100</v>
      </c>
    </row>
    <row r="1900" spans="1:17" x14ac:dyDescent="0.25">
      <c r="A1900" s="1">
        <f t="shared" si="547"/>
        <v>1899</v>
      </c>
      <c r="C1900" s="8" t="s">
        <v>17</v>
      </c>
      <c r="D1900" s="2">
        <v>43557</v>
      </c>
      <c r="E1900" s="3">
        <v>6000</v>
      </c>
      <c r="F1900" t="s">
        <v>892</v>
      </c>
      <c r="G1900" t="s">
        <v>893</v>
      </c>
      <c r="H1900" s="21" t="s">
        <v>59</v>
      </c>
      <c r="I1900" s="6" t="s">
        <v>912</v>
      </c>
      <c r="J1900" s="61" t="s">
        <v>22</v>
      </c>
      <c r="K1900" s="22"/>
      <c r="L1900" s="5" t="str">
        <f t="shared" si="548"/>
        <v>01899</v>
      </c>
      <c r="M1900" s="47" t="str">
        <f t="shared" si="549"/>
        <v>02 de abril de 2019</v>
      </c>
      <c r="N1900" s="323">
        <f t="shared" si="550"/>
        <v>2</v>
      </c>
      <c r="O1900" s="25">
        <f t="shared" si="551"/>
        <v>43556</v>
      </c>
      <c r="P1900" s="5" t="str">
        <f t="shared" si="552"/>
        <v>6.000,00</v>
      </c>
      <c r="Q1900" s="4" t="str">
        <f t="shared" si="554"/>
        <v>Seis Mil Bolívares con 00/100</v>
      </c>
    </row>
    <row r="1901" spans="1:17" x14ac:dyDescent="0.25">
      <c r="A1901" s="1">
        <f t="shared" si="547"/>
        <v>1900</v>
      </c>
      <c r="C1901" s="8" t="s">
        <v>17</v>
      </c>
      <c r="D1901" s="2">
        <v>43558</v>
      </c>
      <c r="E1901" s="3">
        <v>3000</v>
      </c>
      <c r="F1901" t="s">
        <v>284</v>
      </c>
      <c r="G1901" t="s">
        <v>687</v>
      </c>
      <c r="H1901" t="s">
        <v>285</v>
      </c>
      <c r="I1901" s="6" t="s">
        <v>909</v>
      </c>
      <c r="J1901" s="61" t="s">
        <v>22</v>
      </c>
      <c r="L1901" s="5" t="str">
        <f t="shared" si="548"/>
        <v>01900</v>
      </c>
      <c r="M1901" s="47" t="str">
        <f t="shared" si="549"/>
        <v>03 de abril de 2019</v>
      </c>
      <c r="N1901" s="323">
        <f t="shared" si="550"/>
        <v>3</v>
      </c>
      <c r="O1901" s="25">
        <f t="shared" si="551"/>
        <v>43556</v>
      </c>
      <c r="P1901" s="5" t="str">
        <f t="shared" si="552"/>
        <v>3.000,00</v>
      </c>
      <c r="Q1901" s="4" t="str">
        <f t="shared" si="554"/>
        <v>Tres Mil Bolívares con 00/100</v>
      </c>
    </row>
    <row r="1902" spans="1:17" x14ac:dyDescent="0.25">
      <c r="A1902" s="1">
        <f t="shared" si="547"/>
        <v>1901</v>
      </c>
      <c r="C1902" s="8" t="s">
        <v>17</v>
      </c>
      <c r="D1902" s="2">
        <v>43540</v>
      </c>
      <c r="E1902" s="3">
        <v>3000</v>
      </c>
      <c r="F1902" t="s">
        <v>843</v>
      </c>
      <c r="G1902" t="s">
        <v>844</v>
      </c>
      <c r="H1902" t="s">
        <v>169</v>
      </c>
      <c r="I1902" s="6" t="s">
        <v>909</v>
      </c>
      <c r="J1902" s="61" t="s">
        <v>22</v>
      </c>
      <c r="L1902" s="5" t="str">
        <f t="shared" si="548"/>
        <v>01901</v>
      </c>
      <c r="M1902" s="47" t="str">
        <f t="shared" si="549"/>
        <v>16 de marzo de 2019</v>
      </c>
      <c r="N1902" s="323">
        <f t="shared" si="550"/>
        <v>16</v>
      </c>
      <c r="O1902" s="25">
        <f t="shared" si="551"/>
        <v>43525</v>
      </c>
      <c r="P1902" s="5" t="str">
        <f t="shared" si="552"/>
        <v>3.000,00</v>
      </c>
      <c r="Q1902" s="4" t="str">
        <f t="shared" si="554"/>
        <v>Tres Mil Bolívares con 00/100</v>
      </c>
    </row>
    <row r="1903" spans="1:17" x14ac:dyDescent="0.25">
      <c r="A1903" s="1">
        <f t="shared" si="547"/>
        <v>1902</v>
      </c>
      <c r="C1903" s="8" t="s">
        <v>17</v>
      </c>
      <c r="D1903" s="2">
        <v>43558</v>
      </c>
      <c r="E1903" s="3">
        <v>3000</v>
      </c>
      <c r="F1903" t="s">
        <v>134</v>
      </c>
      <c r="G1903" t="s">
        <v>135</v>
      </c>
      <c r="H1903" t="s">
        <v>136</v>
      </c>
      <c r="I1903" s="6" t="s">
        <v>917</v>
      </c>
      <c r="J1903" s="61" t="s">
        <v>22</v>
      </c>
      <c r="L1903" s="5" t="str">
        <f t="shared" si="548"/>
        <v>01902</v>
      </c>
      <c r="M1903" s="47" t="str">
        <f t="shared" si="549"/>
        <v>03 de abril de 2019</v>
      </c>
      <c r="N1903" s="323">
        <f t="shared" si="550"/>
        <v>3</v>
      </c>
      <c r="O1903" s="25">
        <f t="shared" si="551"/>
        <v>43556</v>
      </c>
      <c r="P1903" s="5" t="str">
        <f t="shared" si="552"/>
        <v>3.000,00</v>
      </c>
      <c r="Q1903" s="4" t="str">
        <f t="shared" si="554"/>
        <v>Tres Mil Bolívares con 00/100</v>
      </c>
    </row>
    <row r="1904" spans="1:17" x14ac:dyDescent="0.25">
      <c r="A1904" s="1">
        <f t="shared" si="547"/>
        <v>1903</v>
      </c>
      <c r="C1904" s="8" t="s">
        <v>17</v>
      </c>
      <c r="D1904" s="2">
        <v>43559</v>
      </c>
      <c r="E1904" s="3">
        <v>6000</v>
      </c>
      <c r="F1904" t="s">
        <v>248</v>
      </c>
      <c r="G1904" t="s">
        <v>249</v>
      </c>
      <c r="H1904" t="s">
        <v>250</v>
      </c>
      <c r="I1904" s="6" t="s">
        <v>918</v>
      </c>
      <c r="J1904" s="61" t="s">
        <v>22</v>
      </c>
      <c r="L1904" s="5" t="str">
        <f t="shared" si="548"/>
        <v>01903</v>
      </c>
      <c r="M1904" s="47" t="str">
        <f t="shared" si="549"/>
        <v>04 de abril de 2019</v>
      </c>
      <c r="N1904" s="323">
        <f t="shared" si="550"/>
        <v>4</v>
      </c>
      <c r="O1904" s="25">
        <f t="shared" si="551"/>
        <v>43556</v>
      </c>
      <c r="P1904" s="5" t="str">
        <f t="shared" si="552"/>
        <v>6.000,00</v>
      </c>
      <c r="Q1904" s="4" t="str">
        <f t="shared" si="554"/>
        <v>Seis Mil Bolívares con 00/100</v>
      </c>
    </row>
    <row r="1905" spans="1:17" x14ac:dyDescent="0.25">
      <c r="A1905" s="1">
        <f t="shared" si="547"/>
        <v>1904</v>
      </c>
      <c r="C1905" s="8" t="s">
        <v>17</v>
      </c>
      <c r="D1905" s="2">
        <v>43560</v>
      </c>
      <c r="E1905" s="3">
        <v>3000</v>
      </c>
      <c r="F1905" t="s">
        <v>84</v>
      </c>
      <c r="G1905" t="s">
        <v>85</v>
      </c>
      <c r="H1905" t="s">
        <v>86</v>
      </c>
      <c r="I1905" s="6" t="s">
        <v>917</v>
      </c>
      <c r="J1905" s="61" t="s">
        <v>22</v>
      </c>
      <c r="L1905" s="5" t="str">
        <f t="shared" si="548"/>
        <v>01904</v>
      </c>
      <c r="M1905" s="47" t="str">
        <f t="shared" si="549"/>
        <v>05 de abril de 2019</v>
      </c>
      <c r="N1905" s="323">
        <f t="shared" si="550"/>
        <v>5</v>
      </c>
      <c r="O1905" s="25">
        <f t="shared" si="551"/>
        <v>43556</v>
      </c>
      <c r="P1905" s="5" t="str">
        <f t="shared" si="552"/>
        <v>3.000,00</v>
      </c>
      <c r="Q1905" s="4" t="str">
        <f t="shared" si="554"/>
        <v>Tres Mil Bolívares con 00/100</v>
      </c>
    </row>
    <row r="1906" spans="1:17" x14ac:dyDescent="0.25">
      <c r="A1906" s="1">
        <f t="shared" si="547"/>
        <v>1905</v>
      </c>
      <c r="C1906" s="8" t="s">
        <v>17</v>
      </c>
      <c r="D1906" s="2">
        <v>43560</v>
      </c>
      <c r="E1906" s="3">
        <v>3000</v>
      </c>
      <c r="F1906" t="s">
        <v>334</v>
      </c>
      <c r="G1906" t="s">
        <v>85</v>
      </c>
      <c r="H1906" t="s">
        <v>335</v>
      </c>
      <c r="I1906" s="6" t="s">
        <v>917</v>
      </c>
      <c r="J1906" s="61" t="s">
        <v>22</v>
      </c>
      <c r="L1906" s="5" t="str">
        <f t="shared" si="548"/>
        <v>01905</v>
      </c>
      <c r="M1906" s="47" t="str">
        <f t="shared" si="549"/>
        <v>05 de abril de 2019</v>
      </c>
      <c r="N1906" s="323">
        <f t="shared" si="550"/>
        <v>5</v>
      </c>
      <c r="O1906" s="25">
        <f t="shared" si="551"/>
        <v>43556</v>
      </c>
      <c r="P1906" s="5" t="str">
        <f t="shared" si="552"/>
        <v>3.000,00</v>
      </c>
      <c r="Q1906" s="4" t="str">
        <f t="shared" si="554"/>
        <v>Tres Mil Bolívares con 00/100</v>
      </c>
    </row>
    <row r="1907" spans="1:17" x14ac:dyDescent="0.25">
      <c r="A1907" s="1">
        <f t="shared" si="547"/>
        <v>1906</v>
      </c>
      <c r="C1907" s="8" t="s">
        <v>17</v>
      </c>
      <c r="D1907" s="2">
        <v>43546</v>
      </c>
      <c r="E1907" s="3">
        <v>3000</v>
      </c>
      <c r="F1907" t="s">
        <v>296</v>
      </c>
      <c r="G1907" t="s">
        <v>297</v>
      </c>
      <c r="H1907" t="s">
        <v>298</v>
      </c>
      <c r="I1907" s="6" t="s">
        <v>909</v>
      </c>
      <c r="J1907" s="61" t="s">
        <v>22</v>
      </c>
      <c r="L1907" s="5" t="str">
        <f t="shared" si="548"/>
        <v>01906</v>
      </c>
      <c r="M1907" s="47" t="str">
        <f t="shared" si="549"/>
        <v>22 de marzo de 2019</v>
      </c>
      <c r="N1907" s="323">
        <f t="shared" si="550"/>
        <v>22</v>
      </c>
      <c r="O1907" s="25">
        <f t="shared" si="551"/>
        <v>43525</v>
      </c>
      <c r="P1907" s="5" t="str">
        <f t="shared" si="552"/>
        <v>3.000,00</v>
      </c>
      <c r="Q1907" s="4" t="str">
        <f t="shared" si="554"/>
        <v>Tres Mil Bolívares con 00/100</v>
      </c>
    </row>
    <row r="1908" spans="1:17" x14ac:dyDescent="0.25">
      <c r="A1908" s="1">
        <f t="shared" si="547"/>
        <v>1907</v>
      </c>
      <c r="C1908" s="8" t="s">
        <v>17</v>
      </c>
      <c r="D1908" s="2">
        <v>43551</v>
      </c>
      <c r="E1908" s="3">
        <v>2200</v>
      </c>
      <c r="F1908" t="s">
        <v>28</v>
      </c>
      <c r="G1908" t="s">
        <v>716</v>
      </c>
      <c r="H1908" t="s">
        <v>30</v>
      </c>
      <c r="I1908" s="6" t="s">
        <v>928</v>
      </c>
      <c r="J1908" s="61" t="s">
        <v>22</v>
      </c>
      <c r="L1908" s="5" t="str">
        <f t="shared" si="548"/>
        <v>01907</v>
      </c>
      <c r="M1908" s="47" t="str">
        <f t="shared" si="549"/>
        <v>27 de marzo de 2019</v>
      </c>
      <c r="N1908" s="323">
        <f t="shared" si="550"/>
        <v>27</v>
      </c>
      <c r="O1908" s="25">
        <f t="shared" si="551"/>
        <v>43525</v>
      </c>
      <c r="P1908" s="5" t="str">
        <f t="shared" si="552"/>
        <v>2.200,00</v>
      </c>
      <c r="Q1908" s="4" t="str">
        <f t="shared" si="554"/>
        <v>Dos Mil Doscientos Bolívares con 00/100</v>
      </c>
    </row>
    <row r="1909" spans="1:17" x14ac:dyDescent="0.25">
      <c r="A1909" s="1">
        <f>A1908+1</f>
        <v>1908</v>
      </c>
      <c r="C1909" s="8" t="s">
        <v>17</v>
      </c>
      <c r="D1909" s="2">
        <v>43560</v>
      </c>
      <c r="E1909" s="3">
        <v>3000</v>
      </c>
      <c r="F1909" t="s">
        <v>36</v>
      </c>
      <c r="G1909" t="s">
        <v>37</v>
      </c>
      <c r="H1909" t="s">
        <v>38</v>
      </c>
      <c r="I1909" s="6" t="s">
        <v>917</v>
      </c>
      <c r="J1909" s="61" t="s">
        <v>22</v>
      </c>
      <c r="L1909" s="5" t="str">
        <f t="shared" si="548"/>
        <v>01908</v>
      </c>
      <c r="M1909" s="47" t="str">
        <f t="shared" si="549"/>
        <v>05 de abril de 2019</v>
      </c>
      <c r="N1909" s="323">
        <f t="shared" si="550"/>
        <v>5</v>
      </c>
      <c r="O1909" s="25">
        <f t="shared" si="551"/>
        <v>43556</v>
      </c>
      <c r="P1909" s="5" t="str">
        <f t="shared" si="552"/>
        <v>3.000,00</v>
      </c>
      <c r="Q1909" s="4" t="str">
        <f t="shared" si="554"/>
        <v>Tres Mil Bolívares con 00/100</v>
      </c>
    </row>
    <row r="1910" spans="1:17" x14ac:dyDescent="0.25">
      <c r="A1910" s="1">
        <f t="shared" ref="A1910:A1920" si="555">A1909+1</f>
        <v>1909</v>
      </c>
      <c r="C1910" s="8" t="s">
        <v>17</v>
      </c>
      <c r="D1910" s="2">
        <v>43561</v>
      </c>
      <c r="E1910" s="3">
        <v>10000</v>
      </c>
      <c r="F1910" t="s">
        <v>90</v>
      </c>
      <c r="G1910" t="s">
        <v>91</v>
      </c>
      <c r="H1910" t="s">
        <v>92</v>
      </c>
      <c r="I1910" s="6" t="s">
        <v>929</v>
      </c>
      <c r="J1910" s="61" t="s">
        <v>22</v>
      </c>
      <c r="L1910" s="5" t="str">
        <f t="shared" si="548"/>
        <v>01909</v>
      </c>
      <c r="M1910" s="47" t="str">
        <f t="shared" si="549"/>
        <v>06 de abril de 2019</v>
      </c>
      <c r="N1910" s="323">
        <f t="shared" si="550"/>
        <v>6</v>
      </c>
      <c r="O1910" s="25">
        <f t="shared" si="551"/>
        <v>43556</v>
      </c>
      <c r="P1910" s="5" t="str">
        <f t="shared" si="552"/>
        <v>10.000,00</v>
      </c>
      <c r="Q1910" s="4" t="str">
        <f t="shared" si="554"/>
        <v>Diez Mil Bolívares con 00/100</v>
      </c>
    </row>
    <row r="1911" spans="1:17" x14ac:dyDescent="0.25">
      <c r="A1911" s="1">
        <f t="shared" si="555"/>
        <v>1910</v>
      </c>
      <c r="C1911" s="8" t="s">
        <v>17</v>
      </c>
      <c r="D1911" s="2">
        <v>43561</v>
      </c>
      <c r="E1911" s="3">
        <v>5000</v>
      </c>
      <c r="F1911" t="s">
        <v>483</v>
      </c>
      <c r="G1911" t="s">
        <v>484</v>
      </c>
      <c r="H1911" t="s">
        <v>485</v>
      </c>
      <c r="I1911" s="6" t="s">
        <v>930</v>
      </c>
      <c r="J1911" s="61" t="s">
        <v>22</v>
      </c>
      <c r="L1911" s="5" t="str">
        <f t="shared" si="548"/>
        <v>01910</v>
      </c>
      <c r="M1911" s="47" t="str">
        <f t="shared" si="549"/>
        <v>06 de abril de 2019</v>
      </c>
      <c r="N1911" s="323">
        <f t="shared" si="550"/>
        <v>6</v>
      </c>
      <c r="O1911" s="25">
        <f t="shared" si="551"/>
        <v>43556</v>
      </c>
      <c r="P1911" s="5" t="str">
        <f t="shared" si="552"/>
        <v>5.000,00</v>
      </c>
      <c r="Q1911" s="4" t="str">
        <f t="shared" si="554"/>
        <v>Cinco Mil Bolívares con 00/100</v>
      </c>
    </row>
    <row r="1912" spans="1:17" x14ac:dyDescent="0.25">
      <c r="A1912" s="1">
        <f t="shared" si="555"/>
        <v>1911</v>
      </c>
      <c r="C1912" s="8" t="s">
        <v>17</v>
      </c>
      <c r="D1912" s="2">
        <v>43562</v>
      </c>
      <c r="E1912" s="3">
        <v>3000</v>
      </c>
      <c r="F1912" t="s">
        <v>62</v>
      </c>
      <c r="G1912" t="s">
        <v>63</v>
      </c>
      <c r="H1912" t="s">
        <v>64</v>
      </c>
      <c r="I1912" s="6" t="s">
        <v>909</v>
      </c>
      <c r="J1912" s="61" t="s">
        <v>22</v>
      </c>
      <c r="L1912" s="5" t="str">
        <f t="shared" si="548"/>
        <v>01911</v>
      </c>
      <c r="M1912" s="47" t="str">
        <f t="shared" si="549"/>
        <v>07 de abril de 2019</v>
      </c>
      <c r="N1912" s="323">
        <f t="shared" si="550"/>
        <v>7</v>
      </c>
      <c r="O1912" s="25">
        <f t="shared" si="551"/>
        <v>43556</v>
      </c>
      <c r="P1912" s="5" t="str">
        <f t="shared" si="552"/>
        <v>3.000,00</v>
      </c>
      <c r="Q1912" s="4" t="str">
        <f t="shared" si="554"/>
        <v>Tres Mil Bolívares con 00/100</v>
      </c>
    </row>
    <row r="1913" spans="1:17" x14ac:dyDescent="0.25">
      <c r="A1913" s="319">
        <f t="shared" si="555"/>
        <v>1912</v>
      </c>
      <c r="B1913" s="574"/>
      <c r="C1913" s="12" t="s">
        <v>225</v>
      </c>
      <c r="D1913" s="17">
        <v>43562</v>
      </c>
      <c r="E1913" s="13">
        <v>4000</v>
      </c>
      <c r="F1913" s="14" t="s">
        <v>107</v>
      </c>
      <c r="G1913" s="14" t="s">
        <v>108</v>
      </c>
      <c r="H1913" s="14" t="s">
        <v>109</v>
      </c>
      <c r="I1913" s="15" t="s">
        <v>931</v>
      </c>
      <c r="J1913" s="62" t="s">
        <v>932</v>
      </c>
      <c r="K1913" s="16"/>
      <c r="L1913" s="5" t="str">
        <f t="shared" si="548"/>
        <v>01912</v>
      </c>
      <c r="M1913" s="47" t="str">
        <f t="shared" si="549"/>
        <v>07 de abril de 2019</v>
      </c>
      <c r="N1913" s="323">
        <f t="shared" si="550"/>
        <v>7</v>
      </c>
      <c r="O1913" s="25">
        <f t="shared" si="551"/>
        <v>43556</v>
      </c>
      <c r="P1913" s="5" t="str">
        <f t="shared" si="552"/>
        <v>4.000,00</v>
      </c>
      <c r="Q1913" s="4" t="str">
        <f t="shared" si="554"/>
        <v>Cuatro Mil Bolívares con 00/100</v>
      </c>
    </row>
    <row r="1914" spans="1:17" x14ac:dyDescent="0.25">
      <c r="A1914" s="1">
        <f t="shared" si="555"/>
        <v>1913</v>
      </c>
      <c r="C1914" s="8" t="s">
        <v>17</v>
      </c>
      <c r="D1914" s="2">
        <v>43562</v>
      </c>
      <c r="E1914" s="3">
        <v>6000</v>
      </c>
      <c r="F1914" t="s">
        <v>412</v>
      </c>
      <c r="G1914" t="s">
        <v>413</v>
      </c>
      <c r="H1914" t="s">
        <v>414</v>
      </c>
      <c r="I1914" s="6" t="s">
        <v>933</v>
      </c>
      <c r="J1914" s="61" t="s">
        <v>22</v>
      </c>
      <c r="L1914" s="5" t="str">
        <f t="shared" si="548"/>
        <v>01913</v>
      </c>
      <c r="M1914" s="47" t="str">
        <f t="shared" si="549"/>
        <v>07 de abril de 2019</v>
      </c>
      <c r="N1914" s="323">
        <f t="shared" si="550"/>
        <v>7</v>
      </c>
      <c r="O1914" s="25">
        <f t="shared" si="551"/>
        <v>43556</v>
      </c>
      <c r="P1914" s="5" t="str">
        <f t="shared" si="552"/>
        <v>6.000,00</v>
      </c>
      <c r="Q1914" s="4" t="str">
        <f t="shared" si="554"/>
        <v>Seis Mil Bolívares con 00/100</v>
      </c>
    </row>
    <row r="1915" spans="1:17" x14ac:dyDescent="0.25">
      <c r="A1915" s="1">
        <f t="shared" si="555"/>
        <v>1914</v>
      </c>
      <c r="C1915" s="8" t="s">
        <v>17</v>
      </c>
      <c r="D1915" s="2">
        <v>43563</v>
      </c>
      <c r="E1915" s="3">
        <v>6000</v>
      </c>
      <c r="F1915" t="s">
        <v>80</v>
      </c>
      <c r="G1915" t="s">
        <v>81</v>
      </c>
      <c r="H1915" t="s">
        <v>82</v>
      </c>
      <c r="I1915" s="6" t="s">
        <v>917</v>
      </c>
      <c r="J1915" s="61" t="s">
        <v>22</v>
      </c>
      <c r="L1915" s="5" t="str">
        <f t="shared" si="548"/>
        <v>01914</v>
      </c>
      <c r="M1915" s="47" t="str">
        <f t="shared" si="549"/>
        <v>08 de abril de 2019</v>
      </c>
      <c r="N1915" s="323">
        <f t="shared" si="550"/>
        <v>8</v>
      </c>
      <c r="O1915" s="25">
        <f t="shared" si="551"/>
        <v>43556</v>
      </c>
      <c r="P1915" s="5" t="str">
        <f t="shared" si="552"/>
        <v>6.000,00</v>
      </c>
      <c r="Q1915" s="4" t="str">
        <f t="shared" si="554"/>
        <v>Seis Mil Bolívares con 00/100</v>
      </c>
    </row>
    <row r="1916" spans="1:17" x14ac:dyDescent="0.25">
      <c r="A1916" s="1">
        <f t="shared" si="555"/>
        <v>1915</v>
      </c>
      <c r="C1916" s="85" t="s">
        <v>17</v>
      </c>
      <c r="D1916" s="2">
        <v>43563</v>
      </c>
      <c r="E1916" s="3">
        <v>4350</v>
      </c>
      <c r="F1916" s="23" t="s">
        <v>422</v>
      </c>
      <c r="G1916" s="18" t="s">
        <v>58</v>
      </c>
      <c r="H1916" t="s">
        <v>423</v>
      </c>
      <c r="I1916" s="6" t="s">
        <v>934</v>
      </c>
      <c r="J1916" s="61" t="s">
        <v>22</v>
      </c>
      <c r="L1916" s="5" t="str">
        <f t="shared" si="548"/>
        <v>01915</v>
      </c>
      <c r="M1916" s="47" t="str">
        <f t="shared" si="549"/>
        <v>08 de abril de 2019</v>
      </c>
      <c r="N1916" s="323">
        <f t="shared" si="550"/>
        <v>8</v>
      </c>
      <c r="O1916" s="25">
        <f t="shared" si="551"/>
        <v>43556</v>
      </c>
      <c r="P1916" s="5" t="str">
        <f t="shared" si="552"/>
        <v>4.350,00</v>
      </c>
      <c r="Q1916" s="4" t="str">
        <f t="shared" si="554"/>
        <v>Cuatro Mil Trescientos Cincuenta Bolívares con 00/100</v>
      </c>
    </row>
    <row r="1917" spans="1:17" x14ac:dyDescent="0.25">
      <c r="A1917" s="1">
        <f t="shared" si="555"/>
        <v>1916</v>
      </c>
      <c r="C1917" s="8" t="s">
        <v>17</v>
      </c>
      <c r="D1917" s="2">
        <v>43563</v>
      </c>
      <c r="E1917" s="3">
        <v>3000</v>
      </c>
      <c r="F1917" t="s">
        <v>713</v>
      </c>
      <c r="G1917" t="s">
        <v>714</v>
      </c>
      <c r="H1917" t="s">
        <v>154</v>
      </c>
      <c r="I1917" s="6" t="s">
        <v>917</v>
      </c>
      <c r="J1917" s="61" t="s">
        <v>22</v>
      </c>
      <c r="L1917" s="5" t="str">
        <f t="shared" si="548"/>
        <v>01916</v>
      </c>
      <c r="M1917" s="47" t="str">
        <f t="shared" si="549"/>
        <v>08 de abril de 2019</v>
      </c>
      <c r="N1917" s="323">
        <f t="shared" si="550"/>
        <v>8</v>
      </c>
      <c r="O1917" s="25">
        <f t="shared" si="551"/>
        <v>43556</v>
      </c>
      <c r="P1917" s="5" t="str">
        <f t="shared" si="552"/>
        <v>3.000,00</v>
      </c>
      <c r="Q1917" s="4" t="str">
        <f t="shared" si="554"/>
        <v>Tres Mil Bolívares con 00/100</v>
      </c>
    </row>
    <row r="1918" spans="1:17" x14ac:dyDescent="0.25">
      <c r="A1918" s="1">
        <f t="shared" si="555"/>
        <v>1917</v>
      </c>
      <c r="C1918" s="85" t="s">
        <v>17</v>
      </c>
      <c r="D1918" s="2">
        <v>43563</v>
      </c>
      <c r="E1918" s="3">
        <v>3000</v>
      </c>
      <c r="F1918" t="s">
        <v>259</v>
      </c>
      <c r="G1918" s="18" t="s">
        <v>58</v>
      </c>
      <c r="H1918" t="s">
        <v>261</v>
      </c>
      <c r="I1918" s="6" t="s">
        <v>909</v>
      </c>
      <c r="J1918" s="61" t="s">
        <v>22</v>
      </c>
      <c r="L1918" s="5" t="str">
        <f t="shared" si="548"/>
        <v>01917</v>
      </c>
      <c r="M1918" s="47" t="str">
        <f t="shared" si="549"/>
        <v>08 de abril de 2019</v>
      </c>
      <c r="N1918" s="323">
        <f t="shared" si="550"/>
        <v>8</v>
      </c>
      <c r="O1918" s="25">
        <f t="shared" si="551"/>
        <v>43556</v>
      </c>
      <c r="P1918" s="5" t="str">
        <f t="shared" si="552"/>
        <v>3.000,00</v>
      </c>
      <c r="Q1918" s="4" t="str">
        <f t="shared" si="554"/>
        <v>Tres Mil Bolívares con 00/100</v>
      </c>
    </row>
    <row r="1919" spans="1:17" x14ac:dyDescent="0.25">
      <c r="A1919" s="1">
        <f t="shared" si="555"/>
        <v>1918</v>
      </c>
      <c r="C1919" s="8" t="s">
        <v>17</v>
      </c>
      <c r="D1919" s="2">
        <v>43563</v>
      </c>
      <c r="E1919" s="3">
        <v>3000</v>
      </c>
      <c r="F1919" t="s">
        <v>24</v>
      </c>
      <c r="G1919" t="s">
        <v>25</v>
      </c>
      <c r="H1919" t="s">
        <v>26</v>
      </c>
      <c r="I1919" s="6" t="s">
        <v>917</v>
      </c>
      <c r="J1919" s="61" t="s">
        <v>22</v>
      </c>
      <c r="L1919" s="5" t="str">
        <f t="shared" si="548"/>
        <v>01918</v>
      </c>
      <c r="M1919" s="47" t="str">
        <f t="shared" si="549"/>
        <v>08 de abril de 2019</v>
      </c>
      <c r="N1919" s="323">
        <f t="shared" si="550"/>
        <v>8</v>
      </c>
      <c r="O1919" s="25">
        <f t="shared" si="551"/>
        <v>43556</v>
      </c>
      <c r="P1919" s="5" t="str">
        <f t="shared" si="552"/>
        <v>3.000,00</v>
      </c>
      <c r="Q1919" s="4" t="str">
        <f t="shared" si="554"/>
        <v>Tres Mil Bolívares con 00/100</v>
      </c>
    </row>
    <row r="1920" spans="1:17" x14ac:dyDescent="0.25">
      <c r="A1920" s="1">
        <f t="shared" si="555"/>
        <v>1919</v>
      </c>
      <c r="C1920" s="8" t="s">
        <v>17</v>
      </c>
      <c r="D1920" s="2">
        <v>43563</v>
      </c>
      <c r="E1920" s="3">
        <v>3000</v>
      </c>
      <c r="F1920" t="s">
        <v>48</v>
      </c>
      <c r="G1920" t="s">
        <v>49</v>
      </c>
      <c r="H1920" t="s">
        <v>50</v>
      </c>
      <c r="I1920" s="6" t="s">
        <v>917</v>
      </c>
      <c r="J1920" s="61" t="s">
        <v>22</v>
      </c>
      <c r="L1920" s="5" t="str">
        <f t="shared" si="548"/>
        <v>01919</v>
      </c>
      <c r="M1920" s="47" t="str">
        <f t="shared" si="549"/>
        <v>08 de abril de 2019</v>
      </c>
      <c r="N1920" s="323">
        <f t="shared" si="550"/>
        <v>8</v>
      </c>
      <c r="O1920" s="25">
        <f t="shared" si="551"/>
        <v>43556</v>
      </c>
      <c r="P1920" s="5" t="str">
        <f t="shared" si="552"/>
        <v>3.000,00</v>
      </c>
      <c r="Q1920" s="4" t="str">
        <f t="shared" si="554"/>
        <v>Tres Mil Bolívares con 00/100</v>
      </c>
    </row>
    <row r="1921" spans="1:17" x14ac:dyDescent="0.25">
      <c r="A1921" s="1">
        <f>A1920+1</f>
        <v>1920</v>
      </c>
      <c r="C1921" s="8" t="s">
        <v>17</v>
      </c>
      <c r="D1921" s="2">
        <v>43563</v>
      </c>
      <c r="E1921" s="3">
        <v>3000</v>
      </c>
      <c r="F1921" t="s">
        <v>70</v>
      </c>
      <c r="G1921" t="s">
        <v>71</v>
      </c>
      <c r="H1921" t="s">
        <v>72</v>
      </c>
      <c r="I1921" s="6" t="s">
        <v>917</v>
      </c>
      <c r="J1921" s="61" t="s">
        <v>22</v>
      </c>
      <c r="L1921" s="5" t="str">
        <f t="shared" si="548"/>
        <v>01920</v>
      </c>
      <c r="M1921" s="47" t="str">
        <f t="shared" si="549"/>
        <v>08 de abril de 2019</v>
      </c>
      <c r="N1921" s="323">
        <f t="shared" si="550"/>
        <v>8</v>
      </c>
      <c r="O1921" s="25">
        <f t="shared" si="551"/>
        <v>43556</v>
      </c>
      <c r="P1921" s="5" t="str">
        <f t="shared" si="552"/>
        <v>3.000,00</v>
      </c>
      <c r="Q1921" s="4" t="str">
        <f t="shared" si="554"/>
        <v>Tres Mil Bolívares con 00/100</v>
      </c>
    </row>
    <row r="1922" spans="1:17" x14ac:dyDescent="0.25">
      <c r="A1922" s="1">
        <f t="shared" ref="A1922:A1940" si="556">A1921+1</f>
        <v>1921</v>
      </c>
      <c r="C1922" s="8" t="s">
        <v>17</v>
      </c>
      <c r="D1922" s="2">
        <v>43563</v>
      </c>
      <c r="E1922" s="3">
        <v>6000</v>
      </c>
      <c r="F1922" t="s">
        <v>935</v>
      </c>
      <c r="G1922" t="s">
        <v>936</v>
      </c>
      <c r="H1922" t="s">
        <v>150</v>
      </c>
      <c r="I1922" s="6" t="s">
        <v>918</v>
      </c>
      <c r="J1922" s="61" t="s">
        <v>22</v>
      </c>
      <c r="L1922" s="5" t="str">
        <f t="shared" si="548"/>
        <v>01921</v>
      </c>
      <c r="M1922" s="47" t="str">
        <f t="shared" si="549"/>
        <v>08 de abril de 2019</v>
      </c>
      <c r="N1922" s="323">
        <f t="shared" si="550"/>
        <v>8</v>
      </c>
      <c r="O1922" s="25">
        <f t="shared" si="551"/>
        <v>43556</v>
      </c>
      <c r="P1922" s="5" t="str">
        <f t="shared" si="552"/>
        <v>6.000,00</v>
      </c>
      <c r="Q1922" s="4" t="str">
        <f t="shared" si="554"/>
        <v>Seis Mil Bolívares con 00/100</v>
      </c>
    </row>
    <row r="1923" spans="1:17" x14ac:dyDescent="0.25">
      <c r="A1923" s="1">
        <f t="shared" si="556"/>
        <v>1922</v>
      </c>
      <c r="C1923" s="8" t="s">
        <v>17</v>
      </c>
      <c r="D1923" s="2">
        <v>43563</v>
      </c>
      <c r="E1923" s="3">
        <v>3000</v>
      </c>
      <c r="F1923" t="s">
        <v>537</v>
      </c>
      <c r="G1923" t="s">
        <v>538</v>
      </c>
      <c r="H1923" t="s">
        <v>539</v>
      </c>
      <c r="I1923" s="6" t="s">
        <v>909</v>
      </c>
      <c r="J1923" s="61" t="s">
        <v>22</v>
      </c>
      <c r="L1923" s="5" t="str">
        <f t="shared" si="548"/>
        <v>01922</v>
      </c>
      <c r="M1923" s="47" t="str">
        <f t="shared" si="549"/>
        <v>08 de abril de 2019</v>
      </c>
      <c r="N1923" s="323">
        <f t="shared" si="550"/>
        <v>8</v>
      </c>
      <c r="O1923" s="25">
        <f t="shared" si="551"/>
        <v>43556</v>
      </c>
      <c r="P1923" s="5" t="str">
        <f t="shared" si="552"/>
        <v>3.000,00</v>
      </c>
      <c r="Q1923" s="4" t="str">
        <f t="shared" si="554"/>
        <v>Tres Mil Bolívares con 00/100</v>
      </c>
    </row>
    <row r="1924" spans="1:17" x14ac:dyDescent="0.25">
      <c r="A1924" s="1">
        <f t="shared" si="556"/>
        <v>1923</v>
      </c>
      <c r="C1924" s="8" t="s">
        <v>17</v>
      </c>
      <c r="D1924" s="2">
        <v>43563</v>
      </c>
      <c r="E1924" s="3">
        <v>3000</v>
      </c>
      <c r="F1924" t="s">
        <v>287</v>
      </c>
      <c r="G1924" t="s">
        <v>288</v>
      </c>
      <c r="H1924" t="s">
        <v>289</v>
      </c>
      <c r="I1924" s="6" t="s">
        <v>909</v>
      </c>
      <c r="J1924" s="61" t="s">
        <v>22</v>
      </c>
      <c r="L1924" s="5" t="str">
        <f t="shared" si="548"/>
        <v>01923</v>
      </c>
      <c r="M1924" s="47" t="str">
        <f t="shared" si="549"/>
        <v>08 de abril de 2019</v>
      </c>
      <c r="N1924" s="323">
        <f t="shared" si="550"/>
        <v>8</v>
      </c>
      <c r="O1924" s="25">
        <f t="shared" si="551"/>
        <v>43556</v>
      </c>
      <c r="P1924" s="5" t="str">
        <f t="shared" si="552"/>
        <v>3.000,00</v>
      </c>
      <c r="Q1924" s="4" t="str">
        <f t="shared" si="554"/>
        <v>Tres Mil Bolívares con 00/100</v>
      </c>
    </row>
    <row r="1925" spans="1:17" x14ac:dyDescent="0.25">
      <c r="A1925" s="1">
        <f t="shared" si="556"/>
        <v>1924</v>
      </c>
      <c r="C1925" s="8" t="s">
        <v>17</v>
      </c>
      <c r="D1925" s="2">
        <v>43563</v>
      </c>
      <c r="E1925" s="3">
        <v>2200</v>
      </c>
      <c r="F1925" t="s">
        <v>28</v>
      </c>
      <c r="G1925" t="s">
        <v>716</v>
      </c>
      <c r="H1925" t="s">
        <v>30</v>
      </c>
      <c r="I1925" s="6" t="s">
        <v>937</v>
      </c>
      <c r="J1925" s="61" t="s">
        <v>22</v>
      </c>
      <c r="L1925" s="5" t="str">
        <f t="shared" ref="L1925:L1937" si="557">IF(ISBLANK(A1925),"",TEXT(A1925,"00000"))</f>
        <v>01924</v>
      </c>
      <c r="M1925" s="47" t="str">
        <f t="shared" ref="M1925:M1937" si="558">IF(ISBLANK(D1925),"",TEXT(D1925,"dd")&amp;" de "&amp;TEXT(D1925,"mmmm")&amp;" de "&amp;TEXT(YEAR(D1925),"0"))</f>
        <v>08 de abril de 2019</v>
      </c>
      <c r="N1925" s="323">
        <f t="shared" ref="N1925:N1937" si="559">DAY(D1925)</f>
        <v>8</v>
      </c>
      <c r="O1925" s="25">
        <f t="shared" ref="O1925:O1937" si="560">DATE(YEAR(D1925),MONTH(D1925),1)</f>
        <v>43556</v>
      </c>
      <c r="P1925" s="5" t="str">
        <f t="shared" ref="P1925:P1937" si="561">TEXT(E1925,"#.##0,00")</f>
        <v>2.200,00</v>
      </c>
      <c r="Q1925" s="4" t="str">
        <f t="shared" ref="Q1925:Q1937" si="562">CONVERTIRNUM(E1925)</f>
        <v>Dos Mil Doscientos Bolívares con 00/100</v>
      </c>
    </row>
    <row r="1926" spans="1:17" x14ac:dyDescent="0.25">
      <c r="A1926" s="1">
        <f t="shared" si="556"/>
        <v>1925</v>
      </c>
      <c r="C1926" s="8" t="s">
        <v>17</v>
      </c>
      <c r="D1926" s="2">
        <v>43563</v>
      </c>
      <c r="E1926" s="3">
        <v>3000</v>
      </c>
      <c r="F1926" t="s">
        <v>454</v>
      </c>
      <c r="G1926" t="s">
        <v>761</v>
      </c>
      <c r="H1926" t="s">
        <v>455</v>
      </c>
      <c r="I1926" s="6" t="s">
        <v>937</v>
      </c>
      <c r="J1926" s="61" t="s">
        <v>22</v>
      </c>
      <c r="L1926" s="5" t="str">
        <f t="shared" si="557"/>
        <v>01925</v>
      </c>
      <c r="M1926" s="47" t="str">
        <f t="shared" si="558"/>
        <v>08 de abril de 2019</v>
      </c>
      <c r="N1926" s="323">
        <f t="shared" si="559"/>
        <v>8</v>
      </c>
      <c r="O1926" s="25">
        <f t="shared" si="560"/>
        <v>43556</v>
      </c>
      <c r="P1926" s="5" t="str">
        <f t="shared" si="561"/>
        <v>3.000,00</v>
      </c>
      <c r="Q1926" s="4" t="str">
        <f t="shared" si="562"/>
        <v>Tres Mil Bolívares con 00/100</v>
      </c>
    </row>
    <row r="1927" spans="1:17" x14ac:dyDescent="0.25">
      <c r="A1927" s="1">
        <f t="shared" si="556"/>
        <v>1926</v>
      </c>
      <c r="C1927" s="8" t="s">
        <v>17</v>
      </c>
      <c r="D1927" s="2">
        <v>43563</v>
      </c>
      <c r="E1927" s="3">
        <v>3000</v>
      </c>
      <c r="F1927" t="s">
        <v>185</v>
      </c>
      <c r="G1927" t="s">
        <v>186</v>
      </c>
      <c r="H1927" t="s">
        <v>187</v>
      </c>
      <c r="I1927" s="6" t="s">
        <v>909</v>
      </c>
      <c r="J1927" s="61" t="s">
        <v>22</v>
      </c>
      <c r="L1927" s="5" t="str">
        <f t="shared" si="557"/>
        <v>01926</v>
      </c>
      <c r="M1927" s="47" t="str">
        <f t="shared" si="558"/>
        <v>08 de abril de 2019</v>
      </c>
      <c r="N1927" s="323">
        <f t="shared" si="559"/>
        <v>8</v>
      </c>
      <c r="O1927" s="25">
        <f t="shared" si="560"/>
        <v>43556</v>
      </c>
      <c r="P1927" s="5" t="str">
        <f t="shared" si="561"/>
        <v>3.000,00</v>
      </c>
      <c r="Q1927" s="4" t="str">
        <f t="shared" si="562"/>
        <v>Tres Mil Bolívares con 00/100</v>
      </c>
    </row>
    <row r="1928" spans="1:17" x14ac:dyDescent="0.25">
      <c r="A1928" s="1">
        <f t="shared" si="556"/>
        <v>1927</v>
      </c>
      <c r="C1928" s="8" t="s">
        <v>17</v>
      </c>
      <c r="D1928" s="2">
        <v>43564</v>
      </c>
      <c r="E1928" s="3">
        <v>3000</v>
      </c>
      <c r="F1928" t="s">
        <v>443</v>
      </c>
      <c r="G1928" t="s">
        <v>444</v>
      </c>
      <c r="H1928" t="s">
        <v>75</v>
      </c>
      <c r="I1928" s="6" t="s">
        <v>934</v>
      </c>
      <c r="J1928" s="61" t="s">
        <v>22</v>
      </c>
      <c r="L1928" s="5" t="str">
        <f t="shared" si="557"/>
        <v>01927</v>
      </c>
      <c r="M1928" s="47" t="str">
        <f t="shared" si="558"/>
        <v>09 de abril de 2019</v>
      </c>
      <c r="N1928" s="323">
        <f t="shared" si="559"/>
        <v>9</v>
      </c>
      <c r="O1928" s="25">
        <f t="shared" si="560"/>
        <v>43556</v>
      </c>
      <c r="P1928" s="5" t="str">
        <f t="shared" si="561"/>
        <v>3.000,00</v>
      </c>
      <c r="Q1928" s="4" t="str">
        <f t="shared" si="562"/>
        <v>Tres Mil Bolívares con 00/100</v>
      </c>
    </row>
    <row r="1929" spans="1:17" x14ac:dyDescent="0.25">
      <c r="A1929" s="1">
        <f t="shared" si="556"/>
        <v>1928</v>
      </c>
      <c r="C1929" s="8" t="s">
        <v>17</v>
      </c>
      <c r="D1929" s="2">
        <v>43564</v>
      </c>
      <c r="E1929" s="3">
        <v>3000</v>
      </c>
      <c r="F1929" t="s">
        <v>342</v>
      </c>
      <c r="G1929" t="s">
        <v>343</v>
      </c>
      <c r="H1929" t="s">
        <v>344</v>
      </c>
      <c r="I1929" s="6" t="s">
        <v>937</v>
      </c>
      <c r="J1929" s="61" t="s">
        <v>22</v>
      </c>
      <c r="L1929" s="5" t="str">
        <f t="shared" si="557"/>
        <v>01928</v>
      </c>
      <c r="M1929" s="47" t="str">
        <f t="shared" si="558"/>
        <v>09 de abril de 2019</v>
      </c>
      <c r="N1929" s="323">
        <f t="shared" si="559"/>
        <v>9</v>
      </c>
      <c r="O1929" s="25">
        <f t="shared" si="560"/>
        <v>43556</v>
      </c>
      <c r="P1929" s="5" t="str">
        <f t="shared" si="561"/>
        <v>3.000,00</v>
      </c>
      <c r="Q1929" s="4" t="str">
        <f t="shared" si="562"/>
        <v>Tres Mil Bolívares con 00/100</v>
      </c>
    </row>
    <row r="1930" spans="1:17" x14ac:dyDescent="0.25">
      <c r="A1930" s="1">
        <f t="shared" si="556"/>
        <v>1929</v>
      </c>
      <c r="C1930" s="8" t="s">
        <v>17</v>
      </c>
      <c r="D1930" s="2">
        <v>43546</v>
      </c>
      <c r="E1930" s="3">
        <v>3000</v>
      </c>
      <c r="F1930" t="s">
        <v>122</v>
      </c>
      <c r="G1930" t="s">
        <v>123</v>
      </c>
      <c r="H1930" t="s">
        <v>124</v>
      </c>
      <c r="I1930" s="6" t="s">
        <v>909</v>
      </c>
      <c r="J1930" s="61" t="s">
        <v>22</v>
      </c>
      <c r="L1930" s="5" t="str">
        <f t="shared" si="557"/>
        <v>01929</v>
      </c>
      <c r="M1930" s="47" t="str">
        <f t="shared" si="558"/>
        <v>22 de marzo de 2019</v>
      </c>
      <c r="N1930" s="323">
        <f t="shared" si="559"/>
        <v>22</v>
      </c>
      <c r="O1930" s="25">
        <f t="shared" si="560"/>
        <v>43525</v>
      </c>
      <c r="P1930" s="5" t="str">
        <f t="shared" si="561"/>
        <v>3.000,00</v>
      </c>
      <c r="Q1930" s="4" t="str">
        <f t="shared" si="562"/>
        <v>Tres Mil Bolívares con 00/100</v>
      </c>
    </row>
    <row r="1931" spans="1:17" x14ac:dyDescent="0.25">
      <c r="A1931" s="1">
        <f t="shared" si="556"/>
        <v>1930</v>
      </c>
      <c r="C1931" s="8" t="s">
        <v>17</v>
      </c>
      <c r="D1931" s="2">
        <v>43565</v>
      </c>
      <c r="E1931" s="3">
        <v>12000</v>
      </c>
      <c r="F1931" t="s">
        <v>594</v>
      </c>
      <c r="G1931" t="s">
        <v>595</v>
      </c>
      <c r="H1931" t="s">
        <v>596</v>
      </c>
      <c r="I1931" s="161" t="s">
        <v>938</v>
      </c>
      <c r="J1931" s="61" t="s">
        <v>22</v>
      </c>
      <c r="L1931" s="5" t="str">
        <f t="shared" si="557"/>
        <v>01930</v>
      </c>
      <c r="M1931" s="47" t="str">
        <f t="shared" si="558"/>
        <v>10 de abril de 2019</v>
      </c>
      <c r="N1931" s="323">
        <f t="shared" si="559"/>
        <v>10</v>
      </c>
      <c r="O1931" s="25">
        <f t="shared" si="560"/>
        <v>43556</v>
      </c>
      <c r="P1931" s="5" t="str">
        <f t="shared" si="561"/>
        <v>12.000,00</v>
      </c>
      <c r="Q1931" s="4" t="str">
        <f t="shared" si="562"/>
        <v>Doce Mil Bolívares con 00/100</v>
      </c>
    </row>
    <row r="1932" spans="1:17" x14ac:dyDescent="0.25">
      <c r="A1932" s="1">
        <f t="shared" si="556"/>
        <v>1931</v>
      </c>
      <c r="C1932" s="8" t="s">
        <v>17</v>
      </c>
      <c r="D1932" s="2">
        <v>43565</v>
      </c>
      <c r="E1932" s="3">
        <v>15000</v>
      </c>
      <c r="F1932" t="s">
        <v>353</v>
      </c>
      <c r="G1932" t="s">
        <v>354</v>
      </c>
      <c r="H1932" t="s">
        <v>355</v>
      </c>
      <c r="I1932" s="6" t="s">
        <v>939</v>
      </c>
      <c r="J1932" s="61" t="s">
        <v>22</v>
      </c>
      <c r="L1932" s="5" t="str">
        <f t="shared" si="557"/>
        <v>01931</v>
      </c>
      <c r="M1932" s="47" t="str">
        <f t="shared" si="558"/>
        <v>10 de abril de 2019</v>
      </c>
      <c r="N1932" s="323">
        <f t="shared" si="559"/>
        <v>10</v>
      </c>
      <c r="O1932" s="25">
        <f t="shared" si="560"/>
        <v>43556</v>
      </c>
      <c r="P1932" s="5" t="str">
        <f t="shared" si="561"/>
        <v>15.000,00</v>
      </c>
      <c r="Q1932" s="4" t="str">
        <f t="shared" si="562"/>
        <v>Quince Mil Bolívares con 00/100</v>
      </c>
    </row>
    <row r="1933" spans="1:17" x14ac:dyDescent="0.25">
      <c r="A1933" s="1">
        <f t="shared" si="556"/>
        <v>1932</v>
      </c>
      <c r="C1933" s="8" t="s">
        <v>17</v>
      </c>
      <c r="D1933" s="2">
        <v>43566</v>
      </c>
      <c r="E1933" s="3">
        <v>12000</v>
      </c>
      <c r="F1933" t="s">
        <v>197</v>
      </c>
      <c r="G1933" t="s">
        <v>198</v>
      </c>
      <c r="H1933" t="s">
        <v>199</v>
      </c>
      <c r="I1933" s="161" t="s">
        <v>940</v>
      </c>
      <c r="J1933" s="61" t="s">
        <v>22</v>
      </c>
      <c r="L1933" s="5" t="str">
        <f t="shared" si="557"/>
        <v>01932</v>
      </c>
      <c r="M1933" s="47" t="str">
        <f t="shared" si="558"/>
        <v>11 de abril de 2019</v>
      </c>
      <c r="N1933" s="323">
        <f t="shared" si="559"/>
        <v>11</v>
      </c>
      <c r="O1933" s="25">
        <f t="shared" si="560"/>
        <v>43556</v>
      </c>
      <c r="P1933" s="5" t="str">
        <f t="shared" si="561"/>
        <v>12.000,00</v>
      </c>
      <c r="Q1933" s="4" t="str">
        <f t="shared" si="562"/>
        <v>Doce Mil Bolívares con 00/100</v>
      </c>
    </row>
    <row r="1934" spans="1:17" x14ac:dyDescent="0.25">
      <c r="A1934" s="1">
        <f t="shared" si="556"/>
        <v>1933</v>
      </c>
      <c r="C1934" s="8" t="s">
        <v>17</v>
      </c>
      <c r="D1934" s="2">
        <v>43454</v>
      </c>
      <c r="E1934" s="3">
        <v>800</v>
      </c>
      <c r="F1934" t="s">
        <v>177</v>
      </c>
      <c r="G1934" t="s">
        <v>941</v>
      </c>
      <c r="H1934" t="s">
        <v>179</v>
      </c>
      <c r="I1934" s="6" t="s">
        <v>942</v>
      </c>
      <c r="J1934" s="61" t="s">
        <v>22</v>
      </c>
      <c r="L1934" s="5" t="str">
        <f t="shared" si="557"/>
        <v>01933</v>
      </c>
      <c r="M1934" s="47" t="str">
        <f t="shared" si="558"/>
        <v>20 de diciembre de 2018</v>
      </c>
      <c r="N1934" s="323">
        <f t="shared" si="559"/>
        <v>20</v>
      </c>
      <c r="O1934" s="25">
        <f t="shared" si="560"/>
        <v>43435</v>
      </c>
      <c r="P1934" s="5" t="str">
        <f t="shared" si="561"/>
        <v>800,00</v>
      </c>
      <c r="Q1934" s="4" t="str">
        <f t="shared" si="562"/>
        <v>Ochocientos Bolívares con 00/100</v>
      </c>
    </row>
    <row r="1935" spans="1:17" x14ac:dyDescent="0.25">
      <c r="A1935" s="1">
        <f t="shared" si="556"/>
        <v>1934</v>
      </c>
      <c r="C1935" s="8" t="s">
        <v>17</v>
      </c>
      <c r="D1935" s="2">
        <v>43500</v>
      </c>
      <c r="E1935" s="3">
        <v>3000</v>
      </c>
      <c r="F1935" t="s">
        <v>177</v>
      </c>
      <c r="G1935" t="s">
        <v>941</v>
      </c>
      <c r="H1935" t="s">
        <v>179</v>
      </c>
      <c r="I1935" s="6" t="s">
        <v>943</v>
      </c>
      <c r="J1935" s="61" t="s">
        <v>22</v>
      </c>
      <c r="L1935" s="5" t="str">
        <f t="shared" si="557"/>
        <v>01934</v>
      </c>
      <c r="M1935" s="47" t="str">
        <f t="shared" si="558"/>
        <v>04 de febrero de 2019</v>
      </c>
      <c r="N1935" s="323">
        <f t="shared" si="559"/>
        <v>4</v>
      </c>
      <c r="O1935" s="25">
        <f t="shared" si="560"/>
        <v>43497</v>
      </c>
      <c r="P1935" s="5" t="str">
        <f t="shared" si="561"/>
        <v>3.000,00</v>
      </c>
      <c r="Q1935" s="4" t="str">
        <f t="shared" si="562"/>
        <v>Tres Mil Bolívares con 00/100</v>
      </c>
    </row>
    <row r="1936" spans="1:17" x14ac:dyDescent="0.25">
      <c r="A1936" s="1">
        <f t="shared" si="556"/>
        <v>1935</v>
      </c>
      <c r="C1936" s="8" t="s">
        <v>17</v>
      </c>
      <c r="D1936" s="2">
        <v>43527</v>
      </c>
      <c r="E1936" s="3">
        <v>3000</v>
      </c>
      <c r="F1936" t="s">
        <v>177</v>
      </c>
      <c r="G1936" t="s">
        <v>941</v>
      </c>
      <c r="H1936" t="s">
        <v>179</v>
      </c>
      <c r="I1936" s="6" t="s">
        <v>944</v>
      </c>
      <c r="J1936" s="61" t="s">
        <v>22</v>
      </c>
      <c r="L1936" s="5" t="str">
        <f t="shared" si="557"/>
        <v>01935</v>
      </c>
      <c r="M1936" s="47" t="str">
        <f t="shared" si="558"/>
        <v>03 de marzo de 2019</v>
      </c>
      <c r="N1936" s="323">
        <f t="shared" si="559"/>
        <v>3</v>
      </c>
      <c r="O1936" s="25">
        <f t="shared" si="560"/>
        <v>43525</v>
      </c>
      <c r="P1936" s="5" t="str">
        <f t="shared" si="561"/>
        <v>3.000,00</v>
      </c>
      <c r="Q1936" s="4" t="str">
        <f t="shared" si="562"/>
        <v>Tres Mil Bolívares con 00/100</v>
      </c>
    </row>
    <row r="1937" spans="1:17" x14ac:dyDescent="0.25">
      <c r="A1937" s="1">
        <f t="shared" si="556"/>
        <v>1936</v>
      </c>
      <c r="C1937" s="8" t="s">
        <v>17</v>
      </c>
      <c r="D1937" s="2">
        <v>43556</v>
      </c>
      <c r="E1937" s="3">
        <v>3000</v>
      </c>
      <c r="F1937" t="s">
        <v>177</v>
      </c>
      <c r="G1937" t="s">
        <v>941</v>
      </c>
      <c r="H1937" t="s">
        <v>179</v>
      </c>
      <c r="I1937" s="6" t="s">
        <v>945</v>
      </c>
      <c r="J1937" s="61" t="s">
        <v>22</v>
      </c>
      <c r="L1937" s="5" t="str">
        <f t="shared" si="557"/>
        <v>01936</v>
      </c>
      <c r="M1937" s="47" t="str">
        <f t="shared" si="558"/>
        <v>01 de abril de 2019</v>
      </c>
      <c r="N1937" s="323">
        <f t="shared" si="559"/>
        <v>1</v>
      </c>
      <c r="O1937" s="25">
        <f t="shared" si="560"/>
        <v>43556</v>
      </c>
      <c r="P1937" s="5" t="str">
        <f t="shared" si="561"/>
        <v>3.000,00</v>
      </c>
      <c r="Q1937" s="4" t="str">
        <f t="shared" si="562"/>
        <v>Tres Mil Bolívares con 00/100</v>
      </c>
    </row>
    <row r="1938" spans="1:17" x14ac:dyDescent="0.25">
      <c r="A1938" s="1">
        <f t="shared" si="556"/>
        <v>1937</v>
      </c>
      <c r="C1938" s="8" t="s">
        <v>17</v>
      </c>
      <c r="D1938" s="2">
        <v>43565</v>
      </c>
      <c r="E1938" s="3">
        <v>3000</v>
      </c>
      <c r="F1938" t="s">
        <v>177</v>
      </c>
      <c r="G1938" t="s">
        <v>941</v>
      </c>
      <c r="H1938" t="s">
        <v>179</v>
      </c>
      <c r="I1938" s="6" t="s">
        <v>946</v>
      </c>
      <c r="J1938" s="61" t="s">
        <v>22</v>
      </c>
      <c r="L1938" s="5" t="str">
        <f t="shared" ref="L1938:L1939" si="563">IF(ISBLANK(A1938),"",TEXT(A1938,"00000"))</f>
        <v>01937</v>
      </c>
      <c r="M1938" s="47" t="str">
        <f t="shared" ref="M1938:M1939" si="564">IF(ISBLANK(D1938),"",TEXT(D1938,"dd")&amp;" de "&amp;TEXT(D1938,"mmmm")&amp;" de "&amp;TEXT(YEAR(D1938),"0"))</f>
        <v>10 de abril de 2019</v>
      </c>
      <c r="N1938" s="323">
        <f t="shared" ref="N1938:N1939" si="565">DAY(D1938)</f>
        <v>10</v>
      </c>
      <c r="O1938" s="25">
        <f t="shared" ref="O1938:O1939" si="566">DATE(YEAR(D1938),MONTH(D1938),1)</f>
        <v>43556</v>
      </c>
      <c r="P1938" s="5" t="str">
        <f t="shared" ref="P1938:P1939" si="567">TEXT(E1938,"#.##0,00")</f>
        <v>3.000,00</v>
      </c>
      <c r="Q1938" s="4" t="str">
        <f t="shared" ref="Q1938:Q1939" si="568">CONVERTIRNUM(E1938)</f>
        <v>Tres Mil Bolívares con 00/100</v>
      </c>
    </row>
    <row r="1939" spans="1:17" x14ac:dyDescent="0.25">
      <c r="A1939" s="1">
        <f t="shared" si="556"/>
        <v>1938</v>
      </c>
      <c r="C1939" s="8" t="s">
        <v>17</v>
      </c>
      <c r="D1939" s="2">
        <v>43566</v>
      </c>
      <c r="E1939" s="3">
        <v>6000</v>
      </c>
      <c r="F1939" t="s">
        <v>417</v>
      </c>
      <c r="G1939" t="s">
        <v>418</v>
      </c>
      <c r="H1939" t="s">
        <v>419</v>
      </c>
      <c r="I1939" s="6" t="s">
        <v>918</v>
      </c>
      <c r="J1939" s="61" t="s">
        <v>22</v>
      </c>
      <c r="L1939" s="5" t="str">
        <f t="shared" si="563"/>
        <v>01938</v>
      </c>
      <c r="M1939" s="47" t="str">
        <f t="shared" si="564"/>
        <v>11 de abril de 2019</v>
      </c>
      <c r="N1939" s="323">
        <f t="shared" si="565"/>
        <v>11</v>
      </c>
      <c r="O1939" s="25">
        <f t="shared" si="566"/>
        <v>43556</v>
      </c>
      <c r="P1939" s="5" t="str">
        <f t="shared" si="567"/>
        <v>6.000,00</v>
      </c>
      <c r="Q1939" s="4" t="str">
        <f t="shared" si="568"/>
        <v>Seis Mil Bolívares con 00/100</v>
      </c>
    </row>
    <row r="1940" spans="1:17" x14ac:dyDescent="0.25">
      <c r="A1940" s="1">
        <f t="shared" si="556"/>
        <v>1939</v>
      </c>
      <c r="C1940" s="8" t="s">
        <v>17</v>
      </c>
      <c r="D1940" s="2">
        <v>43567</v>
      </c>
      <c r="E1940" s="3">
        <v>10000</v>
      </c>
      <c r="F1940" t="s">
        <v>947</v>
      </c>
      <c r="G1940" t="s">
        <v>948</v>
      </c>
      <c r="H1940" t="s">
        <v>949</v>
      </c>
      <c r="I1940" s="6" t="s">
        <v>927</v>
      </c>
      <c r="J1940" s="61" t="s">
        <v>22</v>
      </c>
      <c r="L1940" s="5" t="str">
        <f t="shared" ref="L1940:L1960" si="569">IF(ISBLANK(A1940),"",TEXT(A1940,"00000"))</f>
        <v>01939</v>
      </c>
      <c r="M1940" s="47" t="str">
        <f t="shared" ref="M1940:M1960" si="570">IF(ISBLANK(D1940),"",TEXT(D1940,"dd")&amp;" de "&amp;TEXT(D1940,"mmmm")&amp;" de "&amp;TEXT(YEAR(D1940),"0"))</f>
        <v>12 de abril de 2019</v>
      </c>
      <c r="N1940" s="323">
        <f t="shared" ref="N1940:N1960" si="571">DAY(D1940)</f>
        <v>12</v>
      </c>
      <c r="O1940" s="25">
        <f t="shared" ref="O1940:O1960" si="572">DATE(YEAR(D1940),MONTH(D1940),1)</f>
        <v>43556</v>
      </c>
      <c r="P1940" s="5" t="str">
        <f t="shared" ref="P1940:P1960" si="573">TEXT(E1940,"#.##0,00")</f>
        <v>10.000,00</v>
      </c>
      <c r="Q1940" s="4" t="str">
        <f t="shared" ref="Q1940:Q1943" si="574">CONVERTIRNUM(E1940)</f>
        <v>Diez Mil Bolívares con 00/100</v>
      </c>
    </row>
    <row r="1941" spans="1:17" x14ac:dyDescent="0.25">
      <c r="A1941" s="1">
        <f>A1940+1</f>
        <v>1940</v>
      </c>
      <c r="C1941" s="8" t="s">
        <v>17</v>
      </c>
      <c r="D1941" s="2">
        <v>43567</v>
      </c>
      <c r="E1941" s="3">
        <v>2000</v>
      </c>
      <c r="F1941" t="s">
        <v>70</v>
      </c>
      <c r="G1941" t="s">
        <v>71</v>
      </c>
      <c r="H1941" t="s">
        <v>72</v>
      </c>
      <c r="I1941" s="6" t="s">
        <v>950</v>
      </c>
      <c r="J1941" s="61" t="s">
        <v>22</v>
      </c>
      <c r="L1941" s="5" t="str">
        <f t="shared" si="569"/>
        <v>01940</v>
      </c>
      <c r="M1941" s="47" t="str">
        <f t="shared" si="570"/>
        <v>12 de abril de 2019</v>
      </c>
      <c r="N1941" s="323">
        <f t="shared" si="571"/>
        <v>12</v>
      </c>
      <c r="O1941" s="25">
        <f t="shared" si="572"/>
        <v>43556</v>
      </c>
      <c r="P1941" s="5" t="str">
        <f t="shared" si="573"/>
        <v>2.000,00</v>
      </c>
      <c r="Q1941" s="4" t="str">
        <f t="shared" si="574"/>
        <v>Dos Mil Bolívares con 00/100</v>
      </c>
    </row>
    <row r="1942" spans="1:17" x14ac:dyDescent="0.25">
      <c r="A1942" s="1">
        <f t="shared" ref="A1942:A1945" si="575">A1941+1</f>
        <v>1941</v>
      </c>
      <c r="C1942" s="8" t="s">
        <v>17</v>
      </c>
      <c r="D1942" s="2">
        <v>43567</v>
      </c>
      <c r="E1942" s="3">
        <v>12000</v>
      </c>
      <c r="F1942" t="s">
        <v>264</v>
      </c>
      <c r="G1942" t="s">
        <v>265</v>
      </c>
      <c r="H1942" t="s">
        <v>266</v>
      </c>
      <c r="I1942" s="6" t="s">
        <v>938</v>
      </c>
      <c r="J1942" s="61" t="s">
        <v>22</v>
      </c>
      <c r="L1942" s="5" t="str">
        <f t="shared" si="569"/>
        <v>01941</v>
      </c>
      <c r="M1942" s="47" t="str">
        <f t="shared" si="570"/>
        <v>12 de abril de 2019</v>
      </c>
      <c r="N1942" s="323">
        <f t="shared" si="571"/>
        <v>12</v>
      </c>
      <c r="O1942" s="25">
        <f t="shared" si="572"/>
        <v>43556</v>
      </c>
      <c r="P1942" s="5" t="str">
        <f t="shared" si="573"/>
        <v>12.000,00</v>
      </c>
      <c r="Q1942" s="4" t="str">
        <f t="shared" si="574"/>
        <v>Doce Mil Bolívares con 00/100</v>
      </c>
    </row>
    <row r="1943" spans="1:17" x14ac:dyDescent="0.25">
      <c r="A1943" s="1">
        <f t="shared" si="575"/>
        <v>1942</v>
      </c>
      <c r="C1943" s="8" t="s">
        <v>17</v>
      </c>
      <c r="D1943" s="2">
        <v>43567</v>
      </c>
      <c r="E1943" s="3">
        <v>2000</v>
      </c>
      <c r="F1943" t="s">
        <v>134</v>
      </c>
      <c r="G1943" t="s">
        <v>135</v>
      </c>
      <c r="H1943" t="s">
        <v>136</v>
      </c>
      <c r="I1943" s="6" t="s">
        <v>950</v>
      </c>
      <c r="J1943" s="61" t="s">
        <v>22</v>
      </c>
      <c r="L1943" s="5" t="str">
        <f t="shared" si="569"/>
        <v>01942</v>
      </c>
      <c r="M1943" s="47" t="str">
        <f t="shared" si="570"/>
        <v>12 de abril de 2019</v>
      </c>
      <c r="N1943" s="323">
        <f t="shared" si="571"/>
        <v>12</v>
      </c>
      <c r="O1943" s="25">
        <f t="shared" si="572"/>
        <v>43556</v>
      </c>
      <c r="P1943" s="5" t="str">
        <f t="shared" si="573"/>
        <v>2.000,00</v>
      </c>
      <c r="Q1943" s="4" t="str">
        <f t="shared" si="574"/>
        <v>Dos Mil Bolívares con 00/100</v>
      </c>
    </row>
    <row r="1944" spans="1:17" x14ac:dyDescent="0.25">
      <c r="A1944" s="1">
        <f t="shared" si="575"/>
        <v>1943</v>
      </c>
      <c r="C1944" s="8" t="s">
        <v>17</v>
      </c>
      <c r="D1944" s="2">
        <v>43567</v>
      </c>
      <c r="E1944" s="3">
        <v>2000</v>
      </c>
      <c r="F1944" t="s">
        <v>407</v>
      </c>
      <c r="G1944" t="s">
        <v>408</v>
      </c>
      <c r="H1944" t="s">
        <v>409</v>
      </c>
      <c r="I1944" s="6" t="s">
        <v>950</v>
      </c>
      <c r="J1944" s="61" t="s">
        <v>22</v>
      </c>
      <c r="L1944" s="5" t="str">
        <f t="shared" si="569"/>
        <v>01943</v>
      </c>
      <c r="M1944" s="47" t="str">
        <f t="shared" si="570"/>
        <v>12 de abril de 2019</v>
      </c>
      <c r="N1944" s="323">
        <f t="shared" si="571"/>
        <v>12</v>
      </c>
      <c r="O1944" s="25">
        <f t="shared" si="572"/>
        <v>43556</v>
      </c>
      <c r="P1944" s="5" t="str">
        <f t="shared" si="573"/>
        <v>2.000,00</v>
      </c>
      <c r="Q1944" s="4" t="str">
        <f>CONVERTIRNUM(E1944)</f>
        <v>Dos Mil Bolívares con 00/100</v>
      </c>
    </row>
    <row r="1945" spans="1:17" x14ac:dyDescent="0.25">
      <c r="A1945" s="1">
        <f t="shared" si="575"/>
        <v>1944</v>
      </c>
      <c r="C1945" s="8" t="s">
        <v>17</v>
      </c>
      <c r="D1945" s="2">
        <v>43567</v>
      </c>
      <c r="E1945" s="3">
        <v>2000</v>
      </c>
      <c r="F1945" t="s">
        <v>417</v>
      </c>
      <c r="G1945" t="s">
        <v>418</v>
      </c>
      <c r="H1945" t="s">
        <v>419</v>
      </c>
      <c r="I1945" s="6" t="s">
        <v>950</v>
      </c>
      <c r="J1945" s="61" t="s">
        <v>22</v>
      </c>
      <c r="L1945" s="5" t="str">
        <f t="shared" si="569"/>
        <v>01944</v>
      </c>
      <c r="M1945" s="47" t="str">
        <f t="shared" si="570"/>
        <v>12 de abril de 2019</v>
      </c>
      <c r="N1945" s="323">
        <f t="shared" si="571"/>
        <v>12</v>
      </c>
      <c r="O1945" s="25">
        <f t="shared" si="572"/>
        <v>43556</v>
      </c>
      <c r="P1945" s="5" t="str">
        <f t="shared" si="573"/>
        <v>2.000,00</v>
      </c>
      <c r="Q1945" s="4" t="str">
        <f t="shared" ref="Q1945:Q1967" si="576">CONVERTIRNUM(E1945)</f>
        <v>Dos Mil Bolívares con 00/100</v>
      </c>
    </row>
    <row r="1946" spans="1:17" x14ac:dyDescent="0.25">
      <c r="A1946" s="1">
        <f>A1945+1</f>
        <v>1945</v>
      </c>
      <c r="C1946" s="8" t="s">
        <v>17</v>
      </c>
      <c r="D1946" s="2">
        <v>43568</v>
      </c>
      <c r="E1946" s="3">
        <v>5000</v>
      </c>
      <c r="F1946" t="s">
        <v>36</v>
      </c>
      <c r="G1946" t="s">
        <v>37</v>
      </c>
      <c r="H1946" t="s">
        <v>38</v>
      </c>
      <c r="I1946" s="6" t="s">
        <v>951</v>
      </c>
      <c r="J1946" s="61" t="s">
        <v>22</v>
      </c>
      <c r="L1946" s="5" t="str">
        <f t="shared" si="569"/>
        <v>01945</v>
      </c>
      <c r="M1946" s="47" t="str">
        <f t="shared" si="570"/>
        <v>13 de abril de 2019</v>
      </c>
      <c r="N1946" s="323">
        <f t="shared" si="571"/>
        <v>13</v>
      </c>
      <c r="O1946" s="25">
        <f t="shared" si="572"/>
        <v>43556</v>
      </c>
      <c r="P1946" s="5" t="str">
        <f t="shared" si="573"/>
        <v>5.000,00</v>
      </c>
      <c r="Q1946" s="4" t="str">
        <f t="shared" si="576"/>
        <v>Cinco Mil Bolívares con 00/100</v>
      </c>
    </row>
    <row r="1947" spans="1:17" x14ac:dyDescent="0.25">
      <c r="A1947" s="1">
        <f t="shared" ref="A1947:A2004" si="577">A1946+1</f>
        <v>1946</v>
      </c>
      <c r="C1947" s="8" t="s">
        <v>17</v>
      </c>
      <c r="D1947" s="2">
        <v>43568</v>
      </c>
      <c r="E1947" s="3">
        <f>3000+10000</f>
        <v>13000</v>
      </c>
      <c r="F1947" t="s">
        <v>230</v>
      </c>
      <c r="G1947" t="s">
        <v>231</v>
      </c>
      <c r="H1947" t="s">
        <v>232</v>
      </c>
      <c r="I1947" s="6" t="s">
        <v>952</v>
      </c>
      <c r="J1947" s="61" t="s">
        <v>22</v>
      </c>
      <c r="L1947" s="5" t="str">
        <f t="shared" si="569"/>
        <v>01946</v>
      </c>
      <c r="M1947" s="47" t="str">
        <f t="shared" si="570"/>
        <v>13 de abril de 2019</v>
      </c>
      <c r="N1947" s="323">
        <f t="shared" si="571"/>
        <v>13</v>
      </c>
      <c r="O1947" s="25">
        <f t="shared" si="572"/>
        <v>43556</v>
      </c>
      <c r="P1947" s="5" t="str">
        <f t="shared" si="573"/>
        <v>13.000,00</v>
      </c>
      <c r="Q1947" s="4" t="str">
        <f t="shared" si="576"/>
        <v>Trece Mil Bolívares con 00/100</v>
      </c>
    </row>
    <row r="1948" spans="1:17" x14ac:dyDescent="0.25">
      <c r="A1948" s="1">
        <f t="shared" si="577"/>
        <v>1947</v>
      </c>
      <c r="C1948" s="8" t="s">
        <v>17</v>
      </c>
      <c r="D1948" s="2">
        <v>43569</v>
      </c>
      <c r="E1948" s="3">
        <v>900</v>
      </c>
      <c r="F1948" t="s">
        <v>433</v>
      </c>
      <c r="G1948" t="s">
        <v>434</v>
      </c>
      <c r="H1948" t="s">
        <v>435</v>
      </c>
      <c r="I1948" s="6" t="s">
        <v>953</v>
      </c>
      <c r="J1948" s="61" t="s">
        <v>22</v>
      </c>
      <c r="L1948" s="5" t="str">
        <f t="shared" si="569"/>
        <v>01947</v>
      </c>
      <c r="M1948" s="47" t="str">
        <f t="shared" si="570"/>
        <v>14 de abril de 2019</v>
      </c>
      <c r="N1948" s="323">
        <f t="shared" si="571"/>
        <v>14</v>
      </c>
      <c r="O1948" s="25">
        <f t="shared" si="572"/>
        <v>43556</v>
      </c>
      <c r="P1948" s="5" t="str">
        <f t="shared" si="573"/>
        <v>900,00</v>
      </c>
      <c r="Q1948" s="4" t="str">
        <f t="shared" si="576"/>
        <v>Novecientos Bolívares con 00/100</v>
      </c>
    </row>
    <row r="1949" spans="1:17" x14ac:dyDescent="0.25">
      <c r="A1949" s="1">
        <f t="shared" si="577"/>
        <v>1948</v>
      </c>
      <c r="C1949" s="8" t="s">
        <v>17</v>
      </c>
      <c r="D1949" s="2">
        <v>43569</v>
      </c>
      <c r="E1949" s="3">
        <v>2000</v>
      </c>
      <c r="F1949" t="s">
        <v>24</v>
      </c>
      <c r="G1949" t="s">
        <v>25</v>
      </c>
      <c r="H1949" t="s">
        <v>26</v>
      </c>
      <c r="I1949" s="6" t="s">
        <v>950</v>
      </c>
      <c r="J1949" s="61" t="s">
        <v>22</v>
      </c>
      <c r="L1949" s="5" t="str">
        <f t="shared" si="569"/>
        <v>01948</v>
      </c>
      <c r="M1949" s="47" t="str">
        <f t="shared" si="570"/>
        <v>14 de abril de 2019</v>
      </c>
      <c r="N1949" s="323">
        <f t="shared" si="571"/>
        <v>14</v>
      </c>
      <c r="O1949" s="25">
        <f t="shared" si="572"/>
        <v>43556</v>
      </c>
      <c r="P1949" s="5" t="str">
        <f t="shared" si="573"/>
        <v>2.000,00</v>
      </c>
      <c r="Q1949" s="4" t="str">
        <f t="shared" si="576"/>
        <v>Dos Mil Bolívares con 00/100</v>
      </c>
    </row>
    <row r="1950" spans="1:17" x14ac:dyDescent="0.25">
      <c r="A1950" s="1">
        <f t="shared" si="577"/>
        <v>1949</v>
      </c>
      <c r="C1950" s="8" t="s">
        <v>17</v>
      </c>
      <c r="D1950" s="2">
        <v>43571</v>
      </c>
      <c r="E1950" s="3">
        <v>5000</v>
      </c>
      <c r="F1950" t="s">
        <v>438</v>
      </c>
      <c r="G1950" t="s">
        <v>439</v>
      </c>
      <c r="H1950" t="s">
        <v>440</v>
      </c>
      <c r="I1950" s="6" t="s">
        <v>954</v>
      </c>
      <c r="J1950" s="61" t="s">
        <v>22</v>
      </c>
      <c r="L1950" s="5" t="str">
        <f t="shared" si="569"/>
        <v>01949</v>
      </c>
      <c r="M1950" s="47" t="str">
        <f t="shared" si="570"/>
        <v>16 de abril de 2019</v>
      </c>
      <c r="N1950" s="323">
        <f t="shared" si="571"/>
        <v>16</v>
      </c>
      <c r="O1950" s="25">
        <f t="shared" si="572"/>
        <v>43556</v>
      </c>
      <c r="P1950" s="5" t="str">
        <f t="shared" si="573"/>
        <v>5.000,00</v>
      </c>
      <c r="Q1950" s="4" t="str">
        <f t="shared" si="576"/>
        <v>Cinco Mil Bolívares con 00/100</v>
      </c>
    </row>
    <row r="1951" spans="1:17" x14ac:dyDescent="0.25">
      <c r="A1951" s="1">
        <f t="shared" si="577"/>
        <v>1950</v>
      </c>
      <c r="C1951" s="8" t="s">
        <v>17</v>
      </c>
      <c r="D1951" s="2">
        <v>43571</v>
      </c>
      <c r="E1951" s="3">
        <v>5000</v>
      </c>
      <c r="F1951" t="s">
        <v>771</v>
      </c>
      <c r="G1951" t="s">
        <v>772</v>
      </c>
      <c r="H1951" t="s">
        <v>773</v>
      </c>
      <c r="I1951" s="6" t="s">
        <v>955</v>
      </c>
      <c r="J1951" s="61" t="s">
        <v>22</v>
      </c>
      <c r="L1951" s="5" t="str">
        <f t="shared" si="569"/>
        <v>01950</v>
      </c>
      <c r="M1951" s="47" t="str">
        <f t="shared" si="570"/>
        <v>16 de abril de 2019</v>
      </c>
      <c r="N1951" s="323">
        <f t="shared" si="571"/>
        <v>16</v>
      </c>
      <c r="O1951" s="25">
        <f t="shared" si="572"/>
        <v>43556</v>
      </c>
      <c r="P1951" s="5" t="str">
        <f t="shared" si="573"/>
        <v>5.000,00</v>
      </c>
      <c r="Q1951" s="4" t="str">
        <f t="shared" si="576"/>
        <v>Cinco Mil Bolívares con 00/100</v>
      </c>
    </row>
    <row r="1952" spans="1:17" ht="16.5" customHeight="1" x14ac:dyDescent="0.25">
      <c r="A1952" s="1">
        <f t="shared" si="577"/>
        <v>1951</v>
      </c>
      <c r="C1952" s="8" t="s">
        <v>17</v>
      </c>
      <c r="D1952" s="2">
        <v>43571</v>
      </c>
      <c r="E1952" s="3">
        <v>5000</v>
      </c>
      <c r="F1952" t="s">
        <v>219</v>
      </c>
      <c r="G1952" t="s">
        <v>220</v>
      </c>
      <c r="H1952" t="s">
        <v>221</v>
      </c>
      <c r="I1952" s="6" t="s">
        <v>956</v>
      </c>
      <c r="J1952" s="61" t="s">
        <v>22</v>
      </c>
      <c r="L1952" s="5" t="str">
        <f t="shared" si="569"/>
        <v>01951</v>
      </c>
      <c r="M1952" s="47" t="str">
        <f t="shared" si="570"/>
        <v>16 de abril de 2019</v>
      </c>
      <c r="N1952" s="323">
        <f t="shared" si="571"/>
        <v>16</v>
      </c>
      <c r="O1952" s="25">
        <f t="shared" si="572"/>
        <v>43556</v>
      </c>
      <c r="P1952" s="5" t="str">
        <f t="shared" si="573"/>
        <v>5.000,00</v>
      </c>
      <c r="Q1952" s="4" t="str">
        <f t="shared" si="576"/>
        <v>Cinco Mil Bolívares con 00/100</v>
      </c>
    </row>
    <row r="1953" spans="1:17" x14ac:dyDescent="0.25">
      <c r="A1953" s="1">
        <f t="shared" si="577"/>
        <v>1952</v>
      </c>
      <c r="C1953" s="8" t="s">
        <v>17</v>
      </c>
      <c r="D1953" s="2">
        <v>43571</v>
      </c>
      <c r="E1953" s="3">
        <v>5000</v>
      </c>
      <c r="F1953" t="s">
        <v>633</v>
      </c>
      <c r="G1953" t="s">
        <v>634</v>
      </c>
      <c r="H1953" t="s">
        <v>635</v>
      </c>
      <c r="I1953" s="6" t="s">
        <v>917</v>
      </c>
      <c r="J1953" s="61" t="s">
        <v>22</v>
      </c>
      <c r="L1953" s="5" t="str">
        <f t="shared" si="569"/>
        <v>01952</v>
      </c>
      <c r="M1953" s="47" t="str">
        <f t="shared" si="570"/>
        <v>16 de abril de 2019</v>
      </c>
      <c r="N1953" s="323">
        <f t="shared" si="571"/>
        <v>16</v>
      </c>
      <c r="O1953" s="25">
        <f t="shared" si="572"/>
        <v>43556</v>
      </c>
      <c r="P1953" s="5" t="str">
        <f t="shared" si="573"/>
        <v>5.000,00</v>
      </c>
      <c r="Q1953" s="4" t="str">
        <f t="shared" si="576"/>
        <v>Cinco Mil Bolívares con 00/100</v>
      </c>
    </row>
    <row r="1954" spans="1:17" x14ac:dyDescent="0.25">
      <c r="A1954" s="1">
        <f t="shared" si="577"/>
        <v>1953</v>
      </c>
      <c r="C1954" s="8" t="s">
        <v>17</v>
      </c>
      <c r="D1954" s="2">
        <v>43571</v>
      </c>
      <c r="E1954" s="3">
        <v>5000</v>
      </c>
      <c r="F1954" t="s">
        <v>18</v>
      </c>
      <c r="G1954" t="s">
        <v>19</v>
      </c>
      <c r="H1954" t="s">
        <v>20</v>
      </c>
      <c r="I1954" s="6" t="s">
        <v>957</v>
      </c>
      <c r="J1954" s="61" t="s">
        <v>22</v>
      </c>
      <c r="L1954" s="5" t="str">
        <f t="shared" si="569"/>
        <v>01953</v>
      </c>
      <c r="M1954" s="47" t="str">
        <f t="shared" si="570"/>
        <v>16 de abril de 2019</v>
      </c>
      <c r="N1954" s="323">
        <f t="shared" si="571"/>
        <v>16</v>
      </c>
      <c r="O1954" s="25">
        <f t="shared" si="572"/>
        <v>43556</v>
      </c>
      <c r="P1954" s="5" t="str">
        <f t="shared" si="573"/>
        <v>5.000,00</v>
      </c>
      <c r="Q1954" s="4" t="str">
        <f t="shared" si="576"/>
        <v>Cinco Mil Bolívares con 00/100</v>
      </c>
    </row>
    <row r="1955" spans="1:17" x14ac:dyDescent="0.25">
      <c r="A1955" s="1">
        <f t="shared" si="577"/>
        <v>1954</v>
      </c>
      <c r="C1955" s="8" t="s">
        <v>17</v>
      </c>
      <c r="D1955" s="2">
        <v>43571</v>
      </c>
      <c r="E1955" s="3">
        <v>9000</v>
      </c>
      <c r="F1955" t="s">
        <v>144</v>
      </c>
      <c r="G1955" t="s">
        <v>661</v>
      </c>
      <c r="H1955" t="s">
        <v>146</v>
      </c>
      <c r="I1955" s="6" t="s">
        <v>927</v>
      </c>
      <c r="J1955" s="61" t="s">
        <v>22</v>
      </c>
      <c r="L1955" s="5" t="str">
        <f t="shared" si="569"/>
        <v>01954</v>
      </c>
      <c r="M1955" s="47" t="str">
        <f t="shared" si="570"/>
        <v>16 de abril de 2019</v>
      </c>
      <c r="N1955" s="323">
        <f t="shared" si="571"/>
        <v>16</v>
      </c>
      <c r="O1955" s="25">
        <f t="shared" si="572"/>
        <v>43556</v>
      </c>
      <c r="P1955" s="5" t="str">
        <f t="shared" si="573"/>
        <v>9.000,00</v>
      </c>
      <c r="Q1955" s="4" t="str">
        <f t="shared" si="576"/>
        <v>Nueve Mil Bolívares con 00/100</v>
      </c>
    </row>
    <row r="1956" spans="1:17" x14ac:dyDescent="0.25">
      <c r="A1956" s="1">
        <f t="shared" si="577"/>
        <v>1955</v>
      </c>
      <c r="C1956" s="8" t="s">
        <v>17</v>
      </c>
      <c r="D1956" s="2">
        <v>43572</v>
      </c>
      <c r="E1956" s="3">
        <v>2000</v>
      </c>
      <c r="F1956" t="s">
        <v>713</v>
      </c>
      <c r="G1956" t="s">
        <v>714</v>
      </c>
      <c r="H1956" t="s">
        <v>154</v>
      </c>
      <c r="I1956" s="6" t="s">
        <v>950</v>
      </c>
      <c r="J1956" s="61" t="s">
        <v>22</v>
      </c>
      <c r="L1956" s="5" t="str">
        <f t="shared" si="569"/>
        <v>01955</v>
      </c>
      <c r="M1956" s="47" t="str">
        <f t="shared" si="570"/>
        <v>17 de abril de 2019</v>
      </c>
      <c r="N1956" s="323">
        <f t="shared" si="571"/>
        <v>17</v>
      </c>
      <c r="O1956" s="25">
        <f t="shared" si="572"/>
        <v>43556</v>
      </c>
      <c r="P1956" s="5" t="str">
        <f t="shared" si="573"/>
        <v>2.000,00</v>
      </c>
      <c r="Q1956" s="4" t="str">
        <f t="shared" si="576"/>
        <v>Dos Mil Bolívares con 00/100</v>
      </c>
    </row>
    <row r="1957" spans="1:17" x14ac:dyDescent="0.25">
      <c r="A1957" s="1">
        <f t="shared" si="577"/>
        <v>1956</v>
      </c>
      <c r="C1957" s="8" t="s">
        <v>17</v>
      </c>
      <c r="D1957" s="2">
        <v>43573</v>
      </c>
      <c r="E1957" s="3">
        <v>3000</v>
      </c>
      <c r="F1957" t="s">
        <v>252</v>
      </c>
      <c r="G1957" s="475" t="s">
        <v>958</v>
      </c>
      <c r="H1957" t="s">
        <v>254</v>
      </c>
      <c r="I1957" t="s">
        <v>959</v>
      </c>
      <c r="J1957" s="61" t="s">
        <v>22</v>
      </c>
      <c r="L1957" s="5" t="str">
        <f t="shared" si="569"/>
        <v>01956</v>
      </c>
      <c r="M1957" s="47" t="str">
        <f t="shared" si="570"/>
        <v>18 de abril de 2019</v>
      </c>
      <c r="N1957" s="323">
        <f t="shared" si="571"/>
        <v>18</v>
      </c>
      <c r="O1957" s="25">
        <f t="shared" si="572"/>
        <v>43556</v>
      </c>
      <c r="P1957" s="5" t="str">
        <f t="shared" si="573"/>
        <v>3.000,00</v>
      </c>
      <c r="Q1957" s="4" t="str">
        <f t="shared" si="576"/>
        <v>Tres Mil Bolívares con 00/100</v>
      </c>
    </row>
    <row r="1958" spans="1:17" x14ac:dyDescent="0.25">
      <c r="A1958" s="1">
        <f t="shared" si="577"/>
        <v>1957</v>
      </c>
      <c r="C1958" s="8" t="s">
        <v>17</v>
      </c>
      <c r="D1958" s="2">
        <v>43573</v>
      </c>
      <c r="E1958" s="3">
        <v>5000</v>
      </c>
      <c r="F1958" t="s">
        <v>558</v>
      </c>
      <c r="G1958" t="s">
        <v>559</v>
      </c>
      <c r="H1958" t="s">
        <v>560</v>
      </c>
      <c r="I1958" s="6" t="s">
        <v>917</v>
      </c>
      <c r="J1958" s="61" t="s">
        <v>22</v>
      </c>
      <c r="L1958" s="5" t="str">
        <f t="shared" si="569"/>
        <v>01957</v>
      </c>
      <c r="M1958" s="47" t="str">
        <f t="shared" si="570"/>
        <v>18 de abril de 2019</v>
      </c>
      <c r="N1958" s="323">
        <f t="shared" si="571"/>
        <v>18</v>
      </c>
      <c r="O1958" s="25">
        <f t="shared" si="572"/>
        <v>43556</v>
      </c>
      <c r="P1958" s="5" t="str">
        <f t="shared" si="573"/>
        <v>5.000,00</v>
      </c>
      <c r="Q1958" s="4" t="str">
        <f t="shared" si="576"/>
        <v>Cinco Mil Bolívares con 00/100</v>
      </c>
    </row>
    <row r="1959" spans="1:17" x14ac:dyDescent="0.25">
      <c r="A1959" s="1">
        <f t="shared" si="577"/>
        <v>1958</v>
      </c>
      <c r="C1959" s="8" t="s">
        <v>17</v>
      </c>
      <c r="D1959" s="2">
        <v>43573</v>
      </c>
      <c r="E1959" s="3">
        <v>2000</v>
      </c>
      <c r="F1959" t="s">
        <v>48</v>
      </c>
      <c r="G1959" t="s">
        <v>49</v>
      </c>
      <c r="H1959" t="s">
        <v>50</v>
      </c>
      <c r="I1959" s="6" t="s">
        <v>950</v>
      </c>
      <c r="J1959" s="61" t="s">
        <v>22</v>
      </c>
      <c r="L1959" s="5" t="str">
        <f t="shared" si="569"/>
        <v>01958</v>
      </c>
      <c r="M1959" s="47" t="str">
        <f t="shared" si="570"/>
        <v>18 de abril de 2019</v>
      </c>
      <c r="N1959" s="323">
        <f t="shared" si="571"/>
        <v>18</v>
      </c>
      <c r="O1959" s="25">
        <f t="shared" si="572"/>
        <v>43556</v>
      </c>
      <c r="P1959" s="5" t="str">
        <f t="shared" si="573"/>
        <v>2.000,00</v>
      </c>
      <c r="Q1959" s="4" t="str">
        <f t="shared" si="576"/>
        <v>Dos Mil Bolívares con 00/100</v>
      </c>
    </row>
    <row r="1960" spans="1:17" x14ac:dyDescent="0.25">
      <c r="A1960" s="1">
        <f t="shared" si="577"/>
        <v>1959</v>
      </c>
      <c r="C1960" s="8" t="s">
        <v>17</v>
      </c>
      <c r="D1960" s="2">
        <v>43573</v>
      </c>
      <c r="E1960" s="3">
        <v>5000</v>
      </c>
      <c r="F1960" t="s">
        <v>181</v>
      </c>
      <c r="G1960" t="s">
        <v>182</v>
      </c>
      <c r="H1960" t="s">
        <v>183</v>
      </c>
      <c r="I1960" s="6" t="s">
        <v>917</v>
      </c>
      <c r="J1960" s="61" t="s">
        <v>22</v>
      </c>
      <c r="L1960" s="5" t="str">
        <f t="shared" si="569"/>
        <v>01959</v>
      </c>
      <c r="M1960" s="47" t="str">
        <f t="shared" si="570"/>
        <v>18 de abril de 2019</v>
      </c>
      <c r="N1960" s="323">
        <f t="shared" si="571"/>
        <v>18</v>
      </c>
      <c r="O1960" s="25">
        <f t="shared" si="572"/>
        <v>43556</v>
      </c>
      <c r="P1960" s="5" t="str">
        <f t="shared" si="573"/>
        <v>5.000,00</v>
      </c>
      <c r="Q1960" s="4" t="str">
        <f t="shared" si="576"/>
        <v>Cinco Mil Bolívares con 00/100</v>
      </c>
    </row>
    <row r="1961" spans="1:17" x14ac:dyDescent="0.25">
      <c r="A1961" s="1">
        <f t="shared" si="577"/>
        <v>1960</v>
      </c>
      <c r="C1961" s="8" t="s">
        <v>17</v>
      </c>
      <c r="D1961" s="2">
        <v>43574</v>
      </c>
      <c r="E1961" s="3">
        <v>5000</v>
      </c>
      <c r="F1961" t="s">
        <v>947</v>
      </c>
      <c r="G1961" t="s">
        <v>948</v>
      </c>
      <c r="H1961" t="s">
        <v>949</v>
      </c>
      <c r="I1961" s="6" t="s">
        <v>917</v>
      </c>
      <c r="J1961" s="61" t="s">
        <v>22</v>
      </c>
      <c r="L1961" s="5" t="str">
        <f t="shared" ref="L1961:L1978" si="578">IF(ISBLANK(A1961),"",TEXT(A1961,"00000"))</f>
        <v>01960</v>
      </c>
      <c r="M1961" s="47" t="str">
        <f t="shared" ref="M1961:M1978" si="579">IF(ISBLANK(D1961),"",TEXT(D1961,"dd")&amp;" de "&amp;TEXT(D1961,"mmmm")&amp;" de "&amp;TEXT(YEAR(D1961),"0"))</f>
        <v>19 de abril de 2019</v>
      </c>
      <c r="N1961" s="323">
        <f t="shared" ref="N1961:N1982" si="580">DAY(D1961)</f>
        <v>19</v>
      </c>
      <c r="O1961" s="25">
        <f t="shared" ref="O1961:O1978" si="581">DATE(YEAR(D1961),MONTH(D1961),1)</f>
        <v>43556</v>
      </c>
      <c r="P1961" s="5" t="str">
        <f t="shared" ref="P1961:P1981" si="582">TEXT(E1961,"#.##0,00")</f>
        <v>5.000,00</v>
      </c>
      <c r="Q1961" s="4" t="str">
        <f t="shared" si="576"/>
        <v>Cinco Mil Bolívares con 00/100</v>
      </c>
    </row>
    <row r="1962" spans="1:17" x14ac:dyDescent="0.25">
      <c r="A1962" s="1">
        <f t="shared" si="577"/>
        <v>1961</v>
      </c>
      <c r="C1962" s="8" t="s">
        <v>17</v>
      </c>
      <c r="D1962" s="2">
        <v>43574</v>
      </c>
      <c r="E1962" s="3">
        <v>2000</v>
      </c>
      <c r="F1962" t="s">
        <v>84</v>
      </c>
      <c r="G1962" t="s">
        <v>85</v>
      </c>
      <c r="H1962" t="s">
        <v>86</v>
      </c>
      <c r="I1962" s="6" t="s">
        <v>950</v>
      </c>
      <c r="J1962" s="61" t="s">
        <v>22</v>
      </c>
      <c r="L1962" s="5" t="str">
        <f t="shared" si="578"/>
        <v>01961</v>
      </c>
      <c r="M1962" s="47" t="str">
        <f t="shared" si="579"/>
        <v>19 de abril de 2019</v>
      </c>
      <c r="N1962" s="323">
        <f t="shared" si="580"/>
        <v>19</v>
      </c>
      <c r="O1962" s="25">
        <f t="shared" si="581"/>
        <v>43556</v>
      </c>
      <c r="P1962" s="5" t="str">
        <f t="shared" si="582"/>
        <v>2.000,00</v>
      </c>
      <c r="Q1962" s="4" t="str">
        <f t="shared" si="576"/>
        <v>Dos Mil Bolívares con 00/100</v>
      </c>
    </row>
    <row r="1963" spans="1:17" x14ac:dyDescent="0.25">
      <c r="A1963" s="1">
        <f t="shared" si="577"/>
        <v>1962</v>
      </c>
      <c r="C1963" s="8" t="s">
        <v>17</v>
      </c>
      <c r="D1963" s="2">
        <v>43574</v>
      </c>
      <c r="E1963" s="3">
        <v>2000</v>
      </c>
      <c r="F1963" t="s">
        <v>334</v>
      </c>
      <c r="G1963" t="s">
        <v>85</v>
      </c>
      <c r="H1963" t="s">
        <v>335</v>
      </c>
      <c r="I1963" s="6" t="s">
        <v>950</v>
      </c>
      <c r="J1963" s="61" t="s">
        <v>22</v>
      </c>
      <c r="L1963" s="5" t="str">
        <f t="shared" si="578"/>
        <v>01962</v>
      </c>
      <c r="M1963" s="47" t="str">
        <f t="shared" si="579"/>
        <v>19 de abril de 2019</v>
      </c>
      <c r="N1963" s="323">
        <f t="shared" si="580"/>
        <v>19</v>
      </c>
      <c r="O1963" s="25">
        <f t="shared" si="581"/>
        <v>43556</v>
      </c>
      <c r="P1963" s="5" t="str">
        <f t="shared" si="582"/>
        <v>2.000,00</v>
      </c>
      <c r="Q1963" s="4" t="str">
        <f t="shared" si="576"/>
        <v>Dos Mil Bolívares con 00/100</v>
      </c>
    </row>
    <row r="1964" spans="1:17" x14ac:dyDescent="0.25">
      <c r="A1964" s="1">
        <f t="shared" si="577"/>
        <v>1963</v>
      </c>
      <c r="C1964" s="8" t="s">
        <v>17</v>
      </c>
      <c r="D1964" s="2">
        <v>43574</v>
      </c>
      <c r="E1964" s="3">
        <v>7000</v>
      </c>
      <c r="F1964" t="s">
        <v>66</v>
      </c>
      <c r="G1964" t="s">
        <v>67</v>
      </c>
      <c r="H1964" t="s">
        <v>68</v>
      </c>
      <c r="I1964" s="6" t="s">
        <v>960</v>
      </c>
      <c r="J1964" s="61" t="s">
        <v>22</v>
      </c>
      <c r="L1964" s="5" t="str">
        <f t="shared" si="578"/>
        <v>01963</v>
      </c>
      <c r="M1964" s="47" t="str">
        <f t="shared" si="579"/>
        <v>19 de abril de 2019</v>
      </c>
      <c r="N1964" s="323">
        <f t="shared" si="580"/>
        <v>19</v>
      </c>
      <c r="O1964" s="25">
        <f t="shared" si="581"/>
        <v>43556</v>
      </c>
      <c r="P1964" s="5" t="str">
        <f t="shared" si="582"/>
        <v>7.000,00</v>
      </c>
      <c r="Q1964" s="4" t="str">
        <f t="shared" si="576"/>
        <v>Siete Mil Bolívares con 00/100</v>
      </c>
    </row>
    <row r="1965" spans="1:17" x14ac:dyDescent="0.25">
      <c r="A1965" s="1">
        <f t="shared" si="577"/>
        <v>1964</v>
      </c>
      <c r="C1965" s="8" t="s">
        <v>17</v>
      </c>
      <c r="D1965" s="2">
        <v>43576</v>
      </c>
      <c r="E1965" s="3">
        <v>5000</v>
      </c>
      <c r="F1965" t="s">
        <v>843</v>
      </c>
      <c r="G1965" t="s">
        <v>844</v>
      </c>
      <c r="H1965" t="s">
        <v>169</v>
      </c>
      <c r="I1965" s="6" t="s">
        <v>917</v>
      </c>
      <c r="J1965" s="61" t="s">
        <v>22</v>
      </c>
      <c r="L1965" s="5" t="str">
        <f t="shared" si="578"/>
        <v>01964</v>
      </c>
      <c r="M1965" s="47" t="str">
        <f t="shared" si="579"/>
        <v>21 de abril de 2019</v>
      </c>
      <c r="N1965" s="323">
        <f t="shared" si="580"/>
        <v>21</v>
      </c>
      <c r="O1965" s="25">
        <f t="shared" si="581"/>
        <v>43556</v>
      </c>
      <c r="P1965" s="5" t="str">
        <f t="shared" si="582"/>
        <v>5.000,00</v>
      </c>
      <c r="Q1965" s="4" t="str">
        <f t="shared" si="576"/>
        <v>Cinco Mil Bolívares con 00/100</v>
      </c>
    </row>
    <row r="1966" spans="1:17" x14ac:dyDescent="0.25">
      <c r="A1966" s="1">
        <f t="shared" si="577"/>
        <v>1965</v>
      </c>
      <c r="C1966" s="8" t="s">
        <v>17</v>
      </c>
      <c r="D1966" s="2">
        <v>43577</v>
      </c>
      <c r="E1966" s="3">
        <v>5000</v>
      </c>
      <c r="F1966" t="s">
        <v>130</v>
      </c>
      <c r="G1966" t="s">
        <v>131</v>
      </c>
      <c r="H1966" t="s">
        <v>132</v>
      </c>
      <c r="I1966" s="6" t="s">
        <v>917</v>
      </c>
      <c r="J1966" s="61" t="s">
        <v>22</v>
      </c>
      <c r="L1966" s="5" t="str">
        <f t="shared" si="578"/>
        <v>01965</v>
      </c>
      <c r="M1966" s="47" t="str">
        <f t="shared" si="579"/>
        <v>22 de abril de 2019</v>
      </c>
      <c r="N1966" s="323">
        <f t="shared" si="580"/>
        <v>22</v>
      </c>
      <c r="O1966" s="25">
        <f t="shared" si="581"/>
        <v>43556</v>
      </c>
      <c r="P1966" s="5" t="str">
        <f t="shared" si="582"/>
        <v>5.000,00</v>
      </c>
      <c r="Q1966" s="4" t="str">
        <f t="shared" si="576"/>
        <v>Cinco Mil Bolívares con 00/100</v>
      </c>
    </row>
    <row r="1967" spans="1:17" x14ac:dyDescent="0.25">
      <c r="A1967" s="1">
        <f t="shared" si="577"/>
        <v>1966</v>
      </c>
      <c r="C1967" s="8" t="s">
        <v>17</v>
      </c>
      <c r="D1967" s="2">
        <v>43577</v>
      </c>
      <c r="E1967" s="3">
        <v>5000</v>
      </c>
      <c r="F1967" t="s">
        <v>284</v>
      </c>
      <c r="G1967" t="s">
        <v>687</v>
      </c>
      <c r="H1967" t="s">
        <v>285</v>
      </c>
      <c r="I1967" s="6" t="s">
        <v>917</v>
      </c>
      <c r="J1967" s="61" t="s">
        <v>22</v>
      </c>
      <c r="L1967" s="5" t="str">
        <f t="shared" si="578"/>
        <v>01966</v>
      </c>
      <c r="M1967" s="47" t="str">
        <f t="shared" si="579"/>
        <v>22 de abril de 2019</v>
      </c>
      <c r="N1967" s="323">
        <f t="shared" si="580"/>
        <v>22</v>
      </c>
      <c r="O1967" s="25">
        <f t="shared" si="581"/>
        <v>43556</v>
      </c>
      <c r="P1967" s="5" t="str">
        <f t="shared" si="582"/>
        <v>5.000,00</v>
      </c>
      <c r="Q1967" s="4" t="str">
        <f t="shared" si="576"/>
        <v>Cinco Mil Bolívares con 00/100</v>
      </c>
    </row>
    <row r="1968" spans="1:17" x14ac:dyDescent="0.25">
      <c r="A1968" s="1">
        <f t="shared" si="577"/>
        <v>1967</v>
      </c>
      <c r="C1968" s="8" t="s">
        <v>17</v>
      </c>
      <c r="D1968" s="2">
        <v>43577</v>
      </c>
      <c r="E1968" s="3">
        <f>345.55+2020</f>
        <v>2365.5500000000002</v>
      </c>
      <c r="F1968" t="s">
        <v>252</v>
      </c>
      <c r="G1968" s="475" t="s">
        <v>958</v>
      </c>
      <c r="H1968" t="s">
        <v>254</v>
      </c>
      <c r="I1968" t="s">
        <v>928</v>
      </c>
      <c r="J1968" s="61" t="s">
        <v>22</v>
      </c>
      <c r="L1968" s="5" t="str">
        <f t="shared" si="578"/>
        <v>01967</v>
      </c>
      <c r="M1968" s="47" t="str">
        <f t="shared" si="579"/>
        <v>22 de abril de 2019</v>
      </c>
      <c r="N1968" s="323">
        <f t="shared" si="580"/>
        <v>22</v>
      </c>
      <c r="O1968" s="25">
        <f t="shared" si="581"/>
        <v>43556</v>
      </c>
      <c r="P1968" s="5" t="str">
        <f t="shared" si="582"/>
        <v>2.365,55</v>
      </c>
      <c r="Q1968" s="4" t="str">
        <f t="shared" ref="Q1968:Q1981" si="583">CONVERTIRNUM(E1968)</f>
        <v>Dos Mil Trescientos Sesenta y Cinco Bolívares con 55/100</v>
      </c>
    </row>
    <row r="1969" spans="1:17" x14ac:dyDescent="0.25">
      <c r="A1969" s="1">
        <f t="shared" si="577"/>
        <v>1968</v>
      </c>
      <c r="C1969" s="8" t="s">
        <v>17</v>
      </c>
      <c r="D1969" s="2">
        <v>43577</v>
      </c>
      <c r="E1969" s="3">
        <v>5000</v>
      </c>
      <c r="F1969" t="s">
        <v>53</v>
      </c>
      <c r="G1969" t="s">
        <v>677</v>
      </c>
      <c r="H1969" t="s">
        <v>55</v>
      </c>
      <c r="I1969" s="6" t="s">
        <v>917</v>
      </c>
      <c r="J1969" s="61" t="s">
        <v>22</v>
      </c>
      <c r="L1969" s="5" t="str">
        <f t="shared" si="578"/>
        <v>01968</v>
      </c>
      <c r="M1969" s="47" t="str">
        <f t="shared" si="579"/>
        <v>22 de abril de 2019</v>
      </c>
      <c r="N1969" s="323">
        <f t="shared" si="580"/>
        <v>22</v>
      </c>
      <c r="O1969" s="25">
        <f t="shared" si="581"/>
        <v>43556</v>
      </c>
      <c r="P1969" s="5" t="str">
        <f t="shared" si="582"/>
        <v>5.000,00</v>
      </c>
      <c r="Q1969" s="4" t="str">
        <f t="shared" si="583"/>
        <v>Cinco Mil Bolívares con 00/100</v>
      </c>
    </row>
    <row r="1970" spans="1:17" x14ac:dyDescent="0.25">
      <c r="A1970" s="1">
        <f t="shared" si="577"/>
        <v>1969</v>
      </c>
      <c r="C1970" s="8" t="s">
        <v>17</v>
      </c>
      <c r="D1970" s="2">
        <v>43577</v>
      </c>
      <c r="E1970" s="3">
        <v>1440</v>
      </c>
      <c r="F1970" t="s">
        <v>612</v>
      </c>
      <c r="G1970" t="s">
        <v>613</v>
      </c>
      <c r="H1970" t="s">
        <v>614</v>
      </c>
      <c r="I1970" s="6" t="s">
        <v>961</v>
      </c>
      <c r="J1970" s="61" t="s">
        <v>22</v>
      </c>
      <c r="L1970" s="5" t="str">
        <f t="shared" si="578"/>
        <v>01969</v>
      </c>
      <c r="M1970" s="47" t="str">
        <f t="shared" si="579"/>
        <v>22 de abril de 2019</v>
      </c>
      <c r="N1970" s="323">
        <f t="shared" si="580"/>
        <v>22</v>
      </c>
      <c r="O1970" s="25">
        <f t="shared" si="581"/>
        <v>43556</v>
      </c>
      <c r="P1970" s="5" t="str">
        <f t="shared" si="582"/>
        <v>1.440,00</v>
      </c>
      <c r="Q1970" s="4" t="str">
        <f t="shared" si="583"/>
        <v>Mil Cuatrocientos Cuarenta Bolívares con 00/100</v>
      </c>
    </row>
    <row r="1971" spans="1:17" x14ac:dyDescent="0.25">
      <c r="A1971" s="1">
        <f t="shared" si="577"/>
        <v>1970</v>
      </c>
      <c r="C1971" s="8" t="s">
        <v>17</v>
      </c>
      <c r="D1971" s="2">
        <v>43577</v>
      </c>
      <c r="E1971" s="3">
        <v>5000</v>
      </c>
      <c r="F1971" t="s">
        <v>612</v>
      </c>
      <c r="G1971" t="s">
        <v>613</v>
      </c>
      <c r="H1971" t="s">
        <v>614</v>
      </c>
      <c r="I1971" s="6" t="s">
        <v>917</v>
      </c>
      <c r="J1971" s="61" t="s">
        <v>22</v>
      </c>
      <c r="L1971" s="5" t="str">
        <f t="shared" si="578"/>
        <v>01970</v>
      </c>
      <c r="M1971" s="47" t="str">
        <f t="shared" si="579"/>
        <v>22 de abril de 2019</v>
      </c>
      <c r="N1971" s="323">
        <f t="shared" si="580"/>
        <v>22</v>
      </c>
      <c r="O1971" s="25">
        <f t="shared" si="581"/>
        <v>43556</v>
      </c>
      <c r="P1971" s="5" t="str">
        <f t="shared" si="582"/>
        <v>5.000,00</v>
      </c>
      <c r="Q1971" s="4" t="str">
        <f t="shared" si="583"/>
        <v>Cinco Mil Bolívares con 00/100</v>
      </c>
    </row>
    <row r="1972" spans="1:17" x14ac:dyDescent="0.25">
      <c r="A1972" s="1">
        <f t="shared" si="577"/>
        <v>1971</v>
      </c>
      <c r="C1972" s="8" t="s">
        <v>17</v>
      </c>
      <c r="D1972" s="2">
        <v>43577</v>
      </c>
      <c r="E1972" s="3">
        <v>2000</v>
      </c>
      <c r="F1972" t="s">
        <v>342</v>
      </c>
      <c r="G1972" t="s">
        <v>343</v>
      </c>
      <c r="H1972" t="s">
        <v>344</v>
      </c>
      <c r="I1972" s="6" t="s">
        <v>950</v>
      </c>
      <c r="J1972" s="61" t="s">
        <v>22</v>
      </c>
      <c r="L1972" s="5" t="str">
        <f t="shared" si="578"/>
        <v>01971</v>
      </c>
      <c r="M1972" s="47" t="str">
        <f t="shared" si="579"/>
        <v>22 de abril de 2019</v>
      </c>
      <c r="N1972" s="323">
        <f t="shared" si="580"/>
        <v>22</v>
      </c>
      <c r="O1972" s="25">
        <f t="shared" si="581"/>
        <v>43556</v>
      </c>
      <c r="P1972" s="5" t="str">
        <f t="shared" si="582"/>
        <v>2.000,00</v>
      </c>
      <c r="Q1972" s="4" t="str">
        <f t="shared" si="583"/>
        <v>Dos Mil Bolívares con 00/100</v>
      </c>
    </row>
    <row r="1973" spans="1:17" x14ac:dyDescent="0.25">
      <c r="A1973" s="1">
        <f t="shared" si="577"/>
        <v>1972</v>
      </c>
      <c r="C1973" s="8" t="s">
        <v>17</v>
      </c>
      <c r="D1973" s="2">
        <v>43578</v>
      </c>
      <c r="E1973" s="3">
        <v>5000</v>
      </c>
      <c r="F1973" t="s">
        <v>362</v>
      </c>
      <c r="G1973" t="s">
        <v>363</v>
      </c>
      <c r="H1973" t="s">
        <v>364</v>
      </c>
      <c r="I1973" s="6" t="s">
        <v>917</v>
      </c>
      <c r="J1973" s="61" t="s">
        <v>22</v>
      </c>
      <c r="L1973" s="5" t="str">
        <f t="shared" si="578"/>
        <v>01972</v>
      </c>
      <c r="M1973" s="47" t="str">
        <f t="shared" si="579"/>
        <v>23 de abril de 2019</v>
      </c>
      <c r="N1973" s="323">
        <f t="shared" si="580"/>
        <v>23</v>
      </c>
      <c r="O1973" s="25">
        <f t="shared" si="581"/>
        <v>43556</v>
      </c>
      <c r="P1973" s="5" t="str">
        <f t="shared" si="582"/>
        <v>5.000,00</v>
      </c>
      <c r="Q1973" s="4" t="str">
        <f t="shared" si="583"/>
        <v>Cinco Mil Bolívares con 00/100</v>
      </c>
    </row>
    <row r="1974" spans="1:17" x14ac:dyDescent="0.25">
      <c r="A1974" s="1">
        <f t="shared" si="577"/>
        <v>1973</v>
      </c>
      <c r="C1974" s="8" t="s">
        <v>17</v>
      </c>
      <c r="D1974" s="2">
        <v>43578</v>
      </c>
      <c r="E1974" s="3">
        <v>5000</v>
      </c>
      <c r="F1974" t="s">
        <v>296</v>
      </c>
      <c r="G1974" t="s">
        <v>297</v>
      </c>
      <c r="H1974" t="s">
        <v>298</v>
      </c>
      <c r="I1974" s="6" t="s">
        <v>917</v>
      </c>
      <c r="J1974" s="61" t="s">
        <v>22</v>
      </c>
      <c r="L1974" s="5" t="str">
        <f t="shared" si="578"/>
        <v>01973</v>
      </c>
      <c r="M1974" s="47" t="str">
        <f t="shared" si="579"/>
        <v>23 de abril de 2019</v>
      </c>
      <c r="N1974" s="323">
        <f t="shared" si="580"/>
        <v>23</v>
      </c>
      <c r="O1974" s="25">
        <f t="shared" si="581"/>
        <v>43556</v>
      </c>
      <c r="P1974" s="5" t="str">
        <f t="shared" si="582"/>
        <v>5.000,00</v>
      </c>
      <c r="Q1974" s="4" t="str">
        <f t="shared" si="583"/>
        <v>Cinco Mil Bolívares con 00/100</v>
      </c>
    </row>
    <row r="1975" spans="1:17" x14ac:dyDescent="0.25">
      <c r="A1975" s="1">
        <f t="shared" si="577"/>
        <v>1974</v>
      </c>
      <c r="C1975" s="8" t="s">
        <v>17</v>
      </c>
      <c r="D1975" s="2">
        <v>43579</v>
      </c>
      <c r="E1975" s="3">
        <v>5000</v>
      </c>
      <c r="F1975" t="s">
        <v>126</v>
      </c>
      <c r="G1975" t="s">
        <v>127</v>
      </c>
      <c r="H1975" t="s">
        <v>128</v>
      </c>
      <c r="I1975" s="6" t="s">
        <v>917</v>
      </c>
      <c r="J1975" s="61" t="s">
        <v>22</v>
      </c>
      <c r="L1975" s="5" t="str">
        <f t="shared" si="578"/>
        <v>01974</v>
      </c>
      <c r="M1975" s="47" t="str">
        <f t="shared" si="579"/>
        <v>24 de abril de 2019</v>
      </c>
      <c r="N1975" s="323">
        <f t="shared" si="580"/>
        <v>24</v>
      </c>
      <c r="O1975" s="25">
        <f t="shared" si="581"/>
        <v>43556</v>
      </c>
      <c r="P1975" s="5" t="str">
        <f t="shared" si="582"/>
        <v>5.000,00</v>
      </c>
      <c r="Q1975" s="4" t="str">
        <f t="shared" si="583"/>
        <v>Cinco Mil Bolívares con 00/100</v>
      </c>
    </row>
    <row r="1976" spans="1:17" x14ac:dyDescent="0.25">
      <c r="A1976" s="1">
        <f t="shared" si="577"/>
        <v>1975</v>
      </c>
      <c r="C1976" s="85" t="s">
        <v>17</v>
      </c>
      <c r="D1976" s="2">
        <v>43580</v>
      </c>
      <c r="E1976" s="3">
        <v>9000</v>
      </c>
      <c r="F1976" t="s">
        <v>40</v>
      </c>
      <c r="G1976" s="18" t="s">
        <v>58</v>
      </c>
      <c r="H1976" t="s">
        <v>42</v>
      </c>
      <c r="I1976" s="6" t="s">
        <v>962</v>
      </c>
      <c r="J1976" s="61" t="s">
        <v>22</v>
      </c>
      <c r="L1976" s="5" t="str">
        <f t="shared" si="578"/>
        <v>01975</v>
      </c>
      <c r="M1976" s="47" t="str">
        <f t="shared" si="579"/>
        <v>25 de abril de 2019</v>
      </c>
      <c r="N1976" s="323">
        <f t="shared" si="580"/>
        <v>25</v>
      </c>
      <c r="O1976" s="25">
        <f t="shared" si="581"/>
        <v>43556</v>
      </c>
      <c r="P1976" s="5" t="str">
        <f t="shared" si="582"/>
        <v>9.000,00</v>
      </c>
      <c r="Q1976" s="4" t="str">
        <f t="shared" si="583"/>
        <v>Nueve Mil Bolívares con 00/100</v>
      </c>
    </row>
    <row r="1977" spans="1:17" x14ac:dyDescent="0.25">
      <c r="A1977" s="1">
        <f t="shared" si="577"/>
        <v>1976</v>
      </c>
      <c r="C1977" s="8" t="s">
        <v>17</v>
      </c>
      <c r="D1977" s="2">
        <v>43582</v>
      </c>
      <c r="E1977" s="3">
        <v>6000</v>
      </c>
      <c r="F1977" t="s">
        <v>892</v>
      </c>
      <c r="G1977" t="s">
        <v>893</v>
      </c>
      <c r="H1977" s="21" t="s">
        <v>59</v>
      </c>
      <c r="I1977" s="6" t="s">
        <v>963</v>
      </c>
      <c r="J1977" s="61" t="s">
        <v>22</v>
      </c>
      <c r="K1977" s="22"/>
      <c r="L1977" s="5" t="str">
        <f t="shared" si="578"/>
        <v>01976</v>
      </c>
      <c r="M1977" s="47" t="str">
        <f t="shared" si="579"/>
        <v>27 de abril de 2019</v>
      </c>
      <c r="N1977" s="323">
        <f t="shared" si="580"/>
        <v>27</v>
      </c>
      <c r="O1977" s="25">
        <f t="shared" si="581"/>
        <v>43556</v>
      </c>
      <c r="P1977" s="5" t="str">
        <f t="shared" si="582"/>
        <v>6.000,00</v>
      </c>
      <c r="Q1977" s="4" t="str">
        <f t="shared" si="583"/>
        <v>Seis Mil Bolívares con 00/100</v>
      </c>
    </row>
    <row r="1978" spans="1:17" x14ac:dyDescent="0.25">
      <c r="A1978" s="1">
        <f t="shared" si="577"/>
        <v>1977</v>
      </c>
      <c r="C1978" s="8" t="s">
        <v>17</v>
      </c>
      <c r="D1978" s="2">
        <v>43583</v>
      </c>
      <c r="E1978" s="3">
        <v>5000</v>
      </c>
      <c r="F1978" t="s">
        <v>107</v>
      </c>
      <c r="G1978" t="s">
        <v>108</v>
      </c>
      <c r="H1978" t="s">
        <v>109</v>
      </c>
      <c r="I1978" s="6" t="s">
        <v>917</v>
      </c>
      <c r="J1978" s="61" t="s">
        <v>22</v>
      </c>
      <c r="L1978" s="5" t="str">
        <f t="shared" si="578"/>
        <v>01977</v>
      </c>
      <c r="M1978" s="47" t="str">
        <f t="shared" si="579"/>
        <v>28 de abril de 2019</v>
      </c>
      <c r="N1978" s="323">
        <f t="shared" si="580"/>
        <v>28</v>
      </c>
      <c r="O1978" s="25">
        <f t="shared" si="581"/>
        <v>43556</v>
      </c>
      <c r="P1978" s="5" t="str">
        <f t="shared" si="582"/>
        <v>5.000,00</v>
      </c>
      <c r="Q1978" s="4" t="str">
        <f t="shared" si="583"/>
        <v>Cinco Mil Bolívares con 00/100</v>
      </c>
    </row>
    <row r="1979" spans="1:17" x14ac:dyDescent="0.25">
      <c r="A1979" s="1">
        <f t="shared" si="577"/>
        <v>1978</v>
      </c>
      <c r="C1979" s="8" t="s">
        <v>17</v>
      </c>
      <c r="D1979" s="2">
        <v>43583</v>
      </c>
      <c r="E1979" s="3">
        <v>10000</v>
      </c>
      <c r="F1979" t="s">
        <v>44</v>
      </c>
      <c r="G1979" t="s">
        <v>45</v>
      </c>
      <c r="H1979" t="s">
        <v>46</v>
      </c>
      <c r="I1979" s="6" t="s">
        <v>964</v>
      </c>
      <c r="J1979" s="61" t="s">
        <v>22</v>
      </c>
      <c r="L1979" s="5" t="str">
        <f>IF(ISBLANK(A1979),"",TEXT(A1979,"00000"))</f>
        <v>01978</v>
      </c>
      <c r="M1979" s="47" t="str">
        <f>IF(ISBLANK(D1979),"",TEXT(D1979,"dd")&amp;" de "&amp;TEXT(D1979,"mmmm")&amp;" de "&amp;TEXT(YEAR(D1979),"0"))</f>
        <v>28 de abril de 2019</v>
      </c>
      <c r="N1979" s="323">
        <f t="shared" si="580"/>
        <v>28</v>
      </c>
      <c r="O1979" s="25">
        <f>DATE(YEAR(D1979),MONTH(D1979),1)</f>
        <v>43556</v>
      </c>
      <c r="P1979" s="5" t="str">
        <f t="shared" si="582"/>
        <v>10.000,00</v>
      </c>
      <c r="Q1979" s="4" t="str">
        <f t="shared" si="583"/>
        <v>Diez Mil Bolívares con 00/100</v>
      </c>
    </row>
    <row r="1980" spans="1:17" x14ac:dyDescent="0.25">
      <c r="A1980" s="1">
        <f t="shared" si="577"/>
        <v>1979</v>
      </c>
      <c r="C1980" s="8" t="s">
        <v>17</v>
      </c>
      <c r="D1980" s="2">
        <v>43583</v>
      </c>
      <c r="E1980" s="3">
        <v>5000</v>
      </c>
      <c r="F1980" t="s">
        <v>243</v>
      </c>
      <c r="G1980" t="s">
        <v>244</v>
      </c>
      <c r="H1980" t="s">
        <v>245</v>
      </c>
      <c r="I1980" s="6" t="s">
        <v>917</v>
      </c>
      <c r="J1980" s="61" t="s">
        <v>22</v>
      </c>
      <c r="L1980" s="5" t="str">
        <f>IF(ISBLANK(A1980),"",TEXT(A1980,"00000"))</f>
        <v>01979</v>
      </c>
      <c r="M1980" s="47" t="str">
        <f>IF(ISBLANK(D1980),"",TEXT(D1980,"dd")&amp;" de "&amp;TEXT(D1980,"mmmm")&amp;" de "&amp;TEXT(YEAR(D1980),"0"))</f>
        <v>28 de abril de 2019</v>
      </c>
      <c r="N1980" s="323">
        <f t="shared" si="580"/>
        <v>28</v>
      </c>
      <c r="O1980" s="25">
        <f>DATE(YEAR(D1980),MONTH(D1980),1)</f>
        <v>43556</v>
      </c>
      <c r="P1980" s="5" t="str">
        <f t="shared" si="582"/>
        <v>5.000,00</v>
      </c>
      <c r="Q1980" s="4" t="str">
        <f t="shared" si="583"/>
        <v>Cinco Mil Bolívares con 00/100</v>
      </c>
    </row>
    <row r="1981" spans="1:17" x14ac:dyDescent="0.25">
      <c r="A1981" s="1">
        <f t="shared" si="577"/>
        <v>1980</v>
      </c>
      <c r="C1981" s="8" t="s">
        <v>17</v>
      </c>
      <c r="D1981" s="2">
        <v>43583</v>
      </c>
      <c r="E1981" s="3">
        <v>5000</v>
      </c>
      <c r="F1981" t="s">
        <v>201</v>
      </c>
      <c r="G1981" t="s">
        <v>202</v>
      </c>
      <c r="H1981" t="s">
        <v>203</v>
      </c>
      <c r="I1981" s="6" t="s">
        <v>917</v>
      </c>
      <c r="J1981" s="61" t="s">
        <v>22</v>
      </c>
      <c r="L1981" s="5" t="str">
        <f t="shared" ref="L1981:L2002" si="584">IF(ISBLANK(A1981),"",TEXT(A1981,"00000"))</f>
        <v>01980</v>
      </c>
      <c r="M1981" s="47" t="str">
        <f t="shared" ref="M1981:M2002" si="585">IF(ISBLANK(D1981),"",TEXT(D1981,"dd")&amp;" de "&amp;TEXT(D1981,"mmmm")&amp;" de "&amp;TEXT(YEAR(D1981),"0"))</f>
        <v>28 de abril de 2019</v>
      </c>
      <c r="N1981" s="323">
        <f t="shared" si="580"/>
        <v>28</v>
      </c>
      <c r="O1981" s="25">
        <f t="shared" ref="O1981:O2002" si="586">DATE(YEAR(D1981),MONTH(D1981),1)</f>
        <v>43556</v>
      </c>
      <c r="P1981" s="5" t="str">
        <f t="shared" si="582"/>
        <v>5.000,00</v>
      </c>
      <c r="Q1981" s="4" t="str">
        <f t="shared" si="583"/>
        <v>Cinco Mil Bolívares con 00/100</v>
      </c>
    </row>
    <row r="1982" spans="1:17" x14ac:dyDescent="0.25">
      <c r="A1982" s="1">
        <f t="shared" si="577"/>
        <v>1981</v>
      </c>
      <c r="C1982" s="8" t="s">
        <v>17</v>
      </c>
      <c r="D1982" s="2">
        <v>43583</v>
      </c>
      <c r="E1982" s="3">
        <v>5000</v>
      </c>
      <c r="F1982" t="s">
        <v>162</v>
      </c>
      <c r="G1982" t="s">
        <v>163</v>
      </c>
      <c r="H1982" t="s">
        <v>164</v>
      </c>
      <c r="I1982" s="6" t="s">
        <v>917</v>
      </c>
      <c r="J1982" s="61" t="s">
        <v>22</v>
      </c>
      <c r="L1982" s="5" t="str">
        <f t="shared" si="584"/>
        <v>01981</v>
      </c>
      <c r="M1982" s="47" t="str">
        <f t="shared" si="585"/>
        <v>28 de abril de 2019</v>
      </c>
      <c r="N1982" s="323">
        <f t="shared" si="580"/>
        <v>28</v>
      </c>
      <c r="O1982" s="25">
        <f t="shared" si="586"/>
        <v>43556</v>
      </c>
      <c r="P1982" s="5" t="str">
        <f>TEXT(E1982,"#.##0,00")</f>
        <v>5.000,00</v>
      </c>
      <c r="Q1982" s="4" t="str">
        <f>CONVERTIRNUM(E1982)</f>
        <v>Cinco Mil Bolívares con 00/100</v>
      </c>
    </row>
    <row r="1983" spans="1:17" x14ac:dyDescent="0.25">
      <c r="A1983" s="1">
        <f t="shared" si="577"/>
        <v>1982</v>
      </c>
      <c r="C1983" s="8" t="s">
        <v>17</v>
      </c>
      <c r="D1983" s="2">
        <v>43583</v>
      </c>
      <c r="E1983" s="3">
        <v>5000</v>
      </c>
      <c r="F1983" t="s">
        <v>252</v>
      </c>
      <c r="G1983" s="475" t="s">
        <v>958</v>
      </c>
      <c r="H1983" t="s">
        <v>254</v>
      </c>
      <c r="I1983" s="6" t="s">
        <v>917</v>
      </c>
      <c r="J1983" s="61" t="s">
        <v>22</v>
      </c>
      <c r="L1983" s="5" t="str">
        <f t="shared" si="584"/>
        <v>01982</v>
      </c>
      <c r="M1983" s="47" t="str">
        <f t="shared" si="585"/>
        <v>28 de abril de 2019</v>
      </c>
      <c r="N1983" s="323">
        <f t="shared" ref="N1983:N2002" si="587">DAY(D1983)</f>
        <v>28</v>
      </c>
      <c r="O1983" s="25">
        <f t="shared" si="586"/>
        <v>43556</v>
      </c>
      <c r="P1983" s="5" t="str">
        <f t="shared" ref="P1983:P2002" si="588">TEXT(E1983,"#.##0,00")</f>
        <v>5.000,00</v>
      </c>
      <c r="Q1983" s="4" t="str">
        <f t="shared" ref="Q1983:Q1995" si="589">CONVERTIRNUM(E1983)</f>
        <v>Cinco Mil Bolívares con 00/100</v>
      </c>
    </row>
    <row r="1984" spans="1:17" x14ac:dyDescent="0.25">
      <c r="A1984" s="1">
        <f t="shared" si="577"/>
        <v>1983</v>
      </c>
      <c r="C1984" s="8" t="s">
        <v>17</v>
      </c>
      <c r="D1984" s="2">
        <v>43584</v>
      </c>
      <c r="E1984" s="3">
        <v>7000</v>
      </c>
      <c r="F1984" t="s">
        <v>100</v>
      </c>
      <c r="G1984" t="s">
        <v>95</v>
      </c>
      <c r="H1984" t="s">
        <v>101</v>
      </c>
      <c r="I1984" s="6" t="s">
        <v>960</v>
      </c>
      <c r="J1984" s="61" t="s">
        <v>22</v>
      </c>
      <c r="L1984" s="5" t="str">
        <f t="shared" si="584"/>
        <v>01983</v>
      </c>
      <c r="M1984" s="47" t="str">
        <f t="shared" si="585"/>
        <v>29 de abril de 2019</v>
      </c>
      <c r="N1984" s="323">
        <f t="shared" si="587"/>
        <v>29</v>
      </c>
      <c r="O1984" s="25">
        <f t="shared" si="586"/>
        <v>43556</v>
      </c>
      <c r="P1984" s="5" t="str">
        <f t="shared" si="588"/>
        <v>7.000,00</v>
      </c>
      <c r="Q1984" s="4" t="str">
        <f t="shared" si="589"/>
        <v>Siete Mil Bolívares con 00/100</v>
      </c>
    </row>
    <row r="1985" spans="1:17" x14ac:dyDescent="0.25">
      <c r="A1985" s="1">
        <f t="shared" si="577"/>
        <v>1984</v>
      </c>
      <c r="C1985" s="8" t="s">
        <v>17</v>
      </c>
      <c r="D1985" s="2">
        <v>43553</v>
      </c>
      <c r="E1985" s="3">
        <v>5000</v>
      </c>
      <c r="F1985" t="s">
        <v>122</v>
      </c>
      <c r="G1985" t="s">
        <v>123</v>
      </c>
      <c r="H1985" t="s">
        <v>124</v>
      </c>
      <c r="I1985" s="6" t="s">
        <v>917</v>
      </c>
      <c r="J1985" s="61" t="s">
        <v>22</v>
      </c>
      <c r="L1985" s="5" t="str">
        <f t="shared" si="584"/>
        <v>01984</v>
      </c>
      <c r="M1985" s="47" t="str">
        <f t="shared" si="585"/>
        <v>29 de marzo de 2019</v>
      </c>
      <c r="N1985" s="323">
        <f t="shared" si="587"/>
        <v>29</v>
      </c>
      <c r="O1985" s="25">
        <f t="shared" si="586"/>
        <v>43525</v>
      </c>
      <c r="P1985" s="5" t="str">
        <f t="shared" si="588"/>
        <v>5.000,00</v>
      </c>
      <c r="Q1985" s="4" t="str">
        <f t="shared" si="589"/>
        <v>Cinco Mil Bolívares con 00/100</v>
      </c>
    </row>
    <row r="1986" spans="1:17" x14ac:dyDescent="0.25">
      <c r="A1986" s="1">
        <f t="shared" si="577"/>
        <v>1985</v>
      </c>
      <c r="C1986" s="8" t="s">
        <v>17</v>
      </c>
      <c r="D1986" s="2">
        <v>43553</v>
      </c>
      <c r="E1986" s="3">
        <v>8000</v>
      </c>
      <c r="F1986" t="s">
        <v>239</v>
      </c>
      <c r="G1986" s="73" t="s">
        <v>240</v>
      </c>
      <c r="H1986" t="s">
        <v>241</v>
      </c>
      <c r="I1986" s="6" t="s">
        <v>918</v>
      </c>
      <c r="J1986" s="61" t="s">
        <v>22</v>
      </c>
      <c r="L1986" s="5" t="str">
        <f t="shared" si="584"/>
        <v>01985</v>
      </c>
      <c r="M1986" s="47" t="str">
        <f t="shared" si="585"/>
        <v>29 de marzo de 2019</v>
      </c>
      <c r="N1986" s="323">
        <f t="shared" si="587"/>
        <v>29</v>
      </c>
      <c r="O1986" s="25">
        <f t="shared" si="586"/>
        <v>43525</v>
      </c>
      <c r="P1986" s="5" t="str">
        <f t="shared" si="588"/>
        <v>8.000,00</v>
      </c>
      <c r="Q1986" s="4" t="str">
        <f t="shared" si="589"/>
        <v>Ocho Mil Bolívares con 00/100</v>
      </c>
    </row>
    <row r="1987" spans="1:17" x14ac:dyDescent="0.25">
      <c r="A1987" s="1">
        <f t="shared" si="577"/>
        <v>1986</v>
      </c>
      <c r="C1987" s="8" t="s">
        <v>17</v>
      </c>
      <c r="D1987" s="2">
        <v>43585</v>
      </c>
      <c r="E1987" s="3">
        <v>7000</v>
      </c>
      <c r="F1987" t="s">
        <v>454</v>
      </c>
      <c r="G1987" t="s">
        <v>761</v>
      </c>
      <c r="H1987" t="s">
        <v>455</v>
      </c>
      <c r="I1987" s="6" t="s">
        <v>960</v>
      </c>
      <c r="J1987" s="61" t="s">
        <v>22</v>
      </c>
      <c r="L1987" s="5" t="str">
        <f t="shared" si="584"/>
        <v>01986</v>
      </c>
      <c r="M1987" s="47" t="str">
        <f t="shared" si="585"/>
        <v>30 de abril de 2019</v>
      </c>
      <c r="N1987" s="323">
        <f t="shared" si="587"/>
        <v>30</v>
      </c>
      <c r="O1987" s="25">
        <f t="shared" si="586"/>
        <v>43556</v>
      </c>
      <c r="P1987" s="5" t="str">
        <f t="shared" si="588"/>
        <v>7.000,00</v>
      </c>
      <c r="Q1987" s="4" t="str">
        <f t="shared" si="589"/>
        <v>Siete Mil Bolívares con 00/100</v>
      </c>
    </row>
    <row r="1988" spans="1:17" x14ac:dyDescent="0.25">
      <c r="A1988" s="1">
        <f t="shared" si="577"/>
        <v>1987</v>
      </c>
      <c r="C1988" s="8" t="s">
        <v>17</v>
      </c>
      <c r="D1988" s="2">
        <v>43585</v>
      </c>
      <c r="E1988" s="3">
        <v>4000</v>
      </c>
      <c r="F1988" t="s">
        <v>197</v>
      </c>
      <c r="G1988" t="s">
        <v>198</v>
      </c>
      <c r="H1988" t="s">
        <v>199</v>
      </c>
      <c r="I1988" s="161" t="s">
        <v>965</v>
      </c>
      <c r="J1988" s="61" t="s">
        <v>22</v>
      </c>
      <c r="L1988" s="5" t="str">
        <f t="shared" si="584"/>
        <v>01987</v>
      </c>
      <c r="M1988" s="47" t="str">
        <f t="shared" si="585"/>
        <v>30 de abril de 2019</v>
      </c>
      <c r="N1988" s="323">
        <f t="shared" si="587"/>
        <v>30</v>
      </c>
      <c r="O1988" s="25">
        <f t="shared" si="586"/>
        <v>43556</v>
      </c>
      <c r="P1988" s="5" t="str">
        <f t="shared" si="588"/>
        <v>4.000,00</v>
      </c>
      <c r="Q1988" s="4" t="str">
        <f t="shared" si="589"/>
        <v>Cuatro Mil Bolívares con 00/100</v>
      </c>
    </row>
    <row r="1989" spans="1:17" x14ac:dyDescent="0.25">
      <c r="A1989" s="1">
        <f t="shared" si="577"/>
        <v>1988</v>
      </c>
      <c r="C1989" s="8" t="s">
        <v>17</v>
      </c>
      <c r="D1989" s="2">
        <v>43583</v>
      </c>
      <c r="E1989" s="3">
        <v>2000</v>
      </c>
      <c r="F1989" t="s">
        <v>935</v>
      </c>
      <c r="G1989" t="s">
        <v>936</v>
      </c>
      <c r="H1989" t="s">
        <v>150</v>
      </c>
      <c r="I1989" s="6" t="s">
        <v>950</v>
      </c>
      <c r="J1989" s="61" t="s">
        <v>22</v>
      </c>
      <c r="L1989" s="5" t="str">
        <f t="shared" si="584"/>
        <v>01988</v>
      </c>
      <c r="M1989" s="47" t="str">
        <f t="shared" si="585"/>
        <v>28 de abril de 2019</v>
      </c>
      <c r="N1989" s="323">
        <f t="shared" si="587"/>
        <v>28</v>
      </c>
      <c r="O1989" s="25">
        <f t="shared" si="586"/>
        <v>43556</v>
      </c>
      <c r="P1989" s="5" t="str">
        <f t="shared" si="588"/>
        <v>2.000,00</v>
      </c>
      <c r="Q1989" s="4" t="str">
        <f t="shared" si="589"/>
        <v>Dos Mil Bolívares con 00/100</v>
      </c>
    </row>
    <row r="1990" spans="1:17" x14ac:dyDescent="0.25">
      <c r="A1990" s="1">
        <f t="shared" si="577"/>
        <v>1989</v>
      </c>
      <c r="C1990" s="8" t="s">
        <v>17</v>
      </c>
      <c r="D1990" s="2">
        <v>43586</v>
      </c>
      <c r="E1990" s="3">
        <v>5000</v>
      </c>
      <c r="F1990" t="s">
        <v>312</v>
      </c>
      <c r="G1990" t="s">
        <v>313</v>
      </c>
      <c r="H1990" t="s">
        <v>314</v>
      </c>
      <c r="I1990" s="6" t="s">
        <v>917</v>
      </c>
      <c r="J1990" s="61" t="s">
        <v>22</v>
      </c>
      <c r="L1990" s="5" t="str">
        <f t="shared" si="584"/>
        <v>01989</v>
      </c>
      <c r="M1990" s="47" t="str">
        <f t="shared" si="585"/>
        <v>01 de mayo de 2019</v>
      </c>
      <c r="N1990" s="323">
        <f t="shared" si="587"/>
        <v>1</v>
      </c>
      <c r="O1990" s="25">
        <f t="shared" si="586"/>
        <v>43586</v>
      </c>
      <c r="P1990" s="5" t="str">
        <f t="shared" si="588"/>
        <v>5.000,00</v>
      </c>
      <c r="Q1990" s="4" t="str">
        <f t="shared" si="589"/>
        <v>Cinco Mil Bolívares con 00/100</v>
      </c>
    </row>
    <row r="1991" spans="1:17" x14ac:dyDescent="0.25">
      <c r="A1991" s="1">
        <f t="shared" si="577"/>
        <v>1990</v>
      </c>
      <c r="C1991" s="8" t="s">
        <v>17</v>
      </c>
      <c r="D1991" s="2">
        <v>43587</v>
      </c>
      <c r="E1991" s="3">
        <v>10000</v>
      </c>
      <c r="F1991" t="s">
        <v>103</v>
      </c>
      <c r="G1991" t="s">
        <v>104</v>
      </c>
      <c r="H1991" t="s">
        <v>105</v>
      </c>
      <c r="I1991" s="6" t="s">
        <v>960</v>
      </c>
      <c r="J1991" s="61" t="s">
        <v>22</v>
      </c>
      <c r="L1991" s="5" t="str">
        <f t="shared" si="584"/>
        <v>01990</v>
      </c>
      <c r="M1991" s="47" t="str">
        <f t="shared" si="585"/>
        <v>02 de mayo de 2019</v>
      </c>
      <c r="N1991" s="323">
        <f t="shared" si="587"/>
        <v>2</v>
      </c>
      <c r="O1991" s="25">
        <f t="shared" si="586"/>
        <v>43586</v>
      </c>
      <c r="P1991" s="5" t="str">
        <f t="shared" si="588"/>
        <v>10.000,00</v>
      </c>
      <c r="Q1991" s="4" t="str">
        <f t="shared" si="589"/>
        <v>Diez Mil Bolívares con 00/100</v>
      </c>
    </row>
    <row r="1992" spans="1:17" x14ac:dyDescent="0.25">
      <c r="A1992" s="1">
        <f t="shared" si="577"/>
        <v>1991</v>
      </c>
      <c r="C1992" s="8" t="s">
        <v>17</v>
      </c>
      <c r="D1992" s="2">
        <v>43587</v>
      </c>
      <c r="E1992" s="3">
        <v>5000</v>
      </c>
      <c r="F1992" t="s">
        <v>211</v>
      </c>
      <c r="G1992" t="s">
        <v>212</v>
      </c>
      <c r="H1992" t="s">
        <v>213</v>
      </c>
      <c r="I1992" s="6" t="s">
        <v>917</v>
      </c>
      <c r="J1992" s="61" t="s">
        <v>22</v>
      </c>
      <c r="L1992" s="5" t="str">
        <f t="shared" si="584"/>
        <v>01991</v>
      </c>
      <c r="M1992" s="47" t="str">
        <f t="shared" si="585"/>
        <v>02 de mayo de 2019</v>
      </c>
      <c r="N1992" s="323">
        <f t="shared" si="587"/>
        <v>2</v>
      </c>
      <c r="O1992" s="25">
        <f t="shared" si="586"/>
        <v>43586</v>
      </c>
      <c r="P1992" s="5" t="str">
        <f t="shared" si="588"/>
        <v>5.000,00</v>
      </c>
      <c r="Q1992" s="4" t="str">
        <f t="shared" si="589"/>
        <v>Cinco Mil Bolívares con 00/100</v>
      </c>
    </row>
    <row r="1993" spans="1:17" x14ac:dyDescent="0.25">
      <c r="A1993" s="1">
        <f t="shared" si="577"/>
        <v>1992</v>
      </c>
      <c r="C1993" s="8" t="s">
        <v>17</v>
      </c>
      <c r="D1993" s="2">
        <v>43587</v>
      </c>
      <c r="E1993" s="3">
        <v>5000</v>
      </c>
      <c r="F1993" t="s">
        <v>84</v>
      </c>
      <c r="G1993" t="s">
        <v>85</v>
      </c>
      <c r="H1993" t="s">
        <v>86</v>
      </c>
      <c r="I1993" s="161" t="s">
        <v>965</v>
      </c>
      <c r="J1993" s="61" t="s">
        <v>22</v>
      </c>
      <c r="L1993" s="5" t="str">
        <f t="shared" si="584"/>
        <v>01992</v>
      </c>
      <c r="M1993" s="47" t="str">
        <f t="shared" si="585"/>
        <v>02 de mayo de 2019</v>
      </c>
      <c r="N1993" s="323">
        <f t="shared" si="587"/>
        <v>2</v>
      </c>
      <c r="O1993" s="25">
        <f t="shared" si="586"/>
        <v>43586</v>
      </c>
      <c r="P1993" s="5" t="str">
        <f t="shared" si="588"/>
        <v>5.000,00</v>
      </c>
      <c r="Q1993" s="4" t="str">
        <f t="shared" si="589"/>
        <v>Cinco Mil Bolívares con 00/100</v>
      </c>
    </row>
    <row r="1994" spans="1:17" x14ac:dyDescent="0.25">
      <c r="A1994" s="1">
        <f t="shared" si="577"/>
        <v>1993</v>
      </c>
      <c r="C1994" s="8" t="s">
        <v>17</v>
      </c>
      <c r="D1994" s="2">
        <v>43587</v>
      </c>
      <c r="E1994" s="3">
        <v>5000</v>
      </c>
      <c r="F1994" t="s">
        <v>334</v>
      </c>
      <c r="G1994" t="s">
        <v>85</v>
      </c>
      <c r="H1994" t="s">
        <v>335</v>
      </c>
      <c r="I1994" s="161" t="s">
        <v>965</v>
      </c>
      <c r="J1994" s="61" t="s">
        <v>22</v>
      </c>
      <c r="L1994" s="5" t="str">
        <f t="shared" si="584"/>
        <v>01993</v>
      </c>
      <c r="M1994" s="47" t="str">
        <f t="shared" si="585"/>
        <v>02 de mayo de 2019</v>
      </c>
      <c r="N1994" s="323">
        <f t="shared" si="587"/>
        <v>2</v>
      </c>
      <c r="O1994" s="25">
        <f t="shared" si="586"/>
        <v>43586</v>
      </c>
      <c r="P1994" s="5" t="str">
        <f t="shared" si="588"/>
        <v>5.000,00</v>
      </c>
      <c r="Q1994" s="4" t="str">
        <f t="shared" si="589"/>
        <v>Cinco Mil Bolívares con 00/100</v>
      </c>
    </row>
    <row r="1995" spans="1:17" x14ac:dyDescent="0.25">
      <c r="A1995" s="1">
        <f t="shared" si="577"/>
        <v>1994</v>
      </c>
      <c r="C1995" s="8" t="s">
        <v>17</v>
      </c>
      <c r="D1995" s="2">
        <v>43587</v>
      </c>
      <c r="E1995" s="3">
        <v>5000</v>
      </c>
      <c r="F1995" t="s">
        <v>118</v>
      </c>
      <c r="G1995" t="s">
        <v>119</v>
      </c>
      <c r="H1995" t="s">
        <v>120</v>
      </c>
      <c r="I1995" s="6" t="s">
        <v>917</v>
      </c>
      <c r="J1995" s="61" t="s">
        <v>22</v>
      </c>
      <c r="L1995" s="5" t="str">
        <f t="shared" si="584"/>
        <v>01994</v>
      </c>
      <c r="M1995" s="47" t="str">
        <f t="shared" si="585"/>
        <v>02 de mayo de 2019</v>
      </c>
      <c r="N1995" s="323">
        <f t="shared" si="587"/>
        <v>2</v>
      </c>
      <c r="O1995" s="25">
        <f t="shared" si="586"/>
        <v>43586</v>
      </c>
      <c r="P1995" s="5" t="str">
        <f t="shared" si="588"/>
        <v>5.000,00</v>
      </c>
      <c r="Q1995" s="4" t="str">
        <f t="shared" si="589"/>
        <v>Cinco Mil Bolívares con 00/100</v>
      </c>
    </row>
    <row r="1996" spans="1:17" x14ac:dyDescent="0.25">
      <c r="A1996" s="1">
        <f t="shared" si="577"/>
        <v>1995</v>
      </c>
      <c r="C1996" s="8" t="s">
        <v>17</v>
      </c>
      <c r="D1996" s="2">
        <v>43588</v>
      </c>
      <c r="E1996" s="3">
        <v>5000</v>
      </c>
      <c r="F1996" t="s">
        <v>407</v>
      </c>
      <c r="G1996" t="s">
        <v>408</v>
      </c>
      <c r="H1996" t="s">
        <v>409</v>
      </c>
      <c r="I1996" s="6" t="s">
        <v>966</v>
      </c>
      <c r="J1996" s="61" t="s">
        <v>22</v>
      </c>
      <c r="L1996" s="5" t="str">
        <f t="shared" si="584"/>
        <v>01995</v>
      </c>
      <c r="M1996" s="47" t="str">
        <f t="shared" si="585"/>
        <v>03 de mayo de 2019</v>
      </c>
      <c r="N1996" s="323">
        <f t="shared" si="587"/>
        <v>3</v>
      </c>
      <c r="O1996" s="25">
        <f t="shared" si="586"/>
        <v>43586</v>
      </c>
      <c r="P1996" s="5" t="str">
        <f t="shared" si="588"/>
        <v>5.000,00</v>
      </c>
      <c r="Q1996" s="4" t="str">
        <f>CONVERTIRNUM(E1996)</f>
        <v>Cinco Mil Bolívares con 00/100</v>
      </c>
    </row>
    <row r="1997" spans="1:17" x14ac:dyDescent="0.25">
      <c r="A1997" s="1">
        <f t="shared" si="577"/>
        <v>1996</v>
      </c>
      <c r="C1997" s="8" t="s">
        <v>17</v>
      </c>
      <c r="D1997" s="2">
        <v>43587</v>
      </c>
      <c r="E1997" s="3">
        <v>10000</v>
      </c>
      <c r="F1997" t="s">
        <v>144</v>
      </c>
      <c r="G1997" t="s">
        <v>661</v>
      </c>
      <c r="H1997" t="s">
        <v>146</v>
      </c>
      <c r="I1997" s="6" t="s">
        <v>967</v>
      </c>
      <c r="J1997" s="61" t="s">
        <v>22</v>
      </c>
      <c r="L1997" s="5" t="str">
        <f t="shared" si="584"/>
        <v>01996</v>
      </c>
      <c r="M1997" s="47" t="str">
        <f t="shared" si="585"/>
        <v>02 de mayo de 2019</v>
      </c>
      <c r="N1997" s="323">
        <f t="shared" si="587"/>
        <v>2</v>
      </c>
      <c r="O1997" s="25">
        <f t="shared" si="586"/>
        <v>43586</v>
      </c>
      <c r="P1997" s="5" t="str">
        <f t="shared" si="588"/>
        <v>10.000,00</v>
      </c>
      <c r="Q1997" s="4" t="str">
        <f t="shared" ref="Q1997:Q2002" si="590">CONVERTIRNUM(E1997)</f>
        <v>Diez Mil Bolívares con 00/100</v>
      </c>
    </row>
    <row r="1998" spans="1:17" x14ac:dyDescent="0.25">
      <c r="A1998" s="1">
        <f t="shared" si="577"/>
        <v>1997</v>
      </c>
      <c r="C1998" s="8" t="s">
        <v>17</v>
      </c>
      <c r="D1998" s="2">
        <v>43588</v>
      </c>
      <c r="E1998" s="3">
        <v>10000</v>
      </c>
      <c r="F1998" t="s">
        <v>114</v>
      </c>
      <c r="G1998" t="s">
        <v>115</v>
      </c>
      <c r="H1998" t="s">
        <v>105</v>
      </c>
      <c r="I1998" s="6" t="s">
        <v>967</v>
      </c>
      <c r="J1998" s="61" t="s">
        <v>22</v>
      </c>
      <c r="L1998" s="5" t="str">
        <f t="shared" si="584"/>
        <v>01997</v>
      </c>
      <c r="M1998" s="47" t="str">
        <f t="shared" si="585"/>
        <v>03 de mayo de 2019</v>
      </c>
      <c r="N1998" s="323">
        <f t="shared" si="587"/>
        <v>3</v>
      </c>
      <c r="O1998" s="25">
        <f t="shared" si="586"/>
        <v>43586</v>
      </c>
      <c r="P1998" s="5" t="str">
        <f t="shared" si="588"/>
        <v>10.000,00</v>
      </c>
      <c r="Q1998" s="4" t="str">
        <f t="shared" si="590"/>
        <v>Diez Mil Bolívares con 00/100</v>
      </c>
    </row>
    <row r="1999" spans="1:17" x14ac:dyDescent="0.25">
      <c r="A1999" s="1">
        <f t="shared" si="577"/>
        <v>1998</v>
      </c>
      <c r="C1999" s="8" t="s">
        <v>17</v>
      </c>
      <c r="D1999" s="2">
        <v>43588</v>
      </c>
      <c r="E1999" s="3">
        <v>5000</v>
      </c>
      <c r="F1999" t="s">
        <v>337</v>
      </c>
      <c r="G1999" t="s">
        <v>338</v>
      </c>
      <c r="H1999" t="s">
        <v>339</v>
      </c>
      <c r="I1999" s="6" t="s">
        <v>917</v>
      </c>
      <c r="J1999" s="61" t="s">
        <v>22</v>
      </c>
      <c r="L1999" s="5" t="str">
        <f t="shared" si="584"/>
        <v>01998</v>
      </c>
      <c r="M1999" s="47" t="str">
        <f t="shared" si="585"/>
        <v>03 de mayo de 2019</v>
      </c>
      <c r="N1999" s="323">
        <f t="shared" si="587"/>
        <v>3</v>
      </c>
      <c r="O1999" s="25">
        <f t="shared" si="586"/>
        <v>43586</v>
      </c>
      <c r="P1999" s="5" t="str">
        <f t="shared" si="588"/>
        <v>5.000,00</v>
      </c>
      <c r="Q1999" s="4" t="str">
        <f t="shared" si="590"/>
        <v>Cinco Mil Bolívares con 00/100</v>
      </c>
    </row>
    <row r="2000" spans="1:17" x14ac:dyDescent="0.25">
      <c r="A2000" s="1">
        <f t="shared" si="577"/>
        <v>1999</v>
      </c>
      <c r="C2000" s="8" t="s">
        <v>17</v>
      </c>
      <c r="D2000" s="2">
        <v>43589</v>
      </c>
      <c r="E2000" s="3">
        <v>6000</v>
      </c>
      <c r="F2000" t="s">
        <v>32</v>
      </c>
      <c r="G2000" t="s">
        <v>33</v>
      </c>
      <c r="H2000" t="s">
        <v>34</v>
      </c>
      <c r="I2000" s="161" t="s">
        <v>933</v>
      </c>
      <c r="J2000" s="61" t="s">
        <v>22</v>
      </c>
      <c r="L2000" s="5" t="str">
        <f t="shared" si="584"/>
        <v>01999</v>
      </c>
      <c r="M2000" s="47" t="str">
        <f t="shared" si="585"/>
        <v>04 de mayo de 2019</v>
      </c>
      <c r="N2000" s="323">
        <f t="shared" si="587"/>
        <v>4</v>
      </c>
      <c r="O2000" s="25">
        <f t="shared" si="586"/>
        <v>43586</v>
      </c>
      <c r="P2000" s="5" t="str">
        <f t="shared" si="588"/>
        <v>6.000,00</v>
      </c>
      <c r="Q2000" s="4" t="str">
        <f t="shared" si="590"/>
        <v>Seis Mil Bolívares con 00/100</v>
      </c>
    </row>
    <row r="2001" spans="1:17" x14ac:dyDescent="0.25">
      <c r="A2001" s="1">
        <f t="shared" si="577"/>
        <v>2000</v>
      </c>
      <c r="C2001" s="8" t="s">
        <v>17</v>
      </c>
      <c r="D2001" s="2">
        <v>43589</v>
      </c>
      <c r="E2001" s="3">
        <f>2000+2500</f>
        <v>4500</v>
      </c>
      <c r="F2001" t="s">
        <v>401</v>
      </c>
      <c r="G2001" t="s">
        <v>402</v>
      </c>
      <c r="H2001" t="s">
        <v>403</v>
      </c>
      <c r="I2001" s="6" t="s">
        <v>933</v>
      </c>
      <c r="J2001" s="61" t="s">
        <v>22</v>
      </c>
      <c r="L2001" s="5" t="str">
        <f t="shared" si="584"/>
        <v>02000</v>
      </c>
      <c r="M2001" s="47" t="str">
        <f t="shared" si="585"/>
        <v>04 de mayo de 2019</v>
      </c>
      <c r="N2001" s="323">
        <f t="shared" si="587"/>
        <v>4</v>
      </c>
      <c r="O2001" s="25">
        <f t="shared" si="586"/>
        <v>43586</v>
      </c>
      <c r="P2001" s="5" t="str">
        <f t="shared" si="588"/>
        <v>4.500,00</v>
      </c>
      <c r="Q2001" s="4" t="str">
        <f t="shared" si="590"/>
        <v>Cuatro Mil Quinientos Bolívares con 00/100</v>
      </c>
    </row>
    <row r="2002" spans="1:17" x14ac:dyDescent="0.25">
      <c r="A2002" s="1">
        <f t="shared" si="577"/>
        <v>2001</v>
      </c>
      <c r="C2002" s="8" t="s">
        <v>17</v>
      </c>
      <c r="D2002" s="2">
        <v>43589</v>
      </c>
      <c r="E2002" s="3">
        <v>5000</v>
      </c>
      <c r="F2002" t="s">
        <v>362</v>
      </c>
      <c r="G2002" t="s">
        <v>363</v>
      </c>
      <c r="H2002" t="s">
        <v>364</v>
      </c>
      <c r="I2002" s="6" t="s">
        <v>966</v>
      </c>
      <c r="J2002" s="61" t="s">
        <v>22</v>
      </c>
      <c r="L2002" s="5" t="str">
        <f t="shared" si="584"/>
        <v>02001</v>
      </c>
      <c r="M2002" s="47" t="str">
        <f t="shared" si="585"/>
        <v>04 de mayo de 2019</v>
      </c>
      <c r="N2002" s="323">
        <f t="shared" si="587"/>
        <v>4</v>
      </c>
      <c r="O2002" s="25">
        <f t="shared" si="586"/>
        <v>43586</v>
      </c>
      <c r="P2002" s="5" t="str">
        <f t="shared" si="588"/>
        <v>5.000,00</v>
      </c>
      <c r="Q2002" s="4" t="str">
        <f t="shared" si="590"/>
        <v>Cinco Mil Bolívares con 00/100</v>
      </c>
    </row>
    <row r="2003" spans="1:17" x14ac:dyDescent="0.25">
      <c r="A2003" s="1">
        <f t="shared" si="577"/>
        <v>2002</v>
      </c>
      <c r="C2003" s="8" t="s">
        <v>17</v>
      </c>
      <c r="D2003" s="2">
        <v>43589</v>
      </c>
      <c r="E2003" s="3">
        <v>2500</v>
      </c>
      <c r="F2003" t="s">
        <v>401</v>
      </c>
      <c r="G2003" t="s">
        <v>402</v>
      </c>
      <c r="H2003" t="s">
        <v>403</v>
      </c>
      <c r="I2003" s="6" t="s">
        <v>968</v>
      </c>
      <c r="J2003" s="61" t="s">
        <v>22</v>
      </c>
      <c r="L2003" s="5" t="str">
        <f t="shared" ref="L2003:L2011" si="591">IF(ISBLANK(A2003),"",TEXT(A2003,"00000"))</f>
        <v>02002</v>
      </c>
      <c r="M2003" s="47" t="str">
        <f t="shared" ref="M2003:M2011" si="592">IF(ISBLANK(D2003),"",TEXT(D2003,"dd")&amp;" de "&amp;TEXT(D2003,"mmmm")&amp;" de "&amp;TEXT(YEAR(D2003),"0"))</f>
        <v>04 de mayo de 2019</v>
      </c>
      <c r="N2003" s="323">
        <f t="shared" ref="N2003:N2011" si="593">DAY(D2003)</f>
        <v>4</v>
      </c>
      <c r="O2003" s="25">
        <f t="shared" ref="O2003:O2011" si="594">DATE(YEAR(D2003),MONTH(D2003),1)</f>
        <v>43586</v>
      </c>
      <c r="P2003" s="5" t="str">
        <f t="shared" ref="P2003:P2011" si="595">TEXT(E2003,"#.##0,00")</f>
        <v>2.500,00</v>
      </c>
      <c r="Q2003" s="4" t="str">
        <f t="shared" ref="Q2003:Q2006" si="596">CONVERTIRNUM(E2003)</f>
        <v>Dos Mil Quinientos Bolívares con 00/100</v>
      </c>
    </row>
    <row r="2004" spans="1:17" x14ac:dyDescent="0.25">
      <c r="A2004" s="1">
        <f t="shared" si="577"/>
        <v>2003</v>
      </c>
      <c r="C2004" s="85" t="s">
        <v>17</v>
      </c>
      <c r="D2004" s="2">
        <v>43590</v>
      </c>
      <c r="E2004" s="3">
        <v>14000</v>
      </c>
      <c r="F2004" t="s">
        <v>479</v>
      </c>
      <c r="G2004" s="18" t="s">
        <v>58</v>
      </c>
      <c r="H2004" t="s">
        <v>481</v>
      </c>
      <c r="I2004" s="6" t="s">
        <v>938</v>
      </c>
      <c r="J2004" s="61" t="s">
        <v>22</v>
      </c>
      <c r="L2004" s="5" t="str">
        <f t="shared" si="591"/>
        <v>02003</v>
      </c>
      <c r="M2004" s="47" t="str">
        <f t="shared" si="592"/>
        <v>05 de mayo de 2019</v>
      </c>
      <c r="N2004" s="323">
        <f t="shared" si="593"/>
        <v>5</v>
      </c>
      <c r="O2004" s="25">
        <f t="shared" si="594"/>
        <v>43586</v>
      </c>
      <c r="P2004" s="5" t="str">
        <f t="shared" si="595"/>
        <v>14.000,00</v>
      </c>
      <c r="Q2004" s="4" t="str">
        <f t="shared" si="596"/>
        <v>Catorce Mil Bolívares con 00/100</v>
      </c>
    </row>
    <row r="2005" spans="1:17" x14ac:dyDescent="0.25">
      <c r="A2005" s="1">
        <f>A2004+1</f>
        <v>2004</v>
      </c>
      <c r="C2005" s="8" t="s">
        <v>17</v>
      </c>
      <c r="D2005" s="2">
        <v>43590</v>
      </c>
      <c r="E2005" s="3">
        <v>5000</v>
      </c>
      <c r="F2005" t="s">
        <v>70</v>
      </c>
      <c r="G2005" t="s">
        <v>71</v>
      </c>
      <c r="H2005" t="s">
        <v>72</v>
      </c>
      <c r="I2005" s="6" t="s">
        <v>966</v>
      </c>
      <c r="J2005" s="61" t="s">
        <v>22</v>
      </c>
      <c r="L2005" s="5" t="str">
        <f t="shared" si="591"/>
        <v>02004</v>
      </c>
      <c r="M2005" s="47" t="str">
        <f t="shared" si="592"/>
        <v>05 de mayo de 2019</v>
      </c>
      <c r="N2005" s="323">
        <f t="shared" si="593"/>
        <v>5</v>
      </c>
      <c r="O2005" s="25">
        <f t="shared" si="594"/>
        <v>43586</v>
      </c>
      <c r="P2005" s="5" t="str">
        <f t="shared" si="595"/>
        <v>5.000,00</v>
      </c>
      <c r="Q2005" s="4" t="str">
        <f t="shared" si="596"/>
        <v>Cinco Mil Bolívares con 00/100</v>
      </c>
    </row>
    <row r="2006" spans="1:17" x14ac:dyDescent="0.25">
      <c r="A2006" s="1">
        <f>A2005+1</f>
        <v>2005</v>
      </c>
      <c r="C2006" s="8" t="s">
        <v>17</v>
      </c>
      <c r="D2006" s="2">
        <v>43590</v>
      </c>
      <c r="E2006" s="3">
        <f>8000+3666</f>
        <v>11666</v>
      </c>
      <c r="F2006" t="s">
        <v>36</v>
      </c>
      <c r="G2006" t="s">
        <v>37</v>
      </c>
      <c r="H2006" t="s">
        <v>38</v>
      </c>
      <c r="I2006" s="6" t="s">
        <v>951</v>
      </c>
      <c r="J2006" s="61" t="s">
        <v>22</v>
      </c>
      <c r="L2006" s="5" t="str">
        <f t="shared" si="591"/>
        <v>02005</v>
      </c>
      <c r="M2006" s="47" t="str">
        <f t="shared" si="592"/>
        <v>05 de mayo de 2019</v>
      </c>
      <c r="N2006" s="323">
        <f t="shared" si="593"/>
        <v>5</v>
      </c>
      <c r="O2006" s="25">
        <f t="shared" si="594"/>
        <v>43586</v>
      </c>
      <c r="P2006" s="5" t="str">
        <f t="shared" si="595"/>
        <v>11.666,00</v>
      </c>
      <c r="Q2006" s="4" t="str">
        <f t="shared" si="596"/>
        <v>Once Mil Seiscientos Sesenta y Seis Bolívares con 00/100</v>
      </c>
    </row>
    <row r="2007" spans="1:17" x14ac:dyDescent="0.25">
      <c r="A2007" s="1">
        <f t="shared" ref="A2007:A2011" si="597">A2006+1</f>
        <v>2006</v>
      </c>
      <c r="C2007" s="8" t="s">
        <v>17</v>
      </c>
      <c r="D2007" s="2">
        <v>43590</v>
      </c>
      <c r="E2007" s="3">
        <v>3000</v>
      </c>
      <c r="F2007" t="s">
        <v>407</v>
      </c>
      <c r="G2007" t="s">
        <v>408</v>
      </c>
      <c r="H2007" t="s">
        <v>409</v>
      </c>
      <c r="I2007" s="6" t="s">
        <v>969</v>
      </c>
      <c r="J2007" s="61" t="s">
        <v>22</v>
      </c>
      <c r="L2007" s="5" t="str">
        <f t="shared" si="591"/>
        <v>02006</v>
      </c>
      <c r="M2007" s="47" t="str">
        <f t="shared" si="592"/>
        <v>05 de mayo de 2019</v>
      </c>
      <c r="N2007" s="323">
        <f t="shared" si="593"/>
        <v>5</v>
      </c>
      <c r="O2007" s="25">
        <f t="shared" si="594"/>
        <v>43586</v>
      </c>
      <c r="P2007" s="5" t="str">
        <f t="shared" si="595"/>
        <v>3.000,00</v>
      </c>
      <c r="Q2007" s="4" t="str">
        <f>CONVERTIRNUM(E2007)</f>
        <v>Tres Mil Bolívares con 00/100</v>
      </c>
    </row>
    <row r="2008" spans="1:17" x14ac:dyDescent="0.25">
      <c r="A2008" s="1">
        <f t="shared" si="597"/>
        <v>2007</v>
      </c>
      <c r="C2008" s="8" t="s">
        <v>17</v>
      </c>
      <c r="D2008" s="2">
        <v>43590</v>
      </c>
      <c r="E2008" s="3">
        <v>8000</v>
      </c>
      <c r="F2008" t="s">
        <v>558</v>
      </c>
      <c r="G2008" t="s">
        <v>559</v>
      </c>
      <c r="H2008" t="s">
        <v>560</v>
      </c>
      <c r="I2008" s="6" t="s">
        <v>970</v>
      </c>
      <c r="J2008" s="61" t="s">
        <v>22</v>
      </c>
      <c r="L2008" s="5" t="str">
        <f t="shared" si="591"/>
        <v>02007</v>
      </c>
      <c r="M2008" s="47" t="str">
        <f t="shared" si="592"/>
        <v>05 de mayo de 2019</v>
      </c>
      <c r="N2008" s="323">
        <f t="shared" si="593"/>
        <v>5</v>
      </c>
      <c r="O2008" s="25">
        <f t="shared" si="594"/>
        <v>43586</v>
      </c>
      <c r="P2008" s="5" t="str">
        <f t="shared" si="595"/>
        <v>8.000,00</v>
      </c>
      <c r="Q2008" s="4" t="str">
        <f t="shared" ref="Q2008:Q2017" si="598">CONVERTIRNUM(E2008)</f>
        <v>Ocho Mil Bolívares con 00/100</v>
      </c>
    </row>
    <row r="2009" spans="1:17" x14ac:dyDescent="0.25">
      <c r="A2009" s="1">
        <f t="shared" si="597"/>
        <v>2008</v>
      </c>
      <c r="C2009" s="8" t="s">
        <v>17</v>
      </c>
      <c r="D2009" s="2">
        <v>43589</v>
      </c>
      <c r="E2009" s="3">
        <v>5000</v>
      </c>
      <c r="F2009" t="s">
        <v>134</v>
      </c>
      <c r="G2009" t="s">
        <v>135</v>
      </c>
      <c r="H2009" t="s">
        <v>136</v>
      </c>
      <c r="I2009" s="6" t="s">
        <v>966</v>
      </c>
      <c r="J2009" s="61" t="s">
        <v>22</v>
      </c>
      <c r="L2009" s="5" t="str">
        <f t="shared" si="591"/>
        <v>02008</v>
      </c>
      <c r="M2009" s="47" t="str">
        <f t="shared" si="592"/>
        <v>04 de mayo de 2019</v>
      </c>
      <c r="N2009" s="323">
        <f t="shared" si="593"/>
        <v>4</v>
      </c>
      <c r="O2009" s="25">
        <f t="shared" si="594"/>
        <v>43586</v>
      </c>
      <c r="P2009" s="5" t="str">
        <f t="shared" si="595"/>
        <v>5.000,00</v>
      </c>
      <c r="Q2009" s="4" t="str">
        <f t="shared" si="598"/>
        <v>Cinco Mil Bolívares con 00/100</v>
      </c>
    </row>
    <row r="2010" spans="1:17" x14ac:dyDescent="0.25">
      <c r="A2010" s="1">
        <f t="shared" si="597"/>
        <v>2009</v>
      </c>
      <c r="C2010" s="85" t="s">
        <v>17</v>
      </c>
      <c r="D2010" s="2">
        <v>43590</v>
      </c>
      <c r="E2010" s="3">
        <v>5000</v>
      </c>
      <c r="F2010" t="s">
        <v>319</v>
      </c>
      <c r="G2010" s="18" t="s">
        <v>58</v>
      </c>
      <c r="H2010" t="s">
        <v>320</v>
      </c>
      <c r="I2010" s="6" t="s">
        <v>917</v>
      </c>
      <c r="J2010" s="61" t="s">
        <v>22</v>
      </c>
      <c r="L2010" s="5" t="str">
        <f t="shared" si="591"/>
        <v>02009</v>
      </c>
      <c r="M2010" s="47" t="str">
        <f t="shared" si="592"/>
        <v>05 de mayo de 2019</v>
      </c>
      <c r="N2010" s="323">
        <f t="shared" si="593"/>
        <v>5</v>
      </c>
      <c r="O2010" s="25">
        <f t="shared" si="594"/>
        <v>43586</v>
      </c>
      <c r="P2010" s="5" t="str">
        <f t="shared" si="595"/>
        <v>5.000,00</v>
      </c>
      <c r="Q2010" s="4" t="str">
        <f t="shared" si="598"/>
        <v>Cinco Mil Bolívares con 00/100</v>
      </c>
    </row>
    <row r="2011" spans="1:17" x14ac:dyDescent="0.25">
      <c r="A2011" s="1">
        <f t="shared" si="597"/>
        <v>2010</v>
      </c>
      <c r="C2011" s="8" t="s">
        <v>17</v>
      </c>
      <c r="D2011" s="2">
        <v>43590</v>
      </c>
      <c r="E2011" s="3">
        <v>8000</v>
      </c>
      <c r="F2011" t="s">
        <v>107</v>
      </c>
      <c r="G2011" t="s">
        <v>108</v>
      </c>
      <c r="H2011" t="s">
        <v>109</v>
      </c>
      <c r="I2011" s="6" t="s">
        <v>970</v>
      </c>
      <c r="J2011" s="61" t="s">
        <v>22</v>
      </c>
      <c r="L2011" s="5" t="str">
        <f t="shared" si="591"/>
        <v>02010</v>
      </c>
      <c r="M2011" s="47" t="str">
        <f t="shared" si="592"/>
        <v>05 de mayo de 2019</v>
      </c>
      <c r="N2011" s="323">
        <f t="shared" si="593"/>
        <v>5</v>
      </c>
      <c r="O2011" s="25">
        <f t="shared" si="594"/>
        <v>43586</v>
      </c>
      <c r="P2011" s="5" t="str">
        <f t="shared" si="595"/>
        <v>8.000,00</v>
      </c>
      <c r="Q2011" s="4" t="str">
        <f t="shared" si="598"/>
        <v>Ocho Mil Bolívares con 00/100</v>
      </c>
    </row>
    <row r="2012" spans="1:17" x14ac:dyDescent="0.25">
      <c r="A2012" s="1">
        <f>A2011+1</f>
        <v>2011</v>
      </c>
      <c r="C2012" s="8" t="s">
        <v>17</v>
      </c>
      <c r="D2012" s="2">
        <v>43591</v>
      </c>
      <c r="E2012" s="3">
        <v>3000</v>
      </c>
      <c r="F2012" t="s">
        <v>70</v>
      </c>
      <c r="G2012" t="s">
        <v>71</v>
      </c>
      <c r="H2012" t="s">
        <v>72</v>
      </c>
      <c r="I2012" s="6" t="s">
        <v>969</v>
      </c>
      <c r="J2012" s="61" t="s">
        <v>22</v>
      </c>
      <c r="L2012" s="5" t="str">
        <f t="shared" ref="L2012:L2017" si="599">IF(ISBLANK(A2012),"",TEXT(A2012,"00000"))</f>
        <v>02011</v>
      </c>
      <c r="M2012" s="47" t="str">
        <f t="shared" ref="M2012:M2017" si="600">IF(ISBLANK(D2012),"",TEXT(D2012,"dd")&amp;" de "&amp;TEXT(D2012,"mmmm")&amp;" de "&amp;TEXT(YEAR(D2012),"0"))</f>
        <v>06 de mayo de 2019</v>
      </c>
      <c r="N2012" s="323">
        <f t="shared" ref="N2012:N2017" si="601">DAY(D2012)</f>
        <v>6</v>
      </c>
      <c r="O2012" s="25">
        <f t="shared" ref="O2012:O2017" si="602">DATE(YEAR(D2012),MONTH(D2012),1)</f>
        <v>43586</v>
      </c>
      <c r="P2012" s="5" t="str">
        <f t="shared" ref="P2012:P2017" si="603">TEXT(E2012,"#.##0,00")</f>
        <v>3.000,00</v>
      </c>
      <c r="Q2012" s="4" t="str">
        <f t="shared" si="598"/>
        <v>Tres Mil Bolívares con 00/100</v>
      </c>
    </row>
    <row r="2013" spans="1:17" x14ac:dyDescent="0.25">
      <c r="A2013" s="1">
        <f t="shared" ref="A2013:A2076" si="604">A2012+1</f>
        <v>2012</v>
      </c>
      <c r="C2013" s="85" t="s">
        <v>17</v>
      </c>
      <c r="D2013" s="2">
        <v>43591</v>
      </c>
      <c r="E2013" s="3">
        <v>2900</v>
      </c>
      <c r="F2013" s="23" t="s">
        <v>422</v>
      </c>
      <c r="G2013" s="18" t="s">
        <v>58</v>
      </c>
      <c r="H2013" t="s">
        <v>423</v>
      </c>
      <c r="I2013" s="6" t="s">
        <v>950</v>
      </c>
      <c r="J2013" s="61" t="s">
        <v>22</v>
      </c>
      <c r="L2013" s="5" t="str">
        <f t="shared" si="599"/>
        <v>02012</v>
      </c>
      <c r="M2013" s="47" t="str">
        <f t="shared" si="600"/>
        <v>06 de mayo de 2019</v>
      </c>
      <c r="N2013" s="323">
        <f t="shared" si="601"/>
        <v>6</v>
      </c>
      <c r="O2013" s="25">
        <f t="shared" si="602"/>
        <v>43586</v>
      </c>
      <c r="P2013" s="5" t="str">
        <f t="shared" si="603"/>
        <v>2.900,00</v>
      </c>
      <c r="Q2013" s="4" t="str">
        <f t="shared" si="598"/>
        <v>Dos Mil Novecientos Bolívares con 00/100</v>
      </c>
    </row>
    <row r="2014" spans="1:17" x14ac:dyDescent="0.25">
      <c r="A2014" s="1">
        <f t="shared" si="604"/>
        <v>2013</v>
      </c>
      <c r="C2014" s="8" t="s">
        <v>17</v>
      </c>
      <c r="D2014" s="2">
        <v>43591</v>
      </c>
      <c r="E2014" s="3">
        <v>10000</v>
      </c>
      <c r="F2014" t="s">
        <v>443</v>
      </c>
      <c r="G2014" t="s">
        <v>444</v>
      </c>
      <c r="H2014" t="s">
        <v>75</v>
      </c>
      <c r="I2014" s="6" t="s">
        <v>971</v>
      </c>
      <c r="J2014" s="61" t="s">
        <v>22</v>
      </c>
      <c r="L2014" s="5" t="str">
        <f t="shared" si="599"/>
        <v>02013</v>
      </c>
      <c r="M2014" s="47" t="str">
        <f t="shared" si="600"/>
        <v>06 de mayo de 2019</v>
      </c>
      <c r="N2014" s="323">
        <f t="shared" si="601"/>
        <v>6</v>
      </c>
      <c r="O2014" s="25">
        <f t="shared" si="602"/>
        <v>43586</v>
      </c>
      <c r="P2014" s="5" t="str">
        <f t="shared" si="603"/>
        <v>10.000,00</v>
      </c>
      <c r="Q2014" s="4" t="str">
        <f t="shared" si="598"/>
        <v>Diez Mil Bolívares con 00/100</v>
      </c>
    </row>
    <row r="2015" spans="1:17" x14ac:dyDescent="0.25">
      <c r="A2015" s="1">
        <f t="shared" si="604"/>
        <v>2014</v>
      </c>
      <c r="C2015" s="8" t="s">
        <v>17</v>
      </c>
      <c r="D2015" s="2">
        <v>43591</v>
      </c>
      <c r="E2015" s="3">
        <v>8000</v>
      </c>
      <c r="F2015" t="s">
        <v>633</v>
      </c>
      <c r="G2015" t="s">
        <v>634</v>
      </c>
      <c r="H2015" t="s">
        <v>635</v>
      </c>
      <c r="I2015" s="6" t="s">
        <v>970</v>
      </c>
      <c r="J2015" s="61" t="s">
        <v>22</v>
      </c>
      <c r="L2015" s="5" t="str">
        <f t="shared" si="599"/>
        <v>02014</v>
      </c>
      <c r="M2015" s="47" t="str">
        <f t="shared" si="600"/>
        <v>06 de mayo de 2019</v>
      </c>
      <c r="N2015" s="323">
        <f t="shared" si="601"/>
        <v>6</v>
      </c>
      <c r="O2015" s="25">
        <f t="shared" si="602"/>
        <v>43586</v>
      </c>
      <c r="P2015" s="5" t="str">
        <f t="shared" si="603"/>
        <v>8.000,00</v>
      </c>
      <c r="Q2015" s="4" t="str">
        <f t="shared" si="598"/>
        <v>Ocho Mil Bolívares con 00/100</v>
      </c>
    </row>
    <row r="2016" spans="1:17" x14ac:dyDescent="0.25">
      <c r="A2016" s="1">
        <f t="shared" si="604"/>
        <v>2015</v>
      </c>
      <c r="C2016" s="8" t="s">
        <v>17</v>
      </c>
      <c r="D2016" s="2">
        <v>43591</v>
      </c>
      <c r="E2016" s="3">
        <v>7000</v>
      </c>
      <c r="F2016" t="s">
        <v>138</v>
      </c>
      <c r="G2016" t="s">
        <v>139</v>
      </c>
      <c r="H2016" t="s">
        <v>140</v>
      </c>
      <c r="I2016" s="6" t="s">
        <v>972</v>
      </c>
      <c r="J2016" s="61" t="s">
        <v>22</v>
      </c>
      <c r="L2016" s="5" t="str">
        <f t="shared" si="599"/>
        <v>02015</v>
      </c>
      <c r="M2016" s="47" t="str">
        <f t="shared" si="600"/>
        <v>06 de mayo de 2019</v>
      </c>
      <c r="N2016" s="323">
        <f t="shared" si="601"/>
        <v>6</v>
      </c>
      <c r="O2016" s="25">
        <f t="shared" si="602"/>
        <v>43586</v>
      </c>
      <c r="P2016" s="5" t="str">
        <f t="shared" si="603"/>
        <v>7.000,00</v>
      </c>
      <c r="Q2016" s="4" t="str">
        <f t="shared" si="598"/>
        <v>Siete Mil Bolívares con 00/100</v>
      </c>
    </row>
    <row r="2017" spans="1:17" x14ac:dyDescent="0.25">
      <c r="A2017" s="1">
        <f t="shared" si="604"/>
        <v>2016</v>
      </c>
      <c r="C2017" s="8" t="s">
        <v>17</v>
      </c>
      <c r="D2017" s="2">
        <v>43591</v>
      </c>
      <c r="E2017" s="3">
        <v>8000</v>
      </c>
      <c r="F2017" t="s">
        <v>24</v>
      </c>
      <c r="G2017" t="s">
        <v>25</v>
      </c>
      <c r="H2017" t="s">
        <v>26</v>
      </c>
      <c r="I2017" s="6" t="s">
        <v>970</v>
      </c>
      <c r="J2017" s="61" t="s">
        <v>22</v>
      </c>
      <c r="L2017" s="5" t="str">
        <f t="shared" si="599"/>
        <v>02016</v>
      </c>
      <c r="M2017" s="47" t="str">
        <f t="shared" si="600"/>
        <v>06 de mayo de 2019</v>
      </c>
      <c r="N2017" s="323">
        <f t="shared" si="601"/>
        <v>6</v>
      </c>
      <c r="O2017" s="25">
        <f t="shared" si="602"/>
        <v>43586</v>
      </c>
      <c r="P2017" s="5" t="str">
        <f t="shared" si="603"/>
        <v>8.000,00</v>
      </c>
      <c r="Q2017" s="4" t="str">
        <f t="shared" si="598"/>
        <v>Ocho Mil Bolívares con 00/100</v>
      </c>
    </row>
    <row r="2018" spans="1:17" x14ac:dyDescent="0.25">
      <c r="A2018" s="1">
        <f t="shared" si="604"/>
        <v>2017</v>
      </c>
      <c r="C2018" s="8" t="s">
        <v>17</v>
      </c>
      <c r="D2018" s="2">
        <v>43593</v>
      </c>
      <c r="E2018" s="3">
        <v>3000</v>
      </c>
      <c r="F2018" t="s">
        <v>138</v>
      </c>
      <c r="G2018" t="s">
        <v>139</v>
      </c>
      <c r="H2018" t="s">
        <v>140</v>
      </c>
      <c r="I2018" s="6" t="s">
        <v>969</v>
      </c>
      <c r="J2018" s="61" t="s">
        <v>22</v>
      </c>
      <c r="L2018" s="5" t="str">
        <f t="shared" ref="L2018:L2050" si="605">IF(ISBLANK(A2018),"",TEXT(A2018,"00000"))</f>
        <v>02017</v>
      </c>
      <c r="M2018" s="47" t="str">
        <f t="shared" ref="M2018:M2050" si="606">IF(ISBLANK(D2018),"",TEXT(D2018,"dd")&amp;" de "&amp;TEXT(D2018,"mmmm")&amp;" de "&amp;TEXT(YEAR(D2018),"0"))</f>
        <v>08 de mayo de 2019</v>
      </c>
      <c r="N2018" s="323">
        <f t="shared" ref="N2018:N2050" si="607">DAY(D2018)</f>
        <v>8</v>
      </c>
      <c r="O2018" s="25">
        <f t="shared" ref="O2018:O2050" si="608">DATE(YEAR(D2018),MONTH(D2018),1)</f>
        <v>43586</v>
      </c>
      <c r="P2018" s="5" t="str">
        <f t="shared" ref="P2018:P2025" si="609">TEXT(E2018,"#.##0,00")</f>
        <v>3.000,00</v>
      </c>
      <c r="Q2018" s="4" t="str">
        <f t="shared" ref="Q2018:Q2025" si="610">CONVERTIRNUM(E2018)</f>
        <v>Tres Mil Bolívares con 00/100</v>
      </c>
    </row>
    <row r="2019" spans="1:17" x14ac:dyDescent="0.25">
      <c r="A2019" s="1">
        <f t="shared" si="604"/>
        <v>2018</v>
      </c>
      <c r="C2019" s="8" t="s">
        <v>17</v>
      </c>
      <c r="D2019" s="2">
        <v>43593</v>
      </c>
      <c r="E2019" s="3">
        <v>8000</v>
      </c>
      <c r="F2019" t="s">
        <v>483</v>
      </c>
      <c r="G2019" t="s">
        <v>484</v>
      </c>
      <c r="H2019" t="s">
        <v>485</v>
      </c>
      <c r="I2019" s="6" t="s">
        <v>970</v>
      </c>
      <c r="J2019" s="61" t="s">
        <v>22</v>
      </c>
      <c r="L2019" s="5" t="str">
        <f t="shared" si="605"/>
        <v>02018</v>
      </c>
      <c r="M2019" s="47" t="str">
        <f t="shared" si="606"/>
        <v>08 de mayo de 2019</v>
      </c>
      <c r="N2019" s="323">
        <f t="shared" si="607"/>
        <v>8</v>
      </c>
      <c r="O2019" s="25">
        <f t="shared" si="608"/>
        <v>43586</v>
      </c>
      <c r="P2019" s="5" t="str">
        <f t="shared" si="609"/>
        <v>8.000,00</v>
      </c>
      <c r="Q2019" s="4" t="str">
        <f t="shared" si="610"/>
        <v>Ocho Mil Bolívares con 00/100</v>
      </c>
    </row>
    <row r="2020" spans="1:17" x14ac:dyDescent="0.25">
      <c r="A2020" s="1">
        <f t="shared" si="604"/>
        <v>2019</v>
      </c>
      <c r="C2020" s="8" t="s">
        <v>17</v>
      </c>
      <c r="D2020" s="2">
        <v>43592</v>
      </c>
      <c r="E2020" s="3">
        <v>8000</v>
      </c>
      <c r="F2020" t="s">
        <v>296</v>
      </c>
      <c r="G2020" t="s">
        <v>297</v>
      </c>
      <c r="H2020" t="s">
        <v>298</v>
      </c>
      <c r="I2020" s="6" t="s">
        <v>970</v>
      </c>
      <c r="J2020" s="61" t="s">
        <v>22</v>
      </c>
      <c r="L2020" s="5" t="str">
        <f t="shared" si="605"/>
        <v>02019</v>
      </c>
      <c r="M2020" s="47" t="str">
        <f t="shared" si="606"/>
        <v>07 de mayo de 2019</v>
      </c>
      <c r="N2020" s="323">
        <f t="shared" si="607"/>
        <v>7</v>
      </c>
      <c r="O2020" s="25">
        <f t="shared" si="608"/>
        <v>43586</v>
      </c>
      <c r="P2020" s="5" t="str">
        <f t="shared" si="609"/>
        <v>8.000,00</v>
      </c>
      <c r="Q2020" s="4" t="str">
        <f t="shared" si="610"/>
        <v>Ocho Mil Bolívares con 00/100</v>
      </c>
    </row>
    <row r="2021" spans="1:17" x14ac:dyDescent="0.25">
      <c r="A2021" s="1">
        <f t="shared" si="604"/>
        <v>2020</v>
      </c>
      <c r="C2021" s="8" t="s">
        <v>17</v>
      </c>
      <c r="D2021" s="2">
        <v>43593</v>
      </c>
      <c r="E2021" s="3">
        <v>5000</v>
      </c>
      <c r="F2021" t="s">
        <v>291</v>
      </c>
      <c r="G2021" t="s">
        <v>292</v>
      </c>
      <c r="H2021" t="s">
        <v>293</v>
      </c>
      <c r="I2021" s="6" t="s">
        <v>917</v>
      </c>
      <c r="J2021" s="61" t="s">
        <v>22</v>
      </c>
      <c r="L2021" s="5" t="str">
        <f t="shared" si="605"/>
        <v>02020</v>
      </c>
      <c r="M2021" s="47" t="str">
        <f t="shared" si="606"/>
        <v>08 de mayo de 2019</v>
      </c>
      <c r="N2021" s="323">
        <f t="shared" si="607"/>
        <v>8</v>
      </c>
      <c r="O2021" s="25">
        <f t="shared" si="608"/>
        <v>43586</v>
      </c>
      <c r="P2021" s="5" t="str">
        <f t="shared" si="609"/>
        <v>5.000,00</v>
      </c>
      <c r="Q2021" s="4" t="str">
        <f t="shared" si="610"/>
        <v>Cinco Mil Bolívares con 00/100</v>
      </c>
    </row>
    <row r="2022" spans="1:17" x14ac:dyDescent="0.25">
      <c r="A2022" s="1">
        <f t="shared" si="604"/>
        <v>2021</v>
      </c>
      <c r="C2022" s="8" t="s">
        <v>17</v>
      </c>
      <c r="D2022" s="2">
        <v>43593</v>
      </c>
      <c r="E2022" s="3">
        <v>12000</v>
      </c>
      <c r="F2022" t="s">
        <v>80</v>
      </c>
      <c r="G2022" t="s">
        <v>81</v>
      </c>
      <c r="H2022" t="s">
        <v>82</v>
      </c>
      <c r="I2022" s="6" t="s">
        <v>970</v>
      </c>
      <c r="J2022" s="61" t="s">
        <v>22</v>
      </c>
      <c r="L2022" s="5" t="str">
        <f t="shared" si="605"/>
        <v>02021</v>
      </c>
      <c r="M2022" s="47" t="str">
        <f t="shared" si="606"/>
        <v>08 de mayo de 2019</v>
      </c>
      <c r="N2022" s="323">
        <f t="shared" si="607"/>
        <v>8</v>
      </c>
      <c r="O2022" s="25">
        <f t="shared" si="608"/>
        <v>43586</v>
      </c>
      <c r="P2022" s="5" t="str">
        <f t="shared" si="609"/>
        <v>12.000,00</v>
      </c>
      <c r="Q2022" s="4" t="str">
        <f t="shared" si="610"/>
        <v>Doce Mil Bolívares con 00/100</v>
      </c>
    </row>
    <row r="2023" spans="1:17" x14ac:dyDescent="0.25">
      <c r="A2023" s="1">
        <f t="shared" si="604"/>
        <v>2022</v>
      </c>
      <c r="C2023" s="8" t="s">
        <v>17</v>
      </c>
      <c r="D2023" s="2">
        <v>43594</v>
      </c>
      <c r="E2023" s="3">
        <v>13000</v>
      </c>
      <c r="F2023" t="s">
        <v>185</v>
      </c>
      <c r="G2023" t="s">
        <v>186</v>
      </c>
      <c r="H2023" t="s">
        <v>187</v>
      </c>
      <c r="I2023" s="6" t="s">
        <v>925</v>
      </c>
      <c r="J2023" s="61" t="s">
        <v>22</v>
      </c>
      <c r="L2023" s="5" t="str">
        <f t="shared" si="605"/>
        <v>02022</v>
      </c>
      <c r="M2023" s="47" t="str">
        <f t="shared" si="606"/>
        <v>09 de mayo de 2019</v>
      </c>
      <c r="N2023" s="323">
        <f t="shared" si="607"/>
        <v>9</v>
      </c>
      <c r="O2023" s="25">
        <f t="shared" si="608"/>
        <v>43586</v>
      </c>
      <c r="P2023" s="5" t="str">
        <f t="shared" si="609"/>
        <v>13.000,00</v>
      </c>
      <c r="Q2023" s="4" t="str">
        <f t="shared" si="610"/>
        <v>Trece Mil Bolívares con 00/100</v>
      </c>
    </row>
    <row r="2024" spans="1:17" x14ac:dyDescent="0.25">
      <c r="A2024" s="1">
        <f t="shared" si="604"/>
        <v>2023</v>
      </c>
      <c r="C2024" s="85" t="s">
        <v>17</v>
      </c>
      <c r="D2024" s="2">
        <v>43594</v>
      </c>
      <c r="E2024" s="3">
        <v>8000</v>
      </c>
      <c r="F2024" t="s">
        <v>319</v>
      </c>
      <c r="G2024" s="18" t="s">
        <v>58</v>
      </c>
      <c r="H2024" t="s">
        <v>320</v>
      </c>
      <c r="I2024" s="6" t="s">
        <v>970</v>
      </c>
      <c r="J2024" s="61" t="s">
        <v>22</v>
      </c>
      <c r="L2024" s="5" t="str">
        <f t="shared" si="605"/>
        <v>02023</v>
      </c>
      <c r="M2024" s="47" t="str">
        <f t="shared" si="606"/>
        <v>09 de mayo de 2019</v>
      </c>
      <c r="N2024" s="323">
        <f t="shared" si="607"/>
        <v>9</v>
      </c>
      <c r="O2024" s="25">
        <f t="shared" si="608"/>
        <v>43586</v>
      </c>
      <c r="P2024" s="5" t="str">
        <f t="shared" si="609"/>
        <v>8.000,00</v>
      </c>
      <c r="Q2024" s="4" t="str">
        <f t="shared" si="610"/>
        <v>Ocho Mil Bolívares con 00/100</v>
      </c>
    </row>
    <row r="2025" spans="1:17" x14ac:dyDescent="0.25">
      <c r="A2025" s="1">
        <f t="shared" si="604"/>
        <v>2024</v>
      </c>
      <c r="C2025" s="8" t="s">
        <v>17</v>
      </c>
      <c r="D2025" s="2">
        <v>43594</v>
      </c>
      <c r="E2025" s="3">
        <v>5000</v>
      </c>
      <c r="F2025" t="s">
        <v>28</v>
      </c>
      <c r="G2025" t="s">
        <v>716</v>
      </c>
      <c r="H2025" t="s">
        <v>30</v>
      </c>
      <c r="I2025" s="6" t="s">
        <v>968</v>
      </c>
      <c r="J2025" s="61" t="s">
        <v>22</v>
      </c>
      <c r="L2025" s="5" t="str">
        <f t="shared" si="605"/>
        <v>02024</v>
      </c>
      <c r="M2025" s="47" t="str">
        <f t="shared" si="606"/>
        <v>09 de mayo de 2019</v>
      </c>
      <c r="N2025" s="323">
        <f t="shared" si="607"/>
        <v>9</v>
      </c>
      <c r="O2025" s="25">
        <f t="shared" si="608"/>
        <v>43586</v>
      </c>
      <c r="P2025" s="5" t="str">
        <f t="shared" si="609"/>
        <v>5.000,00</v>
      </c>
      <c r="Q2025" s="4" t="str">
        <f t="shared" si="610"/>
        <v>Cinco Mil Bolívares con 00/100</v>
      </c>
    </row>
    <row r="2026" spans="1:17" x14ac:dyDescent="0.25">
      <c r="A2026" s="1">
        <f t="shared" si="604"/>
        <v>2025</v>
      </c>
      <c r="C2026" s="8" t="s">
        <v>17</v>
      </c>
      <c r="D2026" s="2">
        <v>43596</v>
      </c>
      <c r="E2026" s="3">
        <v>8000</v>
      </c>
      <c r="F2026" t="s">
        <v>162</v>
      </c>
      <c r="G2026" t="s">
        <v>163</v>
      </c>
      <c r="H2026" t="s">
        <v>164</v>
      </c>
      <c r="I2026" s="6" t="s">
        <v>970</v>
      </c>
      <c r="J2026" s="61" t="s">
        <v>22</v>
      </c>
      <c r="L2026" s="5" t="str">
        <f t="shared" si="605"/>
        <v>02025</v>
      </c>
      <c r="M2026" s="47" t="str">
        <f t="shared" si="606"/>
        <v>11 de mayo de 2019</v>
      </c>
      <c r="N2026" s="323">
        <f t="shared" si="607"/>
        <v>11</v>
      </c>
      <c r="O2026" s="25">
        <f t="shared" si="608"/>
        <v>43586</v>
      </c>
      <c r="P2026" s="5" t="str">
        <f>TEXT(E2026,"#.##0,00")</f>
        <v>8.000,00</v>
      </c>
      <c r="Q2026" s="4" t="str">
        <f>CONVERTIRNUM(E2026)</f>
        <v>Ocho Mil Bolívares con 00/100</v>
      </c>
    </row>
    <row r="2027" spans="1:17" x14ac:dyDescent="0.25">
      <c r="A2027" s="1">
        <f t="shared" si="604"/>
        <v>2026</v>
      </c>
      <c r="C2027" s="8" t="s">
        <v>17</v>
      </c>
      <c r="D2027" s="2">
        <v>43598</v>
      </c>
      <c r="E2027" s="3">
        <v>8000</v>
      </c>
      <c r="F2027" t="s">
        <v>947</v>
      </c>
      <c r="G2027" t="s">
        <v>948</v>
      </c>
      <c r="H2027" t="s">
        <v>949</v>
      </c>
      <c r="I2027" s="6" t="s">
        <v>970</v>
      </c>
      <c r="J2027" s="61" t="s">
        <v>22</v>
      </c>
      <c r="L2027" s="5" t="str">
        <f t="shared" si="605"/>
        <v>02026</v>
      </c>
      <c r="M2027" s="47" t="str">
        <f t="shared" si="606"/>
        <v>13 de mayo de 2019</v>
      </c>
      <c r="N2027" s="323">
        <f t="shared" si="607"/>
        <v>13</v>
      </c>
      <c r="O2027" s="25">
        <f t="shared" si="608"/>
        <v>43586</v>
      </c>
      <c r="P2027" s="5" t="str">
        <f t="shared" ref="P2027:P2050" si="611">TEXT(E2027,"#.##0,00")</f>
        <v>8.000,00</v>
      </c>
      <c r="Q2027" s="4" t="str">
        <f t="shared" ref="Q2027:Q2050" si="612">CONVERTIRNUM(E2027)</f>
        <v>Ocho Mil Bolívares con 00/100</v>
      </c>
    </row>
    <row r="2028" spans="1:17" x14ac:dyDescent="0.25">
      <c r="A2028" s="1">
        <f t="shared" si="604"/>
        <v>2027</v>
      </c>
      <c r="C2028" s="8" t="s">
        <v>17</v>
      </c>
      <c r="D2028" s="2">
        <v>43598</v>
      </c>
      <c r="E2028" s="3">
        <v>8000</v>
      </c>
      <c r="F2028" t="s">
        <v>18</v>
      </c>
      <c r="G2028" t="s">
        <v>19</v>
      </c>
      <c r="H2028" t="s">
        <v>20</v>
      </c>
      <c r="I2028" s="6" t="s">
        <v>973</v>
      </c>
      <c r="J2028" s="61" t="s">
        <v>22</v>
      </c>
      <c r="L2028" s="5" t="str">
        <f t="shared" si="605"/>
        <v>02027</v>
      </c>
      <c r="M2028" s="47" t="str">
        <f t="shared" si="606"/>
        <v>13 de mayo de 2019</v>
      </c>
      <c r="N2028" s="323">
        <f t="shared" si="607"/>
        <v>13</v>
      </c>
      <c r="O2028" s="25">
        <f t="shared" si="608"/>
        <v>43586</v>
      </c>
      <c r="P2028" s="5" t="str">
        <f t="shared" si="611"/>
        <v>8.000,00</v>
      </c>
      <c r="Q2028" s="4" t="str">
        <f t="shared" si="612"/>
        <v>Ocho Mil Bolívares con 00/100</v>
      </c>
    </row>
    <row r="2029" spans="1:17" x14ac:dyDescent="0.25">
      <c r="A2029" s="1">
        <f t="shared" si="604"/>
        <v>2028</v>
      </c>
      <c r="C2029" s="8" t="s">
        <v>17</v>
      </c>
      <c r="D2029" s="2">
        <v>43598</v>
      </c>
      <c r="E2029" s="3">
        <v>8000</v>
      </c>
      <c r="F2029" t="s">
        <v>438</v>
      </c>
      <c r="G2029" t="s">
        <v>439</v>
      </c>
      <c r="H2029" t="s">
        <v>440</v>
      </c>
      <c r="I2029" s="6" t="s">
        <v>974</v>
      </c>
      <c r="J2029" s="61" t="s">
        <v>22</v>
      </c>
      <c r="L2029" s="5" t="str">
        <f t="shared" si="605"/>
        <v>02028</v>
      </c>
      <c r="M2029" s="47" t="str">
        <f t="shared" si="606"/>
        <v>13 de mayo de 2019</v>
      </c>
      <c r="N2029" s="323">
        <f t="shared" si="607"/>
        <v>13</v>
      </c>
      <c r="O2029" s="25">
        <f t="shared" si="608"/>
        <v>43586</v>
      </c>
      <c r="P2029" s="5" t="str">
        <f t="shared" si="611"/>
        <v>8.000,00</v>
      </c>
      <c r="Q2029" s="4" t="str">
        <f t="shared" si="612"/>
        <v>Ocho Mil Bolívares con 00/100</v>
      </c>
    </row>
    <row r="2030" spans="1:17" x14ac:dyDescent="0.25">
      <c r="A2030" s="1">
        <f t="shared" si="604"/>
        <v>2029</v>
      </c>
      <c r="C2030" s="8" t="s">
        <v>17</v>
      </c>
      <c r="D2030" s="2">
        <v>43599</v>
      </c>
      <c r="E2030" s="3">
        <v>19800</v>
      </c>
      <c r="F2030" t="s">
        <v>94</v>
      </c>
      <c r="G2030" t="s">
        <v>607</v>
      </c>
      <c r="H2030" t="s">
        <v>96</v>
      </c>
      <c r="I2030" s="6" t="s">
        <v>975</v>
      </c>
      <c r="J2030" s="61" t="s">
        <v>22</v>
      </c>
      <c r="L2030" s="5" t="str">
        <f t="shared" si="605"/>
        <v>02029</v>
      </c>
      <c r="M2030" s="47" t="str">
        <f t="shared" si="606"/>
        <v>14 de mayo de 2019</v>
      </c>
      <c r="N2030" s="323">
        <f t="shared" si="607"/>
        <v>14</v>
      </c>
      <c r="O2030" s="25">
        <f t="shared" si="608"/>
        <v>43586</v>
      </c>
      <c r="P2030" s="5" t="str">
        <f t="shared" si="611"/>
        <v>19.800,00</v>
      </c>
      <c r="Q2030" s="4" t="str">
        <f t="shared" si="612"/>
        <v>Diecinueve Mil Ochocientos Bolívares con 00/100</v>
      </c>
    </row>
    <row r="2031" spans="1:17" x14ac:dyDescent="0.25">
      <c r="A2031" s="1">
        <f t="shared" si="604"/>
        <v>2030</v>
      </c>
      <c r="C2031" s="8" t="s">
        <v>17</v>
      </c>
      <c r="D2031" s="2">
        <v>43599</v>
      </c>
      <c r="E2031" s="3">
        <v>8000</v>
      </c>
      <c r="F2031" t="s">
        <v>342</v>
      </c>
      <c r="G2031" t="s">
        <v>343</v>
      </c>
      <c r="H2031" t="s">
        <v>344</v>
      </c>
      <c r="I2031" s="6" t="s">
        <v>970</v>
      </c>
      <c r="J2031" s="61" t="s">
        <v>22</v>
      </c>
      <c r="L2031" s="5" t="str">
        <f t="shared" si="605"/>
        <v>02030</v>
      </c>
      <c r="M2031" s="47" t="str">
        <f t="shared" si="606"/>
        <v>14 de mayo de 2019</v>
      </c>
      <c r="N2031" s="323">
        <f t="shared" si="607"/>
        <v>14</v>
      </c>
      <c r="O2031" s="25">
        <f t="shared" si="608"/>
        <v>43586</v>
      </c>
      <c r="P2031" s="5" t="str">
        <f t="shared" si="611"/>
        <v>8.000,00</v>
      </c>
      <c r="Q2031" s="4" t="str">
        <f t="shared" si="612"/>
        <v>Ocho Mil Bolívares con 00/100</v>
      </c>
    </row>
    <row r="2032" spans="1:17" x14ac:dyDescent="0.25">
      <c r="A2032" s="1">
        <f t="shared" si="604"/>
        <v>2031</v>
      </c>
      <c r="C2032" s="8" t="s">
        <v>17</v>
      </c>
      <c r="D2032" s="2">
        <v>43599</v>
      </c>
      <c r="E2032" s="3">
        <v>8000</v>
      </c>
      <c r="F2032" t="s">
        <v>713</v>
      </c>
      <c r="G2032" t="s">
        <v>714</v>
      </c>
      <c r="H2032" t="s">
        <v>154</v>
      </c>
      <c r="I2032" s="6" t="s">
        <v>970</v>
      </c>
      <c r="J2032" s="61" t="s">
        <v>22</v>
      </c>
      <c r="L2032" s="5" t="str">
        <f t="shared" si="605"/>
        <v>02031</v>
      </c>
      <c r="M2032" s="47" t="str">
        <f t="shared" si="606"/>
        <v>14 de mayo de 2019</v>
      </c>
      <c r="N2032" s="323">
        <f t="shared" si="607"/>
        <v>14</v>
      </c>
      <c r="O2032" s="25">
        <f t="shared" si="608"/>
        <v>43586</v>
      </c>
      <c r="P2032" s="5" t="str">
        <f t="shared" si="611"/>
        <v>8.000,00</v>
      </c>
      <c r="Q2032" s="4" t="str">
        <f t="shared" si="612"/>
        <v>Ocho Mil Bolívares con 00/100</v>
      </c>
    </row>
    <row r="2033" spans="1:17" x14ac:dyDescent="0.25">
      <c r="A2033" s="1">
        <f t="shared" si="604"/>
        <v>2032</v>
      </c>
      <c r="C2033" s="8" t="s">
        <v>17</v>
      </c>
      <c r="D2033" s="2">
        <v>43599</v>
      </c>
      <c r="E2033" s="3">
        <v>8000</v>
      </c>
      <c r="F2033" t="s">
        <v>417</v>
      </c>
      <c r="G2033" t="s">
        <v>418</v>
      </c>
      <c r="H2033" t="s">
        <v>419</v>
      </c>
      <c r="I2033" s="6" t="s">
        <v>970</v>
      </c>
      <c r="J2033" s="61" t="s">
        <v>22</v>
      </c>
      <c r="L2033" s="5" t="str">
        <f t="shared" si="605"/>
        <v>02032</v>
      </c>
      <c r="M2033" s="47" t="str">
        <f t="shared" si="606"/>
        <v>14 de mayo de 2019</v>
      </c>
      <c r="N2033" s="323">
        <f t="shared" si="607"/>
        <v>14</v>
      </c>
      <c r="O2033" s="25">
        <f t="shared" si="608"/>
        <v>43586</v>
      </c>
      <c r="P2033" s="5" t="str">
        <f t="shared" si="611"/>
        <v>8.000,00</v>
      </c>
      <c r="Q2033" s="4" t="str">
        <f t="shared" si="612"/>
        <v>Ocho Mil Bolívares con 00/100</v>
      </c>
    </row>
    <row r="2034" spans="1:17" x14ac:dyDescent="0.25">
      <c r="A2034" s="1">
        <f t="shared" si="604"/>
        <v>2033</v>
      </c>
      <c r="C2034" s="8" t="s">
        <v>17</v>
      </c>
      <c r="D2034" s="2">
        <v>43599</v>
      </c>
      <c r="E2034" s="3">
        <v>13000</v>
      </c>
      <c r="F2034" t="s">
        <v>287</v>
      </c>
      <c r="G2034" t="s">
        <v>288</v>
      </c>
      <c r="H2034" t="s">
        <v>289</v>
      </c>
      <c r="I2034" s="6" t="s">
        <v>925</v>
      </c>
      <c r="J2034" s="61" t="s">
        <v>22</v>
      </c>
      <c r="L2034" s="5" t="str">
        <f t="shared" si="605"/>
        <v>02033</v>
      </c>
      <c r="M2034" s="47" t="str">
        <f t="shared" si="606"/>
        <v>14 de mayo de 2019</v>
      </c>
      <c r="N2034" s="323">
        <f t="shared" si="607"/>
        <v>14</v>
      </c>
      <c r="O2034" s="25">
        <f t="shared" si="608"/>
        <v>43586</v>
      </c>
      <c r="P2034" s="5" t="str">
        <f t="shared" si="611"/>
        <v>13.000,00</v>
      </c>
      <c r="Q2034" s="4" t="str">
        <f t="shared" si="612"/>
        <v>Trece Mil Bolívares con 00/100</v>
      </c>
    </row>
    <row r="2035" spans="1:17" x14ac:dyDescent="0.25">
      <c r="A2035" s="1">
        <f t="shared" si="604"/>
        <v>2034</v>
      </c>
      <c r="C2035" s="8" t="s">
        <v>17</v>
      </c>
      <c r="D2035" s="2">
        <v>43600</v>
      </c>
      <c r="E2035" s="3">
        <v>8000</v>
      </c>
      <c r="F2035" t="s">
        <v>53</v>
      </c>
      <c r="G2035" t="s">
        <v>677</v>
      </c>
      <c r="H2035" t="s">
        <v>55</v>
      </c>
      <c r="I2035" s="6" t="s">
        <v>970</v>
      </c>
      <c r="J2035" s="61" t="s">
        <v>22</v>
      </c>
      <c r="L2035" s="5" t="str">
        <f t="shared" si="605"/>
        <v>02034</v>
      </c>
      <c r="M2035" s="47" t="str">
        <f t="shared" si="606"/>
        <v>15 de mayo de 2019</v>
      </c>
      <c r="N2035" s="323">
        <f t="shared" si="607"/>
        <v>15</v>
      </c>
      <c r="O2035" s="25">
        <f t="shared" si="608"/>
        <v>43586</v>
      </c>
      <c r="P2035" s="5" t="str">
        <f t="shared" si="611"/>
        <v>8.000,00</v>
      </c>
      <c r="Q2035" s="4" t="str">
        <f t="shared" si="612"/>
        <v>Ocho Mil Bolívares con 00/100</v>
      </c>
    </row>
    <row r="2036" spans="1:17" x14ac:dyDescent="0.25">
      <c r="A2036" s="1">
        <f t="shared" si="604"/>
        <v>2035</v>
      </c>
      <c r="C2036" s="8" t="s">
        <v>17</v>
      </c>
      <c r="D2036" s="2">
        <v>43600</v>
      </c>
      <c r="E2036" s="3">
        <f>4000+4000</f>
        <v>8000</v>
      </c>
      <c r="F2036" t="s">
        <v>252</v>
      </c>
      <c r="G2036" s="475" t="s">
        <v>958</v>
      </c>
      <c r="H2036" t="s">
        <v>254</v>
      </c>
      <c r="I2036" s="6" t="s">
        <v>970</v>
      </c>
      <c r="J2036" s="61" t="s">
        <v>22</v>
      </c>
      <c r="L2036" s="5" t="str">
        <f t="shared" si="605"/>
        <v>02035</v>
      </c>
      <c r="M2036" s="47" t="str">
        <f t="shared" si="606"/>
        <v>15 de mayo de 2019</v>
      </c>
      <c r="N2036" s="323">
        <f t="shared" si="607"/>
        <v>15</v>
      </c>
      <c r="O2036" s="25">
        <f t="shared" si="608"/>
        <v>43586</v>
      </c>
      <c r="P2036" s="5" t="str">
        <f t="shared" si="611"/>
        <v>8.000,00</v>
      </c>
      <c r="Q2036" s="4" t="str">
        <f t="shared" si="612"/>
        <v>Ocho Mil Bolívares con 00/100</v>
      </c>
    </row>
    <row r="2037" spans="1:17" x14ac:dyDescent="0.25">
      <c r="A2037" s="1">
        <f t="shared" si="604"/>
        <v>2036</v>
      </c>
      <c r="C2037" s="8" t="s">
        <v>17</v>
      </c>
      <c r="D2037" s="2">
        <v>43600</v>
      </c>
      <c r="E2037" s="3">
        <v>8000</v>
      </c>
      <c r="F2037" t="s">
        <v>201</v>
      </c>
      <c r="G2037" t="s">
        <v>202</v>
      </c>
      <c r="H2037" t="s">
        <v>203</v>
      </c>
      <c r="I2037" s="6" t="s">
        <v>970</v>
      </c>
      <c r="J2037" s="61" t="s">
        <v>22</v>
      </c>
      <c r="L2037" s="5" t="str">
        <f t="shared" si="605"/>
        <v>02036</v>
      </c>
      <c r="M2037" s="47" t="str">
        <f t="shared" si="606"/>
        <v>15 de mayo de 2019</v>
      </c>
      <c r="N2037" s="323">
        <f t="shared" si="607"/>
        <v>15</v>
      </c>
      <c r="O2037" s="25">
        <f t="shared" si="608"/>
        <v>43586</v>
      </c>
      <c r="P2037" s="5" t="str">
        <f t="shared" si="611"/>
        <v>8.000,00</v>
      </c>
      <c r="Q2037" s="4" t="str">
        <f t="shared" si="612"/>
        <v>Ocho Mil Bolívares con 00/100</v>
      </c>
    </row>
    <row r="2038" spans="1:17" x14ac:dyDescent="0.25">
      <c r="A2038" s="1">
        <f t="shared" si="604"/>
        <v>2037</v>
      </c>
      <c r="C2038" s="8" t="s">
        <v>17</v>
      </c>
      <c r="D2038" s="2">
        <v>43601</v>
      </c>
      <c r="E2038" s="3">
        <v>8000</v>
      </c>
      <c r="F2038" t="s">
        <v>785</v>
      </c>
      <c r="G2038" t="s">
        <v>786</v>
      </c>
      <c r="H2038" t="s">
        <v>719</v>
      </c>
      <c r="I2038" s="6" t="s">
        <v>967</v>
      </c>
      <c r="J2038" s="61" t="s">
        <v>22</v>
      </c>
      <c r="L2038" s="5" t="str">
        <f t="shared" si="605"/>
        <v>02037</v>
      </c>
      <c r="M2038" s="47" t="str">
        <f t="shared" si="606"/>
        <v>16 de mayo de 2019</v>
      </c>
      <c r="N2038" s="323">
        <f t="shared" si="607"/>
        <v>16</v>
      </c>
      <c r="O2038" s="25">
        <f t="shared" si="608"/>
        <v>43586</v>
      </c>
      <c r="P2038" s="5" t="str">
        <f t="shared" si="611"/>
        <v>8.000,00</v>
      </c>
      <c r="Q2038" s="4" t="str">
        <f t="shared" si="612"/>
        <v>Ocho Mil Bolívares con 00/100</v>
      </c>
    </row>
    <row r="2039" spans="1:17" x14ac:dyDescent="0.25">
      <c r="A2039" s="1">
        <f t="shared" si="604"/>
        <v>2038</v>
      </c>
      <c r="C2039" s="8" t="s">
        <v>17</v>
      </c>
      <c r="D2039" s="2">
        <v>43601</v>
      </c>
      <c r="E2039" s="3">
        <v>8000</v>
      </c>
      <c r="F2039" t="s">
        <v>181</v>
      </c>
      <c r="G2039" t="s">
        <v>182</v>
      </c>
      <c r="H2039" t="s">
        <v>183</v>
      </c>
      <c r="I2039" s="6" t="s">
        <v>970</v>
      </c>
      <c r="J2039" s="61" t="s">
        <v>22</v>
      </c>
      <c r="L2039" s="5" t="str">
        <f t="shared" si="605"/>
        <v>02038</v>
      </c>
      <c r="M2039" s="47" t="str">
        <f t="shared" si="606"/>
        <v>16 de mayo de 2019</v>
      </c>
      <c r="N2039" s="323">
        <f t="shared" si="607"/>
        <v>16</v>
      </c>
      <c r="O2039" s="25">
        <f t="shared" si="608"/>
        <v>43586</v>
      </c>
      <c r="P2039" s="5" t="str">
        <f t="shared" si="611"/>
        <v>8.000,00</v>
      </c>
      <c r="Q2039" s="4" t="str">
        <f t="shared" si="612"/>
        <v>Ocho Mil Bolívares con 00/100</v>
      </c>
    </row>
    <row r="2040" spans="1:17" x14ac:dyDescent="0.25">
      <c r="A2040" s="1">
        <f t="shared" si="604"/>
        <v>2039</v>
      </c>
      <c r="C2040" s="85" t="s">
        <v>17</v>
      </c>
      <c r="D2040" s="2">
        <v>43601</v>
      </c>
      <c r="E2040" s="162">
        <v>20000</v>
      </c>
      <c r="F2040" t="s">
        <v>492</v>
      </c>
      <c r="G2040" s="18" t="s">
        <v>58</v>
      </c>
      <c r="H2040" t="s">
        <v>493</v>
      </c>
      <c r="I2040" s="6" t="s">
        <v>976</v>
      </c>
      <c r="J2040" s="61" t="s">
        <v>22</v>
      </c>
      <c r="L2040" s="5" t="str">
        <f t="shared" si="605"/>
        <v>02039</v>
      </c>
      <c r="M2040" s="47" t="str">
        <f t="shared" si="606"/>
        <v>16 de mayo de 2019</v>
      </c>
      <c r="N2040" s="323">
        <f t="shared" si="607"/>
        <v>16</v>
      </c>
      <c r="O2040" s="25">
        <f t="shared" si="608"/>
        <v>43586</v>
      </c>
      <c r="P2040" s="5" t="str">
        <f t="shared" si="611"/>
        <v>20.000,00</v>
      </c>
      <c r="Q2040" s="4" t="str">
        <f t="shared" si="612"/>
        <v>Veinte Mil Bolívares con 00/100</v>
      </c>
    </row>
    <row r="2041" spans="1:17" x14ac:dyDescent="0.25">
      <c r="A2041" s="1">
        <f t="shared" si="604"/>
        <v>2040</v>
      </c>
      <c r="C2041" s="8" t="s">
        <v>17</v>
      </c>
      <c r="D2041" s="2">
        <v>43601</v>
      </c>
      <c r="E2041" s="3">
        <v>8000</v>
      </c>
      <c r="F2041" t="s">
        <v>130</v>
      </c>
      <c r="G2041" t="s">
        <v>131</v>
      </c>
      <c r="H2041" t="s">
        <v>132</v>
      </c>
      <c r="I2041" s="6" t="s">
        <v>970</v>
      </c>
      <c r="J2041" s="61" t="s">
        <v>22</v>
      </c>
      <c r="L2041" s="5" t="str">
        <f t="shared" si="605"/>
        <v>02040</v>
      </c>
      <c r="M2041" s="47" t="str">
        <f t="shared" si="606"/>
        <v>16 de mayo de 2019</v>
      </c>
      <c r="N2041" s="323">
        <f t="shared" si="607"/>
        <v>16</v>
      </c>
      <c r="O2041" s="25">
        <f t="shared" si="608"/>
        <v>43586</v>
      </c>
      <c r="P2041" s="5" t="str">
        <f t="shared" si="611"/>
        <v>8.000,00</v>
      </c>
      <c r="Q2041" s="4" t="str">
        <f t="shared" si="612"/>
        <v>Ocho Mil Bolívares con 00/100</v>
      </c>
    </row>
    <row r="2042" spans="1:17" x14ac:dyDescent="0.25">
      <c r="A2042" s="1">
        <f t="shared" si="604"/>
        <v>2041</v>
      </c>
      <c r="C2042" s="8" t="s">
        <v>17</v>
      </c>
      <c r="D2042" s="2">
        <v>43601</v>
      </c>
      <c r="E2042" s="3">
        <v>12000</v>
      </c>
      <c r="F2042" t="s">
        <v>264</v>
      </c>
      <c r="G2042" t="s">
        <v>265</v>
      </c>
      <c r="H2042" t="s">
        <v>266</v>
      </c>
      <c r="I2042" s="6" t="s">
        <v>977</v>
      </c>
      <c r="J2042" s="61" t="s">
        <v>22</v>
      </c>
      <c r="L2042" s="5" t="str">
        <f t="shared" si="605"/>
        <v>02041</v>
      </c>
      <c r="M2042" s="47" t="str">
        <f t="shared" si="606"/>
        <v>16 de mayo de 2019</v>
      </c>
      <c r="N2042" s="323">
        <f t="shared" si="607"/>
        <v>16</v>
      </c>
      <c r="O2042" s="25">
        <f t="shared" si="608"/>
        <v>43586</v>
      </c>
      <c r="P2042" s="5" t="str">
        <f t="shared" si="611"/>
        <v>12.000,00</v>
      </c>
      <c r="Q2042" s="4" t="str">
        <f t="shared" si="612"/>
        <v>Doce Mil Bolívares con 00/100</v>
      </c>
    </row>
    <row r="2043" spans="1:17" x14ac:dyDescent="0.25">
      <c r="A2043" s="1">
        <f t="shared" si="604"/>
        <v>2042</v>
      </c>
      <c r="C2043" s="8" t="s">
        <v>17</v>
      </c>
      <c r="D2043" s="2">
        <v>43602</v>
      </c>
      <c r="E2043" s="3">
        <v>5000</v>
      </c>
      <c r="F2043" t="s">
        <v>62</v>
      </c>
      <c r="G2043" t="s">
        <v>63</v>
      </c>
      <c r="H2043" t="s">
        <v>64</v>
      </c>
      <c r="I2043" s="6" t="s">
        <v>917</v>
      </c>
      <c r="J2043" s="61" t="s">
        <v>22</v>
      </c>
      <c r="L2043" s="5" t="str">
        <f t="shared" si="605"/>
        <v>02042</v>
      </c>
      <c r="M2043" s="47" t="str">
        <f t="shared" si="606"/>
        <v>17 de mayo de 2019</v>
      </c>
      <c r="N2043" s="323">
        <f t="shared" si="607"/>
        <v>17</v>
      </c>
      <c r="O2043" s="25">
        <f t="shared" si="608"/>
        <v>43586</v>
      </c>
      <c r="P2043" s="5" t="str">
        <f t="shared" si="611"/>
        <v>5.000,00</v>
      </c>
      <c r="Q2043" s="4" t="str">
        <f t="shared" si="612"/>
        <v>Cinco Mil Bolívares con 00/100</v>
      </c>
    </row>
    <row r="2044" spans="1:17" x14ac:dyDescent="0.25">
      <c r="A2044" s="1">
        <f t="shared" si="604"/>
        <v>2043</v>
      </c>
      <c r="C2044" s="8" t="s">
        <v>17</v>
      </c>
      <c r="D2044" s="2">
        <v>43602</v>
      </c>
      <c r="E2044" s="3">
        <v>8000</v>
      </c>
      <c r="F2044" t="s">
        <v>122</v>
      </c>
      <c r="G2044" t="s">
        <v>123</v>
      </c>
      <c r="H2044" t="s">
        <v>124</v>
      </c>
      <c r="I2044" s="6" t="s">
        <v>970</v>
      </c>
      <c r="J2044" s="61" t="s">
        <v>22</v>
      </c>
      <c r="L2044" s="5" t="str">
        <f t="shared" si="605"/>
        <v>02043</v>
      </c>
      <c r="M2044" s="47" t="str">
        <f t="shared" si="606"/>
        <v>17 de mayo de 2019</v>
      </c>
      <c r="N2044" s="323">
        <f t="shared" si="607"/>
        <v>17</v>
      </c>
      <c r="O2044" s="25">
        <f t="shared" si="608"/>
        <v>43586</v>
      </c>
      <c r="P2044" s="5" t="str">
        <f t="shared" si="611"/>
        <v>8.000,00</v>
      </c>
      <c r="Q2044" s="4" t="str">
        <f t="shared" si="612"/>
        <v>Ocho Mil Bolívares con 00/100</v>
      </c>
    </row>
    <row r="2045" spans="1:17" x14ac:dyDescent="0.25">
      <c r="A2045" s="1">
        <f t="shared" si="604"/>
        <v>2044</v>
      </c>
      <c r="C2045" s="8" t="s">
        <v>17</v>
      </c>
      <c r="D2045" s="2">
        <v>43601</v>
      </c>
      <c r="E2045" s="3">
        <v>13000</v>
      </c>
      <c r="F2045" t="s">
        <v>537</v>
      </c>
      <c r="G2045" t="s">
        <v>538</v>
      </c>
      <c r="H2045" t="s">
        <v>539</v>
      </c>
      <c r="I2045" s="6" t="s">
        <v>925</v>
      </c>
      <c r="J2045" s="61" t="s">
        <v>22</v>
      </c>
      <c r="L2045" s="5" t="str">
        <f t="shared" si="605"/>
        <v>02044</v>
      </c>
      <c r="M2045" s="47" t="str">
        <f t="shared" si="606"/>
        <v>16 de mayo de 2019</v>
      </c>
      <c r="N2045" s="323">
        <f t="shared" si="607"/>
        <v>16</v>
      </c>
      <c r="O2045" s="25">
        <f t="shared" si="608"/>
        <v>43586</v>
      </c>
      <c r="P2045" s="5" t="str">
        <f t="shared" si="611"/>
        <v>13.000,00</v>
      </c>
      <c r="Q2045" s="4" t="str">
        <f t="shared" si="612"/>
        <v>Trece Mil Bolívares con 00/100</v>
      </c>
    </row>
    <row r="2046" spans="1:17" x14ac:dyDescent="0.25">
      <c r="A2046" s="1">
        <f t="shared" si="604"/>
        <v>2045</v>
      </c>
      <c r="C2046" s="8" t="s">
        <v>17</v>
      </c>
      <c r="D2046" s="2">
        <v>43604</v>
      </c>
      <c r="E2046" s="3">
        <v>8000</v>
      </c>
      <c r="F2046" t="s">
        <v>312</v>
      </c>
      <c r="G2046" t="s">
        <v>313</v>
      </c>
      <c r="H2046" t="s">
        <v>314</v>
      </c>
      <c r="I2046" s="6" t="s">
        <v>970</v>
      </c>
      <c r="J2046" s="61" t="s">
        <v>22</v>
      </c>
      <c r="L2046" s="5" t="str">
        <f t="shared" si="605"/>
        <v>02045</v>
      </c>
      <c r="M2046" s="47" t="str">
        <f t="shared" si="606"/>
        <v>19 de mayo de 2019</v>
      </c>
      <c r="N2046" s="323">
        <f t="shared" si="607"/>
        <v>19</v>
      </c>
      <c r="O2046" s="25">
        <f t="shared" si="608"/>
        <v>43586</v>
      </c>
      <c r="P2046" s="5" t="str">
        <f t="shared" si="611"/>
        <v>8.000,00</v>
      </c>
      <c r="Q2046" s="4" t="str">
        <f t="shared" si="612"/>
        <v>Ocho Mil Bolívares con 00/100</v>
      </c>
    </row>
    <row r="2047" spans="1:17" x14ac:dyDescent="0.25">
      <c r="A2047" s="1">
        <f t="shared" si="604"/>
        <v>2046</v>
      </c>
      <c r="C2047" s="8" t="s">
        <v>17</v>
      </c>
      <c r="D2047" s="2">
        <v>43604</v>
      </c>
      <c r="E2047" s="3">
        <v>15000</v>
      </c>
      <c r="F2047" t="s">
        <v>90</v>
      </c>
      <c r="G2047" s="475" t="s">
        <v>978</v>
      </c>
      <c r="H2047" t="s">
        <v>92</v>
      </c>
      <c r="I2047" s="6" t="s">
        <v>979</v>
      </c>
      <c r="J2047" s="61" t="s">
        <v>22</v>
      </c>
      <c r="L2047" s="5" t="str">
        <f t="shared" si="605"/>
        <v>02046</v>
      </c>
      <c r="M2047" s="47" t="str">
        <f t="shared" si="606"/>
        <v>19 de mayo de 2019</v>
      </c>
      <c r="N2047" s="323">
        <f t="shared" si="607"/>
        <v>19</v>
      </c>
      <c r="O2047" s="25">
        <f t="shared" si="608"/>
        <v>43586</v>
      </c>
      <c r="P2047" s="5" t="str">
        <f t="shared" si="611"/>
        <v>15.000,00</v>
      </c>
      <c r="Q2047" s="4" t="str">
        <f t="shared" si="612"/>
        <v>Quince Mil Bolívares con 00/100</v>
      </c>
    </row>
    <row r="2048" spans="1:17" x14ac:dyDescent="0.25">
      <c r="A2048" s="1">
        <f t="shared" si="604"/>
        <v>2047</v>
      </c>
      <c r="C2048" s="85" t="s">
        <v>17</v>
      </c>
      <c r="D2048" s="2">
        <v>43605</v>
      </c>
      <c r="E2048" s="3">
        <v>5000</v>
      </c>
      <c r="F2048" t="s">
        <v>259</v>
      </c>
      <c r="G2048" s="18" t="s">
        <v>58</v>
      </c>
      <c r="H2048" t="s">
        <v>261</v>
      </c>
      <c r="I2048" s="6" t="s">
        <v>917</v>
      </c>
      <c r="J2048" s="61" t="s">
        <v>22</v>
      </c>
      <c r="L2048" s="5" t="str">
        <f t="shared" si="605"/>
        <v>02047</v>
      </c>
      <c r="M2048" s="47" t="str">
        <f t="shared" si="606"/>
        <v>20 de mayo de 2019</v>
      </c>
      <c r="N2048" s="323">
        <f t="shared" si="607"/>
        <v>20</v>
      </c>
      <c r="O2048" s="25">
        <f t="shared" si="608"/>
        <v>43586</v>
      </c>
      <c r="P2048" s="5" t="str">
        <f t="shared" si="611"/>
        <v>5.000,00</v>
      </c>
      <c r="Q2048" s="4" t="str">
        <f t="shared" si="612"/>
        <v>Cinco Mil Bolívares con 00/100</v>
      </c>
    </row>
    <row r="2049" spans="1:17" x14ac:dyDescent="0.25">
      <c r="A2049" s="1">
        <f t="shared" si="604"/>
        <v>2048</v>
      </c>
      <c r="C2049" s="8" t="s">
        <v>17</v>
      </c>
      <c r="D2049" s="2">
        <v>43606</v>
      </c>
      <c r="E2049" s="3">
        <v>5000</v>
      </c>
      <c r="F2049" t="s">
        <v>48</v>
      </c>
      <c r="G2049" t="s">
        <v>49</v>
      </c>
      <c r="H2049" t="s">
        <v>50</v>
      </c>
      <c r="I2049" s="6" t="s">
        <v>980</v>
      </c>
      <c r="J2049" s="61" t="s">
        <v>22</v>
      </c>
      <c r="L2049" s="5" t="str">
        <f t="shared" si="605"/>
        <v>02048</v>
      </c>
      <c r="M2049" s="47" t="str">
        <f t="shared" si="606"/>
        <v>21 de mayo de 2019</v>
      </c>
      <c r="N2049" s="323">
        <f t="shared" si="607"/>
        <v>21</v>
      </c>
      <c r="O2049" s="25">
        <f t="shared" si="608"/>
        <v>43586</v>
      </c>
      <c r="P2049" s="5" t="str">
        <f t="shared" si="611"/>
        <v>5.000,00</v>
      </c>
      <c r="Q2049" s="4" t="str">
        <f t="shared" si="612"/>
        <v>Cinco Mil Bolívares con 00/100</v>
      </c>
    </row>
    <row r="2050" spans="1:17" x14ac:dyDescent="0.25">
      <c r="A2050" s="1">
        <f t="shared" si="604"/>
        <v>2049</v>
      </c>
      <c r="C2050" s="8" t="s">
        <v>17</v>
      </c>
      <c r="D2050" s="2">
        <v>43607</v>
      </c>
      <c r="E2050" s="3">
        <v>3000</v>
      </c>
      <c r="F2050" t="s">
        <v>454</v>
      </c>
      <c r="G2050" t="s">
        <v>761</v>
      </c>
      <c r="H2050" t="s">
        <v>455</v>
      </c>
      <c r="I2050" s="6" t="s">
        <v>969</v>
      </c>
      <c r="J2050" s="61" t="s">
        <v>22</v>
      </c>
      <c r="L2050" s="5" t="str">
        <f t="shared" si="605"/>
        <v>02049</v>
      </c>
      <c r="M2050" s="47" t="str">
        <f t="shared" si="606"/>
        <v>22 de mayo de 2019</v>
      </c>
      <c r="N2050" s="323">
        <f t="shared" si="607"/>
        <v>22</v>
      </c>
      <c r="O2050" s="25">
        <f t="shared" si="608"/>
        <v>43586</v>
      </c>
      <c r="P2050" s="5" t="str">
        <f t="shared" si="611"/>
        <v>3.000,00</v>
      </c>
      <c r="Q2050" s="4" t="str">
        <f t="shared" si="612"/>
        <v>Tres Mil Bolívares con 00/100</v>
      </c>
    </row>
    <row r="2051" spans="1:17" x14ac:dyDescent="0.25">
      <c r="A2051" s="1">
        <f t="shared" si="604"/>
        <v>2050</v>
      </c>
      <c r="C2051" s="8" t="s">
        <v>17</v>
      </c>
      <c r="D2051" s="2">
        <v>43608</v>
      </c>
      <c r="E2051" s="3">
        <v>8000</v>
      </c>
      <c r="F2051" t="s">
        <v>62</v>
      </c>
      <c r="G2051" t="s">
        <v>63</v>
      </c>
      <c r="H2051" t="s">
        <v>64</v>
      </c>
      <c r="I2051" s="6" t="s">
        <v>970</v>
      </c>
      <c r="J2051" s="61" t="s">
        <v>22</v>
      </c>
      <c r="L2051" s="5" t="str">
        <f t="shared" ref="L2051:L2057" si="613">IF(ISBLANK(A2051),"",TEXT(A2051,"00000"))</f>
        <v>02050</v>
      </c>
      <c r="M2051" s="47" t="str">
        <f t="shared" ref="M2051:M2057" si="614">IF(ISBLANK(D2051),"",TEXT(D2051,"dd")&amp;" de "&amp;TEXT(D2051,"mmmm")&amp;" de "&amp;TEXT(YEAR(D2051),"0"))</f>
        <v>23 de mayo de 2019</v>
      </c>
      <c r="N2051" s="323">
        <f t="shared" ref="N2051:N2057" si="615">DAY(D2051)</f>
        <v>23</v>
      </c>
      <c r="O2051" s="25">
        <f t="shared" ref="O2051:O2057" si="616">DATE(YEAR(D2051),MONTH(D2051),1)</f>
        <v>43586</v>
      </c>
      <c r="P2051" s="5" t="str">
        <f t="shared" ref="P2051:P2057" si="617">TEXT(E2051,"#.##0,00")</f>
        <v>8.000,00</v>
      </c>
      <c r="Q2051" s="4" t="str">
        <f t="shared" ref="Q2051:Q2057" si="618">CONVERTIRNUM(E2051)</f>
        <v>Ocho Mil Bolívares con 00/100</v>
      </c>
    </row>
    <row r="2052" spans="1:17" x14ac:dyDescent="0.25">
      <c r="A2052" s="1">
        <f t="shared" si="604"/>
        <v>2051</v>
      </c>
      <c r="C2052" s="8" t="s">
        <v>17</v>
      </c>
      <c r="D2052" s="2">
        <v>43608</v>
      </c>
      <c r="E2052" s="3">
        <v>5000</v>
      </c>
      <c r="F2052" t="s">
        <v>337</v>
      </c>
      <c r="G2052" t="s">
        <v>338</v>
      </c>
      <c r="H2052" t="s">
        <v>339</v>
      </c>
      <c r="I2052" s="6" t="s">
        <v>980</v>
      </c>
      <c r="J2052" s="61" t="s">
        <v>22</v>
      </c>
      <c r="L2052" s="5" t="str">
        <f t="shared" si="613"/>
        <v>02051</v>
      </c>
      <c r="M2052" s="47" t="str">
        <f t="shared" si="614"/>
        <v>23 de mayo de 2019</v>
      </c>
      <c r="N2052" s="323">
        <f t="shared" si="615"/>
        <v>23</v>
      </c>
      <c r="O2052" s="25">
        <f t="shared" si="616"/>
        <v>43586</v>
      </c>
      <c r="P2052" s="5" t="str">
        <f t="shared" si="617"/>
        <v>5.000,00</v>
      </c>
      <c r="Q2052" s="4" t="str">
        <f t="shared" si="618"/>
        <v>Cinco Mil Bolívares con 00/100</v>
      </c>
    </row>
    <row r="2053" spans="1:17" x14ac:dyDescent="0.25">
      <c r="A2053" s="1">
        <f t="shared" si="604"/>
        <v>2052</v>
      </c>
      <c r="C2053" s="8" t="s">
        <v>17</v>
      </c>
      <c r="D2053" s="2">
        <v>43608</v>
      </c>
      <c r="E2053" s="3">
        <v>5000</v>
      </c>
      <c r="F2053" t="s">
        <v>291</v>
      </c>
      <c r="G2053" t="s">
        <v>292</v>
      </c>
      <c r="H2053" t="s">
        <v>293</v>
      </c>
      <c r="I2053" s="6" t="s">
        <v>968</v>
      </c>
      <c r="J2053" s="61" t="s">
        <v>22</v>
      </c>
      <c r="L2053" s="5" t="str">
        <f t="shared" si="613"/>
        <v>02052</v>
      </c>
      <c r="M2053" s="47" t="str">
        <f t="shared" si="614"/>
        <v>23 de mayo de 2019</v>
      </c>
      <c r="N2053" s="323">
        <f t="shared" si="615"/>
        <v>23</v>
      </c>
      <c r="O2053" s="25">
        <f t="shared" si="616"/>
        <v>43586</v>
      </c>
      <c r="P2053" s="5" t="str">
        <f t="shared" si="617"/>
        <v>5.000,00</v>
      </c>
      <c r="Q2053" s="4" t="str">
        <f t="shared" si="618"/>
        <v>Cinco Mil Bolívares con 00/100</v>
      </c>
    </row>
    <row r="2054" spans="1:17" x14ac:dyDescent="0.25">
      <c r="A2054" s="1">
        <f t="shared" si="604"/>
        <v>2053</v>
      </c>
      <c r="C2054" s="8" t="s">
        <v>17</v>
      </c>
      <c r="D2054" s="2">
        <v>43600</v>
      </c>
      <c r="E2054" s="3">
        <v>3000</v>
      </c>
      <c r="F2054" t="s">
        <v>103</v>
      </c>
      <c r="G2054" t="s">
        <v>104</v>
      </c>
      <c r="H2054" t="s">
        <v>105</v>
      </c>
      <c r="I2054" s="6" t="s">
        <v>969</v>
      </c>
      <c r="J2054" s="61" t="s">
        <v>22</v>
      </c>
      <c r="L2054" s="5" t="str">
        <f t="shared" si="613"/>
        <v>02053</v>
      </c>
      <c r="M2054" s="47" t="str">
        <f t="shared" si="614"/>
        <v>15 de mayo de 2019</v>
      </c>
      <c r="N2054" s="323">
        <f t="shared" si="615"/>
        <v>15</v>
      </c>
      <c r="O2054" s="25">
        <f t="shared" si="616"/>
        <v>43586</v>
      </c>
      <c r="P2054" s="5" t="str">
        <f t="shared" si="617"/>
        <v>3.000,00</v>
      </c>
      <c r="Q2054" s="4" t="str">
        <f t="shared" si="618"/>
        <v>Tres Mil Bolívares con 00/100</v>
      </c>
    </row>
    <row r="2055" spans="1:17" x14ac:dyDescent="0.25">
      <c r="A2055" s="1">
        <f t="shared" si="604"/>
        <v>2054</v>
      </c>
      <c r="C2055" s="8" t="s">
        <v>17</v>
      </c>
      <c r="D2055" s="2">
        <v>43609</v>
      </c>
      <c r="E2055" s="3">
        <v>8000</v>
      </c>
      <c r="F2055" t="s">
        <v>211</v>
      </c>
      <c r="G2055" t="s">
        <v>212</v>
      </c>
      <c r="H2055" t="s">
        <v>213</v>
      </c>
      <c r="I2055" s="6" t="s">
        <v>970</v>
      </c>
      <c r="J2055" s="61" t="s">
        <v>22</v>
      </c>
      <c r="L2055" s="5" t="str">
        <f t="shared" si="613"/>
        <v>02054</v>
      </c>
      <c r="M2055" s="47" t="str">
        <f t="shared" si="614"/>
        <v>24 de mayo de 2019</v>
      </c>
      <c r="N2055" s="323">
        <f t="shared" si="615"/>
        <v>24</v>
      </c>
      <c r="O2055" s="25">
        <f t="shared" si="616"/>
        <v>43586</v>
      </c>
      <c r="P2055" s="5" t="str">
        <f t="shared" si="617"/>
        <v>8.000,00</v>
      </c>
      <c r="Q2055" s="4" t="str">
        <f t="shared" si="618"/>
        <v>Ocho Mil Bolívares con 00/100</v>
      </c>
    </row>
    <row r="2056" spans="1:17" x14ac:dyDescent="0.25">
      <c r="A2056" s="1">
        <f t="shared" si="604"/>
        <v>2055</v>
      </c>
      <c r="C2056" s="8" t="s">
        <v>17</v>
      </c>
      <c r="D2056" s="2">
        <v>43609</v>
      </c>
      <c r="E2056" s="3">
        <v>19800</v>
      </c>
      <c r="F2056" t="s">
        <v>206</v>
      </c>
      <c r="G2056" t="s">
        <v>207</v>
      </c>
      <c r="H2056" t="s">
        <v>208</v>
      </c>
      <c r="I2056" s="6" t="s">
        <v>981</v>
      </c>
      <c r="J2056" s="61" t="s">
        <v>22</v>
      </c>
      <c r="L2056" s="5" t="str">
        <f t="shared" si="613"/>
        <v>02055</v>
      </c>
      <c r="M2056" s="47" t="str">
        <f t="shared" si="614"/>
        <v>24 de mayo de 2019</v>
      </c>
      <c r="N2056" s="323">
        <f t="shared" si="615"/>
        <v>24</v>
      </c>
      <c r="O2056" s="25">
        <f t="shared" si="616"/>
        <v>43586</v>
      </c>
      <c r="P2056" s="5" t="str">
        <f t="shared" si="617"/>
        <v>19.800,00</v>
      </c>
      <c r="Q2056" s="4" t="str">
        <f t="shared" si="618"/>
        <v>Diecinueve Mil Ochocientos Bolívares con 00/100</v>
      </c>
    </row>
    <row r="2057" spans="1:17" x14ac:dyDescent="0.25">
      <c r="A2057" s="1">
        <f t="shared" si="604"/>
        <v>2056</v>
      </c>
      <c r="C2057" s="8" t="s">
        <v>17</v>
      </c>
      <c r="D2057" s="2">
        <v>43609</v>
      </c>
      <c r="E2057" s="3">
        <v>3000</v>
      </c>
      <c r="F2057" t="s">
        <v>126</v>
      </c>
      <c r="G2057" t="s">
        <v>127</v>
      </c>
      <c r="H2057" t="s">
        <v>128</v>
      </c>
      <c r="I2057" s="6" t="s">
        <v>982</v>
      </c>
      <c r="J2057" s="61" t="s">
        <v>22</v>
      </c>
      <c r="L2057" s="5" t="str">
        <f t="shared" si="613"/>
        <v>02056</v>
      </c>
      <c r="M2057" s="47" t="str">
        <f t="shared" si="614"/>
        <v>24 de mayo de 2019</v>
      </c>
      <c r="N2057" s="323">
        <f t="shared" si="615"/>
        <v>24</v>
      </c>
      <c r="O2057" s="25">
        <f t="shared" si="616"/>
        <v>43586</v>
      </c>
      <c r="P2057" s="5" t="str">
        <f t="shared" si="617"/>
        <v>3.000,00</v>
      </c>
      <c r="Q2057" s="4" t="str">
        <f t="shared" si="618"/>
        <v>Tres Mil Bolívares con 00/100</v>
      </c>
    </row>
    <row r="2058" spans="1:17" x14ac:dyDescent="0.25">
      <c r="A2058" s="1">
        <f t="shared" si="604"/>
        <v>2057</v>
      </c>
      <c r="C2058" s="8" t="s">
        <v>17</v>
      </c>
      <c r="D2058" s="2">
        <v>43609</v>
      </c>
      <c r="E2058" s="3">
        <v>8000</v>
      </c>
      <c r="F2058" t="s">
        <v>126</v>
      </c>
      <c r="G2058" t="s">
        <v>127</v>
      </c>
      <c r="H2058" t="s">
        <v>128</v>
      </c>
      <c r="I2058" s="6" t="s">
        <v>970</v>
      </c>
      <c r="J2058" s="61" t="s">
        <v>22</v>
      </c>
      <c r="L2058" s="5" t="str">
        <f t="shared" ref="L2058:L2064" si="619">IF(ISBLANK(A2058),"",TEXT(A2058,"00000"))</f>
        <v>02057</v>
      </c>
      <c r="M2058" s="47" t="str">
        <f t="shared" ref="M2058:M2064" si="620">IF(ISBLANK(D2058),"",TEXT(D2058,"dd")&amp;" de "&amp;TEXT(D2058,"mmmm")&amp;" de "&amp;TEXT(YEAR(D2058),"0"))</f>
        <v>24 de mayo de 2019</v>
      </c>
      <c r="N2058" s="323">
        <f t="shared" ref="N2058:N2064" si="621">DAY(D2058)</f>
        <v>24</v>
      </c>
      <c r="O2058" s="25">
        <f t="shared" ref="O2058:O2064" si="622">DATE(YEAR(D2058),MONTH(D2058),1)</f>
        <v>43586</v>
      </c>
      <c r="P2058" s="5" t="str">
        <f t="shared" ref="P2058:P2064" si="623">TEXT(E2058,"#.##0,00")</f>
        <v>8.000,00</v>
      </c>
      <c r="Q2058" s="4" t="str">
        <f t="shared" ref="Q2058:Q2064" si="624">CONVERTIRNUM(E2058)</f>
        <v>Ocho Mil Bolívares con 00/100</v>
      </c>
    </row>
    <row r="2059" spans="1:17" x14ac:dyDescent="0.25">
      <c r="A2059" s="1">
        <f t="shared" si="604"/>
        <v>2058</v>
      </c>
      <c r="C2059" s="8" t="s">
        <v>17</v>
      </c>
      <c r="D2059" s="2">
        <v>43610</v>
      </c>
      <c r="E2059" s="3">
        <v>3000</v>
      </c>
      <c r="F2059" t="s">
        <v>334</v>
      </c>
      <c r="G2059" t="s">
        <v>85</v>
      </c>
      <c r="H2059" t="s">
        <v>335</v>
      </c>
      <c r="I2059" s="6" t="s">
        <v>969</v>
      </c>
      <c r="J2059" s="61" t="s">
        <v>22</v>
      </c>
      <c r="L2059" s="5" t="str">
        <f t="shared" si="619"/>
        <v>02058</v>
      </c>
      <c r="M2059" s="47" t="str">
        <f t="shared" si="620"/>
        <v>25 de mayo de 2019</v>
      </c>
      <c r="N2059" s="323">
        <f t="shared" si="621"/>
        <v>25</v>
      </c>
      <c r="O2059" s="25">
        <f t="shared" si="622"/>
        <v>43586</v>
      </c>
      <c r="P2059" s="5" t="str">
        <f t="shared" si="623"/>
        <v>3.000,00</v>
      </c>
      <c r="Q2059" s="4" t="str">
        <f t="shared" si="624"/>
        <v>Tres Mil Bolívares con 00/100</v>
      </c>
    </row>
    <row r="2060" spans="1:17" x14ac:dyDescent="0.25">
      <c r="A2060" s="1">
        <f t="shared" si="604"/>
        <v>2059</v>
      </c>
      <c r="C2060" s="8" t="s">
        <v>17</v>
      </c>
      <c r="D2060" s="2">
        <v>43610</v>
      </c>
      <c r="E2060" s="3">
        <v>3000</v>
      </c>
      <c r="F2060" t="s">
        <v>84</v>
      </c>
      <c r="G2060" t="s">
        <v>85</v>
      </c>
      <c r="H2060" t="s">
        <v>86</v>
      </c>
      <c r="I2060" s="6" t="s">
        <v>969</v>
      </c>
      <c r="J2060" s="61" t="s">
        <v>22</v>
      </c>
      <c r="L2060" s="5" t="str">
        <f t="shared" si="619"/>
        <v>02059</v>
      </c>
      <c r="M2060" s="47" t="str">
        <f t="shared" si="620"/>
        <v>25 de mayo de 2019</v>
      </c>
      <c r="N2060" s="323">
        <f t="shared" si="621"/>
        <v>25</v>
      </c>
      <c r="O2060" s="25">
        <f t="shared" si="622"/>
        <v>43586</v>
      </c>
      <c r="P2060" s="5" t="str">
        <f t="shared" si="623"/>
        <v>3.000,00</v>
      </c>
      <c r="Q2060" s="4" t="str">
        <f t="shared" si="624"/>
        <v>Tres Mil Bolívares con 00/100</v>
      </c>
    </row>
    <row r="2061" spans="1:17" x14ac:dyDescent="0.25">
      <c r="A2061" s="1">
        <f t="shared" si="604"/>
        <v>2060</v>
      </c>
      <c r="C2061" s="8" t="s">
        <v>17</v>
      </c>
      <c r="D2061" s="2">
        <v>43610</v>
      </c>
      <c r="E2061" s="3">
        <v>10000</v>
      </c>
      <c r="F2061" t="s">
        <v>771</v>
      </c>
      <c r="G2061" t="s">
        <v>772</v>
      </c>
      <c r="H2061" t="s">
        <v>773</v>
      </c>
      <c r="I2061" s="6" t="s">
        <v>983</v>
      </c>
      <c r="J2061" s="61" t="s">
        <v>22</v>
      </c>
      <c r="L2061" s="5" t="str">
        <f t="shared" si="619"/>
        <v>02060</v>
      </c>
      <c r="M2061" s="47" t="str">
        <f t="shared" si="620"/>
        <v>25 de mayo de 2019</v>
      </c>
      <c r="N2061" s="323">
        <f t="shared" si="621"/>
        <v>25</v>
      </c>
      <c r="O2061" s="25">
        <f t="shared" si="622"/>
        <v>43586</v>
      </c>
      <c r="P2061" s="5" t="str">
        <f t="shared" si="623"/>
        <v>10.000,00</v>
      </c>
      <c r="Q2061" s="4" t="str">
        <f t="shared" si="624"/>
        <v>Diez Mil Bolívares con 00/100</v>
      </c>
    </row>
    <row r="2062" spans="1:17" x14ac:dyDescent="0.25">
      <c r="A2062" s="1">
        <f t="shared" si="604"/>
        <v>2061</v>
      </c>
      <c r="C2062" s="8" t="s">
        <v>17</v>
      </c>
      <c r="D2062" s="2">
        <v>43610</v>
      </c>
      <c r="E2062" s="3">
        <f>5000+3000</f>
        <v>8000</v>
      </c>
      <c r="F2062" t="s">
        <v>239</v>
      </c>
      <c r="G2062" s="73" t="s">
        <v>240</v>
      </c>
      <c r="H2062" t="s">
        <v>241</v>
      </c>
      <c r="I2062" s="6" t="s">
        <v>970</v>
      </c>
      <c r="J2062" s="61" t="s">
        <v>22</v>
      </c>
      <c r="L2062" s="5" t="str">
        <f t="shared" si="619"/>
        <v>02061</v>
      </c>
      <c r="M2062" s="47" t="str">
        <f t="shared" si="620"/>
        <v>25 de mayo de 2019</v>
      </c>
      <c r="N2062" s="323">
        <f t="shared" si="621"/>
        <v>25</v>
      </c>
      <c r="O2062" s="25">
        <f t="shared" si="622"/>
        <v>43586</v>
      </c>
      <c r="P2062" s="5" t="str">
        <f t="shared" si="623"/>
        <v>8.000,00</v>
      </c>
      <c r="Q2062" s="4" t="str">
        <f t="shared" si="624"/>
        <v>Ocho Mil Bolívares con 00/100</v>
      </c>
    </row>
    <row r="2063" spans="1:17" x14ac:dyDescent="0.25">
      <c r="A2063" s="1">
        <f t="shared" si="604"/>
        <v>2062</v>
      </c>
      <c r="C2063" s="8" t="s">
        <v>17</v>
      </c>
      <c r="D2063" s="2">
        <v>43610</v>
      </c>
      <c r="E2063" s="3">
        <v>8000</v>
      </c>
      <c r="F2063" t="s">
        <v>248</v>
      </c>
      <c r="G2063" t="s">
        <v>249</v>
      </c>
      <c r="H2063" t="s">
        <v>250</v>
      </c>
      <c r="I2063" s="6" t="s">
        <v>970</v>
      </c>
      <c r="J2063" s="61" t="s">
        <v>22</v>
      </c>
      <c r="L2063" s="5" t="str">
        <f t="shared" si="619"/>
        <v>02062</v>
      </c>
      <c r="M2063" s="47" t="str">
        <f t="shared" si="620"/>
        <v>25 de mayo de 2019</v>
      </c>
      <c r="N2063" s="323">
        <f t="shared" si="621"/>
        <v>25</v>
      </c>
      <c r="O2063" s="25">
        <f t="shared" si="622"/>
        <v>43586</v>
      </c>
      <c r="P2063" s="5" t="str">
        <f t="shared" si="623"/>
        <v>8.000,00</v>
      </c>
      <c r="Q2063" s="4" t="str">
        <f t="shared" si="624"/>
        <v>Ocho Mil Bolívares con 00/100</v>
      </c>
    </row>
    <row r="2064" spans="1:17" x14ac:dyDescent="0.25">
      <c r="A2064" s="1">
        <f t="shared" si="604"/>
        <v>2063</v>
      </c>
      <c r="C2064" s="8" t="s">
        <v>17</v>
      </c>
      <c r="D2064" s="2">
        <v>43611</v>
      </c>
      <c r="E2064" s="3">
        <v>1000</v>
      </c>
      <c r="F2064" t="s">
        <v>433</v>
      </c>
      <c r="G2064" t="s">
        <v>434</v>
      </c>
      <c r="H2064" t="s">
        <v>435</v>
      </c>
      <c r="I2064" s="6" t="s">
        <v>968</v>
      </c>
      <c r="J2064" s="61" t="s">
        <v>22</v>
      </c>
      <c r="L2064" s="5" t="str">
        <f t="shared" si="619"/>
        <v>02063</v>
      </c>
      <c r="M2064" s="47" t="str">
        <f t="shared" si="620"/>
        <v>26 de mayo de 2019</v>
      </c>
      <c r="N2064" s="323">
        <f t="shared" si="621"/>
        <v>26</v>
      </c>
      <c r="O2064" s="25">
        <f t="shared" si="622"/>
        <v>43586</v>
      </c>
      <c r="P2064" s="5" t="str">
        <f t="shared" si="623"/>
        <v>1.000,00</v>
      </c>
      <c r="Q2064" s="4" t="str">
        <f t="shared" si="624"/>
        <v>Mil Bolívares con 00/100</v>
      </c>
    </row>
    <row r="2065" spans="1:17" x14ac:dyDescent="0.25">
      <c r="A2065" s="1">
        <f t="shared" si="604"/>
        <v>2064</v>
      </c>
      <c r="C2065" s="8" t="s">
        <v>17</v>
      </c>
      <c r="D2065" s="2">
        <v>43587</v>
      </c>
      <c r="E2065" s="3">
        <v>2000</v>
      </c>
      <c r="F2065" t="s">
        <v>248</v>
      </c>
      <c r="G2065" t="s">
        <v>249</v>
      </c>
      <c r="H2065" t="s">
        <v>250</v>
      </c>
      <c r="I2065" s="6" t="s">
        <v>950</v>
      </c>
      <c r="J2065" s="61" t="s">
        <v>22</v>
      </c>
      <c r="L2065" s="5" t="str">
        <f t="shared" ref="L2065:L2072" si="625">IF(ISBLANK(A2065),"",TEXT(A2065,"00000"))</f>
        <v>02064</v>
      </c>
      <c r="M2065" s="47" t="str">
        <f t="shared" ref="M2065:M2072" si="626">IF(ISBLANK(D2065),"",TEXT(D2065,"dd")&amp;" de "&amp;TEXT(D2065,"mmmm")&amp;" de "&amp;TEXT(YEAR(D2065),"0"))</f>
        <v>02 de mayo de 2019</v>
      </c>
      <c r="N2065" s="323">
        <f t="shared" ref="N2065:N2083" si="627">DAY(D2065)</f>
        <v>2</v>
      </c>
      <c r="O2065" s="25">
        <f t="shared" ref="O2065:O2072" si="628">DATE(YEAR(D2065),MONTH(D2065),1)</f>
        <v>43586</v>
      </c>
      <c r="P2065" s="5" t="str">
        <f t="shared" ref="P2065:P2083" si="629">TEXT(E2065,"#.##0,00")</f>
        <v>2.000,00</v>
      </c>
      <c r="Q2065" s="4" t="str">
        <f t="shared" ref="Q2065:Q2079" si="630">CONVERTIRNUM(E2065)</f>
        <v>Dos Mil Bolívares con 00/100</v>
      </c>
    </row>
    <row r="2066" spans="1:17" x14ac:dyDescent="0.25">
      <c r="A2066" s="1">
        <f t="shared" si="604"/>
        <v>2065</v>
      </c>
      <c r="C2066" s="8" t="s">
        <v>17</v>
      </c>
      <c r="D2066" s="2">
        <v>43613</v>
      </c>
      <c r="E2066" s="3">
        <v>3000</v>
      </c>
      <c r="F2066" t="s">
        <v>337</v>
      </c>
      <c r="G2066" t="s">
        <v>338</v>
      </c>
      <c r="H2066" t="s">
        <v>339</v>
      </c>
      <c r="I2066" s="6" t="s">
        <v>969</v>
      </c>
      <c r="J2066" s="61" t="s">
        <v>22</v>
      </c>
      <c r="L2066" s="5" t="str">
        <f t="shared" si="625"/>
        <v>02065</v>
      </c>
      <c r="M2066" s="47" t="str">
        <f t="shared" si="626"/>
        <v>28 de mayo de 2019</v>
      </c>
      <c r="N2066" s="323">
        <f t="shared" si="627"/>
        <v>28</v>
      </c>
      <c r="O2066" s="25">
        <f t="shared" si="628"/>
        <v>43586</v>
      </c>
      <c r="P2066" s="5" t="str">
        <f t="shared" si="629"/>
        <v>3.000,00</v>
      </c>
      <c r="Q2066" s="4" t="str">
        <f t="shared" si="630"/>
        <v>Tres Mil Bolívares con 00/100</v>
      </c>
    </row>
    <row r="2067" spans="1:17" x14ac:dyDescent="0.25">
      <c r="A2067" s="1">
        <f t="shared" si="604"/>
        <v>2066</v>
      </c>
      <c r="C2067" s="8" t="s">
        <v>17</v>
      </c>
      <c r="D2067" s="2">
        <v>43613</v>
      </c>
      <c r="E2067" s="3">
        <f>7000+8000</f>
        <v>15000</v>
      </c>
      <c r="F2067" t="s">
        <v>892</v>
      </c>
      <c r="G2067" t="s">
        <v>893</v>
      </c>
      <c r="H2067" s="21" t="s">
        <v>59</v>
      </c>
      <c r="I2067" s="6" t="s">
        <v>984</v>
      </c>
      <c r="J2067" s="61" t="s">
        <v>22</v>
      </c>
      <c r="K2067" s="22"/>
      <c r="L2067" s="5" t="str">
        <f t="shared" si="625"/>
        <v>02066</v>
      </c>
      <c r="M2067" s="47" t="str">
        <f t="shared" si="626"/>
        <v>28 de mayo de 2019</v>
      </c>
      <c r="N2067" s="323">
        <f t="shared" si="627"/>
        <v>28</v>
      </c>
      <c r="O2067" s="25">
        <f t="shared" si="628"/>
        <v>43586</v>
      </c>
      <c r="P2067" s="5" t="str">
        <f t="shared" si="629"/>
        <v>15.000,00</v>
      </c>
      <c r="Q2067" s="4" t="str">
        <f t="shared" si="630"/>
        <v>Quince Mil Bolívares con 00/100</v>
      </c>
    </row>
    <row r="2068" spans="1:17" x14ac:dyDescent="0.25">
      <c r="A2068" s="1">
        <f t="shared" si="604"/>
        <v>2067</v>
      </c>
      <c r="C2068" s="8" t="s">
        <v>17</v>
      </c>
      <c r="D2068" s="2">
        <v>43613</v>
      </c>
      <c r="E2068" s="3">
        <v>8000</v>
      </c>
      <c r="F2068" t="s">
        <v>935</v>
      </c>
      <c r="G2068" t="s">
        <v>936</v>
      </c>
      <c r="H2068" t="s">
        <v>150</v>
      </c>
      <c r="I2068" s="6" t="s">
        <v>970</v>
      </c>
      <c r="J2068" s="61" t="s">
        <v>22</v>
      </c>
      <c r="L2068" s="5" t="str">
        <f t="shared" si="625"/>
        <v>02067</v>
      </c>
      <c r="M2068" s="47" t="str">
        <f t="shared" si="626"/>
        <v>28 de mayo de 2019</v>
      </c>
      <c r="N2068" s="323">
        <f t="shared" si="627"/>
        <v>28</v>
      </c>
      <c r="O2068" s="25">
        <f t="shared" si="628"/>
        <v>43586</v>
      </c>
      <c r="P2068" s="5" t="str">
        <f t="shared" si="629"/>
        <v>8.000,00</v>
      </c>
      <c r="Q2068" s="4" t="str">
        <f t="shared" si="630"/>
        <v>Ocho Mil Bolívares con 00/100</v>
      </c>
    </row>
    <row r="2069" spans="1:17" ht="16.5" customHeight="1" x14ac:dyDescent="0.25">
      <c r="A2069" s="1">
        <f t="shared" si="604"/>
        <v>2068</v>
      </c>
      <c r="C2069" s="8" t="s">
        <v>17</v>
      </c>
      <c r="D2069" s="2">
        <v>43613</v>
      </c>
      <c r="E2069" s="3">
        <v>8000</v>
      </c>
      <c r="F2069" t="s">
        <v>219</v>
      </c>
      <c r="G2069" t="s">
        <v>220</v>
      </c>
      <c r="H2069" t="s">
        <v>221</v>
      </c>
      <c r="I2069" s="6" t="s">
        <v>985</v>
      </c>
      <c r="J2069" s="61" t="s">
        <v>22</v>
      </c>
      <c r="L2069" s="5" t="str">
        <f t="shared" si="625"/>
        <v>02068</v>
      </c>
      <c r="M2069" s="47" t="str">
        <f t="shared" si="626"/>
        <v>28 de mayo de 2019</v>
      </c>
      <c r="N2069" s="323">
        <f t="shared" si="627"/>
        <v>28</v>
      </c>
      <c r="O2069" s="25">
        <f t="shared" si="628"/>
        <v>43586</v>
      </c>
      <c r="P2069" s="5" t="str">
        <f t="shared" si="629"/>
        <v>8.000,00</v>
      </c>
      <c r="Q2069" s="4" t="str">
        <f t="shared" si="630"/>
        <v>Ocho Mil Bolívares con 00/100</v>
      </c>
    </row>
    <row r="2070" spans="1:17" x14ac:dyDescent="0.25">
      <c r="A2070" s="1">
        <f t="shared" si="604"/>
        <v>2069</v>
      </c>
      <c r="C2070" s="8" t="s">
        <v>17</v>
      </c>
      <c r="D2070" s="2">
        <v>43614</v>
      </c>
      <c r="E2070" s="3">
        <f>4000+4000</f>
        <v>8000</v>
      </c>
      <c r="F2070" t="s">
        <v>252</v>
      </c>
      <c r="G2070" s="475" t="s">
        <v>958</v>
      </c>
      <c r="H2070" t="s">
        <v>254</v>
      </c>
      <c r="I2070" s="6" t="s">
        <v>986</v>
      </c>
      <c r="J2070" s="61" t="s">
        <v>22</v>
      </c>
      <c r="L2070" s="5" t="str">
        <f t="shared" si="625"/>
        <v>02069</v>
      </c>
      <c r="M2070" s="47" t="str">
        <f t="shared" si="626"/>
        <v>29 de mayo de 2019</v>
      </c>
      <c r="N2070" s="323">
        <f t="shared" si="627"/>
        <v>29</v>
      </c>
      <c r="O2070" s="25">
        <f t="shared" si="628"/>
        <v>43586</v>
      </c>
      <c r="P2070" s="5" t="str">
        <f t="shared" si="629"/>
        <v>8.000,00</v>
      </c>
      <c r="Q2070" s="4" t="str">
        <f t="shared" si="630"/>
        <v>Ocho Mil Bolívares con 00/100</v>
      </c>
    </row>
    <row r="2071" spans="1:17" x14ac:dyDescent="0.25">
      <c r="A2071" s="1">
        <f t="shared" si="604"/>
        <v>2070</v>
      </c>
      <c r="C2071" s="85" t="s">
        <v>17</v>
      </c>
      <c r="D2071" s="2">
        <v>43614</v>
      </c>
      <c r="E2071" s="3">
        <v>11600</v>
      </c>
      <c r="F2071" s="23" t="s">
        <v>422</v>
      </c>
      <c r="G2071" s="18" t="s">
        <v>58</v>
      </c>
      <c r="H2071" t="s">
        <v>423</v>
      </c>
      <c r="I2071" s="6" t="s">
        <v>970</v>
      </c>
      <c r="J2071" s="61" t="s">
        <v>22</v>
      </c>
      <c r="L2071" s="5" t="str">
        <f t="shared" si="625"/>
        <v>02070</v>
      </c>
      <c r="M2071" s="47" t="str">
        <f t="shared" si="626"/>
        <v>29 de mayo de 2019</v>
      </c>
      <c r="N2071" s="323">
        <f t="shared" si="627"/>
        <v>29</v>
      </c>
      <c r="O2071" s="25">
        <f t="shared" si="628"/>
        <v>43586</v>
      </c>
      <c r="P2071" s="5" t="str">
        <f t="shared" si="629"/>
        <v>11.600,00</v>
      </c>
      <c r="Q2071" s="4" t="str">
        <f t="shared" si="630"/>
        <v>Once Mil Seiscientos Bolívares con 00/100</v>
      </c>
    </row>
    <row r="2072" spans="1:17" x14ac:dyDescent="0.25">
      <c r="A2072" s="1">
        <f t="shared" si="604"/>
        <v>2071</v>
      </c>
      <c r="C2072" s="8" t="s">
        <v>17</v>
      </c>
      <c r="D2072" s="2">
        <v>43614</v>
      </c>
      <c r="E2072" s="3">
        <v>11000</v>
      </c>
      <c r="F2072" t="s">
        <v>66</v>
      </c>
      <c r="G2072" t="s">
        <v>67</v>
      </c>
      <c r="H2072" t="s">
        <v>68</v>
      </c>
      <c r="I2072" s="6" t="s">
        <v>984</v>
      </c>
      <c r="J2072" s="61" t="s">
        <v>22</v>
      </c>
      <c r="L2072" s="5" t="str">
        <f t="shared" si="625"/>
        <v>02071</v>
      </c>
      <c r="M2072" s="47" t="str">
        <f t="shared" si="626"/>
        <v>29 de mayo de 2019</v>
      </c>
      <c r="N2072" s="323">
        <f t="shared" si="627"/>
        <v>29</v>
      </c>
      <c r="O2072" s="25">
        <f t="shared" si="628"/>
        <v>43586</v>
      </c>
      <c r="P2072" s="5" t="str">
        <f t="shared" si="629"/>
        <v>11.000,00</v>
      </c>
      <c r="Q2072" s="4" t="str">
        <f t="shared" si="630"/>
        <v>Once Mil Bolívares con 00/100</v>
      </c>
    </row>
    <row r="2073" spans="1:17" x14ac:dyDescent="0.25">
      <c r="A2073" s="1">
        <f t="shared" si="604"/>
        <v>2072</v>
      </c>
      <c r="C2073" s="8" t="s">
        <v>17</v>
      </c>
      <c r="D2073" s="2">
        <v>43614</v>
      </c>
      <c r="E2073" s="3">
        <v>8000</v>
      </c>
      <c r="F2073" t="s">
        <v>243</v>
      </c>
      <c r="G2073" t="s">
        <v>244</v>
      </c>
      <c r="H2073" t="s">
        <v>245</v>
      </c>
      <c r="I2073" s="6" t="s">
        <v>970</v>
      </c>
      <c r="J2073" s="61" t="s">
        <v>22</v>
      </c>
      <c r="L2073" s="5" t="str">
        <f>IF(ISBLANK(A2073),"",TEXT(A2073,"00000"))</f>
        <v>02072</v>
      </c>
      <c r="M2073" s="47" t="str">
        <f>IF(ISBLANK(D2073),"",TEXT(D2073,"dd")&amp;" de "&amp;TEXT(D2073,"mmmm")&amp;" de "&amp;TEXT(YEAR(D2073),"0"))</f>
        <v>29 de mayo de 2019</v>
      </c>
      <c r="N2073" s="323">
        <f t="shared" si="627"/>
        <v>29</v>
      </c>
      <c r="O2073" s="25">
        <f>DATE(YEAR(D2073),MONTH(D2073),1)</f>
        <v>43586</v>
      </c>
      <c r="P2073" s="5" t="str">
        <f t="shared" si="629"/>
        <v>8.000,00</v>
      </c>
      <c r="Q2073" s="4" t="str">
        <f t="shared" si="630"/>
        <v>Ocho Mil Bolívares con 00/100</v>
      </c>
    </row>
    <row r="2074" spans="1:17" x14ac:dyDescent="0.25">
      <c r="A2074" s="1">
        <f t="shared" si="604"/>
        <v>2073</v>
      </c>
      <c r="C2074" s="8" t="s">
        <v>17</v>
      </c>
      <c r="D2074" s="2">
        <v>43615</v>
      </c>
      <c r="E2074" s="3">
        <v>13000</v>
      </c>
      <c r="F2074" t="s">
        <v>100</v>
      </c>
      <c r="G2074" t="s">
        <v>95</v>
      </c>
      <c r="H2074" t="s">
        <v>101</v>
      </c>
      <c r="I2074" s="6" t="s">
        <v>987</v>
      </c>
      <c r="J2074" s="61" t="s">
        <v>22</v>
      </c>
      <c r="L2074" s="5" t="str">
        <f t="shared" ref="L2074:L2080" si="631">IF(ISBLANK(A2074),"",TEXT(A2074,"00000"))</f>
        <v>02073</v>
      </c>
      <c r="M2074" s="47" t="str">
        <f t="shared" ref="M2074:M2080" si="632">IF(ISBLANK(D2074),"",TEXT(D2074,"dd")&amp;" de "&amp;TEXT(D2074,"mmmm")&amp;" de "&amp;TEXT(YEAR(D2074),"0"))</f>
        <v>30 de mayo de 2019</v>
      </c>
      <c r="N2074" s="323">
        <f t="shared" si="627"/>
        <v>30</v>
      </c>
      <c r="O2074" s="25">
        <f t="shared" ref="O2074:O2080" si="633">DATE(YEAR(D2074),MONTH(D2074),1)</f>
        <v>43586</v>
      </c>
      <c r="P2074" s="5" t="str">
        <f t="shared" si="629"/>
        <v>13.000,00</v>
      </c>
      <c r="Q2074" s="4" t="str">
        <f t="shared" si="630"/>
        <v>Trece Mil Bolívares con 00/100</v>
      </c>
    </row>
    <row r="2075" spans="1:17" x14ac:dyDescent="0.25">
      <c r="A2075" s="1">
        <f t="shared" si="604"/>
        <v>2074</v>
      </c>
      <c r="C2075" s="8" t="s">
        <v>17</v>
      </c>
      <c r="D2075" s="2">
        <v>43615</v>
      </c>
      <c r="E2075" s="3">
        <f>1480+8000+2040</f>
        <v>11520</v>
      </c>
      <c r="F2075" t="s">
        <v>324</v>
      </c>
      <c r="G2075" t="s">
        <v>325</v>
      </c>
      <c r="H2075" t="s">
        <v>326</v>
      </c>
      <c r="I2075" s="6" t="s">
        <v>988</v>
      </c>
      <c r="J2075" s="61" t="s">
        <v>22</v>
      </c>
      <c r="L2075" s="5" t="str">
        <f t="shared" si="631"/>
        <v>02074</v>
      </c>
      <c r="M2075" s="47" t="str">
        <f t="shared" si="632"/>
        <v>30 de mayo de 2019</v>
      </c>
      <c r="N2075" s="323">
        <f t="shared" si="627"/>
        <v>30</v>
      </c>
      <c r="O2075" s="25">
        <f t="shared" si="633"/>
        <v>43586</v>
      </c>
      <c r="P2075" s="5" t="str">
        <f t="shared" si="629"/>
        <v>11.520,00</v>
      </c>
      <c r="Q2075" s="4" t="str">
        <f t="shared" si="630"/>
        <v>Once Mil Quinientos Veinte Bolívares con 00/100</v>
      </c>
    </row>
    <row r="2076" spans="1:17" x14ac:dyDescent="0.25">
      <c r="A2076" s="1">
        <f t="shared" si="604"/>
        <v>2075</v>
      </c>
      <c r="C2076" s="8" t="s">
        <v>17</v>
      </c>
      <c r="D2076" s="2">
        <v>43615</v>
      </c>
      <c r="E2076" s="3">
        <v>8000</v>
      </c>
      <c r="F2076" t="s">
        <v>612</v>
      </c>
      <c r="G2076" t="s">
        <v>613</v>
      </c>
      <c r="H2076" t="s">
        <v>614</v>
      </c>
      <c r="I2076" s="6" t="s">
        <v>970</v>
      </c>
      <c r="J2076" s="61" t="s">
        <v>22</v>
      </c>
      <c r="L2076" s="5" t="str">
        <f t="shared" si="631"/>
        <v>02075</v>
      </c>
      <c r="M2076" s="47" t="str">
        <f t="shared" si="632"/>
        <v>30 de mayo de 2019</v>
      </c>
      <c r="N2076" s="323">
        <f t="shared" si="627"/>
        <v>30</v>
      </c>
      <c r="O2076" s="25">
        <f t="shared" si="633"/>
        <v>43586</v>
      </c>
      <c r="P2076" s="5" t="str">
        <f t="shared" si="629"/>
        <v>8.000,00</v>
      </c>
      <c r="Q2076" s="4" t="str">
        <f t="shared" si="630"/>
        <v>Ocho Mil Bolívares con 00/100</v>
      </c>
    </row>
    <row r="2077" spans="1:17" x14ac:dyDescent="0.25">
      <c r="A2077" s="1">
        <f t="shared" ref="A2077:A2095" si="634">A2076+1</f>
        <v>2076</v>
      </c>
      <c r="C2077" s="8" t="s">
        <v>17</v>
      </c>
      <c r="D2077" s="2">
        <v>43615</v>
      </c>
      <c r="E2077" s="3">
        <v>3000</v>
      </c>
      <c r="F2077" t="s">
        <v>134</v>
      </c>
      <c r="G2077" t="s">
        <v>135</v>
      </c>
      <c r="H2077" t="s">
        <v>136</v>
      </c>
      <c r="I2077" s="6" t="s">
        <v>969</v>
      </c>
      <c r="J2077" s="61" t="s">
        <v>22</v>
      </c>
      <c r="L2077" s="5" t="str">
        <f t="shared" si="631"/>
        <v>02076</v>
      </c>
      <c r="M2077" s="47" t="str">
        <f t="shared" si="632"/>
        <v>30 de mayo de 2019</v>
      </c>
      <c r="N2077" s="323">
        <f t="shared" si="627"/>
        <v>30</v>
      </c>
      <c r="O2077" s="25">
        <f t="shared" si="633"/>
        <v>43586</v>
      </c>
      <c r="P2077" s="5" t="str">
        <f t="shared" si="629"/>
        <v>3.000,00</v>
      </c>
      <c r="Q2077" s="4" t="str">
        <f t="shared" si="630"/>
        <v>Tres Mil Bolívares con 00/100</v>
      </c>
    </row>
    <row r="2078" spans="1:17" x14ac:dyDescent="0.25">
      <c r="A2078" s="1">
        <f t="shared" si="634"/>
        <v>2077</v>
      </c>
      <c r="C2078" s="8" t="s">
        <v>17</v>
      </c>
      <c r="D2078" s="2">
        <v>43615</v>
      </c>
      <c r="E2078" s="3">
        <v>8000</v>
      </c>
      <c r="F2078" t="s">
        <v>843</v>
      </c>
      <c r="G2078" t="s">
        <v>844</v>
      </c>
      <c r="H2078" t="s">
        <v>169</v>
      </c>
      <c r="I2078" s="6" t="s">
        <v>970</v>
      </c>
      <c r="J2078" s="61" t="s">
        <v>22</v>
      </c>
      <c r="L2078" s="5" t="str">
        <f t="shared" si="631"/>
        <v>02077</v>
      </c>
      <c r="M2078" s="47" t="str">
        <f t="shared" si="632"/>
        <v>30 de mayo de 2019</v>
      </c>
      <c r="N2078" s="323">
        <f t="shared" si="627"/>
        <v>30</v>
      </c>
      <c r="O2078" s="25">
        <f t="shared" si="633"/>
        <v>43586</v>
      </c>
      <c r="P2078" s="5" t="str">
        <f t="shared" si="629"/>
        <v>8.000,00</v>
      </c>
      <c r="Q2078" s="4" t="str">
        <f t="shared" si="630"/>
        <v>Ocho Mil Bolívares con 00/100</v>
      </c>
    </row>
    <row r="2079" spans="1:17" x14ac:dyDescent="0.25">
      <c r="A2079" s="1">
        <f t="shared" si="634"/>
        <v>2078</v>
      </c>
      <c r="C2079" s="8" t="s">
        <v>17</v>
      </c>
      <c r="D2079" s="2">
        <v>43616</v>
      </c>
      <c r="E2079" s="3">
        <v>8000</v>
      </c>
      <c r="F2079" t="s">
        <v>284</v>
      </c>
      <c r="G2079" t="s">
        <v>687</v>
      </c>
      <c r="H2079" t="s">
        <v>285</v>
      </c>
      <c r="I2079" s="6" t="s">
        <v>970</v>
      </c>
      <c r="J2079" s="61" t="s">
        <v>22</v>
      </c>
      <c r="L2079" s="5" t="str">
        <f t="shared" si="631"/>
        <v>02078</v>
      </c>
      <c r="M2079" s="47" t="str">
        <f t="shared" si="632"/>
        <v>31 de mayo de 2019</v>
      </c>
      <c r="N2079" s="323">
        <f t="shared" si="627"/>
        <v>31</v>
      </c>
      <c r="O2079" s="25">
        <f t="shared" si="633"/>
        <v>43586</v>
      </c>
      <c r="P2079" s="5" t="str">
        <f t="shared" si="629"/>
        <v>8.000,00</v>
      </c>
      <c r="Q2079" s="4" t="str">
        <f t="shared" si="630"/>
        <v>Ocho Mil Bolívares con 00/100</v>
      </c>
    </row>
    <row r="2080" spans="1:17" x14ac:dyDescent="0.25">
      <c r="A2080" s="1">
        <f t="shared" si="634"/>
        <v>2079</v>
      </c>
      <c r="C2080" s="8" t="s">
        <v>17</v>
      </c>
      <c r="D2080" s="2">
        <v>43616</v>
      </c>
      <c r="E2080" s="3">
        <v>8000</v>
      </c>
      <c r="F2080" t="s">
        <v>407</v>
      </c>
      <c r="G2080" t="s">
        <v>408</v>
      </c>
      <c r="H2080" t="s">
        <v>409</v>
      </c>
      <c r="I2080" s="6" t="s">
        <v>986</v>
      </c>
      <c r="J2080" s="61" t="s">
        <v>22</v>
      </c>
      <c r="L2080" s="5" t="str">
        <f t="shared" si="631"/>
        <v>02079</v>
      </c>
      <c r="M2080" s="47" t="str">
        <f t="shared" si="632"/>
        <v>31 de mayo de 2019</v>
      </c>
      <c r="N2080" s="323">
        <f t="shared" si="627"/>
        <v>31</v>
      </c>
      <c r="O2080" s="25">
        <f t="shared" si="633"/>
        <v>43586</v>
      </c>
      <c r="P2080" s="5" t="str">
        <f t="shared" si="629"/>
        <v>8.000,00</v>
      </c>
      <c r="Q2080" s="4" t="str">
        <f>CONVERTIRNUM(E2080)</f>
        <v>Ocho Mil Bolívares con 00/100</v>
      </c>
    </row>
    <row r="2081" spans="1:17" x14ac:dyDescent="0.25">
      <c r="A2081" s="1">
        <f t="shared" si="634"/>
        <v>2080</v>
      </c>
      <c r="C2081" s="8" t="s">
        <v>17</v>
      </c>
      <c r="D2081" s="2">
        <v>43616</v>
      </c>
      <c r="E2081" s="3">
        <v>11000</v>
      </c>
      <c r="F2081" t="s">
        <v>44</v>
      </c>
      <c r="G2081" t="s">
        <v>45</v>
      </c>
      <c r="H2081" t="s">
        <v>46</v>
      </c>
      <c r="I2081" s="6" t="s">
        <v>984</v>
      </c>
      <c r="J2081" s="61" t="s">
        <v>22</v>
      </c>
      <c r="L2081" s="5" t="str">
        <f>IF(ISBLANK(A2081),"",TEXT(A2081,"00000"))</f>
        <v>02080</v>
      </c>
      <c r="M2081" s="47" t="str">
        <f>IF(ISBLANK(D2081),"",TEXT(D2081,"dd")&amp;" de "&amp;TEXT(D2081,"mmmm")&amp;" de "&amp;TEXT(YEAR(D2081),"0"))</f>
        <v>31 de mayo de 2019</v>
      </c>
      <c r="N2081" s="323">
        <f t="shared" si="627"/>
        <v>31</v>
      </c>
      <c r="O2081" s="25">
        <f>DATE(YEAR(D2081),MONTH(D2081),1)</f>
        <v>43586</v>
      </c>
      <c r="P2081" s="5" t="str">
        <f t="shared" si="629"/>
        <v>11.000,00</v>
      </c>
      <c r="Q2081" s="4" t="str">
        <f t="shared" ref="Q2081:Q2110" si="635">CONVERTIRNUM(E2081)</f>
        <v>Once Mil Bolívares con 00/100</v>
      </c>
    </row>
    <row r="2082" spans="1:17" x14ac:dyDescent="0.25">
      <c r="A2082" s="1">
        <f t="shared" si="634"/>
        <v>2081</v>
      </c>
      <c r="C2082" s="8" t="s">
        <v>17</v>
      </c>
      <c r="D2082" s="2">
        <v>43616</v>
      </c>
      <c r="E2082" s="3">
        <v>10000</v>
      </c>
      <c r="F2082" t="s">
        <v>177</v>
      </c>
      <c r="G2082" t="s">
        <v>941</v>
      </c>
      <c r="H2082" t="s">
        <v>179</v>
      </c>
      <c r="I2082" s="6" t="s">
        <v>989</v>
      </c>
      <c r="J2082" s="61" t="s">
        <v>22</v>
      </c>
      <c r="L2082" s="5" t="str">
        <f t="shared" ref="L2082:L2110" si="636">IF(ISBLANK(A2082),"",TEXT(A2082,"00000"))</f>
        <v>02081</v>
      </c>
      <c r="M2082" s="47" t="str">
        <f t="shared" ref="M2082:M2110" si="637">IF(ISBLANK(D2082),"",TEXT(D2082,"dd")&amp;" de "&amp;TEXT(D2082,"mmmm")&amp;" de "&amp;TEXT(YEAR(D2082),"0"))</f>
        <v>31 de mayo de 2019</v>
      </c>
      <c r="N2082" s="323">
        <f t="shared" si="627"/>
        <v>31</v>
      </c>
      <c r="O2082" s="25">
        <f t="shared" ref="O2082:O2110" si="638">DATE(YEAR(D2082),MONTH(D2082),1)</f>
        <v>43586</v>
      </c>
      <c r="P2082" s="5" t="str">
        <f t="shared" si="629"/>
        <v>10.000,00</v>
      </c>
      <c r="Q2082" s="4" t="str">
        <f t="shared" si="635"/>
        <v>Diez Mil Bolívares con 00/100</v>
      </c>
    </row>
    <row r="2083" spans="1:17" x14ac:dyDescent="0.25">
      <c r="A2083" s="1">
        <f t="shared" si="634"/>
        <v>2082</v>
      </c>
      <c r="C2083" s="8" t="s">
        <v>17</v>
      </c>
      <c r="D2083" s="2">
        <v>43618</v>
      </c>
      <c r="E2083" s="3">
        <v>8000</v>
      </c>
      <c r="F2083" t="s">
        <v>483</v>
      </c>
      <c r="G2083" t="s">
        <v>484</v>
      </c>
      <c r="H2083" t="s">
        <v>485</v>
      </c>
      <c r="I2083" s="6" t="s">
        <v>986</v>
      </c>
      <c r="J2083" s="61" t="s">
        <v>22</v>
      </c>
      <c r="L2083" s="5" t="str">
        <f t="shared" si="636"/>
        <v>02082</v>
      </c>
      <c r="M2083" s="47" t="str">
        <f t="shared" si="637"/>
        <v>02 de junio de 2019</v>
      </c>
      <c r="N2083" s="323">
        <f t="shared" si="627"/>
        <v>2</v>
      </c>
      <c r="O2083" s="25">
        <f t="shared" si="638"/>
        <v>43617</v>
      </c>
      <c r="P2083" s="5" t="str">
        <f t="shared" si="629"/>
        <v>8.000,00</v>
      </c>
      <c r="Q2083" s="4" t="str">
        <f t="shared" si="635"/>
        <v>Ocho Mil Bolívares con 00/100</v>
      </c>
    </row>
    <row r="2084" spans="1:17" x14ac:dyDescent="0.25">
      <c r="A2084" s="319">
        <f t="shared" si="634"/>
        <v>2083</v>
      </c>
      <c r="B2084" s="574"/>
      <c r="C2084" s="12" t="s">
        <v>225</v>
      </c>
      <c r="D2084" s="17">
        <v>43618</v>
      </c>
      <c r="E2084" s="13">
        <v>8000</v>
      </c>
      <c r="F2084" s="14" t="s">
        <v>337</v>
      </c>
      <c r="G2084" s="14" t="s">
        <v>338</v>
      </c>
      <c r="H2084" s="14" t="s">
        <v>339</v>
      </c>
      <c r="I2084" s="15" t="s">
        <v>990</v>
      </c>
      <c r="J2084" s="62" t="s">
        <v>426</v>
      </c>
      <c r="K2084" s="16"/>
      <c r="L2084" s="5" t="str">
        <f t="shared" si="636"/>
        <v>02083</v>
      </c>
      <c r="M2084" s="47" t="str">
        <f t="shared" si="637"/>
        <v>02 de junio de 2019</v>
      </c>
      <c r="N2084" s="323">
        <f t="shared" ref="N2084:N2110" si="639">DAY(D2084)</f>
        <v>2</v>
      </c>
      <c r="O2084" s="25">
        <f t="shared" si="638"/>
        <v>43617</v>
      </c>
      <c r="P2084" s="5" t="str">
        <f t="shared" ref="P2084:P2110" si="640">TEXT(E2084,"#.##0,00")</f>
        <v>8.000,00</v>
      </c>
      <c r="Q2084" s="4" t="str">
        <f t="shared" si="635"/>
        <v>Ocho Mil Bolívares con 00/100</v>
      </c>
    </row>
    <row r="2085" spans="1:17" x14ac:dyDescent="0.25">
      <c r="A2085" s="1">
        <f t="shared" si="634"/>
        <v>2084</v>
      </c>
      <c r="C2085" s="8" t="s">
        <v>17</v>
      </c>
      <c r="D2085" s="2">
        <v>43618</v>
      </c>
      <c r="E2085" s="3">
        <v>8000</v>
      </c>
      <c r="F2085" t="s">
        <v>412</v>
      </c>
      <c r="G2085" t="s">
        <v>413</v>
      </c>
      <c r="H2085" t="s">
        <v>414</v>
      </c>
      <c r="I2085" s="6" t="s">
        <v>970</v>
      </c>
      <c r="J2085" s="61" t="s">
        <v>22</v>
      </c>
      <c r="L2085" s="5" t="str">
        <f t="shared" si="636"/>
        <v>02084</v>
      </c>
      <c r="M2085" s="47" t="str">
        <f t="shared" si="637"/>
        <v>02 de junio de 2019</v>
      </c>
      <c r="N2085" s="323">
        <f t="shared" si="639"/>
        <v>2</v>
      </c>
      <c r="O2085" s="25">
        <f t="shared" si="638"/>
        <v>43617</v>
      </c>
      <c r="P2085" s="5" t="str">
        <f t="shared" si="640"/>
        <v>8.000,00</v>
      </c>
      <c r="Q2085" s="4" t="str">
        <f t="shared" si="635"/>
        <v>Ocho Mil Bolívares con 00/100</v>
      </c>
    </row>
    <row r="2086" spans="1:17" x14ac:dyDescent="0.25">
      <c r="A2086" s="1">
        <f t="shared" si="634"/>
        <v>2085</v>
      </c>
      <c r="C2086" s="8" t="s">
        <v>17</v>
      </c>
      <c r="D2086" s="2">
        <v>43619</v>
      </c>
      <c r="E2086" s="3">
        <v>10000</v>
      </c>
      <c r="F2086" t="s">
        <v>107</v>
      </c>
      <c r="G2086" t="s">
        <v>108</v>
      </c>
      <c r="H2086" t="s">
        <v>109</v>
      </c>
      <c r="I2086" s="6" t="s">
        <v>986</v>
      </c>
      <c r="J2086" s="61" t="s">
        <v>22</v>
      </c>
      <c r="L2086" s="5" t="str">
        <f t="shared" si="636"/>
        <v>02085</v>
      </c>
      <c r="M2086" s="47" t="str">
        <f t="shared" si="637"/>
        <v>03 de junio de 2019</v>
      </c>
      <c r="N2086" s="323">
        <f t="shared" si="639"/>
        <v>3</v>
      </c>
      <c r="O2086" s="25">
        <f t="shared" si="638"/>
        <v>43617</v>
      </c>
      <c r="P2086" s="5" t="str">
        <f t="shared" si="640"/>
        <v>10.000,00</v>
      </c>
      <c r="Q2086" s="4" t="str">
        <f t="shared" si="635"/>
        <v>Diez Mil Bolívares con 00/100</v>
      </c>
    </row>
    <row r="2087" spans="1:17" x14ac:dyDescent="0.25">
      <c r="A2087" s="1">
        <f t="shared" si="634"/>
        <v>2086</v>
      </c>
      <c r="C2087" s="8" t="s">
        <v>17</v>
      </c>
      <c r="D2087" s="2">
        <v>43619</v>
      </c>
      <c r="E2087" s="3">
        <v>12000</v>
      </c>
      <c r="F2087" t="s">
        <v>80</v>
      </c>
      <c r="G2087" t="s">
        <v>81</v>
      </c>
      <c r="H2087" t="s">
        <v>82</v>
      </c>
      <c r="I2087" s="6" t="s">
        <v>986</v>
      </c>
      <c r="J2087" s="61" t="s">
        <v>22</v>
      </c>
      <c r="L2087" s="5" t="str">
        <f t="shared" si="636"/>
        <v>02086</v>
      </c>
      <c r="M2087" s="47" t="str">
        <f t="shared" si="637"/>
        <v>03 de junio de 2019</v>
      </c>
      <c r="N2087" s="323">
        <f t="shared" si="639"/>
        <v>3</v>
      </c>
      <c r="O2087" s="25">
        <f t="shared" si="638"/>
        <v>43617</v>
      </c>
      <c r="P2087" s="5" t="str">
        <f t="shared" si="640"/>
        <v>12.000,00</v>
      </c>
      <c r="Q2087" s="4" t="str">
        <f t="shared" si="635"/>
        <v>Doce Mil Bolívares con 00/100</v>
      </c>
    </row>
    <row r="2088" spans="1:17" x14ac:dyDescent="0.25">
      <c r="A2088" s="1">
        <f t="shared" si="634"/>
        <v>2087</v>
      </c>
      <c r="C2088" s="8" t="s">
        <v>17</v>
      </c>
      <c r="D2088" s="2">
        <v>43619</v>
      </c>
      <c r="E2088" s="3">
        <v>8000</v>
      </c>
      <c r="F2088" t="s">
        <v>48</v>
      </c>
      <c r="G2088" t="s">
        <v>49</v>
      </c>
      <c r="H2088" t="s">
        <v>50</v>
      </c>
      <c r="I2088" s="6" t="s">
        <v>986</v>
      </c>
      <c r="J2088" s="61" t="s">
        <v>22</v>
      </c>
      <c r="L2088" s="5" t="str">
        <f t="shared" si="636"/>
        <v>02087</v>
      </c>
      <c r="M2088" s="47" t="str">
        <f t="shared" si="637"/>
        <v>03 de junio de 2019</v>
      </c>
      <c r="N2088" s="323">
        <f t="shared" si="639"/>
        <v>3</v>
      </c>
      <c r="O2088" s="25">
        <f t="shared" si="638"/>
        <v>43617</v>
      </c>
      <c r="P2088" s="5" t="str">
        <f t="shared" si="640"/>
        <v>8.000,00</v>
      </c>
      <c r="Q2088" s="4" t="str">
        <f t="shared" si="635"/>
        <v>Ocho Mil Bolívares con 00/100</v>
      </c>
    </row>
    <row r="2089" spans="1:17" x14ac:dyDescent="0.25">
      <c r="A2089" s="1">
        <f t="shared" si="634"/>
        <v>2088</v>
      </c>
      <c r="C2089" s="8" t="s">
        <v>17</v>
      </c>
      <c r="D2089" s="2">
        <v>43619</v>
      </c>
      <c r="E2089" s="3">
        <v>3000</v>
      </c>
      <c r="F2089" t="s">
        <v>230</v>
      </c>
      <c r="G2089" t="s">
        <v>231</v>
      </c>
      <c r="H2089" t="s">
        <v>232</v>
      </c>
      <c r="I2089" s="6" t="s">
        <v>969</v>
      </c>
      <c r="J2089" s="61" t="s">
        <v>22</v>
      </c>
      <c r="L2089" s="5" t="str">
        <f t="shared" si="636"/>
        <v>02088</v>
      </c>
      <c r="M2089" s="47" t="str">
        <f t="shared" si="637"/>
        <v>03 de junio de 2019</v>
      </c>
      <c r="N2089" s="323">
        <f t="shared" si="639"/>
        <v>3</v>
      </c>
      <c r="O2089" s="25">
        <f t="shared" si="638"/>
        <v>43617</v>
      </c>
      <c r="P2089" s="5" t="str">
        <f t="shared" si="640"/>
        <v>3.000,00</v>
      </c>
      <c r="Q2089" s="4" t="str">
        <f t="shared" si="635"/>
        <v>Tres Mil Bolívares con 00/100</v>
      </c>
    </row>
    <row r="2090" spans="1:17" x14ac:dyDescent="0.25">
      <c r="A2090" s="1">
        <f t="shared" si="634"/>
        <v>2089</v>
      </c>
      <c r="C2090" s="85" t="s">
        <v>17</v>
      </c>
      <c r="D2090" s="2">
        <v>43619</v>
      </c>
      <c r="E2090" s="3">
        <v>8000</v>
      </c>
      <c r="F2090" t="s">
        <v>259</v>
      </c>
      <c r="G2090" s="18" t="s">
        <v>58</v>
      </c>
      <c r="H2090" t="s">
        <v>261</v>
      </c>
      <c r="I2090" s="6" t="s">
        <v>970</v>
      </c>
      <c r="J2090" s="61" t="s">
        <v>22</v>
      </c>
      <c r="L2090" s="5" t="str">
        <f t="shared" si="636"/>
        <v>02089</v>
      </c>
      <c r="M2090" s="47" t="str">
        <f t="shared" si="637"/>
        <v>03 de junio de 2019</v>
      </c>
      <c r="N2090" s="323">
        <f t="shared" si="639"/>
        <v>3</v>
      </c>
      <c r="O2090" s="25">
        <f t="shared" si="638"/>
        <v>43617</v>
      </c>
      <c r="P2090" s="5" t="str">
        <f t="shared" si="640"/>
        <v>8.000,00</v>
      </c>
      <c r="Q2090" s="4" t="str">
        <f t="shared" si="635"/>
        <v>Ocho Mil Bolívares con 00/100</v>
      </c>
    </row>
    <row r="2091" spans="1:17" x14ac:dyDescent="0.25">
      <c r="A2091" s="1">
        <f t="shared" si="634"/>
        <v>2090</v>
      </c>
      <c r="C2091" s="8" t="s">
        <v>17</v>
      </c>
      <c r="D2091" s="2">
        <v>43619</v>
      </c>
      <c r="E2091" s="3">
        <v>8000</v>
      </c>
      <c r="F2091" t="s">
        <v>201</v>
      </c>
      <c r="G2091" t="s">
        <v>202</v>
      </c>
      <c r="H2091" t="s">
        <v>203</v>
      </c>
      <c r="I2091" s="6" t="s">
        <v>986</v>
      </c>
      <c r="J2091" s="61" t="s">
        <v>22</v>
      </c>
      <c r="L2091" s="5" t="str">
        <f t="shared" si="636"/>
        <v>02090</v>
      </c>
      <c r="M2091" s="47" t="str">
        <f t="shared" si="637"/>
        <v>03 de junio de 2019</v>
      </c>
      <c r="N2091" s="323">
        <f t="shared" si="639"/>
        <v>3</v>
      </c>
      <c r="O2091" s="25">
        <f t="shared" si="638"/>
        <v>43617</v>
      </c>
      <c r="P2091" s="5" t="str">
        <f t="shared" si="640"/>
        <v>8.000,00</v>
      </c>
      <c r="Q2091" s="4" t="str">
        <f t="shared" si="635"/>
        <v>Ocho Mil Bolívares con 00/100</v>
      </c>
    </row>
    <row r="2092" spans="1:17" x14ac:dyDescent="0.25">
      <c r="A2092" s="1">
        <f t="shared" si="634"/>
        <v>2091</v>
      </c>
      <c r="C2092" s="8" t="s">
        <v>17</v>
      </c>
      <c r="D2092" s="2">
        <v>43619</v>
      </c>
      <c r="E2092" s="3">
        <v>5000</v>
      </c>
      <c r="F2092" t="s">
        <v>401</v>
      </c>
      <c r="G2092" t="s">
        <v>402</v>
      </c>
      <c r="H2092" t="s">
        <v>403</v>
      </c>
      <c r="I2092" s="6" t="s">
        <v>991</v>
      </c>
      <c r="J2092" s="61" t="s">
        <v>22</v>
      </c>
      <c r="L2092" s="5" t="str">
        <f t="shared" si="636"/>
        <v>02091</v>
      </c>
      <c r="M2092" s="47" t="str">
        <f t="shared" si="637"/>
        <v>03 de junio de 2019</v>
      </c>
      <c r="N2092" s="323">
        <f t="shared" si="639"/>
        <v>3</v>
      </c>
      <c r="O2092" s="25">
        <f t="shared" si="638"/>
        <v>43617</v>
      </c>
      <c r="P2092" s="5" t="str">
        <f t="shared" si="640"/>
        <v>5.000,00</v>
      </c>
      <c r="Q2092" s="4" t="str">
        <f t="shared" si="635"/>
        <v>Cinco Mil Bolívares con 00/100</v>
      </c>
    </row>
    <row r="2093" spans="1:17" x14ac:dyDescent="0.25">
      <c r="A2093" s="1">
        <f t="shared" si="634"/>
        <v>2092</v>
      </c>
      <c r="C2093" s="8" t="s">
        <v>17</v>
      </c>
      <c r="D2093" s="2">
        <v>43620</v>
      </c>
      <c r="E2093" s="3">
        <v>11000</v>
      </c>
      <c r="F2093" t="s">
        <v>362</v>
      </c>
      <c r="G2093" t="s">
        <v>363</v>
      </c>
      <c r="H2093" t="s">
        <v>364</v>
      </c>
      <c r="I2093" s="6" t="s">
        <v>984</v>
      </c>
      <c r="J2093" s="61" t="s">
        <v>22</v>
      </c>
      <c r="L2093" s="5" t="str">
        <f t="shared" si="636"/>
        <v>02092</v>
      </c>
      <c r="M2093" s="47" t="str">
        <f t="shared" si="637"/>
        <v>04 de junio de 2019</v>
      </c>
      <c r="N2093" s="323">
        <f t="shared" si="639"/>
        <v>4</v>
      </c>
      <c r="O2093" s="25">
        <f t="shared" si="638"/>
        <v>43617</v>
      </c>
      <c r="P2093" s="5" t="str">
        <f t="shared" si="640"/>
        <v>11.000,00</v>
      </c>
      <c r="Q2093" s="4" t="str">
        <f t="shared" si="635"/>
        <v>Once Mil Bolívares con 00/100</v>
      </c>
    </row>
    <row r="2094" spans="1:17" x14ac:dyDescent="0.25">
      <c r="A2094" s="1">
        <f t="shared" si="634"/>
        <v>2093</v>
      </c>
      <c r="C2094" s="8" t="s">
        <v>17</v>
      </c>
      <c r="D2094" s="2">
        <v>43621</v>
      </c>
      <c r="E2094" s="3">
        <v>8000</v>
      </c>
      <c r="F2094" t="s">
        <v>185</v>
      </c>
      <c r="G2094" t="s">
        <v>186</v>
      </c>
      <c r="H2094" t="s">
        <v>187</v>
      </c>
      <c r="I2094" s="6" t="s">
        <v>986</v>
      </c>
      <c r="J2094" s="61" t="s">
        <v>22</v>
      </c>
      <c r="L2094" s="5" t="str">
        <f t="shared" si="636"/>
        <v>02093</v>
      </c>
      <c r="M2094" s="47" t="str">
        <f t="shared" si="637"/>
        <v>05 de junio de 2019</v>
      </c>
      <c r="N2094" s="323">
        <f t="shared" si="639"/>
        <v>5</v>
      </c>
      <c r="O2094" s="25">
        <f t="shared" si="638"/>
        <v>43617</v>
      </c>
      <c r="P2094" s="5" t="str">
        <f t="shared" si="640"/>
        <v>8.000,00</v>
      </c>
      <c r="Q2094" s="4" t="str">
        <f t="shared" si="635"/>
        <v>Ocho Mil Bolívares con 00/100</v>
      </c>
    </row>
    <row r="2095" spans="1:17" x14ac:dyDescent="0.25">
      <c r="A2095" s="1">
        <f t="shared" si="634"/>
        <v>2094</v>
      </c>
      <c r="C2095" s="8" t="s">
        <v>17</v>
      </c>
      <c r="D2095" s="2">
        <v>43621</v>
      </c>
      <c r="E2095" s="3">
        <v>5000</v>
      </c>
      <c r="F2095" t="s">
        <v>28</v>
      </c>
      <c r="G2095" t="s">
        <v>716</v>
      </c>
      <c r="H2095" t="s">
        <v>30</v>
      </c>
      <c r="I2095" s="6" t="s">
        <v>991</v>
      </c>
      <c r="J2095" s="61" t="s">
        <v>22</v>
      </c>
      <c r="L2095" s="5" t="str">
        <f t="shared" si="636"/>
        <v>02094</v>
      </c>
      <c r="M2095" s="47" t="str">
        <f t="shared" si="637"/>
        <v>05 de junio de 2019</v>
      </c>
      <c r="N2095" s="323">
        <f t="shared" si="639"/>
        <v>5</v>
      </c>
      <c r="O2095" s="25">
        <f t="shared" si="638"/>
        <v>43617</v>
      </c>
      <c r="P2095" s="5" t="str">
        <f t="shared" si="640"/>
        <v>5.000,00</v>
      </c>
      <c r="Q2095" s="4" t="str">
        <f t="shared" si="635"/>
        <v>Cinco Mil Bolívares con 00/100</v>
      </c>
    </row>
    <row r="2096" spans="1:17" x14ac:dyDescent="0.25">
      <c r="A2096" s="1">
        <f>A2095+1</f>
        <v>2095</v>
      </c>
      <c r="C2096" s="8" t="s">
        <v>17</v>
      </c>
      <c r="D2096" s="2">
        <v>43621</v>
      </c>
      <c r="E2096" s="3">
        <f>5000+3000</f>
        <v>8000</v>
      </c>
      <c r="F2096" t="s">
        <v>70</v>
      </c>
      <c r="G2096" t="s">
        <v>71</v>
      </c>
      <c r="H2096" t="s">
        <v>72</v>
      </c>
      <c r="I2096" s="6" t="s">
        <v>992</v>
      </c>
      <c r="J2096" s="61" t="s">
        <v>22</v>
      </c>
      <c r="L2096" s="5" t="str">
        <f t="shared" si="636"/>
        <v>02095</v>
      </c>
      <c r="M2096" s="47" t="str">
        <f t="shared" si="637"/>
        <v>05 de junio de 2019</v>
      </c>
      <c r="N2096" s="323">
        <f t="shared" si="639"/>
        <v>5</v>
      </c>
      <c r="O2096" s="25">
        <f t="shared" si="638"/>
        <v>43617</v>
      </c>
      <c r="P2096" s="5" t="str">
        <f t="shared" si="640"/>
        <v>8.000,00</v>
      </c>
      <c r="Q2096" s="4" t="str">
        <f t="shared" si="635"/>
        <v>Ocho Mil Bolívares con 00/100</v>
      </c>
    </row>
    <row r="2097" spans="1:17" x14ac:dyDescent="0.25">
      <c r="A2097" s="1">
        <f t="shared" ref="A2097:A2102" si="641">A2096+1</f>
        <v>2096</v>
      </c>
      <c r="C2097" s="8" t="s">
        <v>17</v>
      </c>
      <c r="D2097" s="2">
        <v>43621</v>
      </c>
      <c r="E2097" s="3">
        <v>8000</v>
      </c>
      <c r="F2097" t="s">
        <v>24</v>
      </c>
      <c r="G2097" t="s">
        <v>25</v>
      </c>
      <c r="H2097" t="s">
        <v>26</v>
      </c>
      <c r="I2097" s="6" t="s">
        <v>986</v>
      </c>
      <c r="J2097" s="61" t="s">
        <v>22</v>
      </c>
      <c r="L2097" s="5" t="str">
        <f t="shared" si="636"/>
        <v>02096</v>
      </c>
      <c r="M2097" s="47" t="str">
        <f t="shared" si="637"/>
        <v>05 de junio de 2019</v>
      </c>
      <c r="N2097" s="323">
        <f t="shared" si="639"/>
        <v>5</v>
      </c>
      <c r="O2097" s="25">
        <f t="shared" si="638"/>
        <v>43617</v>
      </c>
      <c r="P2097" s="5" t="str">
        <f t="shared" si="640"/>
        <v>8.000,00</v>
      </c>
      <c r="Q2097" s="4" t="str">
        <f t="shared" si="635"/>
        <v>Ocho Mil Bolívares con 00/100</v>
      </c>
    </row>
    <row r="2098" spans="1:17" x14ac:dyDescent="0.25">
      <c r="A2098" s="1">
        <f t="shared" si="641"/>
        <v>2097</v>
      </c>
      <c r="C2098" s="8" t="s">
        <v>17</v>
      </c>
      <c r="D2098" s="2">
        <v>43621</v>
      </c>
      <c r="E2098" s="3">
        <v>8000</v>
      </c>
      <c r="F2098" t="s">
        <v>342</v>
      </c>
      <c r="G2098" t="s">
        <v>343</v>
      </c>
      <c r="H2098" t="s">
        <v>344</v>
      </c>
      <c r="I2098" s="6" t="s">
        <v>986</v>
      </c>
      <c r="J2098" s="61" t="s">
        <v>22</v>
      </c>
      <c r="L2098" s="5" t="str">
        <f t="shared" si="636"/>
        <v>02097</v>
      </c>
      <c r="M2098" s="47" t="str">
        <f t="shared" si="637"/>
        <v>05 de junio de 2019</v>
      </c>
      <c r="N2098" s="323">
        <f t="shared" si="639"/>
        <v>5</v>
      </c>
      <c r="O2098" s="25">
        <f t="shared" si="638"/>
        <v>43617</v>
      </c>
      <c r="P2098" s="5" t="str">
        <f t="shared" si="640"/>
        <v>8.000,00</v>
      </c>
      <c r="Q2098" s="4" t="str">
        <f t="shared" si="635"/>
        <v>Ocho Mil Bolívares con 00/100</v>
      </c>
    </row>
    <row r="2099" spans="1:17" x14ac:dyDescent="0.25">
      <c r="A2099" s="1">
        <f t="shared" si="641"/>
        <v>2098</v>
      </c>
      <c r="C2099" s="8" t="s">
        <v>17</v>
      </c>
      <c r="D2099" s="2">
        <v>43614</v>
      </c>
      <c r="E2099" s="3">
        <v>8000</v>
      </c>
      <c r="F2099" t="s">
        <v>118</v>
      </c>
      <c r="G2099" t="s">
        <v>119</v>
      </c>
      <c r="H2099" t="s">
        <v>120</v>
      </c>
      <c r="I2099" s="6" t="s">
        <v>970</v>
      </c>
      <c r="J2099" s="61" t="s">
        <v>22</v>
      </c>
      <c r="L2099" s="5" t="str">
        <f t="shared" si="636"/>
        <v>02098</v>
      </c>
      <c r="M2099" s="47" t="str">
        <f t="shared" si="637"/>
        <v>29 de mayo de 2019</v>
      </c>
      <c r="N2099" s="323">
        <f t="shared" si="639"/>
        <v>29</v>
      </c>
      <c r="O2099" s="25">
        <f t="shared" si="638"/>
        <v>43586</v>
      </c>
      <c r="P2099" s="5" t="str">
        <f t="shared" si="640"/>
        <v>8.000,00</v>
      </c>
      <c r="Q2099" s="4" t="str">
        <f t="shared" si="635"/>
        <v>Ocho Mil Bolívares con 00/100</v>
      </c>
    </row>
    <row r="2100" spans="1:17" x14ac:dyDescent="0.25">
      <c r="A2100" s="1">
        <f t="shared" si="641"/>
        <v>2099</v>
      </c>
      <c r="C2100" s="8" t="s">
        <v>17</v>
      </c>
      <c r="D2100" s="2">
        <v>43621</v>
      </c>
      <c r="E2100" s="3">
        <v>8000</v>
      </c>
      <c r="F2100" t="s">
        <v>443</v>
      </c>
      <c r="G2100" t="s">
        <v>444</v>
      </c>
      <c r="H2100" t="s">
        <v>75</v>
      </c>
      <c r="I2100" s="6" t="s">
        <v>986</v>
      </c>
      <c r="J2100" s="61" t="s">
        <v>22</v>
      </c>
      <c r="L2100" s="5" t="str">
        <f t="shared" si="636"/>
        <v>02099</v>
      </c>
      <c r="M2100" s="47" t="str">
        <f t="shared" si="637"/>
        <v>05 de junio de 2019</v>
      </c>
      <c r="N2100" s="323">
        <f t="shared" si="639"/>
        <v>5</v>
      </c>
      <c r="O2100" s="25">
        <f t="shared" si="638"/>
        <v>43617</v>
      </c>
      <c r="P2100" s="5" t="str">
        <f t="shared" si="640"/>
        <v>8.000,00</v>
      </c>
      <c r="Q2100" s="4" t="str">
        <f t="shared" si="635"/>
        <v>Ocho Mil Bolívares con 00/100</v>
      </c>
    </row>
    <row r="2101" spans="1:17" x14ac:dyDescent="0.25">
      <c r="A2101" s="1">
        <f t="shared" si="641"/>
        <v>2100</v>
      </c>
      <c r="C2101" s="8" t="s">
        <v>17</v>
      </c>
      <c r="D2101" s="2">
        <v>43621</v>
      </c>
      <c r="E2101" s="3">
        <v>8000</v>
      </c>
      <c r="F2101" t="s">
        <v>248</v>
      </c>
      <c r="G2101" t="s">
        <v>249</v>
      </c>
      <c r="H2101" t="s">
        <v>250</v>
      </c>
      <c r="I2101" s="6" t="s">
        <v>986</v>
      </c>
      <c r="J2101" s="61" t="s">
        <v>22</v>
      </c>
      <c r="L2101" s="5" t="str">
        <f t="shared" si="636"/>
        <v>02100</v>
      </c>
      <c r="M2101" s="47" t="str">
        <f t="shared" si="637"/>
        <v>05 de junio de 2019</v>
      </c>
      <c r="N2101" s="323">
        <f t="shared" si="639"/>
        <v>5</v>
      </c>
      <c r="O2101" s="25">
        <f t="shared" si="638"/>
        <v>43617</v>
      </c>
      <c r="P2101" s="5" t="str">
        <f t="shared" si="640"/>
        <v>8.000,00</v>
      </c>
      <c r="Q2101" s="4" t="str">
        <f t="shared" si="635"/>
        <v>Ocho Mil Bolívares con 00/100</v>
      </c>
    </row>
    <row r="2102" spans="1:17" x14ac:dyDescent="0.25">
      <c r="A2102" s="1">
        <f t="shared" si="641"/>
        <v>2101</v>
      </c>
      <c r="C2102" s="8" t="s">
        <v>17</v>
      </c>
      <c r="D2102" s="2">
        <v>43622</v>
      </c>
      <c r="E2102" s="3">
        <v>8000</v>
      </c>
      <c r="F2102" t="s">
        <v>53</v>
      </c>
      <c r="G2102" t="s">
        <v>677</v>
      </c>
      <c r="H2102" t="s">
        <v>55</v>
      </c>
      <c r="I2102" s="6" t="s">
        <v>986</v>
      </c>
      <c r="J2102" s="61" t="s">
        <v>22</v>
      </c>
      <c r="L2102" s="5" t="str">
        <f t="shared" si="636"/>
        <v>02101</v>
      </c>
      <c r="M2102" s="47" t="str">
        <f t="shared" si="637"/>
        <v>06 de junio de 2019</v>
      </c>
      <c r="N2102" s="323">
        <f t="shared" si="639"/>
        <v>6</v>
      </c>
      <c r="O2102" s="25">
        <f t="shared" si="638"/>
        <v>43617</v>
      </c>
      <c r="P2102" s="5" t="str">
        <f t="shared" si="640"/>
        <v>8.000,00</v>
      </c>
      <c r="Q2102" s="4" t="str">
        <f t="shared" si="635"/>
        <v>Ocho Mil Bolívares con 00/100</v>
      </c>
    </row>
    <row r="2103" spans="1:17" x14ac:dyDescent="0.25">
      <c r="A2103" s="1">
        <f>A2102+1</f>
        <v>2102</v>
      </c>
      <c r="C2103" s="8" t="s">
        <v>17</v>
      </c>
      <c r="D2103" s="2">
        <v>43622</v>
      </c>
      <c r="E2103" s="3">
        <v>15000</v>
      </c>
      <c r="F2103" t="s">
        <v>36</v>
      </c>
      <c r="G2103" t="s">
        <v>37</v>
      </c>
      <c r="H2103" t="s">
        <v>38</v>
      </c>
      <c r="I2103" s="6" t="s">
        <v>993</v>
      </c>
      <c r="J2103" s="61" t="s">
        <v>22</v>
      </c>
      <c r="L2103" s="5" t="str">
        <f t="shared" si="636"/>
        <v>02102</v>
      </c>
      <c r="M2103" s="47" t="str">
        <f t="shared" si="637"/>
        <v>06 de junio de 2019</v>
      </c>
      <c r="N2103" s="323">
        <f t="shared" si="639"/>
        <v>6</v>
      </c>
      <c r="O2103" s="25">
        <f t="shared" si="638"/>
        <v>43617</v>
      </c>
      <c r="P2103" s="5" t="str">
        <f t="shared" si="640"/>
        <v>15.000,00</v>
      </c>
      <c r="Q2103" s="4" t="str">
        <f t="shared" si="635"/>
        <v>Quince Mil Bolívares con 00/100</v>
      </c>
    </row>
    <row r="2104" spans="1:17" x14ac:dyDescent="0.25">
      <c r="A2104" s="1">
        <f t="shared" ref="A2104:A2161" si="642">A2103+1</f>
        <v>2103</v>
      </c>
      <c r="C2104" s="8" t="s">
        <v>17</v>
      </c>
      <c r="D2104" s="2">
        <v>43623</v>
      </c>
      <c r="E2104" s="3">
        <v>10000</v>
      </c>
      <c r="F2104" t="s">
        <v>771</v>
      </c>
      <c r="G2104" t="s">
        <v>772</v>
      </c>
      <c r="H2104" t="s">
        <v>773</v>
      </c>
      <c r="I2104" s="6" t="s">
        <v>994</v>
      </c>
      <c r="J2104" s="61" t="s">
        <v>22</v>
      </c>
      <c r="L2104" s="5" t="str">
        <f t="shared" si="636"/>
        <v>02103</v>
      </c>
      <c r="M2104" s="47" t="str">
        <f t="shared" si="637"/>
        <v>07 de junio de 2019</v>
      </c>
      <c r="N2104" s="323">
        <f t="shared" si="639"/>
        <v>7</v>
      </c>
      <c r="O2104" s="25">
        <f t="shared" si="638"/>
        <v>43617</v>
      </c>
      <c r="P2104" s="5" t="str">
        <f t="shared" si="640"/>
        <v>10.000,00</v>
      </c>
      <c r="Q2104" s="4" t="str">
        <f t="shared" si="635"/>
        <v>Diez Mil Bolívares con 00/100</v>
      </c>
    </row>
    <row r="2105" spans="1:17" x14ac:dyDescent="0.25">
      <c r="A2105" s="1">
        <f t="shared" si="642"/>
        <v>2104</v>
      </c>
      <c r="C2105" s="8" t="s">
        <v>17</v>
      </c>
      <c r="D2105" s="2">
        <v>43623</v>
      </c>
      <c r="E2105" s="3">
        <v>8000</v>
      </c>
      <c r="F2105" t="s">
        <v>18</v>
      </c>
      <c r="G2105" t="s">
        <v>19</v>
      </c>
      <c r="H2105" t="s">
        <v>20</v>
      </c>
      <c r="I2105" s="6" t="s">
        <v>995</v>
      </c>
      <c r="J2105" s="61" t="s">
        <v>22</v>
      </c>
      <c r="L2105" s="5" t="str">
        <f t="shared" si="636"/>
        <v>02104</v>
      </c>
      <c r="M2105" s="47" t="str">
        <f t="shared" si="637"/>
        <v>07 de junio de 2019</v>
      </c>
      <c r="N2105" s="323">
        <f t="shared" si="639"/>
        <v>7</v>
      </c>
      <c r="O2105" s="25">
        <f t="shared" si="638"/>
        <v>43617</v>
      </c>
      <c r="P2105" s="5" t="str">
        <f t="shared" si="640"/>
        <v>8.000,00</v>
      </c>
      <c r="Q2105" s="4" t="str">
        <f t="shared" si="635"/>
        <v>Ocho Mil Bolívares con 00/100</v>
      </c>
    </row>
    <row r="2106" spans="1:17" ht="16.5" customHeight="1" x14ac:dyDescent="0.25">
      <c r="A2106" s="1">
        <f t="shared" si="642"/>
        <v>2105</v>
      </c>
      <c r="C2106" s="8" t="s">
        <v>17</v>
      </c>
      <c r="D2106" s="2">
        <v>43623</v>
      </c>
      <c r="E2106" s="3">
        <v>8000</v>
      </c>
      <c r="F2106" t="s">
        <v>219</v>
      </c>
      <c r="G2106" t="s">
        <v>220</v>
      </c>
      <c r="H2106" t="s">
        <v>221</v>
      </c>
      <c r="I2106" s="6" t="s">
        <v>996</v>
      </c>
      <c r="J2106" s="61" t="s">
        <v>22</v>
      </c>
      <c r="L2106" s="5" t="str">
        <f t="shared" si="636"/>
        <v>02105</v>
      </c>
      <c r="M2106" s="47" t="str">
        <f t="shared" si="637"/>
        <v>07 de junio de 2019</v>
      </c>
      <c r="N2106" s="323">
        <f t="shared" si="639"/>
        <v>7</v>
      </c>
      <c r="O2106" s="25">
        <f t="shared" si="638"/>
        <v>43617</v>
      </c>
      <c r="P2106" s="5" t="str">
        <f t="shared" si="640"/>
        <v>8.000,00</v>
      </c>
      <c r="Q2106" s="4" t="str">
        <f t="shared" si="635"/>
        <v>Ocho Mil Bolívares con 00/100</v>
      </c>
    </row>
    <row r="2107" spans="1:17" x14ac:dyDescent="0.25">
      <c r="A2107" s="1">
        <f t="shared" si="642"/>
        <v>2106</v>
      </c>
      <c r="C2107" s="8" t="s">
        <v>17</v>
      </c>
      <c r="D2107" s="2">
        <v>43623</v>
      </c>
      <c r="E2107" s="3">
        <v>8000</v>
      </c>
      <c r="F2107" t="s">
        <v>438</v>
      </c>
      <c r="G2107" t="s">
        <v>439</v>
      </c>
      <c r="H2107" t="s">
        <v>440</v>
      </c>
      <c r="I2107" s="6" t="s">
        <v>997</v>
      </c>
      <c r="J2107" s="61" t="s">
        <v>22</v>
      </c>
      <c r="L2107" s="5" t="str">
        <f t="shared" si="636"/>
        <v>02106</v>
      </c>
      <c r="M2107" s="47" t="str">
        <f t="shared" si="637"/>
        <v>07 de junio de 2019</v>
      </c>
      <c r="N2107" s="323">
        <f t="shared" si="639"/>
        <v>7</v>
      </c>
      <c r="O2107" s="25">
        <f t="shared" si="638"/>
        <v>43617</v>
      </c>
      <c r="P2107" s="5" t="str">
        <f t="shared" si="640"/>
        <v>8.000,00</v>
      </c>
      <c r="Q2107" s="4" t="str">
        <f t="shared" si="635"/>
        <v>Ocho Mil Bolívares con 00/100</v>
      </c>
    </row>
    <row r="2108" spans="1:17" x14ac:dyDescent="0.25">
      <c r="A2108" s="1">
        <f t="shared" si="642"/>
        <v>2107</v>
      </c>
      <c r="C2108" s="8" t="s">
        <v>17</v>
      </c>
      <c r="D2108" s="2">
        <v>43623</v>
      </c>
      <c r="E2108" s="3">
        <v>8000</v>
      </c>
      <c r="F2108" t="s">
        <v>713</v>
      </c>
      <c r="G2108" t="s">
        <v>714</v>
      </c>
      <c r="H2108" t="s">
        <v>154</v>
      </c>
      <c r="I2108" s="6" t="s">
        <v>986</v>
      </c>
      <c r="J2108" s="61" t="s">
        <v>22</v>
      </c>
      <c r="L2108" s="5" t="str">
        <f t="shared" si="636"/>
        <v>02107</v>
      </c>
      <c r="M2108" s="47" t="str">
        <f t="shared" si="637"/>
        <v>07 de junio de 2019</v>
      </c>
      <c r="N2108" s="323">
        <f t="shared" si="639"/>
        <v>7</v>
      </c>
      <c r="O2108" s="25">
        <f t="shared" si="638"/>
        <v>43617</v>
      </c>
      <c r="P2108" s="5" t="str">
        <f t="shared" si="640"/>
        <v>8.000,00</v>
      </c>
      <c r="Q2108" s="4" t="str">
        <f t="shared" si="635"/>
        <v>Ocho Mil Bolívares con 00/100</v>
      </c>
    </row>
    <row r="2109" spans="1:17" x14ac:dyDescent="0.25">
      <c r="A2109" s="1">
        <f t="shared" si="642"/>
        <v>2108</v>
      </c>
      <c r="C2109" s="8" t="s">
        <v>17</v>
      </c>
      <c r="D2109" s="2">
        <v>43623</v>
      </c>
      <c r="E2109" s="3">
        <v>8000</v>
      </c>
      <c r="F2109" t="s">
        <v>32</v>
      </c>
      <c r="G2109" t="s">
        <v>33</v>
      </c>
      <c r="H2109" t="s">
        <v>34</v>
      </c>
      <c r="I2109" s="6" t="s">
        <v>970</v>
      </c>
      <c r="J2109" s="61" t="s">
        <v>22</v>
      </c>
      <c r="L2109" s="5" t="str">
        <f t="shared" si="636"/>
        <v>02108</v>
      </c>
      <c r="M2109" s="47" t="str">
        <f t="shared" si="637"/>
        <v>07 de junio de 2019</v>
      </c>
      <c r="N2109" s="323">
        <f t="shared" si="639"/>
        <v>7</v>
      </c>
      <c r="O2109" s="25">
        <f t="shared" si="638"/>
        <v>43617</v>
      </c>
      <c r="P2109" s="5" t="str">
        <f t="shared" si="640"/>
        <v>8.000,00</v>
      </c>
      <c r="Q2109" s="4" t="str">
        <f t="shared" si="635"/>
        <v>Ocho Mil Bolívares con 00/100</v>
      </c>
    </row>
    <row r="2110" spans="1:17" x14ac:dyDescent="0.25">
      <c r="A2110" s="1">
        <f t="shared" si="642"/>
        <v>2109</v>
      </c>
      <c r="C2110" s="8" t="s">
        <v>17</v>
      </c>
      <c r="D2110" s="2">
        <v>43626</v>
      </c>
      <c r="E2110" s="3">
        <v>3000</v>
      </c>
      <c r="F2110" t="s">
        <v>206</v>
      </c>
      <c r="G2110" t="s">
        <v>207</v>
      </c>
      <c r="H2110" t="s">
        <v>208</v>
      </c>
      <c r="I2110" s="6" t="s">
        <v>969</v>
      </c>
      <c r="J2110" s="61" t="s">
        <v>22</v>
      </c>
      <c r="L2110" s="5" t="str">
        <f t="shared" si="636"/>
        <v>02109</v>
      </c>
      <c r="M2110" s="47" t="str">
        <f t="shared" si="637"/>
        <v>10 de junio de 2019</v>
      </c>
      <c r="N2110" s="323">
        <f t="shared" si="639"/>
        <v>10</v>
      </c>
      <c r="O2110" s="25">
        <f t="shared" si="638"/>
        <v>43617</v>
      </c>
      <c r="P2110" s="5" t="str">
        <f t="shared" si="640"/>
        <v>3.000,00</v>
      </c>
      <c r="Q2110" s="4" t="str">
        <f t="shared" si="635"/>
        <v>Tres Mil Bolívares con 00/100</v>
      </c>
    </row>
    <row r="2111" spans="1:17" x14ac:dyDescent="0.25">
      <c r="A2111" s="1">
        <f t="shared" si="642"/>
        <v>2110</v>
      </c>
      <c r="C2111" s="8" t="s">
        <v>17</v>
      </c>
      <c r="D2111" s="2">
        <v>43626</v>
      </c>
      <c r="E2111" s="3">
        <v>16000</v>
      </c>
      <c r="F2111" t="s">
        <v>998</v>
      </c>
      <c r="G2111" t="s">
        <v>999</v>
      </c>
      <c r="H2111" t="s">
        <v>1000</v>
      </c>
      <c r="I2111" s="6" t="s">
        <v>1001</v>
      </c>
      <c r="J2111" s="61" t="s">
        <v>22</v>
      </c>
      <c r="L2111" s="5" t="str">
        <f t="shared" ref="L2111:L2128" si="643">IF(ISBLANK(A2111),"",TEXT(A2111,"00000"))</f>
        <v>02110</v>
      </c>
      <c r="M2111" s="47" t="str">
        <f t="shared" ref="M2111:M2128" si="644">IF(ISBLANK(D2111),"",TEXT(D2111,"dd")&amp;" de "&amp;TEXT(D2111,"mmmm")&amp;" de "&amp;TEXT(YEAR(D2111),"0"))</f>
        <v>10 de junio de 2019</v>
      </c>
      <c r="N2111" s="323">
        <f t="shared" ref="N2111:N2128" si="645">DAY(D2111)</f>
        <v>10</v>
      </c>
      <c r="O2111" s="25">
        <f t="shared" ref="O2111:O2128" si="646">DATE(YEAR(D2111),MONTH(D2111),1)</f>
        <v>43617</v>
      </c>
      <c r="P2111" s="5" t="str">
        <f t="shared" ref="P2111:P2128" si="647">TEXT(E2111,"#.##0,00")</f>
        <v>16.000,00</v>
      </c>
      <c r="Q2111" s="4" t="str">
        <f t="shared" ref="Q2111:Q2128" si="648">CONVERTIRNUM(E2111)</f>
        <v>Dieciséis Mil Bolívares con 00/100</v>
      </c>
    </row>
    <row r="2112" spans="1:17" x14ac:dyDescent="0.25">
      <c r="A2112" s="1">
        <f t="shared" si="642"/>
        <v>2111</v>
      </c>
      <c r="C2112" s="8" t="s">
        <v>17</v>
      </c>
      <c r="D2112" s="2">
        <v>43626</v>
      </c>
      <c r="E2112" s="3">
        <v>10000</v>
      </c>
      <c r="F2112" t="s">
        <v>594</v>
      </c>
      <c r="G2112" t="s">
        <v>595</v>
      </c>
      <c r="H2112" t="s">
        <v>596</v>
      </c>
      <c r="I2112" s="161" t="s">
        <v>971</v>
      </c>
      <c r="J2112" s="61" t="s">
        <v>22</v>
      </c>
      <c r="L2112" s="5" t="str">
        <f t="shared" si="643"/>
        <v>02111</v>
      </c>
      <c r="M2112" s="47" t="str">
        <f t="shared" si="644"/>
        <v>10 de junio de 2019</v>
      </c>
      <c r="N2112" s="323">
        <f t="shared" si="645"/>
        <v>10</v>
      </c>
      <c r="O2112" s="25">
        <f t="shared" si="646"/>
        <v>43617</v>
      </c>
      <c r="P2112" s="5" t="str">
        <f t="shared" si="647"/>
        <v>10.000,00</v>
      </c>
      <c r="Q2112" s="4" t="str">
        <f t="shared" si="648"/>
        <v>Diez Mil Bolívares con 00/100</v>
      </c>
    </row>
    <row r="2113" spans="1:17" x14ac:dyDescent="0.25">
      <c r="A2113" s="1">
        <f t="shared" si="642"/>
        <v>2112</v>
      </c>
      <c r="C2113" s="8" t="s">
        <v>17</v>
      </c>
      <c r="D2113" s="2">
        <v>43628</v>
      </c>
      <c r="E2113" s="3">
        <v>8000</v>
      </c>
      <c r="F2113" t="s">
        <v>337</v>
      </c>
      <c r="G2113" t="s">
        <v>338</v>
      </c>
      <c r="H2113" t="s">
        <v>339</v>
      </c>
      <c r="I2113" s="6" t="s">
        <v>986</v>
      </c>
      <c r="J2113" s="61" t="s">
        <v>22</v>
      </c>
      <c r="L2113" s="5" t="str">
        <f t="shared" si="643"/>
        <v>02112</v>
      </c>
      <c r="M2113" s="47" t="str">
        <f t="shared" si="644"/>
        <v>12 de junio de 2019</v>
      </c>
      <c r="N2113" s="323">
        <f t="shared" si="645"/>
        <v>12</v>
      </c>
      <c r="O2113" s="25">
        <f t="shared" si="646"/>
        <v>43617</v>
      </c>
      <c r="P2113" s="5" t="str">
        <f t="shared" si="647"/>
        <v>8.000,00</v>
      </c>
      <c r="Q2113" s="4" t="str">
        <f t="shared" si="648"/>
        <v>Ocho Mil Bolívares con 00/100</v>
      </c>
    </row>
    <row r="2114" spans="1:17" x14ac:dyDescent="0.25">
      <c r="A2114" s="1">
        <f t="shared" si="642"/>
        <v>2113</v>
      </c>
      <c r="C2114" s="8" t="s">
        <v>17</v>
      </c>
      <c r="D2114" s="2">
        <v>43630</v>
      </c>
      <c r="E2114" s="3">
        <v>8000</v>
      </c>
      <c r="F2114" t="s">
        <v>181</v>
      </c>
      <c r="G2114" t="s">
        <v>182</v>
      </c>
      <c r="H2114" t="s">
        <v>183</v>
      </c>
      <c r="I2114" s="6" t="s">
        <v>986</v>
      </c>
      <c r="J2114" s="61" t="s">
        <v>22</v>
      </c>
      <c r="L2114" s="5" t="str">
        <f t="shared" si="643"/>
        <v>02113</v>
      </c>
      <c r="M2114" s="47" t="str">
        <f t="shared" si="644"/>
        <v>14 de junio de 2019</v>
      </c>
      <c r="N2114" s="323">
        <f t="shared" si="645"/>
        <v>14</v>
      </c>
      <c r="O2114" s="25">
        <f t="shared" si="646"/>
        <v>43617</v>
      </c>
      <c r="P2114" s="5" t="str">
        <f t="shared" si="647"/>
        <v>8.000,00</v>
      </c>
      <c r="Q2114" s="4" t="str">
        <f t="shared" si="648"/>
        <v>Ocho Mil Bolívares con 00/100</v>
      </c>
    </row>
    <row r="2115" spans="1:17" x14ac:dyDescent="0.25">
      <c r="A2115" s="1">
        <f t="shared" si="642"/>
        <v>2114</v>
      </c>
      <c r="C2115" s="8" t="s">
        <v>17</v>
      </c>
      <c r="D2115" s="2">
        <v>43631</v>
      </c>
      <c r="E2115" s="3">
        <v>8000</v>
      </c>
      <c r="F2115" t="s">
        <v>114</v>
      </c>
      <c r="G2115" t="s">
        <v>115</v>
      </c>
      <c r="H2115" t="s">
        <v>105</v>
      </c>
      <c r="I2115" s="6" t="s">
        <v>1002</v>
      </c>
      <c r="J2115" s="61" t="s">
        <v>22</v>
      </c>
      <c r="L2115" s="5" t="str">
        <f t="shared" si="643"/>
        <v>02114</v>
      </c>
      <c r="M2115" s="47" t="str">
        <f t="shared" si="644"/>
        <v>15 de junio de 2019</v>
      </c>
      <c r="N2115" s="323">
        <f t="shared" si="645"/>
        <v>15</v>
      </c>
      <c r="O2115" s="25">
        <f t="shared" si="646"/>
        <v>43617</v>
      </c>
      <c r="P2115" s="5" t="str">
        <f t="shared" si="647"/>
        <v>8.000,00</v>
      </c>
      <c r="Q2115" s="4" t="str">
        <f t="shared" si="648"/>
        <v>Ocho Mil Bolívares con 00/100</v>
      </c>
    </row>
    <row r="2116" spans="1:17" x14ac:dyDescent="0.25">
      <c r="A2116" s="1">
        <f t="shared" si="642"/>
        <v>2115</v>
      </c>
      <c r="C2116" s="8" t="s">
        <v>17</v>
      </c>
      <c r="D2116" s="2">
        <v>43631</v>
      </c>
      <c r="E2116" s="3">
        <v>8000</v>
      </c>
      <c r="F2116" t="s">
        <v>103</v>
      </c>
      <c r="G2116" t="s">
        <v>104</v>
      </c>
      <c r="H2116" t="s">
        <v>105</v>
      </c>
      <c r="I2116" s="6" t="s">
        <v>986</v>
      </c>
      <c r="J2116" s="61" t="s">
        <v>22</v>
      </c>
      <c r="L2116" s="5" t="str">
        <f t="shared" si="643"/>
        <v>02115</v>
      </c>
      <c r="M2116" s="47" t="str">
        <f t="shared" si="644"/>
        <v>15 de junio de 2019</v>
      </c>
      <c r="N2116" s="323">
        <f t="shared" si="645"/>
        <v>15</v>
      </c>
      <c r="O2116" s="25">
        <f t="shared" si="646"/>
        <v>43617</v>
      </c>
      <c r="P2116" s="5" t="str">
        <f t="shared" si="647"/>
        <v>8.000,00</v>
      </c>
      <c r="Q2116" s="4" t="str">
        <f t="shared" si="648"/>
        <v>Ocho Mil Bolívares con 00/100</v>
      </c>
    </row>
    <row r="2117" spans="1:17" x14ac:dyDescent="0.25">
      <c r="A2117" s="1">
        <f t="shared" si="642"/>
        <v>2116</v>
      </c>
      <c r="C2117" s="8" t="s">
        <v>17</v>
      </c>
      <c r="D2117" s="2">
        <v>43631</v>
      </c>
      <c r="E2117" s="3">
        <v>8000</v>
      </c>
      <c r="F2117" t="s">
        <v>312</v>
      </c>
      <c r="G2117" t="s">
        <v>313</v>
      </c>
      <c r="H2117" t="s">
        <v>314</v>
      </c>
      <c r="I2117" s="6" t="s">
        <v>986</v>
      </c>
      <c r="J2117" s="61" t="s">
        <v>22</v>
      </c>
      <c r="L2117" s="5" t="str">
        <f t="shared" si="643"/>
        <v>02116</v>
      </c>
      <c r="M2117" s="47" t="str">
        <f t="shared" si="644"/>
        <v>15 de junio de 2019</v>
      </c>
      <c r="N2117" s="323">
        <f t="shared" si="645"/>
        <v>15</v>
      </c>
      <c r="O2117" s="25">
        <f t="shared" si="646"/>
        <v>43617</v>
      </c>
      <c r="P2117" s="5" t="str">
        <f t="shared" si="647"/>
        <v>8.000,00</v>
      </c>
      <c r="Q2117" s="4" t="str">
        <f t="shared" si="648"/>
        <v>Ocho Mil Bolívares con 00/100</v>
      </c>
    </row>
    <row r="2118" spans="1:17" x14ac:dyDescent="0.25">
      <c r="A2118" s="1">
        <f t="shared" si="642"/>
        <v>2117</v>
      </c>
      <c r="C2118" s="8" t="s">
        <v>17</v>
      </c>
      <c r="D2118" s="2">
        <v>43631</v>
      </c>
      <c r="E2118" s="3">
        <v>11000</v>
      </c>
      <c r="F2118" t="s">
        <v>144</v>
      </c>
      <c r="G2118" t="s">
        <v>661</v>
      </c>
      <c r="H2118" t="s">
        <v>146</v>
      </c>
      <c r="I2118" s="6" t="s">
        <v>984</v>
      </c>
      <c r="J2118" s="61" t="s">
        <v>22</v>
      </c>
      <c r="L2118" s="5" t="str">
        <f t="shared" si="643"/>
        <v>02117</v>
      </c>
      <c r="M2118" s="47" t="str">
        <f t="shared" si="644"/>
        <v>15 de junio de 2019</v>
      </c>
      <c r="N2118" s="323">
        <f t="shared" si="645"/>
        <v>15</v>
      </c>
      <c r="O2118" s="25">
        <f t="shared" si="646"/>
        <v>43617</v>
      </c>
      <c r="P2118" s="5" t="str">
        <f t="shared" si="647"/>
        <v>11.000,00</v>
      </c>
      <c r="Q2118" s="4" t="str">
        <f t="shared" si="648"/>
        <v>Once Mil Bolívares con 00/100</v>
      </c>
    </row>
    <row r="2119" spans="1:17" x14ac:dyDescent="0.25">
      <c r="A2119" s="1">
        <f t="shared" si="642"/>
        <v>2118</v>
      </c>
      <c r="C2119" s="8" t="s">
        <v>17</v>
      </c>
      <c r="D2119" s="2">
        <v>43633</v>
      </c>
      <c r="E2119" s="3">
        <v>8000</v>
      </c>
      <c r="F2119" t="s">
        <v>296</v>
      </c>
      <c r="G2119" t="s">
        <v>297</v>
      </c>
      <c r="H2119" t="s">
        <v>298</v>
      </c>
      <c r="I2119" s="6" t="s">
        <v>986</v>
      </c>
      <c r="J2119" s="61" t="s">
        <v>22</v>
      </c>
      <c r="L2119" s="5" t="str">
        <f t="shared" si="643"/>
        <v>02118</v>
      </c>
      <c r="M2119" s="47" t="str">
        <f t="shared" si="644"/>
        <v>17 de junio de 2019</v>
      </c>
      <c r="N2119" s="323">
        <f t="shared" si="645"/>
        <v>17</v>
      </c>
      <c r="O2119" s="25">
        <f t="shared" si="646"/>
        <v>43617</v>
      </c>
      <c r="P2119" s="5" t="str">
        <f t="shared" si="647"/>
        <v>8.000,00</v>
      </c>
      <c r="Q2119" s="4" t="str">
        <f t="shared" si="648"/>
        <v>Ocho Mil Bolívares con 00/100</v>
      </c>
    </row>
    <row r="2120" spans="1:17" x14ac:dyDescent="0.25">
      <c r="A2120" s="1">
        <f t="shared" si="642"/>
        <v>2119</v>
      </c>
      <c r="C2120" s="8" t="s">
        <v>17</v>
      </c>
      <c r="D2120" s="2">
        <v>43633</v>
      </c>
      <c r="E2120" s="3">
        <v>8000</v>
      </c>
      <c r="F2120" t="s">
        <v>454</v>
      </c>
      <c r="G2120" t="s">
        <v>761</v>
      </c>
      <c r="H2120" t="s">
        <v>455</v>
      </c>
      <c r="I2120" s="6" t="s">
        <v>986</v>
      </c>
      <c r="J2120" s="61" t="s">
        <v>22</v>
      </c>
      <c r="L2120" s="5" t="str">
        <f t="shared" si="643"/>
        <v>02119</v>
      </c>
      <c r="M2120" s="47" t="str">
        <f t="shared" si="644"/>
        <v>17 de junio de 2019</v>
      </c>
      <c r="N2120" s="323">
        <f t="shared" si="645"/>
        <v>17</v>
      </c>
      <c r="O2120" s="25">
        <f t="shared" si="646"/>
        <v>43617</v>
      </c>
      <c r="P2120" s="5" t="str">
        <f t="shared" si="647"/>
        <v>8.000,00</v>
      </c>
      <c r="Q2120" s="4" t="str">
        <f t="shared" si="648"/>
        <v>Ocho Mil Bolívares con 00/100</v>
      </c>
    </row>
    <row r="2121" spans="1:17" x14ac:dyDescent="0.25">
      <c r="A2121" s="1">
        <f t="shared" si="642"/>
        <v>2120</v>
      </c>
      <c r="C2121" s="8" t="s">
        <v>17</v>
      </c>
      <c r="D2121" s="2">
        <v>43634</v>
      </c>
      <c r="E2121" s="3">
        <v>8000</v>
      </c>
      <c r="F2121" t="s">
        <v>334</v>
      </c>
      <c r="G2121" t="s">
        <v>85</v>
      </c>
      <c r="H2121" t="s">
        <v>335</v>
      </c>
      <c r="I2121" s="6" t="s">
        <v>986</v>
      </c>
      <c r="J2121" s="61" t="s">
        <v>22</v>
      </c>
      <c r="L2121" s="5" t="str">
        <f t="shared" si="643"/>
        <v>02120</v>
      </c>
      <c r="M2121" s="47" t="str">
        <f t="shared" si="644"/>
        <v>18 de junio de 2019</v>
      </c>
      <c r="N2121" s="323">
        <f t="shared" si="645"/>
        <v>18</v>
      </c>
      <c r="O2121" s="25">
        <f t="shared" si="646"/>
        <v>43617</v>
      </c>
      <c r="P2121" s="5" t="str">
        <f t="shared" si="647"/>
        <v>8.000,00</v>
      </c>
      <c r="Q2121" s="4" t="str">
        <f t="shared" si="648"/>
        <v>Ocho Mil Bolívares con 00/100</v>
      </c>
    </row>
    <row r="2122" spans="1:17" x14ac:dyDescent="0.25">
      <c r="A2122" s="1">
        <f t="shared" si="642"/>
        <v>2121</v>
      </c>
      <c r="C2122" s="8" t="s">
        <v>17</v>
      </c>
      <c r="D2122" s="2">
        <v>43634</v>
      </c>
      <c r="E2122" s="3">
        <v>8000</v>
      </c>
      <c r="F2122" t="s">
        <v>84</v>
      </c>
      <c r="G2122" t="s">
        <v>85</v>
      </c>
      <c r="H2122" t="s">
        <v>86</v>
      </c>
      <c r="I2122" s="6" t="s">
        <v>986</v>
      </c>
      <c r="J2122" s="61" t="s">
        <v>22</v>
      </c>
      <c r="L2122" s="5" t="str">
        <f t="shared" si="643"/>
        <v>02121</v>
      </c>
      <c r="M2122" s="47" t="str">
        <f t="shared" si="644"/>
        <v>18 de junio de 2019</v>
      </c>
      <c r="N2122" s="323">
        <f t="shared" si="645"/>
        <v>18</v>
      </c>
      <c r="O2122" s="25">
        <f t="shared" si="646"/>
        <v>43617</v>
      </c>
      <c r="P2122" s="5" t="str">
        <f t="shared" si="647"/>
        <v>8.000,00</v>
      </c>
      <c r="Q2122" s="4" t="str">
        <f t="shared" si="648"/>
        <v>Ocho Mil Bolívares con 00/100</v>
      </c>
    </row>
    <row r="2123" spans="1:17" x14ac:dyDescent="0.25">
      <c r="A2123" s="1">
        <f t="shared" si="642"/>
        <v>2122</v>
      </c>
      <c r="C2123" s="8" t="s">
        <v>17</v>
      </c>
      <c r="D2123" s="2">
        <v>43636</v>
      </c>
      <c r="E2123" s="3">
        <v>8000</v>
      </c>
      <c r="F2123" t="s">
        <v>947</v>
      </c>
      <c r="G2123" t="s">
        <v>948</v>
      </c>
      <c r="H2123" t="s">
        <v>949</v>
      </c>
      <c r="I2123" s="6" t="s">
        <v>986</v>
      </c>
      <c r="J2123" s="61" t="s">
        <v>22</v>
      </c>
      <c r="L2123" s="5" t="str">
        <f t="shared" si="643"/>
        <v>02122</v>
      </c>
      <c r="M2123" s="47" t="str">
        <f t="shared" si="644"/>
        <v>20 de junio de 2019</v>
      </c>
      <c r="N2123" s="323">
        <f t="shared" si="645"/>
        <v>20</v>
      </c>
      <c r="O2123" s="25">
        <f t="shared" si="646"/>
        <v>43617</v>
      </c>
      <c r="P2123" s="5" t="str">
        <f t="shared" si="647"/>
        <v>8.000,00</v>
      </c>
      <c r="Q2123" s="4" t="str">
        <f t="shared" si="648"/>
        <v>Ocho Mil Bolívares con 00/100</v>
      </c>
    </row>
    <row r="2124" spans="1:17" x14ac:dyDescent="0.25">
      <c r="A2124" s="1">
        <f t="shared" si="642"/>
        <v>2123</v>
      </c>
      <c r="C2124" s="8" t="s">
        <v>17</v>
      </c>
      <c r="D2124" s="2">
        <v>43636</v>
      </c>
      <c r="E2124" s="3">
        <v>8000</v>
      </c>
      <c r="F2124" t="s">
        <v>633</v>
      </c>
      <c r="G2124" t="s">
        <v>634</v>
      </c>
      <c r="H2124" t="s">
        <v>635</v>
      </c>
      <c r="I2124" s="6" t="s">
        <v>986</v>
      </c>
      <c r="J2124" s="61" t="s">
        <v>22</v>
      </c>
      <c r="L2124" s="5" t="str">
        <f t="shared" si="643"/>
        <v>02123</v>
      </c>
      <c r="M2124" s="47" t="str">
        <f t="shared" si="644"/>
        <v>20 de junio de 2019</v>
      </c>
      <c r="N2124" s="323">
        <f t="shared" si="645"/>
        <v>20</v>
      </c>
      <c r="O2124" s="25">
        <f t="shared" si="646"/>
        <v>43617</v>
      </c>
      <c r="P2124" s="5" t="str">
        <f t="shared" si="647"/>
        <v>8.000,00</v>
      </c>
      <c r="Q2124" s="4" t="str">
        <f t="shared" si="648"/>
        <v>Ocho Mil Bolívares con 00/100</v>
      </c>
    </row>
    <row r="2125" spans="1:17" x14ac:dyDescent="0.25">
      <c r="A2125" s="1">
        <f t="shared" si="642"/>
        <v>2124</v>
      </c>
      <c r="C2125" s="85" t="s">
        <v>17</v>
      </c>
      <c r="D2125" s="2">
        <v>43637</v>
      </c>
      <c r="E2125" s="3">
        <v>6000</v>
      </c>
      <c r="F2125" t="s">
        <v>40</v>
      </c>
      <c r="G2125" s="18" t="s">
        <v>58</v>
      </c>
      <c r="H2125" t="s">
        <v>42</v>
      </c>
      <c r="I2125" s="6" t="s">
        <v>1003</v>
      </c>
      <c r="J2125" s="61" t="s">
        <v>22</v>
      </c>
      <c r="L2125" s="5" t="str">
        <f t="shared" si="643"/>
        <v>02124</v>
      </c>
      <c r="M2125" s="47" t="str">
        <f t="shared" si="644"/>
        <v>21 de junio de 2019</v>
      </c>
      <c r="N2125" s="323">
        <f t="shared" si="645"/>
        <v>21</v>
      </c>
      <c r="O2125" s="25">
        <f t="shared" si="646"/>
        <v>43617</v>
      </c>
      <c r="P2125" s="5" t="str">
        <f t="shared" si="647"/>
        <v>6.000,00</v>
      </c>
      <c r="Q2125" s="4" t="str">
        <f t="shared" si="648"/>
        <v>Seis Mil Bolívares con 00/100</v>
      </c>
    </row>
    <row r="2126" spans="1:17" x14ac:dyDescent="0.25">
      <c r="A2126" s="1">
        <f t="shared" si="642"/>
        <v>2125</v>
      </c>
      <c r="C2126" s="8" t="s">
        <v>17</v>
      </c>
      <c r="D2126" s="2">
        <v>43638</v>
      </c>
      <c r="E2126" s="3">
        <v>8000</v>
      </c>
      <c r="F2126" t="s">
        <v>230</v>
      </c>
      <c r="G2126" t="s">
        <v>231</v>
      </c>
      <c r="H2126" t="s">
        <v>232</v>
      </c>
      <c r="I2126" s="6" t="s">
        <v>986</v>
      </c>
      <c r="J2126" s="61" t="s">
        <v>22</v>
      </c>
      <c r="L2126" s="5" t="str">
        <f t="shared" si="643"/>
        <v>02125</v>
      </c>
      <c r="M2126" s="47" t="str">
        <f t="shared" si="644"/>
        <v>22 de junio de 2019</v>
      </c>
      <c r="N2126" s="323">
        <f t="shared" si="645"/>
        <v>22</v>
      </c>
      <c r="O2126" s="25">
        <f t="shared" si="646"/>
        <v>43617</v>
      </c>
      <c r="P2126" s="5" t="str">
        <f t="shared" si="647"/>
        <v>8.000,00</v>
      </c>
      <c r="Q2126" s="4" t="str">
        <f t="shared" si="648"/>
        <v>Ocho Mil Bolívares con 00/100</v>
      </c>
    </row>
    <row r="2127" spans="1:17" x14ac:dyDescent="0.25">
      <c r="A2127" s="1">
        <f t="shared" si="642"/>
        <v>2126</v>
      </c>
      <c r="C2127" s="8" t="s">
        <v>17</v>
      </c>
      <c r="D2127" s="2">
        <v>43638</v>
      </c>
      <c r="E2127" s="3">
        <v>8000</v>
      </c>
      <c r="F2127" t="s">
        <v>211</v>
      </c>
      <c r="G2127" t="s">
        <v>212</v>
      </c>
      <c r="H2127" t="s">
        <v>213</v>
      </c>
      <c r="I2127" s="6" t="s">
        <v>986</v>
      </c>
      <c r="J2127" s="61" t="s">
        <v>22</v>
      </c>
      <c r="L2127" s="5" t="str">
        <f t="shared" si="643"/>
        <v>02126</v>
      </c>
      <c r="M2127" s="47" t="str">
        <f t="shared" si="644"/>
        <v>22 de junio de 2019</v>
      </c>
      <c r="N2127" s="323">
        <f t="shared" si="645"/>
        <v>22</v>
      </c>
      <c r="O2127" s="25">
        <f t="shared" si="646"/>
        <v>43617</v>
      </c>
      <c r="P2127" s="5" t="str">
        <f t="shared" si="647"/>
        <v>8.000,00</v>
      </c>
      <c r="Q2127" s="4" t="str">
        <f t="shared" si="648"/>
        <v>Ocho Mil Bolívares con 00/100</v>
      </c>
    </row>
    <row r="2128" spans="1:17" x14ac:dyDescent="0.25">
      <c r="A2128" s="1">
        <f t="shared" si="642"/>
        <v>2127</v>
      </c>
      <c r="C2128" s="8" t="s">
        <v>17</v>
      </c>
      <c r="D2128" s="2">
        <v>43638</v>
      </c>
      <c r="E2128" s="3">
        <v>8000</v>
      </c>
      <c r="F2128" t="s">
        <v>122</v>
      </c>
      <c r="G2128" t="s">
        <v>123</v>
      </c>
      <c r="H2128" t="s">
        <v>124</v>
      </c>
      <c r="I2128" s="6" t="s">
        <v>986</v>
      </c>
      <c r="J2128" s="61" t="s">
        <v>22</v>
      </c>
      <c r="L2128" s="5" t="str">
        <f t="shared" si="643"/>
        <v>02127</v>
      </c>
      <c r="M2128" s="47" t="str">
        <f t="shared" si="644"/>
        <v>22 de junio de 2019</v>
      </c>
      <c r="N2128" s="323">
        <f t="shared" si="645"/>
        <v>22</v>
      </c>
      <c r="O2128" s="25">
        <f t="shared" si="646"/>
        <v>43617</v>
      </c>
      <c r="P2128" s="5" t="str">
        <f t="shared" si="647"/>
        <v>8.000,00</v>
      </c>
      <c r="Q2128" s="4" t="str">
        <f t="shared" si="648"/>
        <v>Ocho Mil Bolívares con 00/100</v>
      </c>
    </row>
    <row r="2129" spans="1:17" x14ac:dyDescent="0.25">
      <c r="A2129" s="1">
        <f t="shared" si="642"/>
        <v>2128</v>
      </c>
      <c r="C2129" s="8" t="s">
        <v>17</v>
      </c>
      <c r="D2129" s="2">
        <v>43638</v>
      </c>
      <c r="E2129" s="3">
        <v>8000</v>
      </c>
      <c r="F2129" t="s">
        <v>1004</v>
      </c>
      <c r="G2129" t="s">
        <v>1005</v>
      </c>
      <c r="H2129" t="s">
        <v>539</v>
      </c>
      <c r="I2129" s="6" t="s">
        <v>986</v>
      </c>
      <c r="J2129" s="61" t="s">
        <v>22</v>
      </c>
      <c r="L2129" s="5" t="str">
        <f t="shared" ref="L2129:L2142" si="649">IF(ISBLANK(A2129),"",TEXT(A2129,"00000"))</f>
        <v>02128</v>
      </c>
      <c r="M2129" s="47" t="str">
        <f t="shared" ref="M2129:M2142" si="650">IF(ISBLANK(D2129),"",TEXT(D2129,"dd")&amp;" de "&amp;TEXT(D2129,"mmmm")&amp;" de "&amp;TEXT(YEAR(D2129),"0"))</f>
        <v>22 de junio de 2019</v>
      </c>
      <c r="N2129" s="323">
        <f t="shared" ref="N2129:N2144" si="651">DAY(D2129)</f>
        <v>22</v>
      </c>
      <c r="O2129" s="25">
        <f t="shared" ref="O2129:O2142" si="652">DATE(YEAR(D2129),MONTH(D2129),1)</f>
        <v>43617</v>
      </c>
      <c r="P2129" s="5" t="str">
        <f t="shared" ref="P2129:P2144" si="653">TEXT(E2129,"#.##0,00")</f>
        <v>8.000,00</v>
      </c>
      <c r="Q2129" s="4" t="str">
        <f t="shared" ref="Q2129:Q2144" si="654">CONVERTIRNUM(E2129)</f>
        <v>Ocho Mil Bolívares con 00/100</v>
      </c>
    </row>
    <row r="2130" spans="1:17" x14ac:dyDescent="0.25">
      <c r="A2130" s="1">
        <f t="shared" si="642"/>
        <v>2129</v>
      </c>
      <c r="C2130" s="8" t="s">
        <v>17</v>
      </c>
      <c r="D2130" s="2">
        <v>43639</v>
      </c>
      <c r="E2130" s="3">
        <v>30000</v>
      </c>
      <c r="F2130" t="s">
        <v>578</v>
      </c>
      <c r="G2130" t="s">
        <v>579</v>
      </c>
      <c r="H2130" t="s">
        <v>580</v>
      </c>
      <c r="I2130" s="6" t="s">
        <v>1006</v>
      </c>
      <c r="J2130" s="61" t="s">
        <v>22</v>
      </c>
      <c r="L2130" s="5" t="str">
        <f t="shared" si="649"/>
        <v>02129</v>
      </c>
      <c r="M2130" s="47" t="str">
        <f t="shared" si="650"/>
        <v>23 de junio de 2019</v>
      </c>
      <c r="N2130" s="323">
        <f t="shared" si="651"/>
        <v>23</v>
      </c>
      <c r="O2130" s="25">
        <f t="shared" si="652"/>
        <v>43617</v>
      </c>
      <c r="P2130" s="5" t="str">
        <f t="shared" si="653"/>
        <v>30.000,00</v>
      </c>
      <c r="Q2130" s="4" t="str">
        <f t="shared" si="654"/>
        <v>Treinta Mil Bolívares con 00/100</v>
      </c>
    </row>
    <row r="2131" spans="1:17" x14ac:dyDescent="0.25">
      <c r="A2131" s="1">
        <f t="shared" si="642"/>
        <v>2130</v>
      </c>
      <c r="C2131" s="8" t="s">
        <v>17</v>
      </c>
      <c r="D2131" s="2">
        <v>43642</v>
      </c>
      <c r="E2131" s="3">
        <v>8000</v>
      </c>
      <c r="F2131" t="s">
        <v>362</v>
      </c>
      <c r="G2131" t="s">
        <v>363</v>
      </c>
      <c r="H2131" t="s">
        <v>364</v>
      </c>
      <c r="I2131" s="6" t="s">
        <v>1007</v>
      </c>
      <c r="J2131" s="61" t="s">
        <v>22</v>
      </c>
      <c r="L2131" s="5" t="str">
        <f t="shared" si="649"/>
        <v>02130</v>
      </c>
      <c r="M2131" s="47" t="str">
        <f t="shared" si="650"/>
        <v>26 de junio de 2019</v>
      </c>
      <c r="N2131" s="323">
        <f t="shared" si="651"/>
        <v>26</v>
      </c>
      <c r="O2131" s="25">
        <f t="shared" si="652"/>
        <v>43617</v>
      </c>
      <c r="P2131" s="5" t="str">
        <f t="shared" si="653"/>
        <v>8.000,00</v>
      </c>
      <c r="Q2131" s="4" t="str">
        <f t="shared" si="654"/>
        <v>Ocho Mil Bolívares con 00/100</v>
      </c>
    </row>
    <row r="2132" spans="1:17" x14ac:dyDescent="0.25">
      <c r="A2132" s="1">
        <f t="shared" si="642"/>
        <v>2131</v>
      </c>
      <c r="C2132" s="8" t="s">
        <v>17</v>
      </c>
      <c r="D2132" s="2">
        <v>43642</v>
      </c>
      <c r="E2132" s="3">
        <v>8000</v>
      </c>
      <c r="F2132" t="s">
        <v>134</v>
      </c>
      <c r="G2132" t="s">
        <v>135</v>
      </c>
      <c r="H2132" t="s">
        <v>136</v>
      </c>
      <c r="I2132" s="6" t="s">
        <v>986</v>
      </c>
      <c r="J2132" s="61" t="s">
        <v>22</v>
      </c>
      <c r="L2132" s="5" t="str">
        <f t="shared" si="649"/>
        <v>02131</v>
      </c>
      <c r="M2132" s="47" t="str">
        <f t="shared" si="650"/>
        <v>26 de junio de 2019</v>
      </c>
      <c r="N2132" s="323">
        <f t="shared" si="651"/>
        <v>26</v>
      </c>
      <c r="O2132" s="25">
        <f t="shared" si="652"/>
        <v>43617</v>
      </c>
      <c r="P2132" s="5" t="str">
        <f t="shared" si="653"/>
        <v>8.000,00</v>
      </c>
      <c r="Q2132" s="4" t="str">
        <f t="shared" si="654"/>
        <v>Ocho Mil Bolívares con 00/100</v>
      </c>
    </row>
    <row r="2133" spans="1:17" x14ac:dyDescent="0.25">
      <c r="A2133" s="1">
        <f t="shared" si="642"/>
        <v>2132</v>
      </c>
      <c r="C2133" s="8" t="s">
        <v>17</v>
      </c>
      <c r="D2133" s="2">
        <v>43642</v>
      </c>
      <c r="E2133" s="3">
        <v>4500</v>
      </c>
      <c r="F2133" t="s">
        <v>126</v>
      </c>
      <c r="G2133" t="s">
        <v>127</v>
      </c>
      <c r="H2133" t="s">
        <v>128</v>
      </c>
      <c r="I2133" s="6" t="s">
        <v>1003</v>
      </c>
      <c r="J2133" s="61" t="s">
        <v>22</v>
      </c>
      <c r="L2133" s="5" t="str">
        <f t="shared" si="649"/>
        <v>02132</v>
      </c>
      <c r="M2133" s="47" t="str">
        <f t="shared" si="650"/>
        <v>26 de junio de 2019</v>
      </c>
      <c r="N2133" s="323">
        <f t="shared" si="651"/>
        <v>26</v>
      </c>
      <c r="O2133" s="25">
        <f t="shared" si="652"/>
        <v>43617</v>
      </c>
      <c r="P2133" s="5" t="str">
        <f t="shared" si="653"/>
        <v>4.500,00</v>
      </c>
      <c r="Q2133" s="4" t="str">
        <f t="shared" si="654"/>
        <v>Cuatro Mil Quinientos Bolívares con 00/100</v>
      </c>
    </row>
    <row r="2134" spans="1:17" x14ac:dyDescent="0.25">
      <c r="A2134" s="1">
        <f t="shared" si="642"/>
        <v>2133</v>
      </c>
      <c r="C2134" s="8" t="s">
        <v>17</v>
      </c>
      <c r="D2134" s="2">
        <v>43642</v>
      </c>
      <c r="E2134" s="3">
        <v>8000</v>
      </c>
      <c r="F2134" t="s">
        <v>118</v>
      </c>
      <c r="G2134" t="s">
        <v>119</v>
      </c>
      <c r="H2134" t="s">
        <v>120</v>
      </c>
      <c r="I2134" s="6" t="s">
        <v>986</v>
      </c>
      <c r="J2134" s="61" t="s">
        <v>22</v>
      </c>
      <c r="L2134" s="5" t="str">
        <f t="shared" si="649"/>
        <v>02133</v>
      </c>
      <c r="M2134" s="47" t="str">
        <f t="shared" si="650"/>
        <v>26 de junio de 2019</v>
      </c>
      <c r="N2134" s="323">
        <f t="shared" si="651"/>
        <v>26</v>
      </c>
      <c r="O2134" s="25">
        <f t="shared" si="652"/>
        <v>43617</v>
      </c>
      <c r="P2134" s="5" t="str">
        <f t="shared" si="653"/>
        <v>8.000,00</v>
      </c>
      <c r="Q2134" s="4" t="str">
        <f t="shared" si="654"/>
        <v>Ocho Mil Bolívares con 00/100</v>
      </c>
    </row>
    <row r="2135" spans="1:17" x14ac:dyDescent="0.25">
      <c r="A2135" s="1">
        <f t="shared" si="642"/>
        <v>2134</v>
      </c>
      <c r="C2135" s="85" t="s">
        <v>17</v>
      </c>
      <c r="D2135" s="2">
        <v>43642</v>
      </c>
      <c r="E2135" s="3">
        <v>11600</v>
      </c>
      <c r="F2135" s="23" t="s">
        <v>422</v>
      </c>
      <c r="G2135" s="18" t="s">
        <v>58</v>
      </c>
      <c r="H2135" t="s">
        <v>423</v>
      </c>
      <c r="I2135" s="6" t="s">
        <v>986</v>
      </c>
      <c r="J2135" s="61" t="s">
        <v>22</v>
      </c>
      <c r="L2135" s="5" t="str">
        <f t="shared" si="649"/>
        <v>02134</v>
      </c>
      <c r="M2135" s="47" t="str">
        <f t="shared" si="650"/>
        <v>26 de junio de 2019</v>
      </c>
      <c r="N2135" s="323">
        <f t="shared" si="651"/>
        <v>26</v>
      </c>
      <c r="O2135" s="25">
        <f t="shared" si="652"/>
        <v>43617</v>
      </c>
      <c r="P2135" s="5" t="str">
        <f t="shared" si="653"/>
        <v>11.600,00</v>
      </c>
      <c r="Q2135" s="4" t="str">
        <f t="shared" si="654"/>
        <v>Once Mil Seiscientos Bolívares con 00/100</v>
      </c>
    </row>
    <row r="2136" spans="1:17" x14ac:dyDescent="0.25">
      <c r="A2136" s="1">
        <f t="shared" si="642"/>
        <v>2135</v>
      </c>
      <c r="C2136" s="8" t="s">
        <v>17</v>
      </c>
      <c r="D2136" s="2">
        <v>43642</v>
      </c>
      <c r="E2136" s="3">
        <v>8000</v>
      </c>
      <c r="F2136" t="s">
        <v>284</v>
      </c>
      <c r="G2136" t="s">
        <v>687</v>
      </c>
      <c r="H2136" t="s">
        <v>285</v>
      </c>
      <c r="I2136" s="6" t="s">
        <v>986</v>
      </c>
      <c r="J2136" s="61" t="s">
        <v>22</v>
      </c>
      <c r="L2136" s="5" t="str">
        <f t="shared" si="649"/>
        <v>02135</v>
      </c>
      <c r="M2136" s="47" t="str">
        <f t="shared" si="650"/>
        <v>26 de junio de 2019</v>
      </c>
      <c r="N2136" s="323">
        <f t="shared" si="651"/>
        <v>26</v>
      </c>
      <c r="O2136" s="25">
        <f t="shared" si="652"/>
        <v>43617</v>
      </c>
      <c r="P2136" s="5" t="str">
        <f t="shared" si="653"/>
        <v>8.000,00</v>
      </c>
      <c r="Q2136" s="4" t="str">
        <f t="shared" si="654"/>
        <v>Ocho Mil Bolívares con 00/100</v>
      </c>
    </row>
    <row r="2137" spans="1:17" x14ac:dyDescent="0.25">
      <c r="A2137" s="1">
        <f t="shared" si="642"/>
        <v>2136</v>
      </c>
      <c r="C2137" s="8" t="s">
        <v>17</v>
      </c>
      <c r="D2137" s="2">
        <v>43642</v>
      </c>
      <c r="E2137" s="3">
        <v>8000</v>
      </c>
      <c r="F2137" t="s">
        <v>417</v>
      </c>
      <c r="G2137" t="s">
        <v>418</v>
      </c>
      <c r="H2137" t="s">
        <v>419</v>
      </c>
      <c r="I2137" s="6" t="s">
        <v>986</v>
      </c>
      <c r="J2137" s="61" t="s">
        <v>22</v>
      </c>
      <c r="L2137" s="5" t="str">
        <f t="shared" si="649"/>
        <v>02136</v>
      </c>
      <c r="M2137" s="47" t="str">
        <f t="shared" si="650"/>
        <v>26 de junio de 2019</v>
      </c>
      <c r="N2137" s="323">
        <f t="shared" si="651"/>
        <v>26</v>
      </c>
      <c r="O2137" s="25">
        <f t="shared" si="652"/>
        <v>43617</v>
      </c>
      <c r="P2137" s="5" t="str">
        <f t="shared" si="653"/>
        <v>8.000,00</v>
      </c>
      <c r="Q2137" s="4" t="str">
        <f t="shared" si="654"/>
        <v>Ocho Mil Bolívares con 00/100</v>
      </c>
    </row>
    <row r="2138" spans="1:17" x14ac:dyDescent="0.25">
      <c r="A2138" s="1">
        <f t="shared" si="642"/>
        <v>2137</v>
      </c>
      <c r="C2138" s="8" t="s">
        <v>17</v>
      </c>
      <c r="D2138" s="2">
        <v>43643</v>
      </c>
      <c r="E2138" s="3">
        <v>8000</v>
      </c>
      <c r="F2138" t="s">
        <v>130</v>
      </c>
      <c r="G2138" t="s">
        <v>131</v>
      </c>
      <c r="H2138" t="s">
        <v>132</v>
      </c>
      <c r="I2138" s="6" t="s">
        <v>986</v>
      </c>
      <c r="J2138" s="61" t="s">
        <v>22</v>
      </c>
      <c r="L2138" s="5" t="str">
        <f t="shared" si="649"/>
        <v>02137</v>
      </c>
      <c r="M2138" s="47" t="str">
        <f t="shared" si="650"/>
        <v>27 de junio de 2019</v>
      </c>
      <c r="N2138" s="323">
        <f t="shared" si="651"/>
        <v>27</v>
      </c>
      <c r="O2138" s="25">
        <f t="shared" si="652"/>
        <v>43617</v>
      </c>
      <c r="P2138" s="5" t="str">
        <f t="shared" si="653"/>
        <v>8.000,00</v>
      </c>
      <c r="Q2138" s="4" t="str">
        <f t="shared" si="654"/>
        <v>Ocho Mil Bolívares con 00/100</v>
      </c>
    </row>
    <row r="2139" spans="1:17" x14ac:dyDescent="0.25">
      <c r="A2139" s="1">
        <f t="shared" si="642"/>
        <v>2138</v>
      </c>
      <c r="C2139" s="8" t="s">
        <v>17</v>
      </c>
      <c r="D2139" s="2">
        <v>43643</v>
      </c>
      <c r="E2139" s="3">
        <v>8000</v>
      </c>
      <c r="F2139" t="s">
        <v>412</v>
      </c>
      <c r="G2139" t="s">
        <v>413</v>
      </c>
      <c r="H2139" t="s">
        <v>414</v>
      </c>
      <c r="I2139" s="6" t="s">
        <v>986</v>
      </c>
      <c r="J2139" s="61" t="s">
        <v>22</v>
      </c>
      <c r="L2139" s="5" t="str">
        <f t="shared" si="649"/>
        <v>02138</v>
      </c>
      <c r="M2139" s="47" t="str">
        <f t="shared" si="650"/>
        <v>27 de junio de 2019</v>
      </c>
      <c r="N2139" s="323">
        <f t="shared" si="651"/>
        <v>27</v>
      </c>
      <c r="O2139" s="25">
        <f t="shared" si="652"/>
        <v>43617</v>
      </c>
      <c r="P2139" s="5" t="str">
        <f t="shared" si="653"/>
        <v>8.000,00</v>
      </c>
      <c r="Q2139" s="4" t="str">
        <f t="shared" si="654"/>
        <v>Ocho Mil Bolívares con 00/100</v>
      </c>
    </row>
    <row r="2140" spans="1:17" x14ac:dyDescent="0.25">
      <c r="A2140" s="1">
        <f t="shared" si="642"/>
        <v>2139</v>
      </c>
      <c r="C2140" s="8" t="s">
        <v>17</v>
      </c>
      <c r="D2140" s="2">
        <v>43643</v>
      </c>
      <c r="E2140" s="3">
        <v>8000</v>
      </c>
      <c r="F2140" t="s">
        <v>935</v>
      </c>
      <c r="G2140" t="s">
        <v>936</v>
      </c>
      <c r="H2140" t="s">
        <v>150</v>
      </c>
      <c r="I2140" s="6" t="s">
        <v>986</v>
      </c>
      <c r="J2140" s="61" t="s">
        <v>22</v>
      </c>
      <c r="L2140" s="5" t="str">
        <f t="shared" si="649"/>
        <v>02139</v>
      </c>
      <c r="M2140" s="47" t="str">
        <f t="shared" si="650"/>
        <v>27 de junio de 2019</v>
      </c>
      <c r="N2140" s="323">
        <f t="shared" si="651"/>
        <v>27</v>
      </c>
      <c r="O2140" s="25">
        <f t="shared" si="652"/>
        <v>43617</v>
      </c>
      <c r="P2140" s="5" t="str">
        <f t="shared" si="653"/>
        <v>8.000,00</v>
      </c>
      <c r="Q2140" s="4" t="str">
        <f t="shared" si="654"/>
        <v>Ocho Mil Bolívares con 00/100</v>
      </c>
    </row>
    <row r="2141" spans="1:17" x14ac:dyDescent="0.25">
      <c r="A2141" s="1">
        <f t="shared" si="642"/>
        <v>2140</v>
      </c>
      <c r="C2141" s="8" t="s">
        <v>17</v>
      </c>
      <c r="D2141" s="2">
        <v>43643</v>
      </c>
      <c r="E2141" s="3">
        <f>5000+3000</f>
        <v>8000</v>
      </c>
      <c r="F2141" t="s">
        <v>239</v>
      </c>
      <c r="G2141" s="73" t="s">
        <v>240</v>
      </c>
      <c r="H2141" t="s">
        <v>241</v>
      </c>
      <c r="I2141" s="6" t="s">
        <v>986</v>
      </c>
      <c r="J2141" s="61" t="s">
        <v>22</v>
      </c>
      <c r="L2141" s="5" t="str">
        <f t="shared" si="649"/>
        <v>02140</v>
      </c>
      <c r="M2141" s="47" t="str">
        <f t="shared" si="650"/>
        <v>27 de junio de 2019</v>
      </c>
      <c r="N2141" s="323">
        <f t="shared" si="651"/>
        <v>27</v>
      </c>
      <c r="O2141" s="25">
        <f t="shared" si="652"/>
        <v>43617</v>
      </c>
      <c r="P2141" s="5" t="str">
        <f t="shared" si="653"/>
        <v>8.000,00</v>
      </c>
      <c r="Q2141" s="4" t="str">
        <f t="shared" si="654"/>
        <v>Ocho Mil Bolívares con 00/100</v>
      </c>
    </row>
    <row r="2142" spans="1:17" x14ac:dyDescent="0.25">
      <c r="A2142" s="1">
        <f t="shared" si="642"/>
        <v>2141</v>
      </c>
      <c r="C2142" s="8" t="s">
        <v>17</v>
      </c>
      <c r="D2142" s="2">
        <v>43643</v>
      </c>
      <c r="E2142" s="3">
        <v>3000</v>
      </c>
      <c r="F2142" t="s">
        <v>114</v>
      </c>
      <c r="G2142" t="s">
        <v>115</v>
      </c>
      <c r="H2142" t="s">
        <v>105</v>
      </c>
      <c r="I2142" s="6" t="s">
        <v>1003</v>
      </c>
      <c r="J2142" s="61" t="s">
        <v>22</v>
      </c>
      <c r="L2142" s="5" t="str">
        <f t="shared" si="649"/>
        <v>02141</v>
      </c>
      <c r="M2142" s="47" t="str">
        <f t="shared" si="650"/>
        <v>27 de junio de 2019</v>
      </c>
      <c r="N2142" s="323">
        <f t="shared" si="651"/>
        <v>27</v>
      </c>
      <c r="O2142" s="25">
        <f t="shared" si="652"/>
        <v>43617</v>
      </c>
      <c r="P2142" s="5" t="str">
        <f t="shared" si="653"/>
        <v>3.000,00</v>
      </c>
      <c r="Q2142" s="4" t="str">
        <f t="shared" si="654"/>
        <v>Tres Mil Bolívares con 00/100</v>
      </c>
    </row>
    <row r="2143" spans="1:17" x14ac:dyDescent="0.25">
      <c r="A2143" s="1">
        <f t="shared" si="642"/>
        <v>2142</v>
      </c>
      <c r="C2143" s="8" t="s">
        <v>17</v>
      </c>
      <c r="D2143" s="2">
        <v>43643</v>
      </c>
      <c r="E2143" s="3">
        <v>8000</v>
      </c>
      <c r="F2143" t="s">
        <v>243</v>
      </c>
      <c r="G2143" t="s">
        <v>244</v>
      </c>
      <c r="H2143" t="s">
        <v>245</v>
      </c>
      <c r="I2143" s="6" t="s">
        <v>986</v>
      </c>
      <c r="J2143" s="61" t="s">
        <v>22</v>
      </c>
      <c r="L2143" s="5" t="str">
        <f>IF(ISBLANK(A2143),"",TEXT(A2143,"00000"))</f>
        <v>02142</v>
      </c>
      <c r="M2143" s="47" t="str">
        <f>IF(ISBLANK(D2143),"",TEXT(D2143,"dd")&amp;" de "&amp;TEXT(D2143,"mmmm")&amp;" de "&amp;TEXT(YEAR(D2143),"0"))</f>
        <v>27 de junio de 2019</v>
      </c>
      <c r="N2143" s="323">
        <f t="shared" si="651"/>
        <v>27</v>
      </c>
      <c r="O2143" s="25">
        <f>DATE(YEAR(D2143),MONTH(D2143),1)</f>
        <v>43617</v>
      </c>
      <c r="P2143" s="5" t="str">
        <f t="shared" si="653"/>
        <v>8.000,00</v>
      </c>
      <c r="Q2143" s="4" t="str">
        <f t="shared" si="654"/>
        <v>Ocho Mil Bolívares con 00/100</v>
      </c>
    </row>
    <row r="2144" spans="1:17" x14ac:dyDescent="0.25">
      <c r="A2144" s="1">
        <f t="shared" si="642"/>
        <v>2143</v>
      </c>
      <c r="C2144" s="8" t="s">
        <v>17</v>
      </c>
      <c r="D2144" s="2">
        <v>43643</v>
      </c>
      <c r="E2144" s="3">
        <v>8000</v>
      </c>
      <c r="F2144" t="s">
        <v>558</v>
      </c>
      <c r="G2144" t="s">
        <v>559</v>
      </c>
      <c r="H2144" t="s">
        <v>560</v>
      </c>
      <c r="I2144" s="6" t="s">
        <v>986</v>
      </c>
      <c r="J2144" s="61" t="s">
        <v>22</v>
      </c>
      <c r="L2144" s="5" t="str">
        <f t="shared" ref="L2144" si="655">IF(ISBLANK(A2144),"",TEXT(A2144,"00000"))</f>
        <v>02143</v>
      </c>
      <c r="M2144" s="47" t="str">
        <f t="shared" ref="M2144" si="656">IF(ISBLANK(D2144),"",TEXT(D2144,"dd")&amp;" de "&amp;TEXT(D2144,"mmmm")&amp;" de "&amp;TEXT(YEAR(D2144),"0"))</f>
        <v>27 de junio de 2019</v>
      </c>
      <c r="N2144" s="323">
        <f t="shared" si="651"/>
        <v>27</v>
      </c>
      <c r="O2144" s="25">
        <f t="shared" ref="O2144" si="657">DATE(YEAR(D2144),MONTH(D2144),1)</f>
        <v>43617</v>
      </c>
      <c r="P2144" s="5" t="str">
        <f t="shared" si="653"/>
        <v>8.000,00</v>
      </c>
      <c r="Q2144" s="4" t="str">
        <f t="shared" si="654"/>
        <v>Ocho Mil Bolívares con 00/100</v>
      </c>
    </row>
    <row r="2145" spans="1:17" x14ac:dyDescent="0.25">
      <c r="A2145" s="1">
        <f t="shared" si="642"/>
        <v>2144</v>
      </c>
      <c r="C2145" s="8" t="s">
        <v>17</v>
      </c>
      <c r="D2145" s="2">
        <v>43643</v>
      </c>
      <c r="E2145" s="3">
        <v>10000</v>
      </c>
      <c r="F2145" t="s">
        <v>558</v>
      </c>
      <c r="G2145" t="s">
        <v>559</v>
      </c>
      <c r="H2145" t="s">
        <v>560</v>
      </c>
      <c r="I2145" s="6" t="s">
        <v>1007</v>
      </c>
      <c r="J2145" s="61" t="s">
        <v>22</v>
      </c>
      <c r="L2145" s="5" t="str">
        <f t="shared" ref="L2145:L2166" si="658">IF(ISBLANK(A2145),"",TEXT(A2145,"00000"))</f>
        <v>02144</v>
      </c>
      <c r="M2145" s="47" t="str">
        <f t="shared" ref="M2145:M2166" si="659">IF(ISBLANK(D2145),"",TEXT(D2145,"dd")&amp;" de "&amp;TEXT(D2145,"mmmm")&amp;" de "&amp;TEXT(YEAR(D2145),"0"))</f>
        <v>27 de junio de 2019</v>
      </c>
      <c r="N2145" s="323">
        <f t="shared" ref="N2145:N2166" si="660">DAY(D2145)</f>
        <v>27</v>
      </c>
      <c r="O2145" s="25">
        <f t="shared" ref="O2145:O2166" si="661">DATE(YEAR(D2145),MONTH(D2145),1)</f>
        <v>43617</v>
      </c>
      <c r="P2145" s="5" t="str">
        <f t="shared" ref="P2145:P2166" si="662">TEXT(E2145,"#.##0,00")</f>
        <v>10.000,00</v>
      </c>
      <c r="Q2145" s="4" t="str">
        <f t="shared" ref="Q2145:Q2165" si="663">CONVERTIRNUM(E2145)</f>
        <v>Diez Mil Bolívares con 00/100</v>
      </c>
    </row>
    <row r="2146" spans="1:17" x14ac:dyDescent="0.25">
      <c r="A2146" s="1">
        <f t="shared" si="642"/>
        <v>2145</v>
      </c>
      <c r="C2146" s="8" t="s">
        <v>17</v>
      </c>
      <c r="D2146" s="2">
        <v>43643</v>
      </c>
      <c r="E2146" s="3">
        <v>15000</v>
      </c>
      <c r="F2146" t="s">
        <v>66</v>
      </c>
      <c r="G2146" t="s">
        <v>67</v>
      </c>
      <c r="H2146" t="s">
        <v>68</v>
      </c>
      <c r="I2146" s="6" t="s">
        <v>1008</v>
      </c>
      <c r="J2146" s="61" t="s">
        <v>22</v>
      </c>
      <c r="L2146" s="5" t="str">
        <f t="shared" si="658"/>
        <v>02145</v>
      </c>
      <c r="M2146" s="47" t="str">
        <f t="shared" si="659"/>
        <v>27 de junio de 2019</v>
      </c>
      <c r="N2146" s="323">
        <f t="shared" si="660"/>
        <v>27</v>
      </c>
      <c r="O2146" s="25">
        <f t="shared" si="661"/>
        <v>43617</v>
      </c>
      <c r="P2146" s="5" t="str">
        <f t="shared" si="662"/>
        <v>15.000,00</v>
      </c>
      <c r="Q2146" s="4" t="str">
        <f t="shared" si="663"/>
        <v>Quince Mil Bolívares con 00/100</v>
      </c>
    </row>
    <row r="2147" spans="1:17" x14ac:dyDescent="0.25">
      <c r="A2147" s="1">
        <f t="shared" si="642"/>
        <v>2146</v>
      </c>
      <c r="C2147" s="8" t="s">
        <v>17</v>
      </c>
      <c r="D2147" s="2">
        <v>43643</v>
      </c>
      <c r="E2147" s="3">
        <v>16000</v>
      </c>
      <c r="F2147" t="s">
        <v>90</v>
      </c>
      <c r="G2147" s="475" t="s">
        <v>978</v>
      </c>
      <c r="H2147" t="s">
        <v>92</v>
      </c>
      <c r="I2147" s="6" t="s">
        <v>1009</v>
      </c>
      <c r="J2147" s="61" t="s">
        <v>22</v>
      </c>
      <c r="L2147" s="5" t="str">
        <f t="shared" si="658"/>
        <v>02146</v>
      </c>
      <c r="M2147" s="47" t="str">
        <f t="shared" si="659"/>
        <v>27 de junio de 2019</v>
      </c>
      <c r="N2147" s="323">
        <f t="shared" si="660"/>
        <v>27</v>
      </c>
      <c r="O2147" s="25">
        <f t="shared" si="661"/>
        <v>43617</v>
      </c>
      <c r="P2147" s="5" t="str">
        <f t="shared" si="662"/>
        <v>16.000,00</v>
      </c>
      <c r="Q2147" s="4" t="str">
        <f t="shared" si="663"/>
        <v>Dieciséis Mil Bolívares con 00/100</v>
      </c>
    </row>
    <row r="2148" spans="1:17" x14ac:dyDescent="0.25">
      <c r="A2148" s="1">
        <f t="shared" si="642"/>
        <v>2147</v>
      </c>
      <c r="C2148" s="85" t="s">
        <v>17</v>
      </c>
      <c r="D2148" s="2">
        <v>43643</v>
      </c>
      <c r="E2148" s="3">
        <v>8000</v>
      </c>
      <c r="F2148" t="s">
        <v>259</v>
      </c>
      <c r="G2148" s="18" t="s">
        <v>58</v>
      </c>
      <c r="H2148" t="s">
        <v>261</v>
      </c>
      <c r="I2148" s="6" t="s">
        <v>986</v>
      </c>
      <c r="J2148" s="61" t="s">
        <v>22</v>
      </c>
      <c r="L2148" s="5" t="str">
        <f t="shared" si="658"/>
        <v>02147</v>
      </c>
      <c r="M2148" s="47" t="str">
        <f t="shared" si="659"/>
        <v>27 de junio de 2019</v>
      </c>
      <c r="N2148" s="323">
        <f t="shared" si="660"/>
        <v>27</v>
      </c>
      <c r="O2148" s="25">
        <f t="shared" si="661"/>
        <v>43617</v>
      </c>
      <c r="P2148" s="5" t="str">
        <f t="shared" si="662"/>
        <v>8.000,00</v>
      </c>
      <c r="Q2148" s="4" t="str">
        <f t="shared" si="663"/>
        <v>Ocho Mil Bolívares con 00/100</v>
      </c>
    </row>
    <row r="2149" spans="1:17" x14ac:dyDescent="0.25">
      <c r="A2149" s="1">
        <f t="shared" si="642"/>
        <v>2148</v>
      </c>
      <c r="C2149" s="8" t="s">
        <v>17</v>
      </c>
      <c r="D2149" s="2">
        <v>43644</v>
      </c>
      <c r="E2149" s="3">
        <v>23000</v>
      </c>
      <c r="F2149" t="s">
        <v>785</v>
      </c>
      <c r="G2149" t="s">
        <v>786</v>
      </c>
      <c r="H2149" t="s">
        <v>719</v>
      </c>
      <c r="I2149" s="6" t="s">
        <v>1010</v>
      </c>
      <c r="J2149" s="61" t="s">
        <v>22</v>
      </c>
      <c r="L2149" s="5" t="str">
        <f t="shared" si="658"/>
        <v>02148</v>
      </c>
      <c r="M2149" s="47" t="str">
        <f t="shared" si="659"/>
        <v>28 de junio de 2019</v>
      </c>
      <c r="N2149" s="323">
        <f t="shared" si="660"/>
        <v>28</v>
      </c>
      <c r="O2149" s="25">
        <f t="shared" si="661"/>
        <v>43617</v>
      </c>
      <c r="P2149" s="5" t="str">
        <f t="shared" si="662"/>
        <v>23.000,00</v>
      </c>
      <c r="Q2149" s="4" t="str">
        <f t="shared" si="663"/>
        <v>Veintitres Mil Bolívares con 00/100</v>
      </c>
    </row>
    <row r="2150" spans="1:17" x14ac:dyDescent="0.25">
      <c r="A2150" s="1">
        <f t="shared" si="642"/>
        <v>2149</v>
      </c>
      <c r="C2150" s="8" t="s">
        <v>17</v>
      </c>
      <c r="D2150" s="2">
        <v>43644</v>
      </c>
      <c r="E2150" s="3">
        <v>10000</v>
      </c>
      <c r="F2150" t="s">
        <v>201</v>
      </c>
      <c r="G2150" t="s">
        <v>202</v>
      </c>
      <c r="H2150" t="s">
        <v>203</v>
      </c>
      <c r="I2150" s="6" t="s">
        <v>1007</v>
      </c>
      <c r="J2150" s="61" t="s">
        <v>22</v>
      </c>
      <c r="L2150" s="5" t="str">
        <f t="shared" si="658"/>
        <v>02149</v>
      </c>
      <c r="M2150" s="47" t="str">
        <f t="shared" si="659"/>
        <v>28 de junio de 2019</v>
      </c>
      <c r="N2150" s="323">
        <f t="shared" si="660"/>
        <v>28</v>
      </c>
      <c r="O2150" s="25">
        <f t="shared" si="661"/>
        <v>43617</v>
      </c>
      <c r="P2150" s="5" t="str">
        <f t="shared" si="662"/>
        <v>10.000,00</v>
      </c>
      <c r="Q2150" s="4" t="str">
        <f t="shared" si="663"/>
        <v>Diez Mil Bolívares con 00/100</v>
      </c>
    </row>
    <row r="2151" spans="1:17" x14ac:dyDescent="0.25">
      <c r="A2151" s="1">
        <f t="shared" si="642"/>
        <v>2150</v>
      </c>
      <c r="C2151" s="8" t="s">
        <v>17</v>
      </c>
      <c r="D2151" s="2">
        <v>43644</v>
      </c>
      <c r="E2151" s="3">
        <v>8000</v>
      </c>
      <c r="F2151" t="s">
        <v>62</v>
      </c>
      <c r="G2151" t="s">
        <v>63</v>
      </c>
      <c r="H2151" t="s">
        <v>64</v>
      </c>
      <c r="I2151" s="6" t="s">
        <v>986</v>
      </c>
      <c r="J2151" s="61" t="s">
        <v>22</v>
      </c>
      <c r="L2151" s="5" t="str">
        <f t="shared" si="658"/>
        <v>02150</v>
      </c>
      <c r="M2151" s="47" t="str">
        <f t="shared" si="659"/>
        <v>28 de junio de 2019</v>
      </c>
      <c r="N2151" s="323">
        <f t="shared" si="660"/>
        <v>28</v>
      </c>
      <c r="O2151" s="25">
        <f t="shared" si="661"/>
        <v>43617</v>
      </c>
      <c r="P2151" s="5" t="str">
        <f t="shared" si="662"/>
        <v>8.000,00</v>
      </c>
      <c r="Q2151" s="4" t="str">
        <f t="shared" si="663"/>
        <v>Ocho Mil Bolívares con 00/100</v>
      </c>
    </row>
    <row r="2152" spans="1:17" x14ac:dyDescent="0.25">
      <c r="A2152" s="1">
        <f t="shared" si="642"/>
        <v>2151</v>
      </c>
      <c r="C2152" s="8" t="s">
        <v>17</v>
      </c>
      <c r="D2152" s="2">
        <v>43644</v>
      </c>
      <c r="E2152" s="3">
        <v>11000</v>
      </c>
      <c r="F2152" t="s">
        <v>197</v>
      </c>
      <c r="G2152" t="s">
        <v>198</v>
      </c>
      <c r="H2152" t="s">
        <v>199</v>
      </c>
      <c r="I2152" s="6" t="s">
        <v>984</v>
      </c>
      <c r="J2152" s="61" t="s">
        <v>22</v>
      </c>
      <c r="L2152" s="5" t="str">
        <f t="shared" si="658"/>
        <v>02151</v>
      </c>
      <c r="M2152" s="47" t="str">
        <f t="shared" si="659"/>
        <v>28 de junio de 2019</v>
      </c>
      <c r="N2152" s="323">
        <f t="shared" si="660"/>
        <v>28</v>
      </c>
      <c r="O2152" s="25">
        <f t="shared" si="661"/>
        <v>43617</v>
      </c>
      <c r="P2152" s="5" t="str">
        <f t="shared" si="662"/>
        <v>11.000,00</v>
      </c>
      <c r="Q2152" s="4" t="str">
        <f t="shared" si="663"/>
        <v>Once Mil Bolívares con 00/100</v>
      </c>
    </row>
    <row r="2153" spans="1:17" x14ac:dyDescent="0.25">
      <c r="A2153" s="1">
        <f t="shared" si="642"/>
        <v>2152</v>
      </c>
      <c r="C2153" s="8" t="s">
        <v>17</v>
      </c>
      <c r="D2153" s="2">
        <v>43644</v>
      </c>
      <c r="E2153" s="3">
        <v>30000</v>
      </c>
      <c r="F2153" t="s">
        <v>324</v>
      </c>
      <c r="G2153" t="s">
        <v>325</v>
      </c>
      <c r="H2153" t="s">
        <v>326</v>
      </c>
      <c r="I2153" s="6" t="s">
        <v>1011</v>
      </c>
      <c r="J2153" s="61" t="s">
        <v>22</v>
      </c>
      <c r="L2153" s="5" t="str">
        <f t="shared" si="658"/>
        <v>02152</v>
      </c>
      <c r="M2153" s="47" t="str">
        <f t="shared" si="659"/>
        <v>28 de junio de 2019</v>
      </c>
      <c r="N2153" s="323">
        <f t="shared" si="660"/>
        <v>28</v>
      </c>
      <c r="O2153" s="25">
        <f t="shared" si="661"/>
        <v>43617</v>
      </c>
      <c r="P2153" s="5" t="str">
        <f t="shared" si="662"/>
        <v>30.000,00</v>
      </c>
      <c r="Q2153" s="4" t="str">
        <f t="shared" si="663"/>
        <v>Treinta Mil Bolívares con 00/100</v>
      </c>
    </row>
    <row r="2154" spans="1:17" x14ac:dyDescent="0.25">
      <c r="A2154" s="1">
        <f t="shared" si="642"/>
        <v>2153</v>
      </c>
      <c r="C2154" s="8" t="s">
        <v>17</v>
      </c>
      <c r="D2154" s="2">
        <v>43644</v>
      </c>
      <c r="E2154" s="3">
        <v>5000</v>
      </c>
      <c r="F2154" t="s">
        <v>291</v>
      </c>
      <c r="G2154" t="s">
        <v>292</v>
      </c>
      <c r="H2154" t="s">
        <v>293</v>
      </c>
      <c r="I2154" s="6" t="s">
        <v>991</v>
      </c>
      <c r="J2154" s="61" t="s">
        <v>22</v>
      </c>
      <c r="L2154" s="5" t="str">
        <f t="shared" si="658"/>
        <v>02153</v>
      </c>
      <c r="M2154" s="47" t="str">
        <f t="shared" si="659"/>
        <v>28 de junio de 2019</v>
      </c>
      <c r="N2154" s="323">
        <f t="shared" si="660"/>
        <v>28</v>
      </c>
      <c r="O2154" s="25">
        <f t="shared" si="661"/>
        <v>43617</v>
      </c>
      <c r="P2154" s="5" t="str">
        <f t="shared" si="662"/>
        <v>5.000,00</v>
      </c>
      <c r="Q2154" s="4" t="str">
        <f t="shared" si="663"/>
        <v>Cinco Mil Bolívares con 00/100</v>
      </c>
    </row>
    <row r="2155" spans="1:17" x14ac:dyDescent="0.25">
      <c r="A2155" s="1">
        <f t="shared" si="642"/>
        <v>2154</v>
      </c>
      <c r="C2155" s="85" t="s">
        <v>17</v>
      </c>
      <c r="D2155" s="2">
        <v>43644</v>
      </c>
      <c r="E2155" s="162">
        <v>8000</v>
      </c>
      <c r="F2155" t="s">
        <v>492</v>
      </c>
      <c r="G2155" s="18" t="s">
        <v>58</v>
      </c>
      <c r="H2155" t="s">
        <v>493</v>
      </c>
      <c r="I2155" s="6" t="s">
        <v>986</v>
      </c>
      <c r="J2155" s="61" t="s">
        <v>22</v>
      </c>
      <c r="L2155" s="5" t="str">
        <f t="shared" si="658"/>
        <v>02154</v>
      </c>
      <c r="M2155" s="47" t="str">
        <f t="shared" si="659"/>
        <v>28 de junio de 2019</v>
      </c>
      <c r="N2155" s="323">
        <f t="shared" si="660"/>
        <v>28</v>
      </c>
      <c r="O2155" s="25">
        <f t="shared" si="661"/>
        <v>43617</v>
      </c>
      <c r="P2155" s="5" t="str">
        <f t="shared" si="662"/>
        <v>8.000,00</v>
      </c>
      <c r="Q2155" s="4" t="str">
        <f t="shared" si="663"/>
        <v>Ocho Mil Bolívares con 00/100</v>
      </c>
    </row>
    <row r="2156" spans="1:17" x14ac:dyDescent="0.25">
      <c r="A2156" s="1">
        <f t="shared" si="642"/>
        <v>2155</v>
      </c>
      <c r="C2156" s="8" t="s">
        <v>17</v>
      </c>
      <c r="D2156" s="2">
        <v>43646</v>
      </c>
      <c r="E2156" s="3">
        <f>4000+4000</f>
        <v>8000</v>
      </c>
      <c r="F2156" t="s">
        <v>252</v>
      </c>
      <c r="G2156" s="475" t="s">
        <v>958</v>
      </c>
      <c r="H2156" t="s">
        <v>254</v>
      </c>
      <c r="I2156" s="6" t="s">
        <v>1012</v>
      </c>
      <c r="J2156" s="61" t="s">
        <v>22</v>
      </c>
      <c r="L2156" s="5" t="str">
        <f t="shared" si="658"/>
        <v>02155</v>
      </c>
      <c r="M2156" s="47" t="str">
        <f t="shared" si="659"/>
        <v>30 de junio de 2019</v>
      </c>
      <c r="N2156" s="323">
        <f t="shared" si="660"/>
        <v>30</v>
      </c>
      <c r="O2156" s="25">
        <f t="shared" si="661"/>
        <v>43617</v>
      </c>
      <c r="P2156" s="5" t="str">
        <f t="shared" si="662"/>
        <v>8.000,00</v>
      </c>
      <c r="Q2156" s="4" t="str">
        <f t="shared" si="663"/>
        <v>Ocho Mil Bolívares con 00/100</v>
      </c>
    </row>
    <row r="2157" spans="1:17" x14ac:dyDescent="0.25">
      <c r="A2157" s="1">
        <f t="shared" si="642"/>
        <v>2156</v>
      </c>
      <c r="C2157" s="8" t="s">
        <v>17</v>
      </c>
      <c r="D2157" s="2">
        <v>43645</v>
      </c>
      <c r="E2157" s="3">
        <v>16000</v>
      </c>
      <c r="F2157" t="s">
        <v>843</v>
      </c>
      <c r="G2157" t="s">
        <v>844</v>
      </c>
      <c r="H2157" t="s">
        <v>169</v>
      </c>
      <c r="I2157" s="6" t="s">
        <v>1008</v>
      </c>
      <c r="J2157" s="61" t="s">
        <v>22</v>
      </c>
      <c r="L2157" s="5" t="str">
        <f t="shared" si="658"/>
        <v>02156</v>
      </c>
      <c r="M2157" s="47" t="str">
        <f t="shared" si="659"/>
        <v>29 de junio de 2019</v>
      </c>
      <c r="N2157" s="323">
        <f t="shared" si="660"/>
        <v>29</v>
      </c>
      <c r="O2157" s="25">
        <f t="shared" si="661"/>
        <v>43617</v>
      </c>
      <c r="P2157" s="5" t="str">
        <f t="shared" si="662"/>
        <v>16.000,00</v>
      </c>
      <c r="Q2157" s="4" t="str">
        <f t="shared" si="663"/>
        <v>Dieciséis Mil Bolívares con 00/100</v>
      </c>
    </row>
    <row r="2158" spans="1:17" x14ac:dyDescent="0.25">
      <c r="A2158" s="1">
        <f t="shared" si="642"/>
        <v>2157</v>
      </c>
      <c r="C2158" s="8" t="s">
        <v>17</v>
      </c>
      <c r="D2158" s="2">
        <v>43647</v>
      </c>
      <c r="E2158" s="3">
        <v>5000</v>
      </c>
      <c r="F2158" t="s">
        <v>401</v>
      </c>
      <c r="G2158" t="s">
        <v>402</v>
      </c>
      <c r="H2158" t="s">
        <v>403</v>
      </c>
      <c r="I2158" s="6" t="s">
        <v>1013</v>
      </c>
      <c r="J2158" s="61" t="s">
        <v>22</v>
      </c>
      <c r="L2158" s="5" t="str">
        <f t="shared" si="658"/>
        <v>02157</v>
      </c>
      <c r="M2158" s="47" t="str">
        <f t="shared" si="659"/>
        <v>01 de julio de 2019</v>
      </c>
      <c r="N2158" s="323">
        <f t="shared" si="660"/>
        <v>1</v>
      </c>
      <c r="O2158" s="25">
        <f t="shared" si="661"/>
        <v>43647</v>
      </c>
      <c r="P2158" s="5" t="str">
        <f t="shared" si="662"/>
        <v>5.000,00</v>
      </c>
      <c r="Q2158" s="4" t="str">
        <f t="shared" si="663"/>
        <v>Cinco Mil Bolívares con 00/100</v>
      </c>
    </row>
    <row r="2159" spans="1:17" x14ac:dyDescent="0.25">
      <c r="A2159" s="1">
        <f t="shared" si="642"/>
        <v>2158</v>
      </c>
      <c r="C2159" s="8" t="s">
        <v>17</v>
      </c>
      <c r="D2159" s="2">
        <v>43647</v>
      </c>
      <c r="E2159" s="3">
        <v>8000</v>
      </c>
      <c r="F2159" t="s">
        <v>94</v>
      </c>
      <c r="G2159" t="s">
        <v>607</v>
      </c>
      <c r="H2159" t="s">
        <v>96</v>
      </c>
      <c r="I2159" s="6" t="s">
        <v>986</v>
      </c>
      <c r="J2159" s="61" t="s">
        <v>22</v>
      </c>
      <c r="L2159" s="5" t="str">
        <f t="shared" si="658"/>
        <v>02158</v>
      </c>
      <c r="M2159" s="47" t="str">
        <f t="shared" si="659"/>
        <v>01 de julio de 2019</v>
      </c>
      <c r="N2159" s="323">
        <f t="shared" si="660"/>
        <v>1</v>
      </c>
      <c r="O2159" s="25">
        <f t="shared" si="661"/>
        <v>43647</v>
      </c>
      <c r="P2159" s="5" t="str">
        <f t="shared" si="662"/>
        <v>8.000,00</v>
      </c>
      <c r="Q2159" s="4" t="str">
        <f t="shared" si="663"/>
        <v>Ocho Mil Bolívares con 00/100</v>
      </c>
    </row>
    <row r="2160" spans="1:17" x14ac:dyDescent="0.25">
      <c r="A2160" s="1">
        <f t="shared" si="642"/>
        <v>2159</v>
      </c>
      <c r="C2160" s="8" t="s">
        <v>17</v>
      </c>
      <c r="D2160" s="2">
        <v>43647</v>
      </c>
      <c r="E2160" s="3">
        <v>10000</v>
      </c>
      <c r="F2160" t="s">
        <v>48</v>
      </c>
      <c r="G2160" t="s">
        <v>49</v>
      </c>
      <c r="H2160" t="s">
        <v>50</v>
      </c>
      <c r="I2160" s="6" t="s">
        <v>1007</v>
      </c>
      <c r="J2160" s="61" t="s">
        <v>22</v>
      </c>
      <c r="L2160" s="5" t="str">
        <f t="shared" si="658"/>
        <v>02159</v>
      </c>
      <c r="M2160" s="47" t="str">
        <f t="shared" si="659"/>
        <v>01 de julio de 2019</v>
      </c>
      <c r="N2160" s="323">
        <f t="shared" si="660"/>
        <v>1</v>
      </c>
      <c r="O2160" s="25">
        <f t="shared" si="661"/>
        <v>43647</v>
      </c>
      <c r="P2160" s="5" t="str">
        <f t="shared" si="662"/>
        <v>10.000,00</v>
      </c>
      <c r="Q2160" s="4" t="str">
        <f t="shared" si="663"/>
        <v>Diez Mil Bolívares con 00/100</v>
      </c>
    </row>
    <row r="2161" spans="1:17" x14ac:dyDescent="0.25">
      <c r="A2161" s="1">
        <f t="shared" si="642"/>
        <v>2160</v>
      </c>
      <c r="C2161" s="8" t="s">
        <v>17</v>
      </c>
      <c r="D2161" s="2">
        <v>43647</v>
      </c>
      <c r="E2161" s="3">
        <v>10000</v>
      </c>
      <c r="F2161" t="s">
        <v>483</v>
      </c>
      <c r="G2161" t="s">
        <v>484</v>
      </c>
      <c r="H2161" t="s">
        <v>485</v>
      </c>
      <c r="I2161" s="6" t="s">
        <v>1007</v>
      </c>
      <c r="J2161" s="61" t="s">
        <v>22</v>
      </c>
      <c r="L2161" s="5" t="str">
        <f t="shared" si="658"/>
        <v>02160</v>
      </c>
      <c r="M2161" s="47" t="str">
        <f t="shared" si="659"/>
        <v>01 de julio de 2019</v>
      </c>
      <c r="N2161" s="323">
        <f t="shared" si="660"/>
        <v>1</v>
      </c>
      <c r="O2161" s="25">
        <f t="shared" si="661"/>
        <v>43647</v>
      </c>
      <c r="P2161" s="5" t="str">
        <f t="shared" si="662"/>
        <v>10.000,00</v>
      </c>
      <c r="Q2161" s="4" t="str">
        <f t="shared" si="663"/>
        <v>Diez Mil Bolívares con 00/100</v>
      </c>
    </row>
    <row r="2162" spans="1:17" x14ac:dyDescent="0.25">
      <c r="A2162" s="1">
        <f>A2161+1</f>
        <v>2161</v>
      </c>
      <c r="C2162" s="8" t="s">
        <v>17</v>
      </c>
      <c r="D2162" s="2">
        <v>43647</v>
      </c>
      <c r="E2162" s="3">
        <v>14300</v>
      </c>
      <c r="F2162" t="s">
        <v>36</v>
      </c>
      <c r="G2162" t="s">
        <v>37</v>
      </c>
      <c r="H2162" t="s">
        <v>38</v>
      </c>
      <c r="I2162" s="6" t="s">
        <v>1014</v>
      </c>
      <c r="J2162" s="61" t="s">
        <v>22</v>
      </c>
      <c r="L2162" s="5" t="str">
        <f t="shared" si="658"/>
        <v>02161</v>
      </c>
      <c r="M2162" s="47" t="str">
        <f t="shared" si="659"/>
        <v>01 de julio de 2019</v>
      </c>
      <c r="N2162" s="323">
        <f t="shared" si="660"/>
        <v>1</v>
      </c>
      <c r="O2162" s="25">
        <f t="shared" si="661"/>
        <v>43647</v>
      </c>
      <c r="P2162" s="5" t="str">
        <f t="shared" si="662"/>
        <v>14.300,00</v>
      </c>
      <c r="Q2162" s="4" t="str">
        <f t="shared" si="663"/>
        <v>Catorce Mil Trescientos Bolívares con 00/100</v>
      </c>
    </row>
    <row r="2163" spans="1:17" x14ac:dyDescent="0.25">
      <c r="A2163" s="1">
        <f t="shared" ref="A2163:A2171" si="664">A2162+1</f>
        <v>2162</v>
      </c>
      <c r="C2163" s="85" t="s">
        <v>17</v>
      </c>
      <c r="D2163" s="2">
        <v>43648</v>
      </c>
      <c r="E2163" s="3">
        <v>8000</v>
      </c>
      <c r="F2163" t="s">
        <v>319</v>
      </c>
      <c r="G2163" s="18" t="s">
        <v>58</v>
      </c>
      <c r="H2163" t="s">
        <v>320</v>
      </c>
      <c r="I2163" s="6" t="s">
        <v>986</v>
      </c>
      <c r="J2163" s="61" t="s">
        <v>22</v>
      </c>
      <c r="L2163" s="5" t="str">
        <f t="shared" si="658"/>
        <v>02162</v>
      </c>
      <c r="M2163" s="47" t="str">
        <f t="shared" si="659"/>
        <v>02 de julio de 2019</v>
      </c>
      <c r="N2163" s="323">
        <f t="shared" si="660"/>
        <v>2</v>
      </c>
      <c r="O2163" s="25">
        <f t="shared" si="661"/>
        <v>43647</v>
      </c>
      <c r="P2163" s="5" t="str">
        <f t="shared" si="662"/>
        <v>8.000,00</v>
      </c>
      <c r="Q2163" s="4" t="str">
        <f t="shared" si="663"/>
        <v>Ocho Mil Bolívares con 00/100</v>
      </c>
    </row>
    <row r="2164" spans="1:17" x14ac:dyDescent="0.25">
      <c r="A2164" s="1">
        <f t="shared" si="664"/>
        <v>2163</v>
      </c>
      <c r="C2164" s="8" t="s">
        <v>17</v>
      </c>
      <c r="D2164" s="2">
        <v>43648</v>
      </c>
      <c r="E2164" s="3">
        <v>10000</v>
      </c>
      <c r="F2164" t="s">
        <v>337</v>
      </c>
      <c r="G2164" t="s">
        <v>338</v>
      </c>
      <c r="H2164" t="s">
        <v>339</v>
      </c>
      <c r="I2164" s="6" t="s">
        <v>1007</v>
      </c>
      <c r="J2164" s="61" t="s">
        <v>22</v>
      </c>
      <c r="L2164" s="5" t="str">
        <f t="shared" si="658"/>
        <v>02163</v>
      </c>
      <c r="M2164" s="47" t="str">
        <f t="shared" si="659"/>
        <v>02 de julio de 2019</v>
      </c>
      <c r="N2164" s="323">
        <f t="shared" si="660"/>
        <v>2</v>
      </c>
      <c r="O2164" s="25">
        <f t="shared" si="661"/>
        <v>43647</v>
      </c>
      <c r="P2164" s="5" t="str">
        <f t="shared" si="662"/>
        <v>10.000,00</v>
      </c>
      <c r="Q2164" s="4" t="str">
        <f t="shared" si="663"/>
        <v>Diez Mil Bolívares con 00/100</v>
      </c>
    </row>
    <row r="2165" spans="1:17" x14ac:dyDescent="0.25">
      <c r="A2165" s="1">
        <f t="shared" si="664"/>
        <v>2164</v>
      </c>
      <c r="C2165" s="8" t="s">
        <v>17</v>
      </c>
      <c r="D2165" s="2">
        <v>43648</v>
      </c>
      <c r="E2165" s="3">
        <v>10000</v>
      </c>
      <c r="F2165" t="s">
        <v>53</v>
      </c>
      <c r="G2165" t="s">
        <v>677</v>
      </c>
      <c r="H2165" t="s">
        <v>55</v>
      </c>
      <c r="I2165" s="6" t="s">
        <v>1007</v>
      </c>
      <c r="J2165" s="61" t="s">
        <v>22</v>
      </c>
      <c r="L2165" s="5" t="str">
        <f t="shared" si="658"/>
        <v>02164</v>
      </c>
      <c r="M2165" s="47" t="str">
        <f t="shared" si="659"/>
        <v>02 de julio de 2019</v>
      </c>
      <c r="N2165" s="323">
        <f t="shared" si="660"/>
        <v>2</v>
      </c>
      <c r="O2165" s="25">
        <f t="shared" si="661"/>
        <v>43647</v>
      </c>
      <c r="P2165" s="5" t="str">
        <f t="shared" si="662"/>
        <v>10.000,00</v>
      </c>
      <c r="Q2165" s="4" t="str">
        <f t="shared" si="663"/>
        <v>Diez Mil Bolívares con 00/100</v>
      </c>
    </row>
    <row r="2166" spans="1:17" x14ac:dyDescent="0.25">
      <c r="A2166" s="1">
        <f t="shared" si="664"/>
        <v>2165</v>
      </c>
      <c r="C2166" s="8" t="s">
        <v>17</v>
      </c>
      <c r="D2166" s="2">
        <v>43648</v>
      </c>
      <c r="E2166" s="3">
        <v>10000</v>
      </c>
      <c r="F2166" t="s">
        <v>407</v>
      </c>
      <c r="G2166" t="s">
        <v>408</v>
      </c>
      <c r="H2166" t="s">
        <v>409</v>
      </c>
      <c r="I2166" s="6" t="s">
        <v>1007</v>
      </c>
      <c r="J2166" s="61" t="s">
        <v>22</v>
      </c>
      <c r="L2166" s="5" t="str">
        <f t="shared" si="658"/>
        <v>02165</v>
      </c>
      <c r="M2166" s="47" t="str">
        <f t="shared" si="659"/>
        <v>02 de julio de 2019</v>
      </c>
      <c r="N2166" s="323">
        <f t="shared" si="660"/>
        <v>2</v>
      </c>
      <c r="O2166" s="25">
        <f t="shared" si="661"/>
        <v>43647</v>
      </c>
      <c r="P2166" s="5" t="str">
        <f t="shared" si="662"/>
        <v>10.000,00</v>
      </c>
      <c r="Q2166" s="4" t="str">
        <f>CONVERTIRNUM(E2166)</f>
        <v>Diez Mil Bolívares con 00/100</v>
      </c>
    </row>
    <row r="2167" spans="1:17" x14ac:dyDescent="0.25">
      <c r="A2167" s="1">
        <f t="shared" si="664"/>
        <v>2166</v>
      </c>
      <c r="C2167" s="8" t="s">
        <v>17</v>
      </c>
      <c r="D2167" s="2">
        <v>43649</v>
      </c>
      <c r="E2167" s="3">
        <v>10000</v>
      </c>
      <c r="F2167" t="s">
        <v>1015</v>
      </c>
      <c r="G2167" t="s">
        <v>1016</v>
      </c>
      <c r="H2167" t="s">
        <v>59</v>
      </c>
      <c r="I2167" s="6" t="s">
        <v>1007</v>
      </c>
      <c r="J2167" s="61" t="s">
        <v>22</v>
      </c>
      <c r="L2167" s="5" t="str">
        <f t="shared" ref="L2167:L2168" si="665">IF(ISBLANK(A2167),"",TEXT(A2167,"00000"))</f>
        <v>02166</v>
      </c>
      <c r="M2167" s="47" t="str">
        <f t="shared" ref="M2167:M2168" si="666">IF(ISBLANK(D2167),"",TEXT(D2167,"dd")&amp;" de "&amp;TEXT(D2167,"mmmm")&amp;" de "&amp;TEXT(YEAR(D2167),"0"))</f>
        <v>03 de julio de 2019</v>
      </c>
      <c r="N2167" s="323">
        <f t="shared" ref="N2167:N2168" si="667">DAY(D2167)</f>
        <v>3</v>
      </c>
      <c r="O2167" s="25">
        <f t="shared" ref="O2167:O2168" si="668">DATE(YEAR(D2167),MONTH(D2167),1)</f>
        <v>43647</v>
      </c>
      <c r="P2167" s="5" t="str">
        <f t="shared" ref="P2167:P2168" si="669">TEXT(E2167,"#.##0,00")</f>
        <v>10.000,00</v>
      </c>
      <c r="Q2167" s="4" t="str">
        <f>CONVERTIRNUM(E2167)</f>
        <v>Diez Mil Bolívares con 00/100</v>
      </c>
    </row>
    <row r="2168" spans="1:17" x14ac:dyDescent="0.25">
      <c r="A2168" s="1">
        <f t="shared" si="664"/>
        <v>2167</v>
      </c>
      <c r="C2168" s="8" t="s">
        <v>17</v>
      </c>
      <c r="D2168" s="2">
        <v>43650</v>
      </c>
      <c r="E2168" s="3">
        <v>8000</v>
      </c>
      <c r="F2168" t="s">
        <v>612</v>
      </c>
      <c r="G2168" t="s">
        <v>613</v>
      </c>
      <c r="H2168" t="s">
        <v>614</v>
      </c>
      <c r="I2168" s="6" t="s">
        <v>986</v>
      </c>
      <c r="J2168" s="61" t="s">
        <v>22</v>
      </c>
      <c r="L2168" s="5" t="str">
        <f t="shared" si="665"/>
        <v>02167</v>
      </c>
      <c r="M2168" s="47" t="str">
        <f t="shared" si="666"/>
        <v>04 de julio de 2019</v>
      </c>
      <c r="N2168" s="323">
        <f t="shared" si="667"/>
        <v>4</v>
      </c>
      <c r="O2168" s="25">
        <f t="shared" si="668"/>
        <v>43647</v>
      </c>
      <c r="P2168" s="5" t="str">
        <f t="shared" si="669"/>
        <v>8.000,00</v>
      </c>
      <c r="Q2168" s="4" t="str">
        <f t="shared" ref="Q2168" si="670">CONVERTIRNUM(E2168)</f>
        <v>Ocho Mil Bolívares con 00/100</v>
      </c>
    </row>
    <row r="2169" spans="1:17" x14ac:dyDescent="0.25">
      <c r="A2169" s="1">
        <f t="shared" si="664"/>
        <v>2168</v>
      </c>
      <c r="C2169" s="8" t="s">
        <v>17</v>
      </c>
      <c r="D2169" s="2">
        <v>43650</v>
      </c>
      <c r="E2169" s="3">
        <v>8000</v>
      </c>
      <c r="F2169" t="s">
        <v>1017</v>
      </c>
      <c r="G2169" s="475" t="s">
        <v>1018</v>
      </c>
      <c r="H2169" t="s">
        <v>140</v>
      </c>
      <c r="I2169" s="6" t="s">
        <v>986</v>
      </c>
      <c r="J2169" s="61" t="s">
        <v>22</v>
      </c>
      <c r="L2169" s="5" t="str">
        <f t="shared" ref="L2169:L2188" si="671">IF(ISBLANK(A2169),"",TEXT(A2169,"00000"))</f>
        <v>02168</v>
      </c>
      <c r="M2169" s="47" t="str">
        <f t="shared" ref="M2169:M2188" si="672">IF(ISBLANK(D2169),"",TEXT(D2169,"dd")&amp;" de "&amp;TEXT(D2169,"mmmm")&amp;" de "&amp;TEXT(YEAR(D2169),"0"))</f>
        <v>04 de julio de 2019</v>
      </c>
      <c r="N2169" s="323">
        <f t="shared" ref="N2169:N2188" si="673">DAY(D2169)</f>
        <v>4</v>
      </c>
      <c r="O2169" s="25">
        <f t="shared" ref="O2169:O2188" si="674">DATE(YEAR(D2169),MONTH(D2169),1)</f>
        <v>43647</v>
      </c>
      <c r="P2169" s="5" t="str">
        <f t="shared" ref="P2169:P2188" si="675">TEXT(E2169,"#.##0,00")</f>
        <v>8.000,00</v>
      </c>
      <c r="Q2169" s="4" t="str">
        <f t="shared" ref="Q2169:Q2188" si="676">CONVERTIRNUM(E2169)</f>
        <v>Ocho Mil Bolívares con 00/100</v>
      </c>
    </row>
    <row r="2170" spans="1:17" x14ac:dyDescent="0.25">
      <c r="A2170" s="1">
        <f t="shared" si="664"/>
        <v>2169</v>
      </c>
      <c r="C2170" s="8" t="s">
        <v>17</v>
      </c>
      <c r="D2170" s="2">
        <v>43650</v>
      </c>
      <c r="E2170" s="3">
        <v>3000</v>
      </c>
      <c r="F2170" t="s">
        <v>433</v>
      </c>
      <c r="G2170" t="s">
        <v>434</v>
      </c>
      <c r="H2170" t="s">
        <v>435</v>
      </c>
      <c r="I2170" s="6" t="s">
        <v>991</v>
      </c>
      <c r="J2170" s="61" t="s">
        <v>22</v>
      </c>
      <c r="L2170" s="5" t="str">
        <f t="shared" si="671"/>
        <v>02169</v>
      </c>
      <c r="M2170" s="47" t="str">
        <f t="shared" si="672"/>
        <v>04 de julio de 2019</v>
      </c>
      <c r="N2170" s="323">
        <f t="shared" si="673"/>
        <v>4</v>
      </c>
      <c r="O2170" s="25">
        <f t="shared" si="674"/>
        <v>43647</v>
      </c>
      <c r="P2170" s="5" t="str">
        <f t="shared" si="675"/>
        <v>3.000,00</v>
      </c>
      <c r="Q2170" s="4" t="str">
        <f t="shared" si="676"/>
        <v>Tres Mil Bolívares con 00/100</v>
      </c>
    </row>
    <row r="2171" spans="1:17" x14ac:dyDescent="0.25">
      <c r="A2171" s="1">
        <f t="shared" si="664"/>
        <v>2170</v>
      </c>
      <c r="C2171" s="8" t="s">
        <v>17</v>
      </c>
      <c r="D2171" s="2">
        <v>43653</v>
      </c>
      <c r="E2171" s="3">
        <v>10000</v>
      </c>
      <c r="F2171" t="s">
        <v>24</v>
      </c>
      <c r="G2171" t="s">
        <v>25</v>
      </c>
      <c r="H2171" t="s">
        <v>26</v>
      </c>
      <c r="I2171" s="6" t="s">
        <v>1007</v>
      </c>
      <c r="J2171" s="61" t="s">
        <v>22</v>
      </c>
      <c r="L2171" s="5" t="str">
        <f t="shared" si="671"/>
        <v>02170</v>
      </c>
      <c r="M2171" s="47" t="str">
        <f t="shared" si="672"/>
        <v>07 de julio de 2019</v>
      </c>
      <c r="N2171" s="323">
        <f t="shared" si="673"/>
        <v>7</v>
      </c>
      <c r="O2171" s="25">
        <f t="shared" si="674"/>
        <v>43647</v>
      </c>
      <c r="P2171" s="5" t="str">
        <f t="shared" si="675"/>
        <v>10.000,00</v>
      </c>
      <c r="Q2171" s="4" t="str">
        <f t="shared" si="676"/>
        <v>Diez Mil Bolívares con 00/100</v>
      </c>
    </row>
    <row r="2172" spans="1:17" x14ac:dyDescent="0.25">
      <c r="A2172" s="1">
        <f>A2171+1</f>
        <v>2171</v>
      </c>
      <c r="C2172" s="8" t="s">
        <v>17</v>
      </c>
      <c r="D2172" s="2">
        <v>43653</v>
      </c>
      <c r="E2172" s="3">
        <v>10000</v>
      </c>
      <c r="F2172" t="s">
        <v>70</v>
      </c>
      <c r="G2172" t="s">
        <v>71</v>
      </c>
      <c r="H2172" t="s">
        <v>72</v>
      </c>
      <c r="I2172" s="6" t="s">
        <v>1007</v>
      </c>
      <c r="J2172" s="61" t="s">
        <v>22</v>
      </c>
      <c r="L2172" s="5" t="str">
        <f t="shared" si="671"/>
        <v>02171</v>
      </c>
      <c r="M2172" s="47" t="str">
        <f t="shared" si="672"/>
        <v>07 de julio de 2019</v>
      </c>
      <c r="N2172" s="323">
        <f t="shared" si="673"/>
        <v>7</v>
      </c>
      <c r="O2172" s="25">
        <f t="shared" si="674"/>
        <v>43647</v>
      </c>
      <c r="P2172" s="5" t="str">
        <f t="shared" si="675"/>
        <v>10.000,00</v>
      </c>
      <c r="Q2172" s="4" t="str">
        <f t="shared" si="676"/>
        <v>Diez Mil Bolívares con 00/100</v>
      </c>
    </row>
    <row r="2173" spans="1:17" x14ac:dyDescent="0.25">
      <c r="A2173" s="1">
        <f t="shared" ref="A2173:A2237" si="677">A2172+1</f>
        <v>2172</v>
      </c>
      <c r="C2173" s="8" t="s">
        <v>17</v>
      </c>
      <c r="D2173" s="2">
        <v>43653</v>
      </c>
      <c r="E2173" s="3">
        <v>10000</v>
      </c>
      <c r="F2173" t="s">
        <v>454</v>
      </c>
      <c r="G2173" t="s">
        <v>761</v>
      </c>
      <c r="H2173" t="s">
        <v>455</v>
      </c>
      <c r="I2173" s="6" t="s">
        <v>1007</v>
      </c>
      <c r="J2173" s="61" t="s">
        <v>22</v>
      </c>
      <c r="L2173" s="5" t="str">
        <f t="shared" si="671"/>
        <v>02172</v>
      </c>
      <c r="M2173" s="47" t="str">
        <f t="shared" si="672"/>
        <v>07 de julio de 2019</v>
      </c>
      <c r="N2173" s="323">
        <f t="shared" si="673"/>
        <v>7</v>
      </c>
      <c r="O2173" s="25">
        <f t="shared" si="674"/>
        <v>43647</v>
      </c>
      <c r="P2173" s="5" t="str">
        <f t="shared" si="675"/>
        <v>10.000,00</v>
      </c>
      <c r="Q2173" s="4" t="str">
        <f t="shared" si="676"/>
        <v>Diez Mil Bolívares con 00/100</v>
      </c>
    </row>
    <row r="2174" spans="1:17" x14ac:dyDescent="0.25">
      <c r="A2174" s="1">
        <f t="shared" si="677"/>
        <v>2173</v>
      </c>
      <c r="C2174" s="8" t="s">
        <v>17</v>
      </c>
      <c r="D2174" s="2">
        <v>43653</v>
      </c>
      <c r="E2174" s="3">
        <v>8000</v>
      </c>
      <c r="F2174" t="s">
        <v>287</v>
      </c>
      <c r="G2174" t="s">
        <v>288</v>
      </c>
      <c r="H2174" t="s">
        <v>289</v>
      </c>
      <c r="I2174" s="6" t="s">
        <v>986</v>
      </c>
      <c r="J2174" s="61" t="s">
        <v>22</v>
      </c>
      <c r="L2174" s="5" t="str">
        <f t="shared" si="671"/>
        <v>02173</v>
      </c>
      <c r="M2174" s="47" t="str">
        <f t="shared" si="672"/>
        <v>07 de julio de 2019</v>
      </c>
      <c r="N2174" s="323">
        <f t="shared" si="673"/>
        <v>7</v>
      </c>
      <c r="O2174" s="25">
        <f t="shared" si="674"/>
        <v>43647</v>
      </c>
      <c r="P2174" s="5" t="str">
        <f t="shared" si="675"/>
        <v>8.000,00</v>
      </c>
      <c r="Q2174" s="4" t="str">
        <f t="shared" si="676"/>
        <v>Ocho Mil Bolívares con 00/100</v>
      </c>
    </row>
    <row r="2175" spans="1:17" x14ac:dyDescent="0.25">
      <c r="A2175" s="1">
        <f t="shared" si="677"/>
        <v>2174</v>
      </c>
      <c r="C2175" s="8" t="s">
        <v>17</v>
      </c>
      <c r="D2175" s="2">
        <v>43653</v>
      </c>
      <c r="E2175" s="3">
        <v>10000</v>
      </c>
      <c r="F2175" t="s">
        <v>947</v>
      </c>
      <c r="G2175" t="s">
        <v>948</v>
      </c>
      <c r="H2175" t="s">
        <v>949</v>
      </c>
      <c r="I2175" s="6" t="s">
        <v>1007</v>
      </c>
      <c r="J2175" s="61" t="s">
        <v>22</v>
      </c>
      <c r="L2175" s="5" t="str">
        <f t="shared" si="671"/>
        <v>02174</v>
      </c>
      <c r="M2175" s="47" t="str">
        <f t="shared" si="672"/>
        <v>07 de julio de 2019</v>
      </c>
      <c r="N2175" s="323">
        <f t="shared" si="673"/>
        <v>7</v>
      </c>
      <c r="O2175" s="25">
        <f t="shared" si="674"/>
        <v>43647</v>
      </c>
      <c r="P2175" s="5" t="str">
        <f t="shared" si="675"/>
        <v>10.000,00</v>
      </c>
      <c r="Q2175" s="4" t="str">
        <f t="shared" si="676"/>
        <v>Diez Mil Bolívares con 00/100</v>
      </c>
    </row>
    <row r="2176" spans="1:17" x14ac:dyDescent="0.25">
      <c r="A2176" s="1">
        <f t="shared" si="677"/>
        <v>2175</v>
      </c>
      <c r="C2176" s="8" t="s">
        <v>17</v>
      </c>
      <c r="D2176" s="2">
        <v>43654</v>
      </c>
      <c r="E2176" s="3">
        <v>10000</v>
      </c>
      <c r="F2176" t="s">
        <v>594</v>
      </c>
      <c r="G2176" t="s">
        <v>595</v>
      </c>
      <c r="H2176" t="s">
        <v>596</v>
      </c>
      <c r="I2176" s="161" t="s">
        <v>1007</v>
      </c>
      <c r="J2176" s="61" t="s">
        <v>22</v>
      </c>
      <c r="L2176" s="5" t="str">
        <f t="shared" si="671"/>
        <v>02175</v>
      </c>
      <c r="M2176" s="47" t="str">
        <f t="shared" si="672"/>
        <v>08 de julio de 2019</v>
      </c>
      <c r="N2176" s="323">
        <f t="shared" si="673"/>
        <v>8</v>
      </c>
      <c r="O2176" s="25">
        <f t="shared" si="674"/>
        <v>43647</v>
      </c>
      <c r="P2176" s="5" t="str">
        <f t="shared" si="675"/>
        <v>10.000,00</v>
      </c>
      <c r="Q2176" s="4" t="str">
        <f t="shared" si="676"/>
        <v>Diez Mil Bolívares con 00/100</v>
      </c>
    </row>
    <row r="2177" spans="1:17" x14ac:dyDescent="0.25">
      <c r="A2177" s="1">
        <f t="shared" si="677"/>
        <v>2176</v>
      </c>
      <c r="C2177" s="8" t="s">
        <v>17</v>
      </c>
      <c r="D2177" s="2">
        <v>43654</v>
      </c>
      <c r="E2177" s="3">
        <v>10000</v>
      </c>
      <c r="F2177" t="s">
        <v>334</v>
      </c>
      <c r="G2177" t="s">
        <v>85</v>
      </c>
      <c r="H2177" t="s">
        <v>335</v>
      </c>
      <c r="I2177" s="161" t="s">
        <v>1007</v>
      </c>
      <c r="J2177" s="61" t="s">
        <v>22</v>
      </c>
      <c r="L2177" s="5" t="str">
        <f t="shared" si="671"/>
        <v>02176</v>
      </c>
      <c r="M2177" s="47" t="str">
        <f t="shared" si="672"/>
        <v>08 de julio de 2019</v>
      </c>
      <c r="N2177" s="323">
        <f t="shared" si="673"/>
        <v>8</v>
      </c>
      <c r="O2177" s="25">
        <f t="shared" si="674"/>
        <v>43647</v>
      </c>
      <c r="P2177" s="5" t="str">
        <f t="shared" si="675"/>
        <v>10.000,00</v>
      </c>
      <c r="Q2177" s="4" t="str">
        <f t="shared" si="676"/>
        <v>Diez Mil Bolívares con 00/100</v>
      </c>
    </row>
    <row r="2178" spans="1:17" x14ac:dyDescent="0.25">
      <c r="A2178" s="1">
        <f t="shared" si="677"/>
        <v>2177</v>
      </c>
      <c r="C2178" s="8" t="s">
        <v>17</v>
      </c>
      <c r="D2178" s="2">
        <v>43654</v>
      </c>
      <c r="E2178" s="3">
        <v>10000</v>
      </c>
      <c r="F2178" t="s">
        <v>84</v>
      </c>
      <c r="G2178" t="s">
        <v>85</v>
      </c>
      <c r="H2178" t="s">
        <v>86</v>
      </c>
      <c r="I2178" s="161" t="s">
        <v>1007</v>
      </c>
      <c r="J2178" s="61" t="s">
        <v>22</v>
      </c>
      <c r="L2178" s="5" t="str">
        <f t="shared" si="671"/>
        <v>02177</v>
      </c>
      <c r="M2178" s="47" t="str">
        <f t="shared" si="672"/>
        <v>08 de julio de 2019</v>
      </c>
      <c r="N2178" s="323">
        <f t="shared" si="673"/>
        <v>8</v>
      </c>
      <c r="O2178" s="25">
        <f t="shared" si="674"/>
        <v>43647</v>
      </c>
      <c r="P2178" s="5" t="str">
        <f t="shared" si="675"/>
        <v>10.000,00</v>
      </c>
      <c r="Q2178" s="4" t="str">
        <f t="shared" si="676"/>
        <v>Diez Mil Bolívares con 00/100</v>
      </c>
    </row>
    <row r="2179" spans="1:17" x14ac:dyDescent="0.25">
      <c r="A2179" s="1">
        <f t="shared" si="677"/>
        <v>2178</v>
      </c>
      <c r="C2179" s="8" t="s">
        <v>17</v>
      </c>
      <c r="D2179" s="2">
        <v>43655</v>
      </c>
      <c r="E2179" s="3">
        <v>10000</v>
      </c>
      <c r="F2179" t="s">
        <v>118</v>
      </c>
      <c r="G2179" t="s">
        <v>119</v>
      </c>
      <c r="H2179" t="s">
        <v>120</v>
      </c>
      <c r="I2179" s="161" t="s">
        <v>1007</v>
      </c>
      <c r="J2179" s="61" t="s">
        <v>22</v>
      </c>
      <c r="L2179" s="5" t="str">
        <f t="shared" si="671"/>
        <v>02178</v>
      </c>
      <c r="M2179" s="47" t="str">
        <f t="shared" si="672"/>
        <v>09 de julio de 2019</v>
      </c>
      <c r="N2179" s="323">
        <f t="shared" si="673"/>
        <v>9</v>
      </c>
      <c r="O2179" s="25">
        <f t="shared" si="674"/>
        <v>43647</v>
      </c>
      <c r="P2179" s="5" t="str">
        <f t="shared" si="675"/>
        <v>10.000,00</v>
      </c>
      <c r="Q2179" s="4" t="str">
        <f t="shared" si="676"/>
        <v>Diez Mil Bolívares con 00/100</v>
      </c>
    </row>
    <row r="2180" spans="1:17" x14ac:dyDescent="0.25">
      <c r="A2180" s="1">
        <f t="shared" si="677"/>
        <v>2179</v>
      </c>
      <c r="C2180" s="8" t="s">
        <v>17</v>
      </c>
      <c r="D2180" s="2">
        <v>43655</v>
      </c>
      <c r="E2180" s="3">
        <v>6000</v>
      </c>
      <c r="F2180" t="s">
        <v>28</v>
      </c>
      <c r="G2180" t="s">
        <v>716</v>
      </c>
      <c r="H2180" t="s">
        <v>30</v>
      </c>
      <c r="I2180" s="6" t="s">
        <v>1013</v>
      </c>
      <c r="J2180" s="61" t="s">
        <v>22</v>
      </c>
      <c r="L2180" s="5" t="str">
        <f t="shared" si="671"/>
        <v>02179</v>
      </c>
      <c r="M2180" s="47" t="str">
        <f t="shared" si="672"/>
        <v>09 de julio de 2019</v>
      </c>
      <c r="N2180" s="323">
        <f t="shared" si="673"/>
        <v>9</v>
      </c>
      <c r="O2180" s="25">
        <f t="shared" si="674"/>
        <v>43647</v>
      </c>
      <c r="P2180" s="5" t="str">
        <f t="shared" si="675"/>
        <v>6.000,00</v>
      </c>
      <c r="Q2180" s="4" t="str">
        <f t="shared" si="676"/>
        <v>Seis Mil Bolívares con 00/100</v>
      </c>
    </row>
    <row r="2181" spans="1:17" x14ac:dyDescent="0.25">
      <c r="A2181" s="1">
        <f t="shared" si="677"/>
        <v>2180</v>
      </c>
      <c r="C2181" s="8" t="s">
        <v>17</v>
      </c>
      <c r="D2181" s="2">
        <v>43655</v>
      </c>
      <c r="E2181" s="3">
        <v>24000</v>
      </c>
      <c r="F2181" t="s">
        <v>353</v>
      </c>
      <c r="G2181" t="s">
        <v>354</v>
      </c>
      <c r="H2181" t="s">
        <v>355</v>
      </c>
      <c r="I2181" s="6" t="s">
        <v>1019</v>
      </c>
      <c r="J2181" s="61" t="s">
        <v>22</v>
      </c>
      <c r="L2181" s="5" t="str">
        <f t="shared" si="671"/>
        <v>02180</v>
      </c>
      <c r="M2181" s="47" t="str">
        <f t="shared" si="672"/>
        <v>09 de julio de 2019</v>
      </c>
      <c r="N2181" s="323">
        <f t="shared" si="673"/>
        <v>9</v>
      </c>
      <c r="O2181" s="25">
        <f t="shared" si="674"/>
        <v>43647</v>
      </c>
      <c r="P2181" s="5" t="str">
        <f t="shared" si="675"/>
        <v>24.000,00</v>
      </c>
      <c r="Q2181" s="4" t="str">
        <f t="shared" si="676"/>
        <v>Veinticuatro Mil Bolívares con 00/100</v>
      </c>
    </row>
    <row r="2182" spans="1:17" x14ac:dyDescent="0.25">
      <c r="A2182" s="1">
        <f t="shared" si="677"/>
        <v>2181</v>
      </c>
      <c r="C2182" s="8" t="s">
        <v>17</v>
      </c>
      <c r="D2182" s="2">
        <v>43655</v>
      </c>
      <c r="E2182" s="3">
        <v>2000</v>
      </c>
      <c r="F2182" t="s">
        <v>353</v>
      </c>
      <c r="G2182" t="s">
        <v>354</v>
      </c>
      <c r="H2182" t="s">
        <v>355</v>
      </c>
      <c r="I2182" s="6" t="s">
        <v>1020</v>
      </c>
      <c r="J2182" s="61" t="s">
        <v>22</v>
      </c>
      <c r="L2182" s="5" t="str">
        <f t="shared" si="671"/>
        <v>02181</v>
      </c>
      <c r="M2182" s="47" t="str">
        <f t="shared" si="672"/>
        <v>09 de julio de 2019</v>
      </c>
      <c r="N2182" s="323">
        <f t="shared" si="673"/>
        <v>9</v>
      </c>
      <c r="O2182" s="25">
        <f t="shared" si="674"/>
        <v>43647</v>
      </c>
      <c r="P2182" s="5" t="str">
        <f t="shared" si="675"/>
        <v>2.000,00</v>
      </c>
      <c r="Q2182" s="4" t="str">
        <f t="shared" si="676"/>
        <v>Dos Mil Bolívares con 00/100</v>
      </c>
    </row>
    <row r="2183" spans="1:17" x14ac:dyDescent="0.25">
      <c r="A2183" s="1">
        <f t="shared" si="677"/>
        <v>2182</v>
      </c>
      <c r="C2183" s="8" t="s">
        <v>17</v>
      </c>
      <c r="D2183" s="2">
        <v>43656</v>
      </c>
      <c r="E2183" s="3">
        <v>10000</v>
      </c>
      <c r="F2183" t="s">
        <v>18</v>
      </c>
      <c r="G2183" t="s">
        <v>19</v>
      </c>
      <c r="H2183" t="s">
        <v>20</v>
      </c>
      <c r="I2183" s="6" t="s">
        <v>1021</v>
      </c>
      <c r="J2183" s="61" t="s">
        <v>22</v>
      </c>
      <c r="L2183" s="5" t="str">
        <f t="shared" si="671"/>
        <v>02182</v>
      </c>
      <c r="M2183" s="47" t="str">
        <f t="shared" si="672"/>
        <v>10 de julio de 2019</v>
      </c>
      <c r="N2183" s="323">
        <f t="shared" si="673"/>
        <v>10</v>
      </c>
      <c r="O2183" s="25">
        <f t="shared" si="674"/>
        <v>43647</v>
      </c>
      <c r="P2183" s="5" t="str">
        <f t="shared" si="675"/>
        <v>10.000,00</v>
      </c>
      <c r="Q2183" s="4" t="str">
        <f t="shared" si="676"/>
        <v>Diez Mil Bolívares con 00/100</v>
      </c>
    </row>
    <row r="2184" spans="1:17" x14ac:dyDescent="0.25">
      <c r="A2184" s="1">
        <f t="shared" si="677"/>
        <v>2183</v>
      </c>
      <c r="C2184" s="8" t="s">
        <v>17</v>
      </c>
      <c r="D2184" s="2">
        <v>43656</v>
      </c>
      <c r="E2184" s="3">
        <v>10000</v>
      </c>
      <c r="F2184" t="s">
        <v>771</v>
      </c>
      <c r="G2184" t="s">
        <v>772</v>
      </c>
      <c r="H2184" t="s">
        <v>773</v>
      </c>
      <c r="I2184" s="6" t="s">
        <v>1022</v>
      </c>
      <c r="J2184" s="61" t="s">
        <v>22</v>
      </c>
      <c r="L2184" s="5" t="str">
        <f t="shared" si="671"/>
        <v>02183</v>
      </c>
      <c r="M2184" s="47" t="str">
        <f t="shared" si="672"/>
        <v>10 de julio de 2019</v>
      </c>
      <c r="N2184" s="323">
        <f t="shared" si="673"/>
        <v>10</v>
      </c>
      <c r="O2184" s="25">
        <f t="shared" si="674"/>
        <v>43647</v>
      </c>
      <c r="P2184" s="5" t="str">
        <f t="shared" si="675"/>
        <v>10.000,00</v>
      </c>
      <c r="Q2184" s="4" t="str">
        <f t="shared" si="676"/>
        <v>Diez Mil Bolívares con 00/100</v>
      </c>
    </row>
    <row r="2185" spans="1:17" ht="16.5" customHeight="1" x14ac:dyDescent="0.25">
      <c r="A2185" s="1">
        <f t="shared" si="677"/>
        <v>2184</v>
      </c>
      <c r="C2185" s="8" t="s">
        <v>17</v>
      </c>
      <c r="D2185" s="2">
        <v>43656</v>
      </c>
      <c r="E2185" s="3">
        <v>10000</v>
      </c>
      <c r="F2185" t="s">
        <v>219</v>
      </c>
      <c r="G2185" t="s">
        <v>220</v>
      </c>
      <c r="H2185" t="s">
        <v>221</v>
      </c>
      <c r="I2185" s="6" t="s">
        <v>1023</v>
      </c>
      <c r="J2185" s="61" t="s">
        <v>22</v>
      </c>
      <c r="L2185" s="5" t="str">
        <f t="shared" si="671"/>
        <v>02184</v>
      </c>
      <c r="M2185" s="47" t="str">
        <f t="shared" si="672"/>
        <v>10 de julio de 2019</v>
      </c>
      <c r="N2185" s="323">
        <f t="shared" si="673"/>
        <v>10</v>
      </c>
      <c r="O2185" s="25">
        <f t="shared" si="674"/>
        <v>43647</v>
      </c>
      <c r="P2185" s="5" t="str">
        <f t="shared" si="675"/>
        <v>10.000,00</v>
      </c>
      <c r="Q2185" s="4" t="str">
        <f t="shared" si="676"/>
        <v>Diez Mil Bolívares con 00/100</v>
      </c>
    </row>
    <row r="2186" spans="1:17" x14ac:dyDescent="0.25">
      <c r="A2186" s="1">
        <f t="shared" si="677"/>
        <v>2185</v>
      </c>
      <c r="C2186" s="8" t="s">
        <v>17</v>
      </c>
      <c r="D2186" s="2">
        <v>43655</v>
      </c>
      <c r="E2186" s="3">
        <v>10000</v>
      </c>
      <c r="F2186" t="s">
        <v>144</v>
      </c>
      <c r="G2186" t="s">
        <v>661</v>
      </c>
      <c r="H2186" t="s">
        <v>146</v>
      </c>
      <c r="I2186" s="161" t="s">
        <v>1007</v>
      </c>
      <c r="J2186" s="61" t="s">
        <v>22</v>
      </c>
      <c r="L2186" s="5" t="str">
        <f t="shared" si="671"/>
        <v>02185</v>
      </c>
      <c r="M2186" s="47" t="str">
        <f t="shared" si="672"/>
        <v>09 de julio de 2019</v>
      </c>
      <c r="N2186" s="323">
        <f t="shared" si="673"/>
        <v>9</v>
      </c>
      <c r="O2186" s="25">
        <f t="shared" si="674"/>
        <v>43647</v>
      </c>
      <c r="P2186" s="5" t="str">
        <f t="shared" si="675"/>
        <v>10.000,00</v>
      </c>
      <c r="Q2186" s="4" t="str">
        <f t="shared" si="676"/>
        <v>Diez Mil Bolívares con 00/100</v>
      </c>
    </row>
    <row r="2187" spans="1:17" x14ac:dyDescent="0.25">
      <c r="A2187" s="1">
        <f t="shared" si="677"/>
        <v>2186</v>
      </c>
      <c r="C2187" s="8" t="s">
        <v>17</v>
      </c>
      <c r="D2187" s="2">
        <v>43656</v>
      </c>
      <c r="E2187" s="3">
        <v>10000</v>
      </c>
      <c r="F2187" t="s">
        <v>134</v>
      </c>
      <c r="G2187" t="s">
        <v>135</v>
      </c>
      <c r="H2187" t="s">
        <v>136</v>
      </c>
      <c r="I2187" s="161" t="s">
        <v>1007</v>
      </c>
      <c r="J2187" s="61" t="s">
        <v>22</v>
      </c>
      <c r="L2187" s="5" t="str">
        <f t="shared" si="671"/>
        <v>02186</v>
      </c>
      <c r="M2187" s="47" t="str">
        <f t="shared" si="672"/>
        <v>10 de julio de 2019</v>
      </c>
      <c r="N2187" s="323">
        <f t="shared" si="673"/>
        <v>10</v>
      </c>
      <c r="O2187" s="25">
        <f t="shared" si="674"/>
        <v>43647</v>
      </c>
      <c r="P2187" s="5" t="str">
        <f t="shared" si="675"/>
        <v>10.000,00</v>
      </c>
      <c r="Q2187" s="4" t="str">
        <f t="shared" si="676"/>
        <v>Diez Mil Bolívares con 00/100</v>
      </c>
    </row>
    <row r="2188" spans="1:17" x14ac:dyDescent="0.25">
      <c r="A2188" s="1">
        <f t="shared" si="677"/>
        <v>2187</v>
      </c>
      <c r="C2188" s="8" t="s">
        <v>17</v>
      </c>
      <c r="D2188" s="2">
        <v>43657</v>
      </c>
      <c r="E2188" s="3">
        <f>5000+3000</f>
        <v>8000</v>
      </c>
      <c r="F2188" t="s">
        <v>239</v>
      </c>
      <c r="G2188" s="73" t="s">
        <v>240</v>
      </c>
      <c r="H2188" t="s">
        <v>241</v>
      </c>
      <c r="I2188" s="6" t="s">
        <v>1012</v>
      </c>
      <c r="J2188" s="61" t="s">
        <v>22</v>
      </c>
      <c r="L2188" s="5" t="str">
        <f t="shared" si="671"/>
        <v>02187</v>
      </c>
      <c r="M2188" s="47" t="str">
        <f t="shared" si="672"/>
        <v>11 de julio de 2019</v>
      </c>
      <c r="N2188" s="323">
        <f t="shared" si="673"/>
        <v>11</v>
      </c>
      <c r="O2188" s="25">
        <f t="shared" si="674"/>
        <v>43647</v>
      </c>
      <c r="P2188" s="5" t="str">
        <f t="shared" si="675"/>
        <v>8.000,00</v>
      </c>
      <c r="Q2188" s="4" t="str">
        <f t="shared" si="676"/>
        <v>Ocho Mil Bolívares con 00/100</v>
      </c>
    </row>
    <row r="2189" spans="1:17" x14ac:dyDescent="0.25">
      <c r="A2189" s="1">
        <f t="shared" si="677"/>
        <v>2188</v>
      </c>
      <c r="C2189" s="8" t="s">
        <v>17</v>
      </c>
      <c r="D2189" s="2">
        <v>43657</v>
      </c>
      <c r="E2189" s="3">
        <v>2000</v>
      </c>
      <c r="F2189" t="s">
        <v>239</v>
      </c>
      <c r="G2189" s="73" t="s">
        <v>240</v>
      </c>
      <c r="H2189" t="s">
        <v>241</v>
      </c>
      <c r="I2189" s="6" t="s">
        <v>1020</v>
      </c>
      <c r="J2189" s="61" t="s">
        <v>22</v>
      </c>
      <c r="L2189" s="5" t="str">
        <f t="shared" ref="L2189:L2202" si="678">IF(ISBLANK(A2189),"",TEXT(A2189,"00000"))</f>
        <v>02188</v>
      </c>
      <c r="M2189" s="47" t="str">
        <f t="shared" ref="M2189:M2202" si="679">IF(ISBLANK(D2189),"",TEXT(D2189,"dd")&amp;" de "&amp;TEXT(D2189,"mmmm")&amp;" de "&amp;TEXT(YEAR(D2189),"0"))</f>
        <v>11 de julio de 2019</v>
      </c>
      <c r="N2189" s="323">
        <f t="shared" ref="N2189:N2202" si="680">DAY(D2189)</f>
        <v>11</v>
      </c>
      <c r="O2189" s="25">
        <f t="shared" ref="O2189:O2202" si="681">DATE(YEAR(D2189),MONTH(D2189),1)</f>
        <v>43647</v>
      </c>
      <c r="P2189" s="5" t="str">
        <f t="shared" ref="P2189" si="682">TEXT(E2189,"#.##0,00")</f>
        <v>2.000,00</v>
      </c>
      <c r="Q2189" s="4" t="str">
        <f t="shared" ref="Q2189" si="683">CONVERTIRNUM(E2189)</f>
        <v>Dos Mil Bolívares con 00/100</v>
      </c>
    </row>
    <row r="2190" spans="1:17" x14ac:dyDescent="0.25">
      <c r="A2190" s="1">
        <f t="shared" si="677"/>
        <v>2189</v>
      </c>
      <c r="C2190" s="8" t="s">
        <v>17</v>
      </c>
      <c r="D2190" s="2">
        <v>43657</v>
      </c>
      <c r="E2190" s="3">
        <v>18000</v>
      </c>
      <c r="F2190" t="s">
        <v>162</v>
      </c>
      <c r="G2190" t="s">
        <v>163</v>
      </c>
      <c r="H2190" t="s">
        <v>164</v>
      </c>
      <c r="I2190" s="6" t="s">
        <v>1024</v>
      </c>
      <c r="J2190" s="61" t="s">
        <v>22</v>
      </c>
      <c r="L2190" s="5" t="str">
        <f t="shared" si="678"/>
        <v>02189</v>
      </c>
      <c r="M2190" s="47" t="str">
        <f t="shared" si="679"/>
        <v>11 de julio de 2019</v>
      </c>
      <c r="N2190" s="323">
        <f t="shared" si="680"/>
        <v>11</v>
      </c>
      <c r="O2190" s="25">
        <f t="shared" si="681"/>
        <v>43647</v>
      </c>
      <c r="P2190" s="5" t="str">
        <f>TEXT(E2190,"#.##0,00")</f>
        <v>18.000,00</v>
      </c>
      <c r="Q2190" s="4" t="str">
        <f>CONVERTIRNUM(E2190)</f>
        <v>Dieciocho Mil Bolívares con 00/100</v>
      </c>
    </row>
    <row r="2191" spans="1:17" x14ac:dyDescent="0.25">
      <c r="A2191" s="1">
        <f t="shared" si="677"/>
        <v>2190</v>
      </c>
      <c r="C2191" s="8" t="s">
        <v>17</v>
      </c>
      <c r="D2191" s="2">
        <v>43660</v>
      </c>
      <c r="E2191" s="3">
        <v>10000</v>
      </c>
      <c r="F2191" t="s">
        <v>107</v>
      </c>
      <c r="G2191" t="s">
        <v>108</v>
      </c>
      <c r="H2191" t="s">
        <v>109</v>
      </c>
      <c r="I2191" s="6" t="s">
        <v>1007</v>
      </c>
      <c r="J2191" s="61" t="s">
        <v>22</v>
      </c>
      <c r="L2191" s="5" t="str">
        <f t="shared" si="678"/>
        <v>02190</v>
      </c>
      <c r="M2191" s="47" t="str">
        <f t="shared" si="679"/>
        <v>14 de julio de 2019</v>
      </c>
      <c r="N2191" s="323">
        <f t="shared" si="680"/>
        <v>14</v>
      </c>
      <c r="O2191" s="25">
        <f t="shared" si="681"/>
        <v>43647</v>
      </c>
      <c r="P2191" s="5" t="str">
        <f t="shared" ref="P2191:P2202" si="684">TEXT(E2191,"#.##0,00")</f>
        <v>10.000,00</v>
      </c>
      <c r="Q2191" s="4" t="str">
        <f t="shared" ref="Q2191:Q2202" si="685">CONVERTIRNUM(E2191)</f>
        <v>Diez Mil Bolívares con 00/100</v>
      </c>
    </row>
    <row r="2192" spans="1:17" x14ac:dyDescent="0.25">
      <c r="A2192" s="1">
        <f t="shared" si="677"/>
        <v>2191</v>
      </c>
      <c r="C2192" s="8" t="s">
        <v>17</v>
      </c>
      <c r="D2192" s="2">
        <v>43660</v>
      </c>
      <c r="E2192" s="3">
        <v>10000</v>
      </c>
      <c r="F2192" t="s">
        <v>312</v>
      </c>
      <c r="G2192" t="s">
        <v>313</v>
      </c>
      <c r="H2192" t="s">
        <v>314</v>
      </c>
      <c r="I2192" s="6" t="s">
        <v>1007</v>
      </c>
      <c r="J2192" s="61" t="s">
        <v>22</v>
      </c>
      <c r="L2192" s="5" t="str">
        <f t="shared" si="678"/>
        <v>02191</v>
      </c>
      <c r="M2192" s="47" t="str">
        <f t="shared" si="679"/>
        <v>14 de julio de 2019</v>
      </c>
      <c r="N2192" s="323">
        <f t="shared" si="680"/>
        <v>14</v>
      </c>
      <c r="O2192" s="25">
        <f t="shared" si="681"/>
        <v>43647</v>
      </c>
      <c r="P2192" s="5" t="str">
        <f t="shared" si="684"/>
        <v>10.000,00</v>
      </c>
      <c r="Q2192" s="4" t="str">
        <f t="shared" si="685"/>
        <v>Diez Mil Bolívares con 00/100</v>
      </c>
    </row>
    <row r="2193" spans="1:17" x14ac:dyDescent="0.25">
      <c r="A2193" s="1">
        <f t="shared" si="677"/>
        <v>2192</v>
      </c>
      <c r="C2193" s="8" t="s">
        <v>17</v>
      </c>
      <c r="D2193" s="2">
        <v>43661</v>
      </c>
      <c r="E2193" s="3">
        <v>10000</v>
      </c>
      <c r="F2193" t="s">
        <v>103</v>
      </c>
      <c r="G2193" t="s">
        <v>104</v>
      </c>
      <c r="H2193" t="s">
        <v>105</v>
      </c>
      <c r="I2193" s="6" t="s">
        <v>1007</v>
      </c>
      <c r="J2193" s="61" t="s">
        <v>22</v>
      </c>
      <c r="L2193" s="5" t="str">
        <f t="shared" si="678"/>
        <v>02192</v>
      </c>
      <c r="M2193" s="47" t="str">
        <f t="shared" si="679"/>
        <v>15 de julio de 2019</v>
      </c>
      <c r="N2193" s="323">
        <f t="shared" si="680"/>
        <v>15</v>
      </c>
      <c r="O2193" s="25">
        <f t="shared" si="681"/>
        <v>43647</v>
      </c>
      <c r="P2193" s="5" t="str">
        <f t="shared" si="684"/>
        <v>10.000,00</v>
      </c>
      <c r="Q2193" s="4" t="str">
        <f t="shared" si="685"/>
        <v>Diez Mil Bolívares con 00/100</v>
      </c>
    </row>
    <row r="2194" spans="1:17" x14ac:dyDescent="0.25">
      <c r="A2194" s="1">
        <f t="shared" si="677"/>
        <v>2193</v>
      </c>
      <c r="C2194" s="8" t="s">
        <v>17</v>
      </c>
      <c r="D2194" s="2">
        <v>43661</v>
      </c>
      <c r="E2194" s="3">
        <v>10000</v>
      </c>
      <c r="F2194" t="s">
        <v>122</v>
      </c>
      <c r="G2194" t="s">
        <v>123</v>
      </c>
      <c r="H2194" t="s">
        <v>124</v>
      </c>
      <c r="I2194" s="6" t="s">
        <v>1007</v>
      </c>
      <c r="J2194" s="61" t="s">
        <v>22</v>
      </c>
      <c r="L2194" s="5" t="str">
        <f t="shared" si="678"/>
        <v>02193</v>
      </c>
      <c r="M2194" s="47" t="str">
        <f t="shared" si="679"/>
        <v>15 de julio de 2019</v>
      </c>
      <c r="N2194" s="323">
        <f t="shared" si="680"/>
        <v>15</v>
      </c>
      <c r="O2194" s="25">
        <f t="shared" si="681"/>
        <v>43647</v>
      </c>
      <c r="P2194" s="5" t="str">
        <f t="shared" si="684"/>
        <v>10.000,00</v>
      </c>
      <c r="Q2194" s="4" t="str">
        <f t="shared" si="685"/>
        <v>Diez Mil Bolívares con 00/100</v>
      </c>
    </row>
    <row r="2195" spans="1:17" x14ac:dyDescent="0.25">
      <c r="A2195" s="1">
        <f t="shared" si="677"/>
        <v>2194</v>
      </c>
      <c r="C2195" s="8" t="s">
        <v>17</v>
      </c>
      <c r="D2195" s="2">
        <v>43661</v>
      </c>
      <c r="E2195" s="3">
        <v>8000</v>
      </c>
      <c r="F2195" t="s">
        <v>32</v>
      </c>
      <c r="G2195" t="s">
        <v>33</v>
      </c>
      <c r="H2195" t="s">
        <v>34</v>
      </c>
      <c r="I2195" s="6" t="s">
        <v>986</v>
      </c>
      <c r="J2195" s="61" t="s">
        <v>22</v>
      </c>
      <c r="L2195" s="5" t="str">
        <f t="shared" si="678"/>
        <v>02194</v>
      </c>
      <c r="M2195" s="47" t="str">
        <f t="shared" si="679"/>
        <v>15 de julio de 2019</v>
      </c>
      <c r="N2195" s="323">
        <f t="shared" si="680"/>
        <v>15</v>
      </c>
      <c r="O2195" s="25">
        <f t="shared" si="681"/>
        <v>43647</v>
      </c>
      <c r="P2195" s="5" t="str">
        <f t="shared" si="684"/>
        <v>8.000,00</v>
      </c>
      <c r="Q2195" s="4" t="str">
        <f t="shared" si="685"/>
        <v>Ocho Mil Bolívares con 00/100</v>
      </c>
    </row>
    <row r="2196" spans="1:17" x14ac:dyDescent="0.25">
      <c r="A2196" s="1">
        <f t="shared" si="677"/>
        <v>2195</v>
      </c>
      <c r="C2196" s="8" t="s">
        <v>17</v>
      </c>
      <c r="D2196" s="2">
        <v>43663</v>
      </c>
      <c r="E2196" s="3">
        <v>10000</v>
      </c>
      <c r="F2196" t="s">
        <v>185</v>
      </c>
      <c r="G2196" t="s">
        <v>186</v>
      </c>
      <c r="H2196" t="s">
        <v>187</v>
      </c>
      <c r="I2196" s="6" t="s">
        <v>1007</v>
      </c>
      <c r="J2196" s="61" t="s">
        <v>22</v>
      </c>
      <c r="L2196" s="5" t="str">
        <f t="shared" si="678"/>
        <v>02195</v>
      </c>
      <c r="M2196" s="47" t="str">
        <f t="shared" si="679"/>
        <v>17 de julio de 2019</v>
      </c>
      <c r="N2196" s="323">
        <f t="shared" si="680"/>
        <v>17</v>
      </c>
      <c r="O2196" s="25">
        <f t="shared" si="681"/>
        <v>43647</v>
      </c>
      <c r="P2196" s="5" t="str">
        <f t="shared" si="684"/>
        <v>10.000,00</v>
      </c>
      <c r="Q2196" s="4" t="str">
        <f t="shared" si="685"/>
        <v>Diez Mil Bolívares con 00/100</v>
      </c>
    </row>
    <row r="2197" spans="1:17" x14ac:dyDescent="0.25">
      <c r="A2197" s="1">
        <f t="shared" si="677"/>
        <v>2196</v>
      </c>
      <c r="C2197" s="8" t="s">
        <v>17</v>
      </c>
      <c r="D2197" s="2">
        <v>43664</v>
      </c>
      <c r="E2197" s="3">
        <v>10000</v>
      </c>
      <c r="F2197" t="s">
        <v>342</v>
      </c>
      <c r="G2197" t="s">
        <v>343</v>
      </c>
      <c r="H2197" t="s">
        <v>344</v>
      </c>
      <c r="I2197" s="6" t="s">
        <v>1007</v>
      </c>
      <c r="J2197" s="61" t="s">
        <v>22</v>
      </c>
      <c r="L2197" s="5" t="str">
        <f t="shared" si="678"/>
        <v>02196</v>
      </c>
      <c r="M2197" s="47" t="str">
        <f t="shared" si="679"/>
        <v>18 de julio de 2019</v>
      </c>
      <c r="N2197" s="323">
        <f t="shared" si="680"/>
        <v>18</v>
      </c>
      <c r="O2197" s="25">
        <f t="shared" si="681"/>
        <v>43647</v>
      </c>
      <c r="P2197" s="5" t="str">
        <f t="shared" si="684"/>
        <v>10.000,00</v>
      </c>
      <c r="Q2197" s="4" t="str">
        <f t="shared" si="685"/>
        <v>Diez Mil Bolívares con 00/100</v>
      </c>
    </row>
    <row r="2198" spans="1:17" x14ac:dyDescent="0.25">
      <c r="A2198" s="1">
        <f t="shared" si="677"/>
        <v>2197</v>
      </c>
      <c r="C2198" s="8" t="s">
        <v>17</v>
      </c>
      <c r="D2198" s="2">
        <v>43664</v>
      </c>
      <c r="E2198" s="3">
        <v>10000</v>
      </c>
      <c r="F2198" t="s">
        <v>633</v>
      </c>
      <c r="G2198" t="s">
        <v>634</v>
      </c>
      <c r="H2198" t="s">
        <v>635</v>
      </c>
      <c r="I2198" s="6" t="s">
        <v>1007</v>
      </c>
      <c r="J2198" s="61" t="s">
        <v>22</v>
      </c>
      <c r="L2198" s="5" t="str">
        <f t="shared" si="678"/>
        <v>02197</v>
      </c>
      <c r="M2198" s="47" t="str">
        <f t="shared" si="679"/>
        <v>18 de julio de 2019</v>
      </c>
      <c r="N2198" s="323">
        <f t="shared" si="680"/>
        <v>18</v>
      </c>
      <c r="O2198" s="25">
        <f t="shared" si="681"/>
        <v>43647</v>
      </c>
      <c r="P2198" s="5" t="str">
        <f t="shared" si="684"/>
        <v>10.000,00</v>
      </c>
      <c r="Q2198" s="4" t="str">
        <f t="shared" si="685"/>
        <v>Diez Mil Bolívares con 00/100</v>
      </c>
    </row>
    <row r="2199" spans="1:17" x14ac:dyDescent="0.25">
      <c r="A2199" s="1">
        <f t="shared" si="677"/>
        <v>2198</v>
      </c>
      <c r="C2199" s="8" t="s">
        <v>17</v>
      </c>
      <c r="D2199" s="2">
        <v>43664</v>
      </c>
      <c r="E2199" s="3">
        <v>10000</v>
      </c>
      <c r="F2199" t="s">
        <v>181</v>
      </c>
      <c r="G2199" t="s">
        <v>182</v>
      </c>
      <c r="H2199" t="s">
        <v>183</v>
      </c>
      <c r="I2199" s="6" t="s">
        <v>1007</v>
      </c>
      <c r="J2199" s="61" t="s">
        <v>22</v>
      </c>
      <c r="L2199" s="5" t="str">
        <f t="shared" si="678"/>
        <v>02198</v>
      </c>
      <c r="M2199" s="47" t="str">
        <f t="shared" si="679"/>
        <v>18 de julio de 2019</v>
      </c>
      <c r="N2199" s="323">
        <f t="shared" si="680"/>
        <v>18</v>
      </c>
      <c r="O2199" s="25">
        <f t="shared" si="681"/>
        <v>43647</v>
      </c>
      <c r="P2199" s="5" t="str">
        <f t="shared" si="684"/>
        <v>10.000,00</v>
      </c>
      <c r="Q2199" s="4" t="str">
        <f t="shared" si="685"/>
        <v>Diez Mil Bolívares con 00/100</v>
      </c>
    </row>
    <row r="2200" spans="1:17" x14ac:dyDescent="0.25">
      <c r="A2200" s="1">
        <f t="shared" si="677"/>
        <v>2199</v>
      </c>
      <c r="C2200" s="8" t="s">
        <v>17</v>
      </c>
      <c r="D2200" s="2">
        <v>43664</v>
      </c>
      <c r="E2200" s="3">
        <v>20000</v>
      </c>
      <c r="F2200" t="s">
        <v>998</v>
      </c>
      <c r="G2200" t="s">
        <v>999</v>
      </c>
      <c r="H2200" t="s">
        <v>1000</v>
      </c>
      <c r="I2200" s="6" t="s">
        <v>1025</v>
      </c>
      <c r="J2200" s="61" t="s">
        <v>22</v>
      </c>
      <c r="L2200" s="5" t="str">
        <f t="shared" si="678"/>
        <v>02199</v>
      </c>
      <c r="M2200" s="47" t="str">
        <f t="shared" si="679"/>
        <v>18 de julio de 2019</v>
      </c>
      <c r="N2200" s="323">
        <f t="shared" si="680"/>
        <v>18</v>
      </c>
      <c r="O2200" s="25">
        <f t="shared" si="681"/>
        <v>43647</v>
      </c>
      <c r="P2200" s="5" t="str">
        <f t="shared" si="684"/>
        <v>20.000,00</v>
      </c>
      <c r="Q2200" s="4" t="str">
        <f t="shared" si="685"/>
        <v>Veinte Mil Bolívares con 00/100</v>
      </c>
    </row>
    <row r="2201" spans="1:17" x14ac:dyDescent="0.25">
      <c r="A2201" s="1">
        <f t="shared" si="677"/>
        <v>2200</v>
      </c>
      <c r="C2201" s="85" t="s">
        <v>17</v>
      </c>
      <c r="D2201" s="2">
        <v>43666</v>
      </c>
      <c r="E2201" s="3">
        <v>10000</v>
      </c>
      <c r="F2201" t="s">
        <v>40</v>
      </c>
      <c r="G2201" s="18" t="s">
        <v>58</v>
      </c>
      <c r="H2201" t="s">
        <v>42</v>
      </c>
      <c r="I2201" s="6" t="s">
        <v>1007</v>
      </c>
      <c r="J2201" s="61" t="s">
        <v>22</v>
      </c>
      <c r="L2201" s="5" t="str">
        <f t="shared" si="678"/>
        <v>02200</v>
      </c>
      <c r="M2201" s="47" t="str">
        <f t="shared" si="679"/>
        <v>20 de julio de 2019</v>
      </c>
      <c r="N2201" s="323">
        <f t="shared" si="680"/>
        <v>20</v>
      </c>
      <c r="O2201" s="25">
        <f t="shared" si="681"/>
        <v>43647</v>
      </c>
      <c r="P2201" s="5" t="str">
        <f t="shared" si="684"/>
        <v>10.000,00</v>
      </c>
      <c r="Q2201" s="4" t="str">
        <f t="shared" si="685"/>
        <v>Diez Mil Bolívares con 00/100</v>
      </c>
    </row>
    <row r="2202" spans="1:17" x14ac:dyDescent="0.25">
      <c r="A2202" s="1">
        <f t="shared" si="677"/>
        <v>2201</v>
      </c>
      <c r="C2202" s="8" t="s">
        <v>17</v>
      </c>
      <c r="D2202" s="2">
        <v>43667</v>
      </c>
      <c r="E2202" s="3">
        <v>8000</v>
      </c>
      <c r="F2202" t="s">
        <v>296</v>
      </c>
      <c r="G2202" t="s">
        <v>297</v>
      </c>
      <c r="H2202" t="s">
        <v>298</v>
      </c>
      <c r="I2202" s="6" t="s">
        <v>1012</v>
      </c>
      <c r="J2202" s="61" t="s">
        <v>22</v>
      </c>
      <c r="L2202" s="5" t="str">
        <f t="shared" si="678"/>
        <v>02201</v>
      </c>
      <c r="M2202" s="47" t="str">
        <f t="shared" si="679"/>
        <v>21 de julio de 2019</v>
      </c>
      <c r="N2202" s="323">
        <f t="shared" si="680"/>
        <v>21</v>
      </c>
      <c r="O2202" s="25">
        <f t="shared" si="681"/>
        <v>43647</v>
      </c>
      <c r="P2202" s="5" t="str">
        <f t="shared" si="684"/>
        <v>8.000,00</v>
      </c>
      <c r="Q2202" s="4" t="str">
        <f t="shared" si="685"/>
        <v>Ocho Mil Bolívares con 00/100</v>
      </c>
    </row>
    <row r="2203" spans="1:17" x14ac:dyDescent="0.25">
      <c r="A2203" s="1">
        <f t="shared" si="677"/>
        <v>2202</v>
      </c>
      <c r="C2203" s="8" t="s">
        <v>17</v>
      </c>
      <c r="D2203" s="2">
        <v>43668</v>
      </c>
      <c r="E2203" s="3">
        <v>2000</v>
      </c>
      <c r="F2203" t="s">
        <v>296</v>
      </c>
      <c r="G2203" t="s">
        <v>297</v>
      </c>
      <c r="H2203" t="s">
        <v>298</v>
      </c>
      <c r="I2203" s="6" t="s">
        <v>1020</v>
      </c>
      <c r="J2203" s="61" t="s">
        <v>22</v>
      </c>
      <c r="L2203" s="5" t="str">
        <f t="shared" ref="L2203:L2209" si="686">IF(ISBLANK(A2203),"",TEXT(A2203,"00000"))</f>
        <v>02202</v>
      </c>
      <c r="M2203" s="47" t="str">
        <f t="shared" ref="M2203:M2209" si="687">IF(ISBLANK(D2203),"",TEXT(D2203,"dd")&amp;" de "&amp;TEXT(D2203,"mmmm")&amp;" de "&amp;TEXT(YEAR(D2203),"0"))</f>
        <v>22 de julio de 2019</v>
      </c>
      <c r="N2203" s="323">
        <f t="shared" ref="N2203:N2244" si="688">DAY(D2203)</f>
        <v>22</v>
      </c>
      <c r="O2203" s="25">
        <f t="shared" ref="O2203:O2209" si="689">DATE(YEAR(D2203),MONTH(D2203),1)</f>
        <v>43647</v>
      </c>
      <c r="P2203" s="5" t="str">
        <f t="shared" ref="P2203:P2244" si="690">TEXT(E2203,"#.##0,00")</f>
        <v>2.000,00</v>
      </c>
      <c r="Q2203" s="4" t="str">
        <f t="shared" ref="Q2203:Q2234" si="691">CONVERTIRNUM(E2203)</f>
        <v>Dos Mil Bolívares con 00/100</v>
      </c>
    </row>
    <row r="2204" spans="1:17" x14ac:dyDescent="0.25">
      <c r="A2204" s="1">
        <f t="shared" si="677"/>
        <v>2203</v>
      </c>
      <c r="C2204" s="85" t="s">
        <v>17</v>
      </c>
      <c r="D2204" s="2">
        <v>43669</v>
      </c>
      <c r="E2204" s="3">
        <v>10000</v>
      </c>
      <c r="F2204" t="s">
        <v>319</v>
      </c>
      <c r="G2204" s="18" t="s">
        <v>58</v>
      </c>
      <c r="H2204" t="s">
        <v>320</v>
      </c>
      <c r="I2204" s="6" t="s">
        <v>1007</v>
      </c>
      <c r="J2204" s="61" t="s">
        <v>22</v>
      </c>
      <c r="L2204" s="5" t="str">
        <f t="shared" si="686"/>
        <v>02203</v>
      </c>
      <c r="M2204" s="47" t="str">
        <f t="shared" si="687"/>
        <v>23 de julio de 2019</v>
      </c>
      <c r="N2204" s="323">
        <f t="shared" si="688"/>
        <v>23</v>
      </c>
      <c r="O2204" s="25">
        <f t="shared" si="689"/>
        <v>43647</v>
      </c>
      <c r="P2204" s="5" t="str">
        <f t="shared" si="690"/>
        <v>10.000,00</v>
      </c>
      <c r="Q2204" s="4" t="str">
        <f t="shared" si="691"/>
        <v>Diez Mil Bolívares con 00/100</v>
      </c>
    </row>
    <row r="2205" spans="1:17" x14ac:dyDescent="0.25">
      <c r="A2205" s="1">
        <f t="shared" si="677"/>
        <v>2204</v>
      </c>
      <c r="C2205" s="8" t="s">
        <v>17</v>
      </c>
      <c r="D2205" s="2">
        <v>43669</v>
      </c>
      <c r="E2205" s="3">
        <v>10000</v>
      </c>
      <c r="F2205" t="s">
        <v>1004</v>
      </c>
      <c r="G2205" t="s">
        <v>1005</v>
      </c>
      <c r="H2205" t="s">
        <v>539</v>
      </c>
      <c r="I2205" s="6" t="s">
        <v>1007</v>
      </c>
      <c r="J2205" s="61" t="s">
        <v>22</v>
      </c>
      <c r="L2205" s="5" t="str">
        <f t="shared" si="686"/>
        <v>02204</v>
      </c>
      <c r="M2205" s="47" t="str">
        <f t="shared" si="687"/>
        <v>23 de julio de 2019</v>
      </c>
      <c r="N2205" s="323">
        <f t="shared" si="688"/>
        <v>23</v>
      </c>
      <c r="O2205" s="25">
        <f t="shared" si="689"/>
        <v>43647</v>
      </c>
      <c r="P2205" s="5" t="str">
        <f t="shared" si="690"/>
        <v>10.000,00</v>
      </c>
      <c r="Q2205" s="4" t="str">
        <f t="shared" si="691"/>
        <v>Diez Mil Bolívares con 00/100</v>
      </c>
    </row>
    <row r="2206" spans="1:17" x14ac:dyDescent="0.25">
      <c r="A2206" s="1">
        <f t="shared" si="677"/>
        <v>2205</v>
      </c>
      <c r="C2206" s="8" t="s">
        <v>17</v>
      </c>
      <c r="D2206" s="2">
        <v>43670</v>
      </c>
      <c r="E2206" s="3">
        <v>10000</v>
      </c>
      <c r="F2206" t="s">
        <v>126</v>
      </c>
      <c r="G2206" t="s">
        <v>127</v>
      </c>
      <c r="H2206" t="s">
        <v>128</v>
      </c>
      <c r="I2206" s="6" t="s">
        <v>1007</v>
      </c>
      <c r="J2206" s="61" t="s">
        <v>22</v>
      </c>
      <c r="L2206" s="5" t="str">
        <f t="shared" si="686"/>
        <v>02205</v>
      </c>
      <c r="M2206" s="47" t="str">
        <f t="shared" si="687"/>
        <v>24 de julio de 2019</v>
      </c>
      <c r="N2206" s="323">
        <f t="shared" si="688"/>
        <v>24</v>
      </c>
      <c r="O2206" s="25">
        <f t="shared" si="689"/>
        <v>43647</v>
      </c>
      <c r="P2206" s="5" t="str">
        <f t="shared" si="690"/>
        <v>10.000,00</v>
      </c>
      <c r="Q2206" s="4" t="str">
        <f t="shared" si="691"/>
        <v>Diez Mil Bolívares con 00/100</v>
      </c>
    </row>
    <row r="2207" spans="1:17" x14ac:dyDescent="0.25">
      <c r="A2207" s="1">
        <f t="shared" si="677"/>
        <v>2206</v>
      </c>
      <c r="C2207" s="85" t="s">
        <v>17</v>
      </c>
      <c r="D2207" s="2">
        <v>43670</v>
      </c>
      <c r="E2207" s="3">
        <f>2*14500</f>
        <v>29000</v>
      </c>
      <c r="F2207" s="23" t="s">
        <v>422</v>
      </c>
      <c r="G2207" s="18" t="s">
        <v>58</v>
      </c>
      <c r="H2207" t="s">
        <v>423</v>
      </c>
      <c r="I2207" s="6" t="s">
        <v>1025</v>
      </c>
      <c r="J2207" s="61" t="s">
        <v>22</v>
      </c>
      <c r="L2207" s="5" t="str">
        <f t="shared" si="686"/>
        <v>02206</v>
      </c>
      <c r="M2207" s="47" t="str">
        <f t="shared" si="687"/>
        <v>24 de julio de 2019</v>
      </c>
      <c r="N2207" s="323">
        <f t="shared" si="688"/>
        <v>24</v>
      </c>
      <c r="O2207" s="25">
        <f t="shared" si="689"/>
        <v>43647</v>
      </c>
      <c r="P2207" s="5" t="str">
        <f t="shared" si="690"/>
        <v>29.000,00</v>
      </c>
      <c r="Q2207" s="4" t="str">
        <f t="shared" si="691"/>
        <v>Veintinueve Mil Bolívares con 00/100</v>
      </c>
    </row>
    <row r="2208" spans="1:17" x14ac:dyDescent="0.25">
      <c r="A2208" s="1">
        <f t="shared" si="677"/>
        <v>2207</v>
      </c>
      <c r="C2208" s="8" t="s">
        <v>17</v>
      </c>
      <c r="D2208" s="2">
        <v>43671</v>
      </c>
      <c r="E2208" s="3">
        <v>8000</v>
      </c>
      <c r="F2208" t="s">
        <v>594</v>
      </c>
      <c r="G2208" t="s">
        <v>595</v>
      </c>
      <c r="H2208" t="s">
        <v>596</v>
      </c>
      <c r="I2208" s="161" t="s">
        <v>986</v>
      </c>
      <c r="J2208" s="61" t="s">
        <v>22</v>
      </c>
      <c r="L2208" s="5" t="str">
        <f t="shared" si="686"/>
        <v>02207</v>
      </c>
      <c r="M2208" s="47" t="str">
        <f t="shared" si="687"/>
        <v>25 de julio de 2019</v>
      </c>
      <c r="N2208" s="323">
        <f t="shared" si="688"/>
        <v>25</v>
      </c>
      <c r="O2208" s="25">
        <f t="shared" si="689"/>
        <v>43647</v>
      </c>
      <c r="P2208" s="5" t="str">
        <f t="shared" si="690"/>
        <v>8.000,00</v>
      </c>
      <c r="Q2208" s="4" t="str">
        <f t="shared" si="691"/>
        <v>Ocho Mil Bolívares con 00/100</v>
      </c>
    </row>
    <row r="2209" spans="1:17" x14ac:dyDescent="0.25">
      <c r="A2209" s="1">
        <f t="shared" si="677"/>
        <v>2208</v>
      </c>
      <c r="C2209" s="85" t="s">
        <v>17</v>
      </c>
      <c r="D2209" s="2">
        <v>43671</v>
      </c>
      <c r="E2209" s="3">
        <v>10000</v>
      </c>
      <c r="F2209" t="s">
        <v>259</v>
      </c>
      <c r="G2209" s="18" t="s">
        <v>58</v>
      </c>
      <c r="H2209" t="s">
        <v>261</v>
      </c>
      <c r="I2209" s="6" t="s">
        <v>1007</v>
      </c>
      <c r="J2209" s="61" t="s">
        <v>22</v>
      </c>
      <c r="L2209" s="5" t="str">
        <f t="shared" si="686"/>
        <v>02208</v>
      </c>
      <c r="M2209" s="47" t="str">
        <f t="shared" si="687"/>
        <v>25 de julio de 2019</v>
      </c>
      <c r="N2209" s="323">
        <f t="shared" si="688"/>
        <v>25</v>
      </c>
      <c r="O2209" s="25">
        <f t="shared" si="689"/>
        <v>43647</v>
      </c>
      <c r="P2209" s="5" t="str">
        <f t="shared" si="690"/>
        <v>10.000,00</v>
      </c>
      <c r="Q2209" s="4" t="str">
        <f t="shared" si="691"/>
        <v>Diez Mil Bolívares con 00/100</v>
      </c>
    </row>
    <row r="2210" spans="1:17" x14ac:dyDescent="0.25">
      <c r="A2210" s="1">
        <f t="shared" si="677"/>
        <v>2209</v>
      </c>
      <c r="C2210" s="8" t="s">
        <v>17</v>
      </c>
      <c r="D2210" s="2">
        <v>43671</v>
      </c>
      <c r="E2210" s="3">
        <v>10000</v>
      </c>
      <c r="F2210" t="s">
        <v>243</v>
      </c>
      <c r="G2210" t="s">
        <v>244</v>
      </c>
      <c r="H2210" t="s">
        <v>245</v>
      </c>
      <c r="I2210" s="6" t="s">
        <v>1007</v>
      </c>
      <c r="J2210" s="61" t="s">
        <v>22</v>
      </c>
      <c r="L2210" s="5" t="str">
        <f>IF(ISBLANK(A2210),"",TEXT(A2210,"00000"))</f>
        <v>02209</v>
      </c>
      <c r="M2210" s="47" t="str">
        <f>IF(ISBLANK(D2210),"",TEXT(D2210,"dd")&amp;" de "&amp;TEXT(D2210,"mmmm")&amp;" de "&amp;TEXT(YEAR(D2210),"0"))</f>
        <v>25 de julio de 2019</v>
      </c>
      <c r="N2210" s="323">
        <f t="shared" si="688"/>
        <v>25</v>
      </c>
      <c r="O2210" s="25">
        <f>DATE(YEAR(D2210),MONTH(D2210),1)</f>
        <v>43647</v>
      </c>
      <c r="P2210" s="5" t="str">
        <f t="shared" si="690"/>
        <v>10.000,00</v>
      </c>
      <c r="Q2210" s="4" t="str">
        <f t="shared" si="691"/>
        <v>Diez Mil Bolívares con 00/100</v>
      </c>
    </row>
    <row r="2211" spans="1:17" x14ac:dyDescent="0.25">
      <c r="A2211" s="1">
        <f t="shared" si="677"/>
        <v>2210</v>
      </c>
      <c r="C2211" s="85" t="s">
        <v>17</v>
      </c>
      <c r="D2211" s="2">
        <v>43671</v>
      </c>
      <c r="E2211" s="162">
        <v>10000</v>
      </c>
      <c r="F2211" t="s">
        <v>492</v>
      </c>
      <c r="G2211" s="18" t="s">
        <v>58</v>
      </c>
      <c r="H2211" t="s">
        <v>493</v>
      </c>
      <c r="I2211" s="6" t="s">
        <v>1007</v>
      </c>
      <c r="J2211" s="61" t="s">
        <v>22</v>
      </c>
      <c r="L2211" s="5" t="str">
        <f t="shared" ref="L2211:L2215" si="692">IF(ISBLANK(A2211),"",TEXT(A2211,"00000"))</f>
        <v>02210</v>
      </c>
      <c r="M2211" s="47" t="str">
        <f t="shared" ref="M2211:M2215" si="693">IF(ISBLANK(D2211),"",TEXT(D2211,"dd")&amp;" de "&amp;TEXT(D2211,"mmmm")&amp;" de "&amp;TEXT(YEAR(D2211),"0"))</f>
        <v>25 de julio de 2019</v>
      </c>
      <c r="N2211" s="323">
        <f t="shared" si="688"/>
        <v>25</v>
      </c>
      <c r="O2211" s="25">
        <f t="shared" ref="O2211:O2215" si="694">DATE(YEAR(D2211),MONTH(D2211),1)</f>
        <v>43647</v>
      </c>
      <c r="P2211" s="5" t="str">
        <f t="shared" si="690"/>
        <v>10.000,00</v>
      </c>
      <c r="Q2211" s="4" t="str">
        <f t="shared" si="691"/>
        <v>Diez Mil Bolívares con 00/100</v>
      </c>
    </row>
    <row r="2212" spans="1:17" x14ac:dyDescent="0.25">
      <c r="A2212" s="1">
        <f t="shared" si="677"/>
        <v>2211</v>
      </c>
      <c r="C2212" s="8" t="s">
        <v>17</v>
      </c>
      <c r="D2212" s="2">
        <v>43671</v>
      </c>
      <c r="E2212" s="3">
        <v>20000</v>
      </c>
      <c r="F2212" t="s">
        <v>80</v>
      </c>
      <c r="G2212" t="s">
        <v>81</v>
      </c>
      <c r="H2212" t="s">
        <v>82</v>
      </c>
      <c r="I2212" s="6" t="s">
        <v>1007</v>
      </c>
      <c r="J2212" s="61" t="s">
        <v>22</v>
      </c>
      <c r="L2212" s="5" t="str">
        <f t="shared" si="692"/>
        <v>02211</v>
      </c>
      <c r="M2212" s="47" t="str">
        <f t="shared" si="693"/>
        <v>25 de julio de 2019</v>
      </c>
      <c r="N2212" s="323">
        <f t="shared" si="688"/>
        <v>25</v>
      </c>
      <c r="O2212" s="25">
        <f t="shared" si="694"/>
        <v>43647</v>
      </c>
      <c r="P2212" s="5" t="str">
        <f t="shared" si="690"/>
        <v>20.000,00</v>
      </c>
      <c r="Q2212" s="4" t="str">
        <f t="shared" si="691"/>
        <v>Veinte Mil Bolívares con 00/100</v>
      </c>
    </row>
    <row r="2213" spans="1:17" x14ac:dyDescent="0.25">
      <c r="A2213" s="1">
        <f t="shared" si="677"/>
        <v>2212</v>
      </c>
      <c r="C2213" s="8" t="s">
        <v>17</v>
      </c>
      <c r="D2213" s="2">
        <v>43671</v>
      </c>
      <c r="E2213" s="3">
        <v>10000</v>
      </c>
      <c r="F2213" t="s">
        <v>252</v>
      </c>
      <c r="G2213" s="475" t="s">
        <v>958</v>
      </c>
      <c r="H2213" t="s">
        <v>254</v>
      </c>
      <c r="I2213" s="6" t="s">
        <v>1026</v>
      </c>
      <c r="J2213" s="61" t="s">
        <v>22</v>
      </c>
      <c r="L2213" s="5" t="str">
        <f t="shared" si="692"/>
        <v>02212</v>
      </c>
      <c r="M2213" s="47" t="str">
        <f t="shared" si="693"/>
        <v>25 de julio de 2019</v>
      </c>
      <c r="N2213" s="323">
        <f t="shared" si="688"/>
        <v>25</v>
      </c>
      <c r="O2213" s="25">
        <f t="shared" si="694"/>
        <v>43647</v>
      </c>
      <c r="P2213" s="5" t="str">
        <f t="shared" si="690"/>
        <v>10.000,00</v>
      </c>
      <c r="Q2213" s="4" t="str">
        <f t="shared" si="691"/>
        <v>Diez Mil Bolívares con 00/100</v>
      </c>
    </row>
    <row r="2214" spans="1:17" x14ac:dyDescent="0.25">
      <c r="A2214" s="1">
        <f t="shared" si="677"/>
        <v>2213</v>
      </c>
      <c r="C2214" s="8" t="s">
        <v>17</v>
      </c>
      <c r="D2214" s="2">
        <v>43649</v>
      </c>
      <c r="E2214" s="3">
        <v>10000</v>
      </c>
      <c r="F2214" t="s">
        <v>713</v>
      </c>
      <c r="G2214" t="s">
        <v>714</v>
      </c>
      <c r="H2214" t="s">
        <v>154</v>
      </c>
      <c r="I2214" s="6" t="s">
        <v>1007</v>
      </c>
      <c r="J2214" s="61" t="s">
        <v>22</v>
      </c>
      <c r="L2214" s="5" t="str">
        <f t="shared" si="692"/>
        <v>02213</v>
      </c>
      <c r="M2214" s="47" t="str">
        <f t="shared" si="693"/>
        <v>03 de julio de 2019</v>
      </c>
      <c r="N2214" s="323">
        <f t="shared" si="688"/>
        <v>3</v>
      </c>
      <c r="O2214" s="25">
        <f t="shared" si="694"/>
        <v>43647</v>
      </c>
      <c r="P2214" s="5" t="str">
        <f t="shared" si="690"/>
        <v>10.000,00</v>
      </c>
      <c r="Q2214" s="4" t="str">
        <f t="shared" si="691"/>
        <v>Diez Mil Bolívares con 00/100</v>
      </c>
    </row>
    <row r="2215" spans="1:17" x14ac:dyDescent="0.25">
      <c r="A2215" s="1">
        <f t="shared" si="677"/>
        <v>2214</v>
      </c>
      <c r="C2215" s="8" t="s">
        <v>17</v>
      </c>
      <c r="D2215" s="2">
        <v>43672</v>
      </c>
      <c r="E2215" s="3">
        <v>10000</v>
      </c>
      <c r="F2215" t="s">
        <v>230</v>
      </c>
      <c r="G2215" t="s">
        <v>231</v>
      </c>
      <c r="H2215" t="s">
        <v>232</v>
      </c>
      <c r="I2215" s="6" t="s">
        <v>1007</v>
      </c>
      <c r="J2215" s="61" t="s">
        <v>22</v>
      </c>
      <c r="L2215" s="5" t="str">
        <f t="shared" si="692"/>
        <v>02214</v>
      </c>
      <c r="M2215" s="47" t="str">
        <f t="shared" si="693"/>
        <v>26 de julio de 2019</v>
      </c>
      <c r="N2215" s="323">
        <f t="shared" si="688"/>
        <v>26</v>
      </c>
      <c r="O2215" s="25">
        <f t="shared" si="694"/>
        <v>43647</v>
      </c>
      <c r="P2215" s="5" t="str">
        <f t="shared" si="690"/>
        <v>10.000,00</v>
      </c>
      <c r="Q2215" s="4" t="str">
        <f t="shared" si="691"/>
        <v>Diez Mil Bolívares con 00/100</v>
      </c>
    </row>
    <row r="2216" spans="1:17" x14ac:dyDescent="0.25">
      <c r="A2216" s="1">
        <f t="shared" si="677"/>
        <v>2215</v>
      </c>
      <c r="C2216" s="8" t="s">
        <v>17</v>
      </c>
      <c r="D2216" s="2">
        <v>43672</v>
      </c>
      <c r="E2216" s="3">
        <v>15000</v>
      </c>
      <c r="F2216" t="s">
        <v>44</v>
      </c>
      <c r="G2216" t="s">
        <v>45</v>
      </c>
      <c r="H2216" t="s">
        <v>46</v>
      </c>
      <c r="I2216" s="6" t="s">
        <v>1007</v>
      </c>
      <c r="J2216" s="61" t="s">
        <v>22</v>
      </c>
      <c r="L2216" s="5" t="str">
        <f>IF(ISBLANK(A2216),"",TEXT(A2216,"00000"))</f>
        <v>02215</v>
      </c>
      <c r="M2216" s="47" t="str">
        <f>IF(ISBLANK(D2216),"",TEXT(D2216,"dd")&amp;" de "&amp;TEXT(D2216,"mmmm")&amp;" de "&amp;TEXT(YEAR(D2216),"0"))</f>
        <v>26 de julio de 2019</v>
      </c>
      <c r="N2216" s="323">
        <f t="shared" si="688"/>
        <v>26</v>
      </c>
      <c r="O2216" s="25">
        <f>DATE(YEAR(D2216),MONTH(D2216),1)</f>
        <v>43647</v>
      </c>
      <c r="P2216" s="5" t="str">
        <f t="shared" si="690"/>
        <v>15.000,00</v>
      </c>
      <c r="Q2216" s="4" t="str">
        <f t="shared" si="691"/>
        <v>Quince Mil Bolívares con 00/100</v>
      </c>
    </row>
    <row r="2217" spans="1:17" x14ac:dyDescent="0.25">
      <c r="A2217" s="1">
        <f t="shared" si="677"/>
        <v>2216</v>
      </c>
      <c r="C2217" s="8" t="s">
        <v>17</v>
      </c>
      <c r="D2217" s="2">
        <v>43672</v>
      </c>
      <c r="E2217" s="3">
        <v>3500</v>
      </c>
      <c r="F2217" t="s">
        <v>291</v>
      </c>
      <c r="G2217" t="s">
        <v>292</v>
      </c>
      <c r="H2217" t="s">
        <v>293</v>
      </c>
      <c r="I2217" s="6" t="s">
        <v>1013</v>
      </c>
      <c r="J2217" s="61" t="s">
        <v>22</v>
      </c>
      <c r="L2217" s="5" t="str">
        <f t="shared" ref="L2217:L2245" si="695">IF(ISBLANK(A2217),"",TEXT(A2217,"00000"))</f>
        <v>02216</v>
      </c>
      <c r="M2217" s="47" t="str">
        <f t="shared" ref="M2217:M2245" si="696">IF(ISBLANK(D2217),"",TEXT(D2217,"dd")&amp;" de "&amp;TEXT(D2217,"mmmm")&amp;" de "&amp;TEXT(YEAR(D2217),"0"))</f>
        <v>26 de julio de 2019</v>
      </c>
      <c r="N2217" s="323">
        <f t="shared" si="688"/>
        <v>26</v>
      </c>
      <c r="O2217" s="25">
        <f t="shared" ref="O2217:O2245" si="697">DATE(YEAR(D2217),MONTH(D2217),1)</f>
        <v>43647</v>
      </c>
      <c r="P2217" s="5" t="str">
        <f t="shared" si="690"/>
        <v>3.500,00</v>
      </c>
      <c r="Q2217" s="4" t="str">
        <f t="shared" si="691"/>
        <v>Tres Mil Quinientos Bolívares con 00/100</v>
      </c>
    </row>
    <row r="2218" spans="1:17" x14ac:dyDescent="0.25">
      <c r="A2218" s="1">
        <f t="shared" si="677"/>
        <v>2217</v>
      </c>
      <c r="C2218" s="8" t="s">
        <v>17</v>
      </c>
      <c r="D2218" s="2">
        <v>43672</v>
      </c>
      <c r="E2218" s="3">
        <v>10000</v>
      </c>
      <c r="F2218" t="s">
        <v>417</v>
      </c>
      <c r="G2218" t="s">
        <v>418</v>
      </c>
      <c r="H2218" t="s">
        <v>419</v>
      </c>
      <c r="I2218" s="6" t="s">
        <v>1007</v>
      </c>
      <c r="J2218" s="61" t="s">
        <v>22</v>
      </c>
      <c r="L2218" s="5" t="str">
        <f t="shared" si="695"/>
        <v>02217</v>
      </c>
      <c r="M2218" s="47" t="str">
        <f t="shared" si="696"/>
        <v>26 de julio de 2019</v>
      </c>
      <c r="N2218" s="323">
        <f t="shared" si="688"/>
        <v>26</v>
      </c>
      <c r="O2218" s="25">
        <f t="shared" si="697"/>
        <v>43647</v>
      </c>
      <c r="P2218" s="5" t="str">
        <f t="shared" si="690"/>
        <v>10.000,00</v>
      </c>
      <c r="Q2218" s="4" t="str">
        <f t="shared" si="691"/>
        <v>Diez Mil Bolívares con 00/100</v>
      </c>
    </row>
    <row r="2219" spans="1:17" x14ac:dyDescent="0.25">
      <c r="A2219" s="1">
        <f t="shared" si="677"/>
        <v>2218</v>
      </c>
      <c r="C2219" s="8" t="s">
        <v>17</v>
      </c>
      <c r="D2219" s="2">
        <v>43673</v>
      </c>
      <c r="E2219" s="3">
        <v>6000</v>
      </c>
      <c r="F2219" t="s">
        <v>433</v>
      </c>
      <c r="G2219" t="s">
        <v>434</v>
      </c>
      <c r="H2219" t="s">
        <v>435</v>
      </c>
      <c r="I2219" s="6" t="s">
        <v>1013</v>
      </c>
      <c r="J2219" s="61" t="s">
        <v>22</v>
      </c>
      <c r="L2219" s="5" t="str">
        <f t="shared" si="695"/>
        <v>02218</v>
      </c>
      <c r="M2219" s="47" t="str">
        <f t="shared" si="696"/>
        <v>27 de julio de 2019</v>
      </c>
      <c r="N2219" s="323">
        <f t="shared" si="688"/>
        <v>27</v>
      </c>
      <c r="O2219" s="25">
        <f t="shared" si="697"/>
        <v>43647</v>
      </c>
      <c r="P2219" s="5" t="str">
        <f t="shared" si="690"/>
        <v>6.000,00</v>
      </c>
      <c r="Q2219" s="4" t="str">
        <f t="shared" si="691"/>
        <v>Seis Mil Bolívares con 00/100</v>
      </c>
    </row>
    <row r="2220" spans="1:17" x14ac:dyDescent="0.25">
      <c r="A2220" s="1">
        <f t="shared" si="677"/>
        <v>2219</v>
      </c>
      <c r="C2220" s="8" t="s">
        <v>17</v>
      </c>
      <c r="D2220" s="2">
        <v>43674</v>
      </c>
      <c r="E2220" s="3">
        <v>20000</v>
      </c>
      <c r="F2220" t="s">
        <v>443</v>
      </c>
      <c r="G2220" t="s">
        <v>444</v>
      </c>
      <c r="H2220" t="s">
        <v>75</v>
      </c>
      <c r="I2220" s="6" t="s">
        <v>1025</v>
      </c>
      <c r="J2220" s="61" t="s">
        <v>22</v>
      </c>
      <c r="L2220" s="5" t="str">
        <f t="shared" si="695"/>
        <v>02219</v>
      </c>
      <c r="M2220" s="47" t="str">
        <f t="shared" si="696"/>
        <v>28 de julio de 2019</v>
      </c>
      <c r="N2220" s="323">
        <f t="shared" si="688"/>
        <v>28</v>
      </c>
      <c r="O2220" s="25">
        <f t="shared" si="697"/>
        <v>43647</v>
      </c>
      <c r="P2220" s="5" t="str">
        <f t="shared" si="690"/>
        <v>20.000,00</v>
      </c>
      <c r="Q2220" s="4" t="str">
        <f t="shared" si="691"/>
        <v>Veinte Mil Bolívares con 00/100</v>
      </c>
    </row>
    <row r="2221" spans="1:17" x14ac:dyDescent="0.25">
      <c r="A2221" s="1">
        <f t="shared" si="677"/>
        <v>2220</v>
      </c>
      <c r="C2221" s="8" t="s">
        <v>17</v>
      </c>
      <c r="D2221" s="2">
        <v>43675</v>
      </c>
      <c r="E2221" s="3">
        <v>20000</v>
      </c>
      <c r="F2221" t="s">
        <v>114</v>
      </c>
      <c r="G2221" t="s">
        <v>115</v>
      </c>
      <c r="H2221" t="s">
        <v>105</v>
      </c>
      <c r="I2221" s="6" t="s">
        <v>1025</v>
      </c>
      <c r="J2221" s="61" t="s">
        <v>22</v>
      </c>
      <c r="L2221" s="5" t="str">
        <f t="shared" si="695"/>
        <v>02220</v>
      </c>
      <c r="M2221" s="47" t="str">
        <f t="shared" si="696"/>
        <v>29 de julio de 2019</v>
      </c>
      <c r="N2221" s="323">
        <f t="shared" si="688"/>
        <v>29</v>
      </c>
      <c r="O2221" s="25">
        <f t="shared" si="697"/>
        <v>43647</v>
      </c>
      <c r="P2221" s="5" t="str">
        <f t="shared" si="690"/>
        <v>20.000,00</v>
      </c>
      <c r="Q2221" s="4" t="str">
        <f t="shared" si="691"/>
        <v>Veinte Mil Bolívares con 00/100</v>
      </c>
    </row>
    <row r="2222" spans="1:17" x14ac:dyDescent="0.25">
      <c r="A2222" s="1">
        <f t="shared" si="677"/>
        <v>2221</v>
      </c>
      <c r="C2222" s="8" t="s">
        <v>17</v>
      </c>
      <c r="D2222" s="2">
        <v>43675</v>
      </c>
      <c r="E2222" s="3">
        <v>10000</v>
      </c>
      <c r="F2222" t="s">
        <v>935</v>
      </c>
      <c r="G2222" t="s">
        <v>936</v>
      </c>
      <c r="H2222" t="s">
        <v>150</v>
      </c>
      <c r="I2222" s="6" t="s">
        <v>1007</v>
      </c>
      <c r="J2222" s="61" t="s">
        <v>22</v>
      </c>
      <c r="L2222" s="5" t="str">
        <f t="shared" si="695"/>
        <v>02221</v>
      </c>
      <c r="M2222" s="47" t="str">
        <f t="shared" si="696"/>
        <v>29 de julio de 2019</v>
      </c>
      <c r="N2222" s="323">
        <f t="shared" si="688"/>
        <v>29</v>
      </c>
      <c r="O2222" s="25">
        <f t="shared" si="697"/>
        <v>43647</v>
      </c>
      <c r="P2222" s="5" t="str">
        <f t="shared" si="690"/>
        <v>10.000,00</v>
      </c>
      <c r="Q2222" s="4" t="str">
        <f t="shared" si="691"/>
        <v>Diez Mil Bolívares con 00/100</v>
      </c>
    </row>
    <row r="2223" spans="1:17" x14ac:dyDescent="0.25">
      <c r="A2223" s="1">
        <f t="shared" si="677"/>
        <v>2222</v>
      </c>
      <c r="C2223" s="8" t="s">
        <v>17</v>
      </c>
      <c r="D2223" s="2">
        <v>43675</v>
      </c>
      <c r="E2223" s="3">
        <v>10000</v>
      </c>
      <c r="F2223" t="s">
        <v>211</v>
      </c>
      <c r="G2223" t="s">
        <v>212</v>
      </c>
      <c r="H2223" t="s">
        <v>213</v>
      </c>
      <c r="I2223" s="6" t="s">
        <v>1007</v>
      </c>
      <c r="J2223" s="61" t="s">
        <v>22</v>
      </c>
      <c r="L2223" s="5" t="str">
        <f t="shared" si="695"/>
        <v>02222</v>
      </c>
      <c r="M2223" s="47" t="str">
        <f t="shared" si="696"/>
        <v>29 de julio de 2019</v>
      </c>
      <c r="N2223" s="323">
        <f t="shared" si="688"/>
        <v>29</v>
      </c>
      <c r="O2223" s="25">
        <f t="shared" si="697"/>
        <v>43647</v>
      </c>
      <c r="P2223" s="5" t="str">
        <f t="shared" si="690"/>
        <v>10.000,00</v>
      </c>
      <c r="Q2223" s="4" t="str">
        <f t="shared" si="691"/>
        <v>Diez Mil Bolívares con 00/100</v>
      </c>
    </row>
    <row r="2224" spans="1:17" x14ac:dyDescent="0.25">
      <c r="A2224" s="1">
        <f t="shared" si="677"/>
        <v>2223</v>
      </c>
      <c r="C2224" s="8" t="s">
        <v>17</v>
      </c>
      <c r="D2224" s="2">
        <v>43663</v>
      </c>
      <c r="E2224" s="3">
        <v>10000</v>
      </c>
      <c r="F2224" t="s">
        <v>130</v>
      </c>
      <c r="G2224" t="s">
        <v>131</v>
      </c>
      <c r="H2224" t="s">
        <v>132</v>
      </c>
      <c r="I2224" s="6" t="s">
        <v>1007</v>
      </c>
      <c r="J2224" s="61" t="s">
        <v>22</v>
      </c>
      <c r="L2224" s="5" t="str">
        <f t="shared" si="695"/>
        <v>02223</v>
      </c>
      <c r="M2224" s="47" t="str">
        <f t="shared" si="696"/>
        <v>17 de julio de 2019</v>
      </c>
      <c r="N2224" s="323">
        <f t="shared" si="688"/>
        <v>17</v>
      </c>
      <c r="O2224" s="25">
        <f t="shared" si="697"/>
        <v>43647</v>
      </c>
      <c r="P2224" s="5" t="str">
        <f t="shared" si="690"/>
        <v>10.000,00</v>
      </c>
      <c r="Q2224" s="4" t="str">
        <f t="shared" si="691"/>
        <v>Diez Mil Bolívares con 00/100</v>
      </c>
    </row>
    <row r="2225" spans="1:17" x14ac:dyDescent="0.25">
      <c r="A2225" s="1">
        <f t="shared" si="677"/>
        <v>2224</v>
      </c>
      <c r="C2225" s="8" t="s">
        <v>17</v>
      </c>
      <c r="D2225" s="2">
        <v>43676</v>
      </c>
      <c r="E2225" s="3">
        <v>20000</v>
      </c>
      <c r="F2225" t="s">
        <v>100</v>
      </c>
      <c r="G2225" t="s">
        <v>95</v>
      </c>
      <c r="H2225" t="s">
        <v>101</v>
      </c>
      <c r="I2225" s="6" t="s">
        <v>1025</v>
      </c>
      <c r="J2225" s="61" t="s">
        <v>22</v>
      </c>
      <c r="L2225" s="5" t="str">
        <f t="shared" si="695"/>
        <v>02224</v>
      </c>
      <c r="M2225" s="47" t="str">
        <f t="shared" si="696"/>
        <v>30 de julio de 2019</v>
      </c>
      <c r="N2225" s="323">
        <f t="shared" si="688"/>
        <v>30</v>
      </c>
      <c r="O2225" s="25">
        <f t="shared" si="697"/>
        <v>43647</v>
      </c>
      <c r="P2225" s="5" t="str">
        <f t="shared" si="690"/>
        <v>20.000,00</v>
      </c>
      <c r="Q2225" s="4" t="str">
        <f t="shared" si="691"/>
        <v>Veinte Mil Bolívares con 00/100</v>
      </c>
    </row>
    <row r="2226" spans="1:17" x14ac:dyDescent="0.25">
      <c r="A2226" s="1">
        <f t="shared" si="677"/>
        <v>2225</v>
      </c>
      <c r="C2226" s="8" t="s">
        <v>17</v>
      </c>
      <c r="D2226" s="2">
        <v>43676</v>
      </c>
      <c r="E2226" s="3">
        <v>10000</v>
      </c>
      <c r="F2226" t="s">
        <v>1017</v>
      </c>
      <c r="G2226" s="475" t="s">
        <v>1018</v>
      </c>
      <c r="H2226" t="s">
        <v>140</v>
      </c>
      <c r="I2226" s="6" t="s">
        <v>1007</v>
      </c>
      <c r="J2226" s="61" t="s">
        <v>22</v>
      </c>
      <c r="L2226" s="5" t="str">
        <f t="shared" si="695"/>
        <v>02225</v>
      </c>
      <c r="M2226" s="47" t="str">
        <f t="shared" si="696"/>
        <v>30 de julio de 2019</v>
      </c>
      <c r="N2226" s="323">
        <f t="shared" si="688"/>
        <v>30</v>
      </c>
      <c r="O2226" s="25">
        <f t="shared" si="697"/>
        <v>43647</v>
      </c>
      <c r="P2226" s="5" t="str">
        <f t="shared" si="690"/>
        <v>10.000,00</v>
      </c>
      <c r="Q2226" s="4" t="str">
        <f t="shared" si="691"/>
        <v>Diez Mil Bolívares con 00/100</v>
      </c>
    </row>
    <row r="2227" spans="1:17" x14ac:dyDescent="0.25">
      <c r="A2227" s="1">
        <f t="shared" si="677"/>
        <v>2226</v>
      </c>
      <c r="C2227" s="8" t="s">
        <v>17</v>
      </c>
      <c r="D2227" s="2">
        <v>43676</v>
      </c>
      <c r="E2227" s="3">
        <v>10000</v>
      </c>
      <c r="F2227" t="s">
        <v>62</v>
      </c>
      <c r="G2227" t="s">
        <v>63</v>
      </c>
      <c r="H2227" t="s">
        <v>64</v>
      </c>
      <c r="I2227" s="6" t="s">
        <v>1007</v>
      </c>
      <c r="J2227" s="61" t="s">
        <v>22</v>
      </c>
      <c r="L2227" s="5" t="str">
        <f t="shared" si="695"/>
        <v>02226</v>
      </c>
      <c r="M2227" s="47" t="str">
        <f t="shared" si="696"/>
        <v>30 de julio de 2019</v>
      </c>
      <c r="N2227" s="323">
        <f t="shared" si="688"/>
        <v>30</v>
      </c>
      <c r="O2227" s="25">
        <f t="shared" si="697"/>
        <v>43647</v>
      </c>
      <c r="P2227" s="5" t="str">
        <f t="shared" si="690"/>
        <v>10.000,00</v>
      </c>
      <c r="Q2227" s="4" t="str">
        <f t="shared" si="691"/>
        <v>Diez Mil Bolívares con 00/100</v>
      </c>
    </row>
    <row r="2228" spans="1:17" x14ac:dyDescent="0.25">
      <c r="A2228" s="1">
        <f t="shared" si="677"/>
        <v>2227</v>
      </c>
      <c r="C2228" s="8" t="s">
        <v>17</v>
      </c>
      <c r="D2228" s="2">
        <v>43677</v>
      </c>
      <c r="E2228" s="3">
        <v>18000</v>
      </c>
      <c r="F2228" t="s">
        <v>206</v>
      </c>
      <c r="G2228" t="s">
        <v>207</v>
      </c>
      <c r="H2228" t="s">
        <v>208</v>
      </c>
      <c r="I2228" s="6" t="s">
        <v>1024</v>
      </c>
      <c r="J2228" s="61" t="s">
        <v>22</v>
      </c>
      <c r="L2228" s="5" t="str">
        <f t="shared" si="695"/>
        <v>02227</v>
      </c>
      <c r="M2228" s="47" t="str">
        <f t="shared" si="696"/>
        <v>31 de julio de 2019</v>
      </c>
      <c r="N2228" s="323">
        <f t="shared" si="688"/>
        <v>31</v>
      </c>
      <c r="O2228" s="25">
        <f t="shared" si="697"/>
        <v>43647</v>
      </c>
      <c r="P2228" s="5" t="str">
        <f t="shared" si="690"/>
        <v>18.000,00</v>
      </c>
      <c r="Q2228" s="4" t="str">
        <f t="shared" si="691"/>
        <v>Dieciocho Mil Bolívares con 00/100</v>
      </c>
    </row>
    <row r="2229" spans="1:17" x14ac:dyDescent="0.25">
      <c r="A2229" s="1">
        <f t="shared" si="677"/>
        <v>2228</v>
      </c>
      <c r="C2229" s="8" t="s">
        <v>17</v>
      </c>
      <c r="D2229" s="2">
        <v>43677</v>
      </c>
      <c r="E2229" s="3">
        <v>10000</v>
      </c>
      <c r="F2229" t="s">
        <v>558</v>
      </c>
      <c r="G2229" t="s">
        <v>559</v>
      </c>
      <c r="H2229" t="s">
        <v>560</v>
      </c>
      <c r="I2229" s="6" t="s">
        <v>1026</v>
      </c>
      <c r="J2229" s="61" t="s">
        <v>22</v>
      </c>
      <c r="L2229" s="5" t="str">
        <f t="shared" si="695"/>
        <v>02228</v>
      </c>
      <c r="M2229" s="47" t="str">
        <f t="shared" si="696"/>
        <v>31 de julio de 2019</v>
      </c>
      <c r="N2229" s="323">
        <f t="shared" si="688"/>
        <v>31</v>
      </c>
      <c r="O2229" s="25">
        <f t="shared" si="697"/>
        <v>43647</v>
      </c>
      <c r="P2229" s="5" t="str">
        <f t="shared" si="690"/>
        <v>10.000,00</v>
      </c>
      <c r="Q2229" s="4" t="str">
        <f t="shared" si="691"/>
        <v>Diez Mil Bolívares con 00/100</v>
      </c>
    </row>
    <row r="2230" spans="1:17" x14ac:dyDescent="0.25">
      <c r="A2230" s="1">
        <f t="shared" si="677"/>
        <v>2229</v>
      </c>
      <c r="C2230" s="8" t="s">
        <v>17</v>
      </c>
      <c r="D2230" s="2">
        <v>43678</v>
      </c>
      <c r="E2230" s="3">
        <v>10000</v>
      </c>
      <c r="F2230" t="s">
        <v>24</v>
      </c>
      <c r="G2230" t="s">
        <v>25</v>
      </c>
      <c r="H2230" t="s">
        <v>26</v>
      </c>
      <c r="I2230" s="6" t="s">
        <v>1026</v>
      </c>
      <c r="J2230" s="61" t="s">
        <v>22</v>
      </c>
      <c r="L2230" s="5" t="str">
        <f t="shared" si="695"/>
        <v>02229</v>
      </c>
      <c r="M2230" s="47" t="str">
        <f t="shared" si="696"/>
        <v>01 de agosto de 2019</v>
      </c>
      <c r="N2230" s="323">
        <f t="shared" si="688"/>
        <v>1</v>
      </c>
      <c r="O2230" s="25">
        <f t="shared" si="697"/>
        <v>43678</v>
      </c>
      <c r="P2230" s="5" t="str">
        <f t="shared" si="690"/>
        <v>10.000,00</v>
      </c>
      <c r="Q2230" s="4" t="str">
        <f t="shared" si="691"/>
        <v>Diez Mil Bolívares con 00/100</v>
      </c>
    </row>
    <row r="2231" spans="1:17" x14ac:dyDescent="0.25">
      <c r="A2231" s="1">
        <f t="shared" si="677"/>
        <v>2230</v>
      </c>
      <c r="C2231" s="8" t="s">
        <v>17</v>
      </c>
      <c r="D2231" s="2">
        <v>43678</v>
      </c>
      <c r="E2231" s="3">
        <v>10000</v>
      </c>
      <c r="F2231" t="s">
        <v>337</v>
      </c>
      <c r="G2231" t="s">
        <v>338</v>
      </c>
      <c r="H2231" t="s">
        <v>339</v>
      </c>
      <c r="I2231" s="6" t="s">
        <v>1026</v>
      </c>
      <c r="J2231" s="61" t="s">
        <v>22</v>
      </c>
      <c r="L2231" s="5" t="str">
        <f t="shared" si="695"/>
        <v>02230</v>
      </c>
      <c r="M2231" s="47" t="str">
        <f t="shared" si="696"/>
        <v>01 de agosto de 2019</v>
      </c>
      <c r="N2231" s="323">
        <f t="shared" si="688"/>
        <v>1</v>
      </c>
      <c r="O2231" s="25">
        <f t="shared" si="697"/>
        <v>43678</v>
      </c>
      <c r="P2231" s="5" t="str">
        <f t="shared" si="690"/>
        <v>10.000,00</v>
      </c>
      <c r="Q2231" s="4" t="str">
        <f t="shared" si="691"/>
        <v>Diez Mil Bolívares con 00/100</v>
      </c>
    </row>
    <row r="2232" spans="1:17" x14ac:dyDescent="0.25">
      <c r="A2232" s="1">
        <f t="shared" si="677"/>
        <v>2231</v>
      </c>
      <c r="C2232" s="8" t="s">
        <v>17</v>
      </c>
      <c r="D2232" s="2">
        <v>43678</v>
      </c>
      <c r="E2232" s="3">
        <v>20000</v>
      </c>
      <c r="F2232" t="s">
        <v>264</v>
      </c>
      <c r="G2232" t="s">
        <v>265</v>
      </c>
      <c r="H2232" t="s">
        <v>266</v>
      </c>
      <c r="I2232" s="6" t="s">
        <v>1025</v>
      </c>
      <c r="J2232" s="61" t="s">
        <v>22</v>
      </c>
      <c r="L2232" s="5" t="str">
        <f t="shared" si="695"/>
        <v>02231</v>
      </c>
      <c r="M2232" s="47" t="str">
        <f t="shared" si="696"/>
        <v>01 de agosto de 2019</v>
      </c>
      <c r="N2232" s="323">
        <f t="shared" si="688"/>
        <v>1</v>
      </c>
      <c r="O2232" s="25">
        <f t="shared" si="697"/>
        <v>43678</v>
      </c>
      <c r="P2232" s="5" t="str">
        <f t="shared" si="690"/>
        <v>20.000,00</v>
      </c>
      <c r="Q2232" s="4" t="str">
        <f t="shared" si="691"/>
        <v>Veinte Mil Bolívares con 00/100</v>
      </c>
    </row>
    <row r="2233" spans="1:17" x14ac:dyDescent="0.25">
      <c r="A2233" s="1">
        <f t="shared" si="677"/>
        <v>2232</v>
      </c>
      <c r="C2233" s="8" t="s">
        <v>17</v>
      </c>
      <c r="D2233" s="2">
        <v>43678</v>
      </c>
      <c r="E2233" s="3">
        <v>15000</v>
      </c>
      <c r="F2233" t="s">
        <v>201</v>
      </c>
      <c r="G2233" t="s">
        <v>202</v>
      </c>
      <c r="H2233" t="s">
        <v>203</v>
      </c>
      <c r="I2233" s="6" t="s">
        <v>1026</v>
      </c>
      <c r="J2233" s="61" t="s">
        <v>22</v>
      </c>
      <c r="L2233" s="5" t="str">
        <f t="shared" si="695"/>
        <v>02232</v>
      </c>
      <c r="M2233" s="47" t="str">
        <f t="shared" si="696"/>
        <v>01 de agosto de 2019</v>
      </c>
      <c r="N2233" s="323">
        <f t="shared" si="688"/>
        <v>1</v>
      </c>
      <c r="O2233" s="25">
        <f t="shared" si="697"/>
        <v>43678</v>
      </c>
      <c r="P2233" s="5" t="str">
        <f t="shared" si="690"/>
        <v>15.000,00</v>
      </c>
      <c r="Q2233" s="4" t="str">
        <f t="shared" si="691"/>
        <v>Quince Mil Bolívares con 00/100</v>
      </c>
    </row>
    <row r="2234" spans="1:17" x14ac:dyDescent="0.25">
      <c r="A2234" s="1">
        <f t="shared" si="677"/>
        <v>2233</v>
      </c>
      <c r="C2234" s="8" t="s">
        <v>17</v>
      </c>
      <c r="D2234" s="2">
        <v>43679</v>
      </c>
      <c r="E2234" s="3">
        <v>10000</v>
      </c>
      <c r="F2234" t="s">
        <v>412</v>
      </c>
      <c r="G2234" t="s">
        <v>413</v>
      </c>
      <c r="H2234" t="s">
        <v>414</v>
      </c>
      <c r="I2234" s="6" t="s">
        <v>1007</v>
      </c>
      <c r="J2234" s="61" t="s">
        <v>22</v>
      </c>
      <c r="L2234" s="5" t="str">
        <f t="shared" si="695"/>
        <v>02233</v>
      </c>
      <c r="M2234" s="47" t="str">
        <f t="shared" si="696"/>
        <v>02 de agosto de 2019</v>
      </c>
      <c r="N2234" s="323">
        <f t="shared" si="688"/>
        <v>2</v>
      </c>
      <c r="O2234" s="25">
        <f t="shared" si="697"/>
        <v>43678</v>
      </c>
      <c r="P2234" s="5" t="str">
        <f t="shared" si="690"/>
        <v>10.000,00</v>
      </c>
      <c r="Q2234" s="4" t="str">
        <f t="shared" si="691"/>
        <v>Diez Mil Bolívares con 00/100</v>
      </c>
    </row>
    <row r="2235" spans="1:17" x14ac:dyDescent="0.25">
      <c r="A2235" s="1">
        <f t="shared" si="677"/>
        <v>2234</v>
      </c>
      <c r="C2235" s="8" t="s">
        <v>17</v>
      </c>
      <c r="D2235" s="2">
        <v>43649</v>
      </c>
      <c r="E2235" s="3">
        <v>10000</v>
      </c>
      <c r="F2235" t="s">
        <v>407</v>
      </c>
      <c r="G2235" t="s">
        <v>408</v>
      </c>
      <c r="H2235" t="s">
        <v>409</v>
      </c>
      <c r="I2235" s="6" t="s">
        <v>1026</v>
      </c>
      <c r="J2235" s="61" t="s">
        <v>22</v>
      </c>
      <c r="L2235" s="5" t="str">
        <f t="shared" si="695"/>
        <v>02234</v>
      </c>
      <c r="M2235" s="47" t="str">
        <f t="shared" si="696"/>
        <v>03 de julio de 2019</v>
      </c>
      <c r="N2235" s="323">
        <f t="shared" si="688"/>
        <v>3</v>
      </c>
      <c r="O2235" s="25">
        <f t="shared" si="697"/>
        <v>43647</v>
      </c>
      <c r="P2235" s="5" t="str">
        <f t="shared" si="690"/>
        <v>10.000,00</v>
      </c>
      <c r="Q2235" s="4" t="str">
        <f>CONVERTIRNUM(E2235)</f>
        <v>Diez Mil Bolívares con 00/100</v>
      </c>
    </row>
    <row r="2236" spans="1:17" x14ac:dyDescent="0.25">
      <c r="A2236" s="1">
        <f t="shared" si="677"/>
        <v>2235</v>
      </c>
      <c r="C2236" s="8" t="s">
        <v>17</v>
      </c>
      <c r="D2236" s="2">
        <v>43681</v>
      </c>
      <c r="E2236" s="3">
        <v>6000</v>
      </c>
      <c r="F2236" t="s">
        <v>28</v>
      </c>
      <c r="G2236" t="s">
        <v>716</v>
      </c>
      <c r="H2236" t="s">
        <v>30</v>
      </c>
      <c r="I2236" s="6" t="s">
        <v>1027</v>
      </c>
      <c r="J2236" s="61" t="s">
        <v>22</v>
      </c>
      <c r="L2236" s="5" t="str">
        <f t="shared" si="695"/>
        <v>02235</v>
      </c>
      <c r="M2236" s="47" t="str">
        <f t="shared" si="696"/>
        <v>04 de agosto de 2019</v>
      </c>
      <c r="N2236" s="323">
        <f t="shared" si="688"/>
        <v>4</v>
      </c>
      <c r="O2236" s="25">
        <f t="shared" si="697"/>
        <v>43678</v>
      </c>
      <c r="P2236" s="5" t="str">
        <f t="shared" si="690"/>
        <v>6.000,00</v>
      </c>
      <c r="Q2236" s="4" t="str">
        <f t="shared" ref="Q2236:Q2251" si="698">CONVERTIRNUM(E2236)</f>
        <v>Seis Mil Bolívares con 00/100</v>
      </c>
    </row>
    <row r="2237" spans="1:17" x14ac:dyDescent="0.25">
      <c r="A2237" s="1">
        <f t="shared" si="677"/>
        <v>2236</v>
      </c>
      <c r="C2237" s="8" t="s">
        <v>17</v>
      </c>
      <c r="D2237" s="2">
        <v>43682</v>
      </c>
      <c r="E2237" s="3">
        <v>10000</v>
      </c>
      <c r="F2237" t="s">
        <v>334</v>
      </c>
      <c r="G2237" t="s">
        <v>85</v>
      </c>
      <c r="H2237" t="s">
        <v>335</v>
      </c>
      <c r="I2237" s="6" t="s">
        <v>1026</v>
      </c>
      <c r="J2237" s="61" t="s">
        <v>22</v>
      </c>
      <c r="L2237" s="5" t="str">
        <f t="shared" si="695"/>
        <v>02236</v>
      </c>
      <c r="M2237" s="47" t="str">
        <f t="shared" si="696"/>
        <v>05 de agosto de 2019</v>
      </c>
      <c r="N2237" s="323">
        <f t="shared" si="688"/>
        <v>5</v>
      </c>
      <c r="O2237" s="25">
        <f t="shared" si="697"/>
        <v>43678</v>
      </c>
      <c r="P2237" s="5" t="str">
        <f t="shared" si="690"/>
        <v>10.000,00</v>
      </c>
      <c r="Q2237" s="4" t="str">
        <f t="shared" si="698"/>
        <v>Diez Mil Bolívares con 00/100</v>
      </c>
    </row>
    <row r="2238" spans="1:17" x14ac:dyDescent="0.25">
      <c r="A2238" s="1">
        <f t="shared" ref="A2238:A2261" si="699">A2237+1</f>
        <v>2237</v>
      </c>
      <c r="C2238" s="8" t="s">
        <v>17</v>
      </c>
      <c r="D2238" s="2">
        <v>43682</v>
      </c>
      <c r="E2238" s="3">
        <v>10000</v>
      </c>
      <c r="F2238" t="s">
        <v>84</v>
      </c>
      <c r="G2238" t="s">
        <v>85</v>
      </c>
      <c r="H2238" t="s">
        <v>86</v>
      </c>
      <c r="I2238" s="6" t="s">
        <v>1026</v>
      </c>
      <c r="J2238" s="61" t="s">
        <v>22</v>
      </c>
      <c r="L2238" s="5" t="str">
        <f t="shared" si="695"/>
        <v>02237</v>
      </c>
      <c r="M2238" s="47" t="str">
        <f t="shared" si="696"/>
        <v>05 de agosto de 2019</v>
      </c>
      <c r="N2238" s="323">
        <f t="shared" si="688"/>
        <v>5</v>
      </c>
      <c r="O2238" s="25">
        <f t="shared" si="697"/>
        <v>43678</v>
      </c>
      <c r="P2238" s="5" t="str">
        <f t="shared" si="690"/>
        <v>10.000,00</v>
      </c>
      <c r="Q2238" s="4" t="str">
        <f t="shared" si="698"/>
        <v>Diez Mil Bolívares con 00/100</v>
      </c>
    </row>
    <row r="2239" spans="1:17" x14ac:dyDescent="0.25">
      <c r="A2239" s="1">
        <f t="shared" si="699"/>
        <v>2238</v>
      </c>
      <c r="C2239" s="8" t="s">
        <v>17</v>
      </c>
      <c r="D2239" s="2">
        <v>43682</v>
      </c>
      <c r="E2239" s="3">
        <v>10000</v>
      </c>
      <c r="F2239" t="s">
        <v>48</v>
      </c>
      <c r="G2239" t="s">
        <v>49</v>
      </c>
      <c r="H2239" t="s">
        <v>50</v>
      </c>
      <c r="I2239" s="6" t="s">
        <v>1026</v>
      </c>
      <c r="J2239" s="61" t="s">
        <v>22</v>
      </c>
      <c r="L2239" s="5" t="str">
        <f t="shared" si="695"/>
        <v>02238</v>
      </c>
      <c r="M2239" s="47" t="str">
        <f t="shared" si="696"/>
        <v>05 de agosto de 2019</v>
      </c>
      <c r="N2239" s="323">
        <f t="shared" si="688"/>
        <v>5</v>
      </c>
      <c r="O2239" s="25">
        <f t="shared" si="697"/>
        <v>43678</v>
      </c>
      <c r="P2239" s="5" t="str">
        <f t="shared" si="690"/>
        <v>10.000,00</v>
      </c>
      <c r="Q2239" s="4" t="str">
        <f t="shared" si="698"/>
        <v>Diez Mil Bolívares con 00/100</v>
      </c>
    </row>
    <row r="2240" spans="1:17" x14ac:dyDescent="0.25">
      <c r="A2240" s="1">
        <f t="shared" si="699"/>
        <v>2239</v>
      </c>
      <c r="C2240" s="8" t="s">
        <v>17</v>
      </c>
      <c r="D2240" s="2">
        <v>43682</v>
      </c>
      <c r="E2240" s="3">
        <v>10000</v>
      </c>
      <c r="F2240" t="s">
        <v>362</v>
      </c>
      <c r="G2240" t="s">
        <v>363</v>
      </c>
      <c r="H2240" t="s">
        <v>364</v>
      </c>
      <c r="I2240" s="6" t="s">
        <v>1026</v>
      </c>
      <c r="J2240" s="61" t="s">
        <v>22</v>
      </c>
      <c r="L2240" s="5" t="str">
        <f t="shared" si="695"/>
        <v>02239</v>
      </c>
      <c r="M2240" s="47" t="str">
        <f t="shared" si="696"/>
        <v>05 de agosto de 2019</v>
      </c>
      <c r="N2240" s="323">
        <f t="shared" si="688"/>
        <v>5</v>
      </c>
      <c r="O2240" s="25">
        <f t="shared" si="697"/>
        <v>43678</v>
      </c>
      <c r="P2240" s="5" t="str">
        <f t="shared" si="690"/>
        <v>10.000,00</v>
      </c>
      <c r="Q2240" s="4" t="str">
        <f t="shared" si="698"/>
        <v>Diez Mil Bolívares con 00/100</v>
      </c>
    </row>
    <row r="2241" spans="1:17" x14ac:dyDescent="0.25">
      <c r="A2241" s="1">
        <f t="shared" si="699"/>
        <v>2240</v>
      </c>
      <c r="C2241" s="8" t="s">
        <v>17</v>
      </c>
      <c r="D2241" s="2">
        <v>43682</v>
      </c>
      <c r="E2241" s="3">
        <v>10000</v>
      </c>
      <c r="F2241" t="s">
        <v>312</v>
      </c>
      <c r="G2241" t="s">
        <v>313</v>
      </c>
      <c r="H2241" t="s">
        <v>314</v>
      </c>
      <c r="I2241" s="6" t="s">
        <v>1026</v>
      </c>
      <c r="J2241" s="61" t="s">
        <v>22</v>
      </c>
      <c r="L2241" s="5" t="str">
        <f t="shared" si="695"/>
        <v>02240</v>
      </c>
      <c r="M2241" s="47" t="str">
        <f t="shared" si="696"/>
        <v>05 de agosto de 2019</v>
      </c>
      <c r="N2241" s="323">
        <f t="shared" si="688"/>
        <v>5</v>
      </c>
      <c r="O2241" s="25">
        <f t="shared" si="697"/>
        <v>43678</v>
      </c>
      <c r="P2241" s="5" t="str">
        <f t="shared" si="690"/>
        <v>10.000,00</v>
      </c>
      <c r="Q2241" s="4" t="str">
        <f t="shared" si="698"/>
        <v>Diez Mil Bolívares con 00/100</v>
      </c>
    </row>
    <row r="2242" spans="1:17" x14ac:dyDescent="0.25">
      <c r="A2242" s="1">
        <f t="shared" si="699"/>
        <v>2241</v>
      </c>
      <c r="C2242" s="8" t="s">
        <v>17</v>
      </c>
      <c r="D2242" s="2">
        <v>43682</v>
      </c>
      <c r="E2242" s="3">
        <v>10000</v>
      </c>
      <c r="F2242" t="s">
        <v>771</v>
      </c>
      <c r="G2242" t="s">
        <v>772</v>
      </c>
      <c r="H2242" t="s">
        <v>773</v>
      </c>
      <c r="I2242" s="6" t="s">
        <v>1028</v>
      </c>
      <c r="J2242" s="61" t="s">
        <v>22</v>
      </c>
      <c r="L2242" s="5" t="str">
        <f t="shared" si="695"/>
        <v>02241</v>
      </c>
      <c r="M2242" s="47" t="str">
        <f t="shared" si="696"/>
        <v>05 de agosto de 2019</v>
      </c>
      <c r="N2242" s="323">
        <f t="shared" si="688"/>
        <v>5</v>
      </c>
      <c r="O2242" s="25">
        <f t="shared" si="697"/>
        <v>43678</v>
      </c>
      <c r="P2242" s="5" t="str">
        <f t="shared" si="690"/>
        <v>10.000,00</v>
      </c>
      <c r="Q2242" s="4" t="str">
        <f t="shared" si="698"/>
        <v>Diez Mil Bolívares con 00/100</v>
      </c>
    </row>
    <row r="2243" spans="1:17" x14ac:dyDescent="0.25">
      <c r="A2243" s="1">
        <f t="shared" si="699"/>
        <v>2242</v>
      </c>
      <c r="C2243" s="8" t="s">
        <v>17</v>
      </c>
      <c r="D2243" s="2">
        <v>43682</v>
      </c>
      <c r="E2243" s="3">
        <v>10000</v>
      </c>
      <c r="F2243" t="s">
        <v>18</v>
      </c>
      <c r="G2243" t="s">
        <v>19</v>
      </c>
      <c r="H2243" t="s">
        <v>20</v>
      </c>
      <c r="I2243" s="6" t="s">
        <v>1029</v>
      </c>
      <c r="J2243" s="61" t="s">
        <v>22</v>
      </c>
      <c r="L2243" s="5" t="str">
        <f t="shared" si="695"/>
        <v>02242</v>
      </c>
      <c r="M2243" s="47" t="str">
        <f t="shared" si="696"/>
        <v>05 de agosto de 2019</v>
      </c>
      <c r="N2243" s="323">
        <f t="shared" si="688"/>
        <v>5</v>
      </c>
      <c r="O2243" s="25">
        <f t="shared" si="697"/>
        <v>43678</v>
      </c>
      <c r="P2243" s="5" t="str">
        <f t="shared" si="690"/>
        <v>10.000,00</v>
      </c>
      <c r="Q2243" s="4" t="str">
        <f t="shared" si="698"/>
        <v>Diez Mil Bolívares con 00/100</v>
      </c>
    </row>
    <row r="2244" spans="1:17" ht="16.5" customHeight="1" x14ac:dyDescent="0.25">
      <c r="A2244" s="1">
        <f t="shared" si="699"/>
        <v>2243</v>
      </c>
      <c r="C2244" s="8" t="s">
        <v>17</v>
      </c>
      <c r="D2244" s="2">
        <v>43682</v>
      </c>
      <c r="E2244" s="3">
        <v>10000</v>
      </c>
      <c r="F2244" t="s">
        <v>219</v>
      </c>
      <c r="G2244" t="s">
        <v>220</v>
      </c>
      <c r="H2244" t="s">
        <v>221</v>
      </c>
      <c r="I2244" s="6" t="s">
        <v>1030</v>
      </c>
      <c r="J2244" s="61" t="s">
        <v>22</v>
      </c>
      <c r="L2244" s="5" t="str">
        <f t="shared" si="695"/>
        <v>02243</v>
      </c>
      <c r="M2244" s="47" t="str">
        <f t="shared" si="696"/>
        <v>05 de agosto de 2019</v>
      </c>
      <c r="N2244" s="323">
        <f t="shared" si="688"/>
        <v>5</v>
      </c>
      <c r="O2244" s="25">
        <f t="shared" si="697"/>
        <v>43678</v>
      </c>
      <c r="P2244" s="5" t="str">
        <f t="shared" si="690"/>
        <v>10.000,00</v>
      </c>
      <c r="Q2244" s="4" t="str">
        <f t="shared" si="698"/>
        <v>Diez Mil Bolívares con 00/100</v>
      </c>
    </row>
    <row r="2245" spans="1:17" x14ac:dyDescent="0.25">
      <c r="A2245" s="1">
        <f t="shared" si="699"/>
        <v>2244</v>
      </c>
      <c r="C2245" s="8" t="s">
        <v>17</v>
      </c>
      <c r="D2245" s="2">
        <v>43683</v>
      </c>
      <c r="E2245" s="3">
        <v>40000</v>
      </c>
      <c r="F2245" t="s">
        <v>80</v>
      </c>
      <c r="G2245" t="s">
        <v>81</v>
      </c>
      <c r="H2245" t="s">
        <v>82</v>
      </c>
      <c r="I2245" s="6" t="s">
        <v>1031</v>
      </c>
      <c r="J2245" s="61" t="s">
        <v>22</v>
      </c>
      <c r="L2245" s="5" t="str">
        <f t="shared" si="695"/>
        <v>02244</v>
      </c>
      <c r="M2245" s="47" t="str">
        <f t="shared" si="696"/>
        <v>06 de agosto de 2019</v>
      </c>
      <c r="N2245" s="323">
        <f t="shared" ref="N2245:N2257" si="700">DAY(D2245)</f>
        <v>6</v>
      </c>
      <c r="O2245" s="25">
        <f t="shared" si="697"/>
        <v>43678</v>
      </c>
      <c r="P2245" s="5" t="str">
        <f t="shared" ref="P2245:P2257" si="701">TEXT(E2245,"#.##0,00")</f>
        <v>40.000,00</v>
      </c>
      <c r="Q2245" s="4" t="str">
        <f t="shared" si="698"/>
        <v>Cuarenta Mil Bolívares con 00/100</v>
      </c>
    </row>
    <row r="2246" spans="1:17" x14ac:dyDescent="0.25">
      <c r="A2246" s="1">
        <f t="shared" si="699"/>
        <v>2245</v>
      </c>
      <c r="C2246" s="8" t="s">
        <v>17</v>
      </c>
      <c r="D2246" s="2">
        <v>43683</v>
      </c>
      <c r="E2246" s="3">
        <v>10000</v>
      </c>
      <c r="F2246" t="s">
        <v>291</v>
      </c>
      <c r="G2246" t="s">
        <v>292</v>
      </c>
      <c r="H2246" t="s">
        <v>293</v>
      </c>
      <c r="I2246" s="161" t="s">
        <v>1032</v>
      </c>
      <c r="J2246" s="61" t="s">
        <v>22</v>
      </c>
      <c r="L2246" s="5" t="str">
        <f t="shared" ref="L2246:L2257" si="702">IF(ISBLANK(A2246),"",TEXT(A2246,"00000"))</f>
        <v>02245</v>
      </c>
      <c r="M2246" s="47" t="str">
        <f t="shared" ref="M2246:M2257" si="703">IF(ISBLANK(D2246),"",TEXT(D2246,"dd")&amp;" de "&amp;TEXT(D2246,"mmmm")&amp;" de "&amp;TEXT(YEAR(D2246),"0"))</f>
        <v>06 de agosto de 2019</v>
      </c>
      <c r="N2246" s="323">
        <f t="shared" si="700"/>
        <v>6</v>
      </c>
      <c r="O2246" s="25">
        <f t="shared" ref="O2246:O2257" si="704">DATE(YEAR(D2246),MONTH(D2246),1)</f>
        <v>43678</v>
      </c>
      <c r="P2246" s="5" t="str">
        <f t="shared" si="701"/>
        <v>10.000,00</v>
      </c>
      <c r="Q2246" s="4" t="str">
        <f t="shared" si="698"/>
        <v>Diez Mil Bolívares con 00/100</v>
      </c>
    </row>
    <row r="2247" spans="1:17" x14ac:dyDescent="0.25">
      <c r="A2247" s="1">
        <f t="shared" si="699"/>
        <v>2246</v>
      </c>
      <c r="C2247" s="8" t="s">
        <v>17</v>
      </c>
      <c r="D2247" s="2">
        <v>43683</v>
      </c>
      <c r="E2247" s="3">
        <v>20000</v>
      </c>
      <c r="F2247" t="s">
        <v>438</v>
      </c>
      <c r="G2247" t="s">
        <v>439</v>
      </c>
      <c r="H2247" t="s">
        <v>440</v>
      </c>
      <c r="I2247" s="6" t="s">
        <v>1033</v>
      </c>
      <c r="J2247" s="61" t="s">
        <v>22</v>
      </c>
      <c r="L2247" s="5" t="str">
        <f t="shared" si="702"/>
        <v>02246</v>
      </c>
      <c r="M2247" s="47" t="str">
        <f t="shared" si="703"/>
        <v>06 de agosto de 2019</v>
      </c>
      <c r="N2247" s="323">
        <f t="shared" si="700"/>
        <v>6</v>
      </c>
      <c r="O2247" s="25">
        <f t="shared" si="704"/>
        <v>43678</v>
      </c>
      <c r="P2247" s="5" t="str">
        <f t="shared" si="701"/>
        <v>20.000,00</v>
      </c>
      <c r="Q2247" s="4" t="str">
        <f t="shared" si="698"/>
        <v>Veinte Mil Bolívares con 00/100</v>
      </c>
    </row>
    <row r="2248" spans="1:17" x14ac:dyDescent="0.25">
      <c r="A2248" s="1">
        <f t="shared" si="699"/>
        <v>2247</v>
      </c>
      <c r="C2248" s="85" t="s">
        <v>17</v>
      </c>
      <c r="D2248" s="2">
        <v>43653</v>
      </c>
      <c r="E2248" s="3">
        <v>20000</v>
      </c>
      <c r="F2248" t="s">
        <v>40</v>
      </c>
      <c r="G2248" s="18" t="s">
        <v>58</v>
      </c>
      <c r="H2248" t="s">
        <v>42</v>
      </c>
      <c r="I2248" s="6" t="s">
        <v>1031</v>
      </c>
      <c r="J2248" s="61" t="s">
        <v>22</v>
      </c>
      <c r="L2248" s="5" t="str">
        <f t="shared" si="702"/>
        <v>02247</v>
      </c>
      <c r="M2248" s="47" t="str">
        <f t="shared" si="703"/>
        <v>07 de julio de 2019</v>
      </c>
      <c r="N2248" s="323">
        <f t="shared" si="700"/>
        <v>7</v>
      </c>
      <c r="O2248" s="25">
        <f t="shared" si="704"/>
        <v>43647</v>
      </c>
      <c r="P2248" s="5" t="str">
        <f t="shared" si="701"/>
        <v>20.000,00</v>
      </c>
      <c r="Q2248" s="4" t="str">
        <f t="shared" si="698"/>
        <v>Veinte Mil Bolívares con 00/100</v>
      </c>
    </row>
    <row r="2249" spans="1:17" x14ac:dyDescent="0.25">
      <c r="A2249" s="1">
        <f t="shared" si="699"/>
        <v>2248</v>
      </c>
      <c r="C2249" s="8" t="s">
        <v>17</v>
      </c>
      <c r="D2249" s="2">
        <v>43653</v>
      </c>
      <c r="E2249" s="3">
        <v>10000</v>
      </c>
      <c r="F2249" t="s">
        <v>122</v>
      </c>
      <c r="G2249" t="s">
        <v>123</v>
      </c>
      <c r="H2249" t="s">
        <v>124</v>
      </c>
      <c r="I2249" s="6" t="s">
        <v>1026</v>
      </c>
      <c r="J2249" s="61" t="s">
        <v>22</v>
      </c>
      <c r="L2249" s="5" t="str">
        <f t="shared" si="702"/>
        <v>02248</v>
      </c>
      <c r="M2249" s="47" t="str">
        <f t="shared" si="703"/>
        <v>07 de julio de 2019</v>
      </c>
      <c r="N2249" s="323">
        <f t="shared" si="700"/>
        <v>7</v>
      </c>
      <c r="O2249" s="25">
        <f t="shared" si="704"/>
        <v>43647</v>
      </c>
      <c r="P2249" s="5" t="str">
        <f t="shared" si="701"/>
        <v>10.000,00</v>
      </c>
      <c r="Q2249" s="4" t="str">
        <f t="shared" si="698"/>
        <v>Diez Mil Bolívares con 00/100</v>
      </c>
    </row>
    <row r="2250" spans="1:17" x14ac:dyDescent="0.25">
      <c r="A2250" s="1">
        <f t="shared" si="699"/>
        <v>2249</v>
      </c>
      <c r="C2250" s="8" t="s">
        <v>17</v>
      </c>
      <c r="D2250" s="2">
        <v>43685</v>
      </c>
      <c r="E2250" s="3">
        <v>10000</v>
      </c>
      <c r="F2250" t="s">
        <v>483</v>
      </c>
      <c r="G2250" t="s">
        <v>484</v>
      </c>
      <c r="H2250" t="s">
        <v>485</v>
      </c>
      <c r="I2250" s="6" t="s">
        <v>1026</v>
      </c>
      <c r="J2250" s="61" t="s">
        <v>22</v>
      </c>
      <c r="L2250" s="5" t="str">
        <f t="shared" si="702"/>
        <v>02249</v>
      </c>
      <c r="M2250" s="47" t="str">
        <f t="shared" si="703"/>
        <v>08 de agosto de 2019</v>
      </c>
      <c r="N2250" s="323">
        <f t="shared" si="700"/>
        <v>8</v>
      </c>
      <c r="O2250" s="25">
        <f t="shared" si="704"/>
        <v>43678</v>
      </c>
      <c r="P2250" s="5" t="str">
        <f t="shared" si="701"/>
        <v>10.000,00</v>
      </c>
      <c r="Q2250" s="4" t="str">
        <f t="shared" si="698"/>
        <v>Diez Mil Bolívares con 00/100</v>
      </c>
    </row>
    <row r="2251" spans="1:17" x14ac:dyDescent="0.25">
      <c r="A2251" s="1">
        <f t="shared" si="699"/>
        <v>2250</v>
      </c>
      <c r="C2251" s="8" t="s">
        <v>17</v>
      </c>
      <c r="D2251" s="2">
        <v>43685</v>
      </c>
      <c r="E2251" s="3">
        <v>15000</v>
      </c>
      <c r="F2251" t="s">
        <v>107</v>
      </c>
      <c r="G2251" t="s">
        <v>108</v>
      </c>
      <c r="H2251" t="s">
        <v>109</v>
      </c>
      <c r="I2251" s="6" t="s">
        <v>1026</v>
      </c>
      <c r="J2251" s="61" t="s">
        <v>22</v>
      </c>
      <c r="L2251" s="5" t="str">
        <f t="shared" si="702"/>
        <v>02250</v>
      </c>
      <c r="M2251" s="47" t="str">
        <f t="shared" si="703"/>
        <v>08 de agosto de 2019</v>
      </c>
      <c r="N2251" s="323">
        <f t="shared" si="700"/>
        <v>8</v>
      </c>
      <c r="O2251" s="25">
        <f t="shared" si="704"/>
        <v>43678</v>
      </c>
      <c r="P2251" s="5" t="str">
        <f t="shared" si="701"/>
        <v>15.000,00</v>
      </c>
      <c r="Q2251" s="4" t="str">
        <f t="shared" si="698"/>
        <v>Quince Mil Bolívares con 00/100</v>
      </c>
    </row>
    <row r="2252" spans="1:17" x14ac:dyDescent="0.25">
      <c r="A2252" s="1">
        <f t="shared" si="699"/>
        <v>2251</v>
      </c>
      <c r="C2252" s="8" t="s">
        <v>17</v>
      </c>
      <c r="D2252" s="2">
        <v>43685</v>
      </c>
      <c r="E2252" s="3">
        <v>2000</v>
      </c>
      <c r="F2252" t="s">
        <v>362</v>
      </c>
      <c r="G2252" t="s">
        <v>363</v>
      </c>
      <c r="H2252" t="s">
        <v>364</v>
      </c>
      <c r="I2252" s="6" t="s">
        <v>1020</v>
      </c>
      <c r="J2252" s="61" t="s">
        <v>22</v>
      </c>
      <c r="L2252" s="5" t="str">
        <f t="shared" si="702"/>
        <v>02251</v>
      </c>
      <c r="M2252" s="47" t="str">
        <f t="shared" si="703"/>
        <v>08 de agosto de 2019</v>
      </c>
      <c r="N2252" s="323">
        <f t="shared" si="700"/>
        <v>8</v>
      </c>
      <c r="O2252" s="25">
        <f t="shared" si="704"/>
        <v>43678</v>
      </c>
      <c r="P2252" s="5" t="str">
        <f t="shared" si="701"/>
        <v>2.000,00</v>
      </c>
      <c r="Q2252" s="4" t="str">
        <f t="shared" ref="Q2252:Q2290" si="705">CONVERTIRNUM(E2252)</f>
        <v>Dos Mil Bolívares con 00/100</v>
      </c>
    </row>
    <row r="2253" spans="1:17" x14ac:dyDescent="0.25">
      <c r="A2253" s="1">
        <f t="shared" si="699"/>
        <v>2252</v>
      </c>
      <c r="C2253" s="8" t="s">
        <v>17</v>
      </c>
      <c r="D2253" s="2">
        <v>43685</v>
      </c>
      <c r="E2253" s="3">
        <v>10000</v>
      </c>
      <c r="F2253" t="s">
        <v>134</v>
      </c>
      <c r="G2253" t="s">
        <v>135</v>
      </c>
      <c r="H2253" t="s">
        <v>136</v>
      </c>
      <c r="I2253" s="6" t="s">
        <v>1026</v>
      </c>
      <c r="J2253" s="61" t="s">
        <v>22</v>
      </c>
      <c r="L2253" s="5" t="str">
        <f t="shared" si="702"/>
        <v>02252</v>
      </c>
      <c r="M2253" s="47" t="str">
        <f t="shared" si="703"/>
        <v>08 de agosto de 2019</v>
      </c>
      <c r="N2253" s="323">
        <f t="shared" si="700"/>
        <v>8</v>
      </c>
      <c r="O2253" s="25">
        <f t="shared" si="704"/>
        <v>43678</v>
      </c>
      <c r="P2253" s="5" t="str">
        <f t="shared" si="701"/>
        <v>10.000,00</v>
      </c>
      <c r="Q2253" s="4" t="str">
        <f t="shared" si="705"/>
        <v>Diez Mil Bolívares con 00/100</v>
      </c>
    </row>
    <row r="2254" spans="1:17" x14ac:dyDescent="0.25">
      <c r="A2254" s="1">
        <f t="shared" si="699"/>
        <v>2253</v>
      </c>
      <c r="C2254" s="8" t="s">
        <v>17</v>
      </c>
      <c r="D2254" s="2">
        <v>43685</v>
      </c>
      <c r="E2254" s="3">
        <v>10000</v>
      </c>
      <c r="F2254" t="s">
        <v>947</v>
      </c>
      <c r="G2254" t="s">
        <v>948</v>
      </c>
      <c r="H2254" t="s">
        <v>949</v>
      </c>
      <c r="I2254" s="6" t="s">
        <v>1026</v>
      </c>
      <c r="J2254" s="61" t="s">
        <v>22</v>
      </c>
      <c r="L2254" s="5" t="str">
        <f t="shared" si="702"/>
        <v>02253</v>
      </c>
      <c r="M2254" s="47" t="str">
        <f t="shared" si="703"/>
        <v>08 de agosto de 2019</v>
      </c>
      <c r="N2254" s="323">
        <f t="shared" si="700"/>
        <v>8</v>
      </c>
      <c r="O2254" s="25">
        <f t="shared" si="704"/>
        <v>43678</v>
      </c>
      <c r="P2254" s="5" t="str">
        <f t="shared" si="701"/>
        <v>10.000,00</v>
      </c>
      <c r="Q2254" s="4" t="str">
        <f t="shared" si="705"/>
        <v>Diez Mil Bolívares con 00/100</v>
      </c>
    </row>
    <row r="2255" spans="1:17" x14ac:dyDescent="0.25">
      <c r="A2255" s="1">
        <f t="shared" si="699"/>
        <v>2254</v>
      </c>
      <c r="C2255" s="8" t="s">
        <v>17</v>
      </c>
      <c r="D2255" s="2">
        <v>43684</v>
      </c>
      <c r="E2255" s="3">
        <v>10000</v>
      </c>
      <c r="F2255" t="s">
        <v>144</v>
      </c>
      <c r="G2255" t="s">
        <v>661</v>
      </c>
      <c r="H2255" t="s">
        <v>146</v>
      </c>
      <c r="I2255" s="6" t="s">
        <v>1026</v>
      </c>
      <c r="J2255" s="61" t="s">
        <v>22</v>
      </c>
      <c r="L2255" s="5" t="str">
        <f t="shared" si="702"/>
        <v>02254</v>
      </c>
      <c r="M2255" s="47" t="str">
        <f t="shared" si="703"/>
        <v>07 de agosto de 2019</v>
      </c>
      <c r="N2255" s="323">
        <f t="shared" si="700"/>
        <v>7</v>
      </c>
      <c r="O2255" s="25">
        <f t="shared" si="704"/>
        <v>43678</v>
      </c>
      <c r="P2255" s="5" t="str">
        <f t="shared" si="701"/>
        <v>10.000,00</v>
      </c>
      <c r="Q2255" s="4" t="str">
        <f t="shared" si="705"/>
        <v>Diez Mil Bolívares con 00/100</v>
      </c>
    </row>
    <row r="2256" spans="1:17" x14ac:dyDescent="0.25">
      <c r="A2256" s="1">
        <f t="shared" si="699"/>
        <v>2255</v>
      </c>
      <c r="C2256" s="85" t="s">
        <v>17</v>
      </c>
      <c r="D2256" s="2">
        <v>43685</v>
      </c>
      <c r="E2256" s="3">
        <v>21000</v>
      </c>
      <c r="F2256" t="s">
        <v>410</v>
      </c>
      <c r="G2256" s="18" t="s">
        <v>58</v>
      </c>
      <c r="H2256" t="s">
        <v>411</v>
      </c>
      <c r="I2256" s="6" t="s">
        <v>1034</v>
      </c>
      <c r="J2256" s="61" t="s">
        <v>22</v>
      </c>
      <c r="L2256" s="5" t="str">
        <f t="shared" si="702"/>
        <v>02255</v>
      </c>
      <c r="M2256" s="47" t="str">
        <f t="shared" si="703"/>
        <v>08 de agosto de 2019</v>
      </c>
      <c r="N2256" s="323">
        <f t="shared" si="700"/>
        <v>8</v>
      </c>
      <c r="O2256" s="25">
        <f t="shared" si="704"/>
        <v>43678</v>
      </c>
      <c r="P2256" s="5" t="str">
        <f t="shared" si="701"/>
        <v>21.000,00</v>
      </c>
      <c r="Q2256" s="4" t="str">
        <f t="shared" si="705"/>
        <v>Veintiun Mil Bolívares con 00/100</v>
      </c>
    </row>
    <row r="2257" spans="1:17" x14ac:dyDescent="0.25">
      <c r="A2257" s="1">
        <f t="shared" si="699"/>
        <v>2256</v>
      </c>
      <c r="C2257" s="8" t="s">
        <v>17</v>
      </c>
      <c r="D2257" s="2">
        <v>43686</v>
      </c>
      <c r="E2257" s="3">
        <v>10000</v>
      </c>
      <c r="F2257" t="s">
        <v>612</v>
      </c>
      <c r="G2257" t="s">
        <v>613</v>
      </c>
      <c r="H2257" t="s">
        <v>614</v>
      </c>
      <c r="I2257" s="6" t="s">
        <v>1007</v>
      </c>
      <c r="J2257" s="61" t="s">
        <v>22</v>
      </c>
      <c r="L2257" s="5" t="str">
        <f t="shared" si="702"/>
        <v>02256</v>
      </c>
      <c r="M2257" s="47" t="str">
        <f t="shared" si="703"/>
        <v>09 de agosto de 2019</v>
      </c>
      <c r="N2257" s="323">
        <f t="shared" si="700"/>
        <v>9</v>
      </c>
      <c r="O2257" s="25">
        <f t="shared" si="704"/>
        <v>43678</v>
      </c>
      <c r="P2257" s="5" t="str">
        <f t="shared" si="701"/>
        <v>10.000,00</v>
      </c>
      <c r="Q2257" s="4" t="str">
        <f t="shared" si="705"/>
        <v>Diez Mil Bolívares con 00/100</v>
      </c>
    </row>
    <row r="2258" spans="1:17" x14ac:dyDescent="0.25">
      <c r="A2258" s="1">
        <f t="shared" si="699"/>
        <v>2257</v>
      </c>
      <c r="C2258" s="8" t="s">
        <v>17</v>
      </c>
      <c r="D2258" s="2">
        <v>43686</v>
      </c>
      <c r="E2258" s="3">
        <v>15000</v>
      </c>
      <c r="F2258" t="s">
        <v>107</v>
      </c>
      <c r="G2258" t="s">
        <v>108</v>
      </c>
      <c r="H2258" t="s">
        <v>109</v>
      </c>
      <c r="I2258" s="6" t="s">
        <v>1035</v>
      </c>
      <c r="J2258" s="61" t="s">
        <v>22</v>
      </c>
      <c r="L2258" s="5" t="str">
        <f t="shared" ref="L2258:L2292" si="706">IF(ISBLANK(A2258),"",TEXT(A2258,"00000"))</f>
        <v>02257</v>
      </c>
      <c r="M2258" s="47" t="str">
        <f t="shared" ref="M2258:M2292" si="707">IF(ISBLANK(D2258),"",TEXT(D2258,"dd")&amp;" de "&amp;TEXT(D2258,"mmmm")&amp;" de "&amp;TEXT(YEAR(D2258),"0"))</f>
        <v>09 de agosto de 2019</v>
      </c>
      <c r="N2258" s="323">
        <f t="shared" ref="N2258:N2300" si="708">DAY(D2258)</f>
        <v>9</v>
      </c>
      <c r="O2258" s="25">
        <f t="shared" ref="O2258:O2292" si="709">DATE(YEAR(D2258),MONTH(D2258),1)</f>
        <v>43678</v>
      </c>
      <c r="P2258" s="5" t="str">
        <f t="shared" ref="P2258:P2300" si="710">TEXT(E2258,"#.##0,00")</f>
        <v>15.000,00</v>
      </c>
      <c r="Q2258" s="4" t="str">
        <f t="shared" si="705"/>
        <v>Quince Mil Bolívares con 00/100</v>
      </c>
    </row>
    <row r="2259" spans="1:17" x14ac:dyDescent="0.25">
      <c r="A2259" s="1">
        <f t="shared" si="699"/>
        <v>2258</v>
      </c>
      <c r="C2259" s="8" t="s">
        <v>17</v>
      </c>
      <c r="D2259" s="2">
        <v>43687</v>
      </c>
      <c r="E2259" s="3">
        <v>10000</v>
      </c>
      <c r="F2259" t="s">
        <v>713</v>
      </c>
      <c r="G2259" t="s">
        <v>714</v>
      </c>
      <c r="H2259" t="s">
        <v>154</v>
      </c>
      <c r="I2259" s="6" t="s">
        <v>1026</v>
      </c>
      <c r="J2259" s="61" t="s">
        <v>22</v>
      </c>
      <c r="L2259" s="5" t="str">
        <f t="shared" si="706"/>
        <v>02258</v>
      </c>
      <c r="M2259" s="47" t="str">
        <f t="shared" si="707"/>
        <v>10 de agosto de 2019</v>
      </c>
      <c r="N2259" s="323">
        <f t="shared" si="708"/>
        <v>10</v>
      </c>
      <c r="O2259" s="25">
        <f t="shared" si="709"/>
        <v>43678</v>
      </c>
      <c r="P2259" s="5" t="str">
        <f t="shared" si="710"/>
        <v>10.000,00</v>
      </c>
      <c r="Q2259" s="4" t="str">
        <f t="shared" si="705"/>
        <v>Diez Mil Bolívares con 00/100</v>
      </c>
    </row>
    <row r="2260" spans="1:17" x14ac:dyDescent="0.25">
      <c r="A2260" s="1">
        <f t="shared" si="699"/>
        <v>2259</v>
      </c>
      <c r="C2260" s="85" t="s">
        <v>17</v>
      </c>
      <c r="D2260" s="2">
        <v>43688</v>
      </c>
      <c r="E2260" s="3">
        <v>10000</v>
      </c>
      <c r="F2260" t="s">
        <v>319</v>
      </c>
      <c r="G2260" s="18" t="s">
        <v>58</v>
      </c>
      <c r="H2260" t="s">
        <v>320</v>
      </c>
      <c r="I2260" s="6" t="s">
        <v>1026</v>
      </c>
      <c r="J2260" s="61" t="s">
        <v>22</v>
      </c>
      <c r="L2260" s="5" t="str">
        <f t="shared" si="706"/>
        <v>02259</v>
      </c>
      <c r="M2260" s="47" t="str">
        <f t="shared" si="707"/>
        <v>11 de agosto de 2019</v>
      </c>
      <c r="N2260" s="323">
        <f t="shared" si="708"/>
        <v>11</v>
      </c>
      <c r="O2260" s="25">
        <f t="shared" si="709"/>
        <v>43678</v>
      </c>
      <c r="P2260" s="5" t="str">
        <f t="shared" si="710"/>
        <v>10.000,00</v>
      </c>
      <c r="Q2260" s="4" t="str">
        <f t="shared" si="705"/>
        <v>Diez Mil Bolívares con 00/100</v>
      </c>
    </row>
    <row r="2261" spans="1:17" x14ac:dyDescent="0.25">
      <c r="A2261" s="1">
        <f t="shared" si="699"/>
        <v>2260</v>
      </c>
      <c r="C2261" s="8" t="s">
        <v>17</v>
      </c>
      <c r="D2261" s="2">
        <v>43689</v>
      </c>
      <c r="E2261" s="3">
        <v>10000</v>
      </c>
      <c r="F2261" t="s">
        <v>342</v>
      </c>
      <c r="G2261" t="s">
        <v>1036</v>
      </c>
      <c r="H2261" t="s">
        <v>344</v>
      </c>
      <c r="I2261" s="6" t="s">
        <v>1026</v>
      </c>
      <c r="J2261" s="61" t="s">
        <v>22</v>
      </c>
      <c r="L2261" s="5" t="str">
        <f t="shared" si="706"/>
        <v>02260</v>
      </c>
      <c r="M2261" s="47" t="str">
        <f t="shared" si="707"/>
        <v>12 de agosto de 2019</v>
      </c>
      <c r="N2261" s="323">
        <f t="shared" si="708"/>
        <v>12</v>
      </c>
      <c r="O2261" s="25">
        <f t="shared" si="709"/>
        <v>43678</v>
      </c>
      <c r="P2261" s="5" t="str">
        <f t="shared" si="710"/>
        <v>10.000,00</v>
      </c>
      <c r="Q2261" s="4" t="str">
        <f t="shared" si="705"/>
        <v>Diez Mil Bolívares con 00/100</v>
      </c>
    </row>
    <row r="2262" spans="1:17" x14ac:dyDescent="0.25">
      <c r="A2262" s="1">
        <f>A2261+1</f>
        <v>2261</v>
      </c>
      <c r="C2262" s="8" t="s">
        <v>17</v>
      </c>
      <c r="D2262" s="2">
        <v>43689</v>
      </c>
      <c r="E2262" s="3">
        <v>10000</v>
      </c>
      <c r="F2262" t="s">
        <v>70</v>
      </c>
      <c r="G2262" t="s">
        <v>71</v>
      </c>
      <c r="H2262" t="s">
        <v>72</v>
      </c>
      <c r="I2262" s="6" t="s">
        <v>1026</v>
      </c>
      <c r="J2262" s="61" t="s">
        <v>22</v>
      </c>
      <c r="L2262" s="5" t="str">
        <f t="shared" si="706"/>
        <v>02261</v>
      </c>
      <c r="M2262" s="47" t="str">
        <f t="shared" si="707"/>
        <v>12 de agosto de 2019</v>
      </c>
      <c r="N2262" s="323">
        <f t="shared" si="708"/>
        <v>12</v>
      </c>
      <c r="O2262" s="25">
        <f t="shared" si="709"/>
        <v>43678</v>
      </c>
      <c r="P2262" s="5" t="str">
        <f t="shared" si="710"/>
        <v>10.000,00</v>
      </c>
      <c r="Q2262" s="4" t="str">
        <f t="shared" si="705"/>
        <v>Diez Mil Bolívares con 00/100</v>
      </c>
    </row>
    <row r="2263" spans="1:17" x14ac:dyDescent="0.25">
      <c r="A2263" s="1">
        <f t="shared" ref="A2263:A2321" si="711">A2262+1</f>
        <v>2262</v>
      </c>
      <c r="C2263" s="8" t="s">
        <v>17</v>
      </c>
      <c r="D2263" s="2">
        <v>43690</v>
      </c>
      <c r="E2263" s="3">
        <v>10000</v>
      </c>
      <c r="F2263" t="s">
        <v>181</v>
      </c>
      <c r="G2263" t="s">
        <v>182</v>
      </c>
      <c r="H2263" t="s">
        <v>183</v>
      </c>
      <c r="I2263" s="6" t="s">
        <v>1026</v>
      </c>
      <c r="J2263" s="61" t="s">
        <v>22</v>
      </c>
      <c r="L2263" s="5" t="str">
        <f t="shared" si="706"/>
        <v>02262</v>
      </c>
      <c r="M2263" s="47" t="str">
        <f t="shared" si="707"/>
        <v>13 de agosto de 2019</v>
      </c>
      <c r="N2263" s="323">
        <f t="shared" si="708"/>
        <v>13</v>
      </c>
      <c r="O2263" s="25">
        <f t="shared" si="709"/>
        <v>43678</v>
      </c>
      <c r="P2263" s="5" t="str">
        <f t="shared" si="710"/>
        <v>10.000,00</v>
      </c>
      <c r="Q2263" s="4" t="str">
        <f t="shared" si="705"/>
        <v>Diez Mil Bolívares con 00/100</v>
      </c>
    </row>
    <row r="2264" spans="1:17" x14ac:dyDescent="0.25">
      <c r="A2264" s="1">
        <f t="shared" si="711"/>
        <v>2263</v>
      </c>
      <c r="C2264" s="8" t="s">
        <v>17</v>
      </c>
      <c r="D2264" s="2">
        <v>43692</v>
      </c>
      <c r="E2264" s="3">
        <v>20000</v>
      </c>
      <c r="F2264" t="s">
        <v>248</v>
      </c>
      <c r="G2264" t="s">
        <v>249</v>
      </c>
      <c r="H2264" t="s">
        <v>250</v>
      </c>
      <c r="I2264" s="6" t="s">
        <v>1025</v>
      </c>
      <c r="J2264" s="61" t="s">
        <v>22</v>
      </c>
      <c r="L2264" s="5" t="str">
        <f t="shared" si="706"/>
        <v>02263</v>
      </c>
      <c r="M2264" s="47" t="str">
        <f t="shared" si="707"/>
        <v>15 de agosto de 2019</v>
      </c>
      <c r="N2264" s="323">
        <f t="shared" si="708"/>
        <v>15</v>
      </c>
      <c r="O2264" s="25">
        <f t="shared" si="709"/>
        <v>43678</v>
      </c>
      <c r="P2264" s="5" t="str">
        <f t="shared" si="710"/>
        <v>20.000,00</v>
      </c>
      <c r="Q2264" s="4" t="str">
        <f t="shared" si="705"/>
        <v>Veinte Mil Bolívares con 00/100</v>
      </c>
    </row>
    <row r="2265" spans="1:17" x14ac:dyDescent="0.25">
      <c r="A2265" s="1">
        <f t="shared" si="711"/>
        <v>2264</v>
      </c>
      <c r="C2265" s="8" t="s">
        <v>17</v>
      </c>
      <c r="D2265" s="2">
        <v>43692</v>
      </c>
      <c r="E2265" s="3">
        <v>25000</v>
      </c>
      <c r="F2265" t="s">
        <v>66</v>
      </c>
      <c r="G2265" t="s">
        <v>67</v>
      </c>
      <c r="H2265" t="s">
        <v>68</v>
      </c>
      <c r="I2265" s="6" t="s">
        <v>1037</v>
      </c>
      <c r="J2265" s="61" t="s">
        <v>22</v>
      </c>
      <c r="L2265" s="5" t="str">
        <f t="shared" si="706"/>
        <v>02264</v>
      </c>
      <c r="M2265" s="47" t="str">
        <f t="shared" si="707"/>
        <v>15 de agosto de 2019</v>
      </c>
      <c r="N2265" s="323">
        <f t="shared" si="708"/>
        <v>15</v>
      </c>
      <c r="O2265" s="25">
        <f t="shared" si="709"/>
        <v>43678</v>
      </c>
      <c r="P2265" s="5" t="str">
        <f t="shared" si="710"/>
        <v>25.000,00</v>
      </c>
      <c r="Q2265" s="4" t="str">
        <f t="shared" si="705"/>
        <v>Veinticinco Mil Bolívares con 00/100</v>
      </c>
    </row>
    <row r="2266" spans="1:17" x14ac:dyDescent="0.25">
      <c r="A2266" s="1">
        <f t="shared" si="711"/>
        <v>2265</v>
      </c>
      <c r="C2266" s="8" t="s">
        <v>17</v>
      </c>
      <c r="D2266" s="2">
        <v>43692</v>
      </c>
      <c r="E2266" s="3">
        <v>10000</v>
      </c>
      <c r="F2266" t="s">
        <v>130</v>
      </c>
      <c r="G2266" t="s">
        <v>131</v>
      </c>
      <c r="H2266" t="s">
        <v>132</v>
      </c>
      <c r="I2266" s="6" t="s">
        <v>1026</v>
      </c>
      <c r="J2266" s="61" t="s">
        <v>22</v>
      </c>
      <c r="L2266" s="5" t="str">
        <f t="shared" si="706"/>
        <v>02265</v>
      </c>
      <c r="M2266" s="47" t="str">
        <f t="shared" si="707"/>
        <v>15 de agosto de 2019</v>
      </c>
      <c r="N2266" s="323">
        <f t="shared" si="708"/>
        <v>15</v>
      </c>
      <c r="O2266" s="25">
        <f t="shared" si="709"/>
        <v>43678</v>
      </c>
      <c r="P2266" s="5" t="str">
        <f t="shared" si="710"/>
        <v>10.000,00</v>
      </c>
      <c r="Q2266" s="4" t="str">
        <f t="shared" si="705"/>
        <v>Diez Mil Bolívares con 00/100</v>
      </c>
    </row>
    <row r="2267" spans="1:17" x14ac:dyDescent="0.25">
      <c r="A2267" s="1">
        <f t="shared" si="711"/>
        <v>2266</v>
      </c>
      <c r="C2267" s="8" t="s">
        <v>17</v>
      </c>
      <c r="D2267" s="2">
        <v>43692</v>
      </c>
      <c r="E2267" s="3">
        <v>20000</v>
      </c>
      <c r="F2267" t="s">
        <v>287</v>
      </c>
      <c r="G2267" t="s">
        <v>288</v>
      </c>
      <c r="H2267" t="s">
        <v>289</v>
      </c>
      <c r="I2267" s="6" t="s">
        <v>1025</v>
      </c>
      <c r="J2267" s="61" t="s">
        <v>22</v>
      </c>
      <c r="L2267" s="5" t="str">
        <f t="shared" si="706"/>
        <v>02266</v>
      </c>
      <c r="M2267" s="47" t="str">
        <f t="shared" si="707"/>
        <v>15 de agosto de 2019</v>
      </c>
      <c r="N2267" s="323">
        <f t="shared" si="708"/>
        <v>15</v>
      </c>
      <c r="O2267" s="25">
        <f t="shared" si="709"/>
        <v>43678</v>
      </c>
      <c r="P2267" s="5" t="str">
        <f t="shared" si="710"/>
        <v>20.000,00</v>
      </c>
      <c r="Q2267" s="4" t="str">
        <f t="shared" si="705"/>
        <v>Veinte Mil Bolívares con 00/100</v>
      </c>
    </row>
    <row r="2268" spans="1:17" x14ac:dyDescent="0.25">
      <c r="A2268" s="1">
        <f t="shared" si="711"/>
        <v>2267</v>
      </c>
      <c r="C2268" s="8" t="s">
        <v>17</v>
      </c>
      <c r="D2268" s="2">
        <v>43692</v>
      </c>
      <c r="E2268" s="3">
        <v>20000</v>
      </c>
      <c r="F2268" t="s">
        <v>94</v>
      </c>
      <c r="G2268" t="s">
        <v>607</v>
      </c>
      <c r="H2268" t="s">
        <v>96</v>
      </c>
      <c r="I2268" s="6" t="s">
        <v>1025</v>
      </c>
      <c r="J2268" s="61" t="s">
        <v>22</v>
      </c>
      <c r="L2268" s="5" t="str">
        <f t="shared" si="706"/>
        <v>02267</v>
      </c>
      <c r="M2268" s="47" t="str">
        <f t="shared" si="707"/>
        <v>15 de agosto de 2019</v>
      </c>
      <c r="N2268" s="323">
        <f t="shared" si="708"/>
        <v>15</v>
      </c>
      <c r="O2268" s="25">
        <f t="shared" si="709"/>
        <v>43678</v>
      </c>
      <c r="P2268" s="5" t="str">
        <f t="shared" si="710"/>
        <v>20.000,00</v>
      </c>
      <c r="Q2268" s="4" t="str">
        <f t="shared" si="705"/>
        <v>Veinte Mil Bolívares con 00/100</v>
      </c>
    </row>
    <row r="2269" spans="1:17" x14ac:dyDescent="0.25">
      <c r="A2269" s="1">
        <f t="shared" si="711"/>
        <v>2268</v>
      </c>
      <c r="C2269" s="8" t="s">
        <v>17</v>
      </c>
      <c r="D2269" s="2">
        <v>43654</v>
      </c>
      <c r="E2269" s="3">
        <v>8000</v>
      </c>
      <c r="F2269" t="s">
        <v>177</v>
      </c>
      <c r="G2269" t="s">
        <v>941</v>
      </c>
      <c r="H2269" t="s">
        <v>179</v>
      </c>
      <c r="I2269" s="6" t="s">
        <v>1038</v>
      </c>
      <c r="J2269" s="61" t="s">
        <v>22</v>
      </c>
      <c r="L2269" s="5" t="str">
        <f t="shared" si="706"/>
        <v>02268</v>
      </c>
      <c r="M2269" s="47" t="str">
        <f t="shared" si="707"/>
        <v>08 de julio de 2019</v>
      </c>
      <c r="N2269" s="323">
        <f t="shared" si="708"/>
        <v>8</v>
      </c>
      <c r="O2269" s="25">
        <f t="shared" si="709"/>
        <v>43647</v>
      </c>
      <c r="P2269" s="5" t="str">
        <f t="shared" si="710"/>
        <v>8.000,00</v>
      </c>
      <c r="Q2269" s="4" t="str">
        <f t="shared" si="705"/>
        <v>Ocho Mil Bolívares con 00/100</v>
      </c>
    </row>
    <row r="2270" spans="1:17" x14ac:dyDescent="0.25">
      <c r="A2270" s="1">
        <f t="shared" si="711"/>
        <v>2269</v>
      </c>
      <c r="C2270" s="8" t="s">
        <v>17</v>
      </c>
      <c r="D2270" s="2">
        <v>43689</v>
      </c>
      <c r="E2270" s="3">
        <v>10000</v>
      </c>
      <c r="F2270" t="s">
        <v>177</v>
      </c>
      <c r="G2270" t="s">
        <v>941</v>
      </c>
      <c r="H2270" t="s">
        <v>179</v>
      </c>
      <c r="I2270" s="6" t="s">
        <v>1039</v>
      </c>
      <c r="J2270" s="61" t="s">
        <v>22</v>
      </c>
      <c r="L2270" s="5" t="str">
        <f t="shared" si="706"/>
        <v>02269</v>
      </c>
      <c r="M2270" s="47" t="str">
        <f t="shared" si="707"/>
        <v>12 de agosto de 2019</v>
      </c>
      <c r="N2270" s="323">
        <f t="shared" si="708"/>
        <v>12</v>
      </c>
      <c r="O2270" s="25">
        <f t="shared" si="709"/>
        <v>43678</v>
      </c>
      <c r="P2270" s="5" t="str">
        <f t="shared" si="710"/>
        <v>10.000,00</v>
      </c>
      <c r="Q2270" s="4" t="str">
        <f t="shared" si="705"/>
        <v>Diez Mil Bolívares con 00/100</v>
      </c>
    </row>
    <row r="2271" spans="1:17" x14ac:dyDescent="0.25">
      <c r="A2271" s="1">
        <f t="shared" si="711"/>
        <v>2270</v>
      </c>
      <c r="C2271" s="8" t="s">
        <v>17</v>
      </c>
      <c r="D2271" s="2">
        <v>43697</v>
      </c>
      <c r="E2271" s="3">
        <v>10000</v>
      </c>
      <c r="F2271" t="s">
        <v>296</v>
      </c>
      <c r="G2271" t="s">
        <v>297</v>
      </c>
      <c r="H2271" t="s">
        <v>298</v>
      </c>
      <c r="I2271" s="6" t="s">
        <v>1026</v>
      </c>
      <c r="J2271" s="61" t="s">
        <v>22</v>
      </c>
      <c r="L2271" s="5" t="str">
        <f t="shared" si="706"/>
        <v>02270</v>
      </c>
      <c r="M2271" s="47" t="str">
        <f t="shared" si="707"/>
        <v>20 de agosto de 2019</v>
      </c>
      <c r="N2271" s="323">
        <f t="shared" si="708"/>
        <v>20</v>
      </c>
      <c r="O2271" s="25">
        <f t="shared" si="709"/>
        <v>43678</v>
      </c>
      <c r="P2271" s="5" t="str">
        <f t="shared" si="710"/>
        <v>10.000,00</v>
      </c>
      <c r="Q2271" s="4" t="str">
        <f t="shared" si="705"/>
        <v>Diez Mil Bolívares con 00/100</v>
      </c>
    </row>
    <row r="2272" spans="1:17" x14ac:dyDescent="0.25">
      <c r="A2272" s="1">
        <f t="shared" si="711"/>
        <v>2271</v>
      </c>
      <c r="C2272" s="8" t="s">
        <v>17</v>
      </c>
      <c r="D2272" s="2">
        <v>43698</v>
      </c>
      <c r="E2272" s="3">
        <v>10000</v>
      </c>
      <c r="F2272" t="s">
        <v>32</v>
      </c>
      <c r="G2272" t="s">
        <v>33</v>
      </c>
      <c r="H2272" t="s">
        <v>34</v>
      </c>
      <c r="I2272" s="6" t="s">
        <v>1007</v>
      </c>
      <c r="J2272" s="61" t="s">
        <v>22</v>
      </c>
      <c r="L2272" s="5" t="str">
        <f t="shared" si="706"/>
        <v>02271</v>
      </c>
      <c r="M2272" s="47" t="str">
        <f t="shared" si="707"/>
        <v>21 de agosto de 2019</v>
      </c>
      <c r="N2272" s="323">
        <f t="shared" si="708"/>
        <v>21</v>
      </c>
      <c r="O2272" s="25">
        <f t="shared" si="709"/>
        <v>43678</v>
      </c>
      <c r="P2272" s="5" t="str">
        <f t="shared" si="710"/>
        <v>10.000,00</v>
      </c>
      <c r="Q2272" s="4" t="str">
        <f t="shared" si="705"/>
        <v>Diez Mil Bolívares con 00/100</v>
      </c>
    </row>
    <row r="2273" spans="1:17" x14ac:dyDescent="0.25">
      <c r="A2273" s="1">
        <f t="shared" si="711"/>
        <v>2272</v>
      </c>
      <c r="C2273" s="8" t="s">
        <v>17</v>
      </c>
      <c r="D2273" s="2">
        <v>43699</v>
      </c>
      <c r="E2273" s="3">
        <v>10000</v>
      </c>
      <c r="F2273" t="s">
        <v>633</v>
      </c>
      <c r="G2273" t="s">
        <v>634</v>
      </c>
      <c r="H2273" t="s">
        <v>635</v>
      </c>
      <c r="I2273" s="6" t="s">
        <v>1026</v>
      </c>
      <c r="J2273" s="61" t="s">
        <v>22</v>
      </c>
      <c r="L2273" s="5" t="str">
        <f t="shared" si="706"/>
        <v>02272</v>
      </c>
      <c r="M2273" s="47" t="str">
        <f t="shared" si="707"/>
        <v>22 de agosto de 2019</v>
      </c>
      <c r="N2273" s="323">
        <f t="shared" si="708"/>
        <v>22</v>
      </c>
      <c r="O2273" s="25">
        <f t="shared" si="709"/>
        <v>43678</v>
      </c>
      <c r="P2273" s="5" t="str">
        <f t="shared" si="710"/>
        <v>10.000,00</v>
      </c>
      <c r="Q2273" s="4" t="str">
        <f t="shared" si="705"/>
        <v>Diez Mil Bolívares con 00/100</v>
      </c>
    </row>
    <row r="2274" spans="1:17" x14ac:dyDescent="0.25">
      <c r="A2274" s="1">
        <f t="shared" si="711"/>
        <v>2273</v>
      </c>
      <c r="C2274" s="8" t="s">
        <v>17</v>
      </c>
      <c r="D2274" s="2">
        <v>43699</v>
      </c>
      <c r="E2274" s="3">
        <v>10000</v>
      </c>
      <c r="F2274" t="s">
        <v>185</v>
      </c>
      <c r="G2274" t="s">
        <v>186</v>
      </c>
      <c r="H2274" t="s">
        <v>187</v>
      </c>
      <c r="I2274" s="6" t="s">
        <v>1026</v>
      </c>
      <c r="J2274" s="61" t="s">
        <v>22</v>
      </c>
      <c r="L2274" s="5" t="str">
        <f t="shared" si="706"/>
        <v>02273</v>
      </c>
      <c r="M2274" s="47" t="str">
        <f t="shared" si="707"/>
        <v>22 de agosto de 2019</v>
      </c>
      <c r="N2274" s="323">
        <f t="shared" si="708"/>
        <v>22</v>
      </c>
      <c r="O2274" s="25">
        <f t="shared" si="709"/>
        <v>43678</v>
      </c>
      <c r="P2274" s="5" t="str">
        <f t="shared" si="710"/>
        <v>10.000,00</v>
      </c>
      <c r="Q2274" s="4" t="str">
        <f t="shared" si="705"/>
        <v>Diez Mil Bolívares con 00/100</v>
      </c>
    </row>
    <row r="2275" spans="1:17" x14ac:dyDescent="0.25">
      <c r="A2275" s="1">
        <f t="shared" si="711"/>
        <v>2274</v>
      </c>
      <c r="C2275" s="8" t="s">
        <v>17</v>
      </c>
      <c r="D2275" s="2">
        <v>43699</v>
      </c>
      <c r="E2275" s="3">
        <v>10000</v>
      </c>
      <c r="F2275" t="s">
        <v>211</v>
      </c>
      <c r="G2275" t="s">
        <v>212</v>
      </c>
      <c r="H2275" t="s">
        <v>213</v>
      </c>
      <c r="I2275" s="6" t="s">
        <v>1026</v>
      </c>
      <c r="J2275" s="61" t="s">
        <v>22</v>
      </c>
      <c r="L2275" s="5" t="str">
        <f t="shared" si="706"/>
        <v>02274</v>
      </c>
      <c r="M2275" s="47" t="str">
        <f t="shared" si="707"/>
        <v>22 de agosto de 2019</v>
      </c>
      <c r="N2275" s="323">
        <f t="shared" si="708"/>
        <v>22</v>
      </c>
      <c r="O2275" s="25">
        <f t="shared" si="709"/>
        <v>43678</v>
      </c>
      <c r="P2275" s="5" t="str">
        <f t="shared" si="710"/>
        <v>10.000,00</v>
      </c>
      <c r="Q2275" s="4" t="str">
        <f t="shared" si="705"/>
        <v>Diez Mil Bolívares con 00/100</v>
      </c>
    </row>
    <row r="2276" spans="1:17" x14ac:dyDescent="0.25">
      <c r="A2276" s="1">
        <f t="shared" si="711"/>
        <v>2275</v>
      </c>
      <c r="C2276" s="8" t="s">
        <v>17</v>
      </c>
      <c r="D2276" s="2">
        <v>43700</v>
      </c>
      <c r="E2276" s="3">
        <v>5000</v>
      </c>
      <c r="F2276" t="s">
        <v>401</v>
      </c>
      <c r="G2276" t="s">
        <v>402</v>
      </c>
      <c r="H2276" t="s">
        <v>403</v>
      </c>
      <c r="I2276" s="6" t="s">
        <v>1027</v>
      </c>
      <c r="J2276" s="61" t="s">
        <v>22</v>
      </c>
      <c r="L2276" s="5" t="str">
        <f t="shared" si="706"/>
        <v>02275</v>
      </c>
      <c r="M2276" s="47" t="str">
        <f t="shared" si="707"/>
        <v>23 de agosto de 2019</v>
      </c>
      <c r="N2276" s="323">
        <f t="shared" si="708"/>
        <v>23</v>
      </c>
      <c r="O2276" s="25">
        <f t="shared" si="709"/>
        <v>43678</v>
      </c>
      <c r="P2276" s="5" t="str">
        <f t="shared" si="710"/>
        <v>5.000,00</v>
      </c>
      <c r="Q2276" s="4" t="str">
        <f t="shared" si="705"/>
        <v>Cinco Mil Bolívares con 00/100</v>
      </c>
    </row>
    <row r="2277" spans="1:17" x14ac:dyDescent="0.25">
      <c r="A2277" s="1">
        <f t="shared" si="711"/>
        <v>2276</v>
      </c>
      <c r="C2277" s="8" t="s">
        <v>17</v>
      </c>
      <c r="D2277" s="2">
        <v>43701</v>
      </c>
      <c r="E2277" s="3">
        <v>10000</v>
      </c>
      <c r="F2277" t="s">
        <v>126</v>
      </c>
      <c r="G2277" t="s">
        <v>127</v>
      </c>
      <c r="H2277" t="s">
        <v>128</v>
      </c>
      <c r="I2277" s="6" t="s">
        <v>1026</v>
      </c>
      <c r="J2277" s="61" t="s">
        <v>22</v>
      </c>
      <c r="L2277" s="5" t="str">
        <f t="shared" si="706"/>
        <v>02276</v>
      </c>
      <c r="M2277" s="47" t="str">
        <f t="shared" si="707"/>
        <v>24 de agosto de 2019</v>
      </c>
      <c r="N2277" s="323">
        <f t="shared" si="708"/>
        <v>24</v>
      </c>
      <c r="O2277" s="25">
        <f t="shared" si="709"/>
        <v>43678</v>
      </c>
      <c r="P2277" s="5" t="str">
        <f t="shared" si="710"/>
        <v>10.000,00</v>
      </c>
      <c r="Q2277" s="4" t="str">
        <f t="shared" si="705"/>
        <v>Diez Mil Bolívares con 00/100</v>
      </c>
    </row>
    <row r="2278" spans="1:17" x14ac:dyDescent="0.25">
      <c r="A2278" s="1">
        <f t="shared" si="711"/>
        <v>2277</v>
      </c>
      <c r="C2278" s="8" t="s">
        <v>17</v>
      </c>
      <c r="D2278" s="2">
        <v>43702</v>
      </c>
      <c r="E2278" s="3">
        <v>20000</v>
      </c>
      <c r="F2278" t="s">
        <v>197</v>
      </c>
      <c r="G2278" t="s">
        <v>198</v>
      </c>
      <c r="H2278" t="s">
        <v>199</v>
      </c>
      <c r="I2278" s="6" t="s">
        <v>1025</v>
      </c>
      <c r="J2278" s="61" t="s">
        <v>22</v>
      </c>
      <c r="L2278" s="5" t="str">
        <f t="shared" si="706"/>
        <v>02277</v>
      </c>
      <c r="M2278" s="47" t="str">
        <f t="shared" si="707"/>
        <v>25 de agosto de 2019</v>
      </c>
      <c r="N2278" s="323">
        <f t="shared" si="708"/>
        <v>25</v>
      </c>
      <c r="O2278" s="25">
        <f t="shared" si="709"/>
        <v>43678</v>
      </c>
      <c r="P2278" s="5" t="str">
        <f t="shared" si="710"/>
        <v>20.000,00</v>
      </c>
      <c r="Q2278" s="4" t="str">
        <f t="shared" si="705"/>
        <v>Veinte Mil Bolívares con 00/100</v>
      </c>
    </row>
    <row r="2279" spans="1:17" x14ac:dyDescent="0.25">
      <c r="A2279" s="1">
        <f t="shared" si="711"/>
        <v>2278</v>
      </c>
      <c r="C2279" s="8" t="s">
        <v>17</v>
      </c>
      <c r="D2279" s="2">
        <v>43703</v>
      </c>
      <c r="E2279" s="3">
        <v>10000</v>
      </c>
      <c r="F2279" t="s">
        <v>1015</v>
      </c>
      <c r="G2279" t="s">
        <v>1016</v>
      </c>
      <c r="H2279" t="s">
        <v>59</v>
      </c>
      <c r="I2279" s="6" t="s">
        <v>1026</v>
      </c>
      <c r="J2279" s="61" t="s">
        <v>22</v>
      </c>
      <c r="L2279" s="5" t="str">
        <f t="shared" si="706"/>
        <v>02278</v>
      </c>
      <c r="M2279" s="47" t="str">
        <f t="shared" si="707"/>
        <v>26 de agosto de 2019</v>
      </c>
      <c r="N2279" s="323">
        <f t="shared" si="708"/>
        <v>26</v>
      </c>
      <c r="O2279" s="25">
        <f t="shared" si="709"/>
        <v>43678</v>
      </c>
      <c r="P2279" s="5" t="str">
        <f t="shared" si="710"/>
        <v>10.000,00</v>
      </c>
      <c r="Q2279" s="4" t="str">
        <f>CONVERTIRNUM(E2279)</f>
        <v>Diez Mil Bolívares con 00/100</v>
      </c>
    </row>
    <row r="2280" spans="1:17" x14ac:dyDescent="0.25">
      <c r="A2280" s="1">
        <f t="shared" si="711"/>
        <v>2279</v>
      </c>
      <c r="C2280" s="8" t="s">
        <v>17</v>
      </c>
      <c r="D2280" s="2">
        <v>43703</v>
      </c>
      <c r="E2280" s="3">
        <v>20000</v>
      </c>
      <c r="F2280" t="s">
        <v>53</v>
      </c>
      <c r="G2280" t="s">
        <v>677</v>
      </c>
      <c r="H2280" t="s">
        <v>55</v>
      </c>
      <c r="I2280" s="6" t="s">
        <v>1031</v>
      </c>
      <c r="J2280" s="61" t="s">
        <v>22</v>
      </c>
      <c r="L2280" s="5" t="str">
        <f t="shared" si="706"/>
        <v>02279</v>
      </c>
      <c r="M2280" s="47" t="str">
        <f t="shared" si="707"/>
        <v>26 de agosto de 2019</v>
      </c>
      <c r="N2280" s="323">
        <f t="shared" si="708"/>
        <v>26</v>
      </c>
      <c r="O2280" s="25">
        <f t="shared" si="709"/>
        <v>43678</v>
      </c>
      <c r="P2280" s="5" t="str">
        <f t="shared" si="710"/>
        <v>20.000,00</v>
      </c>
      <c r="Q2280" s="4" t="str">
        <f t="shared" ref="Q2280:Q2282" si="712">CONVERTIRNUM(E2280)</f>
        <v>Veinte Mil Bolívares con 00/100</v>
      </c>
    </row>
    <row r="2281" spans="1:17" x14ac:dyDescent="0.25">
      <c r="A2281" s="1">
        <f t="shared" si="711"/>
        <v>2280</v>
      </c>
      <c r="C2281" s="8" t="s">
        <v>17</v>
      </c>
      <c r="D2281" s="2">
        <v>43703</v>
      </c>
      <c r="E2281" s="3">
        <v>10000</v>
      </c>
      <c r="F2281" t="s">
        <v>53</v>
      </c>
      <c r="G2281" t="s">
        <v>677</v>
      </c>
      <c r="H2281" t="s">
        <v>55</v>
      </c>
      <c r="I2281" s="6" t="s">
        <v>732</v>
      </c>
      <c r="J2281" s="61" t="s">
        <v>733</v>
      </c>
      <c r="L2281" s="5" t="str">
        <f t="shared" si="706"/>
        <v>02280</v>
      </c>
      <c r="M2281" s="47" t="str">
        <f t="shared" si="707"/>
        <v>26 de agosto de 2019</v>
      </c>
      <c r="N2281" s="323">
        <f t="shared" si="708"/>
        <v>26</v>
      </c>
      <c r="O2281" s="25">
        <f t="shared" si="709"/>
        <v>43678</v>
      </c>
      <c r="P2281" s="5" t="str">
        <f t="shared" si="710"/>
        <v>10.000,00</v>
      </c>
      <c r="Q2281" s="4" t="str">
        <f t="shared" si="712"/>
        <v>Diez Mil Bolívares con 00/100</v>
      </c>
    </row>
    <row r="2282" spans="1:17" x14ac:dyDescent="0.25">
      <c r="A2282" s="1">
        <f t="shared" si="711"/>
        <v>2281</v>
      </c>
      <c r="C2282" s="8" t="s">
        <v>17</v>
      </c>
      <c r="D2282" s="2">
        <v>43703</v>
      </c>
      <c r="E2282" s="3">
        <v>10000</v>
      </c>
      <c r="F2282" t="s">
        <v>935</v>
      </c>
      <c r="G2282" t="s">
        <v>936</v>
      </c>
      <c r="H2282" t="s">
        <v>150</v>
      </c>
      <c r="I2282" s="6" t="s">
        <v>1026</v>
      </c>
      <c r="J2282" s="61" t="s">
        <v>22</v>
      </c>
      <c r="L2282" s="5" t="str">
        <f t="shared" si="706"/>
        <v>02281</v>
      </c>
      <c r="M2282" s="47" t="str">
        <f t="shared" si="707"/>
        <v>26 de agosto de 2019</v>
      </c>
      <c r="N2282" s="323">
        <f t="shared" si="708"/>
        <v>26</v>
      </c>
      <c r="O2282" s="25">
        <f t="shared" si="709"/>
        <v>43678</v>
      </c>
      <c r="P2282" s="5" t="str">
        <f t="shared" si="710"/>
        <v>10.000,00</v>
      </c>
      <c r="Q2282" s="4" t="str">
        <f t="shared" si="712"/>
        <v>Diez Mil Bolívares con 00/100</v>
      </c>
    </row>
    <row r="2283" spans="1:17" x14ac:dyDescent="0.25">
      <c r="A2283" s="1">
        <f t="shared" si="711"/>
        <v>2282</v>
      </c>
      <c r="C2283" s="8" t="s">
        <v>17</v>
      </c>
      <c r="D2283" s="2">
        <v>43704</v>
      </c>
      <c r="E2283" s="3">
        <v>10000</v>
      </c>
      <c r="F2283" t="s">
        <v>1017</v>
      </c>
      <c r="G2283" s="475" t="s">
        <v>1018</v>
      </c>
      <c r="H2283" t="s">
        <v>140</v>
      </c>
      <c r="I2283" s="6" t="s">
        <v>1026</v>
      </c>
      <c r="J2283" s="61" t="s">
        <v>22</v>
      </c>
      <c r="L2283" s="5" t="str">
        <f t="shared" si="706"/>
        <v>02282</v>
      </c>
      <c r="M2283" s="47" t="str">
        <f t="shared" si="707"/>
        <v>27 de agosto de 2019</v>
      </c>
      <c r="N2283" s="323">
        <f t="shared" si="708"/>
        <v>27</v>
      </c>
      <c r="O2283" s="25">
        <f t="shared" si="709"/>
        <v>43678</v>
      </c>
      <c r="P2283" s="5" t="str">
        <f t="shared" si="710"/>
        <v>10.000,00</v>
      </c>
      <c r="Q2283" s="4" t="str">
        <f t="shared" si="705"/>
        <v>Diez Mil Bolívares con 00/100</v>
      </c>
    </row>
    <row r="2284" spans="1:17" x14ac:dyDescent="0.25">
      <c r="A2284" s="1">
        <f t="shared" si="711"/>
        <v>2283</v>
      </c>
      <c r="C2284" s="85" t="s">
        <v>17</v>
      </c>
      <c r="D2284" s="2">
        <v>43704</v>
      </c>
      <c r="E2284" s="162">
        <v>10000</v>
      </c>
      <c r="F2284" t="s">
        <v>492</v>
      </c>
      <c r="G2284" s="18" t="s">
        <v>58</v>
      </c>
      <c r="H2284" t="s">
        <v>493</v>
      </c>
      <c r="I2284" s="6" t="s">
        <v>1026</v>
      </c>
      <c r="J2284" s="61" t="s">
        <v>22</v>
      </c>
      <c r="L2284" s="5" t="str">
        <f t="shared" si="706"/>
        <v>02283</v>
      </c>
      <c r="M2284" s="47" t="str">
        <f t="shared" si="707"/>
        <v>27 de agosto de 2019</v>
      </c>
      <c r="N2284" s="323">
        <f t="shared" si="708"/>
        <v>27</v>
      </c>
      <c r="O2284" s="25">
        <f t="shared" si="709"/>
        <v>43678</v>
      </c>
      <c r="P2284" s="5" t="str">
        <f t="shared" si="710"/>
        <v>10.000,00</v>
      </c>
      <c r="Q2284" s="4" t="str">
        <f t="shared" si="705"/>
        <v>Diez Mil Bolívares con 00/100</v>
      </c>
    </row>
    <row r="2285" spans="1:17" x14ac:dyDescent="0.25">
      <c r="A2285" s="1">
        <f t="shared" si="711"/>
        <v>2284</v>
      </c>
      <c r="C2285" s="8" t="s">
        <v>17</v>
      </c>
      <c r="D2285" s="2">
        <v>43704</v>
      </c>
      <c r="E2285" s="3">
        <v>10000</v>
      </c>
      <c r="F2285" t="s">
        <v>62</v>
      </c>
      <c r="G2285" t="s">
        <v>63</v>
      </c>
      <c r="H2285" t="s">
        <v>64</v>
      </c>
      <c r="I2285" s="6" t="s">
        <v>1026</v>
      </c>
      <c r="J2285" s="61" t="s">
        <v>22</v>
      </c>
      <c r="L2285" s="5" t="str">
        <f t="shared" si="706"/>
        <v>02284</v>
      </c>
      <c r="M2285" s="47" t="str">
        <f t="shared" si="707"/>
        <v>27 de agosto de 2019</v>
      </c>
      <c r="N2285" s="323">
        <f t="shared" si="708"/>
        <v>27</v>
      </c>
      <c r="O2285" s="25">
        <f t="shared" si="709"/>
        <v>43678</v>
      </c>
      <c r="P2285" s="5" t="str">
        <f t="shared" si="710"/>
        <v>10.000,00</v>
      </c>
      <c r="Q2285" s="4" t="str">
        <f t="shared" si="705"/>
        <v>Diez Mil Bolívares con 00/100</v>
      </c>
    </row>
    <row r="2286" spans="1:17" x14ac:dyDescent="0.25">
      <c r="A2286" s="1">
        <f t="shared" si="711"/>
        <v>2285</v>
      </c>
      <c r="C2286" s="8" t="s">
        <v>17</v>
      </c>
      <c r="D2286" s="2">
        <v>43703</v>
      </c>
      <c r="E2286" s="3">
        <v>20000</v>
      </c>
      <c r="F2286" t="s">
        <v>284</v>
      </c>
      <c r="G2286" t="s">
        <v>687</v>
      </c>
      <c r="H2286" t="s">
        <v>285</v>
      </c>
      <c r="I2286" s="6" t="s">
        <v>1025</v>
      </c>
      <c r="J2286" s="61" t="s">
        <v>22</v>
      </c>
      <c r="L2286" s="5" t="str">
        <f t="shared" si="706"/>
        <v>02285</v>
      </c>
      <c r="M2286" s="47" t="str">
        <f t="shared" si="707"/>
        <v>26 de agosto de 2019</v>
      </c>
      <c r="N2286" s="323">
        <f t="shared" si="708"/>
        <v>26</v>
      </c>
      <c r="O2286" s="25">
        <f t="shared" si="709"/>
        <v>43678</v>
      </c>
      <c r="P2286" s="5" t="str">
        <f t="shared" si="710"/>
        <v>20.000,00</v>
      </c>
      <c r="Q2286" s="4" t="str">
        <f t="shared" si="705"/>
        <v>Veinte Mil Bolívares con 00/100</v>
      </c>
    </row>
    <row r="2287" spans="1:17" x14ac:dyDescent="0.25">
      <c r="A2287" s="1">
        <f t="shared" si="711"/>
        <v>2286</v>
      </c>
      <c r="C2287" s="8" t="s">
        <v>17</v>
      </c>
      <c r="D2287" s="2">
        <v>43705</v>
      </c>
      <c r="E2287" s="3">
        <v>10000</v>
      </c>
      <c r="F2287" t="s">
        <v>252</v>
      </c>
      <c r="G2287" s="475" t="s">
        <v>958</v>
      </c>
      <c r="H2287" t="s">
        <v>254</v>
      </c>
      <c r="I2287" s="6" t="s">
        <v>1035</v>
      </c>
      <c r="J2287" s="61" t="s">
        <v>22</v>
      </c>
      <c r="L2287" s="5" t="str">
        <f t="shared" si="706"/>
        <v>02286</v>
      </c>
      <c r="M2287" s="47" t="str">
        <f t="shared" si="707"/>
        <v>28 de agosto de 2019</v>
      </c>
      <c r="N2287" s="323">
        <f t="shared" si="708"/>
        <v>28</v>
      </c>
      <c r="O2287" s="25">
        <f t="shared" si="709"/>
        <v>43678</v>
      </c>
      <c r="P2287" s="5" t="str">
        <f t="shared" si="710"/>
        <v>10.000,00</v>
      </c>
      <c r="Q2287" s="4" t="str">
        <f t="shared" si="705"/>
        <v>Diez Mil Bolívares con 00/100</v>
      </c>
    </row>
    <row r="2288" spans="1:17" x14ac:dyDescent="0.25">
      <c r="A2288" s="1">
        <f t="shared" si="711"/>
        <v>2287</v>
      </c>
      <c r="C2288" s="8" t="s">
        <v>17</v>
      </c>
      <c r="D2288" s="2">
        <v>43699</v>
      </c>
      <c r="E2288" s="3">
        <v>12000</v>
      </c>
      <c r="F2288" t="s">
        <v>843</v>
      </c>
      <c r="G2288" t="s">
        <v>844</v>
      </c>
      <c r="H2288" t="s">
        <v>169</v>
      </c>
      <c r="I2288" s="6" t="s">
        <v>1040</v>
      </c>
      <c r="J2288" s="61" t="s">
        <v>22</v>
      </c>
      <c r="L2288" s="5" t="str">
        <f t="shared" si="706"/>
        <v>02287</v>
      </c>
      <c r="M2288" s="47" t="str">
        <f t="shared" si="707"/>
        <v>22 de agosto de 2019</v>
      </c>
      <c r="N2288" s="323">
        <f t="shared" si="708"/>
        <v>22</v>
      </c>
      <c r="O2288" s="25">
        <f t="shared" si="709"/>
        <v>43678</v>
      </c>
      <c r="P2288" s="5" t="str">
        <f t="shared" si="710"/>
        <v>12.000,00</v>
      </c>
      <c r="Q2288" s="4" t="str">
        <f t="shared" si="705"/>
        <v>Doce Mil Bolívares con 00/100</v>
      </c>
    </row>
    <row r="2289" spans="1:17" x14ac:dyDescent="0.25">
      <c r="A2289" s="1">
        <f t="shared" si="711"/>
        <v>2288</v>
      </c>
      <c r="C2289" s="8" t="s">
        <v>17</v>
      </c>
      <c r="D2289" s="2">
        <v>43704</v>
      </c>
      <c r="E2289" s="3">
        <v>10000</v>
      </c>
      <c r="F2289" t="s">
        <v>103</v>
      </c>
      <c r="G2289" t="s">
        <v>104</v>
      </c>
      <c r="H2289" t="s">
        <v>105</v>
      </c>
      <c r="I2289" s="6" t="s">
        <v>1026</v>
      </c>
      <c r="J2289" s="61" t="s">
        <v>22</v>
      </c>
      <c r="L2289" s="5" t="str">
        <f t="shared" si="706"/>
        <v>02288</v>
      </c>
      <c r="M2289" s="47" t="str">
        <f t="shared" si="707"/>
        <v>27 de agosto de 2019</v>
      </c>
      <c r="N2289" s="323">
        <f t="shared" si="708"/>
        <v>27</v>
      </c>
      <c r="O2289" s="25">
        <f t="shared" si="709"/>
        <v>43678</v>
      </c>
      <c r="P2289" s="5" t="str">
        <f t="shared" si="710"/>
        <v>10.000,00</v>
      </c>
      <c r="Q2289" s="4" t="str">
        <f t="shared" si="705"/>
        <v>Diez Mil Bolívares con 00/100</v>
      </c>
    </row>
    <row r="2290" spans="1:17" x14ac:dyDescent="0.25">
      <c r="A2290" s="1">
        <f t="shared" si="711"/>
        <v>2289</v>
      </c>
      <c r="C2290" s="8" t="s">
        <v>17</v>
      </c>
      <c r="D2290" s="2">
        <v>43696</v>
      </c>
      <c r="E2290" s="3">
        <v>10000</v>
      </c>
      <c r="F2290" t="s">
        <v>1004</v>
      </c>
      <c r="G2290" t="s">
        <v>1005</v>
      </c>
      <c r="H2290" t="s">
        <v>539</v>
      </c>
      <c r="I2290" s="6" t="s">
        <v>1026</v>
      </c>
      <c r="J2290" s="61" t="s">
        <v>22</v>
      </c>
      <c r="L2290" s="5" t="str">
        <f t="shared" si="706"/>
        <v>02289</v>
      </c>
      <c r="M2290" s="47" t="str">
        <f t="shared" si="707"/>
        <v>19 de agosto de 2019</v>
      </c>
      <c r="N2290" s="323">
        <f t="shared" si="708"/>
        <v>19</v>
      </c>
      <c r="O2290" s="25">
        <f t="shared" si="709"/>
        <v>43678</v>
      </c>
      <c r="P2290" s="5" t="str">
        <f t="shared" si="710"/>
        <v>10.000,00</v>
      </c>
      <c r="Q2290" s="4" t="str">
        <f t="shared" si="705"/>
        <v>Diez Mil Bolívares con 00/100</v>
      </c>
    </row>
    <row r="2291" spans="1:17" x14ac:dyDescent="0.25">
      <c r="A2291" s="1">
        <f t="shared" si="711"/>
        <v>2290</v>
      </c>
      <c r="C2291" s="8" t="s">
        <v>17</v>
      </c>
      <c r="D2291" s="2">
        <v>43705</v>
      </c>
      <c r="E2291" s="3">
        <v>10000</v>
      </c>
      <c r="F2291" t="s">
        <v>612</v>
      </c>
      <c r="G2291" t="s">
        <v>613</v>
      </c>
      <c r="H2291" t="s">
        <v>614</v>
      </c>
      <c r="I2291" s="6" t="s">
        <v>1026</v>
      </c>
      <c r="J2291" s="61" t="s">
        <v>22</v>
      </c>
      <c r="L2291" s="5" t="str">
        <f t="shared" si="706"/>
        <v>02290</v>
      </c>
      <c r="M2291" s="47" t="str">
        <f t="shared" si="707"/>
        <v>28 de agosto de 2019</v>
      </c>
      <c r="N2291" s="323">
        <f t="shared" si="708"/>
        <v>28</v>
      </c>
      <c r="O2291" s="25">
        <f t="shared" si="709"/>
        <v>43678</v>
      </c>
      <c r="P2291" s="5" t="str">
        <f t="shared" si="710"/>
        <v>10.000,00</v>
      </c>
      <c r="Q2291" s="4" t="str">
        <f t="shared" ref="Q2291:Q2305" si="713">CONVERTIRNUM(E2291)</f>
        <v>Diez Mil Bolívares con 00/100</v>
      </c>
    </row>
    <row r="2292" spans="1:17" x14ac:dyDescent="0.25">
      <c r="A2292" s="1">
        <f t="shared" si="711"/>
        <v>2291</v>
      </c>
      <c r="C2292" s="8" t="s">
        <v>17</v>
      </c>
      <c r="D2292" s="2">
        <v>43705</v>
      </c>
      <c r="E2292" s="3">
        <v>10000</v>
      </c>
      <c r="F2292" t="s">
        <v>239</v>
      </c>
      <c r="G2292" s="73" t="s">
        <v>240</v>
      </c>
      <c r="H2292" t="s">
        <v>241</v>
      </c>
      <c r="I2292" s="6" t="s">
        <v>1026</v>
      </c>
      <c r="J2292" s="61" t="s">
        <v>22</v>
      </c>
      <c r="L2292" s="5" t="str">
        <f t="shared" si="706"/>
        <v>02291</v>
      </c>
      <c r="M2292" s="47" t="str">
        <f t="shared" si="707"/>
        <v>28 de agosto de 2019</v>
      </c>
      <c r="N2292" s="323">
        <f t="shared" si="708"/>
        <v>28</v>
      </c>
      <c r="O2292" s="25">
        <f t="shared" si="709"/>
        <v>43678</v>
      </c>
      <c r="P2292" s="5" t="str">
        <f t="shared" si="710"/>
        <v>10.000,00</v>
      </c>
      <c r="Q2292" s="4" t="str">
        <f t="shared" si="713"/>
        <v>Diez Mil Bolívares con 00/100</v>
      </c>
    </row>
    <row r="2293" spans="1:17" x14ac:dyDescent="0.25">
      <c r="A2293" s="1">
        <f t="shared" si="711"/>
        <v>2292</v>
      </c>
      <c r="C2293" s="8" t="s">
        <v>17</v>
      </c>
      <c r="D2293" s="2">
        <v>43705</v>
      </c>
      <c r="E2293" s="3">
        <v>20000</v>
      </c>
      <c r="F2293" t="s">
        <v>243</v>
      </c>
      <c r="G2293" t="s">
        <v>244</v>
      </c>
      <c r="H2293" t="s">
        <v>245</v>
      </c>
      <c r="I2293" s="6" t="s">
        <v>1031</v>
      </c>
      <c r="J2293" s="61" t="s">
        <v>22</v>
      </c>
      <c r="L2293" s="5" t="str">
        <f>IF(ISBLANK(A2293),"",TEXT(A2293,"00000"))</f>
        <v>02292</v>
      </c>
      <c r="M2293" s="47" t="str">
        <f>IF(ISBLANK(D2293),"",TEXT(D2293,"dd")&amp;" de "&amp;TEXT(D2293,"mmmm")&amp;" de "&amp;TEXT(YEAR(D2293),"0"))</f>
        <v>28 de agosto de 2019</v>
      </c>
      <c r="N2293" s="323">
        <f t="shared" si="708"/>
        <v>28</v>
      </c>
      <c r="O2293" s="25">
        <f>DATE(YEAR(D2293),MONTH(D2293),1)</f>
        <v>43678</v>
      </c>
      <c r="P2293" s="5" t="str">
        <f t="shared" si="710"/>
        <v>20.000,00</v>
      </c>
      <c r="Q2293" s="4" t="str">
        <f t="shared" si="713"/>
        <v>Veinte Mil Bolívares con 00/100</v>
      </c>
    </row>
    <row r="2294" spans="1:17" x14ac:dyDescent="0.25">
      <c r="A2294" s="1">
        <f t="shared" si="711"/>
        <v>2293</v>
      </c>
      <c r="C2294" s="8" t="s">
        <v>17</v>
      </c>
      <c r="D2294" s="2">
        <v>43706</v>
      </c>
      <c r="E2294" s="3">
        <v>10000</v>
      </c>
      <c r="F2294" t="s">
        <v>417</v>
      </c>
      <c r="G2294" t="s">
        <v>418</v>
      </c>
      <c r="H2294" t="s">
        <v>419</v>
      </c>
      <c r="I2294" s="6" t="s">
        <v>1026</v>
      </c>
      <c r="J2294" s="61" t="s">
        <v>22</v>
      </c>
      <c r="L2294" s="5" t="str">
        <f t="shared" ref="L2294:L2305" si="714">IF(ISBLANK(A2294),"",TEXT(A2294,"00000"))</f>
        <v>02293</v>
      </c>
      <c r="M2294" s="47" t="str">
        <f t="shared" ref="M2294:M2305" si="715">IF(ISBLANK(D2294),"",TEXT(D2294,"dd")&amp;" de "&amp;TEXT(D2294,"mmmm")&amp;" de "&amp;TEXT(YEAR(D2294),"0"))</f>
        <v>29 de agosto de 2019</v>
      </c>
      <c r="N2294" s="323">
        <f t="shared" si="708"/>
        <v>29</v>
      </c>
      <c r="O2294" s="25">
        <f t="shared" ref="O2294:O2305" si="716">DATE(YEAR(D2294),MONTH(D2294),1)</f>
        <v>43678</v>
      </c>
      <c r="P2294" s="5" t="str">
        <f t="shared" si="710"/>
        <v>10.000,00</v>
      </c>
      <c r="Q2294" s="4" t="str">
        <f t="shared" si="713"/>
        <v>Diez Mil Bolívares con 00/100</v>
      </c>
    </row>
    <row r="2295" spans="1:17" x14ac:dyDescent="0.25">
      <c r="A2295" s="1">
        <f t="shared" si="711"/>
        <v>2294</v>
      </c>
      <c r="C2295" s="8" t="s">
        <v>17</v>
      </c>
      <c r="D2295" s="2">
        <v>43706</v>
      </c>
      <c r="E2295" s="3">
        <v>5000</v>
      </c>
      <c r="F2295" t="s">
        <v>433</v>
      </c>
      <c r="G2295" t="s">
        <v>434</v>
      </c>
      <c r="H2295" t="s">
        <v>435</v>
      </c>
      <c r="I2295" s="6" t="s">
        <v>1027</v>
      </c>
      <c r="J2295" s="61" t="s">
        <v>22</v>
      </c>
      <c r="L2295" s="5" t="str">
        <f t="shared" si="714"/>
        <v>02294</v>
      </c>
      <c r="M2295" s="47" t="str">
        <f t="shared" si="715"/>
        <v>29 de agosto de 2019</v>
      </c>
      <c r="N2295" s="323">
        <f t="shared" si="708"/>
        <v>29</v>
      </c>
      <c r="O2295" s="25">
        <f t="shared" si="716"/>
        <v>43678</v>
      </c>
      <c r="P2295" s="5" t="str">
        <f t="shared" si="710"/>
        <v>5.000,00</v>
      </c>
      <c r="Q2295" s="4" t="str">
        <f t="shared" si="713"/>
        <v>Cinco Mil Bolívares con 00/100</v>
      </c>
    </row>
    <row r="2296" spans="1:17" x14ac:dyDescent="0.25">
      <c r="A2296" s="1">
        <f t="shared" si="711"/>
        <v>2295</v>
      </c>
      <c r="C2296" s="8" t="s">
        <v>17</v>
      </c>
      <c r="D2296" s="2">
        <v>43706</v>
      </c>
      <c r="E2296" s="3">
        <v>30000</v>
      </c>
      <c r="F2296" t="s">
        <v>90</v>
      </c>
      <c r="G2296" s="475" t="s">
        <v>978</v>
      </c>
      <c r="H2296" t="s">
        <v>92</v>
      </c>
      <c r="I2296" s="6" t="s">
        <v>1031</v>
      </c>
      <c r="J2296" s="61" t="s">
        <v>22</v>
      </c>
      <c r="L2296" s="5" t="str">
        <f t="shared" si="714"/>
        <v>02295</v>
      </c>
      <c r="M2296" s="47" t="str">
        <f t="shared" si="715"/>
        <v>29 de agosto de 2019</v>
      </c>
      <c r="N2296" s="323">
        <f t="shared" si="708"/>
        <v>29</v>
      </c>
      <c r="O2296" s="25">
        <f t="shared" si="716"/>
        <v>43678</v>
      </c>
      <c r="P2296" s="5" t="str">
        <f t="shared" si="710"/>
        <v>30.000,00</v>
      </c>
      <c r="Q2296" s="4" t="str">
        <f t="shared" si="713"/>
        <v>Treinta Mil Bolívares con 00/100</v>
      </c>
    </row>
    <row r="2297" spans="1:17" x14ac:dyDescent="0.25">
      <c r="A2297" s="1">
        <f t="shared" si="711"/>
        <v>2296</v>
      </c>
      <c r="C2297" s="8" t="s">
        <v>17</v>
      </c>
      <c r="D2297" s="2">
        <v>43706</v>
      </c>
      <c r="E2297" s="3">
        <v>10000</v>
      </c>
      <c r="F2297" t="s">
        <v>334</v>
      </c>
      <c r="G2297" t="s">
        <v>85</v>
      </c>
      <c r="H2297" t="s">
        <v>335</v>
      </c>
      <c r="I2297" s="6" t="s">
        <v>1035</v>
      </c>
      <c r="J2297" s="61" t="s">
        <v>22</v>
      </c>
      <c r="L2297" s="5" t="str">
        <f t="shared" si="714"/>
        <v>02296</v>
      </c>
      <c r="M2297" s="47" t="str">
        <f t="shared" si="715"/>
        <v>29 de agosto de 2019</v>
      </c>
      <c r="N2297" s="323">
        <f t="shared" si="708"/>
        <v>29</v>
      </c>
      <c r="O2297" s="25">
        <f t="shared" si="716"/>
        <v>43678</v>
      </c>
      <c r="P2297" s="5" t="str">
        <f t="shared" si="710"/>
        <v>10.000,00</v>
      </c>
      <c r="Q2297" s="4" t="str">
        <f t="shared" si="713"/>
        <v>Diez Mil Bolívares con 00/100</v>
      </c>
    </row>
    <row r="2298" spans="1:17" x14ac:dyDescent="0.25">
      <c r="A2298" s="1">
        <f t="shared" si="711"/>
        <v>2297</v>
      </c>
      <c r="C2298" s="8" t="s">
        <v>17</v>
      </c>
      <c r="D2298" s="2">
        <v>43706</v>
      </c>
      <c r="E2298" s="3">
        <v>10000</v>
      </c>
      <c r="F2298" t="s">
        <v>84</v>
      </c>
      <c r="G2298" t="s">
        <v>85</v>
      </c>
      <c r="H2298" t="s">
        <v>86</v>
      </c>
      <c r="I2298" s="6" t="s">
        <v>1035</v>
      </c>
      <c r="J2298" s="61" t="s">
        <v>22</v>
      </c>
      <c r="L2298" s="5" t="str">
        <f t="shared" si="714"/>
        <v>02297</v>
      </c>
      <c r="M2298" s="47" t="str">
        <f t="shared" si="715"/>
        <v>29 de agosto de 2019</v>
      </c>
      <c r="N2298" s="323">
        <f t="shared" si="708"/>
        <v>29</v>
      </c>
      <c r="O2298" s="25">
        <f t="shared" si="716"/>
        <v>43678</v>
      </c>
      <c r="P2298" s="5" t="str">
        <f t="shared" si="710"/>
        <v>10.000,00</v>
      </c>
      <c r="Q2298" s="4" t="str">
        <f t="shared" si="713"/>
        <v>Diez Mil Bolívares con 00/100</v>
      </c>
    </row>
    <row r="2299" spans="1:17" x14ac:dyDescent="0.25">
      <c r="A2299" s="1">
        <f t="shared" si="711"/>
        <v>2298</v>
      </c>
      <c r="C2299" s="8" t="s">
        <v>17</v>
      </c>
      <c r="D2299" s="2">
        <v>43707</v>
      </c>
      <c r="E2299" s="3">
        <v>10000</v>
      </c>
      <c r="F2299" t="s">
        <v>454</v>
      </c>
      <c r="G2299" t="s">
        <v>761</v>
      </c>
      <c r="H2299" t="s">
        <v>455</v>
      </c>
      <c r="I2299" s="6" t="s">
        <v>1026</v>
      </c>
      <c r="J2299" s="61" t="s">
        <v>22</v>
      </c>
      <c r="L2299" s="5" t="str">
        <f t="shared" si="714"/>
        <v>02298</v>
      </c>
      <c r="M2299" s="47" t="str">
        <f t="shared" si="715"/>
        <v>30 de agosto de 2019</v>
      </c>
      <c r="N2299" s="323">
        <f t="shared" si="708"/>
        <v>30</v>
      </c>
      <c r="O2299" s="25">
        <f t="shared" si="716"/>
        <v>43678</v>
      </c>
      <c r="P2299" s="5" t="str">
        <f t="shared" si="710"/>
        <v>10.000,00</v>
      </c>
      <c r="Q2299" s="4" t="str">
        <f t="shared" si="713"/>
        <v>Diez Mil Bolívares con 00/100</v>
      </c>
    </row>
    <row r="2300" spans="1:17" x14ac:dyDescent="0.25">
      <c r="A2300" s="1">
        <f t="shared" si="711"/>
        <v>2299</v>
      </c>
      <c r="C2300" s="8" t="s">
        <v>17</v>
      </c>
      <c r="D2300" s="2">
        <v>43707</v>
      </c>
      <c r="E2300" s="3">
        <v>10000</v>
      </c>
      <c r="F2300" t="s">
        <v>118</v>
      </c>
      <c r="G2300" t="s">
        <v>119</v>
      </c>
      <c r="H2300" t="s">
        <v>120</v>
      </c>
      <c r="I2300" s="6" t="s">
        <v>1026</v>
      </c>
      <c r="J2300" s="61" t="s">
        <v>22</v>
      </c>
      <c r="L2300" s="5" t="str">
        <f t="shared" si="714"/>
        <v>02299</v>
      </c>
      <c r="M2300" s="47" t="str">
        <f t="shared" si="715"/>
        <v>30 de agosto de 2019</v>
      </c>
      <c r="N2300" s="323">
        <f t="shared" si="708"/>
        <v>30</v>
      </c>
      <c r="O2300" s="25">
        <f t="shared" si="716"/>
        <v>43678</v>
      </c>
      <c r="P2300" s="5" t="str">
        <f t="shared" si="710"/>
        <v>10.000,00</v>
      </c>
      <c r="Q2300" s="4" t="str">
        <f t="shared" si="713"/>
        <v>Diez Mil Bolívares con 00/100</v>
      </c>
    </row>
    <row r="2301" spans="1:17" x14ac:dyDescent="0.25">
      <c r="A2301" s="1">
        <f>A2300+1</f>
        <v>2300</v>
      </c>
      <c r="C2301" s="8" t="s">
        <v>17</v>
      </c>
      <c r="D2301" s="2">
        <v>43707</v>
      </c>
      <c r="E2301" s="3">
        <v>24200</v>
      </c>
      <c r="F2301" t="s">
        <v>70</v>
      </c>
      <c r="G2301" t="s">
        <v>71</v>
      </c>
      <c r="H2301" t="s">
        <v>72</v>
      </c>
      <c r="I2301" s="6" t="s">
        <v>1041</v>
      </c>
      <c r="J2301" s="61" t="s">
        <v>22</v>
      </c>
      <c r="L2301" s="5" t="str">
        <f t="shared" si="714"/>
        <v>02300</v>
      </c>
      <c r="M2301" s="47" t="str">
        <f t="shared" si="715"/>
        <v>30 de agosto de 2019</v>
      </c>
      <c r="N2301" s="323">
        <f t="shared" ref="N2301:N2345" si="717">DAY(D2301)</f>
        <v>30</v>
      </c>
      <c r="O2301" s="25">
        <f t="shared" si="716"/>
        <v>43678</v>
      </c>
      <c r="P2301" s="5" t="str">
        <f t="shared" ref="P2301:P2336" si="718">TEXT(E2301,"#.##0,00")</f>
        <v>24.200,00</v>
      </c>
      <c r="Q2301" s="4" t="str">
        <f t="shared" si="713"/>
        <v>Veinticuatro Mil Doscientos Bolívares con 00/100</v>
      </c>
    </row>
    <row r="2302" spans="1:17" x14ac:dyDescent="0.25">
      <c r="A2302" s="1">
        <f t="shared" si="711"/>
        <v>2301</v>
      </c>
      <c r="C2302" s="8" t="s">
        <v>17</v>
      </c>
      <c r="D2302" s="2">
        <v>43707</v>
      </c>
      <c r="E2302" s="3">
        <v>10000</v>
      </c>
      <c r="F2302" t="s">
        <v>32</v>
      </c>
      <c r="G2302" t="s">
        <v>33</v>
      </c>
      <c r="H2302" t="s">
        <v>34</v>
      </c>
      <c r="I2302" s="6" t="s">
        <v>1026</v>
      </c>
      <c r="J2302" s="61" t="s">
        <v>22</v>
      </c>
      <c r="L2302" s="5" t="str">
        <f t="shared" si="714"/>
        <v>02301</v>
      </c>
      <c r="M2302" s="47" t="str">
        <f t="shared" si="715"/>
        <v>30 de agosto de 2019</v>
      </c>
      <c r="N2302" s="323">
        <f t="shared" si="717"/>
        <v>30</v>
      </c>
      <c r="O2302" s="25">
        <f t="shared" si="716"/>
        <v>43678</v>
      </c>
      <c r="P2302" s="5" t="str">
        <f t="shared" si="718"/>
        <v>10.000,00</v>
      </c>
      <c r="Q2302" s="4" t="str">
        <f t="shared" si="713"/>
        <v>Diez Mil Bolívares con 00/100</v>
      </c>
    </row>
    <row r="2303" spans="1:17" x14ac:dyDescent="0.25">
      <c r="A2303" s="1">
        <f t="shared" si="711"/>
        <v>2302</v>
      </c>
      <c r="C2303" s="8" t="s">
        <v>17</v>
      </c>
      <c r="D2303" s="2">
        <v>43710</v>
      </c>
      <c r="E2303" s="3">
        <v>10000</v>
      </c>
      <c r="F2303" t="s">
        <v>412</v>
      </c>
      <c r="G2303" t="s">
        <v>413</v>
      </c>
      <c r="H2303" t="s">
        <v>414</v>
      </c>
      <c r="I2303" s="6" t="s">
        <v>1026</v>
      </c>
      <c r="J2303" s="61" t="s">
        <v>22</v>
      </c>
      <c r="L2303" s="5" t="str">
        <f t="shared" si="714"/>
        <v>02302</v>
      </c>
      <c r="M2303" s="47" t="str">
        <f t="shared" si="715"/>
        <v>02 de septiembre de 2019</v>
      </c>
      <c r="N2303" s="323">
        <f t="shared" si="717"/>
        <v>2</v>
      </c>
      <c r="O2303" s="25">
        <f t="shared" si="716"/>
        <v>43709</v>
      </c>
      <c r="P2303" s="5" t="str">
        <f t="shared" si="718"/>
        <v>10.000,00</v>
      </c>
      <c r="Q2303" s="4" t="str">
        <f t="shared" si="713"/>
        <v>Diez Mil Bolívares con 00/100</v>
      </c>
    </row>
    <row r="2304" spans="1:17" x14ac:dyDescent="0.25">
      <c r="A2304" s="1">
        <f t="shared" si="711"/>
        <v>2303</v>
      </c>
      <c r="C2304" s="8" t="s">
        <v>17</v>
      </c>
      <c r="D2304" s="2">
        <v>43711</v>
      </c>
      <c r="E2304" s="3">
        <v>23400</v>
      </c>
      <c r="F2304" t="s">
        <v>201</v>
      </c>
      <c r="G2304" t="s">
        <v>202</v>
      </c>
      <c r="H2304" t="s">
        <v>203</v>
      </c>
      <c r="I2304" s="6" t="s">
        <v>1035</v>
      </c>
      <c r="J2304" s="61" t="s">
        <v>22</v>
      </c>
      <c r="L2304" s="5" t="str">
        <f t="shared" si="714"/>
        <v>02303</v>
      </c>
      <c r="M2304" s="47" t="str">
        <f t="shared" si="715"/>
        <v>03 de septiembre de 2019</v>
      </c>
      <c r="N2304" s="323">
        <f t="shared" si="717"/>
        <v>3</v>
      </c>
      <c r="O2304" s="25">
        <f t="shared" si="716"/>
        <v>43709</v>
      </c>
      <c r="P2304" s="5" t="str">
        <f t="shared" si="718"/>
        <v>23.400,00</v>
      </c>
      <c r="Q2304" s="4" t="str">
        <f t="shared" si="713"/>
        <v>Veintitres Mil Cuatrocientos Bolívares con 00/100</v>
      </c>
    </row>
    <row r="2305" spans="1:17" x14ac:dyDescent="0.25">
      <c r="A2305" s="1">
        <f t="shared" si="711"/>
        <v>2304</v>
      </c>
      <c r="C2305" s="8" t="s">
        <v>17</v>
      </c>
      <c r="D2305" s="2">
        <v>43711</v>
      </c>
      <c r="E2305" s="3">
        <v>23400</v>
      </c>
      <c r="F2305" t="s">
        <v>947</v>
      </c>
      <c r="G2305" t="s">
        <v>948</v>
      </c>
      <c r="H2305" t="s">
        <v>949</v>
      </c>
      <c r="I2305" s="6" t="s">
        <v>1035</v>
      </c>
      <c r="J2305" s="61" t="s">
        <v>22</v>
      </c>
      <c r="L2305" s="5" t="str">
        <f t="shared" si="714"/>
        <v>02304</v>
      </c>
      <c r="M2305" s="47" t="str">
        <f t="shared" si="715"/>
        <v>03 de septiembre de 2019</v>
      </c>
      <c r="N2305" s="323">
        <f t="shared" si="717"/>
        <v>3</v>
      </c>
      <c r="O2305" s="25">
        <f t="shared" si="716"/>
        <v>43709</v>
      </c>
      <c r="P2305" s="5" t="str">
        <f t="shared" si="718"/>
        <v>23.400,00</v>
      </c>
      <c r="Q2305" s="4" t="str">
        <f t="shared" si="713"/>
        <v>Veintitres Mil Cuatrocientos Bolívares con 00/100</v>
      </c>
    </row>
    <row r="2306" spans="1:17" x14ac:dyDescent="0.25">
      <c r="A2306" s="1">
        <f t="shared" si="711"/>
        <v>2305</v>
      </c>
      <c r="C2306" s="8" t="s">
        <v>17</v>
      </c>
      <c r="D2306" s="2">
        <v>43711</v>
      </c>
      <c r="E2306" s="3">
        <v>13400</v>
      </c>
      <c r="F2306" t="s">
        <v>243</v>
      </c>
      <c r="G2306" t="s">
        <v>244</v>
      </c>
      <c r="H2306" t="s">
        <v>245</v>
      </c>
      <c r="I2306" s="6" t="s">
        <v>1042</v>
      </c>
      <c r="J2306" s="61" t="s">
        <v>22</v>
      </c>
      <c r="L2306" s="5" t="str">
        <f>IF(ISBLANK(A2306),"",TEXT(A2306,"00000"))</f>
        <v>02305</v>
      </c>
      <c r="M2306" s="47" t="str">
        <f>IF(ISBLANK(D2306),"",TEXT(D2306,"dd")&amp;" de "&amp;TEXT(D2306,"mmmm")&amp;" de "&amp;TEXT(YEAR(D2306),"0"))</f>
        <v>03 de septiembre de 2019</v>
      </c>
      <c r="N2306" s="323">
        <f t="shared" si="717"/>
        <v>3</v>
      </c>
      <c r="O2306" s="25">
        <f>DATE(YEAR(D2306),MONTH(D2306),1)</f>
        <v>43709</v>
      </c>
      <c r="P2306" s="5" t="str">
        <f t="shared" si="718"/>
        <v>13.400,00</v>
      </c>
      <c r="Q2306" s="4" t="str">
        <f t="shared" ref="Q2306:Q2314" si="719">CONVERTIRNUM(E2306)</f>
        <v>Trece Mil Cuatrocientos Bolívares con 00/100</v>
      </c>
    </row>
    <row r="2307" spans="1:17" x14ac:dyDescent="0.25">
      <c r="A2307" s="1">
        <f t="shared" si="711"/>
        <v>2306</v>
      </c>
      <c r="C2307" s="8" t="s">
        <v>17</v>
      </c>
      <c r="D2307" s="2">
        <v>43711</v>
      </c>
      <c r="E2307" s="3">
        <v>23400</v>
      </c>
      <c r="F2307" t="s">
        <v>18</v>
      </c>
      <c r="G2307" t="s">
        <v>19</v>
      </c>
      <c r="H2307" t="s">
        <v>20</v>
      </c>
      <c r="I2307" s="6" t="s">
        <v>1043</v>
      </c>
      <c r="J2307" s="61" t="s">
        <v>22</v>
      </c>
      <c r="L2307" s="5" t="str">
        <f t="shared" ref="L2307:L2313" si="720">IF(ISBLANK(A2307),"",TEXT(A2307,"00000"))</f>
        <v>02306</v>
      </c>
      <c r="M2307" s="47" t="str">
        <f t="shared" ref="M2307:M2313" si="721">IF(ISBLANK(D2307),"",TEXT(D2307,"dd")&amp;" de "&amp;TEXT(D2307,"mmmm")&amp;" de "&amp;TEXT(YEAR(D2307),"0"))</f>
        <v>03 de septiembre de 2019</v>
      </c>
      <c r="N2307" s="323">
        <f t="shared" si="717"/>
        <v>3</v>
      </c>
      <c r="O2307" s="25">
        <f t="shared" ref="O2307:O2313" si="722">DATE(YEAR(D2307),MONTH(D2307),1)</f>
        <v>43709</v>
      </c>
      <c r="P2307" s="5" t="str">
        <f t="shared" si="718"/>
        <v>23.400,00</v>
      </c>
      <c r="Q2307" s="4" t="str">
        <f t="shared" si="719"/>
        <v>Veintitres Mil Cuatrocientos Bolívares con 00/100</v>
      </c>
    </row>
    <row r="2308" spans="1:17" x14ac:dyDescent="0.25">
      <c r="A2308" s="1">
        <f t="shared" si="711"/>
        <v>2307</v>
      </c>
      <c r="C2308" s="8" t="s">
        <v>17</v>
      </c>
      <c r="D2308" s="2">
        <v>43711</v>
      </c>
      <c r="E2308" s="3">
        <v>23400</v>
      </c>
      <c r="F2308" t="s">
        <v>438</v>
      </c>
      <c r="G2308" t="s">
        <v>439</v>
      </c>
      <c r="H2308" t="s">
        <v>440</v>
      </c>
      <c r="I2308" s="6" t="s">
        <v>1044</v>
      </c>
      <c r="J2308" s="61" t="s">
        <v>22</v>
      </c>
      <c r="L2308" s="5" t="str">
        <f t="shared" si="720"/>
        <v>02307</v>
      </c>
      <c r="M2308" s="47" t="str">
        <f t="shared" si="721"/>
        <v>03 de septiembre de 2019</v>
      </c>
      <c r="N2308" s="323">
        <f t="shared" si="717"/>
        <v>3</v>
      </c>
      <c r="O2308" s="25">
        <f t="shared" si="722"/>
        <v>43709</v>
      </c>
      <c r="P2308" s="5" t="str">
        <f t="shared" si="718"/>
        <v>23.400,00</v>
      </c>
      <c r="Q2308" s="4" t="str">
        <f t="shared" si="719"/>
        <v>Veintitres Mil Cuatrocientos Bolívares con 00/100</v>
      </c>
    </row>
    <row r="2309" spans="1:17" x14ac:dyDescent="0.25">
      <c r="A2309" s="1">
        <f t="shared" si="711"/>
        <v>2308</v>
      </c>
      <c r="C2309" s="8" t="s">
        <v>17</v>
      </c>
      <c r="D2309" s="2">
        <v>43711</v>
      </c>
      <c r="E2309" s="3">
        <v>23400</v>
      </c>
      <c r="F2309" t="s">
        <v>24</v>
      </c>
      <c r="G2309" t="s">
        <v>25</v>
      </c>
      <c r="H2309" t="s">
        <v>26</v>
      </c>
      <c r="I2309" s="6" t="s">
        <v>1035</v>
      </c>
      <c r="J2309" s="61" t="s">
        <v>22</v>
      </c>
      <c r="L2309" s="5" t="str">
        <f t="shared" si="720"/>
        <v>02308</v>
      </c>
      <c r="M2309" s="47" t="str">
        <f t="shared" si="721"/>
        <v>03 de septiembre de 2019</v>
      </c>
      <c r="N2309" s="323">
        <f t="shared" si="717"/>
        <v>3</v>
      </c>
      <c r="O2309" s="25">
        <f t="shared" si="722"/>
        <v>43709</v>
      </c>
      <c r="P2309" s="5" t="str">
        <f t="shared" si="718"/>
        <v>23.400,00</v>
      </c>
      <c r="Q2309" s="4" t="str">
        <f t="shared" si="719"/>
        <v>Veintitres Mil Cuatrocientos Bolívares con 00/100</v>
      </c>
    </row>
    <row r="2310" spans="1:17" x14ac:dyDescent="0.25">
      <c r="A2310" s="1">
        <f t="shared" si="711"/>
        <v>2309</v>
      </c>
      <c r="C2310" s="8" t="s">
        <v>17</v>
      </c>
      <c r="D2310" s="2">
        <v>43711</v>
      </c>
      <c r="E2310" s="3">
        <v>18018</v>
      </c>
      <c r="F2310" t="s">
        <v>28</v>
      </c>
      <c r="G2310" t="s">
        <v>716</v>
      </c>
      <c r="H2310" t="s">
        <v>30</v>
      </c>
      <c r="I2310" s="6" t="s">
        <v>1045</v>
      </c>
      <c r="J2310" s="61" t="s">
        <v>22</v>
      </c>
      <c r="L2310" s="5" t="str">
        <f t="shared" si="720"/>
        <v>02309</v>
      </c>
      <c r="M2310" s="47" t="str">
        <f t="shared" si="721"/>
        <v>03 de septiembre de 2019</v>
      </c>
      <c r="N2310" s="323">
        <f t="shared" si="717"/>
        <v>3</v>
      </c>
      <c r="O2310" s="25">
        <f t="shared" si="722"/>
        <v>43709</v>
      </c>
      <c r="P2310" s="5" t="str">
        <f t="shared" si="718"/>
        <v>18.018,00</v>
      </c>
      <c r="Q2310" s="4" t="str">
        <f t="shared" si="719"/>
        <v>Dieciocho Mil Dieciocho Bolívares con 00/100</v>
      </c>
    </row>
    <row r="2311" spans="1:17" x14ac:dyDescent="0.25">
      <c r="A2311" s="1">
        <f t="shared" si="711"/>
        <v>2310</v>
      </c>
      <c r="C2311" s="85" t="s">
        <v>17</v>
      </c>
      <c r="D2311" s="2">
        <v>43711</v>
      </c>
      <c r="E2311" s="162">
        <v>23500</v>
      </c>
      <c r="F2311" t="s">
        <v>492</v>
      </c>
      <c r="G2311" s="18" t="s">
        <v>58</v>
      </c>
      <c r="H2311" t="s">
        <v>493</v>
      </c>
      <c r="I2311" s="6" t="s">
        <v>1035</v>
      </c>
      <c r="J2311" s="61" t="s">
        <v>22</v>
      </c>
      <c r="L2311" s="5" t="str">
        <f t="shared" si="720"/>
        <v>02310</v>
      </c>
      <c r="M2311" s="47" t="str">
        <f t="shared" si="721"/>
        <v>03 de septiembre de 2019</v>
      </c>
      <c r="N2311" s="323">
        <f t="shared" si="717"/>
        <v>3</v>
      </c>
      <c r="O2311" s="25">
        <f t="shared" si="722"/>
        <v>43709</v>
      </c>
      <c r="P2311" s="5" t="str">
        <f t="shared" si="718"/>
        <v>23.500,00</v>
      </c>
      <c r="Q2311" s="4" t="str">
        <f t="shared" si="719"/>
        <v>Veintitres Mil Quinientos Bolívares con 00/100</v>
      </c>
    </row>
    <row r="2312" spans="1:17" x14ac:dyDescent="0.25">
      <c r="A2312" s="1">
        <f t="shared" si="711"/>
        <v>2311</v>
      </c>
      <c r="C2312" s="8" t="s">
        <v>17</v>
      </c>
      <c r="D2312" s="2">
        <v>43711</v>
      </c>
      <c r="E2312" s="3">
        <v>23400</v>
      </c>
      <c r="F2312" t="s">
        <v>713</v>
      </c>
      <c r="G2312" t="s">
        <v>714</v>
      </c>
      <c r="H2312" t="s">
        <v>154</v>
      </c>
      <c r="I2312" s="6" t="s">
        <v>1035</v>
      </c>
      <c r="J2312" s="61" t="s">
        <v>22</v>
      </c>
      <c r="L2312" s="5" t="str">
        <f t="shared" si="720"/>
        <v>02311</v>
      </c>
      <c r="M2312" s="47" t="str">
        <f t="shared" si="721"/>
        <v>03 de septiembre de 2019</v>
      </c>
      <c r="N2312" s="323">
        <f t="shared" si="717"/>
        <v>3</v>
      </c>
      <c r="O2312" s="25">
        <f t="shared" si="722"/>
        <v>43709</v>
      </c>
      <c r="P2312" s="5" t="str">
        <f t="shared" si="718"/>
        <v>23.400,00</v>
      </c>
      <c r="Q2312" s="4" t="str">
        <f t="shared" si="719"/>
        <v>Veintitres Mil Cuatrocientos Bolívares con 00/100</v>
      </c>
    </row>
    <row r="2313" spans="1:17" x14ac:dyDescent="0.25">
      <c r="A2313" s="1">
        <f t="shared" si="711"/>
        <v>2312</v>
      </c>
      <c r="C2313" s="8" t="s">
        <v>17</v>
      </c>
      <c r="D2313" s="2">
        <v>43711</v>
      </c>
      <c r="E2313" s="3">
        <v>3400</v>
      </c>
      <c r="F2313" t="s">
        <v>80</v>
      </c>
      <c r="G2313" t="s">
        <v>81</v>
      </c>
      <c r="H2313" t="s">
        <v>82</v>
      </c>
      <c r="I2313" s="6" t="s">
        <v>1042</v>
      </c>
      <c r="J2313" s="61" t="s">
        <v>22</v>
      </c>
      <c r="L2313" s="5" t="str">
        <f t="shared" si="720"/>
        <v>02312</v>
      </c>
      <c r="M2313" s="47" t="str">
        <f t="shared" si="721"/>
        <v>03 de septiembre de 2019</v>
      </c>
      <c r="N2313" s="323">
        <f t="shared" si="717"/>
        <v>3</v>
      </c>
      <c r="O2313" s="25">
        <f t="shared" si="722"/>
        <v>43709</v>
      </c>
      <c r="P2313" s="5" t="str">
        <f t="shared" si="718"/>
        <v>3.400,00</v>
      </c>
      <c r="Q2313" s="4" t="str">
        <f t="shared" si="719"/>
        <v>Tres Mil Cuatrocientos Bolívares con 00/100</v>
      </c>
    </row>
    <row r="2314" spans="1:17" x14ac:dyDescent="0.25">
      <c r="A2314" s="1">
        <f t="shared" si="711"/>
        <v>2313</v>
      </c>
      <c r="C2314" s="8" t="s">
        <v>17</v>
      </c>
      <c r="D2314" s="2">
        <v>43711</v>
      </c>
      <c r="E2314" s="3">
        <v>34000</v>
      </c>
      <c r="F2314" t="s">
        <v>44</v>
      </c>
      <c r="G2314" t="s">
        <v>45</v>
      </c>
      <c r="H2314" t="s">
        <v>46</v>
      </c>
      <c r="I2314" s="6" t="s">
        <v>1031</v>
      </c>
      <c r="J2314" s="61" t="s">
        <v>22</v>
      </c>
      <c r="L2314" s="5" t="str">
        <f>IF(ISBLANK(A2314),"",TEXT(A2314,"00000"))</f>
        <v>02313</v>
      </c>
      <c r="M2314" s="47" t="str">
        <f>IF(ISBLANK(D2314),"",TEXT(D2314,"dd")&amp;" de "&amp;TEXT(D2314,"mmmm")&amp;" de "&amp;TEXT(YEAR(D2314),"0"))</f>
        <v>03 de septiembre de 2019</v>
      </c>
      <c r="N2314" s="323">
        <f t="shared" si="717"/>
        <v>3</v>
      </c>
      <c r="O2314" s="25">
        <f>DATE(YEAR(D2314),MONTH(D2314),1)</f>
        <v>43709</v>
      </c>
      <c r="P2314" s="5" t="str">
        <f t="shared" si="718"/>
        <v>34.000,00</v>
      </c>
      <c r="Q2314" s="4" t="str">
        <f t="shared" si="719"/>
        <v>Treinta y Cuatro Mil Bolívares con 00/100</v>
      </c>
    </row>
    <row r="2315" spans="1:17" x14ac:dyDescent="0.25">
      <c r="A2315" s="1">
        <f t="shared" si="711"/>
        <v>2314</v>
      </c>
      <c r="C2315" s="8" t="s">
        <v>17</v>
      </c>
      <c r="D2315" s="2">
        <v>43711</v>
      </c>
      <c r="E2315" s="3">
        <v>23400</v>
      </c>
      <c r="F2315" t="s">
        <v>407</v>
      </c>
      <c r="G2315" t="s">
        <v>408</v>
      </c>
      <c r="H2315" t="s">
        <v>409</v>
      </c>
      <c r="I2315" s="6" t="s">
        <v>1035</v>
      </c>
      <c r="J2315" s="61" t="s">
        <v>22</v>
      </c>
      <c r="L2315" s="5" t="str">
        <f t="shared" ref="L2315:L2345" si="723">IF(ISBLANK(A2315),"",TEXT(A2315,"00000"))</f>
        <v>02314</v>
      </c>
      <c r="M2315" s="47" t="str">
        <f t="shared" ref="M2315:M2345" si="724">IF(ISBLANK(D2315),"",TEXT(D2315,"dd")&amp;" de "&amp;TEXT(D2315,"mmmm")&amp;" de "&amp;TEXT(YEAR(D2315),"0"))</f>
        <v>03 de septiembre de 2019</v>
      </c>
      <c r="N2315" s="323">
        <f t="shared" si="717"/>
        <v>3</v>
      </c>
      <c r="O2315" s="25">
        <f t="shared" ref="O2315:O2345" si="725">DATE(YEAR(D2315),MONTH(D2315),1)</f>
        <v>43709</v>
      </c>
      <c r="P2315" s="5" t="str">
        <f t="shared" si="718"/>
        <v>23.400,00</v>
      </c>
      <c r="Q2315" s="4" t="str">
        <f>CONVERTIRNUM(E2315)</f>
        <v>Veintitres Mil Cuatrocientos Bolívares con 00/100</v>
      </c>
    </row>
    <row r="2316" spans="1:17" x14ac:dyDescent="0.25">
      <c r="A2316" s="1">
        <f t="shared" si="711"/>
        <v>2315</v>
      </c>
      <c r="C2316" s="8" t="s">
        <v>17</v>
      </c>
      <c r="D2316" s="2">
        <v>43711</v>
      </c>
      <c r="E2316" s="3">
        <v>34000</v>
      </c>
      <c r="F2316" t="s">
        <v>230</v>
      </c>
      <c r="G2316" t="s">
        <v>231</v>
      </c>
      <c r="H2316" t="s">
        <v>232</v>
      </c>
      <c r="I2316" s="6" t="s">
        <v>1031</v>
      </c>
      <c r="J2316" s="61" t="s">
        <v>22</v>
      </c>
      <c r="L2316" s="5" t="str">
        <f t="shared" si="723"/>
        <v>02315</v>
      </c>
      <c r="M2316" s="47" t="str">
        <f t="shared" si="724"/>
        <v>03 de septiembre de 2019</v>
      </c>
      <c r="N2316" s="323">
        <f t="shared" si="717"/>
        <v>3</v>
      </c>
      <c r="O2316" s="25">
        <f t="shared" si="725"/>
        <v>43709</v>
      </c>
      <c r="P2316" s="5" t="str">
        <f t="shared" si="718"/>
        <v>34.000,00</v>
      </c>
      <c r="Q2316" s="4" t="str">
        <f t="shared" ref="Q2316:Q2336" si="726">CONVERTIRNUM(E2316)</f>
        <v>Treinta y Cuatro Mil Bolívares con 00/100</v>
      </c>
    </row>
    <row r="2317" spans="1:17" x14ac:dyDescent="0.25">
      <c r="A2317" s="1">
        <f t="shared" si="711"/>
        <v>2316</v>
      </c>
      <c r="C2317" s="85" t="s">
        <v>17</v>
      </c>
      <c r="D2317" s="2">
        <v>43711</v>
      </c>
      <c r="E2317" s="3">
        <v>23400</v>
      </c>
      <c r="F2317" t="s">
        <v>319</v>
      </c>
      <c r="G2317" s="18" t="s">
        <v>58</v>
      </c>
      <c r="H2317" t="s">
        <v>320</v>
      </c>
      <c r="I2317" s="6" t="s">
        <v>1035</v>
      </c>
      <c r="J2317" s="61" t="s">
        <v>22</v>
      </c>
      <c r="L2317" s="5" t="str">
        <f t="shared" si="723"/>
        <v>02316</v>
      </c>
      <c r="M2317" s="47" t="str">
        <f t="shared" si="724"/>
        <v>03 de septiembre de 2019</v>
      </c>
      <c r="N2317" s="323">
        <f t="shared" si="717"/>
        <v>3</v>
      </c>
      <c r="O2317" s="25">
        <f t="shared" si="725"/>
        <v>43709</v>
      </c>
      <c r="P2317" s="5" t="str">
        <f t="shared" si="718"/>
        <v>23.400,00</v>
      </c>
      <c r="Q2317" s="4" t="str">
        <f t="shared" si="726"/>
        <v>Veintitres Mil Cuatrocientos Bolívares con 00/100</v>
      </c>
    </row>
    <row r="2318" spans="1:17" x14ac:dyDescent="0.25">
      <c r="A2318" s="1">
        <f t="shared" si="711"/>
        <v>2317</v>
      </c>
      <c r="C2318" s="85" t="s">
        <v>17</v>
      </c>
      <c r="D2318" s="2">
        <v>43712</v>
      </c>
      <c r="E2318" s="3">
        <v>10000</v>
      </c>
      <c r="F2318" t="s">
        <v>259</v>
      </c>
      <c r="G2318" s="18" t="s">
        <v>58</v>
      </c>
      <c r="H2318" t="s">
        <v>261</v>
      </c>
      <c r="I2318" s="6" t="s">
        <v>1026</v>
      </c>
      <c r="J2318" s="61" t="s">
        <v>22</v>
      </c>
      <c r="L2318" s="5" t="str">
        <f t="shared" si="723"/>
        <v>02317</v>
      </c>
      <c r="M2318" s="47" t="str">
        <f t="shared" si="724"/>
        <v>04 de septiembre de 2019</v>
      </c>
      <c r="N2318" s="323">
        <f t="shared" si="717"/>
        <v>4</v>
      </c>
      <c r="O2318" s="25">
        <f t="shared" si="725"/>
        <v>43709</v>
      </c>
      <c r="P2318" s="5" t="str">
        <f t="shared" si="718"/>
        <v>10.000,00</v>
      </c>
      <c r="Q2318" s="4" t="str">
        <f t="shared" si="726"/>
        <v>Diez Mil Bolívares con 00/100</v>
      </c>
    </row>
    <row r="2319" spans="1:17" x14ac:dyDescent="0.25">
      <c r="A2319" s="1">
        <f t="shared" si="711"/>
        <v>2318</v>
      </c>
      <c r="C2319" s="8" t="s">
        <v>17</v>
      </c>
      <c r="D2319" s="2">
        <v>43712</v>
      </c>
      <c r="E2319" s="3">
        <v>23400</v>
      </c>
      <c r="F2319" t="s">
        <v>239</v>
      </c>
      <c r="G2319" s="73" t="s">
        <v>240</v>
      </c>
      <c r="H2319" t="s">
        <v>241</v>
      </c>
      <c r="I2319" s="6" t="s">
        <v>1035</v>
      </c>
      <c r="J2319" s="61" t="s">
        <v>22</v>
      </c>
      <c r="L2319" s="5" t="str">
        <f t="shared" si="723"/>
        <v>02318</v>
      </c>
      <c r="M2319" s="47" t="str">
        <f t="shared" si="724"/>
        <v>04 de septiembre de 2019</v>
      </c>
      <c r="N2319" s="323">
        <f t="shared" si="717"/>
        <v>4</v>
      </c>
      <c r="O2319" s="25">
        <f t="shared" si="725"/>
        <v>43709</v>
      </c>
      <c r="P2319" s="5" t="str">
        <f t="shared" si="718"/>
        <v>23.400,00</v>
      </c>
      <c r="Q2319" s="4" t="str">
        <f t="shared" si="726"/>
        <v>Veintitres Mil Cuatrocientos Bolívares con 00/100</v>
      </c>
    </row>
    <row r="2320" spans="1:17" x14ac:dyDescent="0.25">
      <c r="A2320" s="1">
        <f t="shared" si="711"/>
        <v>2319</v>
      </c>
      <c r="C2320" s="8" t="s">
        <v>17</v>
      </c>
      <c r="D2320" s="2">
        <v>43713</v>
      </c>
      <c r="E2320" s="3">
        <v>8400</v>
      </c>
      <c r="F2320" t="s">
        <v>107</v>
      </c>
      <c r="G2320" t="s">
        <v>108</v>
      </c>
      <c r="H2320" t="s">
        <v>109</v>
      </c>
      <c r="I2320" s="6" t="s">
        <v>1042</v>
      </c>
      <c r="J2320" s="61" t="s">
        <v>22</v>
      </c>
      <c r="L2320" s="5" t="str">
        <f t="shared" si="723"/>
        <v>02319</v>
      </c>
      <c r="M2320" s="47" t="str">
        <f t="shared" si="724"/>
        <v>05 de septiembre de 2019</v>
      </c>
      <c r="N2320" s="323">
        <f t="shared" si="717"/>
        <v>5</v>
      </c>
      <c r="O2320" s="25">
        <f t="shared" si="725"/>
        <v>43709</v>
      </c>
      <c r="P2320" s="5" t="str">
        <f t="shared" si="718"/>
        <v>8.400,00</v>
      </c>
      <c r="Q2320" s="4" t="str">
        <f t="shared" si="726"/>
        <v>Ocho Mil Cuatrocientos Bolívares con 00/100</v>
      </c>
    </row>
    <row r="2321" spans="1:17" x14ac:dyDescent="0.25">
      <c r="A2321" s="1">
        <f t="shared" si="711"/>
        <v>2320</v>
      </c>
      <c r="C2321" s="8" t="s">
        <v>17</v>
      </c>
      <c r="D2321" s="2">
        <v>43712</v>
      </c>
      <c r="E2321" s="3">
        <v>23400</v>
      </c>
      <c r="F2321" t="s">
        <v>134</v>
      </c>
      <c r="G2321" t="s">
        <v>135</v>
      </c>
      <c r="H2321" t="s">
        <v>136</v>
      </c>
      <c r="I2321" s="6" t="s">
        <v>1035</v>
      </c>
      <c r="J2321" s="61" t="s">
        <v>22</v>
      </c>
      <c r="L2321" s="5" t="str">
        <f t="shared" si="723"/>
        <v>02320</v>
      </c>
      <c r="M2321" s="47" t="str">
        <f t="shared" si="724"/>
        <v>04 de septiembre de 2019</v>
      </c>
      <c r="N2321" s="323">
        <f t="shared" si="717"/>
        <v>4</v>
      </c>
      <c r="O2321" s="25">
        <f t="shared" si="725"/>
        <v>43709</v>
      </c>
      <c r="P2321" s="5" t="str">
        <f t="shared" si="718"/>
        <v>23.400,00</v>
      </c>
      <c r="Q2321" s="4" t="str">
        <f t="shared" si="726"/>
        <v>Veintitres Mil Cuatrocientos Bolívares con 00/100</v>
      </c>
    </row>
    <row r="2322" spans="1:17" x14ac:dyDescent="0.25">
      <c r="A2322" s="1">
        <f>A2321+1</f>
        <v>2321</v>
      </c>
      <c r="C2322" s="8" t="s">
        <v>17</v>
      </c>
      <c r="D2322" s="2">
        <v>43713</v>
      </c>
      <c r="E2322" s="3">
        <v>18435</v>
      </c>
      <c r="F2322" t="s">
        <v>36</v>
      </c>
      <c r="G2322" t="s">
        <v>37</v>
      </c>
      <c r="H2322" t="s">
        <v>38</v>
      </c>
      <c r="I2322" s="6" t="s">
        <v>1042</v>
      </c>
      <c r="J2322" s="61" t="s">
        <v>22</v>
      </c>
      <c r="L2322" s="5" t="str">
        <f t="shared" si="723"/>
        <v>02321</v>
      </c>
      <c r="M2322" s="47" t="str">
        <f t="shared" si="724"/>
        <v>05 de septiembre de 2019</v>
      </c>
      <c r="N2322" s="323">
        <f t="shared" si="717"/>
        <v>5</v>
      </c>
      <c r="O2322" s="25">
        <f t="shared" si="725"/>
        <v>43709</v>
      </c>
      <c r="P2322" s="5" t="str">
        <f t="shared" si="718"/>
        <v>18.435,00</v>
      </c>
      <c r="Q2322" s="4" t="str">
        <f t="shared" si="726"/>
        <v>Dieciocho Mil Cuatrocientos Treinta y Cinco Bolívares con 00/100</v>
      </c>
    </row>
    <row r="2323" spans="1:17" x14ac:dyDescent="0.25">
      <c r="A2323" s="1">
        <f t="shared" ref="A2323:A2389" si="727">A2322+1</f>
        <v>2322</v>
      </c>
      <c r="C2323" s="8" t="s">
        <v>17</v>
      </c>
      <c r="D2323" s="2">
        <v>43713</v>
      </c>
      <c r="E2323" s="3">
        <v>23400</v>
      </c>
      <c r="F2323" t="s">
        <v>48</v>
      </c>
      <c r="G2323" t="s">
        <v>49</v>
      </c>
      <c r="H2323" t="s">
        <v>50</v>
      </c>
      <c r="I2323" s="6" t="s">
        <v>1035</v>
      </c>
      <c r="J2323" s="61" t="s">
        <v>22</v>
      </c>
      <c r="L2323" s="5" t="str">
        <f t="shared" si="723"/>
        <v>02322</v>
      </c>
      <c r="M2323" s="47" t="str">
        <f t="shared" si="724"/>
        <v>05 de septiembre de 2019</v>
      </c>
      <c r="N2323" s="323">
        <f t="shared" si="717"/>
        <v>5</v>
      </c>
      <c r="O2323" s="25">
        <f t="shared" si="725"/>
        <v>43709</v>
      </c>
      <c r="P2323" s="5" t="str">
        <f t="shared" si="718"/>
        <v>23.400,00</v>
      </c>
      <c r="Q2323" s="4" t="str">
        <f t="shared" si="726"/>
        <v>Veintitres Mil Cuatrocientos Bolívares con 00/100</v>
      </c>
    </row>
    <row r="2324" spans="1:17" x14ac:dyDescent="0.25">
      <c r="A2324" s="1">
        <f t="shared" si="727"/>
        <v>2323</v>
      </c>
      <c r="C2324" s="85" t="s">
        <v>17</v>
      </c>
      <c r="D2324" s="2">
        <v>43713</v>
      </c>
      <c r="E2324" s="3">
        <v>10000</v>
      </c>
      <c r="F2324" t="s">
        <v>40</v>
      </c>
      <c r="G2324" s="18" t="s">
        <v>58</v>
      </c>
      <c r="H2324" t="s">
        <v>42</v>
      </c>
      <c r="I2324" s="6" t="s">
        <v>1035</v>
      </c>
      <c r="J2324" s="61" t="s">
        <v>22</v>
      </c>
      <c r="L2324" s="5" t="str">
        <f t="shared" si="723"/>
        <v>02323</v>
      </c>
      <c r="M2324" s="47" t="str">
        <f t="shared" si="724"/>
        <v>05 de septiembre de 2019</v>
      </c>
      <c r="N2324" s="323">
        <f t="shared" si="717"/>
        <v>5</v>
      </c>
      <c r="O2324" s="25">
        <f t="shared" si="725"/>
        <v>43709</v>
      </c>
      <c r="P2324" s="5" t="str">
        <f t="shared" si="718"/>
        <v>10.000,00</v>
      </c>
      <c r="Q2324" s="4" t="str">
        <f t="shared" si="726"/>
        <v>Diez Mil Bolívares con 00/100</v>
      </c>
    </row>
    <row r="2325" spans="1:17" x14ac:dyDescent="0.25">
      <c r="A2325" s="1">
        <f t="shared" si="727"/>
        <v>2324</v>
      </c>
      <c r="C2325" s="8" t="s">
        <v>17</v>
      </c>
      <c r="D2325" s="2">
        <v>43714</v>
      </c>
      <c r="E2325" s="3">
        <v>23400</v>
      </c>
      <c r="F2325" t="s">
        <v>312</v>
      </c>
      <c r="G2325" t="s">
        <v>313</v>
      </c>
      <c r="H2325" t="s">
        <v>314</v>
      </c>
      <c r="I2325" s="6" t="s">
        <v>1035</v>
      </c>
      <c r="J2325" s="61" t="s">
        <v>22</v>
      </c>
      <c r="L2325" s="5" t="str">
        <f t="shared" si="723"/>
        <v>02324</v>
      </c>
      <c r="M2325" s="47" t="str">
        <f t="shared" si="724"/>
        <v>06 de septiembre de 2019</v>
      </c>
      <c r="N2325" s="323">
        <f t="shared" si="717"/>
        <v>6</v>
      </c>
      <c r="O2325" s="25">
        <f t="shared" si="725"/>
        <v>43709</v>
      </c>
      <c r="P2325" s="5" t="str">
        <f t="shared" si="718"/>
        <v>23.400,00</v>
      </c>
      <c r="Q2325" s="4" t="str">
        <f t="shared" si="726"/>
        <v>Veintitres Mil Cuatrocientos Bolívares con 00/100</v>
      </c>
    </row>
    <row r="2326" spans="1:17" x14ac:dyDescent="0.25">
      <c r="A2326" s="1">
        <f t="shared" si="727"/>
        <v>2325</v>
      </c>
      <c r="C2326" s="8" t="s">
        <v>17</v>
      </c>
      <c r="D2326" s="2">
        <v>43714</v>
      </c>
      <c r="E2326" s="3">
        <v>13000</v>
      </c>
      <c r="F2326" t="s">
        <v>252</v>
      </c>
      <c r="G2326" s="475" t="s">
        <v>958</v>
      </c>
      <c r="H2326" t="s">
        <v>254</v>
      </c>
      <c r="I2326" s="6" t="s">
        <v>1035</v>
      </c>
      <c r="J2326" s="61" t="s">
        <v>22</v>
      </c>
      <c r="L2326" s="5" t="str">
        <f t="shared" si="723"/>
        <v>02325</v>
      </c>
      <c r="M2326" s="47" t="str">
        <f t="shared" si="724"/>
        <v>06 de septiembre de 2019</v>
      </c>
      <c r="N2326" s="323">
        <f t="shared" si="717"/>
        <v>6</v>
      </c>
      <c r="O2326" s="25">
        <f t="shared" si="725"/>
        <v>43709</v>
      </c>
      <c r="P2326" s="5" t="str">
        <f t="shared" si="718"/>
        <v>13.000,00</v>
      </c>
      <c r="Q2326" s="4" t="str">
        <f t="shared" si="726"/>
        <v>Trece Mil Bolívares con 00/100</v>
      </c>
    </row>
    <row r="2327" spans="1:17" x14ac:dyDescent="0.25">
      <c r="A2327" s="1">
        <f t="shared" si="727"/>
        <v>2326</v>
      </c>
      <c r="C2327" s="8" t="s">
        <v>17</v>
      </c>
      <c r="D2327" s="2">
        <v>43715</v>
      </c>
      <c r="E2327" s="3">
        <v>13400</v>
      </c>
      <c r="F2327" t="s">
        <v>66</v>
      </c>
      <c r="G2327" t="s">
        <v>67</v>
      </c>
      <c r="H2327" t="s">
        <v>68</v>
      </c>
      <c r="I2327" s="6" t="s">
        <v>1042</v>
      </c>
      <c r="J2327" s="61" t="s">
        <v>22</v>
      </c>
      <c r="L2327" s="5" t="str">
        <f t="shared" si="723"/>
        <v>02326</v>
      </c>
      <c r="M2327" s="47" t="str">
        <f t="shared" si="724"/>
        <v>07 de septiembre de 2019</v>
      </c>
      <c r="N2327" s="323">
        <f t="shared" si="717"/>
        <v>7</v>
      </c>
      <c r="O2327" s="25">
        <f t="shared" si="725"/>
        <v>43709</v>
      </c>
      <c r="P2327" s="5" t="str">
        <f t="shared" si="718"/>
        <v>13.400,00</v>
      </c>
      <c r="Q2327" s="4" t="str">
        <f t="shared" si="726"/>
        <v>Trece Mil Cuatrocientos Bolívares con 00/100</v>
      </c>
    </row>
    <row r="2328" spans="1:17" x14ac:dyDescent="0.25">
      <c r="A2328" s="1">
        <f t="shared" si="727"/>
        <v>2327</v>
      </c>
      <c r="C2328" s="8" t="s">
        <v>17</v>
      </c>
      <c r="D2328" s="2">
        <v>43717</v>
      </c>
      <c r="E2328" s="3">
        <v>10500</v>
      </c>
      <c r="F2328" t="s">
        <v>334</v>
      </c>
      <c r="G2328" t="s">
        <v>85</v>
      </c>
      <c r="H2328" t="s">
        <v>335</v>
      </c>
      <c r="I2328" s="6" t="s">
        <v>1042</v>
      </c>
      <c r="J2328" s="61" t="s">
        <v>22</v>
      </c>
      <c r="L2328" s="5" t="str">
        <f t="shared" si="723"/>
        <v>02327</v>
      </c>
      <c r="M2328" s="47" t="str">
        <f t="shared" si="724"/>
        <v>09 de septiembre de 2019</v>
      </c>
      <c r="N2328" s="323">
        <f t="shared" si="717"/>
        <v>9</v>
      </c>
      <c r="O2328" s="25">
        <f t="shared" si="725"/>
        <v>43709</v>
      </c>
      <c r="P2328" s="5" t="str">
        <f t="shared" si="718"/>
        <v>10.500,00</v>
      </c>
      <c r="Q2328" s="4" t="str">
        <f t="shared" si="726"/>
        <v>Diez Mil Quinientos Bolívares con 00/100</v>
      </c>
    </row>
    <row r="2329" spans="1:17" x14ac:dyDescent="0.25">
      <c r="A2329" s="1">
        <f t="shared" si="727"/>
        <v>2328</v>
      </c>
      <c r="C2329" s="8" t="s">
        <v>17</v>
      </c>
      <c r="D2329" s="2">
        <v>43717</v>
      </c>
      <c r="E2329" s="3">
        <v>10500</v>
      </c>
      <c r="F2329" t="s">
        <v>84</v>
      </c>
      <c r="G2329" t="s">
        <v>85</v>
      </c>
      <c r="H2329" t="s">
        <v>86</v>
      </c>
      <c r="I2329" s="6" t="s">
        <v>1042</v>
      </c>
      <c r="J2329" s="61" t="s">
        <v>22</v>
      </c>
      <c r="L2329" s="5" t="str">
        <f t="shared" si="723"/>
        <v>02328</v>
      </c>
      <c r="M2329" s="47" t="str">
        <f t="shared" si="724"/>
        <v>09 de septiembre de 2019</v>
      </c>
      <c r="N2329" s="323">
        <f t="shared" si="717"/>
        <v>9</v>
      </c>
      <c r="O2329" s="25">
        <f t="shared" si="725"/>
        <v>43709</v>
      </c>
      <c r="P2329" s="5" t="str">
        <f t="shared" si="718"/>
        <v>10.500,00</v>
      </c>
      <c r="Q2329" s="4" t="str">
        <f t="shared" si="726"/>
        <v>Diez Mil Quinientos Bolívares con 00/100</v>
      </c>
    </row>
    <row r="2330" spans="1:17" x14ac:dyDescent="0.25">
      <c r="A2330" s="1">
        <f t="shared" si="727"/>
        <v>2329</v>
      </c>
      <c r="C2330" s="8" t="s">
        <v>17</v>
      </c>
      <c r="D2330" s="2">
        <v>43717</v>
      </c>
      <c r="E2330" s="3">
        <v>20500</v>
      </c>
      <c r="F2330" t="s">
        <v>443</v>
      </c>
      <c r="G2330" t="s">
        <v>444</v>
      </c>
      <c r="H2330" t="s">
        <v>75</v>
      </c>
      <c r="I2330" s="6" t="s">
        <v>1035</v>
      </c>
      <c r="J2330" s="61" t="s">
        <v>22</v>
      </c>
      <c r="L2330" s="5" t="str">
        <f t="shared" si="723"/>
        <v>02329</v>
      </c>
      <c r="M2330" s="47" t="str">
        <f t="shared" si="724"/>
        <v>09 de septiembre de 2019</v>
      </c>
      <c r="N2330" s="323">
        <f t="shared" si="717"/>
        <v>9</v>
      </c>
      <c r="O2330" s="25">
        <f t="shared" si="725"/>
        <v>43709</v>
      </c>
      <c r="P2330" s="5" t="str">
        <f t="shared" si="718"/>
        <v>20.500,00</v>
      </c>
      <c r="Q2330" s="4" t="str">
        <f t="shared" si="726"/>
        <v>Veinte Mil Quinientos Bolívares con 00/100</v>
      </c>
    </row>
    <row r="2331" spans="1:17" x14ac:dyDescent="0.25">
      <c r="A2331" s="1">
        <f t="shared" si="727"/>
        <v>2330</v>
      </c>
      <c r="C2331" s="8" t="s">
        <v>17</v>
      </c>
      <c r="D2331" s="2">
        <v>43717</v>
      </c>
      <c r="E2331" s="3">
        <v>20500</v>
      </c>
      <c r="F2331" t="s">
        <v>114</v>
      </c>
      <c r="G2331" t="s">
        <v>115</v>
      </c>
      <c r="H2331" t="s">
        <v>105</v>
      </c>
      <c r="I2331" s="6" t="s">
        <v>1035</v>
      </c>
      <c r="J2331" s="61" t="s">
        <v>22</v>
      </c>
      <c r="L2331" s="5" t="str">
        <f t="shared" si="723"/>
        <v>02330</v>
      </c>
      <c r="M2331" s="47" t="str">
        <f t="shared" si="724"/>
        <v>09 de septiembre de 2019</v>
      </c>
      <c r="N2331" s="323">
        <f t="shared" si="717"/>
        <v>9</v>
      </c>
      <c r="O2331" s="25">
        <f t="shared" si="725"/>
        <v>43709</v>
      </c>
      <c r="P2331" s="5" t="str">
        <f t="shared" si="718"/>
        <v>20.500,00</v>
      </c>
      <c r="Q2331" s="4" t="str">
        <f t="shared" si="726"/>
        <v>Veinte Mil Quinientos Bolívares con 00/100</v>
      </c>
    </row>
    <row r="2332" spans="1:17" x14ac:dyDescent="0.25">
      <c r="A2332" s="1">
        <f t="shared" si="727"/>
        <v>2331</v>
      </c>
      <c r="C2332" s="8" t="s">
        <v>17</v>
      </c>
      <c r="D2332" s="2">
        <v>43717</v>
      </c>
      <c r="E2332" s="3">
        <v>20500</v>
      </c>
      <c r="F2332" t="s">
        <v>287</v>
      </c>
      <c r="G2332" t="s">
        <v>288</v>
      </c>
      <c r="H2332" t="s">
        <v>289</v>
      </c>
      <c r="I2332" s="6" t="s">
        <v>1035</v>
      </c>
      <c r="J2332" s="61" t="s">
        <v>22</v>
      </c>
      <c r="L2332" s="5" t="str">
        <f t="shared" si="723"/>
        <v>02331</v>
      </c>
      <c r="M2332" s="47" t="str">
        <f t="shared" si="724"/>
        <v>09 de septiembre de 2019</v>
      </c>
      <c r="N2332" s="323">
        <f t="shared" si="717"/>
        <v>9</v>
      </c>
      <c r="O2332" s="25">
        <f t="shared" si="725"/>
        <v>43709</v>
      </c>
      <c r="P2332" s="5" t="str">
        <f t="shared" si="718"/>
        <v>20.500,00</v>
      </c>
      <c r="Q2332" s="4" t="str">
        <f t="shared" si="726"/>
        <v>Veinte Mil Quinientos Bolívares con 00/100</v>
      </c>
    </row>
    <row r="2333" spans="1:17" x14ac:dyDescent="0.25">
      <c r="A2333" s="1">
        <f t="shared" si="727"/>
        <v>2332</v>
      </c>
      <c r="C2333" s="8" t="s">
        <v>17</v>
      </c>
      <c r="D2333" s="2">
        <v>43717</v>
      </c>
      <c r="E2333" s="3">
        <v>21100</v>
      </c>
      <c r="F2333" t="s">
        <v>1004</v>
      </c>
      <c r="G2333" t="s">
        <v>1005</v>
      </c>
      <c r="H2333" t="s">
        <v>539</v>
      </c>
      <c r="I2333" s="6" t="s">
        <v>1035</v>
      </c>
      <c r="J2333" s="61" t="s">
        <v>22</v>
      </c>
      <c r="L2333" s="5" t="str">
        <f t="shared" si="723"/>
        <v>02332</v>
      </c>
      <c r="M2333" s="47" t="str">
        <f t="shared" si="724"/>
        <v>09 de septiembre de 2019</v>
      </c>
      <c r="N2333" s="323">
        <f t="shared" si="717"/>
        <v>9</v>
      </c>
      <c r="O2333" s="25">
        <f t="shared" si="725"/>
        <v>43709</v>
      </c>
      <c r="P2333" s="5" t="str">
        <f t="shared" si="718"/>
        <v>21.100,00</v>
      </c>
      <c r="Q2333" s="4" t="str">
        <f t="shared" si="726"/>
        <v>Veintiun Mil Cien Bolívares con 00/100</v>
      </c>
    </row>
    <row r="2334" spans="1:17" x14ac:dyDescent="0.25">
      <c r="A2334" s="1">
        <f t="shared" si="727"/>
        <v>2333</v>
      </c>
      <c r="C2334" s="8" t="s">
        <v>17</v>
      </c>
      <c r="D2334" s="2">
        <v>43717</v>
      </c>
      <c r="E2334" s="3">
        <v>20500</v>
      </c>
      <c r="F2334" t="s">
        <v>633</v>
      </c>
      <c r="G2334" t="s">
        <v>634</v>
      </c>
      <c r="H2334" t="s">
        <v>635</v>
      </c>
      <c r="I2334" s="6" t="s">
        <v>1035</v>
      </c>
      <c r="J2334" s="61" t="s">
        <v>22</v>
      </c>
      <c r="L2334" s="5" t="str">
        <f t="shared" si="723"/>
        <v>02333</v>
      </c>
      <c r="M2334" s="47" t="str">
        <f t="shared" si="724"/>
        <v>09 de septiembre de 2019</v>
      </c>
      <c r="N2334" s="323">
        <f t="shared" si="717"/>
        <v>9</v>
      </c>
      <c r="O2334" s="25">
        <f t="shared" si="725"/>
        <v>43709</v>
      </c>
      <c r="P2334" s="5" t="str">
        <f t="shared" si="718"/>
        <v>20.500,00</v>
      </c>
      <c r="Q2334" s="4" t="str">
        <f t="shared" si="726"/>
        <v>Veinte Mil Quinientos Bolívares con 00/100</v>
      </c>
    </row>
    <row r="2335" spans="1:17" x14ac:dyDescent="0.25">
      <c r="A2335" s="1">
        <f t="shared" si="727"/>
        <v>2334</v>
      </c>
      <c r="C2335" s="8" t="s">
        <v>17</v>
      </c>
      <c r="D2335" s="2">
        <v>43719</v>
      </c>
      <c r="E2335" s="3">
        <v>10000</v>
      </c>
      <c r="F2335" t="s">
        <v>177</v>
      </c>
      <c r="G2335" t="s">
        <v>941</v>
      </c>
      <c r="H2335" t="s">
        <v>179</v>
      </c>
      <c r="I2335" s="6" t="s">
        <v>1046</v>
      </c>
      <c r="J2335" s="61" t="s">
        <v>22</v>
      </c>
      <c r="L2335" s="5" t="str">
        <f t="shared" si="723"/>
        <v>02334</v>
      </c>
      <c r="M2335" s="47" t="str">
        <f t="shared" si="724"/>
        <v>11 de septiembre de 2019</v>
      </c>
      <c r="N2335" s="323">
        <f t="shared" si="717"/>
        <v>11</v>
      </c>
      <c r="O2335" s="25">
        <f t="shared" si="725"/>
        <v>43709</v>
      </c>
      <c r="P2335" s="5" t="str">
        <f t="shared" si="718"/>
        <v>10.000,00</v>
      </c>
      <c r="Q2335" s="4" t="str">
        <f t="shared" si="726"/>
        <v>Diez Mil Bolívares con 00/100</v>
      </c>
    </row>
    <row r="2336" spans="1:17" x14ac:dyDescent="0.25">
      <c r="A2336" s="1">
        <f t="shared" si="727"/>
        <v>2335</v>
      </c>
      <c r="C2336" s="8" t="s">
        <v>17</v>
      </c>
      <c r="D2336" s="2">
        <v>43719</v>
      </c>
      <c r="E2336" s="597">
        <v>20500</v>
      </c>
      <c r="F2336" t="s">
        <v>103</v>
      </c>
      <c r="G2336" s="599" t="s">
        <v>1047</v>
      </c>
      <c r="H2336" t="s">
        <v>105</v>
      </c>
      <c r="I2336" s="6" t="s">
        <v>1048</v>
      </c>
      <c r="J2336" s="61" t="s">
        <v>22</v>
      </c>
      <c r="L2336" s="5" t="str">
        <f t="shared" si="723"/>
        <v>02335</v>
      </c>
      <c r="M2336" s="47" t="str">
        <f t="shared" si="724"/>
        <v>11 de septiembre de 2019</v>
      </c>
      <c r="N2336" s="323">
        <f t="shared" si="717"/>
        <v>11</v>
      </c>
      <c r="O2336" s="25">
        <f t="shared" si="725"/>
        <v>43709</v>
      </c>
      <c r="P2336" s="5" t="str">
        <f t="shared" si="718"/>
        <v>20.500,00</v>
      </c>
      <c r="Q2336" s="4" t="str">
        <f t="shared" si="726"/>
        <v>Veinte Mil Quinientos Bolívares con 00/100</v>
      </c>
    </row>
    <row r="2337" spans="1:17" x14ac:dyDescent="0.25">
      <c r="A2337" s="1">
        <f t="shared" si="727"/>
        <v>2336</v>
      </c>
      <c r="C2337" s="8" t="s">
        <v>17</v>
      </c>
      <c r="D2337" s="2">
        <v>43719</v>
      </c>
      <c r="E2337" s="3">
        <v>24400</v>
      </c>
      <c r="F2337" t="s">
        <v>162</v>
      </c>
      <c r="G2337" t="s">
        <v>163</v>
      </c>
      <c r="H2337" t="s">
        <v>164</v>
      </c>
      <c r="I2337" s="161" t="s">
        <v>1049</v>
      </c>
      <c r="J2337" s="61" t="s">
        <v>22</v>
      </c>
      <c r="L2337" s="5" t="str">
        <f t="shared" si="723"/>
        <v>02336</v>
      </c>
      <c r="M2337" s="47" t="str">
        <f t="shared" si="724"/>
        <v>11 de septiembre de 2019</v>
      </c>
      <c r="N2337" s="323">
        <f t="shared" si="717"/>
        <v>11</v>
      </c>
      <c r="O2337" s="25">
        <f t="shared" si="725"/>
        <v>43709</v>
      </c>
      <c r="P2337" s="5" t="str">
        <f>TEXT(E2337,"#.##0,00")</f>
        <v>24.400,00</v>
      </c>
      <c r="Q2337" s="4" t="str">
        <f>CONVERTIRNUM(E2337)</f>
        <v>Veinticuatro Mil Cuatrocientos Bolívares con 00/100</v>
      </c>
    </row>
    <row r="2338" spans="1:17" x14ac:dyDescent="0.25">
      <c r="A2338" s="1">
        <f t="shared" si="727"/>
        <v>2337</v>
      </c>
      <c r="C2338" s="8" t="s">
        <v>17</v>
      </c>
      <c r="D2338" s="2">
        <v>43720</v>
      </c>
      <c r="E2338" s="3">
        <v>20500</v>
      </c>
      <c r="F2338" t="s">
        <v>454</v>
      </c>
      <c r="G2338" t="s">
        <v>761</v>
      </c>
      <c r="H2338" t="s">
        <v>455</v>
      </c>
      <c r="I2338" s="6" t="s">
        <v>1035</v>
      </c>
      <c r="J2338" s="61" t="s">
        <v>22</v>
      </c>
      <c r="L2338" s="5" t="str">
        <f t="shared" si="723"/>
        <v>02337</v>
      </c>
      <c r="M2338" s="47" t="str">
        <f t="shared" si="724"/>
        <v>12 de septiembre de 2019</v>
      </c>
      <c r="N2338" s="323">
        <f t="shared" si="717"/>
        <v>12</v>
      </c>
      <c r="O2338" s="25">
        <f t="shared" si="725"/>
        <v>43709</v>
      </c>
      <c r="P2338" s="5" t="str">
        <f t="shared" ref="P2338:P2369" si="728">TEXT(E2338,"#.##0,00")</f>
        <v>20.500,00</v>
      </c>
      <c r="Q2338" s="4" t="str">
        <f t="shared" ref="Q2338:Q2358" si="729">CONVERTIRNUM(E2338)</f>
        <v>Veinte Mil Quinientos Bolívares con 00/100</v>
      </c>
    </row>
    <row r="2339" spans="1:17" x14ac:dyDescent="0.25">
      <c r="A2339" s="1">
        <f t="shared" si="727"/>
        <v>2338</v>
      </c>
      <c r="C2339" s="8" t="s">
        <v>17</v>
      </c>
      <c r="D2339" s="2">
        <v>43720</v>
      </c>
      <c r="E2339" s="3">
        <v>22000</v>
      </c>
      <c r="F2339" t="s">
        <v>337</v>
      </c>
      <c r="G2339" t="s">
        <v>338</v>
      </c>
      <c r="H2339" t="s">
        <v>339</v>
      </c>
      <c r="I2339" s="6" t="s">
        <v>1035</v>
      </c>
      <c r="J2339" s="61" t="s">
        <v>22</v>
      </c>
      <c r="L2339" s="5" t="str">
        <f t="shared" si="723"/>
        <v>02338</v>
      </c>
      <c r="M2339" s="47" t="str">
        <f t="shared" si="724"/>
        <v>12 de septiembre de 2019</v>
      </c>
      <c r="N2339" s="323">
        <f t="shared" si="717"/>
        <v>12</v>
      </c>
      <c r="O2339" s="25">
        <f t="shared" si="725"/>
        <v>43709</v>
      </c>
      <c r="P2339" s="5" t="str">
        <f t="shared" si="728"/>
        <v>22.000,00</v>
      </c>
      <c r="Q2339" s="4" t="str">
        <f t="shared" si="729"/>
        <v>Veintidos Mil Bolívares con 00/100</v>
      </c>
    </row>
    <row r="2340" spans="1:17" x14ac:dyDescent="0.25">
      <c r="A2340" s="1">
        <f t="shared" si="727"/>
        <v>2339</v>
      </c>
      <c r="C2340" s="8" t="s">
        <v>17</v>
      </c>
      <c r="D2340" s="2">
        <v>43722</v>
      </c>
      <c r="E2340" s="3">
        <v>20500</v>
      </c>
      <c r="F2340" t="s">
        <v>342</v>
      </c>
      <c r="G2340" t="s">
        <v>1036</v>
      </c>
      <c r="H2340" t="s">
        <v>344</v>
      </c>
      <c r="I2340" s="6" t="s">
        <v>1035</v>
      </c>
      <c r="J2340" s="61" t="s">
        <v>22</v>
      </c>
      <c r="L2340" s="5" t="str">
        <f t="shared" si="723"/>
        <v>02339</v>
      </c>
      <c r="M2340" s="47" t="str">
        <f t="shared" si="724"/>
        <v>14 de septiembre de 2019</v>
      </c>
      <c r="N2340" s="323">
        <f t="shared" si="717"/>
        <v>14</v>
      </c>
      <c r="O2340" s="25">
        <f t="shared" si="725"/>
        <v>43709</v>
      </c>
      <c r="P2340" s="5" t="str">
        <f t="shared" si="728"/>
        <v>20.500,00</v>
      </c>
      <c r="Q2340" s="4" t="str">
        <f t="shared" si="729"/>
        <v>Veinte Mil Quinientos Bolívares con 00/100</v>
      </c>
    </row>
    <row r="2341" spans="1:17" x14ac:dyDescent="0.25">
      <c r="A2341" s="1">
        <f t="shared" si="727"/>
        <v>2340</v>
      </c>
      <c r="C2341" s="8" t="s">
        <v>17</v>
      </c>
      <c r="D2341" s="2">
        <v>43722</v>
      </c>
      <c r="E2341" s="3">
        <v>20500</v>
      </c>
      <c r="F2341" t="s">
        <v>935</v>
      </c>
      <c r="G2341" t="s">
        <v>936</v>
      </c>
      <c r="H2341" t="s">
        <v>150</v>
      </c>
      <c r="I2341" s="6" t="s">
        <v>1035</v>
      </c>
      <c r="J2341" s="61" t="s">
        <v>22</v>
      </c>
      <c r="L2341" s="5" t="str">
        <f t="shared" si="723"/>
        <v>02340</v>
      </c>
      <c r="M2341" s="47" t="str">
        <f t="shared" si="724"/>
        <v>14 de septiembre de 2019</v>
      </c>
      <c r="N2341" s="323">
        <f t="shared" si="717"/>
        <v>14</v>
      </c>
      <c r="O2341" s="25">
        <f t="shared" si="725"/>
        <v>43709</v>
      </c>
      <c r="P2341" s="5" t="str">
        <f t="shared" si="728"/>
        <v>20.500,00</v>
      </c>
      <c r="Q2341" s="4" t="str">
        <f t="shared" si="729"/>
        <v>Veinte Mil Quinientos Bolívares con 00/100</v>
      </c>
    </row>
    <row r="2342" spans="1:17" x14ac:dyDescent="0.25">
      <c r="A2342" s="1">
        <f t="shared" si="727"/>
        <v>2341</v>
      </c>
      <c r="C2342" s="8" t="s">
        <v>17</v>
      </c>
      <c r="D2342" s="2">
        <v>43721</v>
      </c>
      <c r="E2342" s="3">
        <v>20500</v>
      </c>
      <c r="F2342" t="s">
        <v>362</v>
      </c>
      <c r="G2342" t="s">
        <v>363</v>
      </c>
      <c r="H2342" t="s">
        <v>364</v>
      </c>
      <c r="I2342" s="6" t="s">
        <v>1035</v>
      </c>
      <c r="J2342" s="61" t="s">
        <v>22</v>
      </c>
      <c r="L2342" s="5" t="str">
        <f t="shared" si="723"/>
        <v>02341</v>
      </c>
      <c r="M2342" s="47" t="str">
        <f t="shared" si="724"/>
        <v>13 de septiembre de 2019</v>
      </c>
      <c r="N2342" s="323">
        <f t="shared" si="717"/>
        <v>13</v>
      </c>
      <c r="O2342" s="25">
        <f t="shared" si="725"/>
        <v>43709</v>
      </c>
      <c r="P2342" s="5" t="str">
        <f t="shared" si="728"/>
        <v>20.500,00</v>
      </c>
      <c r="Q2342" s="4" t="str">
        <f t="shared" si="729"/>
        <v>Veinte Mil Quinientos Bolívares con 00/100</v>
      </c>
    </row>
    <row r="2343" spans="1:17" x14ac:dyDescent="0.25">
      <c r="A2343" s="1">
        <f t="shared" si="727"/>
        <v>2342</v>
      </c>
      <c r="C2343" s="8" t="s">
        <v>17</v>
      </c>
      <c r="D2343" s="2">
        <v>43722</v>
      </c>
      <c r="E2343" s="597">
        <v>20500</v>
      </c>
      <c r="F2343" t="s">
        <v>100</v>
      </c>
      <c r="G2343" t="s">
        <v>95</v>
      </c>
      <c r="H2343" t="s">
        <v>101</v>
      </c>
      <c r="I2343" s="6" t="s">
        <v>1048</v>
      </c>
      <c r="J2343" s="61" t="s">
        <v>22</v>
      </c>
      <c r="L2343" s="5" t="str">
        <f t="shared" si="723"/>
        <v>02342</v>
      </c>
      <c r="M2343" s="47" t="str">
        <f t="shared" si="724"/>
        <v>14 de septiembre de 2019</v>
      </c>
      <c r="N2343" s="323">
        <f t="shared" si="717"/>
        <v>14</v>
      </c>
      <c r="O2343" s="25">
        <f t="shared" si="725"/>
        <v>43709</v>
      </c>
      <c r="P2343" s="5" t="str">
        <f t="shared" si="728"/>
        <v>20.500,00</v>
      </c>
      <c r="Q2343" s="4" t="str">
        <f t="shared" si="729"/>
        <v>Veinte Mil Quinientos Bolívares con 00/100</v>
      </c>
    </row>
    <row r="2344" spans="1:17" x14ac:dyDescent="0.25">
      <c r="A2344" s="1">
        <f t="shared" si="727"/>
        <v>2343</v>
      </c>
      <c r="C2344" s="8" t="s">
        <v>17</v>
      </c>
      <c r="D2344" s="2">
        <v>43722</v>
      </c>
      <c r="E2344" s="3">
        <v>10000</v>
      </c>
      <c r="F2344" t="s">
        <v>785</v>
      </c>
      <c r="G2344" t="s">
        <v>786</v>
      </c>
      <c r="H2344" t="s">
        <v>719</v>
      </c>
      <c r="I2344" s="6" t="s">
        <v>1026</v>
      </c>
      <c r="J2344" s="61" t="s">
        <v>22</v>
      </c>
      <c r="L2344" s="5" t="str">
        <f t="shared" si="723"/>
        <v>02343</v>
      </c>
      <c r="M2344" s="47" t="str">
        <f t="shared" si="724"/>
        <v>14 de septiembre de 2019</v>
      </c>
      <c r="N2344" s="323">
        <f t="shared" si="717"/>
        <v>14</v>
      </c>
      <c r="O2344" s="25">
        <f t="shared" si="725"/>
        <v>43709</v>
      </c>
      <c r="P2344" s="5" t="str">
        <f t="shared" si="728"/>
        <v>10.000,00</v>
      </c>
      <c r="Q2344" s="4" t="str">
        <f t="shared" si="729"/>
        <v>Diez Mil Bolívares con 00/100</v>
      </c>
    </row>
    <row r="2345" spans="1:17" x14ac:dyDescent="0.25">
      <c r="A2345" s="1">
        <f t="shared" si="727"/>
        <v>2344</v>
      </c>
      <c r="C2345" s="8" t="s">
        <v>17</v>
      </c>
      <c r="D2345" s="2">
        <v>43722</v>
      </c>
      <c r="E2345" s="597">
        <v>20500</v>
      </c>
      <c r="F2345" t="s">
        <v>785</v>
      </c>
      <c r="G2345" t="s">
        <v>786</v>
      </c>
      <c r="H2345" t="s">
        <v>719</v>
      </c>
      <c r="I2345" s="6" t="s">
        <v>1048</v>
      </c>
      <c r="J2345" s="61" t="s">
        <v>22</v>
      </c>
      <c r="L2345" s="5" t="str">
        <f t="shared" si="723"/>
        <v>02344</v>
      </c>
      <c r="M2345" s="47" t="str">
        <f t="shared" si="724"/>
        <v>14 de septiembre de 2019</v>
      </c>
      <c r="N2345" s="323">
        <f t="shared" si="717"/>
        <v>14</v>
      </c>
      <c r="O2345" s="25">
        <f t="shared" si="725"/>
        <v>43709</v>
      </c>
      <c r="P2345" s="5" t="str">
        <f t="shared" si="728"/>
        <v>20.500,00</v>
      </c>
      <c r="Q2345" s="4" t="str">
        <f t="shared" si="729"/>
        <v>Veinte Mil Quinientos Bolívares con 00/100</v>
      </c>
    </row>
    <row r="2346" spans="1:17" x14ac:dyDescent="0.25">
      <c r="A2346" s="1">
        <f t="shared" si="727"/>
        <v>2345</v>
      </c>
      <c r="C2346" s="8" t="s">
        <v>17</v>
      </c>
      <c r="D2346" s="2">
        <v>43722</v>
      </c>
      <c r="E2346" s="3">
        <v>10000</v>
      </c>
      <c r="F2346" t="s">
        <v>252</v>
      </c>
      <c r="G2346" s="475" t="s">
        <v>958</v>
      </c>
      <c r="H2346" t="s">
        <v>254</v>
      </c>
      <c r="I2346" s="6" t="s">
        <v>1050</v>
      </c>
      <c r="J2346" s="61" t="s">
        <v>22</v>
      </c>
      <c r="L2346" s="5" t="str">
        <f t="shared" ref="L2346:L2369" si="730">IF(ISBLANK(A2346),"",TEXT(A2346,"00000"))</f>
        <v>02345</v>
      </c>
      <c r="M2346" s="47" t="str">
        <f t="shared" ref="M2346:M2369" si="731">IF(ISBLANK(D2346),"",TEXT(D2346,"dd")&amp;" de "&amp;TEXT(D2346,"mmmm")&amp;" de "&amp;TEXT(YEAR(D2346),"0"))</f>
        <v>14 de septiembre de 2019</v>
      </c>
      <c r="N2346" s="323">
        <f t="shared" ref="N2346:N2369" si="732">DAY(D2346)</f>
        <v>14</v>
      </c>
      <c r="O2346" s="25">
        <f t="shared" ref="O2346:O2369" si="733">DATE(YEAR(D2346),MONTH(D2346),1)</f>
        <v>43709</v>
      </c>
      <c r="P2346" s="5" t="str">
        <f t="shared" si="728"/>
        <v>10.000,00</v>
      </c>
      <c r="Q2346" s="4" t="str">
        <f t="shared" si="729"/>
        <v>Diez Mil Bolívares con 00/100</v>
      </c>
    </row>
    <row r="2347" spans="1:17" x14ac:dyDescent="0.25">
      <c r="A2347" s="1">
        <f t="shared" si="727"/>
        <v>2346</v>
      </c>
      <c r="C2347" s="8" t="s">
        <v>17</v>
      </c>
      <c r="D2347" s="2">
        <v>43720</v>
      </c>
      <c r="E2347" s="3">
        <v>35000</v>
      </c>
      <c r="F2347" t="s">
        <v>594</v>
      </c>
      <c r="G2347" t="s">
        <v>1051</v>
      </c>
      <c r="H2347" t="s">
        <v>596</v>
      </c>
      <c r="I2347" s="598" t="s">
        <v>1052</v>
      </c>
      <c r="J2347" s="61" t="s">
        <v>22</v>
      </c>
      <c r="L2347" s="5" t="str">
        <f t="shared" si="730"/>
        <v>02346</v>
      </c>
      <c r="M2347" s="47" t="str">
        <f t="shared" si="731"/>
        <v>12 de septiembre de 2019</v>
      </c>
      <c r="N2347" s="323">
        <f t="shared" si="732"/>
        <v>12</v>
      </c>
      <c r="O2347" s="25">
        <f t="shared" si="733"/>
        <v>43709</v>
      </c>
      <c r="P2347" s="5" t="str">
        <f t="shared" si="728"/>
        <v>35.000,00</v>
      </c>
      <c r="Q2347" s="4" t="str">
        <f t="shared" si="729"/>
        <v>Treinta y Cinco Mil Bolívares con 00/100</v>
      </c>
    </row>
    <row r="2348" spans="1:17" x14ac:dyDescent="0.25">
      <c r="A2348" s="1">
        <f t="shared" si="727"/>
        <v>2347</v>
      </c>
      <c r="C2348" s="85" t="s">
        <v>17</v>
      </c>
      <c r="D2348" s="2">
        <v>43723</v>
      </c>
      <c r="E2348" s="3">
        <v>29725</v>
      </c>
      <c r="F2348" s="23" t="s">
        <v>422</v>
      </c>
      <c r="G2348" s="18" t="s">
        <v>58</v>
      </c>
      <c r="H2348" t="s">
        <v>423</v>
      </c>
      <c r="I2348" s="6" t="s">
        <v>1035</v>
      </c>
      <c r="J2348" s="61" t="s">
        <v>22</v>
      </c>
      <c r="L2348" s="5" t="str">
        <f t="shared" si="730"/>
        <v>02347</v>
      </c>
      <c r="M2348" s="47" t="str">
        <f t="shared" si="731"/>
        <v>15 de septiembre de 2019</v>
      </c>
      <c r="N2348" s="323">
        <f t="shared" si="732"/>
        <v>15</v>
      </c>
      <c r="O2348" s="25">
        <f t="shared" si="733"/>
        <v>43709</v>
      </c>
      <c r="P2348" s="5" t="str">
        <f t="shared" si="728"/>
        <v>29.725,00</v>
      </c>
      <c r="Q2348" s="4" t="str">
        <f t="shared" si="729"/>
        <v>Veintinueve Mil Setecientos Veinticinco Bolívares con 00/100</v>
      </c>
    </row>
    <row r="2349" spans="1:17" x14ac:dyDescent="0.25">
      <c r="A2349" s="1">
        <f t="shared" si="727"/>
        <v>2348</v>
      </c>
      <c r="C2349" s="8" t="s">
        <v>17</v>
      </c>
      <c r="D2349" s="2">
        <v>43725</v>
      </c>
      <c r="E2349" s="3">
        <v>11000</v>
      </c>
      <c r="F2349" t="s">
        <v>53</v>
      </c>
      <c r="G2349" t="s">
        <v>677</v>
      </c>
      <c r="H2349" t="s">
        <v>55</v>
      </c>
      <c r="I2349" s="6" t="s">
        <v>1042</v>
      </c>
      <c r="J2349" s="61" t="s">
        <v>22</v>
      </c>
      <c r="L2349" s="5" t="str">
        <f t="shared" si="730"/>
        <v>02348</v>
      </c>
      <c r="M2349" s="47" t="str">
        <f t="shared" si="731"/>
        <v>17 de septiembre de 2019</v>
      </c>
      <c r="N2349" s="323">
        <f t="shared" si="732"/>
        <v>17</v>
      </c>
      <c r="O2349" s="25">
        <f t="shared" si="733"/>
        <v>43709</v>
      </c>
      <c r="P2349" s="5" t="str">
        <f t="shared" si="728"/>
        <v>11.000,00</v>
      </c>
      <c r="Q2349" s="4" t="str">
        <f t="shared" si="729"/>
        <v>Once Mil Bolívares con 00/100</v>
      </c>
    </row>
    <row r="2350" spans="1:17" x14ac:dyDescent="0.25">
      <c r="A2350" s="1">
        <f t="shared" si="727"/>
        <v>2349</v>
      </c>
      <c r="C2350" s="8" t="s">
        <v>17</v>
      </c>
      <c r="D2350" s="2">
        <v>43726</v>
      </c>
      <c r="E2350" s="597">
        <v>21600</v>
      </c>
      <c r="F2350" t="s">
        <v>126</v>
      </c>
      <c r="G2350" t="s">
        <v>127</v>
      </c>
      <c r="H2350" t="s">
        <v>128</v>
      </c>
      <c r="I2350" s="6" t="s">
        <v>1048</v>
      </c>
      <c r="J2350" s="61" t="s">
        <v>22</v>
      </c>
      <c r="L2350" s="5" t="str">
        <f t="shared" si="730"/>
        <v>02349</v>
      </c>
      <c r="M2350" s="47" t="str">
        <f t="shared" si="731"/>
        <v>18 de septiembre de 2019</v>
      </c>
      <c r="N2350" s="323">
        <f t="shared" si="732"/>
        <v>18</v>
      </c>
      <c r="O2350" s="25">
        <f t="shared" si="733"/>
        <v>43709</v>
      </c>
      <c r="P2350" s="5" t="str">
        <f t="shared" si="728"/>
        <v>21.600,00</v>
      </c>
      <c r="Q2350" s="4" t="str">
        <f t="shared" si="729"/>
        <v>Veintiun Mil Seiscientos Bolívares con 00/100</v>
      </c>
    </row>
    <row r="2351" spans="1:17" x14ac:dyDescent="0.25">
      <c r="A2351" s="1">
        <f t="shared" si="727"/>
        <v>2350</v>
      </c>
      <c r="C2351" s="8" t="s">
        <v>17</v>
      </c>
      <c r="D2351" s="2">
        <v>43726</v>
      </c>
      <c r="E2351" s="3">
        <v>21600</v>
      </c>
      <c r="F2351" t="s">
        <v>771</v>
      </c>
      <c r="G2351" t="s">
        <v>772</v>
      </c>
      <c r="H2351" t="s">
        <v>773</v>
      </c>
      <c r="I2351" s="6" t="s">
        <v>1053</v>
      </c>
      <c r="J2351" s="61" t="s">
        <v>22</v>
      </c>
      <c r="L2351" s="5" t="str">
        <f t="shared" si="730"/>
        <v>02350</v>
      </c>
      <c r="M2351" s="47" t="str">
        <f t="shared" si="731"/>
        <v>18 de septiembre de 2019</v>
      </c>
      <c r="N2351" s="323">
        <f t="shared" si="732"/>
        <v>18</v>
      </c>
      <c r="O2351" s="25">
        <f t="shared" si="733"/>
        <v>43709</v>
      </c>
      <c r="P2351" s="5" t="str">
        <f t="shared" si="728"/>
        <v>21.600,00</v>
      </c>
      <c r="Q2351" s="4" t="str">
        <f t="shared" si="729"/>
        <v>Veintiun Mil Seiscientos Bolívares con 00/100</v>
      </c>
    </row>
    <row r="2352" spans="1:17" x14ac:dyDescent="0.25">
      <c r="A2352" s="1">
        <f t="shared" si="727"/>
        <v>2351</v>
      </c>
      <c r="C2352" s="8" t="s">
        <v>17</v>
      </c>
      <c r="D2352" s="2">
        <v>43727</v>
      </c>
      <c r="E2352" s="3">
        <v>21600</v>
      </c>
      <c r="F2352" t="s">
        <v>1017</v>
      </c>
      <c r="G2352" s="475" t="s">
        <v>1018</v>
      </c>
      <c r="H2352" t="s">
        <v>140</v>
      </c>
      <c r="I2352" s="6" t="s">
        <v>1035</v>
      </c>
      <c r="J2352" s="61" t="s">
        <v>22</v>
      </c>
      <c r="L2352" s="5" t="str">
        <f t="shared" si="730"/>
        <v>02351</v>
      </c>
      <c r="M2352" s="47" t="str">
        <f t="shared" si="731"/>
        <v>19 de septiembre de 2019</v>
      </c>
      <c r="N2352" s="323">
        <f t="shared" si="732"/>
        <v>19</v>
      </c>
      <c r="O2352" s="25">
        <f t="shared" si="733"/>
        <v>43709</v>
      </c>
      <c r="P2352" s="5" t="str">
        <f t="shared" si="728"/>
        <v>21.600,00</v>
      </c>
      <c r="Q2352" s="4" t="str">
        <f t="shared" si="729"/>
        <v>Veintiun Mil Seiscientos Bolívares con 00/100</v>
      </c>
    </row>
    <row r="2353" spans="1:17" x14ac:dyDescent="0.25">
      <c r="A2353" s="1">
        <f t="shared" si="727"/>
        <v>2352</v>
      </c>
      <c r="C2353" s="8" t="s">
        <v>17</v>
      </c>
      <c r="D2353" s="2">
        <v>43727</v>
      </c>
      <c r="E2353" s="3">
        <v>21600</v>
      </c>
      <c r="F2353" t="s">
        <v>417</v>
      </c>
      <c r="G2353" t="s">
        <v>418</v>
      </c>
      <c r="H2353" t="s">
        <v>419</v>
      </c>
      <c r="I2353" s="6" t="s">
        <v>1035</v>
      </c>
      <c r="J2353" s="61" t="s">
        <v>22</v>
      </c>
      <c r="L2353" s="5" t="str">
        <f t="shared" si="730"/>
        <v>02352</v>
      </c>
      <c r="M2353" s="47" t="str">
        <f t="shared" si="731"/>
        <v>19 de septiembre de 2019</v>
      </c>
      <c r="N2353" s="323">
        <f t="shared" si="732"/>
        <v>19</v>
      </c>
      <c r="O2353" s="25">
        <f t="shared" si="733"/>
        <v>43709</v>
      </c>
      <c r="P2353" s="5" t="str">
        <f t="shared" si="728"/>
        <v>21.600,00</v>
      </c>
      <c r="Q2353" s="4" t="str">
        <f t="shared" si="729"/>
        <v>Veintiun Mil Seiscientos Bolívares con 00/100</v>
      </c>
    </row>
    <row r="2354" spans="1:17" x14ac:dyDescent="0.25">
      <c r="A2354" s="1">
        <f t="shared" si="727"/>
        <v>2353</v>
      </c>
      <c r="C2354" s="8" t="s">
        <v>17</v>
      </c>
      <c r="D2354" s="2">
        <v>43727</v>
      </c>
      <c r="E2354" s="3">
        <v>22000</v>
      </c>
      <c r="F2354" t="s">
        <v>62</v>
      </c>
      <c r="G2354" t="s">
        <v>63</v>
      </c>
      <c r="H2354" t="s">
        <v>64</v>
      </c>
      <c r="I2354" s="6" t="s">
        <v>1035</v>
      </c>
      <c r="J2354" s="61" t="s">
        <v>22</v>
      </c>
      <c r="L2354" s="5" t="str">
        <f t="shared" si="730"/>
        <v>02353</v>
      </c>
      <c r="M2354" s="47" t="str">
        <f t="shared" si="731"/>
        <v>19 de septiembre de 2019</v>
      </c>
      <c r="N2354" s="323">
        <f t="shared" si="732"/>
        <v>19</v>
      </c>
      <c r="O2354" s="25">
        <f t="shared" si="733"/>
        <v>43709</v>
      </c>
      <c r="P2354" s="5" t="str">
        <f t="shared" si="728"/>
        <v>22.000,00</v>
      </c>
      <c r="Q2354" s="4" t="str">
        <f t="shared" si="729"/>
        <v>Veintidos Mil Bolívares con 00/100</v>
      </c>
    </row>
    <row r="2355" spans="1:17" x14ac:dyDescent="0.25">
      <c r="A2355" s="1">
        <f t="shared" si="727"/>
        <v>2354</v>
      </c>
      <c r="C2355" s="8" t="s">
        <v>17</v>
      </c>
      <c r="D2355" s="2">
        <v>43727</v>
      </c>
      <c r="E2355" s="3">
        <v>21600</v>
      </c>
      <c r="F2355" t="s">
        <v>296</v>
      </c>
      <c r="G2355" t="s">
        <v>297</v>
      </c>
      <c r="H2355" t="s">
        <v>298</v>
      </c>
      <c r="I2355" s="6" t="s">
        <v>1035</v>
      </c>
      <c r="J2355" s="61" t="s">
        <v>22</v>
      </c>
      <c r="L2355" s="5" t="str">
        <f t="shared" si="730"/>
        <v>02354</v>
      </c>
      <c r="M2355" s="47" t="str">
        <f t="shared" si="731"/>
        <v>19 de septiembre de 2019</v>
      </c>
      <c r="N2355" s="323">
        <f t="shared" si="732"/>
        <v>19</v>
      </c>
      <c r="O2355" s="25">
        <f t="shared" si="733"/>
        <v>43709</v>
      </c>
      <c r="P2355" s="5" t="str">
        <f t="shared" si="728"/>
        <v>21.600,00</v>
      </c>
      <c r="Q2355" s="4" t="str">
        <f t="shared" si="729"/>
        <v>Veintiun Mil Seiscientos Bolívares con 00/100</v>
      </c>
    </row>
    <row r="2356" spans="1:17" x14ac:dyDescent="0.25">
      <c r="A2356" s="1">
        <f t="shared" si="727"/>
        <v>2355</v>
      </c>
      <c r="C2356" s="8" t="s">
        <v>17</v>
      </c>
      <c r="D2356" s="2">
        <v>43730</v>
      </c>
      <c r="E2356" s="3">
        <v>21600</v>
      </c>
      <c r="F2356" t="s">
        <v>843</v>
      </c>
      <c r="G2356" t="s">
        <v>844</v>
      </c>
      <c r="H2356" t="s">
        <v>169</v>
      </c>
      <c r="I2356" s="6" t="s">
        <v>1035</v>
      </c>
      <c r="J2356" s="61" t="s">
        <v>22</v>
      </c>
      <c r="L2356" s="5" t="str">
        <f t="shared" si="730"/>
        <v>02355</v>
      </c>
      <c r="M2356" s="47" t="str">
        <f t="shared" si="731"/>
        <v>22 de septiembre de 2019</v>
      </c>
      <c r="N2356" s="323">
        <f t="shared" si="732"/>
        <v>22</v>
      </c>
      <c r="O2356" s="25">
        <f t="shared" si="733"/>
        <v>43709</v>
      </c>
      <c r="P2356" s="5" t="str">
        <f t="shared" si="728"/>
        <v>21.600,00</v>
      </c>
      <c r="Q2356" s="4" t="str">
        <f t="shared" si="729"/>
        <v>Veintiun Mil Seiscientos Bolívares con 00/100</v>
      </c>
    </row>
    <row r="2357" spans="1:17" x14ac:dyDescent="0.25">
      <c r="A2357" s="1">
        <f t="shared" si="727"/>
        <v>2356</v>
      </c>
      <c r="C2357" s="8" t="s">
        <v>17</v>
      </c>
      <c r="D2357" s="2">
        <v>43731</v>
      </c>
      <c r="E2357" s="3">
        <v>19800</v>
      </c>
      <c r="F2357" t="s">
        <v>185</v>
      </c>
      <c r="G2357" t="s">
        <v>186</v>
      </c>
      <c r="H2357" t="s">
        <v>187</v>
      </c>
      <c r="I2357" s="6" t="s">
        <v>1035</v>
      </c>
      <c r="J2357" s="61" t="s">
        <v>22</v>
      </c>
      <c r="L2357" s="5" t="str">
        <f t="shared" si="730"/>
        <v>02356</v>
      </c>
      <c r="M2357" s="47" t="str">
        <f t="shared" si="731"/>
        <v>23 de septiembre de 2019</v>
      </c>
      <c r="N2357" s="323">
        <f t="shared" si="732"/>
        <v>23</v>
      </c>
      <c r="O2357" s="25">
        <f t="shared" si="733"/>
        <v>43709</v>
      </c>
      <c r="P2357" s="5" t="str">
        <f t="shared" si="728"/>
        <v>19.800,00</v>
      </c>
      <c r="Q2357" s="4" t="str">
        <f t="shared" si="729"/>
        <v>Diecinueve Mil Ochocientos Bolívares con 00/100</v>
      </c>
    </row>
    <row r="2358" spans="1:17" x14ac:dyDescent="0.25">
      <c r="A2358" s="1">
        <f t="shared" si="727"/>
        <v>2357</v>
      </c>
      <c r="C2358" s="8" t="s">
        <v>17</v>
      </c>
      <c r="D2358" s="2">
        <v>43731</v>
      </c>
      <c r="E2358" s="3">
        <v>19800</v>
      </c>
      <c r="F2358" t="s">
        <v>130</v>
      </c>
      <c r="G2358" t="s">
        <v>1054</v>
      </c>
      <c r="H2358" t="s">
        <v>132</v>
      </c>
      <c r="I2358" s="6" t="s">
        <v>1035</v>
      </c>
      <c r="J2358" s="61" t="s">
        <v>22</v>
      </c>
      <c r="L2358" s="5" t="str">
        <f t="shared" si="730"/>
        <v>02357</v>
      </c>
      <c r="M2358" s="47" t="str">
        <f t="shared" si="731"/>
        <v>23 de septiembre de 2019</v>
      </c>
      <c r="N2358" s="323">
        <f t="shared" si="732"/>
        <v>23</v>
      </c>
      <c r="O2358" s="25">
        <f t="shared" si="733"/>
        <v>43709</v>
      </c>
      <c r="P2358" s="5" t="str">
        <f t="shared" si="728"/>
        <v>19.800,00</v>
      </c>
      <c r="Q2358" s="4" t="str">
        <f t="shared" si="729"/>
        <v>Diecinueve Mil Ochocientos Bolívares con 00/100</v>
      </c>
    </row>
    <row r="2359" spans="1:17" x14ac:dyDescent="0.25">
      <c r="A2359" s="1">
        <f t="shared" si="727"/>
        <v>2358</v>
      </c>
      <c r="C2359" s="8" t="s">
        <v>17</v>
      </c>
      <c r="D2359" s="2">
        <v>43731</v>
      </c>
      <c r="E2359" s="3">
        <v>19800</v>
      </c>
      <c r="F2359" t="s">
        <v>1015</v>
      </c>
      <c r="G2359" t="s">
        <v>1016</v>
      </c>
      <c r="H2359" t="s">
        <v>59</v>
      </c>
      <c r="I2359" s="6" t="s">
        <v>1035</v>
      </c>
      <c r="J2359" s="61" t="s">
        <v>22</v>
      </c>
      <c r="L2359" s="5" t="str">
        <f t="shared" si="730"/>
        <v>02358</v>
      </c>
      <c r="M2359" s="47" t="str">
        <f t="shared" si="731"/>
        <v>23 de septiembre de 2019</v>
      </c>
      <c r="N2359" s="323">
        <f t="shared" si="732"/>
        <v>23</v>
      </c>
      <c r="O2359" s="25">
        <f t="shared" si="733"/>
        <v>43709</v>
      </c>
      <c r="P2359" s="5" t="str">
        <f t="shared" si="728"/>
        <v>19.800,00</v>
      </c>
      <c r="Q2359" s="4" t="str">
        <f>CONVERTIRNUM(E2359)</f>
        <v>Diecinueve Mil Ochocientos Bolívares con 00/100</v>
      </c>
    </row>
    <row r="2360" spans="1:17" ht="16.5" customHeight="1" x14ac:dyDescent="0.25">
      <c r="A2360" s="1">
        <f t="shared" si="727"/>
        <v>2359</v>
      </c>
      <c r="C2360" s="8" t="s">
        <v>17</v>
      </c>
      <c r="D2360" s="2">
        <v>43731</v>
      </c>
      <c r="E2360" s="3">
        <v>19800</v>
      </c>
      <c r="F2360" t="s">
        <v>219</v>
      </c>
      <c r="G2360" t="s">
        <v>220</v>
      </c>
      <c r="H2360" t="s">
        <v>221</v>
      </c>
      <c r="I2360" s="6" t="s">
        <v>1055</v>
      </c>
      <c r="J2360" s="61" t="s">
        <v>22</v>
      </c>
      <c r="L2360" s="5" t="str">
        <f t="shared" si="730"/>
        <v>02359</v>
      </c>
      <c r="M2360" s="47" t="str">
        <f t="shared" si="731"/>
        <v>23 de septiembre de 2019</v>
      </c>
      <c r="N2360" s="323">
        <f t="shared" si="732"/>
        <v>23</v>
      </c>
      <c r="O2360" s="25">
        <f t="shared" si="733"/>
        <v>43709</v>
      </c>
      <c r="P2360" s="5" t="str">
        <f t="shared" si="728"/>
        <v>19.800,00</v>
      </c>
      <c r="Q2360" s="4" t="str">
        <f t="shared" ref="Q2360:Q2373" si="734">CONVERTIRNUM(E2360)</f>
        <v>Diecinueve Mil Ochocientos Bolívares con 00/100</v>
      </c>
    </row>
    <row r="2361" spans="1:17" x14ac:dyDescent="0.25">
      <c r="A2361" s="1">
        <f t="shared" si="727"/>
        <v>2360</v>
      </c>
      <c r="C2361" s="8" t="s">
        <v>17</v>
      </c>
      <c r="D2361" s="2">
        <v>43731</v>
      </c>
      <c r="E2361" s="3">
        <v>19800</v>
      </c>
      <c r="F2361" t="s">
        <v>483</v>
      </c>
      <c r="G2361" t="s">
        <v>484</v>
      </c>
      <c r="H2361" t="s">
        <v>485</v>
      </c>
      <c r="I2361" s="6" t="s">
        <v>1035</v>
      </c>
      <c r="J2361" s="61" t="s">
        <v>22</v>
      </c>
      <c r="L2361" s="5" t="str">
        <f t="shared" si="730"/>
        <v>02360</v>
      </c>
      <c r="M2361" s="47" t="str">
        <f t="shared" si="731"/>
        <v>23 de septiembre de 2019</v>
      </c>
      <c r="N2361" s="323">
        <f t="shared" si="732"/>
        <v>23</v>
      </c>
      <c r="O2361" s="25">
        <f t="shared" si="733"/>
        <v>43709</v>
      </c>
      <c r="P2361" s="5" t="str">
        <f t="shared" si="728"/>
        <v>19.800,00</v>
      </c>
      <c r="Q2361" s="4" t="str">
        <f t="shared" si="734"/>
        <v>Diecinueve Mil Ochocientos Bolívares con 00/100</v>
      </c>
    </row>
    <row r="2362" spans="1:17" x14ac:dyDescent="0.25">
      <c r="A2362" s="1">
        <f t="shared" si="727"/>
        <v>2361</v>
      </c>
      <c r="C2362" s="8" t="s">
        <v>17</v>
      </c>
      <c r="D2362" s="2">
        <v>43731</v>
      </c>
      <c r="E2362" s="3">
        <v>19800</v>
      </c>
      <c r="F2362" t="s">
        <v>324</v>
      </c>
      <c r="G2362" t="s">
        <v>325</v>
      </c>
      <c r="H2362" t="s">
        <v>326</v>
      </c>
      <c r="I2362" s="6" t="s">
        <v>1035</v>
      </c>
      <c r="J2362" s="61" t="s">
        <v>22</v>
      </c>
      <c r="L2362" s="5" t="str">
        <f t="shared" si="730"/>
        <v>02361</v>
      </c>
      <c r="M2362" s="47" t="str">
        <f t="shared" si="731"/>
        <v>23 de septiembre de 2019</v>
      </c>
      <c r="N2362" s="323">
        <f t="shared" si="732"/>
        <v>23</v>
      </c>
      <c r="O2362" s="25">
        <f t="shared" si="733"/>
        <v>43709</v>
      </c>
      <c r="P2362" s="5" t="str">
        <f t="shared" si="728"/>
        <v>19.800,00</v>
      </c>
      <c r="Q2362" s="4" t="str">
        <f t="shared" si="734"/>
        <v>Diecinueve Mil Ochocientos Bolívares con 00/100</v>
      </c>
    </row>
    <row r="2363" spans="1:17" x14ac:dyDescent="0.25">
      <c r="A2363" s="1">
        <f t="shared" si="727"/>
        <v>2362</v>
      </c>
      <c r="C2363" s="8" t="s">
        <v>17</v>
      </c>
      <c r="D2363" s="2">
        <v>43731</v>
      </c>
      <c r="E2363" s="3">
        <v>19800</v>
      </c>
      <c r="F2363" t="s">
        <v>284</v>
      </c>
      <c r="G2363" t="s">
        <v>687</v>
      </c>
      <c r="H2363" t="s">
        <v>285</v>
      </c>
      <c r="I2363" s="6" t="s">
        <v>1035</v>
      </c>
      <c r="J2363" s="61" t="s">
        <v>22</v>
      </c>
      <c r="L2363" s="5" t="str">
        <f t="shared" si="730"/>
        <v>02362</v>
      </c>
      <c r="M2363" s="47" t="str">
        <f t="shared" si="731"/>
        <v>23 de septiembre de 2019</v>
      </c>
      <c r="N2363" s="323">
        <f t="shared" si="732"/>
        <v>23</v>
      </c>
      <c r="O2363" s="25">
        <f t="shared" si="733"/>
        <v>43709</v>
      </c>
      <c r="P2363" s="5" t="str">
        <f t="shared" si="728"/>
        <v>19.800,00</v>
      </c>
      <c r="Q2363" s="4" t="str">
        <f t="shared" si="734"/>
        <v>Diecinueve Mil Ochocientos Bolívares con 00/100</v>
      </c>
    </row>
    <row r="2364" spans="1:17" x14ac:dyDescent="0.25">
      <c r="A2364" s="1">
        <f t="shared" si="727"/>
        <v>2363</v>
      </c>
      <c r="C2364" s="8" t="s">
        <v>17</v>
      </c>
      <c r="D2364" s="2">
        <v>43732</v>
      </c>
      <c r="E2364" s="3">
        <v>21600</v>
      </c>
      <c r="F2364" t="s">
        <v>264</v>
      </c>
      <c r="G2364" t="s">
        <v>265</v>
      </c>
      <c r="H2364" t="s">
        <v>266</v>
      </c>
      <c r="I2364" s="6" t="s">
        <v>1035</v>
      </c>
      <c r="J2364" s="61" t="s">
        <v>22</v>
      </c>
      <c r="L2364" s="5" t="str">
        <f t="shared" si="730"/>
        <v>02363</v>
      </c>
      <c r="M2364" s="47" t="str">
        <f t="shared" si="731"/>
        <v>24 de septiembre de 2019</v>
      </c>
      <c r="N2364" s="323">
        <f t="shared" si="732"/>
        <v>24</v>
      </c>
      <c r="O2364" s="25">
        <f t="shared" si="733"/>
        <v>43709</v>
      </c>
      <c r="P2364" s="5" t="str">
        <f t="shared" si="728"/>
        <v>21.600,00</v>
      </c>
      <c r="Q2364" s="4" t="str">
        <f t="shared" si="734"/>
        <v>Veintiun Mil Seiscientos Bolívares con 00/100</v>
      </c>
    </row>
    <row r="2365" spans="1:17" x14ac:dyDescent="0.25">
      <c r="A2365" s="1">
        <f t="shared" si="727"/>
        <v>2364</v>
      </c>
      <c r="C2365" s="8" t="s">
        <v>17</v>
      </c>
      <c r="D2365" s="2">
        <v>43733</v>
      </c>
      <c r="E2365" s="3">
        <v>39600</v>
      </c>
      <c r="F2365" t="s">
        <v>998</v>
      </c>
      <c r="G2365" t="s">
        <v>999</v>
      </c>
      <c r="H2365" t="s">
        <v>1000</v>
      </c>
      <c r="I2365" s="6" t="s">
        <v>1041</v>
      </c>
      <c r="J2365" s="61" t="s">
        <v>22</v>
      </c>
      <c r="L2365" s="5" t="str">
        <f t="shared" si="730"/>
        <v>02364</v>
      </c>
      <c r="M2365" s="47" t="str">
        <f t="shared" si="731"/>
        <v>25 de septiembre de 2019</v>
      </c>
      <c r="N2365" s="323">
        <f t="shared" si="732"/>
        <v>25</v>
      </c>
      <c r="O2365" s="25">
        <f t="shared" si="733"/>
        <v>43709</v>
      </c>
      <c r="P2365" s="5" t="str">
        <f t="shared" si="728"/>
        <v>39.600,00</v>
      </c>
      <c r="Q2365" s="4" t="str">
        <f t="shared" si="734"/>
        <v>Treinta y Nueve Mil Seiscientos Bolívares con 00/100</v>
      </c>
    </row>
    <row r="2366" spans="1:17" x14ac:dyDescent="0.25">
      <c r="A2366" s="1">
        <f t="shared" si="727"/>
        <v>2365</v>
      </c>
      <c r="C2366" s="8" t="s">
        <v>17</v>
      </c>
      <c r="D2366" s="2">
        <v>43734</v>
      </c>
      <c r="E2366" s="3">
        <v>20000</v>
      </c>
      <c r="F2366" t="s">
        <v>558</v>
      </c>
      <c r="G2366" t="s">
        <v>559</v>
      </c>
      <c r="H2366" t="s">
        <v>560</v>
      </c>
      <c r="I2366" s="6" t="s">
        <v>1035</v>
      </c>
      <c r="J2366" s="61" t="s">
        <v>22</v>
      </c>
      <c r="L2366" s="5" t="str">
        <f t="shared" si="730"/>
        <v>02365</v>
      </c>
      <c r="M2366" s="47" t="str">
        <f t="shared" si="731"/>
        <v>26 de septiembre de 2019</v>
      </c>
      <c r="N2366" s="323">
        <f t="shared" si="732"/>
        <v>26</v>
      </c>
      <c r="O2366" s="25">
        <f t="shared" si="733"/>
        <v>43709</v>
      </c>
      <c r="P2366" s="5" t="str">
        <f t="shared" si="728"/>
        <v>20.000,00</v>
      </c>
      <c r="Q2366" s="4" t="str">
        <f t="shared" si="734"/>
        <v>Veinte Mil Bolívares con 00/100</v>
      </c>
    </row>
    <row r="2367" spans="1:17" x14ac:dyDescent="0.25">
      <c r="A2367" s="1">
        <f t="shared" si="727"/>
        <v>2366</v>
      </c>
      <c r="C2367" s="8" t="s">
        <v>17</v>
      </c>
      <c r="D2367" s="2">
        <v>43735</v>
      </c>
      <c r="E2367" s="3">
        <v>19800</v>
      </c>
      <c r="F2367" t="s">
        <v>122</v>
      </c>
      <c r="G2367" t="s">
        <v>123</v>
      </c>
      <c r="H2367" t="s">
        <v>124</v>
      </c>
      <c r="I2367" s="6" t="s">
        <v>1035</v>
      </c>
      <c r="J2367" s="61" t="s">
        <v>22</v>
      </c>
      <c r="L2367" s="5" t="str">
        <f t="shared" si="730"/>
        <v>02366</v>
      </c>
      <c r="M2367" s="47" t="str">
        <f t="shared" si="731"/>
        <v>27 de septiembre de 2019</v>
      </c>
      <c r="N2367" s="323">
        <f t="shared" si="732"/>
        <v>27</v>
      </c>
      <c r="O2367" s="25">
        <f t="shared" si="733"/>
        <v>43709</v>
      </c>
      <c r="P2367" s="5" t="str">
        <f t="shared" si="728"/>
        <v>19.800,00</v>
      </c>
      <c r="Q2367" s="4" t="str">
        <f t="shared" si="734"/>
        <v>Diecinueve Mil Ochocientos Bolívares con 00/100</v>
      </c>
    </row>
    <row r="2368" spans="1:17" x14ac:dyDescent="0.25">
      <c r="A2368" s="1">
        <f t="shared" si="727"/>
        <v>2367</v>
      </c>
      <c r="C2368" s="8" t="s">
        <v>17</v>
      </c>
      <c r="D2368" s="2">
        <v>43735</v>
      </c>
      <c r="E2368" s="3">
        <v>20000</v>
      </c>
      <c r="F2368" t="s">
        <v>181</v>
      </c>
      <c r="G2368" t="s">
        <v>182</v>
      </c>
      <c r="H2368" t="s">
        <v>183</v>
      </c>
      <c r="I2368" s="6" t="s">
        <v>1035</v>
      </c>
      <c r="J2368" s="61" t="s">
        <v>22</v>
      </c>
      <c r="L2368" s="5" t="str">
        <f t="shared" si="730"/>
        <v>02367</v>
      </c>
      <c r="M2368" s="47" t="str">
        <f t="shared" si="731"/>
        <v>27 de septiembre de 2019</v>
      </c>
      <c r="N2368" s="323">
        <f t="shared" si="732"/>
        <v>27</v>
      </c>
      <c r="O2368" s="25">
        <f t="shared" si="733"/>
        <v>43709</v>
      </c>
      <c r="P2368" s="5" t="str">
        <f t="shared" si="728"/>
        <v>20.000,00</v>
      </c>
      <c r="Q2368" s="4" t="str">
        <f t="shared" si="734"/>
        <v>Veinte Mil Bolívares con 00/100</v>
      </c>
    </row>
    <row r="2369" spans="1:17" x14ac:dyDescent="0.25">
      <c r="A2369" s="1">
        <f t="shared" si="727"/>
        <v>2368</v>
      </c>
      <c r="C2369" s="8" t="s">
        <v>17</v>
      </c>
      <c r="D2369" s="2">
        <v>43735</v>
      </c>
      <c r="E2369" s="3">
        <v>19800</v>
      </c>
      <c r="F2369" t="s">
        <v>412</v>
      </c>
      <c r="G2369" t="s">
        <v>413</v>
      </c>
      <c r="H2369" t="s">
        <v>414</v>
      </c>
      <c r="I2369" s="6" t="s">
        <v>1035</v>
      </c>
      <c r="J2369" s="61" t="s">
        <v>22</v>
      </c>
      <c r="L2369" s="5" t="str">
        <f t="shared" si="730"/>
        <v>02368</v>
      </c>
      <c r="M2369" s="47" t="str">
        <f t="shared" si="731"/>
        <v>27 de septiembre de 2019</v>
      </c>
      <c r="N2369" s="323">
        <f t="shared" si="732"/>
        <v>27</v>
      </c>
      <c r="O2369" s="25">
        <f t="shared" si="733"/>
        <v>43709</v>
      </c>
      <c r="P2369" s="5" t="str">
        <f t="shared" si="728"/>
        <v>19.800,00</v>
      </c>
      <c r="Q2369" s="4" t="str">
        <f t="shared" si="734"/>
        <v>Diecinueve Mil Ochocientos Bolívares con 00/100</v>
      </c>
    </row>
    <row r="2370" spans="1:17" x14ac:dyDescent="0.25">
      <c r="A2370" s="1">
        <f t="shared" si="727"/>
        <v>2369</v>
      </c>
      <c r="C2370" s="8" t="s">
        <v>17</v>
      </c>
      <c r="D2370" s="2">
        <v>43736</v>
      </c>
      <c r="E2370" s="597">
        <v>19800</v>
      </c>
      <c r="F2370" t="s">
        <v>126</v>
      </c>
      <c r="G2370" t="s">
        <v>127</v>
      </c>
      <c r="H2370" t="s">
        <v>128</v>
      </c>
      <c r="I2370" s="6" t="s">
        <v>1056</v>
      </c>
      <c r="J2370" s="61" t="s">
        <v>22</v>
      </c>
      <c r="L2370" s="5" t="str">
        <f t="shared" ref="L2370:L2373" si="735">IF(ISBLANK(A2370),"",TEXT(A2370,"00000"))</f>
        <v>02369</v>
      </c>
      <c r="M2370" s="47" t="str">
        <f t="shared" ref="M2370:M2373" si="736">IF(ISBLANK(D2370),"",TEXT(D2370,"dd")&amp;" de "&amp;TEXT(D2370,"mmmm")&amp;" de "&amp;TEXT(YEAR(D2370),"0"))</f>
        <v>28 de septiembre de 2019</v>
      </c>
      <c r="N2370" s="323">
        <f t="shared" ref="N2370:N2373" si="737">DAY(D2370)</f>
        <v>28</v>
      </c>
      <c r="O2370" s="25">
        <f t="shared" ref="O2370:O2373" si="738">DATE(YEAR(D2370),MONTH(D2370),1)</f>
        <v>43709</v>
      </c>
      <c r="P2370" s="5" t="str">
        <f t="shared" ref="P2370:P2373" si="739">TEXT(E2370,"#.##0,00")</f>
        <v>19.800,00</v>
      </c>
      <c r="Q2370" s="4" t="str">
        <f t="shared" si="734"/>
        <v>Diecinueve Mil Ochocientos Bolívares con 00/100</v>
      </c>
    </row>
    <row r="2371" spans="1:17" x14ac:dyDescent="0.25">
      <c r="A2371" s="1">
        <f t="shared" si="727"/>
        <v>2370</v>
      </c>
      <c r="C2371" s="8" t="s">
        <v>17</v>
      </c>
      <c r="D2371" s="2">
        <v>43736</v>
      </c>
      <c r="E2371" s="3">
        <v>19800</v>
      </c>
      <c r="F2371" t="s">
        <v>118</v>
      </c>
      <c r="G2371" t="s">
        <v>119</v>
      </c>
      <c r="H2371" t="s">
        <v>120</v>
      </c>
      <c r="I2371" s="6" t="s">
        <v>1035</v>
      </c>
      <c r="J2371" s="61" t="s">
        <v>22</v>
      </c>
      <c r="L2371" s="5" t="str">
        <f t="shared" si="735"/>
        <v>02370</v>
      </c>
      <c r="M2371" s="47" t="str">
        <f t="shared" si="736"/>
        <v>28 de septiembre de 2019</v>
      </c>
      <c r="N2371" s="323">
        <f t="shared" si="737"/>
        <v>28</v>
      </c>
      <c r="O2371" s="25">
        <f t="shared" si="738"/>
        <v>43709</v>
      </c>
      <c r="P2371" s="5" t="str">
        <f t="shared" si="739"/>
        <v>19.800,00</v>
      </c>
      <c r="Q2371" s="4" t="str">
        <f t="shared" si="734"/>
        <v>Diecinueve Mil Ochocientos Bolívares con 00/100</v>
      </c>
    </row>
    <row r="2372" spans="1:17" x14ac:dyDescent="0.25">
      <c r="A2372" s="1">
        <f t="shared" si="727"/>
        <v>2371</v>
      </c>
      <c r="C2372" s="8" t="s">
        <v>17</v>
      </c>
      <c r="D2372" s="2">
        <v>43736</v>
      </c>
      <c r="E2372" s="3">
        <v>19800</v>
      </c>
      <c r="F2372" t="s">
        <v>94</v>
      </c>
      <c r="G2372" t="s">
        <v>607</v>
      </c>
      <c r="H2372" t="s">
        <v>96</v>
      </c>
      <c r="I2372" s="6" t="s">
        <v>1035</v>
      </c>
      <c r="J2372" s="61" t="s">
        <v>22</v>
      </c>
      <c r="L2372" s="5" t="str">
        <f t="shared" si="735"/>
        <v>02371</v>
      </c>
      <c r="M2372" s="47" t="str">
        <f t="shared" si="736"/>
        <v>28 de septiembre de 2019</v>
      </c>
      <c r="N2372" s="323">
        <f t="shared" si="737"/>
        <v>28</v>
      </c>
      <c r="O2372" s="25">
        <f t="shared" si="738"/>
        <v>43709</v>
      </c>
      <c r="P2372" s="5" t="str">
        <f t="shared" si="739"/>
        <v>19.800,00</v>
      </c>
      <c r="Q2372" s="4" t="str">
        <f t="shared" si="734"/>
        <v>Diecinueve Mil Ochocientos Bolívares con 00/100</v>
      </c>
    </row>
    <row r="2373" spans="1:17" x14ac:dyDescent="0.25">
      <c r="A2373" s="1">
        <f t="shared" si="727"/>
        <v>2372</v>
      </c>
      <c r="C2373" s="8" t="s">
        <v>17</v>
      </c>
      <c r="D2373" s="2">
        <v>43737</v>
      </c>
      <c r="E2373" s="3">
        <v>4800</v>
      </c>
      <c r="F2373" t="s">
        <v>90</v>
      </c>
      <c r="G2373" s="475" t="s">
        <v>978</v>
      </c>
      <c r="H2373" t="s">
        <v>92</v>
      </c>
      <c r="I2373" s="6" t="s">
        <v>1057</v>
      </c>
      <c r="J2373" s="61" t="s">
        <v>22</v>
      </c>
      <c r="L2373" s="5" t="str">
        <f t="shared" si="735"/>
        <v>02372</v>
      </c>
      <c r="M2373" s="47" t="str">
        <f t="shared" si="736"/>
        <v>29 de septiembre de 2019</v>
      </c>
      <c r="N2373" s="323">
        <f t="shared" si="737"/>
        <v>29</v>
      </c>
      <c r="O2373" s="25">
        <f t="shared" si="738"/>
        <v>43709</v>
      </c>
      <c r="P2373" s="5" t="str">
        <f t="shared" si="739"/>
        <v>4.800,00</v>
      </c>
      <c r="Q2373" s="4" t="str">
        <f t="shared" si="734"/>
        <v>Cuatro Mil Ochocientos Bolívares con 00/100</v>
      </c>
    </row>
    <row r="2374" spans="1:17" x14ac:dyDescent="0.25">
      <c r="A2374" s="1">
        <f t="shared" si="727"/>
        <v>2373</v>
      </c>
      <c r="C2374" s="8" t="s">
        <v>17</v>
      </c>
      <c r="D2374" s="2">
        <v>43737</v>
      </c>
      <c r="E2374" s="3">
        <v>15200</v>
      </c>
      <c r="F2374" t="s">
        <v>90</v>
      </c>
      <c r="G2374" s="475" t="s">
        <v>978</v>
      </c>
      <c r="H2374" t="s">
        <v>92</v>
      </c>
      <c r="I2374" s="6" t="s">
        <v>1058</v>
      </c>
      <c r="J2374" s="61" t="s">
        <v>1059</v>
      </c>
      <c r="L2374" s="5" t="str">
        <f t="shared" ref="L2374:L2411" si="740">IF(ISBLANK(A2374),"",TEXT(A2374,"00000"))</f>
        <v>02373</v>
      </c>
      <c r="M2374" s="47" t="str">
        <f t="shared" ref="M2374:M2411" si="741">IF(ISBLANK(D2374),"",TEXT(D2374,"dd")&amp;" de "&amp;TEXT(D2374,"mmmm")&amp;" de "&amp;TEXT(YEAR(D2374),"0"))</f>
        <v>29 de septiembre de 2019</v>
      </c>
      <c r="N2374" s="323">
        <f t="shared" ref="N2374:N2421" si="742">DAY(D2374)</f>
        <v>29</v>
      </c>
      <c r="O2374" s="25">
        <f t="shared" ref="O2374:O2411" si="743">DATE(YEAR(D2374),MONTH(D2374),1)</f>
        <v>43709</v>
      </c>
      <c r="P2374" s="5" t="str">
        <f t="shared" ref="P2374:P2421" si="744">TEXT(E2374,"#.##0,00")</f>
        <v>15.200,00</v>
      </c>
      <c r="Q2374" s="4" t="str">
        <f t="shared" ref="Q2374:Q2377" si="745">CONVERTIRNUM(E2374)</f>
        <v>Quince Mil Doscientos Bolívares con 00/100</v>
      </c>
    </row>
    <row r="2375" spans="1:17" x14ac:dyDescent="0.25">
      <c r="A2375" s="1">
        <f t="shared" si="727"/>
        <v>2374</v>
      </c>
      <c r="C2375" s="8" t="s">
        <v>17</v>
      </c>
      <c r="D2375" s="2">
        <v>43738</v>
      </c>
      <c r="E2375" s="3">
        <v>21100</v>
      </c>
      <c r="F2375" t="s">
        <v>32</v>
      </c>
      <c r="G2375" t="s">
        <v>33</v>
      </c>
      <c r="H2375" t="s">
        <v>34</v>
      </c>
      <c r="I2375" s="6" t="s">
        <v>1035</v>
      </c>
      <c r="J2375" s="61" t="s">
        <v>22</v>
      </c>
      <c r="L2375" s="5" t="str">
        <f t="shared" si="740"/>
        <v>02374</v>
      </c>
      <c r="M2375" s="47" t="str">
        <f t="shared" si="741"/>
        <v>30 de septiembre de 2019</v>
      </c>
      <c r="N2375" s="323">
        <f t="shared" si="742"/>
        <v>30</v>
      </c>
      <c r="O2375" s="25">
        <f t="shared" si="743"/>
        <v>43709</v>
      </c>
      <c r="P2375" s="5" t="str">
        <f t="shared" si="744"/>
        <v>21.100,00</v>
      </c>
      <c r="Q2375" s="4" t="str">
        <f t="shared" si="745"/>
        <v>Veintiun Mil Cien Bolívares con 00/100</v>
      </c>
    </row>
    <row r="2376" spans="1:17" x14ac:dyDescent="0.25">
      <c r="A2376" s="1">
        <f t="shared" si="727"/>
        <v>2375</v>
      </c>
      <c r="C2376" s="85" t="s">
        <v>17</v>
      </c>
      <c r="D2376" s="2">
        <v>43738</v>
      </c>
      <c r="E2376" s="3">
        <v>21100</v>
      </c>
      <c r="F2376" t="s">
        <v>259</v>
      </c>
      <c r="G2376" s="18" t="s">
        <v>58</v>
      </c>
      <c r="H2376" t="s">
        <v>261</v>
      </c>
      <c r="I2376" s="6" t="s">
        <v>1035</v>
      </c>
      <c r="J2376" s="61" t="s">
        <v>22</v>
      </c>
      <c r="L2376" s="5" t="str">
        <f t="shared" si="740"/>
        <v>02375</v>
      </c>
      <c r="M2376" s="47" t="str">
        <f t="shared" si="741"/>
        <v>30 de septiembre de 2019</v>
      </c>
      <c r="N2376" s="323">
        <f t="shared" si="742"/>
        <v>30</v>
      </c>
      <c r="O2376" s="25">
        <f t="shared" si="743"/>
        <v>43709</v>
      </c>
      <c r="P2376" s="5" t="str">
        <f t="shared" si="744"/>
        <v>21.100,00</v>
      </c>
      <c r="Q2376" s="4" t="str">
        <f t="shared" si="745"/>
        <v>Veintiun Mil Cien Bolívares con 00/100</v>
      </c>
    </row>
    <row r="2377" spans="1:17" x14ac:dyDescent="0.25">
      <c r="A2377" s="1">
        <f t="shared" si="727"/>
        <v>2376</v>
      </c>
      <c r="C2377" s="8" t="s">
        <v>17</v>
      </c>
      <c r="D2377" s="2">
        <v>43738</v>
      </c>
      <c r="E2377" s="3">
        <v>21100</v>
      </c>
      <c r="F2377" t="s">
        <v>211</v>
      </c>
      <c r="G2377" t="s">
        <v>212</v>
      </c>
      <c r="H2377" t="s">
        <v>213</v>
      </c>
      <c r="I2377" s="6" t="s">
        <v>1035</v>
      </c>
      <c r="J2377" s="61" t="s">
        <v>22</v>
      </c>
      <c r="L2377" s="5" t="str">
        <f t="shared" si="740"/>
        <v>02376</v>
      </c>
      <c r="M2377" s="47" t="str">
        <f t="shared" si="741"/>
        <v>30 de septiembre de 2019</v>
      </c>
      <c r="N2377" s="323">
        <f t="shared" si="742"/>
        <v>30</v>
      </c>
      <c r="O2377" s="25">
        <f t="shared" si="743"/>
        <v>43709</v>
      </c>
      <c r="P2377" s="5" t="str">
        <f t="shared" si="744"/>
        <v>21.100,00</v>
      </c>
      <c r="Q2377" s="4" t="str">
        <f t="shared" si="745"/>
        <v>Veintiun Mil Cien Bolívares con 00/100</v>
      </c>
    </row>
    <row r="2378" spans="1:17" x14ac:dyDescent="0.25">
      <c r="A2378" s="1">
        <f t="shared" si="727"/>
        <v>2377</v>
      </c>
      <c r="B2378" s="8"/>
      <c r="C2378" s="8" t="s">
        <v>17</v>
      </c>
      <c r="D2378" s="2">
        <v>43739</v>
      </c>
      <c r="E2378" s="3">
        <v>21100</v>
      </c>
      <c r="F2378" t="s">
        <v>407</v>
      </c>
      <c r="G2378" t="s">
        <v>408</v>
      </c>
      <c r="H2378" t="s">
        <v>409</v>
      </c>
      <c r="I2378" s="6" t="s">
        <v>1060</v>
      </c>
      <c r="J2378" s="61" t="s">
        <v>22</v>
      </c>
      <c r="L2378" s="5" t="str">
        <f t="shared" si="740"/>
        <v>02377</v>
      </c>
      <c r="M2378" s="47" t="str">
        <f t="shared" si="741"/>
        <v>01 de octubre de 2019</v>
      </c>
      <c r="N2378" s="323">
        <f t="shared" si="742"/>
        <v>1</v>
      </c>
      <c r="O2378" s="25">
        <f t="shared" si="743"/>
        <v>43739</v>
      </c>
      <c r="P2378" s="5" t="str">
        <f t="shared" si="744"/>
        <v>21.100,00</v>
      </c>
      <c r="Q2378" s="4" t="str">
        <f>CONVERTIRNUM(E2378)</f>
        <v>Veintiun Mil Cien Bolívares con 00/100</v>
      </c>
    </row>
    <row r="2379" spans="1:17" x14ac:dyDescent="0.25">
      <c r="A2379" s="1">
        <f t="shared" si="727"/>
        <v>2378</v>
      </c>
      <c r="B2379" s="8"/>
      <c r="C2379" s="8" t="s">
        <v>17</v>
      </c>
      <c r="D2379" s="2">
        <v>43739</v>
      </c>
      <c r="E2379" s="3">
        <v>20000</v>
      </c>
      <c r="F2379" t="s">
        <v>401</v>
      </c>
      <c r="G2379" t="s">
        <v>402</v>
      </c>
      <c r="H2379" t="s">
        <v>403</v>
      </c>
      <c r="I2379" s="6" t="s">
        <v>1061</v>
      </c>
      <c r="J2379" s="61" t="s">
        <v>22</v>
      </c>
      <c r="L2379" s="5" t="str">
        <f t="shared" si="740"/>
        <v>02378</v>
      </c>
      <c r="M2379" s="47" t="str">
        <f t="shared" si="741"/>
        <v>01 de octubre de 2019</v>
      </c>
      <c r="N2379" s="323">
        <f t="shared" si="742"/>
        <v>1</v>
      </c>
      <c r="O2379" s="25">
        <f t="shared" si="743"/>
        <v>43739</v>
      </c>
      <c r="P2379" s="5" t="str">
        <f t="shared" si="744"/>
        <v>20.000,00</v>
      </c>
      <c r="Q2379" s="4" t="str">
        <f t="shared" ref="Q2379:Q2423" si="746">CONVERTIRNUM(E2379)</f>
        <v>Veinte Mil Bolívares con 00/100</v>
      </c>
    </row>
    <row r="2380" spans="1:17" x14ac:dyDescent="0.25">
      <c r="A2380" s="1">
        <f t="shared" si="727"/>
        <v>2379</v>
      </c>
      <c r="B2380" s="8"/>
      <c r="C2380" s="8" t="s">
        <v>17</v>
      </c>
      <c r="D2380" s="2">
        <v>43739</v>
      </c>
      <c r="E2380" s="3">
        <v>21100</v>
      </c>
      <c r="F2380" t="s">
        <v>334</v>
      </c>
      <c r="G2380" t="s">
        <v>85</v>
      </c>
      <c r="H2380" t="s">
        <v>335</v>
      </c>
      <c r="I2380" s="6" t="s">
        <v>1060</v>
      </c>
      <c r="J2380" s="61" t="s">
        <v>22</v>
      </c>
      <c r="L2380" s="5" t="str">
        <f t="shared" si="740"/>
        <v>02379</v>
      </c>
      <c r="M2380" s="47" t="str">
        <f t="shared" si="741"/>
        <v>01 de octubre de 2019</v>
      </c>
      <c r="N2380" s="323">
        <f t="shared" si="742"/>
        <v>1</v>
      </c>
      <c r="O2380" s="25">
        <f t="shared" si="743"/>
        <v>43739</v>
      </c>
      <c r="P2380" s="5" t="str">
        <f t="shared" si="744"/>
        <v>21.100,00</v>
      </c>
      <c r="Q2380" s="4" t="str">
        <f t="shared" si="746"/>
        <v>Veintiun Mil Cien Bolívares con 00/100</v>
      </c>
    </row>
    <row r="2381" spans="1:17" x14ac:dyDescent="0.25">
      <c r="A2381" s="1">
        <f t="shared" si="727"/>
        <v>2380</v>
      </c>
      <c r="B2381" s="8"/>
      <c r="C2381" s="8" t="s">
        <v>17</v>
      </c>
      <c r="D2381" s="2">
        <v>43739</v>
      </c>
      <c r="E2381" s="3">
        <v>21100</v>
      </c>
      <c r="F2381" t="s">
        <v>84</v>
      </c>
      <c r="G2381" t="s">
        <v>85</v>
      </c>
      <c r="H2381" t="s">
        <v>86</v>
      </c>
      <c r="I2381" s="6" t="s">
        <v>1060</v>
      </c>
      <c r="J2381" s="61" t="s">
        <v>22</v>
      </c>
      <c r="L2381" s="5" t="str">
        <f t="shared" si="740"/>
        <v>02380</v>
      </c>
      <c r="M2381" s="47" t="str">
        <f t="shared" si="741"/>
        <v>01 de octubre de 2019</v>
      </c>
      <c r="N2381" s="323">
        <f t="shared" si="742"/>
        <v>1</v>
      </c>
      <c r="O2381" s="25">
        <f t="shared" si="743"/>
        <v>43739</v>
      </c>
      <c r="P2381" s="5" t="str">
        <f t="shared" si="744"/>
        <v>21.100,00</v>
      </c>
      <c r="Q2381" s="4" t="str">
        <f t="shared" si="746"/>
        <v>Veintiun Mil Cien Bolívares con 00/100</v>
      </c>
    </row>
    <row r="2382" spans="1:17" x14ac:dyDescent="0.25">
      <c r="A2382" s="1">
        <f t="shared" si="727"/>
        <v>2381</v>
      </c>
      <c r="B2382" s="8"/>
      <c r="C2382" s="8" t="s">
        <v>17</v>
      </c>
      <c r="D2382" s="2">
        <v>43740</v>
      </c>
      <c r="E2382" s="3">
        <v>21100</v>
      </c>
      <c r="F2382" t="s">
        <v>417</v>
      </c>
      <c r="G2382" t="s">
        <v>418</v>
      </c>
      <c r="H2382" t="s">
        <v>419</v>
      </c>
      <c r="I2382" s="6" t="s">
        <v>1060</v>
      </c>
      <c r="J2382" s="61" t="s">
        <v>22</v>
      </c>
      <c r="L2382" s="5" t="str">
        <f t="shared" si="740"/>
        <v>02381</v>
      </c>
      <c r="M2382" s="47" t="str">
        <f t="shared" si="741"/>
        <v>02 de octubre de 2019</v>
      </c>
      <c r="N2382" s="323">
        <f t="shared" si="742"/>
        <v>2</v>
      </c>
      <c r="O2382" s="25">
        <f t="shared" si="743"/>
        <v>43739</v>
      </c>
      <c r="P2382" s="5" t="str">
        <f t="shared" si="744"/>
        <v>21.100,00</v>
      </c>
      <c r="Q2382" s="4" t="str">
        <f t="shared" si="746"/>
        <v>Veintiun Mil Cien Bolívares con 00/100</v>
      </c>
    </row>
    <row r="2383" spans="1:17" x14ac:dyDescent="0.25">
      <c r="A2383" s="1">
        <f t="shared" si="727"/>
        <v>2382</v>
      </c>
      <c r="B2383" s="8"/>
      <c r="C2383" s="8" t="s">
        <v>17</v>
      </c>
      <c r="D2383" s="2">
        <v>43740</v>
      </c>
      <c r="E2383" s="3">
        <v>21100</v>
      </c>
      <c r="F2383" t="s">
        <v>713</v>
      </c>
      <c r="G2383" t="s">
        <v>714</v>
      </c>
      <c r="H2383" t="s">
        <v>154</v>
      </c>
      <c r="I2383" s="6" t="s">
        <v>1060</v>
      </c>
      <c r="J2383" s="61" t="s">
        <v>22</v>
      </c>
      <c r="L2383" s="5" t="str">
        <f t="shared" si="740"/>
        <v>02382</v>
      </c>
      <c r="M2383" s="47" t="str">
        <f t="shared" si="741"/>
        <v>02 de octubre de 2019</v>
      </c>
      <c r="N2383" s="323">
        <f t="shared" si="742"/>
        <v>2</v>
      </c>
      <c r="O2383" s="25">
        <f t="shared" si="743"/>
        <v>43739</v>
      </c>
      <c r="P2383" s="5" t="str">
        <f t="shared" si="744"/>
        <v>21.100,00</v>
      </c>
      <c r="Q2383" s="4" t="str">
        <f t="shared" si="746"/>
        <v>Veintiun Mil Cien Bolívares con 00/100</v>
      </c>
    </row>
    <row r="2384" spans="1:17" x14ac:dyDescent="0.25">
      <c r="A2384" s="1">
        <f t="shared" si="727"/>
        <v>2383</v>
      </c>
      <c r="B2384" s="8"/>
      <c r="C2384" s="8" t="s">
        <v>17</v>
      </c>
      <c r="D2384" s="2">
        <v>43740</v>
      </c>
      <c r="E2384" s="3">
        <v>21100</v>
      </c>
      <c r="F2384" t="s">
        <v>947</v>
      </c>
      <c r="G2384" t="s">
        <v>948</v>
      </c>
      <c r="H2384" t="s">
        <v>949</v>
      </c>
      <c r="I2384" s="6" t="s">
        <v>1060</v>
      </c>
      <c r="J2384" s="61" t="s">
        <v>22</v>
      </c>
      <c r="L2384" s="5" t="str">
        <f t="shared" si="740"/>
        <v>02383</v>
      </c>
      <c r="M2384" s="47" t="str">
        <f t="shared" si="741"/>
        <v>02 de octubre de 2019</v>
      </c>
      <c r="N2384" s="323">
        <f t="shared" si="742"/>
        <v>2</v>
      </c>
      <c r="O2384" s="25">
        <f t="shared" si="743"/>
        <v>43739</v>
      </c>
      <c r="P2384" s="5" t="str">
        <f t="shared" si="744"/>
        <v>21.100,00</v>
      </c>
      <c r="Q2384" s="4" t="str">
        <f t="shared" si="746"/>
        <v>Veintiun Mil Cien Bolívares con 00/100</v>
      </c>
    </row>
    <row r="2385" spans="1:17" x14ac:dyDescent="0.25">
      <c r="A2385" s="1">
        <f t="shared" si="727"/>
        <v>2384</v>
      </c>
      <c r="B2385" s="8"/>
      <c r="C2385" s="8" t="s">
        <v>17</v>
      </c>
      <c r="D2385" s="2">
        <v>43740</v>
      </c>
      <c r="E2385" s="3">
        <v>20482.22</v>
      </c>
      <c r="F2385" t="s">
        <v>197</v>
      </c>
      <c r="G2385" t="s">
        <v>198</v>
      </c>
      <c r="H2385" t="s">
        <v>199</v>
      </c>
      <c r="I2385" s="6" t="s">
        <v>1035</v>
      </c>
      <c r="J2385" s="61" t="s">
        <v>22</v>
      </c>
      <c r="L2385" s="5" t="str">
        <f t="shared" si="740"/>
        <v>02384</v>
      </c>
      <c r="M2385" s="47" t="str">
        <f t="shared" si="741"/>
        <v>02 de octubre de 2019</v>
      </c>
      <c r="N2385" s="323">
        <f t="shared" si="742"/>
        <v>2</v>
      </c>
      <c r="O2385" s="25">
        <f t="shared" si="743"/>
        <v>43739</v>
      </c>
      <c r="P2385" s="5" t="str">
        <f t="shared" si="744"/>
        <v>20.482,22</v>
      </c>
      <c r="Q2385" s="4" t="str">
        <f t="shared" si="746"/>
        <v>Veinte Mil Cuatrocientos Ochenta y Dos Bolívares con 22/100</v>
      </c>
    </row>
    <row r="2386" spans="1:17" x14ac:dyDescent="0.25">
      <c r="A2386" s="1">
        <f t="shared" si="727"/>
        <v>2385</v>
      </c>
      <c r="B2386" s="8"/>
      <c r="C2386" s="8" t="s">
        <v>17</v>
      </c>
      <c r="D2386" s="2">
        <v>43740</v>
      </c>
      <c r="E2386" s="3">
        <v>21100</v>
      </c>
      <c r="F2386" t="s">
        <v>18</v>
      </c>
      <c r="G2386" t="s">
        <v>19</v>
      </c>
      <c r="H2386" t="s">
        <v>20</v>
      </c>
      <c r="I2386" s="6" t="s">
        <v>1062</v>
      </c>
      <c r="J2386" s="61" t="s">
        <v>22</v>
      </c>
      <c r="L2386" s="5" t="str">
        <f t="shared" si="740"/>
        <v>02385</v>
      </c>
      <c r="M2386" s="47" t="str">
        <f t="shared" si="741"/>
        <v>02 de octubre de 2019</v>
      </c>
      <c r="N2386" s="323">
        <f t="shared" si="742"/>
        <v>2</v>
      </c>
      <c r="O2386" s="25">
        <f t="shared" si="743"/>
        <v>43739</v>
      </c>
      <c r="P2386" s="5" t="str">
        <f t="shared" si="744"/>
        <v>21.100,00</v>
      </c>
      <c r="Q2386" s="4" t="str">
        <f t="shared" si="746"/>
        <v>Veintiun Mil Cien Bolívares con 00/100</v>
      </c>
    </row>
    <row r="2387" spans="1:17" x14ac:dyDescent="0.25">
      <c r="A2387" s="1">
        <f t="shared" ref="A2387" si="747">A2386+1</f>
        <v>2386</v>
      </c>
      <c r="B2387" s="8"/>
      <c r="C2387" s="8" t="s">
        <v>17</v>
      </c>
      <c r="D2387" s="2">
        <v>43740</v>
      </c>
      <c r="E2387" s="3">
        <v>21100</v>
      </c>
      <c r="F2387" t="s">
        <v>438</v>
      </c>
      <c r="G2387" t="s">
        <v>439</v>
      </c>
      <c r="H2387" t="s">
        <v>440</v>
      </c>
      <c r="I2387" s="6" t="s">
        <v>1063</v>
      </c>
      <c r="J2387" s="61" t="s">
        <v>22</v>
      </c>
      <c r="L2387" s="5" t="str">
        <f t="shared" si="740"/>
        <v>02386</v>
      </c>
      <c r="M2387" s="47" t="str">
        <f t="shared" si="741"/>
        <v>02 de octubre de 2019</v>
      </c>
      <c r="N2387" s="323">
        <f t="shared" si="742"/>
        <v>2</v>
      </c>
      <c r="O2387" s="25">
        <f t="shared" si="743"/>
        <v>43739</v>
      </c>
      <c r="P2387" s="5" t="str">
        <f t="shared" si="744"/>
        <v>21.100,00</v>
      </c>
      <c r="Q2387" s="4" t="str">
        <f t="shared" si="746"/>
        <v>Veintiun Mil Cien Bolívares con 00/100</v>
      </c>
    </row>
    <row r="2388" spans="1:17" x14ac:dyDescent="0.25">
      <c r="A2388" s="1">
        <f t="shared" si="727"/>
        <v>2387</v>
      </c>
      <c r="B2388" s="8"/>
      <c r="C2388" s="8" t="s">
        <v>17</v>
      </c>
      <c r="D2388" s="2">
        <v>43740</v>
      </c>
      <c r="E2388" s="3">
        <v>21100</v>
      </c>
      <c r="F2388" t="s">
        <v>771</v>
      </c>
      <c r="G2388" t="s">
        <v>772</v>
      </c>
      <c r="H2388" t="s">
        <v>773</v>
      </c>
      <c r="I2388" s="6" t="s">
        <v>1064</v>
      </c>
      <c r="J2388" s="61" t="s">
        <v>22</v>
      </c>
      <c r="L2388" s="5" t="str">
        <f t="shared" si="740"/>
        <v>02387</v>
      </c>
      <c r="M2388" s="47" t="str">
        <f t="shared" si="741"/>
        <v>02 de octubre de 2019</v>
      </c>
      <c r="N2388" s="323">
        <f t="shared" si="742"/>
        <v>2</v>
      </c>
      <c r="O2388" s="25">
        <f t="shared" si="743"/>
        <v>43739</v>
      </c>
      <c r="P2388" s="5" t="str">
        <f t="shared" si="744"/>
        <v>21.100,00</v>
      </c>
      <c r="Q2388" s="4" t="str">
        <f t="shared" si="746"/>
        <v>Veintiun Mil Cien Bolívares con 00/100</v>
      </c>
    </row>
    <row r="2389" spans="1:17" x14ac:dyDescent="0.25">
      <c r="A2389" s="1">
        <f t="shared" si="727"/>
        <v>2388</v>
      </c>
      <c r="B2389" s="8"/>
      <c r="C2389" s="8" t="s">
        <v>17</v>
      </c>
      <c r="D2389" s="2">
        <v>43740</v>
      </c>
      <c r="E2389" s="3">
        <v>11100</v>
      </c>
      <c r="F2389" t="s">
        <v>66</v>
      </c>
      <c r="G2389" t="s">
        <v>67</v>
      </c>
      <c r="H2389" t="s">
        <v>68</v>
      </c>
      <c r="I2389" s="6" t="s">
        <v>1065</v>
      </c>
      <c r="J2389" s="61" t="s">
        <v>22</v>
      </c>
      <c r="L2389" s="5" t="str">
        <f t="shared" si="740"/>
        <v>02388</v>
      </c>
      <c r="M2389" s="47" t="str">
        <f t="shared" si="741"/>
        <v>02 de octubre de 2019</v>
      </c>
      <c r="N2389" s="323">
        <f t="shared" si="742"/>
        <v>2</v>
      </c>
      <c r="O2389" s="25">
        <f t="shared" si="743"/>
        <v>43739</v>
      </c>
      <c r="P2389" s="5" t="str">
        <f t="shared" si="744"/>
        <v>11.100,00</v>
      </c>
      <c r="Q2389" s="4" t="str">
        <f t="shared" si="746"/>
        <v>Once Mil Cien Bolívares con 00/100</v>
      </c>
    </row>
    <row r="2390" spans="1:17" x14ac:dyDescent="0.25">
      <c r="A2390" s="1">
        <f>A2389+1</f>
        <v>2389</v>
      </c>
      <c r="B2390" s="8"/>
      <c r="C2390" s="8" t="s">
        <v>17</v>
      </c>
      <c r="D2390" s="2">
        <v>43740</v>
      </c>
      <c r="E2390" s="3">
        <v>20300</v>
      </c>
      <c r="F2390" t="s">
        <v>70</v>
      </c>
      <c r="G2390" t="s">
        <v>71</v>
      </c>
      <c r="H2390" t="s">
        <v>72</v>
      </c>
      <c r="I2390" s="6" t="s">
        <v>1065</v>
      </c>
      <c r="J2390" s="61" t="s">
        <v>22</v>
      </c>
      <c r="L2390" s="5" t="str">
        <f t="shared" si="740"/>
        <v>02389</v>
      </c>
      <c r="M2390" s="47" t="str">
        <f t="shared" si="741"/>
        <v>02 de octubre de 2019</v>
      </c>
      <c r="N2390" s="323">
        <f t="shared" si="742"/>
        <v>2</v>
      </c>
      <c r="O2390" s="25">
        <f t="shared" si="743"/>
        <v>43739</v>
      </c>
      <c r="P2390" s="5" t="str">
        <f t="shared" si="744"/>
        <v>20.300,00</v>
      </c>
      <c r="Q2390" s="4" t="str">
        <f t="shared" si="746"/>
        <v>Veinte Mil Trescientos Bolívares con 00/100</v>
      </c>
    </row>
    <row r="2391" spans="1:17" x14ac:dyDescent="0.25">
      <c r="A2391" s="1">
        <f t="shared" ref="A2391:A2396" si="748">A2390+1</f>
        <v>2390</v>
      </c>
      <c r="B2391" s="8"/>
      <c r="C2391" s="8" t="s">
        <v>17</v>
      </c>
      <c r="D2391" s="2">
        <v>43740</v>
      </c>
      <c r="E2391" s="3">
        <v>21100</v>
      </c>
      <c r="F2391" t="s">
        <v>134</v>
      </c>
      <c r="G2391" t="s">
        <v>135</v>
      </c>
      <c r="H2391" t="s">
        <v>136</v>
      </c>
      <c r="I2391" s="6" t="s">
        <v>1060</v>
      </c>
      <c r="J2391" s="61" t="s">
        <v>22</v>
      </c>
      <c r="L2391" s="5" t="str">
        <f t="shared" si="740"/>
        <v>02390</v>
      </c>
      <c r="M2391" s="47" t="str">
        <f t="shared" si="741"/>
        <v>02 de octubre de 2019</v>
      </c>
      <c r="N2391" s="323">
        <f t="shared" si="742"/>
        <v>2</v>
      </c>
      <c r="O2391" s="25">
        <f t="shared" si="743"/>
        <v>43739</v>
      </c>
      <c r="P2391" s="5" t="str">
        <f t="shared" si="744"/>
        <v>21.100,00</v>
      </c>
      <c r="Q2391" s="4" t="str">
        <f t="shared" si="746"/>
        <v>Veintiun Mil Cien Bolívares con 00/100</v>
      </c>
    </row>
    <row r="2392" spans="1:17" x14ac:dyDescent="0.25">
      <c r="A2392" s="1">
        <f t="shared" si="748"/>
        <v>2391</v>
      </c>
      <c r="B2392" s="8"/>
      <c r="C2392" s="8" t="s">
        <v>17</v>
      </c>
      <c r="D2392" s="2">
        <v>43741</v>
      </c>
      <c r="E2392" s="3">
        <f>20255+845</f>
        <v>21100</v>
      </c>
      <c r="F2392" t="s">
        <v>201</v>
      </c>
      <c r="G2392" t="s">
        <v>202</v>
      </c>
      <c r="H2392" t="s">
        <v>203</v>
      </c>
      <c r="I2392" s="6" t="s">
        <v>1060</v>
      </c>
      <c r="J2392" s="61" t="s">
        <v>22</v>
      </c>
      <c r="L2392" s="5" t="str">
        <f t="shared" si="740"/>
        <v>02391</v>
      </c>
      <c r="M2392" s="47" t="str">
        <f t="shared" si="741"/>
        <v>03 de octubre de 2019</v>
      </c>
      <c r="N2392" s="323">
        <f t="shared" si="742"/>
        <v>3</v>
      </c>
      <c r="O2392" s="25">
        <f t="shared" si="743"/>
        <v>43739</v>
      </c>
      <c r="P2392" s="5" t="str">
        <f t="shared" si="744"/>
        <v>21.100,00</v>
      </c>
      <c r="Q2392" s="4" t="str">
        <f t="shared" si="746"/>
        <v>Veintiun Mil Cien Bolívares con 00/100</v>
      </c>
    </row>
    <row r="2393" spans="1:17" x14ac:dyDescent="0.25">
      <c r="A2393" s="1">
        <f t="shared" si="748"/>
        <v>2392</v>
      </c>
      <c r="B2393" s="8"/>
      <c r="C2393" s="8" t="s">
        <v>17</v>
      </c>
      <c r="D2393" s="2">
        <v>43741</v>
      </c>
      <c r="E2393" s="3">
        <v>42200</v>
      </c>
      <c r="F2393" t="s">
        <v>248</v>
      </c>
      <c r="G2393" t="s">
        <v>249</v>
      </c>
      <c r="H2393" t="s">
        <v>250</v>
      </c>
      <c r="I2393" s="6" t="s">
        <v>1066</v>
      </c>
      <c r="J2393" s="61" t="s">
        <v>22</v>
      </c>
      <c r="L2393" s="5" t="str">
        <f t="shared" si="740"/>
        <v>02392</v>
      </c>
      <c r="M2393" s="47" t="str">
        <f t="shared" si="741"/>
        <v>03 de octubre de 2019</v>
      </c>
      <c r="N2393" s="323">
        <f t="shared" si="742"/>
        <v>3</v>
      </c>
      <c r="O2393" s="25">
        <f t="shared" si="743"/>
        <v>43739</v>
      </c>
      <c r="P2393" s="5" t="str">
        <f t="shared" si="744"/>
        <v>42.200,00</v>
      </c>
      <c r="Q2393" s="4" t="str">
        <f t="shared" si="746"/>
        <v>Cuarenta y Dos Mil Doscientos Bolívares con 00/100</v>
      </c>
    </row>
    <row r="2394" spans="1:17" x14ac:dyDescent="0.25">
      <c r="A2394" s="1">
        <f t="shared" si="748"/>
        <v>2393</v>
      </c>
      <c r="B2394" s="8"/>
      <c r="C2394" s="8" t="s">
        <v>17</v>
      </c>
      <c r="D2394" s="2">
        <v>43741</v>
      </c>
      <c r="E2394" s="3">
        <v>44000</v>
      </c>
      <c r="F2394" t="s">
        <v>612</v>
      </c>
      <c r="G2394" t="s">
        <v>613</v>
      </c>
      <c r="H2394" t="s">
        <v>614</v>
      </c>
      <c r="I2394" s="6" t="s">
        <v>1066</v>
      </c>
      <c r="J2394" s="61" t="s">
        <v>22</v>
      </c>
      <c r="L2394" s="5" t="str">
        <f t="shared" si="740"/>
        <v>02393</v>
      </c>
      <c r="M2394" s="47" t="str">
        <f t="shared" si="741"/>
        <v>03 de octubre de 2019</v>
      </c>
      <c r="N2394" s="323">
        <f t="shared" si="742"/>
        <v>3</v>
      </c>
      <c r="O2394" s="25">
        <f t="shared" si="743"/>
        <v>43739</v>
      </c>
      <c r="P2394" s="5" t="str">
        <f t="shared" si="744"/>
        <v>44.000,00</v>
      </c>
      <c r="Q2394" s="4" t="str">
        <f t="shared" si="746"/>
        <v>Cuarenta y Cuatro Mil Bolívares con 00/100</v>
      </c>
    </row>
    <row r="2395" spans="1:17" x14ac:dyDescent="0.25">
      <c r="A2395" s="1">
        <f t="shared" si="748"/>
        <v>2394</v>
      </c>
      <c r="B2395" s="8"/>
      <c r="C2395" s="8" t="s">
        <v>17</v>
      </c>
      <c r="D2395" s="2">
        <v>43741</v>
      </c>
      <c r="E2395" s="3">
        <v>30000</v>
      </c>
      <c r="F2395" t="s">
        <v>80</v>
      </c>
      <c r="G2395" t="s">
        <v>81</v>
      </c>
      <c r="H2395" t="s">
        <v>82</v>
      </c>
      <c r="I2395" s="6" t="s">
        <v>1060</v>
      </c>
      <c r="J2395" s="61" t="s">
        <v>22</v>
      </c>
      <c r="L2395" s="5" t="str">
        <f t="shared" si="740"/>
        <v>02394</v>
      </c>
      <c r="M2395" s="47" t="str">
        <f t="shared" si="741"/>
        <v>03 de octubre de 2019</v>
      </c>
      <c r="N2395" s="323">
        <f t="shared" si="742"/>
        <v>3</v>
      </c>
      <c r="O2395" s="25">
        <f t="shared" si="743"/>
        <v>43739</v>
      </c>
      <c r="P2395" s="5" t="str">
        <f t="shared" si="744"/>
        <v>30.000,00</v>
      </c>
      <c r="Q2395" s="4" t="str">
        <f t="shared" si="746"/>
        <v>Treinta Mil Bolívares con 00/100</v>
      </c>
    </row>
    <row r="2396" spans="1:17" x14ac:dyDescent="0.25">
      <c r="A2396" s="1">
        <f t="shared" si="748"/>
        <v>2395</v>
      </c>
      <c r="B2396" s="8"/>
      <c r="C2396" s="85" t="s">
        <v>17</v>
      </c>
      <c r="D2396" s="2">
        <v>43742</v>
      </c>
      <c r="E2396" s="162">
        <v>21100</v>
      </c>
      <c r="F2396" t="s">
        <v>492</v>
      </c>
      <c r="G2396" s="18" t="s">
        <v>58</v>
      </c>
      <c r="H2396" t="s">
        <v>493</v>
      </c>
      <c r="I2396" s="6" t="s">
        <v>1060</v>
      </c>
      <c r="J2396" s="61" t="s">
        <v>22</v>
      </c>
      <c r="L2396" s="5" t="str">
        <f t="shared" si="740"/>
        <v>02395</v>
      </c>
      <c r="M2396" s="47" t="str">
        <f t="shared" si="741"/>
        <v>04 de octubre de 2019</v>
      </c>
      <c r="N2396" s="323">
        <f t="shared" si="742"/>
        <v>4</v>
      </c>
      <c r="O2396" s="25">
        <f t="shared" si="743"/>
        <v>43739</v>
      </c>
      <c r="P2396" s="5" t="str">
        <f t="shared" si="744"/>
        <v>21.100,00</v>
      </c>
      <c r="Q2396" s="4" t="str">
        <f t="shared" si="746"/>
        <v>Veintiun Mil Cien Bolívares con 00/100</v>
      </c>
    </row>
    <row r="2397" spans="1:17" x14ac:dyDescent="0.25">
      <c r="A2397" s="1">
        <f>A2396+1</f>
        <v>2396</v>
      </c>
      <c r="B2397" s="8"/>
      <c r="C2397" s="8" t="s">
        <v>17</v>
      </c>
      <c r="D2397" s="2">
        <v>43742</v>
      </c>
      <c r="E2397" s="3">
        <v>21100</v>
      </c>
      <c r="F2397" t="s">
        <v>36</v>
      </c>
      <c r="G2397" t="s">
        <v>37</v>
      </c>
      <c r="H2397" t="s">
        <v>38</v>
      </c>
      <c r="I2397" s="6" t="s">
        <v>1060</v>
      </c>
      <c r="J2397" s="61" t="s">
        <v>22</v>
      </c>
      <c r="L2397" s="5" t="str">
        <f t="shared" si="740"/>
        <v>02396</v>
      </c>
      <c r="M2397" s="47" t="str">
        <f t="shared" si="741"/>
        <v>04 de octubre de 2019</v>
      </c>
      <c r="N2397" s="323">
        <f t="shared" si="742"/>
        <v>4</v>
      </c>
      <c r="O2397" s="25">
        <f t="shared" si="743"/>
        <v>43739</v>
      </c>
      <c r="P2397" s="5" t="str">
        <f t="shared" si="744"/>
        <v>21.100,00</v>
      </c>
      <c r="Q2397" s="4" t="str">
        <f t="shared" si="746"/>
        <v>Veintiun Mil Cien Bolívares con 00/100</v>
      </c>
    </row>
    <row r="2398" spans="1:17" x14ac:dyDescent="0.25">
      <c r="A2398" s="1">
        <f t="shared" ref="A2398:A2430" si="749">A2397+1</f>
        <v>2397</v>
      </c>
      <c r="B2398" s="8"/>
      <c r="C2398" s="8" t="s">
        <v>17</v>
      </c>
      <c r="D2398" s="2">
        <v>43742</v>
      </c>
      <c r="E2398" s="3">
        <v>21100</v>
      </c>
      <c r="F2398" t="s">
        <v>48</v>
      </c>
      <c r="G2398" t="s">
        <v>49</v>
      </c>
      <c r="H2398" t="s">
        <v>50</v>
      </c>
      <c r="I2398" s="6" t="s">
        <v>1060</v>
      </c>
      <c r="J2398" s="61" t="s">
        <v>22</v>
      </c>
      <c r="L2398" s="5" t="str">
        <f t="shared" si="740"/>
        <v>02397</v>
      </c>
      <c r="M2398" s="47" t="str">
        <f t="shared" si="741"/>
        <v>04 de octubre de 2019</v>
      </c>
      <c r="N2398" s="323">
        <f t="shared" si="742"/>
        <v>4</v>
      </c>
      <c r="O2398" s="25">
        <f t="shared" si="743"/>
        <v>43739</v>
      </c>
      <c r="P2398" s="5" t="str">
        <f t="shared" si="744"/>
        <v>21.100,00</v>
      </c>
      <c r="Q2398" s="4" t="str">
        <f t="shared" si="746"/>
        <v>Veintiun Mil Cien Bolívares con 00/100</v>
      </c>
    </row>
    <row r="2399" spans="1:17" x14ac:dyDescent="0.25">
      <c r="A2399" s="1">
        <f t="shared" si="749"/>
        <v>2398</v>
      </c>
      <c r="B2399" s="8"/>
      <c r="C2399" s="8" t="s">
        <v>17</v>
      </c>
      <c r="D2399" s="2">
        <v>43743</v>
      </c>
      <c r="E2399" s="3">
        <v>21100</v>
      </c>
      <c r="F2399" t="s">
        <v>24</v>
      </c>
      <c r="G2399" t="s">
        <v>25</v>
      </c>
      <c r="H2399" t="s">
        <v>26</v>
      </c>
      <c r="I2399" s="6" t="s">
        <v>1060</v>
      </c>
      <c r="J2399" s="61" t="s">
        <v>22</v>
      </c>
      <c r="L2399" s="5" t="str">
        <f t="shared" si="740"/>
        <v>02398</v>
      </c>
      <c r="M2399" s="47" t="str">
        <f t="shared" si="741"/>
        <v>05 de octubre de 2019</v>
      </c>
      <c r="N2399" s="323">
        <f t="shared" si="742"/>
        <v>5</v>
      </c>
      <c r="O2399" s="25">
        <f t="shared" si="743"/>
        <v>43739</v>
      </c>
      <c r="P2399" s="5" t="str">
        <f t="shared" si="744"/>
        <v>21.100,00</v>
      </c>
      <c r="Q2399" s="4" t="str">
        <f t="shared" si="746"/>
        <v>Veintiun Mil Cien Bolívares con 00/100</v>
      </c>
    </row>
    <row r="2400" spans="1:17" x14ac:dyDescent="0.25">
      <c r="A2400" s="1">
        <f t="shared" si="749"/>
        <v>2399</v>
      </c>
      <c r="B2400" s="8"/>
      <c r="C2400" s="85" t="s">
        <v>17</v>
      </c>
      <c r="D2400" s="2">
        <v>43742</v>
      </c>
      <c r="E2400" s="3">
        <f>20000+1100</f>
        <v>21100</v>
      </c>
      <c r="F2400" t="s">
        <v>319</v>
      </c>
      <c r="G2400" s="18" t="s">
        <v>58</v>
      </c>
      <c r="H2400" t="s">
        <v>320</v>
      </c>
      <c r="I2400" s="6" t="s">
        <v>1060</v>
      </c>
      <c r="J2400" s="61" t="s">
        <v>22</v>
      </c>
      <c r="L2400" s="5" t="str">
        <f t="shared" si="740"/>
        <v>02399</v>
      </c>
      <c r="M2400" s="47" t="str">
        <f t="shared" si="741"/>
        <v>04 de octubre de 2019</v>
      </c>
      <c r="N2400" s="323">
        <f t="shared" si="742"/>
        <v>4</v>
      </c>
      <c r="O2400" s="25">
        <f t="shared" si="743"/>
        <v>43739</v>
      </c>
      <c r="P2400" s="5" t="str">
        <f t="shared" si="744"/>
        <v>21.100,00</v>
      </c>
      <c r="Q2400" s="4" t="str">
        <f t="shared" si="746"/>
        <v>Veintiun Mil Cien Bolívares con 00/100</v>
      </c>
    </row>
    <row r="2401" spans="1:17" x14ac:dyDescent="0.25">
      <c r="A2401" s="1">
        <f t="shared" si="749"/>
        <v>2400</v>
      </c>
      <c r="B2401" s="8"/>
      <c r="C2401" s="8" t="s">
        <v>17</v>
      </c>
      <c r="D2401" s="2">
        <v>43745</v>
      </c>
      <c r="E2401" s="597">
        <v>20300</v>
      </c>
      <c r="F2401" t="s">
        <v>103</v>
      </c>
      <c r="G2401" s="599" t="s">
        <v>1047</v>
      </c>
      <c r="H2401" t="s">
        <v>105</v>
      </c>
      <c r="I2401" s="6" t="s">
        <v>1056</v>
      </c>
      <c r="J2401" s="61" t="s">
        <v>22</v>
      </c>
      <c r="L2401" s="5" t="str">
        <f t="shared" si="740"/>
        <v>02400</v>
      </c>
      <c r="M2401" s="47" t="str">
        <f t="shared" si="741"/>
        <v>07 de octubre de 2019</v>
      </c>
      <c r="N2401" s="323">
        <f t="shared" si="742"/>
        <v>7</v>
      </c>
      <c r="O2401" s="25">
        <f t="shared" si="743"/>
        <v>43739</v>
      </c>
      <c r="P2401" s="5" t="str">
        <f t="shared" si="744"/>
        <v>20.300,00</v>
      </c>
      <c r="Q2401" s="4" t="str">
        <f t="shared" si="746"/>
        <v>Veinte Mil Trescientos Bolívares con 00/100</v>
      </c>
    </row>
    <row r="2402" spans="1:17" x14ac:dyDescent="0.25">
      <c r="A2402" s="1">
        <f t="shared" si="749"/>
        <v>2401</v>
      </c>
      <c r="B2402" s="8"/>
      <c r="C2402" s="85" t="s">
        <v>17</v>
      </c>
      <c r="D2402" s="2">
        <v>43747</v>
      </c>
      <c r="E2402" s="3">
        <v>29435</v>
      </c>
      <c r="F2402" s="23" t="s">
        <v>422</v>
      </c>
      <c r="G2402" s="18" t="s">
        <v>58</v>
      </c>
      <c r="H2402" t="s">
        <v>423</v>
      </c>
      <c r="I2402" s="6" t="s">
        <v>1060</v>
      </c>
      <c r="J2402" s="61" t="s">
        <v>22</v>
      </c>
      <c r="L2402" s="5" t="str">
        <f t="shared" si="740"/>
        <v>02401</v>
      </c>
      <c r="M2402" s="47" t="str">
        <f t="shared" si="741"/>
        <v>09 de octubre de 2019</v>
      </c>
      <c r="N2402" s="323">
        <f t="shared" si="742"/>
        <v>9</v>
      </c>
      <c r="O2402" s="25">
        <f t="shared" si="743"/>
        <v>43739</v>
      </c>
      <c r="P2402" s="5" t="str">
        <f t="shared" si="744"/>
        <v>29.435,00</v>
      </c>
      <c r="Q2402" s="4" t="str">
        <f t="shared" si="746"/>
        <v>Veintinueve Mil Cuatrocientos Treinta y Cinco Bolívares con 00/100</v>
      </c>
    </row>
    <row r="2403" spans="1:17" x14ac:dyDescent="0.25">
      <c r="A2403" s="1">
        <f t="shared" si="749"/>
        <v>2402</v>
      </c>
      <c r="B2403" s="8"/>
      <c r="C2403" s="8" t="s">
        <v>17</v>
      </c>
      <c r="D2403" s="2">
        <v>43747</v>
      </c>
      <c r="E2403" s="3">
        <v>20300</v>
      </c>
      <c r="F2403" t="s">
        <v>177</v>
      </c>
      <c r="G2403" t="s">
        <v>941</v>
      </c>
      <c r="H2403" t="s">
        <v>179</v>
      </c>
      <c r="I2403" s="6" t="s">
        <v>1067</v>
      </c>
      <c r="J2403" s="61" t="s">
        <v>22</v>
      </c>
      <c r="L2403" s="5" t="str">
        <f t="shared" si="740"/>
        <v>02402</v>
      </c>
      <c r="M2403" s="47" t="str">
        <f t="shared" si="741"/>
        <v>09 de octubre de 2019</v>
      </c>
      <c r="N2403" s="323">
        <f t="shared" si="742"/>
        <v>9</v>
      </c>
      <c r="O2403" s="25">
        <f t="shared" si="743"/>
        <v>43739</v>
      </c>
      <c r="P2403" s="5" t="str">
        <f t="shared" si="744"/>
        <v>20.300,00</v>
      </c>
      <c r="Q2403" s="4" t="str">
        <f t="shared" si="746"/>
        <v>Veinte Mil Trescientos Bolívares con 00/100</v>
      </c>
    </row>
    <row r="2404" spans="1:17" x14ac:dyDescent="0.25">
      <c r="A2404" s="1">
        <f t="shared" si="749"/>
        <v>2403</v>
      </c>
      <c r="B2404" s="8"/>
      <c r="C2404" s="8" t="s">
        <v>17</v>
      </c>
      <c r="D2404" s="2">
        <v>43748</v>
      </c>
      <c r="E2404" s="3">
        <v>20300</v>
      </c>
      <c r="F2404" t="s">
        <v>53</v>
      </c>
      <c r="G2404" t="s">
        <v>677</v>
      </c>
      <c r="H2404" t="s">
        <v>55</v>
      </c>
      <c r="I2404" s="6" t="s">
        <v>1060</v>
      </c>
      <c r="J2404" s="61" t="s">
        <v>22</v>
      </c>
      <c r="L2404" s="5" t="str">
        <f t="shared" si="740"/>
        <v>02403</v>
      </c>
      <c r="M2404" s="47" t="str">
        <f t="shared" si="741"/>
        <v>10 de octubre de 2019</v>
      </c>
      <c r="N2404" s="323">
        <f t="shared" si="742"/>
        <v>10</v>
      </c>
      <c r="O2404" s="25">
        <f t="shared" si="743"/>
        <v>43739</v>
      </c>
      <c r="P2404" s="5" t="str">
        <f t="shared" si="744"/>
        <v>20.300,00</v>
      </c>
      <c r="Q2404" s="4" t="str">
        <f t="shared" si="746"/>
        <v>Veinte Mil Trescientos Bolívares con 00/100</v>
      </c>
    </row>
    <row r="2405" spans="1:17" x14ac:dyDescent="0.25">
      <c r="A2405" s="1">
        <f t="shared" si="749"/>
        <v>2404</v>
      </c>
      <c r="B2405" s="8"/>
      <c r="C2405" s="8" t="s">
        <v>17</v>
      </c>
      <c r="D2405" s="2">
        <v>43748</v>
      </c>
      <c r="E2405" s="3">
        <v>24700</v>
      </c>
      <c r="F2405" t="s">
        <v>53</v>
      </c>
      <c r="G2405" t="s">
        <v>677</v>
      </c>
      <c r="H2405" t="s">
        <v>55</v>
      </c>
      <c r="I2405" s="6" t="s">
        <v>732</v>
      </c>
      <c r="J2405" s="61" t="s">
        <v>733</v>
      </c>
      <c r="L2405" s="5" t="str">
        <f t="shared" si="740"/>
        <v>02404</v>
      </c>
      <c r="M2405" s="47" t="str">
        <f t="shared" si="741"/>
        <v>10 de octubre de 2019</v>
      </c>
      <c r="N2405" s="323">
        <f t="shared" si="742"/>
        <v>10</v>
      </c>
      <c r="O2405" s="25">
        <f t="shared" si="743"/>
        <v>43739</v>
      </c>
      <c r="P2405" s="5" t="str">
        <f t="shared" si="744"/>
        <v>24.700,00</v>
      </c>
      <c r="Q2405" s="4" t="str">
        <f t="shared" si="746"/>
        <v>Veinticuatro Mil Setecientos Bolívares con 00/100</v>
      </c>
    </row>
    <row r="2406" spans="1:17" x14ac:dyDescent="0.25">
      <c r="A2406" s="1">
        <f t="shared" si="749"/>
        <v>2405</v>
      </c>
      <c r="B2406" s="8"/>
      <c r="C2406" s="8" t="s">
        <v>17</v>
      </c>
      <c r="D2406" s="2">
        <v>43748</v>
      </c>
      <c r="E2406" s="3">
        <v>23300</v>
      </c>
      <c r="F2406" t="s">
        <v>312</v>
      </c>
      <c r="G2406" t="s">
        <v>313</v>
      </c>
      <c r="H2406" t="s">
        <v>314</v>
      </c>
      <c r="I2406" s="6" t="s">
        <v>1060</v>
      </c>
      <c r="J2406" s="61" t="s">
        <v>22</v>
      </c>
      <c r="L2406" s="5" t="str">
        <f t="shared" si="740"/>
        <v>02405</v>
      </c>
      <c r="M2406" s="47" t="str">
        <f t="shared" si="741"/>
        <v>10 de octubre de 2019</v>
      </c>
      <c r="N2406" s="323">
        <f t="shared" si="742"/>
        <v>10</v>
      </c>
      <c r="O2406" s="25">
        <f t="shared" si="743"/>
        <v>43739</v>
      </c>
      <c r="P2406" s="5" t="str">
        <f t="shared" si="744"/>
        <v>23.300,00</v>
      </c>
      <c r="Q2406" s="4" t="str">
        <f t="shared" si="746"/>
        <v>Veintitres Mil Trescientos Bolívares con 00/100</v>
      </c>
    </row>
    <row r="2407" spans="1:17" x14ac:dyDescent="0.25">
      <c r="A2407" s="1">
        <f t="shared" si="749"/>
        <v>2406</v>
      </c>
      <c r="B2407" s="8"/>
      <c r="C2407" s="8" t="s">
        <v>17</v>
      </c>
      <c r="D2407" s="2">
        <v>43749</v>
      </c>
      <c r="E2407" s="3">
        <v>20000</v>
      </c>
      <c r="F2407" t="s">
        <v>337</v>
      </c>
      <c r="G2407" t="s">
        <v>338</v>
      </c>
      <c r="H2407" t="s">
        <v>339</v>
      </c>
      <c r="I2407" s="6" t="s">
        <v>1060</v>
      </c>
      <c r="J2407" s="61" t="s">
        <v>22</v>
      </c>
      <c r="L2407" s="5" t="str">
        <f t="shared" si="740"/>
        <v>02406</v>
      </c>
      <c r="M2407" s="47" t="str">
        <f t="shared" si="741"/>
        <v>11 de octubre de 2019</v>
      </c>
      <c r="N2407" s="323">
        <f t="shared" si="742"/>
        <v>11</v>
      </c>
      <c r="O2407" s="25">
        <f t="shared" si="743"/>
        <v>43739</v>
      </c>
      <c r="P2407" s="5" t="str">
        <f t="shared" si="744"/>
        <v>20.000,00</v>
      </c>
      <c r="Q2407" s="4" t="str">
        <f t="shared" si="746"/>
        <v>Veinte Mil Bolívares con 00/100</v>
      </c>
    </row>
    <row r="2408" spans="1:17" x14ac:dyDescent="0.25">
      <c r="A2408" s="1">
        <f t="shared" si="749"/>
        <v>2407</v>
      </c>
      <c r="B2408" s="8"/>
      <c r="C2408" s="8" t="s">
        <v>17</v>
      </c>
      <c r="D2408" s="2">
        <v>43749</v>
      </c>
      <c r="E2408" s="3">
        <v>15000</v>
      </c>
      <c r="F2408" t="s">
        <v>28</v>
      </c>
      <c r="G2408" t="s">
        <v>716</v>
      </c>
      <c r="H2408" t="s">
        <v>30</v>
      </c>
      <c r="I2408" s="6" t="s">
        <v>1068</v>
      </c>
      <c r="J2408" s="61" t="s">
        <v>22</v>
      </c>
      <c r="L2408" s="5" t="str">
        <f t="shared" si="740"/>
        <v>02407</v>
      </c>
      <c r="M2408" s="47" t="str">
        <f t="shared" si="741"/>
        <v>11 de octubre de 2019</v>
      </c>
      <c r="N2408" s="323">
        <f t="shared" si="742"/>
        <v>11</v>
      </c>
      <c r="O2408" s="25">
        <f t="shared" si="743"/>
        <v>43739</v>
      </c>
      <c r="P2408" s="5" t="str">
        <f t="shared" si="744"/>
        <v>15.000,00</v>
      </c>
      <c r="Q2408" s="4" t="str">
        <f t="shared" si="746"/>
        <v>Quince Mil Bolívares con 00/100</v>
      </c>
    </row>
    <row r="2409" spans="1:17" x14ac:dyDescent="0.25">
      <c r="A2409" s="1">
        <f t="shared" si="749"/>
        <v>2408</v>
      </c>
      <c r="B2409" s="8"/>
      <c r="C2409" s="8" t="s">
        <v>17</v>
      </c>
      <c r="D2409" s="2">
        <v>43749</v>
      </c>
      <c r="E2409" s="3">
        <v>11000</v>
      </c>
      <c r="F2409" t="s">
        <v>252</v>
      </c>
      <c r="G2409" s="475" t="s">
        <v>958</v>
      </c>
      <c r="H2409" t="s">
        <v>254</v>
      </c>
      <c r="I2409" s="6" t="s">
        <v>1065</v>
      </c>
      <c r="J2409" s="61" t="s">
        <v>22</v>
      </c>
      <c r="L2409" s="5" t="str">
        <f t="shared" si="740"/>
        <v>02408</v>
      </c>
      <c r="M2409" s="47" t="str">
        <f t="shared" si="741"/>
        <v>11 de octubre de 2019</v>
      </c>
      <c r="N2409" s="323">
        <f t="shared" si="742"/>
        <v>11</v>
      </c>
      <c r="O2409" s="25">
        <f t="shared" si="743"/>
        <v>43739</v>
      </c>
      <c r="P2409" s="5" t="str">
        <f t="shared" si="744"/>
        <v>11.000,00</v>
      </c>
      <c r="Q2409" s="4" t="str">
        <f t="shared" si="746"/>
        <v>Once Mil Bolívares con 00/100</v>
      </c>
    </row>
    <row r="2410" spans="1:17" x14ac:dyDescent="0.25">
      <c r="A2410" s="1">
        <f t="shared" si="749"/>
        <v>2409</v>
      </c>
      <c r="B2410" s="8"/>
      <c r="C2410" s="85" t="s">
        <v>17</v>
      </c>
      <c r="D2410" s="2">
        <v>43750</v>
      </c>
      <c r="E2410" s="3">
        <v>90000</v>
      </c>
      <c r="F2410" t="s">
        <v>1069</v>
      </c>
      <c r="G2410" s="18" t="s">
        <v>58</v>
      </c>
      <c r="H2410" t="s">
        <v>481</v>
      </c>
      <c r="I2410" s="6" t="s">
        <v>1070</v>
      </c>
      <c r="J2410" s="61" t="s">
        <v>22</v>
      </c>
      <c r="L2410" s="5" t="str">
        <f t="shared" si="740"/>
        <v>02409</v>
      </c>
      <c r="M2410" s="47" t="str">
        <f t="shared" si="741"/>
        <v>12 de octubre de 2019</v>
      </c>
      <c r="N2410" s="323">
        <f t="shared" si="742"/>
        <v>12</v>
      </c>
      <c r="O2410" s="25">
        <f t="shared" si="743"/>
        <v>43739</v>
      </c>
      <c r="P2410" s="5" t="str">
        <f t="shared" si="744"/>
        <v>90.000,00</v>
      </c>
      <c r="Q2410" s="4" t="str">
        <f t="shared" si="746"/>
        <v>Noventa Mil Bolívares con 00/100</v>
      </c>
    </row>
    <row r="2411" spans="1:17" x14ac:dyDescent="0.25">
      <c r="A2411" s="1">
        <f t="shared" si="749"/>
        <v>2410</v>
      </c>
      <c r="B2411" s="8"/>
      <c r="C2411" s="8" t="s">
        <v>17</v>
      </c>
      <c r="D2411" s="2">
        <v>43751</v>
      </c>
      <c r="E2411" s="3">
        <v>20000</v>
      </c>
      <c r="F2411" t="s">
        <v>483</v>
      </c>
      <c r="G2411" t="s">
        <v>484</v>
      </c>
      <c r="H2411" t="s">
        <v>485</v>
      </c>
      <c r="I2411" s="6" t="s">
        <v>1060</v>
      </c>
      <c r="J2411" s="61" t="s">
        <v>22</v>
      </c>
      <c r="L2411" s="5" t="str">
        <f t="shared" si="740"/>
        <v>02410</v>
      </c>
      <c r="M2411" s="47" t="str">
        <f t="shared" si="741"/>
        <v>13 de octubre de 2019</v>
      </c>
      <c r="N2411" s="323">
        <f t="shared" si="742"/>
        <v>13</v>
      </c>
      <c r="O2411" s="25">
        <f t="shared" si="743"/>
        <v>43739</v>
      </c>
      <c r="P2411" s="5" t="str">
        <f t="shared" si="744"/>
        <v>20.000,00</v>
      </c>
      <c r="Q2411" s="4" t="str">
        <f t="shared" si="746"/>
        <v>Veinte Mil Bolívares con 00/100</v>
      </c>
    </row>
    <row r="2412" spans="1:17" x14ac:dyDescent="0.25">
      <c r="A2412" s="1">
        <f t="shared" si="749"/>
        <v>2411</v>
      </c>
      <c r="B2412" s="8"/>
      <c r="C2412" s="8" t="s">
        <v>17</v>
      </c>
      <c r="D2412" s="2">
        <v>43752</v>
      </c>
      <c r="E2412" s="3">
        <v>25000</v>
      </c>
      <c r="F2412" t="s">
        <v>44</v>
      </c>
      <c r="G2412" t="s">
        <v>45</v>
      </c>
      <c r="H2412" t="s">
        <v>46</v>
      </c>
      <c r="I2412" s="6" t="s">
        <v>1060</v>
      </c>
      <c r="J2412" s="61" t="s">
        <v>22</v>
      </c>
      <c r="L2412" s="5" t="str">
        <f>IF(ISBLANK(A2412),"",TEXT(A2412,"00000"))</f>
        <v>02411</v>
      </c>
      <c r="M2412" s="47" t="str">
        <f>IF(ISBLANK(D2412),"",TEXT(D2412,"dd")&amp;" de "&amp;TEXT(D2412,"mmmm")&amp;" de "&amp;TEXT(YEAR(D2412),"0"))</f>
        <v>14 de octubre de 2019</v>
      </c>
      <c r="N2412" s="323">
        <f t="shared" si="742"/>
        <v>14</v>
      </c>
      <c r="O2412" s="25">
        <f>DATE(YEAR(D2412),MONTH(D2412),1)</f>
        <v>43739</v>
      </c>
      <c r="P2412" s="5" t="str">
        <f t="shared" si="744"/>
        <v>25.000,00</v>
      </c>
      <c r="Q2412" s="4" t="str">
        <f t="shared" si="746"/>
        <v>Veinticinco Mil Bolívares con 00/100</v>
      </c>
    </row>
    <row r="2413" spans="1:17" x14ac:dyDescent="0.25">
      <c r="A2413" s="1">
        <f t="shared" si="749"/>
        <v>2412</v>
      </c>
      <c r="B2413" s="8"/>
      <c r="C2413" s="8" t="s">
        <v>17</v>
      </c>
      <c r="D2413" s="2">
        <v>43752</v>
      </c>
      <c r="E2413" s="3">
        <v>19800</v>
      </c>
      <c r="F2413" t="s">
        <v>1004</v>
      </c>
      <c r="G2413" t="s">
        <v>1005</v>
      </c>
      <c r="H2413" t="s">
        <v>539</v>
      </c>
      <c r="I2413" s="6" t="s">
        <v>1060</v>
      </c>
      <c r="J2413" s="61" t="s">
        <v>22</v>
      </c>
      <c r="L2413" s="5" t="str">
        <f t="shared" ref="L2413:L2423" si="750">IF(ISBLANK(A2413),"",TEXT(A2413,"00000"))</f>
        <v>02412</v>
      </c>
      <c r="M2413" s="47" t="str">
        <f t="shared" ref="M2413:M2423" si="751">IF(ISBLANK(D2413),"",TEXT(D2413,"dd")&amp;" de "&amp;TEXT(D2413,"mmmm")&amp;" de "&amp;TEXT(YEAR(D2413),"0"))</f>
        <v>14 de octubre de 2019</v>
      </c>
      <c r="N2413" s="323">
        <f t="shared" si="742"/>
        <v>14</v>
      </c>
      <c r="O2413" s="25">
        <f t="shared" ref="O2413:O2423" si="752">DATE(YEAR(D2413),MONTH(D2413),1)</f>
        <v>43739</v>
      </c>
      <c r="P2413" s="5" t="str">
        <f t="shared" si="744"/>
        <v>19.800,00</v>
      </c>
      <c r="Q2413" s="4" t="str">
        <f t="shared" si="746"/>
        <v>Diecinueve Mil Ochocientos Bolívares con 00/100</v>
      </c>
    </row>
    <row r="2414" spans="1:17" x14ac:dyDescent="0.25">
      <c r="A2414" s="1">
        <f t="shared" si="749"/>
        <v>2413</v>
      </c>
      <c r="B2414" s="8"/>
      <c r="C2414" s="8" t="s">
        <v>17</v>
      </c>
      <c r="D2414" s="2">
        <v>43752</v>
      </c>
      <c r="E2414" s="3">
        <v>19800</v>
      </c>
      <c r="F2414" t="s">
        <v>935</v>
      </c>
      <c r="G2414" t="s">
        <v>936</v>
      </c>
      <c r="H2414" t="s">
        <v>150</v>
      </c>
      <c r="I2414" s="6" t="s">
        <v>1060</v>
      </c>
      <c r="J2414" s="61" t="s">
        <v>22</v>
      </c>
      <c r="L2414" s="5" t="str">
        <f t="shared" si="750"/>
        <v>02413</v>
      </c>
      <c r="M2414" s="47" t="str">
        <f t="shared" si="751"/>
        <v>14 de octubre de 2019</v>
      </c>
      <c r="N2414" s="323">
        <f t="shared" si="742"/>
        <v>14</v>
      </c>
      <c r="O2414" s="25">
        <f t="shared" si="752"/>
        <v>43739</v>
      </c>
      <c r="P2414" s="5" t="str">
        <f t="shared" si="744"/>
        <v>19.800,00</v>
      </c>
      <c r="Q2414" s="4" t="str">
        <f t="shared" si="746"/>
        <v>Diecinueve Mil Ochocientos Bolívares con 00/100</v>
      </c>
    </row>
    <row r="2415" spans="1:17" x14ac:dyDescent="0.25">
      <c r="A2415" s="1">
        <f t="shared" si="749"/>
        <v>2414</v>
      </c>
      <c r="B2415" s="8"/>
      <c r="C2415" s="8" t="s">
        <v>17</v>
      </c>
      <c r="D2415" s="2">
        <v>43752</v>
      </c>
      <c r="E2415" s="3">
        <v>19800</v>
      </c>
      <c r="F2415" t="s">
        <v>443</v>
      </c>
      <c r="G2415" t="s">
        <v>444</v>
      </c>
      <c r="H2415" t="s">
        <v>75</v>
      </c>
      <c r="I2415" s="6" t="s">
        <v>1060</v>
      </c>
      <c r="J2415" s="61" t="s">
        <v>22</v>
      </c>
      <c r="L2415" s="5" t="str">
        <f t="shared" si="750"/>
        <v>02414</v>
      </c>
      <c r="M2415" s="47" t="str">
        <f t="shared" si="751"/>
        <v>14 de octubre de 2019</v>
      </c>
      <c r="N2415" s="323">
        <f t="shared" si="742"/>
        <v>14</v>
      </c>
      <c r="O2415" s="25">
        <f t="shared" si="752"/>
        <v>43739</v>
      </c>
      <c r="P2415" s="5" t="str">
        <f t="shared" si="744"/>
        <v>19.800,00</v>
      </c>
      <c r="Q2415" s="4" t="str">
        <f t="shared" si="746"/>
        <v>Diecinueve Mil Ochocientos Bolívares con 00/100</v>
      </c>
    </row>
    <row r="2416" spans="1:17" x14ac:dyDescent="0.25">
      <c r="A2416" s="1">
        <f t="shared" si="749"/>
        <v>2415</v>
      </c>
      <c r="B2416" s="8"/>
      <c r="C2416" s="8" t="s">
        <v>17</v>
      </c>
      <c r="D2416" s="2">
        <v>43752</v>
      </c>
      <c r="E2416" s="3">
        <v>19800</v>
      </c>
      <c r="F2416" t="s">
        <v>62</v>
      </c>
      <c r="G2416" t="s">
        <v>63</v>
      </c>
      <c r="H2416" t="s">
        <v>64</v>
      </c>
      <c r="I2416" s="6" t="s">
        <v>1060</v>
      </c>
      <c r="J2416" s="61" t="s">
        <v>22</v>
      </c>
      <c r="L2416" s="5" t="str">
        <f t="shared" si="750"/>
        <v>02415</v>
      </c>
      <c r="M2416" s="47" t="str">
        <f t="shared" si="751"/>
        <v>14 de octubre de 2019</v>
      </c>
      <c r="N2416" s="323">
        <f t="shared" si="742"/>
        <v>14</v>
      </c>
      <c r="O2416" s="25">
        <f t="shared" si="752"/>
        <v>43739</v>
      </c>
      <c r="P2416" s="5" t="str">
        <f t="shared" si="744"/>
        <v>19.800,00</v>
      </c>
      <c r="Q2416" s="4" t="str">
        <f t="shared" si="746"/>
        <v>Diecinueve Mil Ochocientos Bolívares con 00/100</v>
      </c>
    </row>
    <row r="2417" spans="1:17" x14ac:dyDescent="0.25">
      <c r="A2417" s="1">
        <f t="shared" si="749"/>
        <v>2416</v>
      </c>
      <c r="B2417" s="8"/>
      <c r="C2417" s="8" t="s">
        <v>17</v>
      </c>
      <c r="D2417" s="2">
        <v>43752</v>
      </c>
      <c r="E2417" s="3">
        <v>20000</v>
      </c>
      <c r="F2417" t="s">
        <v>181</v>
      </c>
      <c r="G2417" t="s">
        <v>182</v>
      </c>
      <c r="H2417" t="s">
        <v>183</v>
      </c>
      <c r="I2417" s="6" t="s">
        <v>1060</v>
      </c>
      <c r="J2417" s="61" t="s">
        <v>22</v>
      </c>
      <c r="L2417" s="5" t="str">
        <f t="shared" si="750"/>
        <v>02416</v>
      </c>
      <c r="M2417" s="47" t="str">
        <f t="shared" si="751"/>
        <v>14 de octubre de 2019</v>
      </c>
      <c r="N2417" s="323">
        <f t="shared" si="742"/>
        <v>14</v>
      </c>
      <c r="O2417" s="25">
        <f t="shared" si="752"/>
        <v>43739</v>
      </c>
      <c r="P2417" s="5" t="str">
        <f t="shared" si="744"/>
        <v>20.000,00</v>
      </c>
      <c r="Q2417" s="4" t="str">
        <f t="shared" si="746"/>
        <v>Veinte Mil Bolívares con 00/100</v>
      </c>
    </row>
    <row r="2418" spans="1:17" x14ac:dyDescent="0.25">
      <c r="A2418" s="319">
        <f t="shared" si="749"/>
        <v>2417</v>
      </c>
      <c r="B2418" s="574"/>
      <c r="C2418" s="12" t="s">
        <v>225</v>
      </c>
      <c r="D2418" s="17">
        <v>43752</v>
      </c>
      <c r="E2418" s="13">
        <v>25000</v>
      </c>
      <c r="F2418" s="14" t="s">
        <v>107</v>
      </c>
      <c r="G2418" s="14" t="s">
        <v>108</v>
      </c>
      <c r="H2418" s="14" t="s">
        <v>109</v>
      </c>
      <c r="I2418" s="15" t="s">
        <v>1071</v>
      </c>
      <c r="J2418" s="62" t="s">
        <v>932</v>
      </c>
      <c r="K2418" s="16"/>
      <c r="L2418" s="5" t="str">
        <f t="shared" si="750"/>
        <v>02417</v>
      </c>
      <c r="M2418" s="47" t="str">
        <f t="shared" si="751"/>
        <v>14 de octubre de 2019</v>
      </c>
      <c r="N2418" s="323">
        <f t="shared" si="742"/>
        <v>14</v>
      </c>
      <c r="O2418" s="25">
        <f t="shared" si="752"/>
        <v>43739</v>
      </c>
      <c r="P2418" s="5" t="str">
        <f t="shared" si="744"/>
        <v>25.000,00</v>
      </c>
      <c r="Q2418" s="4" t="str">
        <f t="shared" si="746"/>
        <v>Veinticinco Mil Bolívares con 00/100</v>
      </c>
    </row>
    <row r="2419" spans="1:17" x14ac:dyDescent="0.25">
      <c r="A2419" s="1">
        <f t="shared" si="749"/>
        <v>2418</v>
      </c>
      <c r="B2419" s="8"/>
      <c r="C2419" s="8" t="s">
        <v>17</v>
      </c>
      <c r="D2419" s="2">
        <v>43753</v>
      </c>
      <c r="E2419" s="3">
        <v>40000</v>
      </c>
      <c r="F2419" t="s">
        <v>100</v>
      </c>
      <c r="G2419" t="s">
        <v>95</v>
      </c>
      <c r="H2419" t="s">
        <v>101</v>
      </c>
      <c r="I2419" s="6" t="s">
        <v>1060</v>
      </c>
      <c r="J2419" s="61" t="s">
        <v>22</v>
      </c>
      <c r="L2419" s="5" t="str">
        <f t="shared" si="750"/>
        <v>02418</v>
      </c>
      <c r="M2419" s="47" t="str">
        <f t="shared" si="751"/>
        <v>15 de octubre de 2019</v>
      </c>
      <c r="N2419" s="323">
        <f t="shared" si="742"/>
        <v>15</v>
      </c>
      <c r="O2419" s="25">
        <f t="shared" si="752"/>
        <v>43739</v>
      </c>
      <c r="P2419" s="5" t="str">
        <f t="shared" si="744"/>
        <v>40.000,00</v>
      </c>
      <c r="Q2419" s="4" t="str">
        <f t="shared" si="746"/>
        <v>Cuarenta Mil Bolívares con 00/100</v>
      </c>
    </row>
    <row r="2420" spans="1:17" x14ac:dyDescent="0.25">
      <c r="A2420" s="1">
        <f t="shared" si="749"/>
        <v>2419</v>
      </c>
      <c r="B2420" s="8"/>
      <c r="C2420" s="8" t="s">
        <v>17</v>
      </c>
      <c r="D2420" s="2">
        <v>43754</v>
      </c>
      <c r="E2420" s="3">
        <v>19800</v>
      </c>
      <c r="F2420" t="s">
        <v>342</v>
      </c>
      <c r="G2420" t="s">
        <v>1036</v>
      </c>
      <c r="H2420" t="s">
        <v>344</v>
      </c>
      <c r="I2420" s="6" t="s">
        <v>1060</v>
      </c>
      <c r="J2420" s="61" t="s">
        <v>22</v>
      </c>
      <c r="L2420" s="5" t="str">
        <f t="shared" si="750"/>
        <v>02419</v>
      </c>
      <c r="M2420" s="47" t="str">
        <f t="shared" si="751"/>
        <v>16 de octubre de 2019</v>
      </c>
      <c r="N2420" s="323">
        <f t="shared" si="742"/>
        <v>16</v>
      </c>
      <c r="O2420" s="25">
        <f t="shared" si="752"/>
        <v>43739</v>
      </c>
      <c r="P2420" s="5" t="str">
        <f t="shared" si="744"/>
        <v>19.800,00</v>
      </c>
      <c r="Q2420" s="4" t="str">
        <f t="shared" si="746"/>
        <v>Diecinueve Mil Ochocientos Bolívares con 00/100</v>
      </c>
    </row>
    <row r="2421" spans="1:17" x14ac:dyDescent="0.25">
      <c r="A2421" s="1">
        <f t="shared" si="749"/>
        <v>2420</v>
      </c>
      <c r="B2421" s="8"/>
      <c r="C2421" s="8" t="s">
        <v>17</v>
      </c>
      <c r="D2421" s="2">
        <v>43754</v>
      </c>
      <c r="E2421" s="3">
        <v>19800</v>
      </c>
      <c r="F2421" t="s">
        <v>362</v>
      </c>
      <c r="G2421" t="s">
        <v>363</v>
      </c>
      <c r="H2421" t="s">
        <v>364</v>
      </c>
      <c r="I2421" s="6" t="s">
        <v>1060</v>
      </c>
      <c r="J2421" s="61" t="s">
        <v>22</v>
      </c>
      <c r="L2421" s="5" t="str">
        <f t="shared" si="750"/>
        <v>02420</v>
      </c>
      <c r="M2421" s="47" t="str">
        <f t="shared" si="751"/>
        <v>16 de octubre de 2019</v>
      </c>
      <c r="N2421" s="323">
        <f t="shared" si="742"/>
        <v>16</v>
      </c>
      <c r="O2421" s="25">
        <f t="shared" si="752"/>
        <v>43739</v>
      </c>
      <c r="P2421" s="5" t="str">
        <f t="shared" si="744"/>
        <v>19.800,00</v>
      </c>
      <c r="Q2421" s="4" t="str">
        <f t="shared" si="746"/>
        <v>Diecinueve Mil Ochocientos Bolívares con 00/100</v>
      </c>
    </row>
    <row r="2422" spans="1:17" x14ac:dyDescent="0.25">
      <c r="A2422" s="1">
        <f t="shared" si="749"/>
        <v>2421</v>
      </c>
      <c r="B2422" s="8"/>
      <c r="C2422" s="85" t="s">
        <v>17</v>
      </c>
      <c r="D2422" s="2">
        <v>43754</v>
      </c>
      <c r="E2422" s="3">
        <v>19800</v>
      </c>
      <c r="F2422" t="s">
        <v>259</v>
      </c>
      <c r="G2422" s="18" t="s">
        <v>58</v>
      </c>
      <c r="H2422" t="s">
        <v>261</v>
      </c>
      <c r="I2422" s="6" t="s">
        <v>1060</v>
      </c>
      <c r="J2422" s="61" t="s">
        <v>22</v>
      </c>
      <c r="L2422" s="5" t="str">
        <f t="shared" si="750"/>
        <v>02421</v>
      </c>
      <c r="M2422" s="47" t="str">
        <f t="shared" si="751"/>
        <v>16 de octubre de 2019</v>
      </c>
      <c r="N2422" s="323">
        <f t="shared" ref="N2422:N2428" si="753">DAY(D2422)</f>
        <v>16</v>
      </c>
      <c r="O2422" s="25">
        <f t="shared" si="752"/>
        <v>43739</v>
      </c>
      <c r="P2422" s="5" t="str">
        <f t="shared" ref="P2422:P2428" si="754">TEXT(E2422,"#.##0,00")</f>
        <v>19.800,00</v>
      </c>
      <c r="Q2422" s="4" t="str">
        <f t="shared" si="746"/>
        <v>Diecinueve Mil Ochocientos Bolívares con 00/100</v>
      </c>
    </row>
    <row r="2423" spans="1:17" x14ac:dyDescent="0.25">
      <c r="A2423" s="1">
        <f t="shared" si="749"/>
        <v>2422</v>
      </c>
      <c r="B2423" s="8"/>
      <c r="C2423" s="8" t="s">
        <v>17</v>
      </c>
      <c r="D2423" s="2">
        <v>43755</v>
      </c>
      <c r="E2423" s="3">
        <v>19800</v>
      </c>
      <c r="F2423" t="s">
        <v>296</v>
      </c>
      <c r="G2423" t="s">
        <v>297</v>
      </c>
      <c r="H2423" t="s">
        <v>298</v>
      </c>
      <c r="I2423" s="6" t="s">
        <v>1060</v>
      </c>
      <c r="J2423" s="61" t="s">
        <v>22</v>
      </c>
      <c r="L2423" s="5" t="str">
        <f t="shared" si="750"/>
        <v>02422</v>
      </c>
      <c r="M2423" s="47" t="str">
        <f t="shared" si="751"/>
        <v>17 de octubre de 2019</v>
      </c>
      <c r="N2423" s="323">
        <f t="shared" si="753"/>
        <v>17</v>
      </c>
      <c r="O2423" s="25">
        <f t="shared" si="752"/>
        <v>43739</v>
      </c>
      <c r="P2423" s="5" t="str">
        <f t="shared" si="754"/>
        <v>19.800,00</v>
      </c>
      <c r="Q2423" s="4" t="str">
        <f t="shared" si="746"/>
        <v>Diecinueve Mil Ochocientos Bolívares con 00/100</v>
      </c>
    </row>
    <row r="2424" spans="1:17" x14ac:dyDescent="0.25">
      <c r="A2424" s="1">
        <f t="shared" si="749"/>
        <v>2423</v>
      </c>
      <c r="B2424" s="8"/>
      <c r="C2424" s="8" t="s">
        <v>17</v>
      </c>
      <c r="D2424" s="2">
        <v>43755</v>
      </c>
      <c r="E2424" s="3">
        <v>25000</v>
      </c>
      <c r="F2424" t="s">
        <v>107</v>
      </c>
      <c r="G2424" t="s">
        <v>108</v>
      </c>
      <c r="H2424" t="s">
        <v>109</v>
      </c>
      <c r="I2424" s="6" t="s">
        <v>1050</v>
      </c>
      <c r="J2424" s="61" t="s">
        <v>22</v>
      </c>
      <c r="L2424" s="5" t="str">
        <f t="shared" ref="L2424:L2428" si="755">IF(ISBLANK(A2424),"",TEXT(A2424,"00000"))</f>
        <v>02423</v>
      </c>
      <c r="M2424" s="47" t="str">
        <f t="shared" ref="M2424:M2428" si="756">IF(ISBLANK(D2424),"",TEXT(D2424,"dd")&amp;" de "&amp;TEXT(D2424,"mmmm")&amp;" de "&amp;TEXT(YEAR(D2424),"0"))</f>
        <v>17 de octubre de 2019</v>
      </c>
      <c r="N2424" s="323">
        <f t="shared" si="753"/>
        <v>17</v>
      </c>
      <c r="O2424" s="25">
        <f t="shared" ref="O2424:O2428" si="757">DATE(YEAR(D2424),MONTH(D2424),1)</f>
        <v>43739</v>
      </c>
      <c r="P2424" s="5" t="str">
        <f t="shared" si="754"/>
        <v>25.000,00</v>
      </c>
      <c r="Q2424" s="4" t="str">
        <f t="shared" ref="Q2424:Q2428" si="758">CONVERTIRNUM(E2424)</f>
        <v>Veinticinco Mil Bolívares con 00/100</v>
      </c>
    </row>
    <row r="2425" spans="1:17" x14ac:dyDescent="0.25">
      <c r="A2425" s="1">
        <f t="shared" si="749"/>
        <v>2424</v>
      </c>
      <c r="B2425" s="8"/>
      <c r="C2425" s="8" t="s">
        <v>17</v>
      </c>
      <c r="D2425" s="2">
        <v>43755</v>
      </c>
      <c r="E2425" s="3">
        <v>19800</v>
      </c>
      <c r="F2425" t="s">
        <v>114</v>
      </c>
      <c r="G2425" t="s">
        <v>115</v>
      </c>
      <c r="H2425" t="s">
        <v>105</v>
      </c>
      <c r="I2425" s="6" t="s">
        <v>1060</v>
      </c>
      <c r="J2425" s="61" t="s">
        <v>22</v>
      </c>
      <c r="L2425" s="5" t="str">
        <f t="shared" si="755"/>
        <v>02424</v>
      </c>
      <c r="M2425" s="47" t="str">
        <f t="shared" si="756"/>
        <v>17 de octubre de 2019</v>
      </c>
      <c r="N2425" s="323">
        <f t="shared" si="753"/>
        <v>17</v>
      </c>
      <c r="O2425" s="25">
        <f t="shared" si="757"/>
        <v>43739</v>
      </c>
      <c r="P2425" s="5" t="str">
        <f t="shared" si="754"/>
        <v>19.800,00</v>
      </c>
      <c r="Q2425" s="4" t="str">
        <f t="shared" si="758"/>
        <v>Diecinueve Mil Ochocientos Bolívares con 00/100</v>
      </c>
    </row>
    <row r="2426" spans="1:17" x14ac:dyDescent="0.25">
      <c r="A2426" s="1">
        <f t="shared" si="749"/>
        <v>2425</v>
      </c>
      <c r="B2426" s="8"/>
      <c r="C2426" s="8" t="s">
        <v>17</v>
      </c>
      <c r="D2426" s="2">
        <v>43755</v>
      </c>
      <c r="E2426" s="3">
        <v>19800</v>
      </c>
      <c r="F2426" t="s">
        <v>324</v>
      </c>
      <c r="G2426" t="s">
        <v>325</v>
      </c>
      <c r="H2426" t="s">
        <v>326</v>
      </c>
      <c r="I2426" s="6" t="s">
        <v>1060</v>
      </c>
      <c r="J2426" s="61" t="s">
        <v>22</v>
      </c>
      <c r="L2426" s="5" t="str">
        <f t="shared" si="755"/>
        <v>02425</v>
      </c>
      <c r="M2426" s="47" t="str">
        <f t="shared" si="756"/>
        <v>17 de octubre de 2019</v>
      </c>
      <c r="N2426" s="323">
        <f t="shared" si="753"/>
        <v>17</v>
      </c>
      <c r="O2426" s="25">
        <f t="shared" si="757"/>
        <v>43739</v>
      </c>
      <c r="P2426" s="5" t="str">
        <f t="shared" si="754"/>
        <v>19.800,00</v>
      </c>
      <c r="Q2426" s="4" t="str">
        <f t="shared" si="758"/>
        <v>Diecinueve Mil Ochocientos Bolívares con 00/100</v>
      </c>
    </row>
    <row r="2427" spans="1:17" x14ac:dyDescent="0.25">
      <c r="A2427" s="1">
        <f t="shared" si="749"/>
        <v>2426</v>
      </c>
      <c r="B2427" s="8"/>
      <c r="C2427" s="8" t="s">
        <v>17</v>
      </c>
      <c r="D2427" s="2">
        <v>43757</v>
      </c>
      <c r="E2427" s="3">
        <v>20000</v>
      </c>
      <c r="F2427" t="s">
        <v>230</v>
      </c>
      <c r="G2427" t="s">
        <v>231</v>
      </c>
      <c r="H2427" t="s">
        <v>232</v>
      </c>
      <c r="I2427" s="6" t="s">
        <v>1050</v>
      </c>
      <c r="J2427" s="61" t="s">
        <v>22</v>
      </c>
      <c r="L2427" s="5" t="str">
        <f t="shared" si="755"/>
        <v>02426</v>
      </c>
      <c r="M2427" s="47" t="str">
        <f t="shared" si="756"/>
        <v>19 de octubre de 2019</v>
      </c>
      <c r="N2427" s="323">
        <f t="shared" si="753"/>
        <v>19</v>
      </c>
      <c r="O2427" s="25">
        <f t="shared" si="757"/>
        <v>43739</v>
      </c>
      <c r="P2427" s="5" t="str">
        <f t="shared" si="754"/>
        <v>20.000,00</v>
      </c>
      <c r="Q2427" s="4" t="str">
        <f t="shared" si="758"/>
        <v>Veinte Mil Bolívares con 00/100</v>
      </c>
    </row>
    <row r="2428" spans="1:17" x14ac:dyDescent="0.25">
      <c r="A2428" s="1">
        <f t="shared" si="749"/>
        <v>2427</v>
      </c>
      <c r="B2428" s="8"/>
      <c r="C2428" s="8" t="s">
        <v>17</v>
      </c>
      <c r="D2428" s="2">
        <v>43758</v>
      </c>
      <c r="E2428" s="3">
        <v>30000</v>
      </c>
      <c r="F2428" t="s">
        <v>483</v>
      </c>
      <c r="G2428" t="s">
        <v>484</v>
      </c>
      <c r="H2428" t="s">
        <v>485</v>
      </c>
      <c r="I2428" s="6" t="s">
        <v>1060</v>
      </c>
      <c r="J2428" s="61" t="s">
        <v>22</v>
      </c>
      <c r="L2428" s="5" t="str">
        <f t="shared" si="755"/>
        <v>02427</v>
      </c>
      <c r="M2428" s="47" t="str">
        <f t="shared" si="756"/>
        <v>20 de octubre de 2019</v>
      </c>
      <c r="N2428" s="323">
        <f t="shared" si="753"/>
        <v>20</v>
      </c>
      <c r="O2428" s="25">
        <f t="shared" si="757"/>
        <v>43739</v>
      </c>
      <c r="P2428" s="5" t="str">
        <f t="shared" si="754"/>
        <v>30.000,00</v>
      </c>
      <c r="Q2428" s="4" t="str">
        <f t="shared" si="758"/>
        <v>Treinta Mil Bolívares con 00/100</v>
      </c>
    </row>
    <row r="2429" spans="1:17" x14ac:dyDescent="0.25">
      <c r="A2429" s="1">
        <f t="shared" si="749"/>
        <v>2428</v>
      </c>
      <c r="B2429" s="8"/>
      <c r="C2429" s="8" t="s">
        <v>17</v>
      </c>
      <c r="D2429" s="2">
        <v>43758</v>
      </c>
      <c r="E2429" s="3">
        <v>27200</v>
      </c>
      <c r="F2429" t="s">
        <v>114</v>
      </c>
      <c r="G2429" t="s">
        <v>115</v>
      </c>
      <c r="H2429" t="s">
        <v>105</v>
      </c>
      <c r="I2429" s="6" t="s">
        <v>1060</v>
      </c>
      <c r="J2429" s="61" t="s">
        <v>22</v>
      </c>
      <c r="L2429" s="5" t="str">
        <f t="shared" ref="L2429:L2461" si="759">IF(ISBLANK(A2429),"",TEXT(A2429,"00000"))</f>
        <v>02428</v>
      </c>
      <c r="M2429" s="47" t="str">
        <f t="shared" ref="M2429:M2461" si="760">IF(ISBLANK(D2429),"",TEXT(D2429,"dd")&amp;" de "&amp;TEXT(D2429,"mmmm")&amp;" de "&amp;TEXT(YEAR(D2429),"0"))</f>
        <v>20 de octubre de 2019</v>
      </c>
      <c r="N2429" s="323">
        <f t="shared" ref="N2429:N2479" si="761">DAY(D2429)</f>
        <v>20</v>
      </c>
      <c r="O2429" s="25">
        <f t="shared" ref="O2429:O2461" si="762">DATE(YEAR(D2429),MONTH(D2429),1)</f>
        <v>43739</v>
      </c>
      <c r="P2429" s="5" t="str">
        <f t="shared" ref="P2429:P2455" si="763">TEXT(E2429,"#.##0,00")</f>
        <v>27.200,00</v>
      </c>
      <c r="Q2429" s="4" t="str">
        <f t="shared" ref="Q2429:Q2446" si="764">CONVERTIRNUM(E2429)</f>
        <v>Veintisiete Mil Doscientos Bolívares con 00/100</v>
      </c>
    </row>
    <row r="2430" spans="1:17" x14ac:dyDescent="0.25">
      <c r="A2430" s="1">
        <f t="shared" si="749"/>
        <v>2429</v>
      </c>
      <c r="B2430" s="8"/>
      <c r="C2430" s="8" t="s">
        <v>17</v>
      </c>
      <c r="D2430" s="2">
        <v>43758</v>
      </c>
      <c r="E2430" s="3">
        <v>27200</v>
      </c>
      <c r="F2430" t="s">
        <v>324</v>
      </c>
      <c r="G2430" t="s">
        <v>325</v>
      </c>
      <c r="H2430" t="s">
        <v>326</v>
      </c>
      <c r="I2430" s="6" t="s">
        <v>1060</v>
      </c>
      <c r="J2430" s="61" t="s">
        <v>22</v>
      </c>
      <c r="L2430" s="5" t="str">
        <f t="shared" si="759"/>
        <v>02429</v>
      </c>
      <c r="M2430" s="47" t="str">
        <f t="shared" si="760"/>
        <v>20 de octubre de 2019</v>
      </c>
      <c r="N2430" s="323">
        <f t="shared" si="761"/>
        <v>20</v>
      </c>
      <c r="O2430" s="25">
        <f t="shared" si="762"/>
        <v>43739</v>
      </c>
      <c r="P2430" s="5" t="str">
        <f t="shared" si="763"/>
        <v>27.200,00</v>
      </c>
      <c r="Q2430" s="4" t="str">
        <f t="shared" si="764"/>
        <v>Veintisiete Mil Doscientos Bolívares con 00/100</v>
      </c>
    </row>
    <row r="2431" spans="1:17" x14ac:dyDescent="0.25">
      <c r="A2431" s="1">
        <f>A2430+1</f>
        <v>2430</v>
      </c>
      <c r="B2431" s="8"/>
      <c r="C2431" s="8" t="s">
        <v>17</v>
      </c>
      <c r="D2431" s="2">
        <v>43758</v>
      </c>
      <c r="E2431" s="3">
        <v>28200</v>
      </c>
      <c r="F2431" t="s">
        <v>70</v>
      </c>
      <c r="G2431" t="s">
        <v>71</v>
      </c>
      <c r="H2431" t="s">
        <v>72</v>
      </c>
      <c r="I2431" s="6" t="s">
        <v>1065</v>
      </c>
      <c r="J2431" s="61" t="s">
        <v>22</v>
      </c>
      <c r="L2431" s="5" t="str">
        <f t="shared" si="759"/>
        <v>02430</v>
      </c>
      <c r="M2431" s="47" t="str">
        <f t="shared" si="760"/>
        <v>20 de octubre de 2019</v>
      </c>
      <c r="N2431" s="323">
        <f t="shared" si="761"/>
        <v>20</v>
      </c>
      <c r="O2431" s="25">
        <f t="shared" si="762"/>
        <v>43739</v>
      </c>
      <c r="P2431" s="5" t="str">
        <f t="shared" si="763"/>
        <v>28.200,00</v>
      </c>
      <c r="Q2431" s="4" t="str">
        <f t="shared" si="764"/>
        <v>Veintiocho Mil Doscientos Bolívares con 00/100</v>
      </c>
    </row>
    <row r="2432" spans="1:17" x14ac:dyDescent="0.25">
      <c r="A2432" s="1">
        <f t="shared" ref="A2432:A2437" si="765">A2431+1</f>
        <v>2431</v>
      </c>
      <c r="B2432" s="8"/>
      <c r="C2432" s="8" t="s">
        <v>17</v>
      </c>
      <c r="D2432" s="2">
        <v>43758</v>
      </c>
      <c r="E2432" s="3">
        <v>25900</v>
      </c>
      <c r="F2432" t="s">
        <v>438</v>
      </c>
      <c r="G2432" t="s">
        <v>439</v>
      </c>
      <c r="H2432" t="s">
        <v>440</v>
      </c>
      <c r="I2432" s="6" t="s">
        <v>1072</v>
      </c>
      <c r="J2432" s="61" t="s">
        <v>22</v>
      </c>
      <c r="L2432" s="5" t="str">
        <f t="shared" si="759"/>
        <v>02431</v>
      </c>
      <c r="M2432" s="47" t="str">
        <f t="shared" si="760"/>
        <v>20 de octubre de 2019</v>
      </c>
      <c r="N2432" s="323">
        <f t="shared" si="761"/>
        <v>20</v>
      </c>
      <c r="O2432" s="25">
        <f t="shared" si="762"/>
        <v>43739</v>
      </c>
      <c r="P2432" s="5" t="str">
        <f t="shared" si="763"/>
        <v>25.900,00</v>
      </c>
      <c r="Q2432" s="4" t="str">
        <f t="shared" si="764"/>
        <v>Veinticinco Mil Novecientos Bolívares con 00/100</v>
      </c>
    </row>
    <row r="2433" spans="1:17" x14ac:dyDescent="0.25">
      <c r="A2433" s="1">
        <f t="shared" si="765"/>
        <v>2432</v>
      </c>
      <c r="B2433" s="8"/>
      <c r="C2433" s="8" t="s">
        <v>17</v>
      </c>
      <c r="D2433" s="2">
        <v>43758</v>
      </c>
      <c r="E2433" s="3">
        <v>27000</v>
      </c>
      <c r="F2433" t="s">
        <v>230</v>
      </c>
      <c r="G2433" t="s">
        <v>231</v>
      </c>
      <c r="H2433" t="s">
        <v>232</v>
      </c>
      <c r="I2433" s="6" t="s">
        <v>1065</v>
      </c>
      <c r="J2433" s="61" t="s">
        <v>22</v>
      </c>
      <c r="L2433" s="5" t="str">
        <f t="shared" si="759"/>
        <v>02432</v>
      </c>
      <c r="M2433" s="47" t="str">
        <f t="shared" si="760"/>
        <v>20 de octubre de 2019</v>
      </c>
      <c r="N2433" s="323">
        <f t="shared" si="761"/>
        <v>20</v>
      </c>
      <c r="O2433" s="25">
        <f t="shared" si="762"/>
        <v>43739</v>
      </c>
      <c r="P2433" s="5" t="str">
        <f t="shared" si="763"/>
        <v>27.000,00</v>
      </c>
      <c r="Q2433" s="4" t="str">
        <f t="shared" si="764"/>
        <v>Veintisiete Mil Bolívares con 00/100</v>
      </c>
    </row>
    <row r="2434" spans="1:17" ht="16.5" customHeight="1" x14ac:dyDescent="0.25">
      <c r="A2434" s="1">
        <f t="shared" si="765"/>
        <v>2433</v>
      </c>
      <c r="B2434" s="8"/>
      <c r="C2434" s="8" t="s">
        <v>17</v>
      </c>
      <c r="D2434" s="2">
        <v>43759</v>
      </c>
      <c r="E2434" s="3">
        <v>47000</v>
      </c>
      <c r="F2434" t="s">
        <v>219</v>
      </c>
      <c r="G2434" t="s">
        <v>220</v>
      </c>
      <c r="H2434" t="s">
        <v>221</v>
      </c>
      <c r="I2434" s="6" t="s">
        <v>1073</v>
      </c>
      <c r="J2434" s="61" t="s">
        <v>22</v>
      </c>
      <c r="L2434" s="5" t="str">
        <f t="shared" si="759"/>
        <v>02433</v>
      </c>
      <c r="M2434" s="47" t="str">
        <f t="shared" si="760"/>
        <v>21 de octubre de 2019</v>
      </c>
      <c r="N2434" s="323">
        <f t="shared" si="761"/>
        <v>21</v>
      </c>
      <c r="O2434" s="25">
        <f t="shared" si="762"/>
        <v>43739</v>
      </c>
      <c r="P2434" s="5" t="str">
        <f t="shared" si="763"/>
        <v>47.000,00</v>
      </c>
      <c r="Q2434" s="4" t="str">
        <f t="shared" si="764"/>
        <v>Cuarenta y Siete Mil Bolívares con 00/100</v>
      </c>
    </row>
    <row r="2435" spans="1:17" x14ac:dyDescent="0.25">
      <c r="A2435" s="1">
        <f t="shared" si="765"/>
        <v>2434</v>
      </c>
      <c r="B2435" s="8"/>
      <c r="C2435" s="8" t="s">
        <v>17</v>
      </c>
      <c r="D2435" s="2">
        <v>43759</v>
      </c>
      <c r="E2435" s="3">
        <v>7000</v>
      </c>
      <c r="F2435" t="s">
        <v>100</v>
      </c>
      <c r="G2435" t="s">
        <v>95</v>
      </c>
      <c r="H2435" t="s">
        <v>101</v>
      </c>
      <c r="I2435" s="6" t="s">
        <v>1065</v>
      </c>
      <c r="J2435" s="61" t="s">
        <v>22</v>
      </c>
      <c r="L2435" s="5" t="str">
        <f t="shared" si="759"/>
        <v>02434</v>
      </c>
      <c r="M2435" s="47" t="str">
        <f t="shared" si="760"/>
        <v>21 de octubre de 2019</v>
      </c>
      <c r="N2435" s="323">
        <f t="shared" si="761"/>
        <v>21</v>
      </c>
      <c r="O2435" s="25">
        <f t="shared" si="762"/>
        <v>43739</v>
      </c>
      <c r="P2435" s="5" t="str">
        <f t="shared" si="763"/>
        <v>7.000,00</v>
      </c>
      <c r="Q2435" s="4" t="str">
        <f t="shared" si="764"/>
        <v>Siete Mil Bolívares con 00/100</v>
      </c>
    </row>
    <row r="2436" spans="1:17" x14ac:dyDescent="0.25">
      <c r="A2436" s="1">
        <f t="shared" si="765"/>
        <v>2435</v>
      </c>
      <c r="B2436" s="8"/>
      <c r="C2436" s="8" t="s">
        <v>17</v>
      </c>
      <c r="D2436" s="2">
        <v>43759</v>
      </c>
      <c r="E2436" s="3">
        <v>23000</v>
      </c>
      <c r="F2436" t="s">
        <v>107</v>
      </c>
      <c r="G2436" t="s">
        <v>108</v>
      </c>
      <c r="H2436" t="s">
        <v>109</v>
      </c>
      <c r="I2436" s="6" t="s">
        <v>1065</v>
      </c>
      <c r="J2436" s="61" t="s">
        <v>22</v>
      </c>
      <c r="L2436" s="5" t="str">
        <f t="shared" si="759"/>
        <v>02435</v>
      </c>
      <c r="M2436" s="47" t="str">
        <f t="shared" si="760"/>
        <v>21 de octubre de 2019</v>
      </c>
      <c r="N2436" s="323">
        <f t="shared" si="761"/>
        <v>21</v>
      </c>
      <c r="O2436" s="25">
        <f t="shared" si="762"/>
        <v>43739</v>
      </c>
      <c r="P2436" s="5" t="str">
        <f t="shared" si="763"/>
        <v>23.000,00</v>
      </c>
      <c r="Q2436" s="4" t="str">
        <f t="shared" si="764"/>
        <v>Veintitres Mil Bolívares con 00/100</v>
      </c>
    </row>
    <row r="2437" spans="1:17" x14ac:dyDescent="0.25">
      <c r="A2437" s="1">
        <f t="shared" si="765"/>
        <v>2436</v>
      </c>
      <c r="B2437" s="8"/>
      <c r="C2437" s="8" t="s">
        <v>17</v>
      </c>
      <c r="D2437" s="2">
        <v>43759</v>
      </c>
      <c r="E2437" s="3">
        <v>28800</v>
      </c>
      <c r="F2437" t="s">
        <v>1004</v>
      </c>
      <c r="G2437" t="s">
        <v>1005</v>
      </c>
      <c r="H2437" t="s">
        <v>539</v>
      </c>
      <c r="I2437" s="6" t="s">
        <v>1065</v>
      </c>
      <c r="J2437" s="61" t="s">
        <v>22</v>
      </c>
      <c r="L2437" s="5" t="str">
        <f t="shared" si="759"/>
        <v>02436</v>
      </c>
      <c r="M2437" s="47" t="str">
        <f t="shared" si="760"/>
        <v>21 de octubre de 2019</v>
      </c>
      <c r="N2437" s="323">
        <f t="shared" si="761"/>
        <v>21</v>
      </c>
      <c r="O2437" s="25">
        <f t="shared" si="762"/>
        <v>43739</v>
      </c>
      <c r="P2437" s="5" t="str">
        <f t="shared" si="763"/>
        <v>28.800,00</v>
      </c>
      <c r="Q2437" s="4" t="str">
        <f t="shared" si="764"/>
        <v>Veintiocho Mil Ochocientos Bolívares con 00/100</v>
      </c>
    </row>
    <row r="2438" spans="1:17" x14ac:dyDescent="0.25">
      <c r="A2438" s="1">
        <f>A2437+1</f>
        <v>2437</v>
      </c>
      <c r="B2438" s="8"/>
      <c r="C2438" s="8" t="s">
        <v>17</v>
      </c>
      <c r="D2438" s="2">
        <v>43759</v>
      </c>
      <c r="E2438" s="3">
        <v>25900</v>
      </c>
      <c r="F2438" t="s">
        <v>36</v>
      </c>
      <c r="G2438" t="s">
        <v>37</v>
      </c>
      <c r="H2438" t="s">
        <v>38</v>
      </c>
      <c r="I2438" s="6" t="s">
        <v>1065</v>
      </c>
      <c r="J2438" s="61" t="s">
        <v>22</v>
      </c>
      <c r="L2438" s="5" t="str">
        <f t="shared" si="759"/>
        <v>02437</v>
      </c>
      <c r="M2438" s="47" t="str">
        <f t="shared" si="760"/>
        <v>21 de octubre de 2019</v>
      </c>
      <c r="N2438" s="323">
        <f t="shared" si="761"/>
        <v>21</v>
      </c>
      <c r="O2438" s="25">
        <f t="shared" si="762"/>
        <v>43739</v>
      </c>
      <c r="P2438" s="5" t="str">
        <f t="shared" si="763"/>
        <v>25.900,00</v>
      </c>
      <c r="Q2438" s="4" t="str">
        <f t="shared" si="764"/>
        <v>Veinticinco Mil Novecientos Bolívares con 00/100</v>
      </c>
    </row>
    <row r="2439" spans="1:17" x14ac:dyDescent="0.25">
      <c r="A2439" s="1">
        <f t="shared" ref="A2439:A2482" si="766">A2438+1</f>
        <v>2438</v>
      </c>
      <c r="B2439" s="8"/>
      <c r="C2439" s="8" t="s">
        <v>17</v>
      </c>
      <c r="D2439" s="2">
        <v>43759</v>
      </c>
      <c r="E2439" s="3">
        <v>25900</v>
      </c>
      <c r="F2439" t="s">
        <v>24</v>
      </c>
      <c r="G2439" t="s">
        <v>25</v>
      </c>
      <c r="H2439" t="s">
        <v>26</v>
      </c>
      <c r="I2439" s="6" t="s">
        <v>1065</v>
      </c>
      <c r="J2439" s="61" t="s">
        <v>22</v>
      </c>
      <c r="L2439" s="5" t="str">
        <f t="shared" si="759"/>
        <v>02438</v>
      </c>
      <c r="M2439" s="47" t="str">
        <f t="shared" si="760"/>
        <v>21 de octubre de 2019</v>
      </c>
      <c r="N2439" s="323">
        <f t="shared" si="761"/>
        <v>21</v>
      </c>
      <c r="O2439" s="25">
        <f t="shared" si="762"/>
        <v>43739</v>
      </c>
      <c r="P2439" s="5" t="str">
        <f t="shared" si="763"/>
        <v>25.900,00</v>
      </c>
      <c r="Q2439" s="4" t="str">
        <f t="shared" si="764"/>
        <v>Veinticinco Mil Novecientos Bolívares con 00/100</v>
      </c>
    </row>
    <row r="2440" spans="1:17" x14ac:dyDescent="0.25">
      <c r="A2440" s="1">
        <f t="shared" si="766"/>
        <v>2439</v>
      </c>
      <c r="B2440" s="8"/>
      <c r="C2440" s="8" t="s">
        <v>17</v>
      </c>
      <c r="D2440" s="2">
        <v>43759</v>
      </c>
      <c r="E2440" s="3">
        <v>28200</v>
      </c>
      <c r="F2440" t="s">
        <v>201</v>
      </c>
      <c r="G2440" t="s">
        <v>202</v>
      </c>
      <c r="H2440" t="s">
        <v>203</v>
      </c>
      <c r="I2440" s="6" t="s">
        <v>1074</v>
      </c>
      <c r="J2440" s="61" t="s">
        <v>22</v>
      </c>
      <c r="L2440" s="5" t="str">
        <f t="shared" si="759"/>
        <v>02439</v>
      </c>
      <c r="M2440" s="47" t="str">
        <f t="shared" si="760"/>
        <v>21 de octubre de 2019</v>
      </c>
      <c r="N2440" s="323">
        <f t="shared" si="761"/>
        <v>21</v>
      </c>
      <c r="O2440" s="25">
        <f t="shared" si="762"/>
        <v>43739</v>
      </c>
      <c r="P2440" s="5" t="str">
        <f t="shared" si="763"/>
        <v>28.200,00</v>
      </c>
      <c r="Q2440" s="4" t="str">
        <f t="shared" si="764"/>
        <v>Veintiocho Mil Doscientos Bolívares con 00/100</v>
      </c>
    </row>
    <row r="2441" spans="1:17" x14ac:dyDescent="0.25">
      <c r="A2441" s="1">
        <f t="shared" si="766"/>
        <v>2440</v>
      </c>
      <c r="B2441" s="8"/>
      <c r="C2441" s="85" t="s">
        <v>17</v>
      </c>
      <c r="D2441" s="2">
        <v>43759</v>
      </c>
      <c r="E2441" s="162">
        <v>27000</v>
      </c>
      <c r="F2441" t="s">
        <v>492</v>
      </c>
      <c r="G2441" s="18" t="s">
        <v>58</v>
      </c>
      <c r="H2441" t="s">
        <v>493</v>
      </c>
      <c r="I2441" s="6" t="s">
        <v>1065</v>
      </c>
      <c r="J2441" s="61" t="s">
        <v>22</v>
      </c>
      <c r="L2441" s="5" t="str">
        <f t="shared" si="759"/>
        <v>02440</v>
      </c>
      <c r="M2441" s="47" t="str">
        <f t="shared" si="760"/>
        <v>21 de octubre de 2019</v>
      </c>
      <c r="N2441" s="323">
        <f t="shared" si="761"/>
        <v>21</v>
      </c>
      <c r="O2441" s="25">
        <f t="shared" si="762"/>
        <v>43739</v>
      </c>
      <c r="P2441" s="5" t="str">
        <f t="shared" si="763"/>
        <v>27.000,00</v>
      </c>
      <c r="Q2441" s="4" t="str">
        <f t="shared" si="764"/>
        <v>Veintisiete Mil Bolívares con 00/100</v>
      </c>
    </row>
    <row r="2442" spans="1:17" x14ac:dyDescent="0.25">
      <c r="A2442" s="1">
        <f t="shared" si="766"/>
        <v>2441</v>
      </c>
      <c r="B2442" s="8"/>
      <c r="C2442" s="8" t="s">
        <v>17</v>
      </c>
      <c r="D2442" s="2">
        <v>43759</v>
      </c>
      <c r="E2442" s="3">
        <v>29800</v>
      </c>
      <c r="F2442" t="s">
        <v>206</v>
      </c>
      <c r="G2442" t="s">
        <v>207</v>
      </c>
      <c r="H2442" t="s">
        <v>208</v>
      </c>
      <c r="I2442" s="6" t="s">
        <v>1031</v>
      </c>
      <c r="J2442" s="61" t="s">
        <v>22</v>
      </c>
      <c r="L2442" s="5" t="str">
        <f t="shared" si="759"/>
        <v>02441</v>
      </c>
      <c r="M2442" s="47" t="str">
        <f t="shared" si="760"/>
        <v>21 de octubre de 2019</v>
      </c>
      <c r="N2442" s="323">
        <f t="shared" si="761"/>
        <v>21</v>
      </c>
      <c r="O2442" s="25">
        <f t="shared" si="762"/>
        <v>43739</v>
      </c>
      <c r="P2442" s="5" t="str">
        <f t="shared" si="763"/>
        <v>29.800,00</v>
      </c>
      <c r="Q2442" s="4" t="str">
        <f t="shared" si="764"/>
        <v>Veintinueve Mil Ochocientos Bolívares con 00/100</v>
      </c>
    </row>
    <row r="2443" spans="1:17" x14ac:dyDescent="0.25">
      <c r="A2443" s="1">
        <f t="shared" si="766"/>
        <v>2442</v>
      </c>
      <c r="B2443" s="8"/>
      <c r="C2443" s="8" t="s">
        <v>17</v>
      </c>
      <c r="D2443" s="2">
        <v>43759</v>
      </c>
      <c r="E2443" s="597">
        <v>26700</v>
      </c>
      <c r="F2443" t="s">
        <v>103</v>
      </c>
      <c r="G2443" s="599" t="s">
        <v>1047</v>
      </c>
      <c r="H2443" t="s">
        <v>105</v>
      </c>
      <c r="I2443" s="6" t="s">
        <v>1075</v>
      </c>
      <c r="J2443" s="61" t="s">
        <v>22</v>
      </c>
      <c r="L2443" s="5" t="str">
        <f t="shared" si="759"/>
        <v>02442</v>
      </c>
      <c r="M2443" s="47" t="str">
        <f t="shared" si="760"/>
        <v>21 de octubre de 2019</v>
      </c>
      <c r="N2443" s="323">
        <f t="shared" si="761"/>
        <v>21</v>
      </c>
      <c r="O2443" s="25">
        <f t="shared" si="762"/>
        <v>43739</v>
      </c>
      <c r="P2443" s="5" t="str">
        <f t="shared" si="763"/>
        <v>26.700,00</v>
      </c>
      <c r="Q2443" s="4" t="str">
        <f t="shared" si="764"/>
        <v>Veintiseis Mil Setecientos Bolívares con 00/100</v>
      </c>
    </row>
    <row r="2444" spans="1:17" x14ac:dyDescent="0.25">
      <c r="A2444" s="1">
        <f t="shared" si="766"/>
        <v>2443</v>
      </c>
      <c r="B2444" s="8"/>
      <c r="C2444" s="8" t="s">
        <v>17</v>
      </c>
      <c r="D2444" s="2">
        <v>43759</v>
      </c>
      <c r="E2444" s="3">
        <v>25900</v>
      </c>
      <c r="F2444" t="s">
        <v>771</v>
      </c>
      <c r="G2444" t="s">
        <v>772</v>
      </c>
      <c r="H2444" t="s">
        <v>773</v>
      </c>
      <c r="I2444" s="6" t="s">
        <v>1076</v>
      </c>
      <c r="J2444" s="61" t="s">
        <v>22</v>
      </c>
      <c r="L2444" s="5" t="str">
        <f t="shared" si="759"/>
        <v>02443</v>
      </c>
      <c r="M2444" s="47" t="str">
        <f t="shared" si="760"/>
        <v>21 de octubre de 2019</v>
      </c>
      <c r="N2444" s="323">
        <f t="shared" si="761"/>
        <v>21</v>
      </c>
      <c r="O2444" s="25">
        <f t="shared" si="762"/>
        <v>43739</v>
      </c>
      <c r="P2444" s="5" t="str">
        <f t="shared" si="763"/>
        <v>25.900,00</v>
      </c>
      <c r="Q2444" s="4" t="str">
        <f t="shared" si="764"/>
        <v>Veinticinco Mil Novecientos Bolívares con 00/100</v>
      </c>
    </row>
    <row r="2445" spans="1:17" x14ac:dyDescent="0.25">
      <c r="A2445" s="1">
        <f t="shared" si="766"/>
        <v>2444</v>
      </c>
      <c r="B2445" s="8"/>
      <c r="C2445" s="8" t="s">
        <v>17</v>
      </c>
      <c r="D2445" s="2">
        <v>43760</v>
      </c>
      <c r="E2445" s="3">
        <v>28065</v>
      </c>
      <c r="F2445" t="s">
        <v>53</v>
      </c>
      <c r="G2445" t="s">
        <v>677</v>
      </c>
      <c r="H2445" t="s">
        <v>55</v>
      </c>
      <c r="I2445" s="6" t="s">
        <v>1065</v>
      </c>
      <c r="J2445" s="61" t="s">
        <v>22</v>
      </c>
      <c r="L2445" s="5" t="str">
        <f t="shared" si="759"/>
        <v>02444</v>
      </c>
      <c r="M2445" s="47" t="str">
        <f t="shared" si="760"/>
        <v>22 de octubre de 2019</v>
      </c>
      <c r="N2445" s="323">
        <f t="shared" si="761"/>
        <v>22</v>
      </c>
      <c r="O2445" s="25">
        <f t="shared" si="762"/>
        <v>43739</v>
      </c>
      <c r="P2445" s="5" t="str">
        <f t="shared" si="763"/>
        <v>28.065,00</v>
      </c>
      <c r="Q2445" s="4" t="str">
        <f t="shared" si="764"/>
        <v>Veintiocho Mil Sesenta y Cinco Bolívares con 00/100</v>
      </c>
    </row>
    <row r="2446" spans="1:17" x14ac:dyDescent="0.25">
      <c r="A2446" s="1">
        <f t="shared" si="766"/>
        <v>2445</v>
      </c>
      <c r="B2446" s="8"/>
      <c r="C2446" s="8" t="s">
        <v>17</v>
      </c>
      <c r="D2446" s="2">
        <v>43760</v>
      </c>
      <c r="E2446" s="3">
        <v>30000</v>
      </c>
      <c r="F2446" t="s">
        <v>48</v>
      </c>
      <c r="G2446" t="s">
        <v>49</v>
      </c>
      <c r="H2446" t="s">
        <v>50</v>
      </c>
      <c r="I2446" s="6" t="s">
        <v>1065</v>
      </c>
      <c r="J2446" s="61" t="s">
        <v>22</v>
      </c>
      <c r="L2446" s="5" t="str">
        <f t="shared" si="759"/>
        <v>02445</v>
      </c>
      <c r="M2446" s="47" t="str">
        <f t="shared" si="760"/>
        <v>22 de octubre de 2019</v>
      </c>
      <c r="N2446" s="323">
        <f t="shared" si="761"/>
        <v>22</v>
      </c>
      <c r="O2446" s="25">
        <f t="shared" si="762"/>
        <v>43739</v>
      </c>
      <c r="P2446" s="5" t="str">
        <f t="shared" si="763"/>
        <v>30.000,00</v>
      </c>
      <c r="Q2446" s="4" t="str">
        <f t="shared" si="764"/>
        <v>Treinta Mil Bolívares con 00/100</v>
      </c>
    </row>
    <row r="2447" spans="1:17" x14ac:dyDescent="0.25">
      <c r="A2447" s="1">
        <f t="shared" si="766"/>
        <v>2446</v>
      </c>
      <c r="B2447" s="8"/>
      <c r="C2447" s="8" t="s">
        <v>17</v>
      </c>
      <c r="D2447" s="2">
        <v>43760</v>
      </c>
      <c r="E2447" s="3">
        <v>47000</v>
      </c>
      <c r="F2447" t="s">
        <v>239</v>
      </c>
      <c r="G2447" s="73" t="s">
        <v>240</v>
      </c>
      <c r="H2447" t="s">
        <v>241</v>
      </c>
      <c r="I2447" s="6" t="s">
        <v>1060</v>
      </c>
      <c r="J2447" s="61" t="s">
        <v>22</v>
      </c>
      <c r="L2447" s="5" t="str">
        <f t="shared" si="759"/>
        <v>02446</v>
      </c>
      <c r="M2447" s="47" t="str">
        <f t="shared" si="760"/>
        <v>22 de octubre de 2019</v>
      </c>
      <c r="N2447" s="323">
        <f t="shared" si="761"/>
        <v>22</v>
      </c>
      <c r="O2447" s="25">
        <f t="shared" si="762"/>
        <v>43739</v>
      </c>
      <c r="P2447" s="5" t="str">
        <f t="shared" si="763"/>
        <v>47.000,00</v>
      </c>
      <c r="Q2447" s="4" t="str">
        <f t="shared" ref="Q2447:Q2455" si="767">CONVERTIRNUM(E2447)</f>
        <v>Cuarenta y Siete Mil Bolívares con 00/100</v>
      </c>
    </row>
    <row r="2448" spans="1:17" x14ac:dyDescent="0.25">
      <c r="A2448" s="1">
        <f t="shared" si="766"/>
        <v>2447</v>
      </c>
      <c r="B2448" s="8"/>
      <c r="C2448" s="8" t="s">
        <v>17</v>
      </c>
      <c r="D2448" s="2">
        <v>43760</v>
      </c>
      <c r="E2448" s="3">
        <v>25900</v>
      </c>
      <c r="F2448" t="s">
        <v>713</v>
      </c>
      <c r="G2448" t="s">
        <v>714</v>
      </c>
      <c r="H2448" t="s">
        <v>154</v>
      </c>
      <c r="I2448" s="6" t="s">
        <v>1065</v>
      </c>
      <c r="J2448" s="61" t="s">
        <v>22</v>
      </c>
      <c r="L2448" s="5" t="str">
        <f t="shared" si="759"/>
        <v>02447</v>
      </c>
      <c r="M2448" s="47" t="str">
        <f t="shared" si="760"/>
        <v>22 de octubre de 2019</v>
      </c>
      <c r="N2448" s="323">
        <f t="shared" si="761"/>
        <v>22</v>
      </c>
      <c r="O2448" s="25">
        <f t="shared" si="762"/>
        <v>43739</v>
      </c>
      <c r="P2448" s="5" t="str">
        <f t="shared" si="763"/>
        <v>25.900,00</v>
      </c>
      <c r="Q2448" s="4" t="str">
        <f t="shared" si="767"/>
        <v>Veinticinco Mil Novecientos Bolívares con 00/100</v>
      </c>
    </row>
    <row r="2449" spans="1:17" x14ac:dyDescent="0.25">
      <c r="A2449" s="1">
        <f t="shared" si="766"/>
        <v>2448</v>
      </c>
      <c r="B2449" s="8"/>
      <c r="C2449" s="8" t="s">
        <v>17</v>
      </c>
      <c r="D2449" s="2">
        <v>43760</v>
      </c>
      <c r="E2449" s="3">
        <v>25900</v>
      </c>
      <c r="F2449" t="s">
        <v>66</v>
      </c>
      <c r="G2449" t="s">
        <v>67</v>
      </c>
      <c r="H2449" t="s">
        <v>68</v>
      </c>
      <c r="I2449" s="6" t="s">
        <v>1065</v>
      </c>
      <c r="J2449" s="61" t="s">
        <v>22</v>
      </c>
      <c r="L2449" s="5" t="str">
        <f t="shared" si="759"/>
        <v>02448</v>
      </c>
      <c r="M2449" s="47" t="str">
        <f t="shared" si="760"/>
        <v>22 de octubre de 2019</v>
      </c>
      <c r="N2449" s="323">
        <f t="shared" si="761"/>
        <v>22</v>
      </c>
      <c r="O2449" s="25">
        <f t="shared" si="762"/>
        <v>43739</v>
      </c>
      <c r="P2449" s="5" t="str">
        <f t="shared" si="763"/>
        <v>25.900,00</v>
      </c>
      <c r="Q2449" s="4" t="str">
        <f t="shared" si="767"/>
        <v>Veinticinco Mil Novecientos Bolívares con 00/100</v>
      </c>
    </row>
    <row r="2450" spans="1:17" x14ac:dyDescent="0.25">
      <c r="A2450" s="1">
        <f t="shared" si="766"/>
        <v>2449</v>
      </c>
      <c r="C2450" s="8" t="s">
        <v>17</v>
      </c>
      <c r="D2450" s="2">
        <v>43761</v>
      </c>
      <c r="E2450" s="3">
        <v>47000</v>
      </c>
      <c r="F2450" t="s">
        <v>1017</v>
      </c>
      <c r="G2450" s="475" t="s">
        <v>1018</v>
      </c>
      <c r="H2450" t="s">
        <v>140</v>
      </c>
      <c r="I2450" s="6" t="s">
        <v>1060</v>
      </c>
      <c r="J2450" s="61" t="s">
        <v>22</v>
      </c>
      <c r="L2450" s="5" t="str">
        <f t="shared" si="759"/>
        <v>02449</v>
      </c>
      <c r="M2450" s="47" t="str">
        <f t="shared" si="760"/>
        <v>23 de octubre de 2019</v>
      </c>
      <c r="N2450" s="323">
        <f t="shared" si="761"/>
        <v>23</v>
      </c>
      <c r="O2450" s="25">
        <f t="shared" si="762"/>
        <v>43739</v>
      </c>
      <c r="P2450" s="5" t="str">
        <f t="shared" si="763"/>
        <v>47.000,00</v>
      </c>
      <c r="Q2450" s="4" t="str">
        <f t="shared" si="767"/>
        <v>Cuarenta y Siete Mil Bolívares con 00/100</v>
      </c>
    </row>
    <row r="2451" spans="1:17" x14ac:dyDescent="0.25">
      <c r="A2451" s="1">
        <f t="shared" si="766"/>
        <v>2450</v>
      </c>
      <c r="C2451" s="8" t="s">
        <v>17</v>
      </c>
      <c r="D2451" s="2">
        <v>43761</v>
      </c>
      <c r="E2451" s="3">
        <v>27200</v>
      </c>
      <c r="F2451" t="s">
        <v>62</v>
      </c>
      <c r="G2451" t="s">
        <v>63</v>
      </c>
      <c r="H2451" t="s">
        <v>64</v>
      </c>
      <c r="I2451" s="6" t="s">
        <v>1065</v>
      </c>
      <c r="J2451" s="61" t="s">
        <v>22</v>
      </c>
      <c r="L2451" s="5" t="str">
        <f t="shared" si="759"/>
        <v>02450</v>
      </c>
      <c r="M2451" s="47" t="str">
        <f t="shared" si="760"/>
        <v>23 de octubre de 2019</v>
      </c>
      <c r="N2451" s="323">
        <f t="shared" si="761"/>
        <v>23</v>
      </c>
      <c r="O2451" s="25">
        <f t="shared" si="762"/>
        <v>43739</v>
      </c>
      <c r="P2451" s="5" t="str">
        <f t="shared" si="763"/>
        <v>27.200,00</v>
      </c>
      <c r="Q2451" s="4" t="str">
        <f t="shared" si="767"/>
        <v>Veintisiete Mil Doscientos Bolívares con 00/100</v>
      </c>
    </row>
    <row r="2452" spans="1:17" x14ac:dyDescent="0.25">
      <c r="A2452" s="1">
        <f t="shared" si="766"/>
        <v>2451</v>
      </c>
      <c r="C2452" s="8" t="s">
        <v>17</v>
      </c>
      <c r="D2452" s="2">
        <v>43761</v>
      </c>
      <c r="E2452" s="3">
        <v>47000</v>
      </c>
      <c r="F2452" t="s">
        <v>122</v>
      </c>
      <c r="G2452" t="s">
        <v>123</v>
      </c>
      <c r="H2452" t="s">
        <v>124</v>
      </c>
      <c r="I2452" s="6" t="s">
        <v>1060</v>
      </c>
      <c r="J2452" s="61" t="s">
        <v>22</v>
      </c>
      <c r="L2452" s="5" t="str">
        <f t="shared" si="759"/>
        <v>02451</v>
      </c>
      <c r="M2452" s="47" t="str">
        <f t="shared" si="760"/>
        <v>23 de octubre de 2019</v>
      </c>
      <c r="N2452" s="323">
        <f t="shared" si="761"/>
        <v>23</v>
      </c>
      <c r="O2452" s="25">
        <f t="shared" si="762"/>
        <v>43739</v>
      </c>
      <c r="P2452" s="5" t="str">
        <f t="shared" si="763"/>
        <v>47.000,00</v>
      </c>
      <c r="Q2452" s="4" t="str">
        <f t="shared" si="767"/>
        <v>Cuarenta y Siete Mil Bolívares con 00/100</v>
      </c>
    </row>
    <row r="2453" spans="1:17" x14ac:dyDescent="0.25">
      <c r="A2453" s="1">
        <f t="shared" si="766"/>
        <v>2452</v>
      </c>
      <c r="C2453" s="85" t="s">
        <v>17</v>
      </c>
      <c r="D2453" s="2">
        <v>43761</v>
      </c>
      <c r="E2453" s="3">
        <v>47000</v>
      </c>
      <c r="F2453" t="s">
        <v>40</v>
      </c>
      <c r="G2453" s="18" t="s">
        <v>58</v>
      </c>
      <c r="H2453" t="s">
        <v>42</v>
      </c>
      <c r="I2453" s="6" t="s">
        <v>1060</v>
      </c>
      <c r="J2453" s="61" t="s">
        <v>22</v>
      </c>
      <c r="L2453" s="5" t="str">
        <f t="shared" si="759"/>
        <v>02452</v>
      </c>
      <c r="M2453" s="47" t="str">
        <f t="shared" si="760"/>
        <v>23 de octubre de 2019</v>
      </c>
      <c r="N2453" s="323">
        <f t="shared" si="761"/>
        <v>23</v>
      </c>
      <c r="O2453" s="25">
        <f t="shared" si="762"/>
        <v>43739</v>
      </c>
      <c r="P2453" s="5" t="str">
        <f t="shared" si="763"/>
        <v>47.000,00</v>
      </c>
      <c r="Q2453" s="4" t="str">
        <f t="shared" si="767"/>
        <v>Cuarenta y Siete Mil Bolívares con 00/100</v>
      </c>
    </row>
    <row r="2454" spans="1:17" x14ac:dyDescent="0.25">
      <c r="A2454" s="1">
        <f t="shared" si="766"/>
        <v>2453</v>
      </c>
      <c r="C2454" s="8" t="s">
        <v>17</v>
      </c>
      <c r="D2454" s="2">
        <v>43762</v>
      </c>
      <c r="E2454" s="3">
        <v>17000</v>
      </c>
      <c r="F2454" t="s">
        <v>80</v>
      </c>
      <c r="G2454" t="s">
        <v>81</v>
      </c>
      <c r="H2454" t="s">
        <v>82</v>
      </c>
      <c r="I2454" s="6" t="s">
        <v>1065</v>
      </c>
      <c r="J2454" s="61" t="s">
        <v>22</v>
      </c>
      <c r="L2454" s="5" t="str">
        <f t="shared" si="759"/>
        <v>02453</v>
      </c>
      <c r="M2454" s="47" t="str">
        <f t="shared" si="760"/>
        <v>24 de octubre de 2019</v>
      </c>
      <c r="N2454" s="323">
        <f t="shared" si="761"/>
        <v>24</v>
      </c>
      <c r="O2454" s="25">
        <f t="shared" si="762"/>
        <v>43739</v>
      </c>
      <c r="P2454" s="5" t="str">
        <f t="shared" si="763"/>
        <v>17.000,00</v>
      </c>
      <c r="Q2454" s="4" t="str">
        <f t="shared" si="767"/>
        <v>Diecisiete Mil Bolívares con 00/100</v>
      </c>
    </row>
    <row r="2455" spans="1:17" x14ac:dyDescent="0.25">
      <c r="A2455" s="1">
        <f t="shared" si="766"/>
        <v>2454</v>
      </c>
      <c r="C2455" s="8" t="s">
        <v>17</v>
      </c>
      <c r="D2455" s="2">
        <v>43762</v>
      </c>
      <c r="E2455" s="3">
        <v>27000</v>
      </c>
      <c r="F2455" t="s">
        <v>337</v>
      </c>
      <c r="G2455" t="s">
        <v>338</v>
      </c>
      <c r="H2455" t="s">
        <v>339</v>
      </c>
      <c r="I2455" s="6" t="s">
        <v>1065</v>
      </c>
      <c r="J2455" s="61" t="s">
        <v>22</v>
      </c>
      <c r="L2455" s="5" t="str">
        <f t="shared" si="759"/>
        <v>02454</v>
      </c>
      <c r="M2455" s="47" t="str">
        <f t="shared" si="760"/>
        <v>24 de octubre de 2019</v>
      </c>
      <c r="N2455" s="323">
        <f t="shared" si="761"/>
        <v>24</v>
      </c>
      <c r="O2455" s="25">
        <f t="shared" si="762"/>
        <v>43739</v>
      </c>
      <c r="P2455" s="5" t="str">
        <f t="shared" si="763"/>
        <v>27.000,00</v>
      </c>
      <c r="Q2455" s="4" t="str">
        <f t="shared" si="767"/>
        <v>Veintisiete Mil Bolívares con 00/100</v>
      </c>
    </row>
    <row r="2456" spans="1:17" x14ac:dyDescent="0.25">
      <c r="A2456" s="1">
        <f t="shared" si="766"/>
        <v>2455</v>
      </c>
      <c r="C2456" s="8" t="s">
        <v>17</v>
      </c>
      <c r="D2456" s="2">
        <v>43762</v>
      </c>
      <c r="E2456" s="3">
        <v>48000</v>
      </c>
      <c r="F2456" t="s">
        <v>162</v>
      </c>
      <c r="G2456" t="s">
        <v>163</v>
      </c>
      <c r="H2456" t="s">
        <v>164</v>
      </c>
      <c r="I2456" s="6" t="s">
        <v>1060</v>
      </c>
      <c r="J2456" s="61" t="s">
        <v>22</v>
      </c>
      <c r="L2456" s="5" t="str">
        <f t="shared" si="759"/>
        <v>02455</v>
      </c>
      <c r="M2456" s="47" t="str">
        <f t="shared" si="760"/>
        <v>24 de octubre de 2019</v>
      </c>
      <c r="N2456" s="323">
        <f t="shared" si="761"/>
        <v>24</v>
      </c>
      <c r="O2456" s="25">
        <f t="shared" si="762"/>
        <v>43739</v>
      </c>
      <c r="P2456" s="5" t="str">
        <f>TEXT(E2456,"#.##0,00")</f>
        <v>48.000,00</v>
      </c>
      <c r="Q2456" s="4" t="str">
        <f>CONVERTIRNUM(E2456)</f>
        <v>Cuarenta y Ocho Mil Bolívares con 00/100</v>
      </c>
    </row>
    <row r="2457" spans="1:17" x14ac:dyDescent="0.25">
      <c r="A2457" s="1">
        <f t="shared" si="766"/>
        <v>2456</v>
      </c>
      <c r="C2457" s="8" t="s">
        <v>17</v>
      </c>
      <c r="D2457" s="2">
        <v>43762</v>
      </c>
      <c r="E2457" s="3">
        <v>25900</v>
      </c>
      <c r="F2457" t="s">
        <v>947</v>
      </c>
      <c r="G2457" t="s">
        <v>948</v>
      </c>
      <c r="H2457" t="s">
        <v>949</v>
      </c>
      <c r="I2457" s="6" t="s">
        <v>1065</v>
      </c>
      <c r="J2457" s="61" t="s">
        <v>22</v>
      </c>
      <c r="L2457" s="5" t="str">
        <f t="shared" si="759"/>
        <v>02456</v>
      </c>
      <c r="M2457" s="47" t="str">
        <f t="shared" si="760"/>
        <v>24 de octubre de 2019</v>
      </c>
      <c r="N2457" s="323">
        <f t="shared" si="761"/>
        <v>24</v>
      </c>
      <c r="O2457" s="25">
        <f t="shared" si="762"/>
        <v>43739</v>
      </c>
      <c r="P2457" s="5" t="str">
        <f t="shared" ref="P2457:P2481" si="768">TEXT(E2457,"#.##0,00")</f>
        <v>25.900,00</v>
      </c>
      <c r="Q2457" s="4" t="str">
        <f t="shared" ref="Q2457:Q2469" si="769">CONVERTIRNUM(E2457)</f>
        <v>Veinticinco Mil Novecientos Bolívares con 00/100</v>
      </c>
    </row>
    <row r="2458" spans="1:17" x14ac:dyDescent="0.25">
      <c r="A2458" s="1">
        <f t="shared" si="766"/>
        <v>2457</v>
      </c>
      <c r="C2458" s="8" t="s">
        <v>17</v>
      </c>
      <c r="D2458" s="2">
        <v>43763</v>
      </c>
      <c r="E2458" s="3">
        <v>27200</v>
      </c>
      <c r="F2458" t="s">
        <v>342</v>
      </c>
      <c r="G2458" t="s">
        <v>1036</v>
      </c>
      <c r="H2458" t="s">
        <v>344</v>
      </c>
      <c r="I2458" s="6" t="s">
        <v>1065</v>
      </c>
      <c r="J2458" s="61" t="s">
        <v>22</v>
      </c>
      <c r="L2458" s="5" t="str">
        <f t="shared" si="759"/>
        <v>02457</v>
      </c>
      <c r="M2458" s="47" t="str">
        <f t="shared" si="760"/>
        <v>25 de octubre de 2019</v>
      </c>
      <c r="N2458" s="323">
        <f t="shared" si="761"/>
        <v>25</v>
      </c>
      <c r="O2458" s="25">
        <f t="shared" si="762"/>
        <v>43739</v>
      </c>
      <c r="P2458" s="5" t="str">
        <f t="shared" si="768"/>
        <v>27.200,00</v>
      </c>
      <c r="Q2458" s="4" t="str">
        <f t="shared" si="769"/>
        <v>Veintisiete Mil Doscientos Bolívares con 00/100</v>
      </c>
    </row>
    <row r="2459" spans="1:17" x14ac:dyDescent="0.25">
      <c r="A2459" s="1">
        <f t="shared" si="766"/>
        <v>2458</v>
      </c>
      <c r="C2459" s="8" t="s">
        <v>17</v>
      </c>
      <c r="D2459" s="2">
        <v>43763</v>
      </c>
      <c r="E2459" s="3">
        <v>47000</v>
      </c>
      <c r="F2459" t="s">
        <v>412</v>
      </c>
      <c r="G2459" t="s">
        <v>413</v>
      </c>
      <c r="H2459" t="s">
        <v>414</v>
      </c>
      <c r="I2459" s="6" t="s">
        <v>1060</v>
      </c>
      <c r="J2459" s="61" t="s">
        <v>22</v>
      </c>
      <c r="L2459" s="5" t="str">
        <f t="shared" si="759"/>
        <v>02458</v>
      </c>
      <c r="M2459" s="47" t="str">
        <f t="shared" si="760"/>
        <v>25 de octubre de 2019</v>
      </c>
      <c r="N2459" s="323">
        <f t="shared" si="761"/>
        <v>25</v>
      </c>
      <c r="O2459" s="25">
        <f t="shared" si="762"/>
        <v>43739</v>
      </c>
      <c r="P2459" s="5" t="str">
        <f t="shared" si="768"/>
        <v>47.000,00</v>
      </c>
      <c r="Q2459" s="4" t="str">
        <f t="shared" si="769"/>
        <v>Cuarenta y Siete Mil Bolívares con 00/100</v>
      </c>
    </row>
    <row r="2460" spans="1:17" x14ac:dyDescent="0.25">
      <c r="A2460" s="1">
        <f t="shared" si="766"/>
        <v>2459</v>
      </c>
      <c r="C2460" s="8" t="s">
        <v>17</v>
      </c>
      <c r="D2460" s="2">
        <v>43763</v>
      </c>
      <c r="E2460" s="3">
        <v>47000</v>
      </c>
      <c r="F2460" t="s">
        <v>454</v>
      </c>
      <c r="G2460" t="s">
        <v>761</v>
      </c>
      <c r="H2460" t="s">
        <v>455</v>
      </c>
      <c r="I2460" s="6" t="s">
        <v>1060</v>
      </c>
      <c r="J2460" s="61" t="s">
        <v>22</v>
      </c>
      <c r="L2460" s="5" t="str">
        <f t="shared" si="759"/>
        <v>02459</v>
      </c>
      <c r="M2460" s="47" t="str">
        <f t="shared" si="760"/>
        <v>25 de octubre de 2019</v>
      </c>
      <c r="N2460" s="323">
        <f t="shared" si="761"/>
        <v>25</v>
      </c>
      <c r="O2460" s="25">
        <f t="shared" si="762"/>
        <v>43739</v>
      </c>
      <c r="P2460" s="5" t="str">
        <f t="shared" si="768"/>
        <v>47.000,00</v>
      </c>
      <c r="Q2460" s="4" t="str">
        <f t="shared" si="769"/>
        <v>Cuarenta y Siete Mil Bolívares con 00/100</v>
      </c>
    </row>
    <row r="2461" spans="1:17" x14ac:dyDescent="0.25">
      <c r="A2461" s="1">
        <f t="shared" si="766"/>
        <v>2460</v>
      </c>
      <c r="C2461" s="8" t="s">
        <v>17</v>
      </c>
      <c r="D2461" s="2">
        <v>43764</v>
      </c>
      <c r="E2461" s="3">
        <v>20000</v>
      </c>
      <c r="F2461" t="s">
        <v>433</v>
      </c>
      <c r="G2461" t="s">
        <v>434</v>
      </c>
      <c r="H2461" t="s">
        <v>435</v>
      </c>
      <c r="I2461" s="6" t="s">
        <v>1061</v>
      </c>
      <c r="J2461" s="61" t="s">
        <v>22</v>
      </c>
      <c r="L2461" s="5" t="str">
        <f t="shared" si="759"/>
        <v>02460</v>
      </c>
      <c r="M2461" s="47" t="str">
        <f t="shared" si="760"/>
        <v>26 de octubre de 2019</v>
      </c>
      <c r="N2461" s="323">
        <f t="shared" si="761"/>
        <v>26</v>
      </c>
      <c r="O2461" s="25">
        <f t="shared" si="762"/>
        <v>43739</v>
      </c>
      <c r="P2461" s="5" t="str">
        <f t="shared" si="768"/>
        <v>20.000,00</v>
      </c>
      <c r="Q2461" s="4" t="str">
        <f t="shared" si="769"/>
        <v>Veinte Mil Bolívares con 00/100</v>
      </c>
    </row>
    <row r="2462" spans="1:17" x14ac:dyDescent="0.25">
      <c r="A2462" s="1">
        <f t="shared" si="766"/>
        <v>2461</v>
      </c>
      <c r="C2462" s="8" t="s">
        <v>17</v>
      </c>
      <c r="D2462" s="2">
        <v>43765</v>
      </c>
      <c r="E2462" s="3">
        <v>69000</v>
      </c>
      <c r="F2462" t="s">
        <v>44</v>
      </c>
      <c r="G2462" t="s">
        <v>45</v>
      </c>
      <c r="H2462" t="s">
        <v>46</v>
      </c>
      <c r="I2462" s="6" t="s">
        <v>1077</v>
      </c>
      <c r="J2462" s="61" t="s">
        <v>22</v>
      </c>
      <c r="L2462" s="5" t="str">
        <f>IF(ISBLANK(A2462),"",TEXT(A2462,"00000"))</f>
        <v>02461</v>
      </c>
      <c r="M2462" s="47" t="str">
        <f>IF(ISBLANK(D2462),"",TEXT(D2462,"dd")&amp;" de "&amp;TEXT(D2462,"mmmm")&amp;" de "&amp;TEXT(YEAR(D2462),"0"))</f>
        <v>27 de octubre de 2019</v>
      </c>
      <c r="N2462" s="323">
        <f t="shared" si="761"/>
        <v>27</v>
      </c>
      <c r="O2462" s="25">
        <f>DATE(YEAR(D2462),MONTH(D2462),1)</f>
        <v>43739</v>
      </c>
      <c r="P2462" s="5" t="str">
        <f t="shared" si="768"/>
        <v>69.000,00</v>
      </c>
      <c r="Q2462" s="4" t="str">
        <f t="shared" si="769"/>
        <v>Sesenta y Nueve Mil Bolívares con 00/100</v>
      </c>
    </row>
    <row r="2463" spans="1:17" x14ac:dyDescent="0.25">
      <c r="A2463" s="1">
        <f t="shared" si="766"/>
        <v>2462</v>
      </c>
      <c r="C2463" s="8" t="s">
        <v>17</v>
      </c>
      <c r="D2463" s="2">
        <v>43765</v>
      </c>
      <c r="E2463" s="3">
        <v>42500</v>
      </c>
      <c r="F2463" t="s">
        <v>594</v>
      </c>
      <c r="G2463" t="s">
        <v>1051</v>
      </c>
      <c r="H2463" t="s">
        <v>596</v>
      </c>
      <c r="I2463" s="6" t="s">
        <v>1065</v>
      </c>
      <c r="J2463" s="61" t="s">
        <v>22</v>
      </c>
      <c r="L2463" s="5" t="str">
        <f t="shared" ref="L2463:L2473" si="770">IF(ISBLANK(A2463),"",TEXT(A2463,"00000"))</f>
        <v>02462</v>
      </c>
      <c r="M2463" s="47" t="str">
        <f t="shared" ref="M2463:M2473" si="771">IF(ISBLANK(D2463),"",TEXT(D2463,"dd")&amp;" de "&amp;TEXT(D2463,"mmmm")&amp;" de "&amp;TEXT(YEAR(D2463),"0"))</f>
        <v>27 de octubre de 2019</v>
      </c>
      <c r="N2463" s="323">
        <f t="shared" si="761"/>
        <v>27</v>
      </c>
      <c r="O2463" s="25">
        <f t="shared" ref="O2463:O2473" si="772">DATE(YEAR(D2463),MONTH(D2463),1)</f>
        <v>43739</v>
      </c>
      <c r="P2463" s="5" t="str">
        <f t="shared" si="768"/>
        <v>42.500,00</v>
      </c>
      <c r="Q2463" s="4" t="str">
        <f t="shared" si="769"/>
        <v>Cuarenta y Dos Mil Quinientos Bolívares con 00/100</v>
      </c>
    </row>
    <row r="2464" spans="1:17" x14ac:dyDescent="0.25">
      <c r="A2464" s="1">
        <f t="shared" si="766"/>
        <v>2463</v>
      </c>
      <c r="C2464" s="8" t="s">
        <v>17</v>
      </c>
      <c r="D2464" s="2">
        <v>43766</v>
      </c>
      <c r="E2464" s="3">
        <v>52000</v>
      </c>
      <c r="F2464" t="s">
        <v>185</v>
      </c>
      <c r="G2464" t="s">
        <v>186</v>
      </c>
      <c r="H2464" t="s">
        <v>187</v>
      </c>
      <c r="I2464" s="6" t="s">
        <v>1060</v>
      </c>
      <c r="J2464" s="61" t="s">
        <v>22</v>
      </c>
      <c r="L2464" s="5" t="str">
        <f t="shared" si="770"/>
        <v>02463</v>
      </c>
      <c r="M2464" s="47" t="str">
        <f t="shared" si="771"/>
        <v>28 de octubre de 2019</v>
      </c>
      <c r="N2464" s="323">
        <f t="shared" si="761"/>
        <v>28</v>
      </c>
      <c r="O2464" s="25">
        <f t="shared" si="772"/>
        <v>43739</v>
      </c>
      <c r="P2464" s="5" t="str">
        <f t="shared" si="768"/>
        <v>52.000,00</v>
      </c>
      <c r="Q2464" s="4" t="str">
        <f t="shared" si="769"/>
        <v>Cincuenta y Dos Mil Bolívares con 00/100</v>
      </c>
    </row>
    <row r="2465" spans="1:17" x14ac:dyDescent="0.25">
      <c r="A2465" s="1">
        <f t="shared" si="766"/>
        <v>2464</v>
      </c>
      <c r="C2465" s="8" t="s">
        <v>17</v>
      </c>
      <c r="D2465" s="2">
        <v>43766</v>
      </c>
      <c r="E2465" s="3">
        <v>31450</v>
      </c>
      <c r="F2465" t="s">
        <v>935</v>
      </c>
      <c r="G2465" t="s">
        <v>936</v>
      </c>
      <c r="H2465" t="s">
        <v>150</v>
      </c>
      <c r="I2465" s="6" t="s">
        <v>1065</v>
      </c>
      <c r="J2465" s="61" t="s">
        <v>22</v>
      </c>
      <c r="L2465" s="5" t="str">
        <f t="shared" si="770"/>
        <v>02464</v>
      </c>
      <c r="M2465" s="47" t="str">
        <f t="shared" si="771"/>
        <v>28 de octubre de 2019</v>
      </c>
      <c r="N2465" s="323">
        <f t="shared" si="761"/>
        <v>28</v>
      </c>
      <c r="O2465" s="25">
        <f t="shared" si="772"/>
        <v>43739</v>
      </c>
      <c r="P2465" s="5" t="str">
        <f t="shared" si="768"/>
        <v>31.450,00</v>
      </c>
      <c r="Q2465" s="4" t="str">
        <f t="shared" si="769"/>
        <v>Treinta y Un Mil Cuatrocientos Cincuenta Bolívares con 00/100</v>
      </c>
    </row>
    <row r="2466" spans="1:17" x14ac:dyDescent="0.25">
      <c r="A2466" s="1">
        <f t="shared" si="766"/>
        <v>2465</v>
      </c>
      <c r="C2466" s="8" t="s">
        <v>17</v>
      </c>
      <c r="D2466" s="2">
        <v>43761</v>
      </c>
      <c r="E2466" s="3">
        <v>25900</v>
      </c>
      <c r="F2466" t="s">
        <v>134</v>
      </c>
      <c r="G2466" t="s">
        <v>135</v>
      </c>
      <c r="H2466" t="s">
        <v>136</v>
      </c>
      <c r="I2466" s="6" t="s">
        <v>1065</v>
      </c>
      <c r="J2466" s="61" t="s">
        <v>22</v>
      </c>
      <c r="L2466" s="5" t="str">
        <f t="shared" si="770"/>
        <v>02465</v>
      </c>
      <c r="M2466" s="47" t="str">
        <f t="shared" si="771"/>
        <v>23 de octubre de 2019</v>
      </c>
      <c r="N2466" s="323">
        <f t="shared" si="761"/>
        <v>23</v>
      </c>
      <c r="O2466" s="25">
        <f t="shared" si="772"/>
        <v>43739</v>
      </c>
      <c r="P2466" s="5" t="str">
        <f t="shared" si="768"/>
        <v>25.900,00</v>
      </c>
      <c r="Q2466" s="4" t="str">
        <f t="shared" si="769"/>
        <v>Veinticinco Mil Novecientos Bolívares con 00/100</v>
      </c>
    </row>
    <row r="2467" spans="1:17" x14ac:dyDescent="0.25">
      <c r="A2467" s="1">
        <f t="shared" si="766"/>
        <v>2466</v>
      </c>
      <c r="C2467" s="8" t="s">
        <v>17</v>
      </c>
      <c r="D2467" s="2">
        <v>43766</v>
      </c>
      <c r="E2467" s="3">
        <v>29250</v>
      </c>
      <c r="F2467" t="s">
        <v>612</v>
      </c>
      <c r="G2467" t="s">
        <v>613</v>
      </c>
      <c r="H2467" t="s">
        <v>614</v>
      </c>
      <c r="I2467" s="6" t="s">
        <v>1065</v>
      </c>
      <c r="J2467" s="61" t="s">
        <v>22</v>
      </c>
      <c r="L2467" s="5" t="str">
        <f t="shared" si="770"/>
        <v>02466</v>
      </c>
      <c r="M2467" s="47" t="str">
        <f t="shared" si="771"/>
        <v>28 de octubre de 2019</v>
      </c>
      <c r="N2467" s="323">
        <f t="shared" si="761"/>
        <v>28</v>
      </c>
      <c r="O2467" s="25">
        <f t="shared" si="772"/>
        <v>43739</v>
      </c>
      <c r="P2467" s="5" t="str">
        <f t="shared" si="768"/>
        <v>29.250,00</v>
      </c>
      <c r="Q2467" s="4" t="str">
        <f t="shared" si="769"/>
        <v>Veintinueve Mil Doscientos Cincuenta Bolívares con 00/100</v>
      </c>
    </row>
    <row r="2468" spans="1:17" x14ac:dyDescent="0.25">
      <c r="A2468" s="1">
        <f t="shared" si="766"/>
        <v>2467</v>
      </c>
      <c r="C2468" s="8" t="s">
        <v>17</v>
      </c>
      <c r="D2468" s="2">
        <v>43766</v>
      </c>
      <c r="E2468" s="3">
        <v>51250</v>
      </c>
      <c r="F2468" t="s">
        <v>197</v>
      </c>
      <c r="G2468" t="s">
        <v>198</v>
      </c>
      <c r="H2468" t="s">
        <v>199</v>
      </c>
      <c r="I2468" s="6" t="s">
        <v>1060</v>
      </c>
      <c r="J2468" s="61" t="s">
        <v>22</v>
      </c>
      <c r="L2468" s="5" t="str">
        <f t="shared" si="770"/>
        <v>02467</v>
      </c>
      <c r="M2468" s="47" t="str">
        <f t="shared" si="771"/>
        <v>28 de octubre de 2019</v>
      </c>
      <c r="N2468" s="323">
        <f t="shared" si="761"/>
        <v>28</v>
      </c>
      <c r="O2468" s="25">
        <f t="shared" si="772"/>
        <v>43739</v>
      </c>
      <c r="P2468" s="5" t="str">
        <f t="shared" si="768"/>
        <v>51.250,00</v>
      </c>
      <c r="Q2468" s="4" t="str">
        <f t="shared" si="769"/>
        <v>Cincuenta y Un Mil Doscientos Cincuenta Bolívares con 00/100</v>
      </c>
    </row>
    <row r="2469" spans="1:17" x14ac:dyDescent="0.25">
      <c r="A2469" s="1">
        <f t="shared" si="766"/>
        <v>2468</v>
      </c>
      <c r="C2469" s="8" t="s">
        <v>17</v>
      </c>
      <c r="D2469" s="2">
        <v>43767</v>
      </c>
      <c r="E2469" s="3">
        <v>30150</v>
      </c>
      <c r="F2469" t="s">
        <v>248</v>
      </c>
      <c r="G2469" t="s">
        <v>249</v>
      </c>
      <c r="H2469" t="s">
        <v>250</v>
      </c>
      <c r="I2469" s="6" t="s">
        <v>1065</v>
      </c>
      <c r="J2469" s="61" t="s">
        <v>22</v>
      </c>
      <c r="L2469" s="5" t="str">
        <f t="shared" si="770"/>
        <v>02468</v>
      </c>
      <c r="M2469" s="47" t="str">
        <f t="shared" si="771"/>
        <v>29 de octubre de 2019</v>
      </c>
      <c r="N2469" s="323">
        <f t="shared" si="761"/>
        <v>29</v>
      </c>
      <c r="O2469" s="25">
        <f t="shared" si="772"/>
        <v>43739</v>
      </c>
      <c r="P2469" s="5" t="str">
        <f t="shared" si="768"/>
        <v>30.150,00</v>
      </c>
      <c r="Q2469" s="4" t="str">
        <f t="shared" si="769"/>
        <v>Treinta Mil Ciento Cincuenta Bolívares con 00/100</v>
      </c>
    </row>
    <row r="2470" spans="1:17" x14ac:dyDescent="0.25">
      <c r="A2470" s="1">
        <f t="shared" si="766"/>
        <v>2469</v>
      </c>
      <c r="C2470" s="8" t="s">
        <v>17</v>
      </c>
      <c r="D2470" s="2">
        <v>43767</v>
      </c>
      <c r="E2470" s="3">
        <v>81400</v>
      </c>
      <c r="F2470" t="s">
        <v>407</v>
      </c>
      <c r="G2470" t="s">
        <v>408</v>
      </c>
      <c r="H2470" t="s">
        <v>409</v>
      </c>
      <c r="I2470" s="6" t="s">
        <v>1078</v>
      </c>
      <c r="J2470" s="61" t="s">
        <v>22</v>
      </c>
      <c r="L2470" s="5" t="str">
        <f t="shared" si="770"/>
        <v>02469</v>
      </c>
      <c r="M2470" s="47" t="str">
        <f t="shared" si="771"/>
        <v>29 de octubre de 2019</v>
      </c>
      <c r="N2470" s="323">
        <f t="shared" si="761"/>
        <v>29</v>
      </c>
      <c r="O2470" s="25">
        <f t="shared" si="772"/>
        <v>43739</v>
      </c>
      <c r="P2470" s="5" t="str">
        <f t="shared" si="768"/>
        <v>81.400,00</v>
      </c>
      <c r="Q2470" s="4" t="str">
        <f>CONVERTIRNUM(E2470)</f>
        <v>Ochenta y Un Mil Cuatrocientos Bolívares con 00/100</v>
      </c>
    </row>
    <row r="2471" spans="1:17" x14ac:dyDescent="0.25">
      <c r="A2471" s="1">
        <f t="shared" si="766"/>
        <v>2470</v>
      </c>
      <c r="C2471" s="8" t="s">
        <v>17</v>
      </c>
      <c r="D2471" s="2">
        <v>43767</v>
      </c>
      <c r="E2471" s="3">
        <v>60000</v>
      </c>
      <c r="F2471" t="s">
        <v>90</v>
      </c>
      <c r="G2471" s="475" t="s">
        <v>978</v>
      </c>
      <c r="H2471" t="s">
        <v>92</v>
      </c>
      <c r="I2471" s="6" t="s">
        <v>1060</v>
      </c>
      <c r="J2471" s="61" t="s">
        <v>22</v>
      </c>
      <c r="L2471" s="5" t="str">
        <f t="shared" si="770"/>
        <v>02470</v>
      </c>
      <c r="M2471" s="47" t="str">
        <f t="shared" si="771"/>
        <v>29 de octubre de 2019</v>
      </c>
      <c r="N2471" s="323">
        <f t="shared" si="761"/>
        <v>29</v>
      </c>
      <c r="O2471" s="25">
        <f t="shared" si="772"/>
        <v>43739</v>
      </c>
      <c r="P2471" s="5" t="str">
        <f t="shared" si="768"/>
        <v>60.000,00</v>
      </c>
      <c r="Q2471" s="4" t="str">
        <f t="shared" ref="Q2471:Q2474" si="773">CONVERTIRNUM(E2471)</f>
        <v>Sesenta Mil Bolívares con 00/100</v>
      </c>
    </row>
    <row r="2472" spans="1:17" x14ac:dyDescent="0.25">
      <c r="A2472" s="1">
        <f t="shared" si="766"/>
        <v>2471</v>
      </c>
      <c r="C2472" s="8" t="s">
        <v>17</v>
      </c>
      <c r="D2472" s="2">
        <v>43767</v>
      </c>
      <c r="E2472" s="3">
        <v>31500</v>
      </c>
      <c r="F2472" t="s">
        <v>998</v>
      </c>
      <c r="G2472" t="s">
        <v>999</v>
      </c>
      <c r="H2472" t="s">
        <v>1000</v>
      </c>
      <c r="I2472" s="6" t="s">
        <v>1065</v>
      </c>
      <c r="J2472" s="61" t="s">
        <v>22</v>
      </c>
      <c r="L2472" s="5" t="str">
        <f t="shared" si="770"/>
        <v>02471</v>
      </c>
      <c r="M2472" s="47" t="str">
        <f t="shared" si="771"/>
        <v>29 de octubre de 2019</v>
      </c>
      <c r="N2472" s="323">
        <f t="shared" si="761"/>
        <v>29</v>
      </c>
      <c r="O2472" s="25">
        <f t="shared" si="772"/>
        <v>43739</v>
      </c>
      <c r="P2472" s="5" t="str">
        <f t="shared" si="768"/>
        <v>31.500,00</v>
      </c>
      <c r="Q2472" s="4" t="str">
        <f t="shared" si="773"/>
        <v>Treinta y Un Mil Quinientos Bolívares con 00/100</v>
      </c>
    </row>
    <row r="2473" spans="1:17" x14ac:dyDescent="0.25">
      <c r="A2473" s="1">
        <f t="shared" si="766"/>
        <v>2472</v>
      </c>
      <c r="C2473" s="8" t="s">
        <v>17</v>
      </c>
      <c r="D2473" s="2">
        <v>43767</v>
      </c>
      <c r="E2473" s="3">
        <v>50000</v>
      </c>
      <c r="F2473" t="s">
        <v>291</v>
      </c>
      <c r="G2473" t="s">
        <v>292</v>
      </c>
      <c r="H2473" t="s">
        <v>293</v>
      </c>
      <c r="I2473" s="161" t="s">
        <v>1079</v>
      </c>
      <c r="J2473" s="61" t="s">
        <v>22</v>
      </c>
      <c r="L2473" s="5" t="str">
        <f t="shared" si="770"/>
        <v>02472</v>
      </c>
      <c r="M2473" s="47" t="str">
        <f t="shared" si="771"/>
        <v>29 de octubre de 2019</v>
      </c>
      <c r="N2473" s="323">
        <f t="shared" si="761"/>
        <v>29</v>
      </c>
      <c r="O2473" s="25">
        <f t="shared" si="772"/>
        <v>43739</v>
      </c>
      <c r="P2473" s="5" t="str">
        <f t="shared" si="768"/>
        <v>50.000,00</v>
      </c>
      <c r="Q2473" s="4" t="str">
        <f t="shared" si="773"/>
        <v>Cincuenta Mil Bolívares con 00/100</v>
      </c>
    </row>
    <row r="2474" spans="1:17" x14ac:dyDescent="0.25">
      <c r="A2474" s="1">
        <f t="shared" si="766"/>
        <v>2473</v>
      </c>
      <c r="C2474" s="8" t="s">
        <v>17</v>
      </c>
      <c r="D2474" s="2">
        <v>43767</v>
      </c>
      <c r="E2474" s="3">
        <v>51250</v>
      </c>
      <c r="F2474" t="s">
        <v>243</v>
      </c>
      <c r="G2474" t="s">
        <v>244</v>
      </c>
      <c r="H2474" t="s">
        <v>245</v>
      </c>
      <c r="I2474" s="6" t="s">
        <v>1060</v>
      </c>
      <c r="J2474" s="61" t="s">
        <v>22</v>
      </c>
      <c r="L2474" s="5" t="str">
        <f>IF(ISBLANK(A2474),"",TEXT(A2474,"00000"))</f>
        <v>02473</v>
      </c>
      <c r="M2474" s="47" t="str">
        <f>IF(ISBLANK(D2474),"",TEXT(D2474,"dd")&amp;" de "&amp;TEXT(D2474,"mmmm")&amp;" de "&amp;TEXT(YEAR(D2474),"0"))</f>
        <v>29 de octubre de 2019</v>
      </c>
      <c r="N2474" s="323">
        <f t="shared" si="761"/>
        <v>29</v>
      </c>
      <c r="O2474" s="25">
        <f>DATE(YEAR(D2474),MONTH(D2474),1)</f>
        <v>43739</v>
      </c>
      <c r="P2474" s="5" t="str">
        <f t="shared" si="768"/>
        <v>51.250,00</v>
      </c>
      <c r="Q2474" s="4" t="str">
        <f t="shared" si="773"/>
        <v>Cincuenta y Un Mil Doscientos Cincuenta Bolívares con 00/100</v>
      </c>
    </row>
    <row r="2475" spans="1:17" x14ac:dyDescent="0.25">
      <c r="A2475" s="1">
        <f t="shared" si="766"/>
        <v>2474</v>
      </c>
      <c r="C2475" s="8" t="s">
        <v>17</v>
      </c>
      <c r="D2475" s="2">
        <v>43767</v>
      </c>
      <c r="E2475" s="3">
        <v>51250</v>
      </c>
      <c r="F2475" t="s">
        <v>1015</v>
      </c>
      <c r="G2475" t="s">
        <v>1016</v>
      </c>
      <c r="H2475" t="s">
        <v>59</v>
      </c>
      <c r="I2475" s="6" t="s">
        <v>1060</v>
      </c>
      <c r="J2475" s="61" t="s">
        <v>22</v>
      </c>
      <c r="L2475" s="5" t="str">
        <f t="shared" ref="L2475:L2481" si="774">IF(ISBLANK(A2475),"",TEXT(A2475,"00000"))</f>
        <v>02474</v>
      </c>
      <c r="M2475" s="47" t="str">
        <f t="shared" ref="M2475:M2481" si="775">IF(ISBLANK(D2475),"",TEXT(D2475,"dd")&amp;" de "&amp;TEXT(D2475,"mmmm")&amp;" de "&amp;TEXT(YEAR(D2475),"0"))</f>
        <v>29 de octubre de 2019</v>
      </c>
      <c r="N2475" s="323">
        <f t="shared" si="761"/>
        <v>29</v>
      </c>
      <c r="O2475" s="25">
        <f t="shared" ref="O2475:O2481" si="776">DATE(YEAR(D2475),MONTH(D2475),1)</f>
        <v>43739</v>
      </c>
      <c r="P2475" s="5" t="str">
        <f t="shared" si="768"/>
        <v>51.250,00</v>
      </c>
      <c r="Q2475" s="4" t="str">
        <f>CONVERTIRNUM(E2475)</f>
        <v>Cincuenta y Un Mil Doscientos Cincuenta Bolívares con 00/100</v>
      </c>
    </row>
    <row r="2476" spans="1:17" x14ac:dyDescent="0.25">
      <c r="A2476" s="1">
        <f t="shared" si="766"/>
        <v>2475</v>
      </c>
      <c r="B2476" s="8"/>
      <c r="C2476" s="85" t="s">
        <v>17</v>
      </c>
      <c r="D2476" s="2">
        <v>43761</v>
      </c>
      <c r="E2476" s="3">
        <v>38715</v>
      </c>
      <c r="F2476" s="23" t="s">
        <v>422</v>
      </c>
      <c r="G2476" s="18" t="s">
        <v>58</v>
      </c>
      <c r="H2476" t="s">
        <v>423</v>
      </c>
      <c r="I2476" s="6" t="s">
        <v>1065</v>
      </c>
      <c r="J2476" s="61" t="s">
        <v>22</v>
      </c>
      <c r="L2476" s="5" t="str">
        <f t="shared" si="774"/>
        <v>02475</v>
      </c>
      <c r="M2476" s="47" t="str">
        <f t="shared" si="775"/>
        <v>23 de octubre de 2019</v>
      </c>
      <c r="N2476" s="323">
        <f t="shared" si="761"/>
        <v>23</v>
      </c>
      <c r="O2476" s="25">
        <f t="shared" si="776"/>
        <v>43739</v>
      </c>
      <c r="P2476" s="5" t="str">
        <f t="shared" si="768"/>
        <v>38.715,00</v>
      </c>
      <c r="Q2476" s="4" t="str">
        <f t="shared" ref="Q2476:Q2481" si="777">CONVERTIRNUM(E2476)</f>
        <v>Treinta y Ocho Mil Setecientos Quince Bolívares con 00/100</v>
      </c>
    </row>
    <row r="2477" spans="1:17" x14ac:dyDescent="0.25">
      <c r="A2477" s="1">
        <f t="shared" si="766"/>
        <v>2476</v>
      </c>
      <c r="B2477" s="8"/>
      <c r="C2477" s="8" t="s">
        <v>17</v>
      </c>
      <c r="D2477" s="2">
        <v>43766</v>
      </c>
      <c r="E2477" s="3">
        <v>31450</v>
      </c>
      <c r="F2477" t="s">
        <v>296</v>
      </c>
      <c r="G2477" t="s">
        <v>297</v>
      </c>
      <c r="H2477" t="s">
        <v>298</v>
      </c>
      <c r="I2477" s="6" t="s">
        <v>1065</v>
      </c>
      <c r="J2477" s="61" t="s">
        <v>22</v>
      </c>
      <c r="L2477" s="5" t="str">
        <f t="shared" si="774"/>
        <v>02476</v>
      </c>
      <c r="M2477" s="47" t="str">
        <f t="shared" si="775"/>
        <v>28 de octubre de 2019</v>
      </c>
      <c r="N2477" s="323">
        <f t="shared" si="761"/>
        <v>28</v>
      </c>
      <c r="O2477" s="25">
        <f t="shared" si="776"/>
        <v>43739</v>
      </c>
      <c r="P2477" s="5" t="str">
        <f t="shared" si="768"/>
        <v>31.450,00</v>
      </c>
      <c r="Q2477" s="4" t="str">
        <f t="shared" si="777"/>
        <v>Treinta y Un Mil Cuatrocientos Cincuenta Bolívares con 00/100</v>
      </c>
    </row>
    <row r="2478" spans="1:17" x14ac:dyDescent="0.25">
      <c r="A2478" s="1">
        <f t="shared" si="766"/>
        <v>2477</v>
      </c>
      <c r="B2478" s="8"/>
      <c r="C2478" s="8" t="s">
        <v>17</v>
      </c>
      <c r="D2478" s="51">
        <v>43765</v>
      </c>
      <c r="E2478" s="3">
        <v>31000</v>
      </c>
      <c r="F2478" t="s">
        <v>181</v>
      </c>
      <c r="G2478" t="s">
        <v>182</v>
      </c>
      <c r="H2478" t="s">
        <v>183</v>
      </c>
      <c r="I2478" s="6" t="s">
        <v>1080</v>
      </c>
      <c r="J2478" s="61" t="s">
        <v>22</v>
      </c>
      <c r="L2478" s="5" t="str">
        <f t="shared" si="774"/>
        <v>02477</v>
      </c>
      <c r="M2478" s="47" t="str">
        <f t="shared" si="775"/>
        <v>27 de octubre de 2019</v>
      </c>
      <c r="N2478" s="323">
        <f t="shared" si="761"/>
        <v>27</v>
      </c>
      <c r="O2478" s="25">
        <f t="shared" si="776"/>
        <v>43739</v>
      </c>
      <c r="P2478" s="5" t="str">
        <f t="shared" si="768"/>
        <v>31.000,00</v>
      </c>
      <c r="Q2478" s="4" t="str">
        <f t="shared" si="777"/>
        <v>Treinta y Un Mil Bolívares con 00/100</v>
      </c>
    </row>
    <row r="2479" spans="1:17" x14ac:dyDescent="0.25">
      <c r="A2479" s="1">
        <f t="shared" si="766"/>
        <v>2478</v>
      </c>
      <c r="B2479" s="8"/>
      <c r="C2479" s="8" t="s">
        <v>17</v>
      </c>
      <c r="D2479" s="2">
        <v>43768</v>
      </c>
      <c r="E2479" s="3">
        <v>47000</v>
      </c>
      <c r="F2479" t="s">
        <v>181</v>
      </c>
      <c r="G2479" t="s">
        <v>182</v>
      </c>
      <c r="H2479" t="s">
        <v>183</v>
      </c>
      <c r="I2479" s="6" t="s">
        <v>1081</v>
      </c>
      <c r="J2479" s="61" t="s">
        <v>22</v>
      </c>
      <c r="L2479" s="5" t="str">
        <f t="shared" si="774"/>
        <v>02478</v>
      </c>
      <c r="M2479" s="47" t="str">
        <f t="shared" si="775"/>
        <v>30 de octubre de 2019</v>
      </c>
      <c r="N2479" s="323">
        <f t="shared" si="761"/>
        <v>30</v>
      </c>
      <c r="O2479" s="25">
        <f t="shared" si="776"/>
        <v>43739</v>
      </c>
      <c r="P2479" s="5" t="str">
        <f t="shared" si="768"/>
        <v>47.000,00</v>
      </c>
      <c r="Q2479" s="4" t="str">
        <f t="shared" si="777"/>
        <v>Cuarenta y Siete Mil Bolívares con 00/100</v>
      </c>
    </row>
    <row r="2480" spans="1:17" x14ac:dyDescent="0.25">
      <c r="A2480" s="1">
        <f t="shared" si="766"/>
        <v>2479</v>
      </c>
      <c r="B2480" s="8"/>
      <c r="C2480" s="8" t="s">
        <v>17</v>
      </c>
      <c r="D2480" s="2">
        <v>43768</v>
      </c>
      <c r="E2480" s="3">
        <v>51250</v>
      </c>
      <c r="F2480" t="s">
        <v>24</v>
      </c>
      <c r="G2480" t="s">
        <v>25</v>
      </c>
      <c r="H2480" t="s">
        <v>26</v>
      </c>
      <c r="I2480" s="6" t="s">
        <v>1082</v>
      </c>
      <c r="J2480" s="61" t="s">
        <v>22</v>
      </c>
      <c r="L2480" s="5" t="str">
        <f t="shared" si="774"/>
        <v>02479</v>
      </c>
      <c r="M2480" s="47" t="str">
        <f t="shared" si="775"/>
        <v>30 de octubre de 2019</v>
      </c>
      <c r="N2480" s="323">
        <f t="shared" ref="N2480:N2481" si="778">DAY(D2480)</f>
        <v>30</v>
      </c>
      <c r="O2480" s="25">
        <f t="shared" si="776"/>
        <v>43739</v>
      </c>
      <c r="P2480" s="5" t="str">
        <f t="shared" si="768"/>
        <v>51.250,00</v>
      </c>
      <c r="Q2480" s="4" t="str">
        <f t="shared" si="777"/>
        <v>Cincuenta y Un Mil Doscientos Cincuenta Bolívares con 00/100</v>
      </c>
    </row>
    <row r="2481" spans="1:17" x14ac:dyDescent="0.25">
      <c r="A2481" s="1">
        <f t="shared" si="766"/>
        <v>2480</v>
      </c>
      <c r="B2481" s="8"/>
      <c r="C2481" s="8" t="s">
        <v>17</v>
      </c>
      <c r="D2481" s="2">
        <v>43768</v>
      </c>
      <c r="E2481" s="3">
        <v>23000</v>
      </c>
      <c r="F2481" t="s">
        <v>252</v>
      </c>
      <c r="G2481" s="475" t="s">
        <v>958</v>
      </c>
      <c r="H2481" t="s">
        <v>254</v>
      </c>
      <c r="I2481" s="6" t="s">
        <v>1080</v>
      </c>
      <c r="J2481" s="61" t="s">
        <v>22</v>
      </c>
      <c r="L2481" s="5" t="str">
        <f t="shared" si="774"/>
        <v>02480</v>
      </c>
      <c r="M2481" s="47" t="str">
        <f t="shared" si="775"/>
        <v>30 de octubre de 2019</v>
      </c>
      <c r="N2481" s="323">
        <f t="shared" si="778"/>
        <v>30</v>
      </c>
      <c r="O2481" s="25">
        <f t="shared" si="776"/>
        <v>43739</v>
      </c>
      <c r="P2481" s="5" t="str">
        <f t="shared" si="768"/>
        <v>23.000,00</v>
      </c>
      <c r="Q2481" s="4" t="str">
        <f t="shared" si="777"/>
        <v>Veintitres Mil Bolívares con 00/100</v>
      </c>
    </row>
    <row r="2482" spans="1:17" x14ac:dyDescent="0.25">
      <c r="A2482" s="1">
        <f t="shared" si="766"/>
        <v>2481</v>
      </c>
      <c r="B2482" s="8"/>
      <c r="C2482" s="8" t="s">
        <v>17</v>
      </c>
      <c r="D2482" s="2">
        <v>43768</v>
      </c>
      <c r="E2482" s="3">
        <v>7250</v>
      </c>
      <c r="F2482" t="s">
        <v>252</v>
      </c>
      <c r="G2482" s="475" t="s">
        <v>958</v>
      </c>
      <c r="H2482" t="s">
        <v>254</v>
      </c>
      <c r="I2482" s="6" t="s">
        <v>1080</v>
      </c>
      <c r="J2482" s="61" t="s">
        <v>22</v>
      </c>
      <c r="L2482" s="5" t="str">
        <f t="shared" ref="L2482:L2486" si="779">IF(ISBLANK(A2482),"",TEXT(A2482,"00000"))</f>
        <v>02481</v>
      </c>
      <c r="M2482" s="47" t="str">
        <f t="shared" ref="M2482:M2486" si="780">IF(ISBLANK(D2482),"",TEXT(D2482,"dd")&amp;" de "&amp;TEXT(D2482,"mmmm")&amp;" de "&amp;TEXT(YEAR(D2482),"0"))</f>
        <v>30 de octubre de 2019</v>
      </c>
      <c r="N2482" s="323">
        <f t="shared" ref="N2482:N2486" si="781">DAY(D2482)</f>
        <v>30</v>
      </c>
      <c r="O2482" s="25">
        <f t="shared" ref="O2482:O2486" si="782">DATE(YEAR(D2482),MONTH(D2482),1)</f>
        <v>43739</v>
      </c>
      <c r="P2482" s="5" t="str">
        <f t="shared" ref="P2482:P2486" si="783">TEXT(E2482,"#.##0,00")</f>
        <v>7.250,00</v>
      </c>
      <c r="Q2482" s="4" t="str">
        <f t="shared" ref="Q2482:Q2486" si="784">CONVERTIRNUM(E2482)</f>
        <v>Siete Mil Doscientos Cincuenta Bolívares con 00/100</v>
      </c>
    </row>
    <row r="2483" spans="1:17" x14ac:dyDescent="0.25">
      <c r="A2483" s="1">
        <f>A2482+1</f>
        <v>2482</v>
      </c>
      <c r="B2483" s="8"/>
      <c r="C2483" s="8" t="s">
        <v>17</v>
      </c>
      <c r="D2483" s="2">
        <v>43768</v>
      </c>
      <c r="E2483" s="3">
        <v>51250</v>
      </c>
      <c r="F2483" t="s">
        <v>36</v>
      </c>
      <c r="G2483" t="s">
        <v>37</v>
      </c>
      <c r="H2483" t="s">
        <v>38</v>
      </c>
      <c r="I2483" s="6" t="s">
        <v>1082</v>
      </c>
      <c r="J2483" s="61" t="s">
        <v>22</v>
      </c>
      <c r="L2483" s="5" t="str">
        <f t="shared" si="779"/>
        <v>02482</v>
      </c>
      <c r="M2483" s="47" t="str">
        <f t="shared" si="780"/>
        <v>30 de octubre de 2019</v>
      </c>
      <c r="N2483" s="323">
        <f t="shared" si="781"/>
        <v>30</v>
      </c>
      <c r="O2483" s="25">
        <f t="shared" si="782"/>
        <v>43739</v>
      </c>
      <c r="P2483" s="5" t="str">
        <f t="shared" si="783"/>
        <v>51.250,00</v>
      </c>
      <c r="Q2483" s="4" t="str">
        <f t="shared" si="784"/>
        <v>Cincuenta y Un Mil Doscientos Cincuenta Bolívares con 00/100</v>
      </c>
    </row>
    <row r="2484" spans="1:17" x14ac:dyDescent="0.25">
      <c r="A2484" s="1">
        <f t="shared" ref="A2484:A2516" si="785">A2483+1</f>
        <v>2483</v>
      </c>
      <c r="B2484" s="8"/>
      <c r="C2484" s="8" t="s">
        <v>17</v>
      </c>
      <c r="D2484" s="2">
        <v>43768</v>
      </c>
      <c r="E2484" s="3">
        <v>51250</v>
      </c>
      <c r="F2484" t="s">
        <v>118</v>
      </c>
      <c r="G2484" t="s">
        <v>119</v>
      </c>
      <c r="H2484" t="s">
        <v>120</v>
      </c>
      <c r="I2484" s="6" t="s">
        <v>1060</v>
      </c>
      <c r="J2484" s="61" t="s">
        <v>22</v>
      </c>
      <c r="L2484" s="5" t="str">
        <f t="shared" si="779"/>
        <v>02483</v>
      </c>
      <c r="M2484" s="47" t="str">
        <f t="shared" si="780"/>
        <v>30 de octubre de 2019</v>
      </c>
      <c r="N2484" s="323">
        <f t="shared" si="781"/>
        <v>30</v>
      </c>
      <c r="O2484" s="25">
        <f t="shared" si="782"/>
        <v>43739</v>
      </c>
      <c r="P2484" s="5" t="str">
        <f t="shared" si="783"/>
        <v>51.250,00</v>
      </c>
      <c r="Q2484" s="4" t="str">
        <f t="shared" si="784"/>
        <v>Cincuenta y Un Mil Doscientos Cincuenta Bolívares con 00/100</v>
      </c>
    </row>
    <row r="2485" spans="1:17" x14ac:dyDescent="0.25">
      <c r="A2485" s="1">
        <f t="shared" si="785"/>
        <v>2484</v>
      </c>
      <c r="B2485" s="8"/>
      <c r="C2485" s="8" t="s">
        <v>17</v>
      </c>
      <c r="D2485" s="2">
        <v>43768</v>
      </c>
      <c r="E2485" s="3">
        <v>51250</v>
      </c>
      <c r="F2485" t="s">
        <v>211</v>
      </c>
      <c r="G2485" t="s">
        <v>212</v>
      </c>
      <c r="H2485" t="s">
        <v>213</v>
      </c>
      <c r="I2485" s="6" t="s">
        <v>1060</v>
      </c>
      <c r="J2485" s="61" t="s">
        <v>22</v>
      </c>
      <c r="L2485" s="5" t="str">
        <f t="shared" si="779"/>
        <v>02484</v>
      </c>
      <c r="M2485" s="47" t="str">
        <f t="shared" si="780"/>
        <v>30 de octubre de 2019</v>
      </c>
      <c r="N2485" s="323">
        <f t="shared" si="781"/>
        <v>30</v>
      </c>
      <c r="O2485" s="25">
        <f t="shared" si="782"/>
        <v>43739</v>
      </c>
      <c r="P2485" s="5" t="str">
        <f t="shared" si="783"/>
        <v>51.250,00</v>
      </c>
      <c r="Q2485" s="4" t="str">
        <f t="shared" si="784"/>
        <v>Cincuenta y Un Mil Doscientos Cincuenta Bolívares con 00/100</v>
      </c>
    </row>
    <row r="2486" spans="1:17" x14ac:dyDescent="0.25">
      <c r="A2486" s="1">
        <f t="shared" si="785"/>
        <v>2485</v>
      </c>
      <c r="B2486" s="8"/>
      <c r="C2486" s="8" t="s">
        <v>17</v>
      </c>
      <c r="D2486" s="2">
        <v>43768</v>
      </c>
      <c r="E2486" s="3">
        <v>30150</v>
      </c>
      <c r="F2486" t="s">
        <v>84</v>
      </c>
      <c r="G2486" t="s">
        <v>85</v>
      </c>
      <c r="H2486" t="s">
        <v>86</v>
      </c>
      <c r="I2486" s="6" t="s">
        <v>1065</v>
      </c>
      <c r="J2486" s="61" t="s">
        <v>22</v>
      </c>
      <c r="L2486" s="5" t="str">
        <f t="shared" si="779"/>
        <v>02485</v>
      </c>
      <c r="M2486" s="47" t="str">
        <f t="shared" si="780"/>
        <v>30 de octubre de 2019</v>
      </c>
      <c r="N2486" s="323">
        <f t="shared" si="781"/>
        <v>30</v>
      </c>
      <c r="O2486" s="25">
        <f t="shared" si="782"/>
        <v>43739</v>
      </c>
      <c r="P2486" s="5" t="str">
        <f t="shared" si="783"/>
        <v>30.150,00</v>
      </c>
      <c r="Q2486" s="4" t="str">
        <f t="shared" si="784"/>
        <v>Treinta Mil Ciento Cincuenta Bolívares con 00/100</v>
      </c>
    </row>
    <row r="2487" spans="1:17" x14ac:dyDescent="0.25">
      <c r="A2487" s="1">
        <f t="shared" si="785"/>
        <v>2486</v>
      </c>
      <c r="B2487" s="8"/>
      <c r="C2487" s="8" t="s">
        <v>17</v>
      </c>
      <c r="D2487" s="2">
        <v>43768</v>
      </c>
      <c r="E2487" s="3">
        <v>51250</v>
      </c>
      <c r="F2487" t="s">
        <v>84</v>
      </c>
      <c r="G2487" t="s">
        <v>85</v>
      </c>
      <c r="H2487" t="s">
        <v>86</v>
      </c>
      <c r="I2487" s="6" t="s">
        <v>1082</v>
      </c>
      <c r="J2487" s="61" t="s">
        <v>22</v>
      </c>
      <c r="L2487" s="5" t="str">
        <f t="shared" ref="L2487:L2511" si="786">IF(ISBLANK(A2487),"",TEXT(A2487,"00000"))</f>
        <v>02486</v>
      </c>
      <c r="M2487" s="47" t="str">
        <f t="shared" ref="M2487:M2511" si="787">IF(ISBLANK(D2487),"",TEXT(D2487,"dd")&amp;" de "&amp;TEXT(D2487,"mmmm")&amp;" de "&amp;TEXT(YEAR(D2487),"0"))</f>
        <v>30 de octubre de 2019</v>
      </c>
      <c r="N2487" s="323">
        <f t="shared" ref="N2487:N2526" si="788">DAY(D2487)</f>
        <v>30</v>
      </c>
      <c r="O2487" s="25">
        <f t="shared" ref="O2487:O2511" si="789">DATE(YEAR(D2487),MONTH(D2487),1)</f>
        <v>43739</v>
      </c>
      <c r="P2487" s="5" t="str">
        <f t="shared" ref="P2487:P2526" si="790">TEXT(E2487,"#.##0,00")</f>
        <v>51.250,00</v>
      </c>
      <c r="Q2487" s="4" t="str">
        <f t="shared" ref="Q2487:Q2526" si="791">CONVERTIRNUM(E2487)</f>
        <v>Cincuenta y Un Mil Doscientos Cincuenta Bolívares con 00/100</v>
      </c>
    </row>
    <row r="2488" spans="1:17" x14ac:dyDescent="0.25">
      <c r="A2488" s="1">
        <f t="shared" si="785"/>
        <v>2487</v>
      </c>
      <c r="B2488" s="8"/>
      <c r="C2488" s="8" t="s">
        <v>17</v>
      </c>
      <c r="D2488" s="2">
        <v>43768</v>
      </c>
      <c r="E2488" s="3">
        <v>51250</v>
      </c>
      <c r="F2488" t="s">
        <v>843</v>
      </c>
      <c r="G2488" t="s">
        <v>844</v>
      </c>
      <c r="H2488" t="s">
        <v>169</v>
      </c>
      <c r="I2488" s="6" t="s">
        <v>1060</v>
      </c>
      <c r="J2488" s="61" t="s">
        <v>22</v>
      </c>
      <c r="L2488" s="5" t="str">
        <f t="shared" si="786"/>
        <v>02487</v>
      </c>
      <c r="M2488" s="47" t="str">
        <f t="shared" si="787"/>
        <v>30 de octubre de 2019</v>
      </c>
      <c r="N2488" s="323">
        <f t="shared" si="788"/>
        <v>30</v>
      </c>
      <c r="O2488" s="25">
        <f t="shared" si="789"/>
        <v>43739</v>
      </c>
      <c r="P2488" s="5" t="str">
        <f t="shared" si="790"/>
        <v>51.250,00</v>
      </c>
      <c r="Q2488" s="4" t="str">
        <f t="shared" si="791"/>
        <v>Cincuenta y Un Mil Doscientos Cincuenta Bolívares con 00/100</v>
      </c>
    </row>
    <row r="2489" spans="1:17" x14ac:dyDescent="0.25">
      <c r="A2489" s="1">
        <f t="shared" si="785"/>
        <v>2488</v>
      </c>
      <c r="B2489" s="8"/>
      <c r="C2489" s="8" t="s">
        <v>17</v>
      </c>
      <c r="D2489" s="2">
        <v>43768</v>
      </c>
      <c r="E2489" s="3">
        <v>51250</v>
      </c>
      <c r="F2489" t="s">
        <v>633</v>
      </c>
      <c r="G2489" t="s">
        <v>634</v>
      </c>
      <c r="H2489" t="s">
        <v>635</v>
      </c>
      <c r="I2489" s="6" t="s">
        <v>1060</v>
      </c>
      <c r="J2489" s="61" t="s">
        <v>22</v>
      </c>
      <c r="L2489" s="5" t="str">
        <f t="shared" si="786"/>
        <v>02488</v>
      </c>
      <c r="M2489" s="47" t="str">
        <f t="shared" si="787"/>
        <v>30 de octubre de 2019</v>
      </c>
      <c r="N2489" s="323">
        <f t="shared" si="788"/>
        <v>30</v>
      </c>
      <c r="O2489" s="25">
        <f t="shared" si="789"/>
        <v>43739</v>
      </c>
      <c r="P2489" s="5" t="str">
        <f t="shared" si="790"/>
        <v>51.250,00</v>
      </c>
      <c r="Q2489" s="4" t="str">
        <f t="shared" si="791"/>
        <v>Cincuenta y Un Mil Doscientos Cincuenta Bolívares con 00/100</v>
      </c>
    </row>
    <row r="2490" spans="1:17" x14ac:dyDescent="0.25">
      <c r="A2490" s="1">
        <f t="shared" si="785"/>
        <v>2489</v>
      </c>
      <c r="B2490" s="8"/>
      <c r="C2490" s="8" t="s">
        <v>17</v>
      </c>
      <c r="D2490" s="2">
        <v>43768</v>
      </c>
      <c r="E2490" s="3">
        <v>51250</v>
      </c>
      <c r="F2490" t="s">
        <v>130</v>
      </c>
      <c r="G2490" t="s">
        <v>1054</v>
      </c>
      <c r="H2490" t="s">
        <v>132</v>
      </c>
      <c r="I2490" s="6" t="s">
        <v>1060</v>
      </c>
      <c r="J2490" s="61" t="s">
        <v>22</v>
      </c>
      <c r="L2490" s="5" t="str">
        <f t="shared" si="786"/>
        <v>02489</v>
      </c>
      <c r="M2490" s="47" t="str">
        <f t="shared" si="787"/>
        <v>30 de octubre de 2019</v>
      </c>
      <c r="N2490" s="323">
        <f t="shared" si="788"/>
        <v>30</v>
      </c>
      <c r="O2490" s="25">
        <f t="shared" si="789"/>
        <v>43739</v>
      </c>
      <c r="P2490" s="5" t="str">
        <f t="shared" si="790"/>
        <v>51.250,00</v>
      </c>
      <c r="Q2490" s="4" t="str">
        <f t="shared" si="791"/>
        <v>Cincuenta y Un Mil Doscientos Cincuenta Bolívares con 00/100</v>
      </c>
    </row>
    <row r="2491" spans="1:17" x14ac:dyDescent="0.25">
      <c r="A2491" s="1">
        <f t="shared" si="785"/>
        <v>2490</v>
      </c>
      <c r="B2491" s="8"/>
      <c r="C2491" s="8" t="s">
        <v>17</v>
      </c>
      <c r="D2491" s="2">
        <v>43768</v>
      </c>
      <c r="E2491" s="3">
        <v>51250</v>
      </c>
      <c r="F2491" t="s">
        <v>264</v>
      </c>
      <c r="G2491" t="s">
        <v>265</v>
      </c>
      <c r="H2491" t="s">
        <v>266</v>
      </c>
      <c r="I2491" s="6" t="s">
        <v>1060</v>
      </c>
      <c r="J2491" s="61" t="s">
        <v>22</v>
      </c>
      <c r="L2491" s="5" t="str">
        <f t="shared" si="786"/>
        <v>02490</v>
      </c>
      <c r="M2491" s="47" t="str">
        <f t="shared" si="787"/>
        <v>30 de octubre de 2019</v>
      </c>
      <c r="N2491" s="323">
        <f t="shared" si="788"/>
        <v>30</v>
      </c>
      <c r="O2491" s="25">
        <f t="shared" si="789"/>
        <v>43739</v>
      </c>
      <c r="P2491" s="5" t="str">
        <f t="shared" si="790"/>
        <v>51.250,00</v>
      </c>
      <c r="Q2491" s="4" t="str">
        <f t="shared" si="791"/>
        <v>Cincuenta y Un Mil Doscientos Cincuenta Bolívares con 00/100</v>
      </c>
    </row>
    <row r="2492" spans="1:17" x14ac:dyDescent="0.25">
      <c r="A2492" s="1">
        <f t="shared" si="785"/>
        <v>2491</v>
      </c>
      <c r="B2492" s="8"/>
      <c r="C2492" s="8" t="s">
        <v>17</v>
      </c>
      <c r="D2492" s="2">
        <v>43769</v>
      </c>
      <c r="E2492" s="3">
        <v>51250</v>
      </c>
      <c r="F2492" t="s">
        <v>94</v>
      </c>
      <c r="G2492" t="s">
        <v>607</v>
      </c>
      <c r="H2492" t="s">
        <v>96</v>
      </c>
      <c r="I2492" s="6" t="s">
        <v>1060</v>
      </c>
      <c r="J2492" s="61" t="s">
        <v>22</v>
      </c>
      <c r="L2492" s="5" t="str">
        <f t="shared" si="786"/>
        <v>02491</v>
      </c>
      <c r="M2492" s="47" t="str">
        <f t="shared" si="787"/>
        <v>31 de octubre de 2019</v>
      </c>
      <c r="N2492" s="323">
        <f t="shared" si="788"/>
        <v>31</v>
      </c>
      <c r="O2492" s="25">
        <f t="shared" si="789"/>
        <v>43739</v>
      </c>
      <c r="P2492" s="5" t="str">
        <f t="shared" si="790"/>
        <v>51.250,00</v>
      </c>
      <c r="Q2492" s="4" t="str">
        <f t="shared" si="791"/>
        <v>Cincuenta y Un Mil Doscientos Cincuenta Bolívares con 00/100</v>
      </c>
    </row>
    <row r="2493" spans="1:17" x14ac:dyDescent="0.25">
      <c r="A2493" s="1">
        <f t="shared" si="785"/>
        <v>2492</v>
      </c>
      <c r="B2493" s="8"/>
      <c r="C2493" s="8" t="s">
        <v>17</v>
      </c>
      <c r="D2493" s="2">
        <v>43769</v>
      </c>
      <c r="E2493" s="3">
        <v>27965</v>
      </c>
      <c r="F2493" t="s">
        <v>312</v>
      </c>
      <c r="G2493" t="s">
        <v>313</v>
      </c>
      <c r="H2493" t="s">
        <v>314</v>
      </c>
      <c r="I2493" s="6" t="s">
        <v>1080</v>
      </c>
      <c r="J2493" s="61" t="s">
        <v>22</v>
      </c>
      <c r="L2493" s="5" t="str">
        <f t="shared" si="786"/>
        <v>02492</v>
      </c>
      <c r="M2493" s="47" t="str">
        <f t="shared" si="787"/>
        <v>31 de octubre de 2019</v>
      </c>
      <c r="N2493" s="323">
        <f t="shared" si="788"/>
        <v>31</v>
      </c>
      <c r="O2493" s="25">
        <f t="shared" si="789"/>
        <v>43739</v>
      </c>
      <c r="P2493" s="5" t="str">
        <f t="shared" si="790"/>
        <v>27.965,00</v>
      </c>
      <c r="Q2493" s="4" t="str">
        <f t="shared" si="791"/>
        <v>Veintisiete Mil Novecientos Sesenta y Cinco Bolívares con 00/100</v>
      </c>
    </row>
    <row r="2494" spans="1:17" x14ac:dyDescent="0.25">
      <c r="A2494" s="1">
        <f t="shared" si="785"/>
        <v>2493</v>
      </c>
      <c r="B2494" s="8"/>
      <c r="C2494" s="8" t="s">
        <v>17</v>
      </c>
      <c r="D2494" s="2">
        <v>43770</v>
      </c>
      <c r="E2494" s="3">
        <v>40000</v>
      </c>
      <c r="F2494" t="s">
        <v>126</v>
      </c>
      <c r="G2494" t="s">
        <v>127</v>
      </c>
      <c r="H2494" t="s">
        <v>128</v>
      </c>
      <c r="I2494" s="6" t="s">
        <v>1083</v>
      </c>
      <c r="J2494" s="61" t="s">
        <v>22</v>
      </c>
      <c r="L2494" s="5" t="str">
        <f t="shared" si="786"/>
        <v>02493</v>
      </c>
      <c r="M2494" s="47" t="str">
        <f t="shared" si="787"/>
        <v>01 de noviembre de 2019</v>
      </c>
      <c r="N2494" s="323">
        <f t="shared" si="788"/>
        <v>1</v>
      </c>
      <c r="O2494" s="25">
        <f t="shared" si="789"/>
        <v>43770</v>
      </c>
      <c r="P2494" s="5" t="str">
        <f t="shared" si="790"/>
        <v>40.000,00</v>
      </c>
      <c r="Q2494" s="4" t="str">
        <f t="shared" si="791"/>
        <v>Cuarenta Mil Bolívares con 00/100</v>
      </c>
    </row>
    <row r="2495" spans="1:17" x14ac:dyDescent="0.25">
      <c r="A2495" s="1">
        <f t="shared" si="785"/>
        <v>2494</v>
      </c>
      <c r="B2495" s="8"/>
      <c r="C2495" s="8" t="s">
        <v>17</v>
      </c>
      <c r="D2495" s="2">
        <v>43772</v>
      </c>
      <c r="E2495" s="3">
        <v>51250</v>
      </c>
      <c r="F2495" t="s">
        <v>62</v>
      </c>
      <c r="G2495" t="s">
        <v>63</v>
      </c>
      <c r="H2495" t="s">
        <v>64</v>
      </c>
      <c r="I2495" s="6" t="s">
        <v>1082</v>
      </c>
      <c r="J2495" s="61" t="s">
        <v>22</v>
      </c>
      <c r="L2495" s="5" t="str">
        <f t="shared" si="786"/>
        <v>02494</v>
      </c>
      <c r="M2495" s="47" t="str">
        <f t="shared" si="787"/>
        <v>03 de noviembre de 2019</v>
      </c>
      <c r="N2495" s="323">
        <f t="shared" si="788"/>
        <v>3</v>
      </c>
      <c r="O2495" s="25">
        <f t="shared" si="789"/>
        <v>43770</v>
      </c>
      <c r="P2495" s="5" t="str">
        <f t="shared" si="790"/>
        <v>51.250,00</v>
      </c>
      <c r="Q2495" s="4" t="str">
        <f t="shared" si="791"/>
        <v>Cincuenta y Un Mil Doscientos Cincuenta Bolívares con 00/100</v>
      </c>
    </row>
    <row r="2496" spans="1:17" x14ac:dyDescent="0.25">
      <c r="A2496" s="1">
        <f t="shared" si="785"/>
        <v>2495</v>
      </c>
      <c r="C2496" s="8" t="s">
        <v>17</v>
      </c>
      <c r="D2496" s="2">
        <v>43772</v>
      </c>
      <c r="E2496" s="3">
        <v>51250</v>
      </c>
      <c r="F2496" t="s">
        <v>284</v>
      </c>
      <c r="G2496" t="s">
        <v>687</v>
      </c>
      <c r="H2496" t="s">
        <v>285</v>
      </c>
      <c r="I2496" s="6" t="s">
        <v>1060</v>
      </c>
      <c r="J2496" s="61" t="s">
        <v>22</v>
      </c>
      <c r="L2496" s="5" t="str">
        <f t="shared" si="786"/>
        <v>02495</v>
      </c>
      <c r="M2496" s="47" t="str">
        <f t="shared" si="787"/>
        <v>03 de noviembre de 2019</v>
      </c>
      <c r="N2496" s="323">
        <f t="shared" si="788"/>
        <v>3</v>
      </c>
      <c r="O2496" s="25">
        <f t="shared" si="789"/>
        <v>43770</v>
      </c>
      <c r="P2496" s="5" t="str">
        <f t="shared" si="790"/>
        <v>51.250,00</v>
      </c>
      <c r="Q2496" s="4" t="str">
        <f t="shared" si="791"/>
        <v>Cincuenta y Un Mil Doscientos Cincuenta Bolívares con 00/100</v>
      </c>
    </row>
    <row r="2497" spans="1:17" x14ac:dyDescent="0.25">
      <c r="A2497" s="1">
        <f t="shared" si="785"/>
        <v>2496</v>
      </c>
      <c r="B2497" s="8"/>
      <c r="C2497" s="8" t="s">
        <v>17</v>
      </c>
      <c r="D2497" s="2">
        <v>43773</v>
      </c>
      <c r="E2497" s="3">
        <v>60000</v>
      </c>
      <c r="F2497" t="s">
        <v>100</v>
      </c>
      <c r="G2497" t="s">
        <v>95</v>
      </c>
      <c r="H2497" t="s">
        <v>101</v>
      </c>
      <c r="I2497" s="6" t="s">
        <v>1082</v>
      </c>
      <c r="J2497" s="61" t="s">
        <v>22</v>
      </c>
      <c r="L2497" s="5" t="str">
        <f t="shared" si="786"/>
        <v>02496</v>
      </c>
      <c r="M2497" s="47" t="str">
        <f t="shared" si="787"/>
        <v>04 de noviembre de 2019</v>
      </c>
      <c r="N2497" s="323">
        <f t="shared" si="788"/>
        <v>4</v>
      </c>
      <c r="O2497" s="25">
        <f t="shared" si="789"/>
        <v>43770</v>
      </c>
      <c r="P2497" s="5" t="str">
        <f t="shared" si="790"/>
        <v>60.000,00</v>
      </c>
      <c r="Q2497" s="4" t="str">
        <f t="shared" si="791"/>
        <v>Sesenta Mil Bolívares con 00/100</v>
      </c>
    </row>
    <row r="2498" spans="1:17" x14ac:dyDescent="0.25">
      <c r="A2498" s="1">
        <f t="shared" si="785"/>
        <v>2497</v>
      </c>
      <c r="B2498" s="8"/>
      <c r="C2498" s="85" t="s">
        <v>17</v>
      </c>
      <c r="D2498" s="2">
        <v>43773</v>
      </c>
      <c r="E2498" s="162">
        <v>56300</v>
      </c>
      <c r="F2498" t="s">
        <v>492</v>
      </c>
      <c r="G2498" s="18" t="s">
        <v>58</v>
      </c>
      <c r="H2498" t="s">
        <v>493</v>
      </c>
      <c r="I2498" s="6" t="s">
        <v>1082</v>
      </c>
      <c r="J2498" s="61" t="s">
        <v>22</v>
      </c>
      <c r="L2498" s="5" t="str">
        <f t="shared" si="786"/>
        <v>02497</v>
      </c>
      <c r="M2498" s="47" t="str">
        <f t="shared" si="787"/>
        <v>04 de noviembre de 2019</v>
      </c>
      <c r="N2498" s="323">
        <f t="shared" si="788"/>
        <v>4</v>
      </c>
      <c r="O2498" s="25">
        <f t="shared" si="789"/>
        <v>43770</v>
      </c>
      <c r="P2498" s="5" t="str">
        <f t="shared" si="790"/>
        <v>56.300,00</v>
      </c>
      <c r="Q2498" s="4" t="str">
        <f t="shared" si="791"/>
        <v>Cincuenta y Seis Mil Trescientos Bolívares con 00/100</v>
      </c>
    </row>
    <row r="2499" spans="1:17" x14ac:dyDescent="0.25">
      <c r="A2499" s="1">
        <f t="shared" si="785"/>
        <v>2498</v>
      </c>
      <c r="B2499" s="8"/>
      <c r="C2499" s="8" t="s">
        <v>17</v>
      </c>
      <c r="D2499" s="2">
        <v>43768</v>
      </c>
      <c r="E2499" s="3">
        <v>4250</v>
      </c>
      <c r="F2499" t="s">
        <v>181</v>
      </c>
      <c r="G2499" t="s">
        <v>182</v>
      </c>
      <c r="H2499" t="s">
        <v>183</v>
      </c>
      <c r="I2499" s="6" t="s">
        <v>1084</v>
      </c>
      <c r="J2499" s="61" t="s">
        <v>22</v>
      </c>
      <c r="L2499" s="5" t="str">
        <f t="shared" si="786"/>
        <v>02498</v>
      </c>
      <c r="M2499" s="47" t="str">
        <f t="shared" si="787"/>
        <v>30 de octubre de 2019</v>
      </c>
      <c r="N2499" s="323">
        <f t="shared" si="788"/>
        <v>30</v>
      </c>
      <c r="O2499" s="25">
        <f t="shared" si="789"/>
        <v>43739</v>
      </c>
      <c r="P2499" s="5" t="str">
        <f t="shared" si="790"/>
        <v>4.250,00</v>
      </c>
      <c r="Q2499" s="4" t="str">
        <f t="shared" si="791"/>
        <v>Cuatro Mil Doscientos Cincuenta Bolívares con 00/100</v>
      </c>
    </row>
    <row r="2500" spans="1:17" x14ac:dyDescent="0.25">
      <c r="A2500" s="1">
        <f t="shared" si="785"/>
        <v>2499</v>
      </c>
      <c r="B2500" s="8"/>
      <c r="C2500" s="8" t="s">
        <v>17</v>
      </c>
      <c r="D2500" s="2">
        <v>43773</v>
      </c>
      <c r="E2500" s="3">
        <v>56250</v>
      </c>
      <c r="F2500" t="s">
        <v>206</v>
      </c>
      <c r="G2500" t="s">
        <v>207</v>
      </c>
      <c r="H2500" t="s">
        <v>208</v>
      </c>
      <c r="I2500" s="6" t="s">
        <v>1060</v>
      </c>
      <c r="J2500" s="61" t="s">
        <v>22</v>
      </c>
      <c r="L2500" s="5" t="str">
        <f t="shared" si="786"/>
        <v>02499</v>
      </c>
      <c r="M2500" s="47" t="str">
        <f t="shared" si="787"/>
        <v>04 de noviembre de 2019</v>
      </c>
      <c r="N2500" s="323">
        <f t="shared" si="788"/>
        <v>4</v>
      </c>
      <c r="O2500" s="25">
        <f t="shared" si="789"/>
        <v>43770</v>
      </c>
      <c r="P2500" s="5" t="str">
        <f t="shared" si="790"/>
        <v>56.250,00</v>
      </c>
      <c r="Q2500" s="4" t="str">
        <f t="shared" si="791"/>
        <v>Cincuenta y Seis Mil Doscientos Cincuenta Bolívares con 00/100</v>
      </c>
    </row>
    <row r="2501" spans="1:17" x14ac:dyDescent="0.25">
      <c r="A2501" s="1">
        <f t="shared" si="785"/>
        <v>2500</v>
      </c>
      <c r="B2501" s="8"/>
      <c r="C2501" s="8" t="s">
        <v>17</v>
      </c>
      <c r="D2501" s="2">
        <v>43774</v>
      </c>
      <c r="E2501" s="3">
        <v>60000</v>
      </c>
      <c r="F2501" t="s">
        <v>80</v>
      </c>
      <c r="G2501" t="s">
        <v>81</v>
      </c>
      <c r="H2501" t="s">
        <v>82</v>
      </c>
      <c r="I2501" s="6" t="s">
        <v>1082</v>
      </c>
      <c r="J2501" s="61" t="s">
        <v>22</v>
      </c>
      <c r="L2501" s="5" t="str">
        <f t="shared" si="786"/>
        <v>02500</v>
      </c>
      <c r="M2501" s="47" t="str">
        <f t="shared" si="787"/>
        <v>05 de noviembre de 2019</v>
      </c>
      <c r="N2501" s="323">
        <f t="shared" si="788"/>
        <v>5</v>
      </c>
      <c r="O2501" s="25">
        <f t="shared" si="789"/>
        <v>43770</v>
      </c>
      <c r="P2501" s="5" t="str">
        <f t="shared" si="790"/>
        <v>60.000,00</v>
      </c>
      <c r="Q2501" s="4" t="str">
        <f t="shared" si="791"/>
        <v>Sesenta Mil Bolívares con 00/100</v>
      </c>
    </row>
    <row r="2502" spans="1:17" x14ac:dyDescent="0.25">
      <c r="A2502" s="1">
        <f t="shared" si="785"/>
        <v>2501</v>
      </c>
      <c r="B2502" s="8"/>
      <c r="C2502" s="8" t="s">
        <v>17</v>
      </c>
      <c r="D2502" s="2">
        <v>43774</v>
      </c>
      <c r="E2502" s="3">
        <v>56250</v>
      </c>
      <c r="F2502" t="s">
        <v>201</v>
      </c>
      <c r="G2502" t="s">
        <v>202</v>
      </c>
      <c r="H2502" t="s">
        <v>203</v>
      </c>
      <c r="I2502" s="6" t="s">
        <v>1085</v>
      </c>
      <c r="J2502" s="61" t="s">
        <v>22</v>
      </c>
      <c r="L2502" s="5" t="str">
        <f t="shared" si="786"/>
        <v>02501</v>
      </c>
      <c r="M2502" s="47" t="str">
        <f t="shared" si="787"/>
        <v>05 de noviembre de 2019</v>
      </c>
      <c r="N2502" s="323">
        <f t="shared" si="788"/>
        <v>5</v>
      </c>
      <c r="O2502" s="25">
        <f t="shared" si="789"/>
        <v>43770</v>
      </c>
      <c r="P2502" s="5" t="str">
        <f t="shared" si="790"/>
        <v>56.250,00</v>
      </c>
      <c r="Q2502" s="4" t="str">
        <f t="shared" si="791"/>
        <v>Cincuenta y Seis Mil Doscientos Cincuenta Bolívares con 00/100</v>
      </c>
    </row>
    <row r="2503" spans="1:17" x14ac:dyDescent="0.25">
      <c r="A2503" s="1">
        <f t="shared" si="785"/>
        <v>2502</v>
      </c>
      <c r="B2503" s="8"/>
      <c r="C2503" s="8" t="s">
        <v>17</v>
      </c>
      <c r="D2503" s="2">
        <v>43774</v>
      </c>
      <c r="E2503" s="3">
        <v>67481</v>
      </c>
      <c r="F2503" t="s">
        <v>107</v>
      </c>
      <c r="G2503" t="s">
        <v>108</v>
      </c>
      <c r="H2503" t="s">
        <v>109</v>
      </c>
      <c r="I2503" s="6" t="s">
        <v>1082</v>
      </c>
      <c r="J2503" s="61" t="s">
        <v>22</v>
      </c>
      <c r="L2503" s="5" t="str">
        <f t="shared" si="786"/>
        <v>02502</v>
      </c>
      <c r="M2503" s="47" t="str">
        <f t="shared" si="787"/>
        <v>05 de noviembre de 2019</v>
      </c>
      <c r="N2503" s="323">
        <f t="shared" si="788"/>
        <v>5</v>
      </c>
      <c r="O2503" s="25">
        <f t="shared" si="789"/>
        <v>43770</v>
      </c>
      <c r="P2503" s="5" t="str">
        <f t="shared" si="790"/>
        <v>67.481,00</v>
      </c>
      <c r="Q2503" s="4" t="str">
        <f t="shared" si="791"/>
        <v>Sesenta y Siete Mil Cuatrocientos Ochenta y Un Bolívares con 00/100</v>
      </c>
    </row>
    <row r="2504" spans="1:17" x14ac:dyDescent="0.25">
      <c r="A2504" s="1">
        <f t="shared" si="785"/>
        <v>2503</v>
      </c>
      <c r="B2504" s="8"/>
      <c r="C2504" s="8" t="s">
        <v>17</v>
      </c>
      <c r="D2504" s="2">
        <v>43770</v>
      </c>
      <c r="E2504" s="3">
        <v>51250</v>
      </c>
      <c r="F2504" t="s">
        <v>771</v>
      </c>
      <c r="G2504" t="s">
        <v>772</v>
      </c>
      <c r="H2504" t="s">
        <v>773</v>
      </c>
      <c r="I2504" s="6" t="s">
        <v>1086</v>
      </c>
      <c r="J2504" s="61" t="s">
        <v>22</v>
      </c>
      <c r="L2504" s="5" t="str">
        <f t="shared" si="786"/>
        <v>02503</v>
      </c>
      <c r="M2504" s="47" t="str">
        <f t="shared" si="787"/>
        <v>01 de noviembre de 2019</v>
      </c>
      <c r="N2504" s="323">
        <f t="shared" si="788"/>
        <v>1</v>
      </c>
      <c r="O2504" s="25">
        <f t="shared" si="789"/>
        <v>43770</v>
      </c>
      <c r="P2504" s="5" t="str">
        <f t="shared" si="790"/>
        <v>51.250,00</v>
      </c>
      <c r="Q2504" s="4" t="str">
        <f t="shared" si="791"/>
        <v>Cincuenta y Un Mil Doscientos Cincuenta Bolívares con 00/100</v>
      </c>
    </row>
    <row r="2505" spans="1:17" x14ac:dyDescent="0.25">
      <c r="A2505" s="1">
        <f t="shared" si="785"/>
        <v>2504</v>
      </c>
      <c r="B2505" s="8"/>
      <c r="C2505" s="8" t="s">
        <v>17</v>
      </c>
      <c r="D2505" s="2">
        <v>43774</v>
      </c>
      <c r="E2505" s="3">
        <v>33750</v>
      </c>
      <c r="F2505" t="s">
        <v>334</v>
      </c>
      <c r="G2505" t="s">
        <v>85</v>
      </c>
      <c r="H2505" t="s">
        <v>335</v>
      </c>
      <c r="I2505" s="6" t="s">
        <v>1087</v>
      </c>
      <c r="J2505" s="61" t="s">
        <v>22</v>
      </c>
      <c r="L2505" s="5" t="str">
        <f t="shared" si="786"/>
        <v>02504</v>
      </c>
      <c r="M2505" s="47" t="str">
        <f t="shared" si="787"/>
        <v>05 de noviembre de 2019</v>
      </c>
      <c r="N2505" s="323">
        <f t="shared" si="788"/>
        <v>5</v>
      </c>
      <c r="O2505" s="25">
        <f t="shared" si="789"/>
        <v>43770</v>
      </c>
      <c r="P2505" s="5" t="str">
        <f t="shared" si="790"/>
        <v>33.750,00</v>
      </c>
      <c r="Q2505" s="4" t="str">
        <f t="shared" si="791"/>
        <v>Treinta y Tres Mil Setecientos Cincuenta Bolívares con 00/100</v>
      </c>
    </row>
    <row r="2506" spans="1:17" x14ac:dyDescent="0.25">
      <c r="A2506" s="1">
        <f t="shared" si="785"/>
        <v>2505</v>
      </c>
      <c r="B2506" s="8"/>
      <c r="C2506" s="8" t="s">
        <v>17</v>
      </c>
      <c r="D2506" s="2">
        <v>43774</v>
      </c>
      <c r="E2506" s="3">
        <v>112500</v>
      </c>
      <c r="F2506" t="s">
        <v>558</v>
      </c>
      <c r="G2506" t="s">
        <v>559</v>
      </c>
      <c r="H2506" t="s">
        <v>560</v>
      </c>
      <c r="I2506" s="6" t="s">
        <v>1088</v>
      </c>
      <c r="J2506" s="61" t="s">
        <v>22</v>
      </c>
      <c r="L2506" s="5" t="str">
        <f t="shared" si="786"/>
        <v>02505</v>
      </c>
      <c r="M2506" s="47" t="str">
        <f t="shared" si="787"/>
        <v>05 de noviembre de 2019</v>
      </c>
      <c r="N2506" s="323">
        <f t="shared" si="788"/>
        <v>5</v>
      </c>
      <c r="O2506" s="25">
        <f t="shared" si="789"/>
        <v>43770</v>
      </c>
      <c r="P2506" s="5" t="str">
        <f t="shared" si="790"/>
        <v>112.500,00</v>
      </c>
      <c r="Q2506" s="4" t="str">
        <f t="shared" si="791"/>
        <v>Ciento Doce Mil Quinientos Bolívares con 00/100</v>
      </c>
    </row>
    <row r="2507" spans="1:17" x14ac:dyDescent="0.25">
      <c r="A2507" s="1">
        <f t="shared" si="785"/>
        <v>2506</v>
      </c>
      <c r="B2507" s="8"/>
      <c r="C2507" s="8" t="s">
        <v>17</v>
      </c>
      <c r="D2507" s="2">
        <v>43774</v>
      </c>
      <c r="E2507" s="3">
        <v>56250</v>
      </c>
      <c r="F2507" t="s">
        <v>114</v>
      </c>
      <c r="G2507" t="s">
        <v>115</v>
      </c>
      <c r="H2507" t="s">
        <v>105</v>
      </c>
      <c r="I2507" s="6" t="s">
        <v>1082</v>
      </c>
      <c r="J2507" s="61" t="s">
        <v>22</v>
      </c>
      <c r="L2507" s="5" t="str">
        <f t="shared" si="786"/>
        <v>02506</v>
      </c>
      <c r="M2507" s="47" t="str">
        <f t="shared" si="787"/>
        <v>05 de noviembre de 2019</v>
      </c>
      <c r="N2507" s="323">
        <f t="shared" si="788"/>
        <v>5</v>
      </c>
      <c r="O2507" s="25">
        <f t="shared" si="789"/>
        <v>43770</v>
      </c>
      <c r="P2507" s="5" t="str">
        <f t="shared" si="790"/>
        <v>56.250,00</v>
      </c>
      <c r="Q2507" s="4" t="str">
        <f t="shared" si="791"/>
        <v>Cincuenta y Seis Mil Doscientos Cincuenta Bolívares con 00/100</v>
      </c>
    </row>
    <row r="2508" spans="1:17" x14ac:dyDescent="0.25">
      <c r="A2508" s="1">
        <f t="shared" si="785"/>
        <v>2507</v>
      </c>
      <c r="B2508" s="8"/>
      <c r="C2508" s="8" t="s">
        <v>17</v>
      </c>
      <c r="D2508" s="2">
        <v>43774</v>
      </c>
      <c r="E2508" s="3">
        <v>56250</v>
      </c>
      <c r="F2508" t="s">
        <v>324</v>
      </c>
      <c r="G2508" t="s">
        <v>325</v>
      </c>
      <c r="H2508" t="s">
        <v>326</v>
      </c>
      <c r="I2508" s="6" t="s">
        <v>1082</v>
      </c>
      <c r="J2508" s="61" t="s">
        <v>22</v>
      </c>
      <c r="L2508" s="5" t="str">
        <f t="shared" si="786"/>
        <v>02507</v>
      </c>
      <c r="M2508" s="47" t="str">
        <f t="shared" si="787"/>
        <v>05 de noviembre de 2019</v>
      </c>
      <c r="N2508" s="323">
        <f t="shared" si="788"/>
        <v>5</v>
      </c>
      <c r="O2508" s="25">
        <f t="shared" si="789"/>
        <v>43770</v>
      </c>
      <c r="P2508" s="5" t="str">
        <f t="shared" si="790"/>
        <v>56.250,00</v>
      </c>
      <c r="Q2508" s="4" t="str">
        <f t="shared" si="791"/>
        <v>Cincuenta y Seis Mil Doscientos Cincuenta Bolívares con 00/100</v>
      </c>
    </row>
    <row r="2509" spans="1:17" x14ac:dyDescent="0.25">
      <c r="A2509" s="1">
        <f t="shared" si="785"/>
        <v>2508</v>
      </c>
      <c r="B2509" s="8"/>
      <c r="C2509" s="8" t="s">
        <v>17</v>
      </c>
      <c r="D2509" s="2">
        <v>43775</v>
      </c>
      <c r="E2509" s="3">
        <v>60000</v>
      </c>
      <c r="F2509" t="s">
        <v>483</v>
      </c>
      <c r="G2509" t="s">
        <v>484</v>
      </c>
      <c r="H2509" t="s">
        <v>485</v>
      </c>
      <c r="I2509" s="6" t="s">
        <v>1082</v>
      </c>
      <c r="J2509" s="61" t="s">
        <v>22</v>
      </c>
      <c r="L2509" s="5" t="str">
        <f t="shared" si="786"/>
        <v>02508</v>
      </c>
      <c r="M2509" s="47" t="str">
        <f t="shared" si="787"/>
        <v>06 de noviembre de 2019</v>
      </c>
      <c r="N2509" s="323">
        <f t="shared" si="788"/>
        <v>6</v>
      </c>
      <c r="O2509" s="25">
        <f t="shared" si="789"/>
        <v>43770</v>
      </c>
      <c r="P2509" s="5" t="str">
        <f t="shared" si="790"/>
        <v>60.000,00</v>
      </c>
      <c r="Q2509" s="4" t="str">
        <f t="shared" si="791"/>
        <v>Sesenta Mil Bolívares con 00/100</v>
      </c>
    </row>
    <row r="2510" spans="1:17" x14ac:dyDescent="0.25">
      <c r="A2510" s="1">
        <f t="shared" si="785"/>
        <v>2509</v>
      </c>
      <c r="B2510" s="8"/>
      <c r="C2510" s="8" t="s">
        <v>17</v>
      </c>
      <c r="D2510" s="2">
        <v>43775</v>
      </c>
      <c r="E2510" s="3">
        <v>100000</v>
      </c>
      <c r="F2510" t="s">
        <v>443</v>
      </c>
      <c r="G2510" t="s">
        <v>444</v>
      </c>
      <c r="H2510" t="s">
        <v>75</v>
      </c>
      <c r="I2510" s="6" t="s">
        <v>1089</v>
      </c>
      <c r="J2510" s="61" t="s">
        <v>22</v>
      </c>
      <c r="L2510" s="5" t="str">
        <f t="shared" si="786"/>
        <v>02509</v>
      </c>
      <c r="M2510" s="47" t="str">
        <f t="shared" si="787"/>
        <v>06 de noviembre de 2019</v>
      </c>
      <c r="N2510" s="323">
        <f t="shared" si="788"/>
        <v>6</v>
      </c>
      <c r="O2510" s="25">
        <f t="shared" si="789"/>
        <v>43770</v>
      </c>
      <c r="P2510" s="5" t="str">
        <f t="shared" si="790"/>
        <v>100.000,00</v>
      </c>
      <c r="Q2510" s="4" t="str">
        <f t="shared" si="791"/>
        <v>Cien Mil Bolívares con 00/100</v>
      </c>
    </row>
    <row r="2511" spans="1:17" x14ac:dyDescent="0.25">
      <c r="A2511" s="1">
        <f t="shared" si="785"/>
        <v>2510</v>
      </c>
      <c r="B2511" s="8"/>
      <c r="C2511" s="8" t="s">
        <v>17</v>
      </c>
      <c r="D2511" s="2">
        <v>43775</v>
      </c>
      <c r="E2511" s="597">
        <f>1.4*25800</f>
        <v>36120</v>
      </c>
      <c r="F2511" t="s">
        <v>103</v>
      </c>
      <c r="G2511" s="599" t="s">
        <v>1047</v>
      </c>
      <c r="H2511" t="s">
        <v>105</v>
      </c>
      <c r="I2511" s="6" t="s">
        <v>1090</v>
      </c>
      <c r="J2511" s="61" t="s">
        <v>22</v>
      </c>
      <c r="L2511" s="5" t="str">
        <f t="shared" si="786"/>
        <v>02510</v>
      </c>
      <c r="M2511" s="47" t="str">
        <f t="shared" si="787"/>
        <v>06 de noviembre de 2019</v>
      </c>
      <c r="N2511" s="323">
        <f t="shared" si="788"/>
        <v>6</v>
      </c>
      <c r="O2511" s="25">
        <f t="shared" si="789"/>
        <v>43770</v>
      </c>
      <c r="P2511" s="5" t="str">
        <f t="shared" si="790"/>
        <v>36.120,00</v>
      </c>
      <c r="Q2511" s="4" t="str">
        <f t="shared" si="791"/>
        <v>Treinta y Seis Mil Ciento Veinte Bolívares con 00/100</v>
      </c>
    </row>
    <row r="2512" spans="1:17" x14ac:dyDescent="0.25">
      <c r="A2512" s="1">
        <f t="shared" si="785"/>
        <v>2511</v>
      </c>
      <c r="B2512" s="8"/>
      <c r="C2512" s="8" t="s">
        <v>17</v>
      </c>
      <c r="D2512" s="2">
        <v>43776</v>
      </c>
      <c r="E2512" s="3">
        <v>10000</v>
      </c>
      <c r="F2512" t="s">
        <v>44</v>
      </c>
      <c r="G2512" t="s">
        <v>45</v>
      </c>
      <c r="H2512" t="s">
        <v>46</v>
      </c>
      <c r="I2512" s="6" t="s">
        <v>1084</v>
      </c>
      <c r="J2512" s="61" t="s">
        <v>22</v>
      </c>
      <c r="L2512" s="5" t="str">
        <f>IF(ISBLANK(A2512),"",TEXT(A2512,"00000"))</f>
        <v>02511</v>
      </c>
      <c r="M2512" s="47" t="str">
        <f>IF(ISBLANK(D2512),"",TEXT(D2512,"dd")&amp;" de "&amp;TEXT(D2512,"mmmm")&amp;" de "&amp;TEXT(YEAR(D2512),"0"))</f>
        <v>07 de noviembre de 2019</v>
      </c>
      <c r="N2512" s="323">
        <f t="shared" si="788"/>
        <v>7</v>
      </c>
      <c r="O2512" s="25">
        <f>DATE(YEAR(D2512),MONTH(D2512),1)</f>
        <v>43770</v>
      </c>
      <c r="P2512" s="5" t="str">
        <f t="shared" si="790"/>
        <v>10.000,00</v>
      </c>
      <c r="Q2512" s="4" t="str">
        <f t="shared" si="791"/>
        <v>Diez Mil Bolívares con 00/100</v>
      </c>
    </row>
    <row r="2513" spans="1:17" x14ac:dyDescent="0.25">
      <c r="A2513" s="1">
        <f t="shared" si="785"/>
        <v>2512</v>
      </c>
      <c r="B2513" s="8"/>
      <c r="C2513" s="8" t="s">
        <v>17</v>
      </c>
      <c r="D2513" s="2">
        <v>43776</v>
      </c>
      <c r="E2513" s="3">
        <v>13000</v>
      </c>
      <c r="F2513" t="s">
        <v>252</v>
      </c>
      <c r="G2513" s="475" t="s">
        <v>958</v>
      </c>
      <c r="H2513" t="s">
        <v>254</v>
      </c>
      <c r="I2513" s="6" t="s">
        <v>1081</v>
      </c>
      <c r="J2513" s="61" t="s">
        <v>22</v>
      </c>
      <c r="L2513" s="5" t="str">
        <f t="shared" ref="L2513:L2528" si="792">IF(ISBLANK(A2513),"",TEXT(A2513,"00000"))</f>
        <v>02512</v>
      </c>
      <c r="M2513" s="47" t="str">
        <f t="shared" ref="M2513:M2528" si="793">IF(ISBLANK(D2513),"",TEXT(D2513,"dd")&amp;" de "&amp;TEXT(D2513,"mmmm")&amp;" de "&amp;TEXT(YEAR(D2513),"0"))</f>
        <v>07 de noviembre de 2019</v>
      </c>
      <c r="N2513" s="323">
        <f t="shared" si="788"/>
        <v>7</v>
      </c>
      <c r="O2513" s="25">
        <f t="shared" ref="O2513:O2528" si="794">DATE(YEAR(D2513),MONTH(D2513),1)</f>
        <v>43770</v>
      </c>
      <c r="P2513" s="5" t="str">
        <f t="shared" si="790"/>
        <v>13.000,00</v>
      </c>
      <c r="Q2513" s="4" t="str">
        <f t="shared" si="791"/>
        <v>Trece Mil Bolívares con 00/100</v>
      </c>
    </row>
    <row r="2514" spans="1:17" x14ac:dyDescent="0.25">
      <c r="A2514" s="1">
        <f t="shared" si="785"/>
        <v>2513</v>
      </c>
      <c r="B2514" s="8"/>
      <c r="C2514" s="8" t="s">
        <v>17</v>
      </c>
      <c r="D2514" s="2">
        <v>43776</v>
      </c>
      <c r="E2514" s="3">
        <v>56250</v>
      </c>
      <c r="F2514" t="s">
        <v>48</v>
      </c>
      <c r="G2514" t="s">
        <v>49</v>
      </c>
      <c r="H2514" t="s">
        <v>50</v>
      </c>
      <c r="I2514" s="6" t="s">
        <v>1082</v>
      </c>
      <c r="J2514" s="61" t="s">
        <v>22</v>
      </c>
      <c r="L2514" s="5" t="str">
        <f t="shared" si="792"/>
        <v>02513</v>
      </c>
      <c r="M2514" s="47" t="str">
        <f t="shared" si="793"/>
        <v>07 de noviembre de 2019</v>
      </c>
      <c r="N2514" s="323">
        <f t="shared" si="788"/>
        <v>7</v>
      </c>
      <c r="O2514" s="25">
        <f t="shared" si="794"/>
        <v>43770</v>
      </c>
      <c r="P2514" s="5" t="str">
        <f t="shared" si="790"/>
        <v>56.250,00</v>
      </c>
      <c r="Q2514" s="4" t="str">
        <f t="shared" si="791"/>
        <v>Cincuenta y Seis Mil Doscientos Cincuenta Bolívares con 00/100</v>
      </c>
    </row>
    <row r="2515" spans="1:17" x14ac:dyDescent="0.25">
      <c r="A2515" s="1">
        <f t="shared" si="785"/>
        <v>2514</v>
      </c>
      <c r="B2515" s="8"/>
      <c r="C2515" s="8" t="s">
        <v>17</v>
      </c>
      <c r="D2515" s="2">
        <v>43776</v>
      </c>
      <c r="E2515" s="3">
        <v>56250</v>
      </c>
      <c r="F2515" t="s">
        <v>947</v>
      </c>
      <c r="G2515" t="s">
        <v>948</v>
      </c>
      <c r="H2515" t="s">
        <v>949</v>
      </c>
      <c r="I2515" s="6" t="s">
        <v>1082</v>
      </c>
      <c r="J2515" s="61" t="s">
        <v>22</v>
      </c>
      <c r="L2515" s="5" t="str">
        <f t="shared" si="792"/>
        <v>02514</v>
      </c>
      <c r="M2515" s="47" t="str">
        <f t="shared" si="793"/>
        <v>07 de noviembre de 2019</v>
      </c>
      <c r="N2515" s="323">
        <f t="shared" si="788"/>
        <v>7</v>
      </c>
      <c r="O2515" s="25">
        <f t="shared" si="794"/>
        <v>43770</v>
      </c>
      <c r="P2515" s="5" t="str">
        <f t="shared" si="790"/>
        <v>56.250,00</v>
      </c>
      <c r="Q2515" s="4" t="str">
        <f t="shared" si="791"/>
        <v>Cincuenta y Seis Mil Doscientos Cincuenta Bolívares con 00/100</v>
      </c>
    </row>
    <row r="2516" spans="1:17" x14ac:dyDescent="0.25">
      <c r="A2516" s="1">
        <f t="shared" si="785"/>
        <v>2515</v>
      </c>
      <c r="B2516" s="8"/>
      <c r="C2516" s="8" t="s">
        <v>17</v>
      </c>
      <c r="D2516" s="2">
        <v>43776</v>
      </c>
      <c r="E2516" s="3">
        <v>92710</v>
      </c>
      <c r="F2516" t="s">
        <v>362</v>
      </c>
      <c r="G2516" t="s">
        <v>363</v>
      </c>
      <c r="H2516" t="s">
        <v>364</v>
      </c>
      <c r="I2516" s="6" t="s">
        <v>1091</v>
      </c>
      <c r="J2516" s="61" t="s">
        <v>22</v>
      </c>
      <c r="L2516" s="5" t="str">
        <f t="shared" si="792"/>
        <v>02515</v>
      </c>
      <c r="M2516" s="47" t="str">
        <f t="shared" si="793"/>
        <v>07 de noviembre de 2019</v>
      </c>
      <c r="N2516" s="323">
        <f t="shared" si="788"/>
        <v>7</v>
      </c>
      <c r="O2516" s="25">
        <f t="shared" si="794"/>
        <v>43770</v>
      </c>
      <c r="P2516" s="5" t="str">
        <f t="shared" si="790"/>
        <v>92.710,00</v>
      </c>
      <c r="Q2516" s="4" t="str">
        <f t="shared" si="791"/>
        <v>Noventa y Dos Mil Setecientos Diez Bolívares con 00/100</v>
      </c>
    </row>
    <row r="2517" spans="1:17" x14ac:dyDescent="0.25">
      <c r="A2517" s="1">
        <f>A2516+1</f>
        <v>2516</v>
      </c>
      <c r="B2517" s="8"/>
      <c r="C2517" s="8" t="s">
        <v>17</v>
      </c>
      <c r="D2517" s="2">
        <v>43776</v>
      </c>
      <c r="E2517" s="3">
        <v>56250</v>
      </c>
      <c r="F2517" t="s">
        <v>70</v>
      </c>
      <c r="G2517" t="s">
        <v>71</v>
      </c>
      <c r="H2517" t="s">
        <v>72</v>
      </c>
      <c r="I2517" s="6" t="s">
        <v>1082</v>
      </c>
      <c r="J2517" s="61" t="s">
        <v>22</v>
      </c>
      <c r="L2517" s="5" t="str">
        <f t="shared" si="792"/>
        <v>02516</v>
      </c>
      <c r="M2517" s="47" t="str">
        <f t="shared" si="793"/>
        <v>07 de noviembre de 2019</v>
      </c>
      <c r="N2517" s="323">
        <f t="shared" si="788"/>
        <v>7</v>
      </c>
      <c r="O2517" s="25">
        <f t="shared" si="794"/>
        <v>43770</v>
      </c>
      <c r="P2517" s="5" t="str">
        <f t="shared" si="790"/>
        <v>56.250,00</v>
      </c>
      <c r="Q2517" s="4" t="str">
        <f t="shared" si="791"/>
        <v>Cincuenta y Seis Mil Doscientos Cincuenta Bolívares con 00/100</v>
      </c>
    </row>
    <row r="2518" spans="1:17" x14ac:dyDescent="0.25">
      <c r="A2518" s="1">
        <f t="shared" ref="A2518:A2534" si="795">A2517+1</f>
        <v>2517</v>
      </c>
      <c r="C2518" s="85" t="s">
        <v>17</v>
      </c>
      <c r="D2518" s="2">
        <v>43778</v>
      </c>
      <c r="E2518" s="3">
        <v>56250</v>
      </c>
      <c r="F2518" t="s">
        <v>40</v>
      </c>
      <c r="G2518" s="18" t="s">
        <v>58</v>
      </c>
      <c r="H2518" t="s">
        <v>42</v>
      </c>
      <c r="I2518" s="6" t="s">
        <v>1082</v>
      </c>
      <c r="J2518" s="61" t="s">
        <v>22</v>
      </c>
      <c r="L2518" s="5" t="str">
        <f t="shared" si="792"/>
        <v>02517</v>
      </c>
      <c r="M2518" s="47" t="str">
        <f t="shared" si="793"/>
        <v>09 de noviembre de 2019</v>
      </c>
      <c r="N2518" s="323">
        <f t="shared" si="788"/>
        <v>9</v>
      </c>
      <c r="O2518" s="25">
        <f t="shared" si="794"/>
        <v>43770</v>
      </c>
      <c r="P2518" s="5" t="str">
        <f t="shared" si="790"/>
        <v>56.250,00</v>
      </c>
      <c r="Q2518" s="4" t="str">
        <f t="shared" si="791"/>
        <v>Cincuenta y Seis Mil Doscientos Cincuenta Bolívares con 00/100</v>
      </c>
    </row>
    <row r="2519" spans="1:17" x14ac:dyDescent="0.25">
      <c r="A2519" s="1">
        <f t="shared" si="795"/>
        <v>2518</v>
      </c>
      <c r="B2519" s="8"/>
      <c r="C2519" s="8" t="s">
        <v>17</v>
      </c>
      <c r="D2519" s="2">
        <v>43778</v>
      </c>
      <c r="E2519" s="3">
        <v>48000</v>
      </c>
      <c r="F2519" t="s">
        <v>28</v>
      </c>
      <c r="G2519" t="s">
        <v>716</v>
      </c>
      <c r="H2519" t="s">
        <v>30</v>
      </c>
      <c r="I2519" s="6" t="s">
        <v>1087</v>
      </c>
      <c r="J2519" s="61" t="s">
        <v>22</v>
      </c>
      <c r="L2519" s="5" t="str">
        <f t="shared" si="792"/>
        <v>02518</v>
      </c>
      <c r="M2519" s="47" t="str">
        <f t="shared" si="793"/>
        <v>09 de noviembre de 2019</v>
      </c>
      <c r="N2519" s="323">
        <f t="shared" si="788"/>
        <v>9</v>
      </c>
      <c r="O2519" s="25">
        <f t="shared" si="794"/>
        <v>43770</v>
      </c>
      <c r="P2519" s="5" t="str">
        <f t="shared" si="790"/>
        <v>48.000,00</v>
      </c>
      <c r="Q2519" s="4" t="str">
        <f t="shared" si="791"/>
        <v>Cuarenta y Ocho Mil Bolívares con 00/100</v>
      </c>
    </row>
    <row r="2520" spans="1:17" x14ac:dyDescent="0.25">
      <c r="A2520" s="1">
        <f t="shared" si="795"/>
        <v>2519</v>
      </c>
      <c r="B2520" s="8"/>
      <c r="C2520" s="8" t="s">
        <v>17</v>
      </c>
      <c r="D2520" s="2">
        <v>43778</v>
      </c>
      <c r="E2520" s="3">
        <v>56250</v>
      </c>
      <c r="F2520" t="s">
        <v>342</v>
      </c>
      <c r="G2520" t="s">
        <v>1036</v>
      </c>
      <c r="H2520" t="s">
        <v>344</v>
      </c>
      <c r="I2520" s="6" t="s">
        <v>1082</v>
      </c>
      <c r="J2520" s="61" t="s">
        <v>22</v>
      </c>
      <c r="L2520" s="5" t="str">
        <f t="shared" si="792"/>
        <v>02519</v>
      </c>
      <c r="M2520" s="47" t="str">
        <f t="shared" si="793"/>
        <v>09 de noviembre de 2019</v>
      </c>
      <c r="N2520" s="323">
        <f t="shared" si="788"/>
        <v>9</v>
      </c>
      <c r="O2520" s="25">
        <f t="shared" si="794"/>
        <v>43770</v>
      </c>
      <c r="P2520" s="5" t="str">
        <f t="shared" si="790"/>
        <v>56.250,00</v>
      </c>
      <c r="Q2520" s="4" t="str">
        <f t="shared" si="791"/>
        <v>Cincuenta y Seis Mil Doscientos Cincuenta Bolívares con 00/100</v>
      </c>
    </row>
    <row r="2521" spans="1:17" x14ac:dyDescent="0.25">
      <c r="A2521" s="1">
        <f t="shared" si="795"/>
        <v>2520</v>
      </c>
      <c r="B2521" s="8"/>
      <c r="C2521" s="85" t="s">
        <v>17</v>
      </c>
      <c r="D2521" s="2">
        <v>43778</v>
      </c>
      <c r="E2521" s="3">
        <v>40000</v>
      </c>
      <c r="F2521" t="s">
        <v>259</v>
      </c>
      <c r="G2521" s="18" t="s">
        <v>58</v>
      </c>
      <c r="H2521" t="s">
        <v>261</v>
      </c>
      <c r="I2521" s="6" t="s">
        <v>1065</v>
      </c>
      <c r="J2521" s="61" t="s">
        <v>22</v>
      </c>
      <c r="L2521" s="5" t="str">
        <f t="shared" si="792"/>
        <v>02520</v>
      </c>
      <c r="M2521" s="47" t="str">
        <f t="shared" si="793"/>
        <v>09 de noviembre de 2019</v>
      </c>
      <c r="N2521" s="323">
        <f t="shared" si="788"/>
        <v>9</v>
      </c>
      <c r="O2521" s="25">
        <f t="shared" si="794"/>
        <v>43770</v>
      </c>
      <c r="P2521" s="5" t="str">
        <f t="shared" si="790"/>
        <v>40.000,00</v>
      </c>
      <c r="Q2521" s="4" t="str">
        <f t="shared" si="791"/>
        <v>Cuarenta Mil Bolívares con 00/100</v>
      </c>
    </row>
    <row r="2522" spans="1:17" x14ac:dyDescent="0.25">
      <c r="A2522" s="1">
        <f t="shared" si="795"/>
        <v>2521</v>
      </c>
      <c r="B2522" s="8"/>
      <c r="C2522" s="8" t="s">
        <v>17</v>
      </c>
      <c r="D2522" s="2">
        <v>43778</v>
      </c>
      <c r="E2522" s="3">
        <v>56250</v>
      </c>
      <c r="F2522" t="s">
        <v>454</v>
      </c>
      <c r="G2522" t="s">
        <v>761</v>
      </c>
      <c r="H2522" t="s">
        <v>455</v>
      </c>
      <c r="I2522" s="6" t="s">
        <v>1082</v>
      </c>
      <c r="J2522" s="61" t="s">
        <v>22</v>
      </c>
      <c r="L2522" s="5" t="str">
        <f t="shared" si="792"/>
        <v>02521</v>
      </c>
      <c r="M2522" s="47" t="str">
        <f t="shared" si="793"/>
        <v>09 de noviembre de 2019</v>
      </c>
      <c r="N2522" s="323">
        <f t="shared" si="788"/>
        <v>9</v>
      </c>
      <c r="O2522" s="25">
        <f t="shared" si="794"/>
        <v>43770</v>
      </c>
      <c r="P2522" s="5" t="str">
        <f t="shared" si="790"/>
        <v>56.250,00</v>
      </c>
      <c r="Q2522" s="4" t="str">
        <f t="shared" si="791"/>
        <v>Cincuenta y Seis Mil Doscientos Cincuenta Bolívares con 00/100</v>
      </c>
    </row>
    <row r="2523" spans="1:17" x14ac:dyDescent="0.25">
      <c r="A2523" s="1">
        <f t="shared" si="795"/>
        <v>2522</v>
      </c>
      <c r="B2523" s="8"/>
      <c r="C2523" s="8" t="s">
        <v>17</v>
      </c>
      <c r="D2523" s="2">
        <v>43779</v>
      </c>
      <c r="E2523" s="3">
        <v>60000</v>
      </c>
      <c r="F2523" t="s">
        <v>1004</v>
      </c>
      <c r="G2523" t="s">
        <v>1005</v>
      </c>
      <c r="H2523" t="s">
        <v>539</v>
      </c>
      <c r="I2523" s="6" t="s">
        <v>1082</v>
      </c>
      <c r="J2523" s="61" t="s">
        <v>22</v>
      </c>
      <c r="L2523" s="5" t="str">
        <f t="shared" si="792"/>
        <v>02522</v>
      </c>
      <c r="M2523" s="47" t="str">
        <f t="shared" si="793"/>
        <v>10 de noviembre de 2019</v>
      </c>
      <c r="N2523" s="323">
        <f t="shared" si="788"/>
        <v>10</v>
      </c>
      <c r="O2523" s="25">
        <f t="shared" si="794"/>
        <v>43770</v>
      </c>
      <c r="P2523" s="5" t="str">
        <f t="shared" si="790"/>
        <v>60.000,00</v>
      </c>
      <c r="Q2523" s="4" t="str">
        <f t="shared" si="791"/>
        <v>Sesenta Mil Bolívares con 00/100</v>
      </c>
    </row>
    <row r="2524" spans="1:17" x14ac:dyDescent="0.25">
      <c r="A2524" s="1">
        <f t="shared" si="795"/>
        <v>2523</v>
      </c>
      <c r="B2524" s="8"/>
      <c r="C2524" s="8" t="s">
        <v>17</v>
      </c>
      <c r="D2524" s="2">
        <v>43779</v>
      </c>
      <c r="E2524" s="3">
        <f>56250*2</f>
        <v>112500</v>
      </c>
      <c r="F2524" t="s">
        <v>785</v>
      </c>
      <c r="G2524" t="s">
        <v>786</v>
      </c>
      <c r="H2524" t="s">
        <v>719</v>
      </c>
      <c r="I2524" s="6" t="s">
        <v>1088</v>
      </c>
      <c r="J2524" s="61" t="s">
        <v>22</v>
      </c>
      <c r="L2524" s="5" t="str">
        <f t="shared" si="792"/>
        <v>02523</v>
      </c>
      <c r="M2524" s="47" t="str">
        <f t="shared" si="793"/>
        <v>10 de noviembre de 2019</v>
      </c>
      <c r="N2524" s="323">
        <f t="shared" si="788"/>
        <v>10</v>
      </c>
      <c r="O2524" s="25">
        <f t="shared" si="794"/>
        <v>43770</v>
      </c>
      <c r="P2524" s="5" t="str">
        <f t="shared" si="790"/>
        <v>112.500,00</v>
      </c>
      <c r="Q2524" s="4" t="str">
        <f t="shared" si="791"/>
        <v>Ciento Doce Mil Quinientos Bolívares con 00/100</v>
      </c>
    </row>
    <row r="2525" spans="1:17" x14ac:dyDescent="0.25">
      <c r="A2525" s="1">
        <f t="shared" si="795"/>
        <v>2524</v>
      </c>
      <c r="B2525" s="8"/>
      <c r="C2525" s="8" t="s">
        <v>17</v>
      </c>
      <c r="D2525" s="2">
        <v>43779</v>
      </c>
      <c r="E2525" s="3">
        <v>56250</v>
      </c>
      <c r="F2525" t="s">
        <v>337</v>
      </c>
      <c r="G2525" t="s">
        <v>338</v>
      </c>
      <c r="H2525" t="s">
        <v>339</v>
      </c>
      <c r="I2525" s="6" t="s">
        <v>1082</v>
      </c>
      <c r="J2525" s="61" t="s">
        <v>22</v>
      </c>
      <c r="L2525" s="5" t="str">
        <f t="shared" si="792"/>
        <v>02524</v>
      </c>
      <c r="M2525" s="47" t="str">
        <f t="shared" si="793"/>
        <v>10 de noviembre de 2019</v>
      </c>
      <c r="N2525" s="323">
        <f t="shared" si="788"/>
        <v>10</v>
      </c>
      <c r="O2525" s="25">
        <f t="shared" si="794"/>
        <v>43770</v>
      </c>
      <c r="P2525" s="5" t="str">
        <f t="shared" si="790"/>
        <v>56.250,00</v>
      </c>
      <c r="Q2525" s="4" t="str">
        <f t="shared" si="791"/>
        <v>Cincuenta y Seis Mil Doscientos Cincuenta Bolívares con 00/100</v>
      </c>
    </row>
    <row r="2526" spans="1:17" x14ac:dyDescent="0.25">
      <c r="A2526" s="1">
        <f t="shared" si="795"/>
        <v>2525</v>
      </c>
      <c r="B2526" s="8"/>
      <c r="C2526" s="8" t="s">
        <v>17</v>
      </c>
      <c r="D2526" s="2">
        <v>43779</v>
      </c>
      <c r="E2526" s="3">
        <v>56250</v>
      </c>
      <c r="F2526" t="s">
        <v>594</v>
      </c>
      <c r="G2526" t="s">
        <v>1051</v>
      </c>
      <c r="H2526" t="s">
        <v>596</v>
      </c>
      <c r="I2526" s="6" t="s">
        <v>1082</v>
      </c>
      <c r="J2526" s="61" t="s">
        <v>22</v>
      </c>
      <c r="L2526" s="5" t="str">
        <f t="shared" si="792"/>
        <v>02525</v>
      </c>
      <c r="M2526" s="47" t="str">
        <f t="shared" si="793"/>
        <v>10 de noviembre de 2019</v>
      </c>
      <c r="N2526" s="323">
        <f t="shared" si="788"/>
        <v>10</v>
      </c>
      <c r="O2526" s="25">
        <f t="shared" si="794"/>
        <v>43770</v>
      </c>
      <c r="P2526" s="5" t="str">
        <f t="shared" si="790"/>
        <v>56.250,00</v>
      </c>
      <c r="Q2526" s="4" t="str">
        <f t="shared" si="791"/>
        <v>Cincuenta y Seis Mil Doscientos Cincuenta Bolívares con 00/100</v>
      </c>
    </row>
    <row r="2527" spans="1:17" x14ac:dyDescent="0.25">
      <c r="A2527" s="1">
        <f t="shared" si="795"/>
        <v>2526</v>
      </c>
      <c r="B2527" s="8"/>
      <c r="C2527" s="8" t="s">
        <v>17</v>
      </c>
      <c r="D2527" s="2">
        <v>43779</v>
      </c>
      <c r="E2527" s="3">
        <v>56250</v>
      </c>
      <c r="F2527" t="s">
        <v>312</v>
      </c>
      <c r="G2527" t="s">
        <v>313</v>
      </c>
      <c r="H2527" t="s">
        <v>314</v>
      </c>
      <c r="I2527" s="6" t="s">
        <v>1082</v>
      </c>
      <c r="J2527" s="61" t="s">
        <v>22</v>
      </c>
      <c r="L2527" s="5" t="str">
        <f t="shared" si="792"/>
        <v>02526</v>
      </c>
      <c r="M2527" s="47" t="str">
        <f t="shared" si="793"/>
        <v>10 de noviembre de 2019</v>
      </c>
      <c r="N2527" s="323">
        <f t="shared" ref="N2527:N2544" si="796">DAY(D2527)</f>
        <v>10</v>
      </c>
      <c r="O2527" s="25">
        <f t="shared" si="794"/>
        <v>43770</v>
      </c>
      <c r="P2527" s="5" t="str">
        <f t="shared" ref="P2527:P2544" si="797">TEXT(E2527,"#.##0,00")</f>
        <v>56.250,00</v>
      </c>
      <c r="Q2527" s="4" t="str">
        <f t="shared" ref="Q2527:Q2544" si="798">CONVERTIRNUM(E2527)</f>
        <v>Cincuenta y Seis Mil Doscientos Cincuenta Bolívares con 00/100</v>
      </c>
    </row>
    <row r="2528" spans="1:17" x14ac:dyDescent="0.25">
      <c r="A2528" s="1">
        <f t="shared" si="795"/>
        <v>2527</v>
      </c>
      <c r="B2528" s="8"/>
      <c r="C2528" s="85" t="s">
        <v>17</v>
      </c>
      <c r="D2528" s="2">
        <v>43779</v>
      </c>
      <c r="E2528" s="3">
        <v>56250</v>
      </c>
      <c r="F2528" t="s">
        <v>319</v>
      </c>
      <c r="G2528" s="18" t="s">
        <v>58</v>
      </c>
      <c r="H2528" t="s">
        <v>320</v>
      </c>
      <c r="I2528" s="6" t="s">
        <v>1082</v>
      </c>
      <c r="J2528" s="61" t="s">
        <v>22</v>
      </c>
      <c r="L2528" s="5" t="str">
        <f t="shared" si="792"/>
        <v>02527</v>
      </c>
      <c r="M2528" s="47" t="str">
        <f t="shared" si="793"/>
        <v>10 de noviembre de 2019</v>
      </c>
      <c r="N2528" s="323">
        <f t="shared" si="796"/>
        <v>10</v>
      </c>
      <c r="O2528" s="25">
        <f t="shared" si="794"/>
        <v>43770</v>
      </c>
      <c r="P2528" s="5" t="str">
        <f t="shared" si="797"/>
        <v>56.250,00</v>
      </c>
      <c r="Q2528" s="4" t="str">
        <f t="shared" si="798"/>
        <v>Cincuenta y Seis Mil Doscientos Cincuenta Bolívares con 00/100</v>
      </c>
    </row>
    <row r="2529" spans="1:17" x14ac:dyDescent="0.25">
      <c r="A2529" s="1">
        <f t="shared" si="795"/>
        <v>2528</v>
      </c>
      <c r="C2529" s="8" t="s">
        <v>17</v>
      </c>
      <c r="D2529" s="2">
        <v>43779</v>
      </c>
      <c r="E2529" s="3">
        <v>56250</v>
      </c>
      <c r="F2529" t="s">
        <v>243</v>
      </c>
      <c r="G2529" t="s">
        <v>244</v>
      </c>
      <c r="H2529" t="s">
        <v>245</v>
      </c>
      <c r="I2529" s="6" t="s">
        <v>1082</v>
      </c>
      <c r="J2529" s="61" t="s">
        <v>22</v>
      </c>
      <c r="L2529" s="5" t="str">
        <f>IF(ISBLANK(A2529),"",TEXT(A2529,"00000"))</f>
        <v>02528</v>
      </c>
      <c r="M2529" s="47" t="str">
        <f>IF(ISBLANK(D2529),"",TEXT(D2529,"dd")&amp;" de "&amp;TEXT(D2529,"mmmm")&amp;" de "&amp;TEXT(YEAR(D2529),"0"))</f>
        <v>10 de noviembre de 2019</v>
      </c>
      <c r="N2529" s="323">
        <f t="shared" si="796"/>
        <v>10</v>
      </c>
      <c r="O2529" s="25">
        <f>DATE(YEAR(D2529),MONTH(D2529),1)</f>
        <v>43770</v>
      </c>
      <c r="P2529" s="5" t="str">
        <f t="shared" si="797"/>
        <v>56.250,00</v>
      </c>
      <c r="Q2529" s="4" t="str">
        <f t="shared" si="798"/>
        <v>Cincuenta y Seis Mil Doscientos Cincuenta Bolívares con 00/100</v>
      </c>
    </row>
    <row r="2530" spans="1:17" x14ac:dyDescent="0.25">
      <c r="A2530" s="1">
        <f t="shared" si="795"/>
        <v>2529</v>
      </c>
      <c r="C2530" s="8" t="s">
        <v>17</v>
      </c>
      <c r="D2530" s="2">
        <v>43779</v>
      </c>
      <c r="E2530" s="3">
        <v>56250</v>
      </c>
      <c r="F2530" t="s">
        <v>66</v>
      </c>
      <c r="G2530" t="s">
        <v>67</v>
      </c>
      <c r="H2530" t="s">
        <v>68</v>
      </c>
      <c r="I2530" s="6" t="s">
        <v>1082</v>
      </c>
      <c r="J2530" s="61" t="s">
        <v>22</v>
      </c>
      <c r="L2530" s="5" t="str">
        <f t="shared" ref="L2530:L2544" si="799">IF(ISBLANK(A2530),"",TEXT(A2530,"00000"))</f>
        <v>02529</v>
      </c>
      <c r="M2530" s="47" t="str">
        <f t="shared" ref="M2530:M2544" si="800">IF(ISBLANK(D2530),"",TEXT(D2530,"dd")&amp;" de "&amp;TEXT(D2530,"mmmm")&amp;" de "&amp;TEXT(YEAR(D2530),"0"))</f>
        <v>10 de noviembre de 2019</v>
      </c>
      <c r="N2530" s="323">
        <f t="shared" si="796"/>
        <v>10</v>
      </c>
      <c r="O2530" s="25">
        <f t="shared" ref="O2530:O2544" si="801">DATE(YEAR(D2530),MONTH(D2530),1)</f>
        <v>43770</v>
      </c>
      <c r="P2530" s="5" t="str">
        <f t="shared" si="797"/>
        <v>56.250,00</v>
      </c>
      <c r="Q2530" s="4" t="str">
        <f t="shared" si="798"/>
        <v>Cincuenta y Seis Mil Doscientos Cincuenta Bolívares con 00/100</v>
      </c>
    </row>
    <row r="2531" spans="1:17" x14ac:dyDescent="0.25">
      <c r="A2531" s="1">
        <f t="shared" si="795"/>
        <v>2530</v>
      </c>
      <c r="B2531" s="8"/>
      <c r="C2531" s="8" t="s">
        <v>17</v>
      </c>
      <c r="D2531" s="2">
        <v>43780</v>
      </c>
      <c r="E2531" s="3">
        <v>56000</v>
      </c>
      <c r="F2531" t="s">
        <v>126</v>
      </c>
      <c r="G2531" t="s">
        <v>127</v>
      </c>
      <c r="H2531" t="s">
        <v>128</v>
      </c>
      <c r="I2531" s="6" t="s">
        <v>1084</v>
      </c>
      <c r="J2531" s="61" t="s">
        <v>22</v>
      </c>
      <c r="L2531" s="5" t="str">
        <f t="shared" si="799"/>
        <v>02530</v>
      </c>
      <c r="M2531" s="47" t="str">
        <f t="shared" si="800"/>
        <v>11 de noviembre de 2019</v>
      </c>
      <c r="N2531" s="323">
        <f t="shared" si="796"/>
        <v>11</v>
      </c>
      <c r="O2531" s="25">
        <f t="shared" si="801"/>
        <v>43770</v>
      </c>
      <c r="P2531" s="5" t="str">
        <f t="shared" si="797"/>
        <v>56.000,00</v>
      </c>
      <c r="Q2531" s="4" t="str">
        <f t="shared" si="798"/>
        <v>Cincuenta y Seis Mil Bolívares con 00/100</v>
      </c>
    </row>
    <row r="2532" spans="1:17" x14ac:dyDescent="0.25">
      <c r="A2532" s="1">
        <f t="shared" si="795"/>
        <v>2531</v>
      </c>
      <c r="B2532" s="8"/>
      <c r="C2532" s="8" t="s">
        <v>17</v>
      </c>
      <c r="D2532" s="2">
        <v>43781</v>
      </c>
      <c r="E2532" s="3">
        <v>75000</v>
      </c>
      <c r="F2532" t="s">
        <v>53</v>
      </c>
      <c r="G2532" t="s">
        <v>677</v>
      </c>
      <c r="H2532" t="s">
        <v>55</v>
      </c>
      <c r="I2532" s="6" t="s">
        <v>1082</v>
      </c>
      <c r="J2532" s="61" t="s">
        <v>22</v>
      </c>
      <c r="L2532" s="5" t="str">
        <f t="shared" si="799"/>
        <v>02531</v>
      </c>
      <c r="M2532" s="47" t="str">
        <f t="shared" si="800"/>
        <v>12 de noviembre de 2019</v>
      </c>
      <c r="N2532" s="323">
        <f t="shared" si="796"/>
        <v>12</v>
      </c>
      <c r="O2532" s="25">
        <f t="shared" si="801"/>
        <v>43770</v>
      </c>
      <c r="P2532" s="5" t="str">
        <f t="shared" si="797"/>
        <v>75.000,00</v>
      </c>
      <c r="Q2532" s="4" t="str">
        <f t="shared" si="798"/>
        <v>Setenta y Cinco Mil Bolívares con 00/100</v>
      </c>
    </row>
    <row r="2533" spans="1:17" x14ac:dyDescent="0.25">
      <c r="A2533" s="1">
        <f t="shared" si="795"/>
        <v>2532</v>
      </c>
      <c r="B2533" s="8"/>
      <c r="C2533" s="8" t="s">
        <v>17</v>
      </c>
      <c r="D2533" s="2">
        <v>43782</v>
      </c>
      <c r="E2533" s="597">
        <f>5*25800</f>
        <v>129000</v>
      </c>
      <c r="F2533" t="s">
        <v>122</v>
      </c>
      <c r="G2533" t="s">
        <v>123</v>
      </c>
      <c r="H2533" t="s">
        <v>124</v>
      </c>
      <c r="I2533" s="6" t="s">
        <v>1092</v>
      </c>
      <c r="J2533" s="61" t="s">
        <v>22</v>
      </c>
      <c r="L2533" s="5" t="str">
        <f t="shared" si="799"/>
        <v>02532</v>
      </c>
      <c r="M2533" s="47" t="str">
        <f t="shared" si="800"/>
        <v>13 de noviembre de 2019</v>
      </c>
      <c r="N2533" s="323">
        <f t="shared" si="796"/>
        <v>13</v>
      </c>
      <c r="O2533" s="25">
        <f t="shared" si="801"/>
        <v>43770</v>
      </c>
      <c r="P2533" s="5" t="str">
        <f t="shared" si="797"/>
        <v>129.000,00</v>
      </c>
      <c r="Q2533" s="4" t="str">
        <f t="shared" si="798"/>
        <v>Ciento Veintinueve Mil Bolívares con 00/100</v>
      </c>
    </row>
    <row r="2534" spans="1:17" x14ac:dyDescent="0.25">
      <c r="A2534" s="1">
        <f t="shared" si="795"/>
        <v>2533</v>
      </c>
      <c r="B2534" s="8"/>
      <c r="C2534" s="8" t="s">
        <v>17</v>
      </c>
      <c r="D2534" s="2">
        <v>43782</v>
      </c>
      <c r="E2534" s="3">
        <v>64500</v>
      </c>
      <c r="F2534" t="s">
        <v>177</v>
      </c>
      <c r="G2534" t="s">
        <v>941</v>
      </c>
      <c r="H2534" t="s">
        <v>179</v>
      </c>
      <c r="I2534" s="6" t="s">
        <v>1093</v>
      </c>
      <c r="J2534" s="61" t="s">
        <v>22</v>
      </c>
      <c r="L2534" s="5" t="str">
        <f t="shared" si="799"/>
        <v>02533</v>
      </c>
      <c r="M2534" s="47" t="str">
        <f t="shared" si="800"/>
        <v>13 de noviembre de 2019</v>
      </c>
      <c r="N2534" s="323">
        <f t="shared" si="796"/>
        <v>13</v>
      </c>
      <c r="O2534" s="25">
        <f t="shared" si="801"/>
        <v>43770</v>
      </c>
      <c r="P2534" s="5" t="str">
        <f t="shared" si="797"/>
        <v>64.500,00</v>
      </c>
      <c r="Q2534" s="4" t="str">
        <f t="shared" si="798"/>
        <v>Sesenta y Cuatro Mil Quinientos Bolívares con 00/100</v>
      </c>
    </row>
    <row r="2535" spans="1:17" x14ac:dyDescent="0.25">
      <c r="A2535" s="1">
        <f>A2534+1</f>
        <v>2534</v>
      </c>
      <c r="B2535" s="8"/>
      <c r="C2535" s="8" t="s">
        <v>17</v>
      </c>
      <c r="D2535" s="2">
        <v>43782</v>
      </c>
      <c r="E2535" s="3">
        <v>107900</v>
      </c>
      <c r="F2535" t="s">
        <v>18</v>
      </c>
      <c r="G2535" t="s">
        <v>19</v>
      </c>
      <c r="H2535" t="s">
        <v>20</v>
      </c>
      <c r="I2535" s="6" t="s">
        <v>1094</v>
      </c>
      <c r="J2535" s="61" t="s">
        <v>22</v>
      </c>
      <c r="L2535" s="5" t="str">
        <f t="shared" si="799"/>
        <v>02534</v>
      </c>
      <c r="M2535" s="47" t="str">
        <f t="shared" si="800"/>
        <v>13 de noviembre de 2019</v>
      </c>
      <c r="N2535" s="323">
        <f t="shared" si="796"/>
        <v>13</v>
      </c>
      <c r="O2535" s="25">
        <f t="shared" si="801"/>
        <v>43770</v>
      </c>
      <c r="P2535" s="5" t="str">
        <f t="shared" si="797"/>
        <v>107.900,00</v>
      </c>
      <c r="Q2535" s="4" t="str">
        <f t="shared" si="798"/>
        <v>Ciento Siete Mil Novecientos Bolívares con 00/100</v>
      </c>
    </row>
    <row r="2536" spans="1:17" x14ac:dyDescent="0.25">
      <c r="A2536" s="1">
        <f t="shared" ref="A2536:A2539" si="802">A2535+1</f>
        <v>2535</v>
      </c>
      <c r="B2536" s="8"/>
      <c r="C2536" s="8" t="s">
        <v>17</v>
      </c>
      <c r="D2536" s="2">
        <v>43784</v>
      </c>
      <c r="E2536" s="3">
        <v>64500</v>
      </c>
      <c r="F2536" t="s">
        <v>185</v>
      </c>
      <c r="G2536" t="s">
        <v>186</v>
      </c>
      <c r="H2536" t="s">
        <v>187</v>
      </c>
      <c r="I2536" s="6" t="s">
        <v>1082</v>
      </c>
      <c r="J2536" s="61" t="s">
        <v>22</v>
      </c>
      <c r="L2536" s="5" t="str">
        <f t="shared" si="799"/>
        <v>02535</v>
      </c>
      <c r="M2536" s="47" t="str">
        <f t="shared" si="800"/>
        <v>15 de noviembre de 2019</v>
      </c>
      <c r="N2536" s="323">
        <f t="shared" si="796"/>
        <v>15</v>
      </c>
      <c r="O2536" s="25">
        <f t="shared" si="801"/>
        <v>43770</v>
      </c>
      <c r="P2536" s="5" t="str">
        <f t="shared" si="797"/>
        <v>64.500,00</v>
      </c>
      <c r="Q2536" s="4" t="str">
        <f t="shared" si="798"/>
        <v>Sesenta y Cuatro Mil Quinientos Bolívares con 00/100</v>
      </c>
    </row>
    <row r="2537" spans="1:17" x14ac:dyDescent="0.25">
      <c r="A2537" s="1">
        <f t="shared" si="802"/>
        <v>2536</v>
      </c>
      <c r="B2537" s="8"/>
      <c r="C2537" s="8" t="s">
        <v>17</v>
      </c>
      <c r="D2537" s="2">
        <v>43784</v>
      </c>
      <c r="E2537" s="3">
        <v>18000</v>
      </c>
      <c r="F2537" t="s">
        <v>252</v>
      </c>
      <c r="G2537" s="475" t="s">
        <v>958</v>
      </c>
      <c r="H2537" t="s">
        <v>254</v>
      </c>
      <c r="I2537" s="6" t="s">
        <v>1095</v>
      </c>
      <c r="J2537" s="61" t="s">
        <v>22</v>
      </c>
      <c r="L2537" s="5" t="str">
        <f t="shared" si="799"/>
        <v>02536</v>
      </c>
      <c r="M2537" s="47" t="str">
        <f t="shared" si="800"/>
        <v>15 de noviembre de 2019</v>
      </c>
      <c r="N2537" s="323">
        <f t="shared" si="796"/>
        <v>15</v>
      </c>
      <c r="O2537" s="25">
        <f t="shared" si="801"/>
        <v>43770</v>
      </c>
      <c r="P2537" s="5" t="str">
        <f t="shared" si="797"/>
        <v>18.000,00</v>
      </c>
      <c r="Q2537" s="4" t="str">
        <f t="shared" si="798"/>
        <v>Dieciocho Mil Bolívares con 00/100</v>
      </c>
    </row>
    <row r="2538" spans="1:17" x14ac:dyDescent="0.25">
      <c r="A2538" s="1">
        <f t="shared" si="802"/>
        <v>2537</v>
      </c>
      <c r="B2538" s="8"/>
      <c r="C2538" s="8" t="s">
        <v>17</v>
      </c>
      <c r="D2538" s="2">
        <v>43784</v>
      </c>
      <c r="E2538" s="3">
        <v>64500</v>
      </c>
      <c r="F2538" t="s">
        <v>130</v>
      </c>
      <c r="G2538" t="s">
        <v>1054</v>
      </c>
      <c r="H2538" t="s">
        <v>132</v>
      </c>
      <c r="I2538" s="6" t="s">
        <v>1082</v>
      </c>
      <c r="J2538" s="61" t="s">
        <v>22</v>
      </c>
      <c r="L2538" s="5" t="str">
        <f t="shared" si="799"/>
        <v>02537</v>
      </c>
      <c r="M2538" s="47" t="str">
        <f t="shared" si="800"/>
        <v>15 de noviembre de 2019</v>
      </c>
      <c r="N2538" s="323">
        <f t="shared" si="796"/>
        <v>15</v>
      </c>
      <c r="O2538" s="25">
        <f t="shared" si="801"/>
        <v>43770</v>
      </c>
      <c r="P2538" s="5" t="str">
        <f t="shared" si="797"/>
        <v>64.500,00</v>
      </c>
      <c r="Q2538" s="4" t="str">
        <f t="shared" si="798"/>
        <v>Sesenta y Cuatro Mil Quinientos Bolívares con 00/100</v>
      </c>
    </row>
    <row r="2539" spans="1:17" x14ac:dyDescent="0.25">
      <c r="A2539" s="1">
        <f t="shared" si="802"/>
        <v>2538</v>
      </c>
      <c r="B2539" s="8"/>
      <c r="C2539" s="8" t="s">
        <v>17</v>
      </c>
      <c r="D2539" s="2">
        <v>43786</v>
      </c>
      <c r="E2539" s="3">
        <v>64500</v>
      </c>
      <c r="F2539" t="s">
        <v>935</v>
      </c>
      <c r="G2539" t="s">
        <v>936</v>
      </c>
      <c r="H2539" t="s">
        <v>150</v>
      </c>
      <c r="I2539" s="6" t="s">
        <v>1082</v>
      </c>
      <c r="J2539" s="61" t="s">
        <v>22</v>
      </c>
      <c r="L2539" s="5" t="str">
        <f t="shared" si="799"/>
        <v>02538</v>
      </c>
      <c r="M2539" s="47" t="str">
        <f t="shared" si="800"/>
        <v>17 de noviembre de 2019</v>
      </c>
      <c r="N2539" s="323">
        <f t="shared" si="796"/>
        <v>17</v>
      </c>
      <c r="O2539" s="25">
        <f t="shared" si="801"/>
        <v>43770</v>
      </c>
      <c r="P2539" s="5" t="str">
        <f t="shared" si="797"/>
        <v>64.500,00</v>
      </c>
      <c r="Q2539" s="4" t="str">
        <f t="shared" si="798"/>
        <v>Sesenta y Cuatro Mil Quinientos Bolívares con 00/100</v>
      </c>
    </row>
    <row r="2540" spans="1:17" x14ac:dyDescent="0.25">
      <c r="A2540" s="1">
        <f>A2539+1</f>
        <v>2539</v>
      </c>
      <c r="B2540" s="8"/>
      <c r="C2540" s="8" t="s">
        <v>17</v>
      </c>
      <c r="D2540" s="2">
        <v>43786</v>
      </c>
      <c r="E2540" s="3">
        <v>64500</v>
      </c>
      <c r="F2540" t="s">
        <v>296</v>
      </c>
      <c r="G2540" t="s">
        <v>297</v>
      </c>
      <c r="H2540" t="s">
        <v>298</v>
      </c>
      <c r="I2540" s="6" t="s">
        <v>1082</v>
      </c>
      <c r="J2540" s="61" t="s">
        <v>22</v>
      </c>
      <c r="L2540" s="5" t="str">
        <f t="shared" si="799"/>
        <v>02539</v>
      </c>
      <c r="M2540" s="47" t="str">
        <f t="shared" si="800"/>
        <v>17 de noviembre de 2019</v>
      </c>
      <c r="N2540" s="323">
        <f t="shared" si="796"/>
        <v>17</v>
      </c>
      <c r="O2540" s="25">
        <f t="shared" si="801"/>
        <v>43770</v>
      </c>
      <c r="P2540" s="5" t="str">
        <f t="shared" si="797"/>
        <v>64.500,00</v>
      </c>
      <c r="Q2540" s="4" t="str">
        <f t="shared" si="798"/>
        <v>Sesenta y Cuatro Mil Quinientos Bolívares con 00/100</v>
      </c>
    </row>
    <row r="2541" spans="1:17" x14ac:dyDescent="0.25">
      <c r="A2541" s="1">
        <f t="shared" ref="A2541" si="803">A2540+1</f>
        <v>2540</v>
      </c>
      <c r="B2541" s="8"/>
      <c r="C2541" s="8" t="s">
        <v>17</v>
      </c>
      <c r="D2541" s="2">
        <v>43786</v>
      </c>
      <c r="E2541" s="3">
        <v>64500</v>
      </c>
      <c r="F2541" t="s">
        <v>633</v>
      </c>
      <c r="G2541" t="s">
        <v>634</v>
      </c>
      <c r="H2541" t="s">
        <v>635</v>
      </c>
      <c r="I2541" s="6" t="s">
        <v>1082</v>
      </c>
      <c r="J2541" s="61" t="s">
        <v>22</v>
      </c>
      <c r="L2541" s="5" t="str">
        <f t="shared" si="799"/>
        <v>02540</v>
      </c>
      <c r="M2541" s="47" t="str">
        <f t="shared" si="800"/>
        <v>17 de noviembre de 2019</v>
      </c>
      <c r="N2541" s="323">
        <f t="shared" si="796"/>
        <v>17</v>
      </c>
      <c r="O2541" s="25">
        <f t="shared" si="801"/>
        <v>43770</v>
      </c>
      <c r="P2541" s="5" t="str">
        <f t="shared" si="797"/>
        <v>64.500,00</v>
      </c>
      <c r="Q2541" s="4" t="str">
        <f t="shared" si="798"/>
        <v>Sesenta y Cuatro Mil Quinientos Bolívares con 00/100</v>
      </c>
    </row>
    <row r="2542" spans="1:17" x14ac:dyDescent="0.25">
      <c r="A2542" s="1">
        <f>A2541+1</f>
        <v>2541</v>
      </c>
      <c r="B2542" s="8"/>
      <c r="C2542" s="8" t="s">
        <v>17</v>
      </c>
      <c r="D2542" s="2">
        <v>43786</v>
      </c>
      <c r="E2542" s="3">
        <v>64500</v>
      </c>
      <c r="F2542" t="s">
        <v>239</v>
      </c>
      <c r="G2542" s="73" t="s">
        <v>240</v>
      </c>
      <c r="H2542" t="s">
        <v>241</v>
      </c>
      <c r="I2542" s="6" t="s">
        <v>1082</v>
      </c>
      <c r="J2542" s="61" t="s">
        <v>22</v>
      </c>
      <c r="L2542" s="5" t="str">
        <f t="shared" si="799"/>
        <v>02541</v>
      </c>
      <c r="M2542" s="47" t="str">
        <f t="shared" si="800"/>
        <v>17 de noviembre de 2019</v>
      </c>
      <c r="N2542" s="323">
        <f t="shared" si="796"/>
        <v>17</v>
      </c>
      <c r="O2542" s="25">
        <f t="shared" si="801"/>
        <v>43770</v>
      </c>
      <c r="P2542" s="5" t="str">
        <f t="shared" si="797"/>
        <v>64.500,00</v>
      </c>
      <c r="Q2542" s="4" t="str">
        <f t="shared" si="798"/>
        <v>Sesenta y Cuatro Mil Quinientos Bolívares con 00/100</v>
      </c>
    </row>
    <row r="2543" spans="1:17" x14ac:dyDescent="0.25">
      <c r="A2543" s="1">
        <f t="shared" ref="A2543:A2549" si="804">A2542+1</f>
        <v>2542</v>
      </c>
      <c r="B2543" s="8"/>
      <c r="C2543" s="8" t="s">
        <v>17</v>
      </c>
      <c r="D2543" s="2">
        <v>43787</v>
      </c>
      <c r="E2543" s="3">
        <v>73500</v>
      </c>
      <c r="F2543" t="s">
        <v>438</v>
      </c>
      <c r="G2543" t="s">
        <v>439</v>
      </c>
      <c r="H2543" t="s">
        <v>440</v>
      </c>
      <c r="I2543" s="6" t="s">
        <v>1096</v>
      </c>
      <c r="J2543" s="61" t="s">
        <v>22</v>
      </c>
      <c r="L2543" s="5" t="str">
        <f t="shared" si="799"/>
        <v>02542</v>
      </c>
      <c r="M2543" s="47" t="str">
        <f t="shared" si="800"/>
        <v>18 de noviembre de 2019</v>
      </c>
      <c r="N2543" s="323">
        <f t="shared" si="796"/>
        <v>18</v>
      </c>
      <c r="O2543" s="25">
        <f t="shared" si="801"/>
        <v>43770</v>
      </c>
      <c r="P2543" s="5" t="str">
        <f t="shared" si="797"/>
        <v>73.500,00</v>
      </c>
      <c r="Q2543" s="4" t="str">
        <f t="shared" si="798"/>
        <v>Setenta y Tres Mil Quinientos Bolívares con 00/100</v>
      </c>
    </row>
    <row r="2544" spans="1:17" x14ac:dyDescent="0.25">
      <c r="A2544" s="1">
        <f t="shared" si="804"/>
        <v>2543</v>
      </c>
      <c r="B2544" s="8"/>
      <c r="C2544" s="8" t="s">
        <v>17</v>
      </c>
      <c r="D2544" s="2">
        <v>43788</v>
      </c>
      <c r="E2544" s="3">
        <v>73500</v>
      </c>
      <c r="F2544" t="s">
        <v>248</v>
      </c>
      <c r="G2544" t="s">
        <v>249</v>
      </c>
      <c r="H2544" t="s">
        <v>250</v>
      </c>
      <c r="I2544" s="6" t="s">
        <v>1082</v>
      </c>
      <c r="J2544" s="61" t="s">
        <v>22</v>
      </c>
      <c r="L2544" s="5" t="str">
        <f t="shared" si="799"/>
        <v>02543</v>
      </c>
      <c r="M2544" s="47" t="str">
        <f t="shared" si="800"/>
        <v>19 de noviembre de 2019</v>
      </c>
      <c r="N2544" s="323">
        <f t="shared" si="796"/>
        <v>19</v>
      </c>
      <c r="O2544" s="25">
        <f t="shared" si="801"/>
        <v>43770</v>
      </c>
      <c r="P2544" s="5" t="str">
        <f t="shared" si="797"/>
        <v>73.500,00</v>
      </c>
      <c r="Q2544" s="4" t="str">
        <f t="shared" si="798"/>
        <v>Setenta y Tres Mil Quinientos Bolívares con 00/100</v>
      </c>
    </row>
    <row r="2545" spans="1:17" x14ac:dyDescent="0.25">
      <c r="A2545" s="1">
        <f t="shared" si="804"/>
        <v>2544</v>
      </c>
      <c r="B2545" s="8"/>
      <c r="C2545" s="8" t="s">
        <v>17</v>
      </c>
      <c r="D2545" s="2">
        <v>43788</v>
      </c>
      <c r="E2545" s="3">
        <v>200000</v>
      </c>
      <c r="F2545" t="s">
        <v>66</v>
      </c>
      <c r="G2545" t="s">
        <v>67</v>
      </c>
      <c r="H2545" t="s">
        <v>68</v>
      </c>
      <c r="I2545" s="6" t="s">
        <v>1097</v>
      </c>
      <c r="J2545" s="61" t="s">
        <v>22</v>
      </c>
      <c r="L2545" s="5" t="str">
        <f t="shared" ref="L2545:L2556" si="805">IF(ISBLANK(A2545),"",TEXT(A2545,"00000"))</f>
        <v>02544</v>
      </c>
      <c r="M2545" s="47" t="str">
        <f t="shared" ref="M2545:M2556" si="806">IF(ISBLANK(D2545),"",TEXT(D2545,"dd")&amp;" de "&amp;TEXT(D2545,"mmmm")&amp;" de "&amp;TEXT(YEAR(D2545),"0"))</f>
        <v>19 de noviembre de 2019</v>
      </c>
      <c r="N2545" s="323">
        <f t="shared" ref="N2545:N2570" si="807">DAY(D2545)</f>
        <v>19</v>
      </c>
      <c r="O2545" s="25">
        <f t="shared" ref="O2545:O2556" si="808">DATE(YEAR(D2545),MONTH(D2545),1)</f>
        <v>43770</v>
      </c>
      <c r="P2545" s="5" t="str">
        <f t="shared" ref="P2545:P2570" si="809">TEXT(E2545,"#.##0,00")</f>
        <v>200.000,00</v>
      </c>
      <c r="Q2545" s="4" t="str">
        <f t="shared" ref="Q2545:Q2562" si="810">CONVERTIRNUM(E2545)</f>
        <v>Doscientos Mil Bolívares con 00/100</v>
      </c>
    </row>
    <row r="2546" spans="1:17" x14ac:dyDescent="0.25">
      <c r="A2546" s="1">
        <f t="shared" si="804"/>
        <v>2545</v>
      </c>
      <c r="B2546" s="8"/>
      <c r="C2546" s="8" t="s">
        <v>17</v>
      </c>
      <c r="D2546" s="2">
        <v>43789</v>
      </c>
      <c r="E2546" s="3">
        <v>147000</v>
      </c>
      <c r="F2546" t="s">
        <v>287</v>
      </c>
      <c r="G2546" t="s">
        <v>288</v>
      </c>
      <c r="H2546" t="s">
        <v>289</v>
      </c>
      <c r="I2546" s="6" t="s">
        <v>1088</v>
      </c>
      <c r="J2546" s="61" t="s">
        <v>22</v>
      </c>
      <c r="L2546" s="5" t="str">
        <f t="shared" si="805"/>
        <v>02545</v>
      </c>
      <c r="M2546" s="47" t="str">
        <f t="shared" si="806"/>
        <v>20 de noviembre de 2019</v>
      </c>
      <c r="N2546" s="323">
        <f t="shared" si="807"/>
        <v>20</v>
      </c>
      <c r="O2546" s="25">
        <f t="shared" si="808"/>
        <v>43770</v>
      </c>
      <c r="P2546" s="5" t="str">
        <f t="shared" si="809"/>
        <v>147.000,00</v>
      </c>
      <c r="Q2546" s="4" t="str">
        <f t="shared" si="810"/>
        <v>Ciento Cuarenta y Siete Mil Bolívares con 00/100</v>
      </c>
    </row>
    <row r="2547" spans="1:17" x14ac:dyDescent="0.25">
      <c r="A2547" s="1">
        <f t="shared" si="804"/>
        <v>2546</v>
      </c>
      <c r="B2547" s="8"/>
      <c r="C2547" s="8" t="s">
        <v>17</v>
      </c>
      <c r="D2547" s="2">
        <v>43790</v>
      </c>
      <c r="E2547" s="3">
        <v>73500</v>
      </c>
      <c r="F2547" t="s">
        <v>713</v>
      </c>
      <c r="G2547" t="s">
        <v>714</v>
      </c>
      <c r="H2547" t="s">
        <v>154</v>
      </c>
      <c r="I2547" s="6" t="s">
        <v>1082</v>
      </c>
      <c r="J2547" s="61" t="s">
        <v>22</v>
      </c>
      <c r="L2547" s="5" t="str">
        <f t="shared" si="805"/>
        <v>02546</v>
      </c>
      <c r="M2547" s="47" t="str">
        <f t="shared" si="806"/>
        <v>21 de noviembre de 2019</v>
      </c>
      <c r="N2547" s="323">
        <f t="shared" si="807"/>
        <v>21</v>
      </c>
      <c r="O2547" s="25">
        <f t="shared" si="808"/>
        <v>43770</v>
      </c>
      <c r="P2547" s="5" t="str">
        <f t="shared" si="809"/>
        <v>73.500,00</v>
      </c>
      <c r="Q2547" s="4" t="str">
        <f t="shared" si="810"/>
        <v>Setenta y Tres Mil Quinientos Bolívares con 00/100</v>
      </c>
    </row>
    <row r="2548" spans="1:17" x14ac:dyDescent="0.25">
      <c r="A2548" s="1">
        <f t="shared" si="804"/>
        <v>2547</v>
      </c>
      <c r="B2548" s="8"/>
      <c r="C2548" s="8" t="s">
        <v>17</v>
      </c>
      <c r="D2548" s="2">
        <v>43790</v>
      </c>
      <c r="E2548" s="3">
        <v>73500</v>
      </c>
      <c r="F2548" t="s">
        <v>1017</v>
      </c>
      <c r="G2548" s="475" t="s">
        <v>1018</v>
      </c>
      <c r="H2548" t="s">
        <v>140</v>
      </c>
      <c r="I2548" s="6" t="s">
        <v>1082</v>
      </c>
      <c r="J2548" s="61" t="s">
        <v>22</v>
      </c>
      <c r="L2548" s="5" t="str">
        <f t="shared" si="805"/>
        <v>02547</v>
      </c>
      <c r="M2548" s="47" t="str">
        <f t="shared" si="806"/>
        <v>21 de noviembre de 2019</v>
      </c>
      <c r="N2548" s="323">
        <f t="shared" si="807"/>
        <v>21</v>
      </c>
      <c r="O2548" s="25">
        <f t="shared" si="808"/>
        <v>43770</v>
      </c>
      <c r="P2548" s="5" t="str">
        <f t="shared" si="809"/>
        <v>73.500,00</v>
      </c>
      <c r="Q2548" s="4" t="str">
        <f t="shared" si="810"/>
        <v>Setenta y Tres Mil Quinientos Bolívares con 00/100</v>
      </c>
    </row>
    <row r="2549" spans="1:17" x14ac:dyDescent="0.25">
      <c r="A2549" s="1">
        <f t="shared" si="804"/>
        <v>2548</v>
      </c>
      <c r="B2549" s="8"/>
      <c r="C2549" s="8" t="s">
        <v>17</v>
      </c>
      <c r="D2549" s="2">
        <v>43790</v>
      </c>
      <c r="E2549" s="3">
        <v>73500</v>
      </c>
      <c r="F2549" t="s">
        <v>134</v>
      </c>
      <c r="G2549" t="s">
        <v>135</v>
      </c>
      <c r="H2549" t="s">
        <v>136</v>
      </c>
      <c r="I2549" s="6" t="s">
        <v>1082</v>
      </c>
      <c r="J2549" s="61" t="s">
        <v>22</v>
      </c>
      <c r="L2549" s="5" t="str">
        <f t="shared" si="805"/>
        <v>02548</v>
      </c>
      <c r="M2549" s="47" t="str">
        <f t="shared" si="806"/>
        <v>21 de noviembre de 2019</v>
      </c>
      <c r="N2549" s="323">
        <f t="shared" si="807"/>
        <v>21</v>
      </c>
      <c r="O2549" s="25">
        <f t="shared" si="808"/>
        <v>43770</v>
      </c>
      <c r="P2549" s="5" t="str">
        <f t="shared" si="809"/>
        <v>73.500,00</v>
      </c>
      <c r="Q2549" s="4" t="str">
        <f t="shared" si="810"/>
        <v>Setenta y Tres Mil Quinientos Bolívares con 00/100</v>
      </c>
    </row>
    <row r="2550" spans="1:17" x14ac:dyDescent="0.25">
      <c r="A2550" s="1">
        <f>A2549+1</f>
        <v>2549</v>
      </c>
      <c r="B2550" s="8"/>
      <c r="C2550" s="8" t="s">
        <v>17</v>
      </c>
      <c r="D2550" s="2">
        <v>43791</v>
      </c>
      <c r="E2550" s="3">
        <v>25000</v>
      </c>
      <c r="F2550" t="s">
        <v>401</v>
      </c>
      <c r="G2550" t="s">
        <v>402</v>
      </c>
      <c r="H2550" t="s">
        <v>403</v>
      </c>
      <c r="I2550" s="6" t="s">
        <v>1087</v>
      </c>
      <c r="J2550" s="61" t="s">
        <v>22</v>
      </c>
      <c r="L2550" s="5" t="str">
        <f t="shared" si="805"/>
        <v>02549</v>
      </c>
      <c r="M2550" s="47" t="str">
        <f t="shared" si="806"/>
        <v>22 de noviembre de 2019</v>
      </c>
      <c r="N2550" s="323">
        <f t="shared" si="807"/>
        <v>22</v>
      </c>
      <c r="O2550" s="25">
        <f t="shared" si="808"/>
        <v>43770</v>
      </c>
      <c r="P2550" s="5" t="str">
        <f t="shared" si="809"/>
        <v>25.000,00</v>
      </c>
      <c r="Q2550" s="4" t="str">
        <f t="shared" si="810"/>
        <v>Veinticinco Mil Bolívares con 00/100</v>
      </c>
    </row>
    <row r="2551" spans="1:17" x14ac:dyDescent="0.25">
      <c r="A2551" s="1">
        <f t="shared" ref="A2551:A2553" si="811">A2550+1</f>
        <v>2550</v>
      </c>
      <c r="B2551" s="8"/>
      <c r="C2551" s="8" t="s">
        <v>17</v>
      </c>
      <c r="D2551" s="2">
        <v>43791</v>
      </c>
      <c r="E2551" s="3">
        <v>73500</v>
      </c>
      <c r="F2551" t="s">
        <v>612</v>
      </c>
      <c r="G2551" t="s">
        <v>613</v>
      </c>
      <c r="H2551" t="s">
        <v>614</v>
      </c>
      <c r="I2551" s="6" t="s">
        <v>1082</v>
      </c>
      <c r="J2551" s="61" t="s">
        <v>22</v>
      </c>
      <c r="L2551" s="5" t="str">
        <f t="shared" si="805"/>
        <v>02550</v>
      </c>
      <c r="M2551" s="47" t="str">
        <f t="shared" si="806"/>
        <v>22 de noviembre de 2019</v>
      </c>
      <c r="N2551" s="323">
        <f t="shared" si="807"/>
        <v>22</v>
      </c>
      <c r="O2551" s="25">
        <f t="shared" si="808"/>
        <v>43770</v>
      </c>
      <c r="P2551" s="5" t="str">
        <f t="shared" si="809"/>
        <v>73.500,00</v>
      </c>
      <c r="Q2551" s="4" t="str">
        <f t="shared" si="810"/>
        <v>Setenta y Tres Mil Quinientos Bolívares con 00/100</v>
      </c>
    </row>
    <row r="2552" spans="1:17" x14ac:dyDescent="0.25">
      <c r="A2552" s="1">
        <f t="shared" si="811"/>
        <v>2551</v>
      </c>
      <c r="B2552" s="8"/>
      <c r="C2552" s="8" t="s">
        <v>17</v>
      </c>
      <c r="D2552" s="2">
        <v>43793</v>
      </c>
      <c r="E2552" s="3">
        <v>73500</v>
      </c>
      <c r="F2552" t="s">
        <v>843</v>
      </c>
      <c r="G2552" t="s">
        <v>844</v>
      </c>
      <c r="H2552" t="s">
        <v>169</v>
      </c>
      <c r="I2552" s="6" t="s">
        <v>1082</v>
      </c>
      <c r="J2552" s="61" t="s">
        <v>22</v>
      </c>
      <c r="L2552" s="5" t="str">
        <f t="shared" si="805"/>
        <v>02551</v>
      </c>
      <c r="M2552" s="47" t="str">
        <f t="shared" si="806"/>
        <v>24 de noviembre de 2019</v>
      </c>
      <c r="N2552" s="323">
        <f t="shared" si="807"/>
        <v>24</v>
      </c>
      <c r="O2552" s="25">
        <f t="shared" si="808"/>
        <v>43770</v>
      </c>
      <c r="P2552" s="5" t="str">
        <f t="shared" si="809"/>
        <v>73.500,00</v>
      </c>
      <c r="Q2552" s="4" t="str">
        <f t="shared" si="810"/>
        <v>Setenta y Tres Mil Quinientos Bolívares con 00/100</v>
      </c>
    </row>
    <row r="2553" spans="1:17" ht="16.5" customHeight="1" x14ac:dyDescent="0.25">
      <c r="A2553" s="1">
        <f t="shared" si="811"/>
        <v>2552</v>
      </c>
      <c r="B2553" s="8"/>
      <c r="C2553" s="8" t="s">
        <v>17</v>
      </c>
      <c r="D2553" s="2">
        <v>43793</v>
      </c>
      <c r="E2553" s="3">
        <v>73500</v>
      </c>
      <c r="F2553" t="s">
        <v>219</v>
      </c>
      <c r="G2553" t="s">
        <v>220</v>
      </c>
      <c r="H2553" t="s">
        <v>221</v>
      </c>
      <c r="I2553" s="6" t="s">
        <v>1098</v>
      </c>
      <c r="J2553" s="61" t="s">
        <v>22</v>
      </c>
      <c r="L2553" s="5" t="str">
        <f t="shared" si="805"/>
        <v>02552</v>
      </c>
      <c r="M2553" s="47" t="str">
        <f t="shared" si="806"/>
        <v>24 de noviembre de 2019</v>
      </c>
      <c r="N2553" s="323">
        <f t="shared" si="807"/>
        <v>24</v>
      </c>
      <c r="O2553" s="25">
        <f t="shared" si="808"/>
        <v>43770</v>
      </c>
      <c r="P2553" s="5" t="str">
        <f t="shared" si="809"/>
        <v>73.500,00</v>
      </c>
      <c r="Q2553" s="4" t="str">
        <f t="shared" si="810"/>
        <v>Setenta y Tres Mil Quinientos Bolívares con 00/100</v>
      </c>
    </row>
    <row r="2554" spans="1:17" x14ac:dyDescent="0.25">
      <c r="A2554" s="1">
        <f>A2553+1</f>
        <v>2553</v>
      </c>
      <c r="B2554" s="8"/>
      <c r="C2554" s="8" t="s">
        <v>17</v>
      </c>
      <c r="D2554" s="2">
        <v>43794</v>
      </c>
      <c r="E2554" s="3">
        <v>81750</v>
      </c>
      <c r="F2554" t="s">
        <v>211</v>
      </c>
      <c r="G2554" t="s">
        <v>212</v>
      </c>
      <c r="H2554" t="s">
        <v>213</v>
      </c>
      <c r="I2554" s="6" t="s">
        <v>1082</v>
      </c>
      <c r="J2554" s="61" t="s">
        <v>22</v>
      </c>
      <c r="L2554" s="5" t="str">
        <f t="shared" si="805"/>
        <v>02553</v>
      </c>
      <c r="M2554" s="47" t="str">
        <f t="shared" si="806"/>
        <v>25 de noviembre de 2019</v>
      </c>
      <c r="N2554" s="323">
        <f t="shared" si="807"/>
        <v>25</v>
      </c>
      <c r="O2554" s="25">
        <f t="shared" si="808"/>
        <v>43770</v>
      </c>
      <c r="P2554" s="5" t="str">
        <f t="shared" si="809"/>
        <v>81.750,00</v>
      </c>
      <c r="Q2554" s="4" t="str">
        <f t="shared" si="810"/>
        <v>Ochenta y Un Mil Setecientos Cincuenta Bolívares con 00/100</v>
      </c>
    </row>
    <row r="2555" spans="1:17" x14ac:dyDescent="0.25">
      <c r="A2555" s="1">
        <f t="shared" ref="A2555:A2566" si="812">A2554+1</f>
        <v>2554</v>
      </c>
      <c r="B2555" s="8"/>
      <c r="C2555" s="8" t="s">
        <v>17</v>
      </c>
      <c r="D2555" s="2">
        <v>43793</v>
      </c>
      <c r="E2555" s="3">
        <v>73500</v>
      </c>
      <c r="F2555" t="s">
        <v>998</v>
      </c>
      <c r="G2555" t="s">
        <v>999</v>
      </c>
      <c r="H2555" t="s">
        <v>1000</v>
      </c>
      <c r="I2555" s="6" t="s">
        <v>1082</v>
      </c>
      <c r="J2555" s="61" t="s">
        <v>22</v>
      </c>
      <c r="L2555" s="5" t="str">
        <f t="shared" si="805"/>
        <v>02554</v>
      </c>
      <c r="M2555" s="47" t="str">
        <f t="shared" si="806"/>
        <v>24 de noviembre de 2019</v>
      </c>
      <c r="N2555" s="323">
        <f t="shared" si="807"/>
        <v>24</v>
      </c>
      <c r="O2555" s="25">
        <f t="shared" si="808"/>
        <v>43770</v>
      </c>
      <c r="P2555" s="5" t="str">
        <f t="shared" si="809"/>
        <v>73.500,00</v>
      </c>
      <c r="Q2555" s="4" t="str">
        <f t="shared" si="810"/>
        <v>Setenta y Tres Mil Quinientos Bolívares con 00/100</v>
      </c>
    </row>
    <row r="2556" spans="1:17" x14ac:dyDescent="0.25">
      <c r="A2556" s="1">
        <f t="shared" si="812"/>
        <v>2555</v>
      </c>
      <c r="B2556" s="8"/>
      <c r="C2556" s="8" t="s">
        <v>17</v>
      </c>
      <c r="D2556" s="2">
        <v>43784</v>
      </c>
      <c r="E2556" s="597">
        <f>1.1*25800</f>
        <v>28380.000000000004</v>
      </c>
      <c r="F2556" t="s">
        <v>103</v>
      </c>
      <c r="G2556" s="599" t="s">
        <v>1047</v>
      </c>
      <c r="H2556" t="s">
        <v>105</v>
      </c>
      <c r="I2556" s="6" t="s">
        <v>1099</v>
      </c>
      <c r="J2556" s="61" t="s">
        <v>22</v>
      </c>
      <c r="L2556" s="5" t="str">
        <f t="shared" si="805"/>
        <v>02555</v>
      </c>
      <c r="M2556" s="47" t="str">
        <f t="shared" si="806"/>
        <v>15 de noviembre de 2019</v>
      </c>
      <c r="N2556" s="323">
        <f t="shared" si="807"/>
        <v>15</v>
      </c>
      <c r="O2556" s="25">
        <f t="shared" si="808"/>
        <v>43770</v>
      </c>
      <c r="P2556" s="5" t="str">
        <f t="shared" si="809"/>
        <v>28.380,00</v>
      </c>
      <c r="Q2556" s="4" t="str">
        <f t="shared" si="810"/>
        <v>Veintiocho Mil Trescientos Ochenta Bolívares con 00/100</v>
      </c>
    </row>
    <row r="2557" spans="1:17" x14ac:dyDescent="0.25">
      <c r="A2557" s="1">
        <f t="shared" si="812"/>
        <v>2556</v>
      </c>
      <c r="B2557" s="8"/>
      <c r="C2557" s="8" t="s">
        <v>17</v>
      </c>
      <c r="D2557" s="2">
        <v>43795</v>
      </c>
      <c r="E2557" s="3">
        <v>100000</v>
      </c>
      <c r="F2557" t="s">
        <v>44</v>
      </c>
      <c r="G2557" t="s">
        <v>45</v>
      </c>
      <c r="H2557" t="s">
        <v>46</v>
      </c>
      <c r="I2557" s="6" t="s">
        <v>1100</v>
      </c>
      <c r="J2557" s="61" t="s">
        <v>22</v>
      </c>
      <c r="L2557" s="5" t="str">
        <f>IF(ISBLANK(A2557),"",TEXT(A2557,"00000"))</f>
        <v>02556</v>
      </c>
      <c r="M2557" s="47" t="str">
        <f>IF(ISBLANK(D2557),"",TEXT(D2557,"dd")&amp;" de "&amp;TEXT(D2557,"mmmm")&amp;" de "&amp;TEXT(YEAR(D2557),"0"))</f>
        <v>26 de noviembre de 2019</v>
      </c>
      <c r="N2557" s="323">
        <f t="shared" si="807"/>
        <v>26</v>
      </c>
      <c r="O2557" s="25">
        <f>DATE(YEAR(D2557),MONTH(D2557),1)</f>
        <v>43770</v>
      </c>
      <c r="P2557" s="5" t="str">
        <f t="shared" si="809"/>
        <v>100.000,00</v>
      </c>
      <c r="Q2557" s="4" t="str">
        <f t="shared" si="810"/>
        <v>Cien Mil Bolívares con 00/100</v>
      </c>
    </row>
    <row r="2558" spans="1:17" x14ac:dyDescent="0.25">
      <c r="A2558" s="1">
        <f t="shared" si="812"/>
        <v>2557</v>
      </c>
      <c r="B2558" s="8"/>
      <c r="C2558" s="8" t="s">
        <v>17</v>
      </c>
      <c r="D2558" s="2">
        <v>43795</v>
      </c>
      <c r="E2558" s="3">
        <f>241049-E2559</f>
        <v>159299</v>
      </c>
      <c r="F2558" t="s">
        <v>215</v>
      </c>
      <c r="G2558" s="475" t="s">
        <v>1101</v>
      </c>
      <c r="H2558" t="s">
        <v>217</v>
      </c>
      <c r="I2558" s="6" t="s">
        <v>1102</v>
      </c>
      <c r="J2558" s="61" t="s">
        <v>22</v>
      </c>
      <c r="L2558" s="5" t="str">
        <f t="shared" ref="L2558:L2602" si="813">IF(ISBLANK(A2558),"",TEXT(A2558,"00000"))</f>
        <v>02557</v>
      </c>
      <c r="M2558" s="47" t="str">
        <f t="shared" ref="M2558:M2602" si="814">IF(ISBLANK(D2558),"",TEXT(D2558,"dd")&amp;" de "&amp;TEXT(D2558,"mmmm")&amp;" de "&amp;TEXT(YEAR(D2558),"0"))</f>
        <v>26 de noviembre de 2019</v>
      </c>
      <c r="N2558" s="323">
        <f t="shared" si="807"/>
        <v>26</v>
      </c>
      <c r="O2558" s="25">
        <f t="shared" ref="O2558:O2602" si="815">DATE(YEAR(D2558),MONTH(D2558),1)</f>
        <v>43770</v>
      </c>
      <c r="P2558" s="5" t="str">
        <f t="shared" si="809"/>
        <v>159.299,00</v>
      </c>
      <c r="Q2558" s="4" t="str">
        <f t="shared" si="810"/>
        <v>Ciento Cincuenta y Nueve Mil Doscientos Noventa y Nueve Bolívares con 00/100</v>
      </c>
    </row>
    <row r="2559" spans="1:17" x14ac:dyDescent="0.25">
      <c r="A2559" s="1">
        <f t="shared" si="812"/>
        <v>2558</v>
      </c>
      <c r="B2559" s="8"/>
      <c r="C2559" s="8" t="s">
        <v>17</v>
      </c>
      <c r="D2559" s="2">
        <v>43795</v>
      </c>
      <c r="E2559" s="3">
        <v>81750</v>
      </c>
      <c r="F2559" t="s">
        <v>215</v>
      </c>
      <c r="G2559" s="475" t="s">
        <v>1101</v>
      </c>
      <c r="H2559" t="s">
        <v>217</v>
      </c>
      <c r="I2559" s="6" t="s">
        <v>1082</v>
      </c>
      <c r="J2559" s="61" t="s">
        <v>22</v>
      </c>
      <c r="L2559" s="5" t="str">
        <f t="shared" si="813"/>
        <v>02558</v>
      </c>
      <c r="M2559" s="47" t="str">
        <f t="shared" si="814"/>
        <v>26 de noviembre de 2019</v>
      </c>
      <c r="N2559" s="323">
        <f t="shared" si="807"/>
        <v>26</v>
      </c>
      <c r="O2559" s="25">
        <f t="shared" si="815"/>
        <v>43770</v>
      </c>
      <c r="P2559" s="5" t="str">
        <f t="shared" si="809"/>
        <v>81.750,00</v>
      </c>
      <c r="Q2559" s="4" t="str">
        <f t="shared" si="810"/>
        <v>Ochenta y Un Mil Setecientos Cincuenta Bolívares con 00/100</v>
      </c>
    </row>
    <row r="2560" spans="1:17" x14ac:dyDescent="0.25">
      <c r="A2560" s="1">
        <f t="shared" si="812"/>
        <v>2559</v>
      </c>
      <c r="B2560" s="8"/>
      <c r="C2560" s="8" t="s">
        <v>17</v>
      </c>
      <c r="D2560" s="2">
        <v>43797</v>
      </c>
      <c r="E2560" s="3">
        <v>81750</v>
      </c>
      <c r="F2560" t="s">
        <v>947</v>
      </c>
      <c r="G2560" t="s">
        <v>948</v>
      </c>
      <c r="H2560" t="s">
        <v>949</v>
      </c>
      <c r="I2560" s="6" t="s">
        <v>1100</v>
      </c>
      <c r="J2560" s="61" t="s">
        <v>22</v>
      </c>
      <c r="L2560" s="5" t="str">
        <f t="shared" si="813"/>
        <v>02559</v>
      </c>
      <c r="M2560" s="47" t="str">
        <f t="shared" si="814"/>
        <v>28 de noviembre de 2019</v>
      </c>
      <c r="N2560" s="323">
        <f t="shared" si="807"/>
        <v>28</v>
      </c>
      <c r="O2560" s="25">
        <f t="shared" si="815"/>
        <v>43770</v>
      </c>
      <c r="P2560" s="5" t="str">
        <f t="shared" si="809"/>
        <v>81.750,00</v>
      </c>
      <c r="Q2560" s="4" t="str">
        <f t="shared" si="810"/>
        <v>Ochenta y Un Mil Setecientos Cincuenta Bolívares con 00/100</v>
      </c>
    </row>
    <row r="2561" spans="1:17" x14ac:dyDescent="0.25">
      <c r="A2561" s="1">
        <f t="shared" si="812"/>
        <v>2560</v>
      </c>
      <c r="C2561" s="8" t="s">
        <v>17</v>
      </c>
      <c r="D2561" s="2">
        <v>43797</v>
      </c>
      <c r="E2561" s="3">
        <v>100000</v>
      </c>
      <c r="F2561" t="s">
        <v>90</v>
      </c>
      <c r="G2561" s="475" t="s">
        <v>978</v>
      </c>
      <c r="H2561" t="s">
        <v>92</v>
      </c>
      <c r="I2561" s="6" t="s">
        <v>1082</v>
      </c>
      <c r="J2561" s="61" t="s">
        <v>22</v>
      </c>
      <c r="L2561" s="5" t="str">
        <f t="shared" si="813"/>
        <v>02560</v>
      </c>
      <c r="M2561" s="47" t="str">
        <f t="shared" si="814"/>
        <v>28 de noviembre de 2019</v>
      </c>
      <c r="N2561" s="323">
        <f t="shared" si="807"/>
        <v>28</v>
      </c>
      <c r="O2561" s="25">
        <f t="shared" si="815"/>
        <v>43770</v>
      </c>
      <c r="P2561" s="5" t="str">
        <f t="shared" si="809"/>
        <v>100.000,00</v>
      </c>
      <c r="Q2561" s="4" t="str">
        <f t="shared" si="810"/>
        <v>Cien Mil Bolívares con 00/100</v>
      </c>
    </row>
    <row r="2562" spans="1:17" x14ac:dyDescent="0.25">
      <c r="A2562" s="1">
        <f t="shared" si="812"/>
        <v>2561</v>
      </c>
      <c r="B2562" s="8"/>
      <c r="C2562" s="85" t="s">
        <v>17</v>
      </c>
      <c r="D2562" s="2">
        <v>43798</v>
      </c>
      <c r="E2562" s="3">
        <v>118540</v>
      </c>
      <c r="F2562" s="23" t="s">
        <v>422</v>
      </c>
      <c r="G2562" s="18" t="s">
        <v>58</v>
      </c>
      <c r="H2562" t="s">
        <v>423</v>
      </c>
      <c r="I2562" s="6" t="s">
        <v>1082</v>
      </c>
      <c r="J2562" s="61" t="s">
        <v>22</v>
      </c>
      <c r="L2562" s="5" t="str">
        <f t="shared" si="813"/>
        <v>02561</v>
      </c>
      <c r="M2562" s="47" t="str">
        <f t="shared" si="814"/>
        <v>29 de noviembre de 2019</v>
      </c>
      <c r="N2562" s="323">
        <f t="shared" si="807"/>
        <v>29</v>
      </c>
      <c r="O2562" s="25">
        <f t="shared" si="815"/>
        <v>43770</v>
      </c>
      <c r="P2562" s="5" t="str">
        <f t="shared" si="809"/>
        <v>118.540,00</v>
      </c>
      <c r="Q2562" s="4" t="str">
        <f t="shared" si="810"/>
        <v>Ciento Dieciocho Mil Quinientos Cuarenta Bolívares con 00/100</v>
      </c>
    </row>
    <row r="2563" spans="1:17" x14ac:dyDescent="0.25">
      <c r="A2563" s="1">
        <f t="shared" si="812"/>
        <v>2562</v>
      </c>
      <c r="C2563" s="8" t="s">
        <v>17</v>
      </c>
      <c r="D2563" s="2">
        <v>43798</v>
      </c>
      <c r="E2563" s="3">
        <v>81750</v>
      </c>
      <c r="F2563" t="s">
        <v>407</v>
      </c>
      <c r="G2563" t="s">
        <v>408</v>
      </c>
      <c r="H2563" t="s">
        <v>409</v>
      </c>
      <c r="I2563" s="6" t="s">
        <v>1100</v>
      </c>
      <c r="J2563" s="61" t="s">
        <v>22</v>
      </c>
      <c r="L2563" s="5" t="str">
        <f t="shared" si="813"/>
        <v>02562</v>
      </c>
      <c r="M2563" s="47" t="str">
        <f t="shared" si="814"/>
        <v>29 de noviembre de 2019</v>
      </c>
      <c r="N2563" s="323">
        <f t="shared" si="807"/>
        <v>29</v>
      </c>
      <c r="O2563" s="25">
        <f t="shared" si="815"/>
        <v>43770</v>
      </c>
      <c r="P2563" s="5" t="str">
        <f t="shared" si="809"/>
        <v>81.750,00</v>
      </c>
      <c r="Q2563" s="4" t="str">
        <f>CONVERTIRNUM(E2563)</f>
        <v>Ochenta y Un Mil Setecientos Cincuenta Bolívares con 00/100</v>
      </c>
    </row>
    <row r="2564" spans="1:17" x14ac:dyDescent="0.25">
      <c r="A2564" s="1">
        <f t="shared" si="812"/>
        <v>2563</v>
      </c>
      <c r="C2564" s="8" t="s">
        <v>17</v>
      </c>
      <c r="D2564" s="2">
        <v>43798</v>
      </c>
      <c r="E2564" s="3">
        <v>81750</v>
      </c>
      <c r="F2564" t="s">
        <v>94</v>
      </c>
      <c r="G2564" t="s">
        <v>607</v>
      </c>
      <c r="H2564" t="s">
        <v>96</v>
      </c>
      <c r="I2564" s="6" t="s">
        <v>1082</v>
      </c>
      <c r="J2564" s="61" t="s">
        <v>22</v>
      </c>
      <c r="L2564" s="5" t="str">
        <f t="shared" si="813"/>
        <v>02563</v>
      </c>
      <c r="M2564" s="47" t="str">
        <f t="shared" si="814"/>
        <v>29 de noviembre de 2019</v>
      </c>
      <c r="N2564" s="323">
        <f t="shared" si="807"/>
        <v>29</v>
      </c>
      <c r="O2564" s="25">
        <f t="shared" si="815"/>
        <v>43770</v>
      </c>
      <c r="P2564" s="5" t="str">
        <f t="shared" si="809"/>
        <v>81.750,00</v>
      </c>
      <c r="Q2564" s="4" t="str">
        <f t="shared" ref="Q2564:Q2584" si="816">CONVERTIRNUM(E2564)</f>
        <v>Ochenta y Un Mil Setecientos Cincuenta Bolívares con 00/100</v>
      </c>
    </row>
    <row r="2565" spans="1:17" x14ac:dyDescent="0.25">
      <c r="A2565" s="1">
        <f t="shared" si="812"/>
        <v>2564</v>
      </c>
      <c r="C2565" s="8" t="s">
        <v>17</v>
      </c>
      <c r="D2565" s="2">
        <v>43798</v>
      </c>
      <c r="E2565" s="3">
        <v>81750</v>
      </c>
      <c r="F2565" t="s">
        <v>594</v>
      </c>
      <c r="G2565" t="s">
        <v>1051</v>
      </c>
      <c r="H2565" t="s">
        <v>596</v>
      </c>
      <c r="I2565" s="6" t="s">
        <v>1100</v>
      </c>
      <c r="J2565" s="61" t="s">
        <v>22</v>
      </c>
      <c r="L2565" s="5" t="str">
        <f t="shared" si="813"/>
        <v>02564</v>
      </c>
      <c r="M2565" s="47" t="str">
        <f t="shared" si="814"/>
        <v>29 de noviembre de 2019</v>
      </c>
      <c r="N2565" s="323">
        <f t="shared" si="807"/>
        <v>29</v>
      </c>
      <c r="O2565" s="25">
        <f t="shared" si="815"/>
        <v>43770</v>
      </c>
      <c r="P2565" s="5" t="str">
        <f t="shared" si="809"/>
        <v>81.750,00</v>
      </c>
      <c r="Q2565" s="4" t="str">
        <f t="shared" si="816"/>
        <v>Ochenta y Un Mil Setecientos Cincuenta Bolívares con 00/100</v>
      </c>
    </row>
    <row r="2566" spans="1:17" x14ac:dyDescent="0.25">
      <c r="A2566" s="1">
        <f t="shared" si="812"/>
        <v>2565</v>
      </c>
      <c r="C2566" s="8" t="s">
        <v>17</v>
      </c>
      <c r="D2566" s="2">
        <v>43793</v>
      </c>
      <c r="E2566" s="3">
        <v>73500</v>
      </c>
      <c r="F2566" t="s">
        <v>264</v>
      </c>
      <c r="G2566" t="s">
        <v>265</v>
      </c>
      <c r="H2566" t="s">
        <v>266</v>
      </c>
      <c r="I2566" s="6" t="s">
        <v>1082</v>
      </c>
      <c r="J2566" s="61" t="s">
        <v>22</v>
      </c>
      <c r="L2566" s="5" t="str">
        <f t="shared" si="813"/>
        <v>02565</v>
      </c>
      <c r="M2566" s="47" t="str">
        <f t="shared" si="814"/>
        <v>24 de noviembre de 2019</v>
      </c>
      <c r="N2566" s="323">
        <f t="shared" si="807"/>
        <v>24</v>
      </c>
      <c r="O2566" s="25">
        <f t="shared" si="815"/>
        <v>43770</v>
      </c>
      <c r="P2566" s="5" t="str">
        <f t="shared" si="809"/>
        <v>73.500,00</v>
      </c>
      <c r="Q2566" s="4" t="str">
        <f t="shared" si="816"/>
        <v>Setenta y Tres Mil Quinientos Bolívares con 00/100</v>
      </c>
    </row>
    <row r="2567" spans="1:17" x14ac:dyDescent="0.25">
      <c r="A2567" s="1">
        <f>A2566+1</f>
        <v>2566</v>
      </c>
      <c r="C2567" s="8" t="s">
        <v>17</v>
      </c>
      <c r="D2567" s="2">
        <v>43798</v>
      </c>
      <c r="E2567" s="3">
        <v>81750</v>
      </c>
      <c r="F2567" t="s">
        <v>36</v>
      </c>
      <c r="G2567" t="s">
        <v>37</v>
      </c>
      <c r="H2567" t="s">
        <v>38</v>
      </c>
      <c r="I2567" s="6" t="s">
        <v>1100</v>
      </c>
      <c r="J2567" s="61" t="s">
        <v>22</v>
      </c>
      <c r="L2567" s="5" t="str">
        <f t="shared" si="813"/>
        <v>02566</v>
      </c>
      <c r="M2567" s="47" t="str">
        <f t="shared" si="814"/>
        <v>29 de noviembre de 2019</v>
      </c>
      <c r="N2567" s="323">
        <f t="shared" si="807"/>
        <v>29</v>
      </c>
      <c r="O2567" s="25">
        <f t="shared" si="815"/>
        <v>43770</v>
      </c>
      <c r="P2567" s="5" t="str">
        <f t="shared" si="809"/>
        <v>81.750,00</v>
      </c>
      <c r="Q2567" s="4" t="str">
        <f t="shared" si="816"/>
        <v>Ochenta y Un Mil Setecientos Cincuenta Bolívares con 00/100</v>
      </c>
    </row>
    <row r="2568" spans="1:17" x14ac:dyDescent="0.25">
      <c r="A2568" s="1">
        <f>A2567+1</f>
        <v>2567</v>
      </c>
      <c r="C2568" s="8" t="s">
        <v>17</v>
      </c>
      <c r="D2568" s="2">
        <v>43799</v>
      </c>
      <c r="E2568" s="3">
        <v>81750</v>
      </c>
      <c r="F2568" t="s">
        <v>18</v>
      </c>
      <c r="G2568" t="s">
        <v>19</v>
      </c>
      <c r="H2568" t="s">
        <v>20</v>
      </c>
      <c r="I2568" s="6" t="s">
        <v>1103</v>
      </c>
      <c r="J2568" s="61" t="s">
        <v>22</v>
      </c>
      <c r="L2568" s="5" t="str">
        <f t="shared" si="813"/>
        <v>02567</v>
      </c>
      <c r="M2568" s="47" t="str">
        <f t="shared" si="814"/>
        <v>30 de noviembre de 2019</v>
      </c>
      <c r="N2568" s="323">
        <f t="shared" si="807"/>
        <v>30</v>
      </c>
      <c r="O2568" s="25">
        <f t="shared" si="815"/>
        <v>43770</v>
      </c>
      <c r="P2568" s="5" t="str">
        <f t="shared" si="809"/>
        <v>81.750,00</v>
      </c>
      <c r="Q2568" s="4" t="str">
        <f t="shared" si="816"/>
        <v>Ochenta y Un Mil Setecientos Cincuenta Bolívares con 00/100</v>
      </c>
    </row>
    <row r="2569" spans="1:17" x14ac:dyDescent="0.25">
      <c r="A2569" s="1">
        <f t="shared" ref="A2569" si="817">A2568+1</f>
        <v>2568</v>
      </c>
      <c r="C2569" s="8" t="s">
        <v>17</v>
      </c>
      <c r="D2569" s="2">
        <v>43799</v>
      </c>
      <c r="E2569" s="3">
        <v>81750</v>
      </c>
      <c r="F2569" t="s">
        <v>771</v>
      </c>
      <c r="G2569" t="s">
        <v>772</v>
      </c>
      <c r="H2569" t="s">
        <v>773</v>
      </c>
      <c r="I2569" s="6" t="s">
        <v>1104</v>
      </c>
      <c r="J2569" s="61" t="s">
        <v>22</v>
      </c>
      <c r="L2569" s="5" t="str">
        <f t="shared" si="813"/>
        <v>02568</v>
      </c>
      <c r="M2569" s="47" t="str">
        <f t="shared" si="814"/>
        <v>30 de noviembre de 2019</v>
      </c>
      <c r="N2569" s="323">
        <f t="shared" si="807"/>
        <v>30</v>
      </c>
      <c r="O2569" s="25">
        <f t="shared" si="815"/>
        <v>43770</v>
      </c>
      <c r="P2569" s="5" t="str">
        <f t="shared" si="809"/>
        <v>81.750,00</v>
      </c>
      <c r="Q2569" s="4" t="str">
        <f t="shared" si="816"/>
        <v>Ochenta y Un Mil Setecientos Cincuenta Bolívares con 00/100</v>
      </c>
    </row>
    <row r="2570" spans="1:17" x14ac:dyDescent="0.25">
      <c r="A2570" s="1">
        <f>A2569+1</f>
        <v>2569</v>
      </c>
      <c r="C2570" s="8" t="s">
        <v>17</v>
      </c>
      <c r="D2570" s="2">
        <v>43799</v>
      </c>
      <c r="E2570" s="3">
        <v>81750</v>
      </c>
      <c r="F2570" t="s">
        <v>24</v>
      </c>
      <c r="G2570" t="s">
        <v>25</v>
      </c>
      <c r="H2570" t="s">
        <v>26</v>
      </c>
      <c r="I2570" s="6" t="s">
        <v>1100</v>
      </c>
      <c r="J2570" s="61" t="s">
        <v>22</v>
      </c>
      <c r="L2570" s="5" t="str">
        <f t="shared" si="813"/>
        <v>02569</v>
      </c>
      <c r="M2570" s="47" t="str">
        <f t="shared" si="814"/>
        <v>30 de noviembre de 2019</v>
      </c>
      <c r="N2570" s="323">
        <f t="shared" si="807"/>
        <v>30</v>
      </c>
      <c r="O2570" s="25">
        <f t="shared" si="815"/>
        <v>43770</v>
      </c>
      <c r="P2570" s="5" t="str">
        <f t="shared" si="809"/>
        <v>81.750,00</v>
      </c>
      <c r="Q2570" s="4" t="str">
        <f t="shared" si="816"/>
        <v>Ochenta y Un Mil Setecientos Cincuenta Bolívares con 00/100</v>
      </c>
    </row>
    <row r="2571" spans="1:17" x14ac:dyDescent="0.25">
      <c r="A2571" s="1">
        <f t="shared" ref="A2571:A2576" si="818">A2570+1</f>
        <v>2570</v>
      </c>
      <c r="C2571" s="8" t="s">
        <v>17</v>
      </c>
      <c r="D2571" s="2">
        <v>43799</v>
      </c>
      <c r="E2571" s="3">
        <v>81750</v>
      </c>
      <c r="F2571" t="s">
        <v>134</v>
      </c>
      <c r="G2571" t="s">
        <v>135</v>
      </c>
      <c r="H2571" t="s">
        <v>136</v>
      </c>
      <c r="I2571" s="6" t="s">
        <v>1100</v>
      </c>
      <c r="J2571" s="61" t="s">
        <v>22</v>
      </c>
      <c r="L2571" s="5" t="str">
        <f t="shared" si="813"/>
        <v>02570</v>
      </c>
      <c r="M2571" s="47" t="str">
        <f t="shared" si="814"/>
        <v>30 de noviembre de 2019</v>
      </c>
      <c r="N2571" s="323">
        <f t="shared" ref="N2571:N2602" si="819">DAY(D2571)</f>
        <v>30</v>
      </c>
      <c r="O2571" s="25">
        <f t="shared" si="815"/>
        <v>43770</v>
      </c>
      <c r="P2571" s="5" t="str">
        <f t="shared" ref="P2571:P2589" si="820">TEXT(E2571,"#.##0,00")</f>
        <v>81.750,00</v>
      </c>
      <c r="Q2571" s="4" t="str">
        <f t="shared" si="816"/>
        <v>Ochenta y Un Mil Setecientos Cincuenta Bolívares con 00/100</v>
      </c>
    </row>
    <row r="2572" spans="1:17" x14ac:dyDescent="0.25">
      <c r="A2572" s="1">
        <f t="shared" si="818"/>
        <v>2571</v>
      </c>
      <c r="C2572" s="8" t="s">
        <v>17</v>
      </c>
      <c r="D2572" s="2">
        <v>43799</v>
      </c>
      <c r="E2572" s="3">
        <v>81750</v>
      </c>
      <c r="F2572" t="s">
        <v>454</v>
      </c>
      <c r="G2572" t="s">
        <v>761</v>
      </c>
      <c r="H2572" t="s">
        <v>455</v>
      </c>
      <c r="I2572" s="6" t="s">
        <v>1100</v>
      </c>
      <c r="J2572" s="61" t="s">
        <v>22</v>
      </c>
      <c r="L2572" s="5" t="str">
        <f t="shared" si="813"/>
        <v>02571</v>
      </c>
      <c r="M2572" s="47" t="str">
        <f t="shared" si="814"/>
        <v>30 de noviembre de 2019</v>
      </c>
      <c r="N2572" s="323">
        <f t="shared" si="819"/>
        <v>30</v>
      </c>
      <c r="O2572" s="25">
        <f t="shared" si="815"/>
        <v>43770</v>
      </c>
      <c r="P2572" s="5" t="str">
        <f t="shared" si="820"/>
        <v>81.750,00</v>
      </c>
      <c r="Q2572" s="4" t="str">
        <f t="shared" si="816"/>
        <v>Ochenta y Un Mil Setecientos Cincuenta Bolívares con 00/100</v>
      </c>
    </row>
    <row r="2573" spans="1:17" x14ac:dyDescent="0.25">
      <c r="A2573" s="1">
        <f t="shared" si="818"/>
        <v>2572</v>
      </c>
      <c r="C2573" s="8" t="s">
        <v>17</v>
      </c>
      <c r="D2573" s="2">
        <v>43800</v>
      </c>
      <c r="E2573" s="3">
        <v>32700</v>
      </c>
      <c r="F2573" t="s">
        <v>334</v>
      </c>
      <c r="G2573" t="s">
        <v>85</v>
      </c>
      <c r="H2573" t="s">
        <v>335</v>
      </c>
      <c r="I2573" s="6" t="s">
        <v>1105</v>
      </c>
      <c r="J2573" s="61" t="s">
        <v>22</v>
      </c>
      <c r="L2573" s="5" t="str">
        <f t="shared" si="813"/>
        <v>02572</v>
      </c>
      <c r="M2573" s="47" t="str">
        <f t="shared" si="814"/>
        <v>01 de diciembre de 2019</v>
      </c>
      <c r="N2573" s="323">
        <f t="shared" si="819"/>
        <v>1</v>
      </c>
      <c r="O2573" s="25">
        <f t="shared" si="815"/>
        <v>43800</v>
      </c>
      <c r="P2573" s="5" t="str">
        <f t="shared" si="820"/>
        <v>32.700,00</v>
      </c>
      <c r="Q2573" s="4" t="str">
        <f t="shared" si="816"/>
        <v>Treinta y Dos Mil Setecientos Bolívares con 00/100</v>
      </c>
    </row>
    <row r="2574" spans="1:17" x14ac:dyDescent="0.25">
      <c r="A2574" s="1">
        <f t="shared" si="818"/>
        <v>2573</v>
      </c>
      <c r="C2574" s="8" t="s">
        <v>17</v>
      </c>
      <c r="D2574" s="2">
        <v>43800</v>
      </c>
      <c r="E2574" s="3">
        <v>81750</v>
      </c>
      <c r="F2574" t="s">
        <v>84</v>
      </c>
      <c r="G2574" t="s">
        <v>85</v>
      </c>
      <c r="H2574" t="s">
        <v>86</v>
      </c>
      <c r="I2574" s="6" t="s">
        <v>1100</v>
      </c>
      <c r="J2574" s="61" t="s">
        <v>22</v>
      </c>
      <c r="L2574" s="5" t="str">
        <f t="shared" si="813"/>
        <v>02573</v>
      </c>
      <c r="M2574" s="47" t="str">
        <f t="shared" si="814"/>
        <v>01 de diciembre de 2019</v>
      </c>
      <c r="N2574" s="323">
        <f t="shared" si="819"/>
        <v>1</v>
      </c>
      <c r="O2574" s="25">
        <f t="shared" si="815"/>
        <v>43800</v>
      </c>
      <c r="P2574" s="5" t="str">
        <f t="shared" si="820"/>
        <v>81.750,00</v>
      </c>
      <c r="Q2574" s="4" t="str">
        <f t="shared" si="816"/>
        <v>Ochenta y Un Mil Setecientos Cincuenta Bolívares con 00/100</v>
      </c>
    </row>
    <row r="2575" spans="1:17" x14ac:dyDescent="0.25">
      <c r="A2575" s="1">
        <f t="shared" si="818"/>
        <v>2574</v>
      </c>
      <c r="C2575" s="8" t="s">
        <v>17</v>
      </c>
      <c r="D2575" s="2">
        <v>43800</v>
      </c>
      <c r="E2575" s="3">
        <v>255250</v>
      </c>
      <c r="F2575" t="s">
        <v>353</v>
      </c>
      <c r="G2575" t="s">
        <v>354</v>
      </c>
      <c r="H2575" t="s">
        <v>355</v>
      </c>
      <c r="I2575" s="6" t="s">
        <v>1106</v>
      </c>
      <c r="J2575" s="61" t="s">
        <v>22</v>
      </c>
      <c r="L2575" s="5" t="str">
        <f t="shared" si="813"/>
        <v>02574</v>
      </c>
      <c r="M2575" s="47" t="str">
        <f t="shared" si="814"/>
        <v>01 de diciembre de 2019</v>
      </c>
      <c r="N2575" s="323">
        <f t="shared" si="819"/>
        <v>1</v>
      </c>
      <c r="O2575" s="25">
        <f t="shared" si="815"/>
        <v>43800</v>
      </c>
      <c r="P2575" s="5" t="str">
        <f t="shared" si="820"/>
        <v>255.250,00</v>
      </c>
      <c r="Q2575" s="4" t="str">
        <f t="shared" si="816"/>
        <v>Doscientos Cincuenta y Cinco Mil Doscientos Cincuenta Bolívares con 00/100</v>
      </c>
    </row>
    <row r="2576" spans="1:17" x14ac:dyDescent="0.25">
      <c r="A2576" s="1">
        <f t="shared" si="818"/>
        <v>2575</v>
      </c>
      <c r="C2576" s="8" t="s">
        <v>17</v>
      </c>
      <c r="D2576" s="2">
        <v>43800</v>
      </c>
      <c r="E2576" s="3">
        <v>81750</v>
      </c>
      <c r="F2576" t="s">
        <v>230</v>
      </c>
      <c r="G2576" t="s">
        <v>231</v>
      </c>
      <c r="H2576" t="s">
        <v>232</v>
      </c>
      <c r="I2576" s="6" t="s">
        <v>1082</v>
      </c>
      <c r="J2576" s="61" t="s">
        <v>22</v>
      </c>
      <c r="L2576" s="5" t="str">
        <f t="shared" si="813"/>
        <v>02575</v>
      </c>
      <c r="M2576" s="47" t="str">
        <f t="shared" si="814"/>
        <v>01 de diciembre de 2019</v>
      </c>
      <c r="N2576" s="323">
        <f t="shared" si="819"/>
        <v>1</v>
      </c>
      <c r="O2576" s="25">
        <f t="shared" si="815"/>
        <v>43800</v>
      </c>
      <c r="P2576" s="5" t="str">
        <f t="shared" si="820"/>
        <v>81.750,00</v>
      </c>
      <c r="Q2576" s="4" t="str">
        <f t="shared" si="816"/>
        <v>Ochenta y Un Mil Setecientos Cincuenta Bolívares con 00/100</v>
      </c>
    </row>
    <row r="2577" spans="1:17" x14ac:dyDescent="0.25">
      <c r="A2577" s="1">
        <f>A2576+1</f>
        <v>2576</v>
      </c>
      <c r="C2577" s="8" t="s">
        <v>17</v>
      </c>
      <c r="D2577" s="2">
        <v>43800</v>
      </c>
      <c r="E2577" s="3">
        <v>81750</v>
      </c>
      <c r="F2577" t="s">
        <v>70</v>
      </c>
      <c r="G2577" t="s">
        <v>71</v>
      </c>
      <c r="H2577" t="s">
        <v>72</v>
      </c>
      <c r="I2577" s="6" t="s">
        <v>1100</v>
      </c>
      <c r="J2577" s="61" t="s">
        <v>22</v>
      </c>
      <c r="L2577" s="5" t="str">
        <f t="shared" si="813"/>
        <v>02576</v>
      </c>
      <c r="M2577" s="47" t="str">
        <f t="shared" si="814"/>
        <v>01 de diciembre de 2019</v>
      </c>
      <c r="N2577" s="323">
        <f t="shared" si="819"/>
        <v>1</v>
      </c>
      <c r="O2577" s="25">
        <f t="shared" si="815"/>
        <v>43800</v>
      </c>
      <c r="P2577" s="5" t="str">
        <f t="shared" si="820"/>
        <v>81.750,00</v>
      </c>
      <c r="Q2577" s="4" t="str">
        <f t="shared" si="816"/>
        <v>Ochenta y Un Mil Setecientos Cincuenta Bolívares con 00/100</v>
      </c>
    </row>
    <row r="2578" spans="1:17" x14ac:dyDescent="0.25">
      <c r="A2578" s="1">
        <f t="shared" ref="A2578:A2580" si="821">A2577+1</f>
        <v>2577</v>
      </c>
      <c r="C2578" s="8" t="s">
        <v>17</v>
      </c>
      <c r="D2578" s="2">
        <v>43800</v>
      </c>
      <c r="E2578" s="3">
        <v>81750</v>
      </c>
      <c r="F2578" t="s">
        <v>935</v>
      </c>
      <c r="G2578" t="s">
        <v>936</v>
      </c>
      <c r="H2578" t="s">
        <v>150</v>
      </c>
      <c r="I2578" s="6" t="s">
        <v>1100</v>
      </c>
      <c r="J2578" s="61" t="s">
        <v>22</v>
      </c>
      <c r="L2578" s="5" t="str">
        <f t="shared" si="813"/>
        <v>02577</v>
      </c>
      <c r="M2578" s="47" t="str">
        <f t="shared" si="814"/>
        <v>01 de diciembre de 2019</v>
      </c>
      <c r="N2578" s="323">
        <f t="shared" si="819"/>
        <v>1</v>
      </c>
      <c r="O2578" s="25">
        <f t="shared" si="815"/>
        <v>43800</v>
      </c>
      <c r="P2578" s="5" t="str">
        <f t="shared" si="820"/>
        <v>81.750,00</v>
      </c>
      <c r="Q2578" s="4" t="str">
        <f t="shared" si="816"/>
        <v>Ochenta y Un Mil Setecientos Cincuenta Bolívares con 00/100</v>
      </c>
    </row>
    <row r="2579" spans="1:17" x14ac:dyDescent="0.25">
      <c r="A2579" s="1">
        <f t="shared" si="821"/>
        <v>2578</v>
      </c>
      <c r="C2579" s="8" t="s">
        <v>17</v>
      </c>
      <c r="D2579" s="2">
        <v>43800</v>
      </c>
      <c r="E2579" s="3">
        <v>81750</v>
      </c>
      <c r="F2579" t="s">
        <v>114</v>
      </c>
      <c r="G2579" t="s">
        <v>115</v>
      </c>
      <c r="H2579" t="s">
        <v>105</v>
      </c>
      <c r="I2579" s="6" t="s">
        <v>1100</v>
      </c>
      <c r="J2579" s="61" t="s">
        <v>22</v>
      </c>
      <c r="L2579" s="5" t="str">
        <f t="shared" si="813"/>
        <v>02578</v>
      </c>
      <c r="M2579" s="47" t="str">
        <f t="shared" si="814"/>
        <v>01 de diciembre de 2019</v>
      </c>
      <c r="N2579" s="323">
        <f t="shared" si="819"/>
        <v>1</v>
      </c>
      <c r="O2579" s="25">
        <f t="shared" si="815"/>
        <v>43800</v>
      </c>
      <c r="P2579" s="5" t="str">
        <f t="shared" si="820"/>
        <v>81.750,00</v>
      </c>
      <c r="Q2579" s="4" t="str">
        <f t="shared" si="816"/>
        <v>Ochenta y Un Mil Setecientos Cincuenta Bolívares con 00/100</v>
      </c>
    </row>
    <row r="2580" spans="1:17" x14ac:dyDescent="0.25">
      <c r="A2580" s="1">
        <f t="shared" si="821"/>
        <v>2579</v>
      </c>
      <c r="C2580" s="8" t="s">
        <v>17</v>
      </c>
      <c r="D2580" s="2">
        <v>43800</v>
      </c>
      <c r="E2580" s="3">
        <v>81750</v>
      </c>
      <c r="F2580" t="s">
        <v>324</v>
      </c>
      <c r="G2580" t="s">
        <v>325</v>
      </c>
      <c r="H2580" t="s">
        <v>326</v>
      </c>
      <c r="I2580" s="6" t="s">
        <v>1100</v>
      </c>
      <c r="J2580" s="61" t="s">
        <v>22</v>
      </c>
      <c r="L2580" s="5" t="str">
        <f t="shared" si="813"/>
        <v>02579</v>
      </c>
      <c r="M2580" s="47" t="str">
        <f t="shared" si="814"/>
        <v>01 de diciembre de 2019</v>
      </c>
      <c r="N2580" s="323">
        <f t="shared" si="819"/>
        <v>1</v>
      </c>
      <c r="O2580" s="25">
        <f t="shared" si="815"/>
        <v>43800</v>
      </c>
      <c r="P2580" s="5" t="str">
        <f t="shared" si="820"/>
        <v>81.750,00</v>
      </c>
      <c r="Q2580" s="4" t="str">
        <f t="shared" si="816"/>
        <v>Ochenta y Un Mil Setecientos Cincuenta Bolívares con 00/100</v>
      </c>
    </row>
    <row r="2581" spans="1:17" x14ac:dyDescent="0.25">
      <c r="A2581" s="1">
        <f>A2580+1</f>
        <v>2580</v>
      </c>
      <c r="C2581" s="8" t="s">
        <v>17</v>
      </c>
      <c r="D2581" s="2">
        <v>43800</v>
      </c>
      <c r="E2581" s="3">
        <v>81750</v>
      </c>
      <c r="F2581" t="s">
        <v>201</v>
      </c>
      <c r="G2581" t="s">
        <v>202</v>
      </c>
      <c r="H2581" t="s">
        <v>203</v>
      </c>
      <c r="I2581" s="6" t="s">
        <v>1107</v>
      </c>
      <c r="J2581" s="61" t="s">
        <v>22</v>
      </c>
      <c r="L2581" s="5" t="str">
        <f t="shared" si="813"/>
        <v>02580</v>
      </c>
      <c r="M2581" s="47" t="str">
        <f t="shared" si="814"/>
        <v>01 de diciembre de 2019</v>
      </c>
      <c r="N2581" s="323">
        <f t="shared" si="819"/>
        <v>1</v>
      </c>
      <c r="O2581" s="25">
        <f t="shared" si="815"/>
        <v>43800</v>
      </c>
      <c r="P2581" s="5" t="str">
        <f t="shared" si="820"/>
        <v>81.750,00</v>
      </c>
      <c r="Q2581" s="4" t="str">
        <f t="shared" si="816"/>
        <v>Ochenta y Un Mil Setecientos Cincuenta Bolívares con 00/100</v>
      </c>
    </row>
    <row r="2582" spans="1:17" x14ac:dyDescent="0.25">
      <c r="A2582" s="1">
        <f>A2581+1</f>
        <v>2581</v>
      </c>
      <c r="C2582" s="8" t="s">
        <v>17</v>
      </c>
      <c r="D2582" s="2">
        <v>43800</v>
      </c>
      <c r="E2582" s="3">
        <v>81750</v>
      </c>
      <c r="F2582" t="s">
        <v>1004</v>
      </c>
      <c r="G2582" t="s">
        <v>1005</v>
      </c>
      <c r="H2582" t="s">
        <v>539</v>
      </c>
      <c r="I2582" s="6" t="s">
        <v>1100</v>
      </c>
      <c r="J2582" s="61" t="s">
        <v>22</v>
      </c>
      <c r="L2582" s="5" t="str">
        <f t="shared" si="813"/>
        <v>02581</v>
      </c>
      <c r="M2582" s="47" t="str">
        <f t="shared" si="814"/>
        <v>01 de diciembre de 2019</v>
      </c>
      <c r="N2582" s="323">
        <f t="shared" si="819"/>
        <v>1</v>
      </c>
      <c r="O2582" s="25">
        <f t="shared" si="815"/>
        <v>43800</v>
      </c>
      <c r="P2582" s="5" t="str">
        <f t="shared" si="820"/>
        <v>81.750,00</v>
      </c>
      <c r="Q2582" s="4" t="str">
        <f t="shared" si="816"/>
        <v>Ochenta y Un Mil Setecientos Cincuenta Bolívares con 00/100</v>
      </c>
    </row>
    <row r="2583" spans="1:17" x14ac:dyDescent="0.25">
      <c r="A2583" s="1">
        <f t="shared" ref="A2583:A2585" si="822">A2582+1</f>
        <v>2582</v>
      </c>
      <c r="B2583" s="8"/>
      <c r="C2583" s="85" t="s">
        <v>17</v>
      </c>
      <c r="D2583" s="2">
        <v>43800</v>
      </c>
      <c r="E2583" s="162">
        <v>81750</v>
      </c>
      <c r="F2583" t="s">
        <v>492</v>
      </c>
      <c r="G2583" s="18" t="s">
        <v>58</v>
      </c>
      <c r="H2583" t="s">
        <v>493</v>
      </c>
      <c r="I2583" s="6" t="s">
        <v>1100</v>
      </c>
      <c r="J2583" s="61" t="s">
        <v>22</v>
      </c>
      <c r="L2583" s="5" t="str">
        <f t="shared" si="813"/>
        <v>02582</v>
      </c>
      <c r="M2583" s="47" t="str">
        <f t="shared" si="814"/>
        <v>01 de diciembre de 2019</v>
      </c>
      <c r="N2583" s="323">
        <f t="shared" si="819"/>
        <v>1</v>
      </c>
      <c r="O2583" s="25">
        <f t="shared" si="815"/>
        <v>43800</v>
      </c>
      <c r="P2583" s="5" t="str">
        <f t="shared" si="820"/>
        <v>81.750,00</v>
      </c>
      <c r="Q2583" s="4" t="str">
        <f t="shared" si="816"/>
        <v>Ochenta y Un Mil Setecientos Cincuenta Bolívares con 00/100</v>
      </c>
    </row>
    <row r="2584" spans="1:17" x14ac:dyDescent="0.25">
      <c r="A2584" s="1">
        <f t="shared" si="822"/>
        <v>2583</v>
      </c>
      <c r="B2584" s="8"/>
      <c r="C2584" s="8" t="s">
        <v>17</v>
      </c>
      <c r="D2584" s="2">
        <v>43800</v>
      </c>
      <c r="E2584" s="3">
        <v>81750</v>
      </c>
      <c r="F2584" t="s">
        <v>362</v>
      </c>
      <c r="G2584" t="s">
        <v>363</v>
      </c>
      <c r="H2584" t="s">
        <v>364</v>
      </c>
      <c r="I2584" s="6" t="s">
        <v>1100</v>
      </c>
      <c r="J2584" s="61" t="s">
        <v>22</v>
      </c>
      <c r="L2584" s="5" t="str">
        <f t="shared" si="813"/>
        <v>02583</v>
      </c>
      <c r="M2584" s="47" t="str">
        <f t="shared" si="814"/>
        <v>01 de diciembre de 2019</v>
      </c>
      <c r="N2584" s="323">
        <f t="shared" si="819"/>
        <v>1</v>
      </c>
      <c r="O2584" s="25">
        <f t="shared" si="815"/>
        <v>43800</v>
      </c>
      <c r="P2584" s="5" t="str">
        <f t="shared" si="820"/>
        <v>81.750,00</v>
      </c>
      <c r="Q2584" s="4" t="str">
        <f t="shared" si="816"/>
        <v>Ochenta y Un Mil Setecientos Cincuenta Bolívares con 00/100</v>
      </c>
    </row>
    <row r="2585" spans="1:17" x14ac:dyDescent="0.25">
      <c r="A2585" s="1">
        <f t="shared" si="822"/>
        <v>2584</v>
      </c>
      <c r="B2585" s="8"/>
      <c r="C2585" s="8" t="s">
        <v>17</v>
      </c>
      <c r="D2585" s="2">
        <v>43800</v>
      </c>
      <c r="E2585" s="3">
        <f>81750*2</f>
        <v>163500</v>
      </c>
      <c r="F2585" t="s">
        <v>1015</v>
      </c>
      <c r="G2585" t="s">
        <v>1016</v>
      </c>
      <c r="H2585" t="s">
        <v>59</v>
      </c>
      <c r="I2585" s="6" t="s">
        <v>1108</v>
      </c>
      <c r="J2585" s="61" t="s">
        <v>22</v>
      </c>
      <c r="L2585" s="5" t="str">
        <f t="shared" si="813"/>
        <v>02584</v>
      </c>
      <c r="M2585" s="47" t="str">
        <f t="shared" si="814"/>
        <v>01 de diciembre de 2019</v>
      </c>
      <c r="N2585" s="323">
        <f t="shared" si="819"/>
        <v>1</v>
      </c>
      <c r="O2585" s="25">
        <f t="shared" si="815"/>
        <v>43800</v>
      </c>
      <c r="P2585" s="5" t="str">
        <f t="shared" si="820"/>
        <v>163.500,00</v>
      </c>
      <c r="Q2585" s="4" t="str">
        <f>CONVERTIRNUM(E2585)</f>
        <v>Ciento Sesenta y Tres Mil Quinientos Bolívares con 00/100</v>
      </c>
    </row>
    <row r="2586" spans="1:17" x14ac:dyDescent="0.25">
      <c r="A2586" s="1">
        <f>A2585+1</f>
        <v>2585</v>
      </c>
      <c r="B2586" s="8"/>
      <c r="C2586" s="8" t="s">
        <v>17</v>
      </c>
      <c r="D2586" s="2">
        <v>43800</v>
      </c>
      <c r="E2586" s="3">
        <f>40000*2</f>
        <v>80000</v>
      </c>
      <c r="F2586" t="s">
        <v>118</v>
      </c>
      <c r="G2586" t="s">
        <v>119</v>
      </c>
      <c r="H2586" t="s">
        <v>120</v>
      </c>
      <c r="I2586" s="6" t="s">
        <v>1109</v>
      </c>
      <c r="J2586" s="61" t="s">
        <v>22</v>
      </c>
      <c r="L2586" s="5" t="str">
        <f t="shared" si="813"/>
        <v>02585</v>
      </c>
      <c r="M2586" s="47" t="str">
        <f t="shared" si="814"/>
        <v>01 de diciembre de 2019</v>
      </c>
      <c r="N2586" s="323">
        <f t="shared" si="819"/>
        <v>1</v>
      </c>
      <c r="O2586" s="25">
        <f t="shared" si="815"/>
        <v>43800</v>
      </c>
      <c r="P2586" s="5" t="str">
        <f t="shared" si="820"/>
        <v>80.000,00</v>
      </c>
      <c r="Q2586" s="4" t="str">
        <f t="shared" ref="Q2586:Q2589" si="823">CONVERTIRNUM(E2586)</f>
        <v>Ochenta Mil Bolívares con 00/100</v>
      </c>
    </row>
    <row r="2587" spans="1:17" x14ac:dyDescent="0.25">
      <c r="A2587" s="1">
        <f>A2586+1</f>
        <v>2586</v>
      </c>
      <c r="B2587" s="8"/>
      <c r="C2587" s="8" t="s">
        <v>17</v>
      </c>
      <c r="D2587" s="2">
        <v>43800</v>
      </c>
      <c r="E2587" s="3">
        <v>81750</v>
      </c>
      <c r="F2587" t="s">
        <v>239</v>
      </c>
      <c r="G2587" s="73" t="s">
        <v>240</v>
      </c>
      <c r="H2587" t="s">
        <v>241</v>
      </c>
      <c r="I2587" s="6" t="s">
        <v>1100</v>
      </c>
      <c r="J2587" s="61" t="s">
        <v>22</v>
      </c>
      <c r="L2587" s="5" t="str">
        <f t="shared" si="813"/>
        <v>02586</v>
      </c>
      <c r="M2587" s="47" t="str">
        <f t="shared" si="814"/>
        <v>01 de diciembre de 2019</v>
      </c>
      <c r="N2587" s="323">
        <f t="shared" si="819"/>
        <v>1</v>
      </c>
      <c r="O2587" s="25">
        <f t="shared" si="815"/>
        <v>43800</v>
      </c>
      <c r="P2587" s="5" t="str">
        <f t="shared" si="820"/>
        <v>81.750,00</v>
      </c>
      <c r="Q2587" s="4" t="str">
        <f t="shared" si="823"/>
        <v>Ochenta y Un Mil Setecientos Cincuenta Bolívares con 00/100</v>
      </c>
    </row>
    <row r="2588" spans="1:17" x14ac:dyDescent="0.25">
      <c r="A2588" s="1">
        <f>A2587+1</f>
        <v>2587</v>
      </c>
      <c r="B2588" s="8"/>
      <c r="C2588" s="8" t="s">
        <v>17</v>
      </c>
      <c r="D2588" s="2">
        <v>43800</v>
      </c>
      <c r="E2588" s="3">
        <v>81750</v>
      </c>
      <c r="F2588" t="s">
        <v>62</v>
      </c>
      <c r="G2588" t="s">
        <v>63</v>
      </c>
      <c r="H2588" t="s">
        <v>64</v>
      </c>
      <c r="I2588" s="6" t="s">
        <v>1100</v>
      </c>
      <c r="J2588" s="61" t="s">
        <v>22</v>
      </c>
      <c r="L2588" s="5" t="str">
        <f t="shared" si="813"/>
        <v>02587</v>
      </c>
      <c r="M2588" s="47" t="str">
        <f t="shared" si="814"/>
        <v>01 de diciembre de 2019</v>
      </c>
      <c r="N2588" s="323">
        <f t="shared" si="819"/>
        <v>1</v>
      </c>
      <c r="O2588" s="25">
        <f t="shared" si="815"/>
        <v>43800</v>
      </c>
      <c r="P2588" s="5" t="str">
        <f t="shared" si="820"/>
        <v>81.750,00</v>
      </c>
      <c r="Q2588" s="4" t="str">
        <f t="shared" si="823"/>
        <v>Ochenta y Un Mil Setecientos Cincuenta Bolívares con 00/100</v>
      </c>
    </row>
    <row r="2589" spans="1:17" x14ac:dyDescent="0.25">
      <c r="A2589" s="1">
        <f t="shared" ref="A2589:A2590" si="824">A2588+1</f>
        <v>2588</v>
      </c>
      <c r="B2589" s="8"/>
      <c r="C2589" s="8" t="s">
        <v>17</v>
      </c>
      <c r="D2589" s="2">
        <v>43800</v>
      </c>
      <c r="E2589" s="3">
        <v>21000</v>
      </c>
      <c r="F2589" t="s">
        <v>252</v>
      </c>
      <c r="G2589" s="475" t="s">
        <v>958</v>
      </c>
      <c r="H2589" t="s">
        <v>254</v>
      </c>
      <c r="I2589" s="6" t="s">
        <v>1084</v>
      </c>
      <c r="J2589" s="61" t="s">
        <v>22</v>
      </c>
      <c r="L2589" s="5" t="str">
        <f t="shared" si="813"/>
        <v>02588</v>
      </c>
      <c r="M2589" s="47" t="str">
        <f t="shared" si="814"/>
        <v>01 de diciembre de 2019</v>
      </c>
      <c r="N2589" s="323">
        <f t="shared" si="819"/>
        <v>1</v>
      </c>
      <c r="O2589" s="25">
        <f t="shared" si="815"/>
        <v>43800</v>
      </c>
      <c r="P2589" s="5" t="str">
        <f t="shared" si="820"/>
        <v>21.000,00</v>
      </c>
      <c r="Q2589" s="4" t="str">
        <f t="shared" si="823"/>
        <v>Veintiun Mil Bolívares con 00/100</v>
      </c>
    </row>
    <row r="2590" spans="1:17" x14ac:dyDescent="0.25">
      <c r="A2590" s="1">
        <f t="shared" si="824"/>
        <v>2589</v>
      </c>
      <c r="B2590" s="8"/>
      <c r="C2590" s="8" t="s">
        <v>17</v>
      </c>
      <c r="D2590" s="2">
        <v>43800</v>
      </c>
      <c r="E2590" s="3">
        <v>81750</v>
      </c>
      <c r="F2590" t="s">
        <v>162</v>
      </c>
      <c r="G2590" t="s">
        <v>163</v>
      </c>
      <c r="H2590" t="s">
        <v>164</v>
      </c>
      <c r="I2590" s="6" t="s">
        <v>1082</v>
      </c>
      <c r="J2590" s="61" t="s">
        <v>22</v>
      </c>
      <c r="L2590" s="5" t="str">
        <f t="shared" si="813"/>
        <v>02589</v>
      </c>
      <c r="M2590" s="47" t="str">
        <f t="shared" si="814"/>
        <v>01 de diciembre de 2019</v>
      </c>
      <c r="N2590" s="323">
        <f t="shared" si="819"/>
        <v>1</v>
      </c>
      <c r="O2590" s="25">
        <f t="shared" si="815"/>
        <v>43800</v>
      </c>
      <c r="P2590" s="5" t="str">
        <f>TEXT(E2590,"#.##0,00")</f>
        <v>81.750,00</v>
      </c>
      <c r="Q2590" s="4" t="str">
        <f>CONVERTIRNUM(E2590)</f>
        <v>Ochenta y Un Mil Setecientos Cincuenta Bolívares con 00/100</v>
      </c>
    </row>
    <row r="2591" spans="1:17" x14ac:dyDescent="0.25">
      <c r="A2591" s="1">
        <f>A2590+1</f>
        <v>2590</v>
      </c>
      <c r="B2591" s="8"/>
      <c r="C2591" s="8" t="s">
        <v>17</v>
      </c>
      <c r="D2591" s="2">
        <v>43802</v>
      </c>
      <c r="E2591" s="3">
        <v>300000</v>
      </c>
      <c r="F2591" t="s">
        <v>80</v>
      </c>
      <c r="G2591" t="s">
        <v>81</v>
      </c>
      <c r="H2591" t="s">
        <v>82</v>
      </c>
      <c r="I2591" s="6" t="s">
        <v>1097</v>
      </c>
      <c r="J2591" s="61" t="s">
        <v>22</v>
      </c>
      <c r="L2591" s="5" t="str">
        <f t="shared" si="813"/>
        <v>02590</v>
      </c>
      <c r="M2591" s="47" t="str">
        <f t="shared" si="814"/>
        <v>03 de diciembre de 2019</v>
      </c>
      <c r="N2591" s="323">
        <f t="shared" si="819"/>
        <v>3</v>
      </c>
      <c r="O2591" s="25">
        <f t="shared" si="815"/>
        <v>43800</v>
      </c>
      <c r="P2591" s="5" t="str">
        <f t="shared" ref="P2591:P2602" si="825">TEXT(E2591,"#.##0,00")</f>
        <v>300.000,00</v>
      </c>
      <c r="Q2591" s="4" t="str">
        <f t="shared" ref="Q2591:Q2602" si="826">CONVERTIRNUM(E2591)</f>
        <v>Trescientos Mil Bolívares con 00/100</v>
      </c>
    </row>
    <row r="2592" spans="1:17" x14ac:dyDescent="0.25">
      <c r="A2592" s="1">
        <f t="shared" ref="A2592:A2593" si="827">A2591+1</f>
        <v>2591</v>
      </c>
      <c r="B2592" s="8"/>
      <c r="C2592" s="8" t="s">
        <v>17</v>
      </c>
      <c r="D2592" s="2">
        <v>43802</v>
      </c>
      <c r="E2592" s="3">
        <v>97500</v>
      </c>
      <c r="F2592" t="s">
        <v>713</v>
      </c>
      <c r="G2592" t="s">
        <v>714</v>
      </c>
      <c r="H2592" t="s">
        <v>154</v>
      </c>
      <c r="I2592" s="6" t="s">
        <v>1100</v>
      </c>
      <c r="J2592" s="61" t="s">
        <v>22</v>
      </c>
      <c r="L2592" s="5" t="str">
        <f t="shared" si="813"/>
        <v>02591</v>
      </c>
      <c r="M2592" s="47" t="str">
        <f t="shared" si="814"/>
        <v>03 de diciembre de 2019</v>
      </c>
      <c r="N2592" s="323">
        <f t="shared" si="819"/>
        <v>3</v>
      </c>
      <c r="O2592" s="25">
        <f t="shared" si="815"/>
        <v>43800</v>
      </c>
      <c r="P2592" s="5" t="str">
        <f t="shared" si="825"/>
        <v>97.500,00</v>
      </c>
      <c r="Q2592" s="4" t="str">
        <f t="shared" si="826"/>
        <v>Noventa y Siete Mil Quinientos Bolívares con 00/100</v>
      </c>
    </row>
    <row r="2593" spans="1:17" x14ac:dyDescent="0.25">
      <c r="A2593" s="1">
        <f t="shared" si="827"/>
        <v>2592</v>
      </c>
      <c r="B2593" s="8"/>
      <c r="C2593" s="8" t="s">
        <v>17</v>
      </c>
      <c r="D2593" s="2">
        <v>43802</v>
      </c>
      <c r="E2593" s="3">
        <v>97500</v>
      </c>
      <c r="F2593" t="s">
        <v>284</v>
      </c>
      <c r="G2593" t="s">
        <v>687</v>
      </c>
      <c r="H2593" t="s">
        <v>285</v>
      </c>
      <c r="I2593" s="6" t="s">
        <v>1082</v>
      </c>
      <c r="J2593" s="61" t="s">
        <v>22</v>
      </c>
      <c r="L2593" s="5" t="str">
        <f t="shared" si="813"/>
        <v>02592</v>
      </c>
      <c r="M2593" s="47" t="str">
        <f t="shared" si="814"/>
        <v>03 de diciembre de 2019</v>
      </c>
      <c r="N2593" s="323">
        <f t="shared" si="819"/>
        <v>3</v>
      </c>
      <c r="O2593" s="25">
        <f t="shared" si="815"/>
        <v>43800</v>
      </c>
      <c r="P2593" s="5" t="str">
        <f t="shared" si="825"/>
        <v>97.500,00</v>
      </c>
      <c r="Q2593" s="4" t="str">
        <f t="shared" si="826"/>
        <v>Noventa y Siete Mil Quinientos Bolívares con 00/100</v>
      </c>
    </row>
    <row r="2594" spans="1:17" x14ac:dyDescent="0.25">
      <c r="A2594" s="1">
        <f>A2593+1</f>
        <v>2593</v>
      </c>
      <c r="B2594" s="8"/>
      <c r="C2594" s="8" t="s">
        <v>17</v>
      </c>
      <c r="D2594" s="2">
        <v>43803</v>
      </c>
      <c r="E2594" s="3">
        <v>40000</v>
      </c>
      <c r="F2594" t="s">
        <v>433</v>
      </c>
      <c r="G2594" t="s">
        <v>434</v>
      </c>
      <c r="H2594" t="s">
        <v>435</v>
      </c>
      <c r="I2594" s="6" t="s">
        <v>1109</v>
      </c>
      <c r="J2594" s="61" t="s">
        <v>22</v>
      </c>
      <c r="L2594" s="5" t="str">
        <f t="shared" si="813"/>
        <v>02593</v>
      </c>
      <c r="M2594" s="47" t="str">
        <f t="shared" si="814"/>
        <v>04 de diciembre de 2019</v>
      </c>
      <c r="N2594" s="323">
        <f t="shared" si="819"/>
        <v>4</v>
      </c>
      <c r="O2594" s="25">
        <f t="shared" si="815"/>
        <v>43800</v>
      </c>
      <c r="P2594" s="5" t="str">
        <f t="shared" si="825"/>
        <v>40.000,00</v>
      </c>
      <c r="Q2594" s="4" t="str">
        <f t="shared" si="826"/>
        <v>Cuarenta Mil Bolívares con 00/100</v>
      </c>
    </row>
    <row r="2595" spans="1:17" x14ac:dyDescent="0.25">
      <c r="A2595" s="1">
        <f t="shared" ref="A2595:A2596" si="828">A2594+1</f>
        <v>2594</v>
      </c>
      <c r="B2595" s="8"/>
      <c r="C2595" s="85" t="s">
        <v>17</v>
      </c>
      <c r="D2595" s="2">
        <v>43803</v>
      </c>
      <c r="E2595" s="3">
        <v>97500</v>
      </c>
      <c r="F2595" t="s">
        <v>259</v>
      </c>
      <c r="G2595" s="18" t="s">
        <v>58</v>
      </c>
      <c r="H2595" t="s">
        <v>261</v>
      </c>
      <c r="I2595" s="6" t="s">
        <v>1082</v>
      </c>
      <c r="J2595" s="61" t="s">
        <v>22</v>
      </c>
      <c r="L2595" s="5" t="str">
        <f t="shared" si="813"/>
        <v>02594</v>
      </c>
      <c r="M2595" s="47" t="str">
        <f t="shared" si="814"/>
        <v>04 de diciembre de 2019</v>
      </c>
      <c r="N2595" s="323">
        <f t="shared" si="819"/>
        <v>4</v>
      </c>
      <c r="O2595" s="25">
        <f t="shared" si="815"/>
        <v>43800</v>
      </c>
      <c r="P2595" s="5" t="str">
        <f t="shared" si="825"/>
        <v>97.500,00</v>
      </c>
      <c r="Q2595" s="4" t="str">
        <f t="shared" si="826"/>
        <v>Noventa y Siete Mil Quinientos Bolívares con 00/100</v>
      </c>
    </row>
    <row r="2596" spans="1:17" x14ac:dyDescent="0.25">
      <c r="A2596" s="1">
        <f t="shared" si="828"/>
        <v>2595</v>
      </c>
      <c r="B2596" s="8"/>
      <c r="C2596" s="85" t="s">
        <v>17</v>
      </c>
      <c r="D2596" s="2">
        <v>43803</v>
      </c>
      <c r="E2596" s="3">
        <v>20000</v>
      </c>
      <c r="F2596" t="s">
        <v>303</v>
      </c>
      <c r="G2596" s="18" t="s">
        <v>58</v>
      </c>
      <c r="H2596" t="s">
        <v>304</v>
      </c>
      <c r="I2596" s="6" t="s">
        <v>1087</v>
      </c>
      <c r="J2596" s="61" t="s">
        <v>22</v>
      </c>
      <c r="L2596" s="5" t="str">
        <f t="shared" si="813"/>
        <v>02595</v>
      </c>
      <c r="M2596" s="47" t="str">
        <f t="shared" si="814"/>
        <v>04 de diciembre de 2019</v>
      </c>
      <c r="N2596" s="323">
        <f t="shared" si="819"/>
        <v>4</v>
      </c>
      <c r="O2596" s="25">
        <f t="shared" si="815"/>
        <v>43800</v>
      </c>
      <c r="P2596" s="5" t="str">
        <f t="shared" si="825"/>
        <v>20.000,00</v>
      </c>
      <c r="Q2596" s="4" t="str">
        <f t="shared" si="826"/>
        <v>Veinte Mil Bolívares con 00/100</v>
      </c>
    </row>
    <row r="2597" spans="1:17" x14ac:dyDescent="0.25">
      <c r="A2597" s="1">
        <f>A2596+1</f>
        <v>2596</v>
      </c>
      <c r="B2597" s="8"/>
      <c r="C2597" s="8" t="s">
        <v>17</v>
      </c>
      <c r="D2597" s="2">
        <v>43804</v>
      </c>
      <c r="E2597" s="3">
        <v>35000</v>
      </c>
      <c r="F2597" t="s">
        <v>28</v>
      </c>
      <c r="G2597" t="s">
        <v>716</v>
      </c>
      <c r="H2597" t="s">
        <v>30</v>
      </c>
      <c r="I2597" s="6" t="s">
        <v>1105</v>
      </c>
      <c r="J2597" s="61" t="s">
        <v>22</v>
      </c>
      <c r="L2597" s="5" t="str">
        <f t="shared" si="813"/>
        <v>02596</v>
      </c>
      <c r="M2597" s="47" t="str">
        <f t="shared" si="814"/>
        <v>05 de diciembre de 2019</v>
      </c>
      <c r="N2597" s="323">
        <f t="shared" si="819"/>
        <v>5</v>
      </c>
      <c r="O2597" s="25">
        <f t="shared" si="815"/>
        <v>43800</v>
      </c>
      <c r="P2597" s="5" t="str">
        <f t="shared" si="825"/>
        <v>35.000,00</v>
      </c>
      <c r="Q2597" s="4" t="str">
        <f t="shared" si="826"/>
        <v>Treinta y Cinco Mil Bolívares con 00/100</v>
      </c>
    </row>
    <row r="2598" spans="1:17" x14ac:dyDescent="0.25">
      <c r="A2598" s="1">
        <f t="shared" ref="A2598" si="829">A2597+1</f>
        <v>2597</v>
      </c>
      <c r="B2598" s="8"/>
      <c r="C2598" s="8" t="s">
        <v>17</v>
      </c>
      <c r="D2598" s="2">
        <v>43805</v>
      </c>
      <c r="E2598" s="3">
        <v>97500</v>
      </c>
      <c r="F2598" t="s">
        <v>103</v>
      </c>
      <c r="G2598" s="599" t="s">
        <v>1047</v>
      </c>
      <c r="H2598" t="s">
        <v>105</v>
      </c>
      <c r="I2598" s="6" t="s">
        <v>1100</v>
      </c>
      <c r="J2598" s="61" t="s">
        <v>22</v>
      </c>
      <c r="L2598" s="5" t="str">
        <f t="shared" si="813"/>
        <v>02597</v>
      </c>
      <c r="M2598" s="47" t="str">
        <f t="shared" si="814"/>
        <v>06 de diciembre de 2019</v>
      </c>
      <c r="N2598" s="323">
        <f t="shared" si="819"/>
        <v>6</v>
      </c>
      <c r="O2598" s="25">
        <f t="shared" si="815"/>
        <v>43800</v>
      </c>
      <c r="P2598" s="5" t="str">
        <f t="shared" si="825"/>
        <v>97.500,00</v>
      </c>
      <c r="Q2598" s="4" t="str">
        <f t="shared" si="826"/>
        <v>Noventa y Siete Mil Quinientos Bolívares con 00/100</v>
      </c>
    </row>
    <row r="2599" spans="1:17" x14ac:dyDescent="0.25">
      <c r="A2599" s="1">
        <f>A2598+1</f>
        <v>2598</v>
      </c>
      <c r="B2599" s="8"/>
      <c r="C2599" s="8" t="s">
        <v>17</v>
      </c>
      <c r="D2599" s="2">
        <v>43805</v>
      </c>
      <c r="E2599" s="3">
        <v>97500</v>
      </c>
      <c r="F2599" t="s">
        <v>32</v>
      </c>
      <c r="G2599" t="s">
        <v>33</v>
      </c>
      <c r="H2599" t="s">
        <v>34</v>
      </c>
      <c r="I2599" s="6" t="s">
        <v>1079</v>
      </c>
      <c r="J2599" s="61" t="s">
        <v>22</v>
      </c>
      <c r="L2599" s="5" t="str">
        <f t="shared" si="813"/>
        <v>02598</v>
      </c>
      <c r="M2599" s="47" t="str">
        <f t="shared" si="814"/>
        <v>06 de diciembre de 2019</v>
      </c>
      <c r="N2599" s="323">
        <f t="shared" si="819"/>
        <v>6</v>
      </c>
      <c r="O2599" s="25">
        <f t="shared" si="815"/>
        <v>43800</v>
      </c>
      <c r="P2599" s="5" t="str">
        <f t="shared" si="825"/>
        <v>97.500,00</v>
      </c>
      <c r="Q2599" s="4" t="str">
        <f t="shared" si="826"/>
        <v>Noventa y Siete Mil Quinientos Bolívares con 00/100</v>
      </c>
    </row>
    <row r="2600" spans="1:17" x14ac:dyDescent="0.25">
      <c r="A2600" s="1">
        <f>A2599+1</f>
        <v>2599</v>
      </c>
      <c r="B2600" s="8"/>
      <c r="C2600" s="8" t="s">
        <v>17</v>
      </c>
      <c r="D2600" s="2">
        <v>43805</v>
      </c>
      <c r="E2600" s="3">
        <v>97500</v>
      </c>
      <c r="F2600" t="s">
        <v>312</v>
      </c>
      <c r="G2600" t="s">
        <v>313</v>
      </c>
      <c r="H2600" t="s">
        <v>314</v>
      </c>
      <c r="I2600" s="6" t="s">
        <v>1100</v>
      </c>
      <c r="J2600" s="61" t="s">
        <v>22</v>
      </c>
      <c r="L2600" s="5" t="str">
        <f t="shared" si="813"/>
        <v>02599</v>
      </c>
      <c r="M2600" s="47" t="str">
        <f t="shared" si="814"/>
        <v>06 de diciembre de 2019</v>
      </c>
      <c r="N2600" s="323">
        <f t="shared" si="819"/>
        <v>6</v>
      </c>
      <c r="O2600" s="25">
        <f t="shared" si="815"/>
        <v>43800</v>
      </c>
      <c r="P2600" s="5" t="str">
        <f t="shared" si="825"/>
        <v>97.500,00</v>
      </c>
      <c r="Q2600" s="4" t="str">
        <f t="shared" si="826"/>
        <v>Noventa y Siete Mil Quinientos Bolívares con 00/100</v>
      </c>
    </row>
    <row r="2601" spans="1:17" x14ac:dyDescent="0.25">
      <c r="A2601" s="319">
        <f t="shared" ref="A2601" si="830">A2600+1</f>
        <v>2600</v>
      </c>
      <c r="B2601" s="12"/>
      <c r="C2601" s="12" t="s">
        <v>225</v>
      </c>
      <c r="D2601" s="17">
        <v>43806</v>
      </c>
      <c r="E2601" s="13">
        <v>195000</v>
      </c>
      <c r="F2601" s="14" t="s">
        <v>998</v>
      </c>
      <c r="G2601" s="14" t="s">
        <v>999</v>
      </c>
      <c r="H2601" s="14" t="s">
        <v>1000</v>
      </c>
      <c r="I2601" s="15" t="s">
        <v>1110</v>
      </c>
      <c r="J2601" s="62" t="s">
        <v>426</v>
      </c>
      <c r="K2601" s="16"/>
      <c r="L2601" s="5" t="str">
        <f t="shared" si="813"/>
        <v>02600</v>
      </c>
      <c r="M2601" s="47" t="str">
        <f t="shared" si="814"/>
        <v>07 de diciembre de 2019</v>
      </c>
      <c r="N2601" s="323">
        <f t="shared" si="819"/>
        <v>7</v>
      </c>
      <c r="O2601" s="25">
        <f t="shared" si="815"/>
        <v>43800</v>
      </c>
      <c r="P2601" s="5" t="str">
        <f t="shared" si="825"/>
        <v>195.000,00</v>
      </c>
      <c r="Q2601" s="4" t="str">
        <f t="shared" si="826"/>
        <v>Ciento Noventa y Cinco Mil Bolívares con 00/100</v>
      </c>
    </row>
    <row r="2602" spans="1:17" x14ac:dyDescent="0.25">
      <c r="A2602" s="1">
        <f>A2601+1</f>
        <v>2601</v>
      </c>
      <c r="B2602" s="8"/>
      <c r="C2602" s="8" t="s">
        <v>17</v>
      </c>
      <c r="D2602" s="2">
        <v>43806</v>
      </c>
      <c r="E2602" s="3">
        <v>148000</v>
      </c>
      <c r="F2602" t="s">
        <v>107</v>
      </c>
      <c r="G2602" t="s">
        <v>108</v>
      </c>
      <c r="H2602" t="s">
        <v>109</v>
      </c>
      <c r="I2602" s="6" t="s">
        <v>1100</v>
      </c>
      <c r="J2602" s="61" t="s">
        <v>22</v>
      </c>
      <c r="L2602" s="5" t="str">
        <f t="shared" si="813"/>
        <v>02601</v>
      </c>
      <c r="M2602" s="47" t="str">
        <f t="shared" si="814"/>
        <v>07 de diciembre de 2019</v>
      </c>
      <c r="N2602" s="323">
        <f t="shared" si="819"/>
        <v>7</v>
      </c>
      <c r="O2602" s="25">
        <f t="shared" si="815"/>
        <v>43800</v>
      </c>
      <c r="P2602" s="5" t="str">
        <f t="shared" si="825"/>
        <v>148.000,00</v>
      </c>
      <c r="Q2602" s="4" t="str">
        <f t="shared" si="826"/>
        <v>Ciento Cuarenta y Ocho Mil Bolívares con 00/100</v>
      </c>
    </row>
    <row r="2603" spans="1:17" x14ac:dyDescent="0.25">
      <c r="A2603" s="1">
        <f>A2602+1</f>
        <v>2602</v>
      </c>
      <c r="B2603" s="8"/>
      <c r="C2603" s="8" t="s">
        <v>17</v>
      </c>
      <c r="D2603" s="2">
        <v>43806</v>
      </c>
      <c r="E2603" s="3">
        <v>195000</v>
      </c>
      <c r="F2603" t="s">
        <v>998</v>
      </c>
      <c r="G2603" t="s">
        <v>999</v>
      </c>
      <c r="H2603" t="s">
        <v>1000</v>
      </c>
      <c r="I2603" s="6" t="s">
        <v>1097</v>
      </c>
      <c r="J2603" s="61" t="s">
        <v>22</v>
      </c>
      <c r="L2603" s="5" t="str">
        <f t="shared" ref="L2603:L2608" si="831">IF(ISBLANK(A2603),"",TEXT(A2603,"00000"))</f>
        <v>02602</v>
      </c>
      <c r="M2603" s="47" t="str">
        <f t="shared" ref="M2603:M2608" si="832">IF(ISBLANK(D2603),"",TEXT(D2603,"dd")&amp;" de "&amp;TEXT(D2603,"mmmm")&amp;" de "&amp;TEXT(YEAR(D2603),"0"))</f>
        <v>07 de diciembre de 2019</v>
      </c>
      <c r="N2603" s="323">
        <f t="shared" ref="N2603:N2608" si="833">DAY(D2603)</f>
        <v>7</v>
      </c>
      <c r="O2603" s="25">
        <f t="shared" ref="O2603:O2608" si="834">DATE(YEAR(D2603),MONTH(D2603),1)</f>
        <v>43800</v>
      </c>
      <c r="P2603" s="5" t="str">
        <f t="shared" ref="P2603:P2608" si="835">TEXT(E2603,"#.##0,00")</f>
        <v>195.000,00</v>
      </c>
      <c r="Q2603" s="4" t="str">
        <f t="shared" ref="Q2603:Q2608" si="836">CONVERTIRNUM(E2603)</f>
        <v>Ciento Noventa y Cinco Mil Bolívares con 00/100</v>
      </c>
    </row>
    <row r="2604" spans="1:17" x14ac:dyDescent="0.25">
      <c r="A2604" s="1">
        <f t="shared" ref="A2604:A2605" si="837">A2603+1</f>
        <v>2603</v>
      </c>
      <c r="B2604" s="8"/>
      <c r="C2604" s="8" t="s">
        <v>17</v>
      </c>
      <c r="D2604" s="2">
        <v>43808</v>
      </c>
      <c r="E2604" s="3">
        <v>105500</v>
      </c>
      <c r="F2604" t="s">
        <v>126</v>
      </c>
      <c r="G2604" t="s">
        <v>127</v>
      </c>
      <c r="H2604" t="s">
        <v>128</v>
      </c>
      <c r="I2604" s="6" t="s">
        <v>1100</v>
      </c>
      <c r="J2604" s="61" t="s">
        <v>22</v>
      </c>
      <c r="L2604" s="5" t="str">
        <f t="shared" si="831"/>
        <v>02603</v>
      </c>
      <c r="M2604" s="47" t="str">
        <f t="shared" si="832"/>
        <v>09 de diciembre de 2019</v>
      </c>
      <c r="N2604" s="323">
        <f t="shared" si="833"/>
        <v>9</v>
      </c>
      <c r="O2604" s="25">
        <f t="shared" si="834"/>
        <v>43800</v>
      </c>
      <c r="P2604" s="5" t="str">
        <f t="shared" si="835"/>
        <v>105.500,00</v>
      </c>
      <c r="Q2604" s="4" t="str">
        <f t="shared" si="836"/>
        <v>Ciento Cinco Mil Quinientos Bolívares con 00/100</v>
      </c>
    </row>
    <row r="2605" spans="1:17" x14ac:dyDescent="0.25">
      <c r="A2605" s="1">
        <f t="shared" si="837"/>
        <v>2604</v>
      </c>
      <c r="B2605" s="8"/>
      <c r="C2605" s="8" t="s">
        <v>17</v>
      </c>
      <c r="D2605" s="2">
        <v>43808</v>
      </c>
      <c r="E2605" s="3">
        <v>105250</v>
      </c>
      <c r="F2605" t="s">
        <v>53</v>
      </c>
      <c r="G2605" t="s">
        <v>677</v>
      </c>
      <c r="H2605" t="s">
        <v>55</v>
      </c>
      <c r="I2605" s="6" t="s">
        <v>1100</v>
      </c>
      <c r="J2605" s="61" t="s">
        <v>22</v>
      </c>
      <c r="L2605" s="5" t="str">
        <f t="shared" si="831"/>
        <v>02604</v>
      </c>
      <c r="M2605" s="47" t="str">
        <f t="shared" si="832"/>
        <v>09 de diciembre de 2019</v>
      </c>
      <c r="N2605" s="323">
        <f t="shared" si="833"/>
        <v>9</v>
      </c>
      <c r="O2605" s="25">
        <f t="shared" si="834"/>
        <v>43800</v>
      </c>
      <c r="P2605" s="5" t="str">
        <f t="shared" si="835"/>
        <v>105.250,00</v>
      </c>
      <c r="Q2605" s="4" t="str">
        <f t="shared" si="836"/>
        <v>Ciento Cinco Mil Doscientos Cincuenta Bolívares con 00/100</v>
      </c>
    </row>
    <row r="2606" spans="1:17" x14ac:dyDescent="0.25">
      <c r="A2606" s="1">
        <f>A2605+1</f>
        <v>2605</v>
      </c>
      <c r="C2606" s="85" t="s">
        <v>17</v>
      </c>
      <c r="D2606" s="2">
        <v>43802</v>
      </c>
      <c r="E2606" s="3">
        <v>97500</v>
      </c>
      <c r="F2606" t="s">
        <v>40</v>
      </c>
      <c r="G2606" s="18" t="s">
        <v>58</v>
      </c>
      <c r="H2606" t="s">
        <v>42</v>
      </c>
      <c r="I2606" t="s">
        <v>1100</v>
      </c>
      <c r="J2606" s="61" t="s">
        <v>22</v>
      </c>
      <c r="L2606" s="5" t="str">
        <f t="shared" si="831"/>
        <v>02605</v>
      </c>
      <c r="M2606" s="47" t="str">
        <f t="shared" si="832"/>
        <v>03 de diciembre de 2019</v>
      </c>
      <c r="N2606" s="323">
        <f t="shared" si="833"/>
        <v>3</v>
      </c>
      <c r="O2606" s="25">
        <f t="shared" si="834"/>
        <v>43800</v>
      </c>
      <c r="P2606" s="5" t="str">
        <f t="shared" si="835"/>
        <v>97.500,00</v>
      </c>
      <c r="Q2606" s="4" t="str">
        <f t="shared" si="836"/>
        <v>Noventa y Siete Mil Quinientos Bolívares con 00/100</v>
      </c>
    </row>
    <row r="2607" spans="1:17" ht="16.5" customHeight="1" x14ac:dyDescent="0.25">
      <c r="A2607" s="1">
        <f>A2606+1</f>
        <v>2606</v>
      </c>
      <c r="B2607" s="8"/>
      <c r="C2607" s="8" t="s">
        <v>17</v>
      </c>
      <c r="D2607" s="2">
        <v>43809</v>
      </c>
      <c r="E2607" s="3">
        <v>105250</v>
      </c>
      <c r="F2607" t="s">
        <v>219</v>
      </c>
      <c r="G2607" t="s">
        <v>220</v>
      </c>
      <c r="H2607" t="s">
        <v>221</v>
      </c>
      <c r="I2607" s="6" t="s">
        <v>1111</v>
      </c>
      <c r="J2607" s="61" t="s">
        <v>22</v>
      </c>
      <c r="L2607" s="5" t="str">
        <f t="shared" si="831"/>
        <v>02606</v>
      </c>
      <c r="M2607" s="47" t="str">
        <f t="shared" si="832"/>
        <v>10 de diciembre de 2019</v>
      </c>
      <c r="N2607" s="323">
        <f t="shared" si="833"/>
        <v>10</v>
      </c>
      <c r="O2607" s="25">
        <f t="shared" si="834"/>
        <v>43800</v>
      </c>
      <c r="P2607" s="5" t="str">
        <f t="shared" si="835"/>
        <v>105.250,00</v>
      </c>
      <c r="Q2607" s="4" t="str">
        <f t="shared" si="836"/>
        <v>Ciento Cinco Mil Doscientos Cincuenta Bolívares con 00/100</v>
      </c>
    </row>
    <row r="2608" spans="1:17" x14ac:dyDescent="0.25">
      <c r="A2608" s="1">
        <f t="shared" ref="A2608:A2609" si="838">A2607+1</f>
        <v>2607</v>
      </c>
      <c r="B2608" s="8"/>
      <c r="C2608" s="8" t="s">
        <v>17</v>
      </c>
      <c r="D2608" s="2">
        <v>43810</v>
      </c>
      <c r="E2608" s="3">
        <v>105250</v>
      </c>
      <c r="F2608" t="s">
        <v>438</v>
      </c>
      <c r="G2608" t="s">
        <v>439</v>
      </c>
      <c r="H2608" t="s">
        <v>440</v>
      </c>
      <c r="I2608" s="6" t="s">
        <v>1112</v>
      </c>
      <c r="J2608" s="61" t="s">
        <v>22</v>
      </c>
      <c r="L2608" s="5" t="str">
        <f t="shared" si="831"/>
        <v>02607</v>
      </c>
      <c r="M2608" s="47" t="str">
        <f t="shared" si="832"/>
        <v>11 de diciembre de 2019</v>
      </c>
      <c r="N2608" s="323">
        <f t="shared" si="833"/>
        <v>11</v>
      </c>
      <c r="O2608" s="25">
        <f t="shared" si="834"/>
        <v>43800</v>
      </c>
      <c r="P2608" s="5" t="str">
        <f t="shared" si="835"/>
        <v>105.250,00</v>
      </c>
      <c r="Q2608" s="4" t="str">
        <f t="shared" si="836"/>
        <v>Ciento Cinco Mil Doscientos Cincuenta Bolívares con 00/100</v>
      </c>
    </row>
    <row r="2609" spans="1:17" x14ac:dyDescent="0.25">
      <c r="A2609" s="1">
        <f t="shared" si="838"/>
        <v>2608</v>
      </c>
      <c r="B2609" s="8"/>
      <c r="C2609" s="8" t="s">
        <v>17</v>
      </c>
      <c r="D2609" s="2">
        <v>43810</v>
      </c>
      <c r="E2609" s="3">
        <v>2387000</v>
      </c>
      <c r="F2609" t="s">
        <v>1113</v>
      </c>
      <c r="G2609" t="s">
        <v>1114</v>
      </c>
      <c r="H2609" t="s">
        <v>1115</v>
      </c>
      <c r="I2609" s="6" t="s">
        <v>1116</v>
      </c>
      <c r="J2609" s="61" t="s">
        <v>22</v>
      </c>
      <c r="L2609" s="5" t="str">
        <f t="shared" ref="L2609" si="839">IF(ISBLANK(A2609),"",TEXT(A2609,"00000"))</f>
        <v>02608</v>
      </c>
      <c r="M2609" s="47" t="str">
        <f t="shared" ref="M2609" si="840">IF(ISBLANK(D2609),"",TEXT(D2609,"dd")&amp;" de "&amp;TEXT(D2609,"mmmm")&amp;" de "&amp;TEXT(YEAR(D2609),"0"))</f>
        <v>11 de diciembre de 2019</v>
      </c>
      <c r="N2609" s="323">
        <f t="shared" ref="N2609" si="841">DAY(D2609)</f>
        <v>11</v>
      </c>
      <c r="O2609" s="25">
        <f t="shared" ref="O2609" si="842">DATE(YEAR(D2609),MONTH(D2609),1)</f>
        <v>43800</v>
      </c>
      <c r="P2609" s="5" t="str">
        <f t="shared" ref="P2609" si="843">TEXT(E2609,"#.##0,00")</f>
        <v>2.387.000,00</v>
      </c>
      <c r="Q2609" s="4" t="str">
        <f t="shared" ref="Q2609" si="844">CONVERTIRNUM(E2609)</f>
        <v>Dos Millones Trescientos Ochenta y Siete Mil Bolívares con 00/100</v>
      </c>
    </row>
    <row r="2610" spans="1:17" x14ac:dyDescent="0.25">
      <c r="A2610" s="648">
        <f>A2609+1</f>
        <v>2609</v>
      </c>
      <c r="B2610" s="649"/>
      <c r="C2610" s="649" t="s">
        <v>225</v>
      </c>
      <c r="D2610" s="650">
        <v>43810</v>
      </c>
      <c r="E2610" s="651">
        <v>2387000</v>
      </c>
      <c r="F2610" s="652" t="s">
        <v>1113</v>
      </c>
      <c r="G2610" s="652" t="s">
        <v>1114</v>
      </c>
      <c r="H2610" s="652" t="s">
        <v>1115</v>
      </c>
      <c r="I2610" s="653" t="s">
        <v>1117</v>
      </c>
      <c r="J2610" s="654" t="s">
        <v>1118</v>
      </c>
      <c r="K2610" s="655"/>
      <c r="L2610" s="5" t="str">
        <f t="shared" ref="L2610:L2629" si="845">IF(ISBLANK(A2610),"",TEXT(A2610,"00000"))</f>
        <v>02609</v>
      </c>
      <c r="M2610" s="47" t="str">
        <f t="shared" ref="M2610:M2629" si="846">IF(ISBLANK(D2610),"",TEXT(D2610,"dd")&amp;" de "&amp;TEXT(D2610,"mmmm")&amp;" de "&amp;TEXT(YEAR(D2610),"0"))</f>
        <v>11 de diciembre de 2019</v>
      </c>
      <c r="N2610" s="323">
        <f t="shared" ref="N2610:N2629" si="847">DAY(D2610)</f>
        <v>11</v>
      </c>
      <c r="O2610" s="25">
        <f t="shared" ref="O2610:O2629" si="848">DATE(YEAR(D2610),MONTH(D2610),1)</f>
        <v>43800</v>
      </c>
      <c r="P2610" s="5" t="str">
        <f t="shared" ref="P2610:P2629" si="849">TEXT(E2610,"#.##0,00")</f>
        <v>2.387.000,00</v>
      </c>
      <c r="Q2610" s="4" t="str">
        <f t="shared" ref="Q2610:Q2629" si="850">CONVERTIRNUM(E2610)</f>
        <v>Dos Millones Trescientos Ochenta y Siete Mil Bolívares con 00/100</v>
      </c>
    </row>
    <row r="2611" spans="1:17" x14ac:dyDescent="0.25">
      <c r="A2611" s="1">
        <f t="shared" ref="A2611:A2613" si="851">A2610+1</f>
        <v>2610</v>
      </c>
      <c r="C2611" s="8" t="s">
        <v>17</v>
      </c>
      <c r="D2611" s="2">
        <v>43811</v>
      </c>
      <c r="E2611" s="3">
        <v>60000</v>
      </c>
      <c r="F2611" t="s">
        <v>412</v>
      </c>
      <c r="G2611" t="s">
        <v>413</v>
      </c>
      <c r="H2611" t="s">
        <v>414</v>
      </c>
      <c r="I2611" s="6" t="s">
        <v>1082</v>
      </c>
      <c r="J2611" s="61" t="s">
        <v>22</v>
      </c>
      <c r="L2611" s="5" t="str">
        <f t="shared" si="845"/>
        <v>02610</v>
      </c>
      <c r="M2611" s="47" t="str">
        <f t="shared" si="846"/>
        <v>12 de diciembre de 2019</v>
      </c>
      <c r="N2611" s="323">
        <f t="shared" si="847"/>
        <v>12</v>
      </c>
      <c r="O2611" s="25">
        <f t="shared" si="848"/>
        <v>43800</v>
      </c>
      <c r="P2611" s="5" t="str">
        <f t="shared" si="849"/>
        <v>60.000,00</v>
      </c>
      <c r="Q2611" s="4" t="str">
        <f t="shared" si="850"/>
        <v>Sesenta Mil Bolívares con 00/100</v>
      </c>
    </row>
    <row r="2612" spans="1:17" x14ac:dyDescent="0.25">
      <c r="A2612" s="1">
        <f t="shared" si="851"/>
        <v>2611</v>
      </c>
      <c r="B2612" s="8"/>
      <c r="C2612" s="8" t="s">
        <v>17</v>
      </c>
      <c r="D2612" s="2">
        <v>43811</v>
      </c>
      <c r="E2612" s="3">
        <v>105250</v>
      </c>
      <c r="F2612" t="s">
        <v>558</v>
      </c>
      <c r="G2612" t="s">
        <v>559</v>
      </c>
      <c r="H2612" t="s">
        <v>560</v>
      </c>
      <c r="I2612" s="6" t="s">
        <v>1100</v>
      </c>
      <c r="J2612" s="61" t="s">
        <v>22</v>
      </c>
      <c r="L2612" s="5" t="str">
        <f t="shared" si="845"/>
        <v>02611</v>
      </c>
      <c r="M2612" s="47" t="str">
        <f t="shared" si="846"/>
        <v>12 de diciembre de 2019</v>
      </c>
      <c r="N2612" s="323">
        <f t="shared" si="847"/>
        <v>12</v>
      </c>
      <c r="O2612" s="25">
        <f t="shared" si="848"/>
        <v>43800</v>
      </c>
      <c r="P2612" s="5" t="str">
        <f t="shared" si="849"/>
        <v>105.250,00</v>
      </c>
      <c r="Q2612" s="4" t="str">
        <f t="shared" si="850"/>
        <v>Ciento Cinco Mil Doscientos Cincuenta Bolívares con 00/100</v>
      </c>
    </row>
    <row r="2613" spans="1:17" x14ac:dyDescent="0.25">
      <c r="A2613" s="1">
        <f t="shared" si="851"/>
        <v>2612</v>
      </c>
      <c r="B2613" s="8"/>
      <c r="C2613" s="8" t="s">
        <v>17</v>
      </c>
      <c r="D2613" s="2">
        <v>43811</v>
      </c>
      <c r="E2613" s="3">
        <v>105250</v>
      </c>
      <c r="F2613" t="s">
        <v>483</v>
      </c>
      <c r="G2613" t="s">
        <v>484</v>
      </c>
      <c r="H2613" t="s">
        <v>485</v>
      </c>
      <c r="I2613" s="6" t="s">
        <v>1100</v>
      </c>
      <c r="J2613" s="61" t="s">
        <v>22</v>
      </c>
      <c r="L2613" s="5" t="str">
        <f t="shared" si="845"/>
        <v>02612</v>
      </c>
      <c r="M2613" s="47" t="str">
        <f t="shared" si="846"/>
        <v>12 de diciembre de 2019</v>
      </c>
      <c r="N2613" s="323">
        <f t="shared" si="847"/>
        <v>12</v>
      </c>
      <c r="O2613" s="25">
        <f t="shared" si="848"/>
        <v>43800</v>
      </c>
      <c r="P2613" s="5" t="str">
        <f t="shared" si="849"/>
        <v>105.250,00</v>
      </c>
      <c r="Q2613" s="4" t="str">
        <f t="shared" si="850"/>
        <v>Ciento Cinco Mil Doscientos Cincuenta Bolívares con 00/100</v>
      </c>
    </row>
    <row r="2614" spans="1:17" x14ac:dyDescent="0.25">
      <c r="A2614" s="1">
        <f>A2613+1</f>
        <v>2613</v>
      </c>
      <c r="B2614" s="8"/>
      <c r="C2614" s="85" t="s">
        <v>17</v>
      </c>
      <c r="D2614" s="2">
        <v>43807</v>
      </c>
      <c r="E2614" s="3">
        <v>141375</v>
      </c>
      <c r="F2614" s="23" t="s">
        <v>422</v>
      </c>
      <c r="G2614" s="18" t="s">
        <v>58</v>
      </c>
      <c r="H2614" t="s">
        <v>423</v>
      </c>
      <c r="I2614" s="6" t="s">
        <v>1100</v>
      </c>
      <c r="J2614" s="61" t="s">
        <v>22</v>
      </c>
      <c r="L2614" s="5" t="str">
        <f t="shared" si="845"/>
        <v>02613</v>
      </c>
      <c r="M2614" s="47" t="str">
        <f t="shared" si="846"/>
        <v>08 de diciembre de 2019</v>
      </c>
      <c r="N2614" s="323">
        <f t="shared" si="847"/>
        <v>8</v>
      </c>
      <c r="O2614" s="25">
        <f t="shared" si="848"/>
        <v>43800</v>
      </c>
      <c r="P2614" s="5" t="str">
        <f t="shared" si="849"/>
        <v>141.375,00</v>
      </c>
      <c r="Q2614" s="4" t="str">
        <f t="shared" si="850"/>
        <v>Ciento Cuarenta y Un Mil Trescientos Setenta y Cinco Bolívares con 00/100</v>
      </c>
    </row>
    <row r="2615" spans="1:17" x14ac:dyDescent="0.25">
      <c r="A2615" s="1">
        <f t="shared" ref="A2615:A2616" si="852">A2614+1</f>
        <v>2614</v>
      </c>
      <c r="B2615" s="8"/>
      <c r="C2615" s="8" t="s">
        <v>17</v>
      </c>
      <c r="D2615" s="2">
        <v>43812</v>
      </c>
      <c r="E2615" s="3">
        <v>105250</v>
      </c>
      <c r="F2615" t="s">
        <v>342</v>
      </c>
      <c r="G2615" t="s">
        <v>1036</v>
      </c>
      <c r="H2615" t="s">
        <v>344</v>
      </c>
      <c r="I2615" s="6" t="s">
        <v>1100</v>
      </c>
      <c r="J2615" s="61" t="s">
        <v>22</v>
      </c>
      <c r="L2615" s="5" t="str">
        <f t="shared" si="845"/>
        <v>02614</v>
      </c>
      <c r="M2615" s="47" t="str">
        <f t="shared" si="846"/>
        <v>13 de diciembre de 2019</v>
      </c>
      <c r="N2615" s="323">
        <f t="shared" si="847"/>
        <v>13</v>
      </c>
      <c r="O2615" s="25">
        <f t="shared" si="848"/>
        <v>43800</v>
      </c>
      <c r="P2615" s="5" t="str">
        <f t="shared" si="849"/>
        <v>105.250,00</v>
      </c>
      <c r="Q2615" s="4" t="str">
        <f t="shared" si="850"/>
        <v>Ciento Cinco Mil Doscientos Cincuenta Bolívares con 00/100</v>
      </c>
    </row>
    <row r="2616" spans="1:17" x14ac:dyDescent="0.25">
      <c r="A2616" s="1">
        <f t="shared" si="852"/>
        <v>2615</v>
      </c>
      <c r="B2616" s="8"/>
      <c r="C2616" s="8" t="s">
        <v>17</v>
      </c>
      <c r="D2616" s="2">
        <v>43812</v>
      </c>
      <c r="E2616" s="3">
        <v>210500</v>
      </c>
      <c r="F2616" t="s">
        <v>100</v>
      </c>
      <c r="G2616" t="s">
        <v>95</v>
      </c>
      <c r="H2616" t="s">
        <v>101</v>
      </c>
      <c r="I2616" s="6" t="s">
        <v>1100</v>
      </c>
      <c r="J2616" s="61" t="s">
        <v>22</v>
      </c>
      <c r="L2616" s="5" t="str">
        <f t="shared" si="845"/>
        <v>02615</v>
      </c>
      <c r="M2616" s="47" t="str">
        <f t="shared" si="846"/>
        <v>13 de diciembre de 2019</v>
      </c>
      <c r="N2616" s="323">
        <f t="shared" si="847"/>
        <v>13</v>
      </c>
      <c r="O2616" s="25">
        <f t="shared" si="848"/>
        <v>43800</v>
      </c>
      <c r="P2616" s="5" t="str">
        <f t="shared" si="849"/>
        <v>210.500,00</v>
      </c>
      <c r="Q2616" s="4" t="str">
        <f t="shared" si="850"/>
        <v>Doscientos Diez Mil Quinientos Bolívares con 00/100</v>
      </c>
    </row>
    <row r="2617" spans="1:17" x14ac:dyDescent="0.25">
      <c r="A2617" s="1">
        <f>A2616+1</f>
        <v>2616</v>
      </c>
      <c r="B2617" s="8"/>
      <c r="C2617" s="8" t="s">
        <v>17</v>
      </c>
      <c r="D2617" s="2">
        <v>43812</v>
      </c>
      <c r="E2617" s="3">
        <v>105250</v>
      </c>
      <c r="F2617" t="s">
        <v>177</v>
      </c>
      <c r="G2617" t="s">
        <v>941</v>
      </c>
      <c r="H2617" t="s">
        <v>179</v>
      </c>
      <c r="I2617" s="6" t="s">
        <v>1119</v>
      </c>
      <c r="J2617" s="61" t="s">
        <v>22</v>
      </c>
      <c r="L2617" s="5" t="str">
        <f t="shared" si="845"/>
        <v>02616</v>
      </c>
      <c r="M2617" s="47" t="str">
        <f t="shared" si="846"/>
        <v>13 de diciembre de 2019</v>
      </c>
      <c r="N2617" s="323">
        <f t="shared" si="847"/>
        <v>13</v>
      </c>
      <c r="O2617" s="25">
        <f t="shared" si="848"/>
        <v>43800</v>
      </c>
      <c r="P2617" s="5" t="str">
        <f t="shared" si="849"/>
        <v>105.250,00</v>
      </c>
      <c r="Q2617" s="4" t="str">
        <f t="shared" si="850"/>
        <v>Ciento Cinco Mil Doscientos Cincuenta Bolívares con 00/100</v>
      </c>
    </row>
    <row r="2618" spans="1:17" x14ac:dyDescent="0.25">
      <c r="A2618" s="1">
        <f>A2617+1</f>
        <v>2617</v>
      </c>
      <c r="B2618" s="8"/>
      <c r="C2618" s="8" t="s">
        <v>17</v>
      </c>
      <c r="D2618" s="2">
        <v>43816</v>
      </c>
      <c r="E2618" s="3">
        <v>105250</v>
      </c>
      <c r="F2618" t="s">
        <v>185</v>
      </c>
      <c r="G2618" t="s">
        <v>186</v>
      </c>
      <c r="H2618" t="s">
        <v>187</v>
      </c>
      <c r="I2618" s="6" t="s">
        <v>1100</v>
      </c>
      <c r="J2618" s="61" t="s">
        <v>22</v>
      </c>
      <c r="L2618" s="5" t="str">
        <f t="shared" si="845"/>
        <v>02617</v>
      </c>
      <c r="M2618" s="47" t="str">
        <f t="shared" si="846"/>
        <v>17 de diciembre de 2019</v>
      </c>
      <c r="N2618" s="323">
        <f t="shared" si="847"/>
        <v>17</v>
      </c>
      <c r="O2618" s="25">
        <f t="shared" si="848"/>
        <v>43800</v>
      </c>
      <c r="P2618" s="5" t="str">
        <f t="shared" si="849"/>
        <v>105.250,00</v>
      </c>
      <c r="Q2618" s="4" t="str">
        <f t="shared" si="850"/>
        <v>Ciento Cinco Mil Doscientos Cincuenta Bolívares con 00/100</v>
      </c>
    </row>
    <row r="2619" spans="1:17" x14ac:dyDescent="0.25">
      <c r="A2619" s="1">
        <f t="shared" ref="A2619" si="853">A2618+1</f>
        <v>2618</v>
      </c>
      <c r="B2619" s="8"/>
      <c r="C2619" s="8" t="s">
        <v>17</v>
      </c>
      <c r="D2619" s="2">
        <v>43804</v>
      </c>
      <c r="E2619" s="3">
        <v>97500</v>
      </c>
      <c r="F2619" t="s">
        <v>48</v>
      </c>
      <c r="G2619" t="s">
        <v>49</v>
      </c>
      <c r="H2619" t="s">
        <v>50</v>
      </c>
      <c r="I2619" s="6" t="s">
        <v>1100</v>
      </c>
      <c r="J2619" s="61" t="s">
        <v>22</v>
      </c>
      <c r="L2619" s="5" t="str">
        <f t="shared" si="845"/>
        <v>02618</v>
      </c>
      <c r="M2619" s="47" t="str">
        <f t="shared" si="846"/>
        <v>05 de diciembre de 2019</v>
      </c>
      <c r="N2619" s="323">
        <f t="shared" si="847"/>
        <v>5</v>
      </c>
      <c r="O2619" s="25">
        <f t="shared" si="848"/>
        <v>43800</v>
      </c>
      <c r="P2619" s="5" t="str">
        <f t="shared" si="849"/>
        <v>97.500,00</v>
      </c>
      <c r="Q2619" s="4" t="str">
        <f t="shared" si="850"/>
        <v>Noventa y Siete Mil Quinientos Bolívares con 00/100</v>
      </c>
    </row>
    <row r="2620" spans="1:17" x14ac:dyDescent="0.25">
      <c r="A2620" s="1">
        <f>A2619+1</f>
        <v>2619</v>
      </c>
      <c r="B2620" s="8"/>
      <c r="C2620" s="8" t="s">
        <v>17</v>
      </c>
      <c r="D2620" s="2">
        <v>43805</v>
      </c>
      <c r="E2620" s="3">
        <v>97500</v>
      </c>
      <c r="F2620" t="s">
        <v>337</v>
      </c>
      <c r="G2620" t="s">
        <v>338</v>
      </c>
      <c r="H2620" t="s">
        <v>339</v>
      </c>
      <c r="I2620" s="6" t="s">
        <v>1100</v>
      </c>
      <c r="J2620" s="61" t="s">
        <v>22</v>
      </c>
      <c r="L2620" s="5" t="str">
        <f t="shared" si="845"/>
        <v>02619</v>
      </c>
      <c r="M2620" s="47" t="str">
        <f t="shared" si="846"/>
        <v>06 de diciembre de 2019</v>
      </c>
      <c r="N2620" s="323">
        <f t="shared" si="847"/>
        <v>6</v>
      </c>
      <c r="O2620" s="25">
        <f t="shared" si="848"/>
        <v>43800</v>
      </c>
      <c r="P2620" s="5" t="str">
        <f t="shared" si="849"/>
        <v>97.500,00</v>
      </c>
      <c r="Q2620" s="4" t="str">
        <f t="shared" si="850"/>
        <v>Noventa y Siete Mil Quinientos Bolívares con 00/100</v>
      </c>
    </row>
    <row r="2621" spans="1:17" x14ac:dyDescent="0.25">
      <c r="A2621" s="1">
        <f>A2620+1</f>
        <v>2620</v>
      </c>
      <c r="B2621" s="8"/>
      <c r="C2621" s="8" t="s">
        <v>17</v>
      </c>
      <c r="D2621" s="2">
        <v>43818</v>
      </c>
      <c r="E2621" s="3">
        <v>105250</v>
      </c>
      <c r="F2621" t="s">
        <v>296</v>
      </c>
      <c r="G2621" t="s">
        <v>297</v>
      </c>
      <c r="H2621" t="s">
        <v>298</v>
      </c>
      <c r="I2621" s="6" t="s">
        <v>1100</v>
      </c>
      <c r="J2621" s="61" t="s">
        <v>22</v>
      </c>
      <c r="L2621" s="5" t="str">
        <f t="shared" si="845"/>
        <v>02620</v>
      </c>
      <c r="M2621" s="47" t="str">
        <f t="shared" si="846"/>
        <v>19 de diciembre de 2019</v>
      </c>
      <c r="N2621" s="323">
        <f t="shared" si="847"/>
        <v>19</v>
      </c>
      <c r="O2621" s="25">
        <f t="shared" si="848"/>
        <v>43800</v>
      </c>
      <c r="P2621" s="5" t="str">
        <f t="shared" si="849"/>
        <v>105.250,00</v>
      </c>
      <c r="Q2621" s="4" t="str">
        <f t="shared" si="850"/>
        <v>Ciento Cinco Mil Doscientos Cincuenta Bolívares con 00/100</v>
      </c>
    </row>
    <row r="2622" spans="1:17" x14ac:dyDescent="0.25">
      <c r="A2622" s="1">
        <f t="shared" ref="A2622:A2623" si="854">A2621+1</f>
        <v>2621</v>
      </c>
      <c r="B2622" s="8"/>
      <c r="C2622" s="8" t="s">
        <v>17</v>
      </c>
      <c r="D2622" s="2">
        <v>43819</v>
      </c>
      <c r="E2622" s="3">
        <v>106000</v>
      </c>
      <c r="F2622" t="s">
        <v>443</v>
      </c>
      <c r="G2622" t="s">
        <v>444</v>
      </c>
      <c r="H2622" t="s">
        <v>75</v>
      </c>
      <c r="I2622" s="6" t="s">
        <v>1120</v>
      </c>
      <c r="J2622" s="61" t="s">
        <v>22</v>
      </c>
      <c r="L2622" s="5" t="str">
        <f t="shared" si="845"/>
        <v>02621</v>
      </c>
      <c r="M2622" s="47" t="str">
        <f t="shared" si="846"/>
        <v>20 de diciembre de 2019</v>
      </c>
      <c r="N2622" s="323">
        <f t="shared" si="847"/>
        <v>20</v>
      </c>
      <c r="O2622" s="25">
        <f t="shared" si="848"/>
        <v>43800</v>
      </c>
      <c r="P2622" s="5" t="str">
        <f t="shared" si="849"/>
        <v>106.000,00</v>
      </c>
      <c r="Q2622" s="4" t="str">
        <f t="shared" si="850"/>
        <v>Ciento Seis Mil Bolívares con 00/100</v>
      </c>
    </row>
    <row r="2623" spans="1:17" x14ac:dyDescent="0.25">
      <c r="A2623" s="1">
        <f t="shared" si="854"/>
        <v>2622</v>
      </c>
      <c r="B2623" s="8"/>
      <c r="C2623" s="8" t="s">
        <v>17</v>
      </c>
      <c r="D2623" s="2">
        <v>43819</v>
      </c>
      <c r="E2623" s="3">
        <v>105250</v>
      </c>
      <c r="F2623" t="s">
        <v>1017</v>
      </c>
      <c r="G2623" s="475" t="s">
        <v>1018</v>
      </c>
      <c r="H2623" t="s">
        <v>140</v>
      </c>
      <c r="I2623" s="6" t="s">
        <v>1100</v>
      </c>
      <c r="J2623" s="61" t="s">
        <v>22</v>
      </c>
      <c r="L2623" s="5" t="str">
        <f t="shared" si="845"/>
        <v>02622</v>
      </c>
      <c r="M2623" s="47" t="str">
        <f t="shared" si="846"/>
        <v>20 de diciembre de 2019</v>
      </c>
      <c r="N2623" s="323">
        <f t="shared" si="847"/>
        <v>20</v>
      </c>
      <c r="O2623" s="25">
        <f t="shared" si="848"/>
        <v>43800</v>
      </c>
      <c r="P2623" s="5" t="str">
        <f t="shared" si="849"/>
        <v>105.250,00</v>
      </c>
      <c r="Q2623" s="4" t="str">
        <f t="shared" si="850"/>
        <v>Ciento Cinco Mil Doscientos Cincuenta Bolívares con 00/100</v>
      </c>
    </row>
    <row r="2624" spans="1:17" x14ac:dyDescent="0.25">
      <c r="A2624" s="1">
        <f>A2623+1</f>
        <v>2623</v>
      </c>
      <c r="B2624" s="8"/>
      <c r="C2624" s="8" t="s">
        <v>17</v>
      </c>
      <c r="D2624" s="2">
        <v>43818</v>
      </c>
      <c r="E2624" s="3">
        <v>105250</v>
      </c>
      <c r="F2624" t="s">
        <v>284</v>
      </c>
      <c r="G2624" t="s">
        <v>687</v>
      </c>
      <c r="H2624" t="s">
        <v>285</v>
      </c>
      <c r="I2624" s="6" t="s">
        <v>1100</v>
      </c>
      <c r="J2624" s="61" t="s">
        <v>22</v>
      </c>
      <c r="L2624" s="5" t="str">
        <f t="shared" si="845"/>
        <v>02623</v>
      </c>
      <c r="M2624" s="47" t="str">
        <f t="shared" si="846"/>
        <v>19 de diciembre de 2019</v>
      </c>
      <c r="N2624" s="323">
        <f t="shared" si="847"/>
        <v>19</v>
      </c>
      <c r="O2624" s="25">
        <f t="shared" si="848"/>
        <v>43800</v>
      </c>
      <c r="P2624" s="5" t="str">
        <f t="shared" si="849"/>
        <v>105.250,00</v>
      </c>
      <c r="Q2624" s="4" t="str">
        <f t="shared" si="850"/>
        <v>Ciento Cinco Mil Doscientos Cincuenta Bolívares con 00/100</v>
      </c>
    </row>
    <row r="2625" spans="1:17" x14ac:dyDescent="0.25">
      <c r="A2625" s="319">
        <f t="shared" ref="A2625:A2629" si="855">A2624+1</f>
        <v>2624</v>
      </c>
      <c r="B2625" s="12"/>
      <c r="C2625" s="12" t="s">
        <v>225</v>
      </c>
      <c r="D2625" s="17">
        <v>43820</v>
      </c>
      <c r="E2625" s="13">
        <v>105250</v>
      </c>
      <c r="F2625" s="14" t="s">
        <v>215</v>
      </c>
      <c r="G2625" s="14" t="s">
        <v>1101</v>
      </c>
      <c r="H2625" s="14" t="s">
        <v>217</v>
      </c>
      <c r="I2625" s="15" t="s">
        <v>1100</v>
      </c>
      <c r="J2625" s="62" t="s">
        <v>426</v>
      </c>
      <c r="K2625" s="16"/>
      <c r="L2625" s="5" t="str">
        <f t="shared" si="845"/>
        <v>02624</v>
      </c>
      <c r="M2625" s="47" t="str">
        <f t="shared" si="846"/>
        <v>21 de diciembre de 2019</v>
      </c>
      <c r="N2625" s="323">
        <f t="shared" si="847"/>
        <v>21</v>
      </c>
      <c r="O2625" s="25">
        <f t="shared" si="848"/>
        <v>43800</v>
      </c>
      <c r="P2625" s="5" t="str">
        <f t="shared" si="849"/>
        <v>105.250,00</v>
      </c>
      <c r="Q2625" s="4" t="str">
        <f t="shared" si="850"/>
        <v>Ciento Cinco Mil Doscientos Cincuenta Bolívares con 00/100</v>
      </c>
    </row>
    <row r="2626" spans="1:17" x14ac:dyDescent="0.25">
      <c r="A2626" s="1">
        <f t="shared" si="855"/>
        <v>2625</v>
      </c>
      <c r="B2626" s="8"/>
      <c r="C2626" s="8" t="s">
        <v>17</v>
      </c>
      <c r="D2626" s="2">
        <v>43820</v>
      </c>
      <c r="E2626" s="3">
        <v>105250</v>
      </c>
      <c r="F2626" t="s">
        <v>843</v>
      </c>
      <c r="G2626" t="s">
        <v>844</v>
      </c>
      <c r="H2626" t="s">
        <v>169</v>
      </c>
      <c r="I2626" s="6" t="s">
        <v>1100</v>
      </c>
      <c r="J2626" s="61" t="s">
        <v>22</v>
      </c>
      <c r="L2626" s="5" t="str">
        <f t="shared" si="845"/>
        <v>02625</v>
      </c>
      <c r="M2626" s="47" t="str">
        <f t="shared" si="846"/>
        <v>21 de diciembre de 2019</v>
      </c>
      <c r="N2626" s="323">
        <f t="shared" si="847"/>
        <v>21</v>
      </c>
      <c r="O2626" s="25">
        <f t="shared" si="848"/>
        <v>43800</v>
      </c>
      <c r="P2626" s="5" t="str">
        <f t="shared" si="849"/>
        <v>105.250,00</v>
      </c>
      <c r="Q2626" s="4" t="str">
        <f t="shared" si="850"/>
        <v>Ciento Cinco Mil Doscientos Cincuenta Bolívares con 00/100</v>
      </c>
    </row>
    <row r="2627" spans="1:17" x14ac:dyDescent="0.25">
      <c r="A2627" s="1">
        <f t="shared" si="855"/>
        <v>2626</v>
      </c>
      <c r="B2627" s="8"/>
      <c r="C2627" s="85" t="s">
        <v>17</v>
      </c>
      <c r="D2627" s="2">
        <v>43822</v>
      </c>
      <c r="E2627" s="3">
        <f>210000+500</f>
        <v>210500</v>
      </c>
      <c r="F2627" t="s">
        <v>319</v>
      </c>
      <c r="G2627" s="18" t="s">
        <v>58</v>
      </c>
      <c r="H2627" t="s">
        <v>320</v>
      </c>
      <c r="I2627" s="6" t="s">
        <v>1097</v>
      </c>
      <c r="J2627" s="61" t="s">
        <v>22</v>
      </c>
      <c r="L2627" s="5" t="str">
        <f t="shared" si="845"/>
        <v>02626</v>
      </c>
      <c r="M2627" s="47" t="str">
        <f t="shared" si="846"/>
        <v>23 de diciembre de 2019</v>
      </c>
      <c r="N2627" s="323">
        <f t="shared" si="847"/>
        <v>23</v>
      </c>
      <c r="O2627" s="25">
        <f t="shared" si="848"/>
        <v>43800</v>
      </c>
      <c r="P2627" s="5" t="str">
        <f t="shared" si="849"/>
        <v>210.500,00</v>
      </c>
      <c r="Q2627" s="4" t="str">
        <f t="shared" si="850"/>
        <v>Doscientos Diez Mil Quinientos Bolívares con 00/100</v>
      </c>
    </row>
    <row r="2628" spans="1:17" x14ac:dyDescent="0.25">
      <c r="A2628" s="1">
        <f t="shared" si="855"/>
        <v>2627</v>
      </c>
      <c r="B2628" s="8"/>
      <c r="C2628" s="8" t="s">
        <v>17</v>
      </c>
      <c r="D2628" s="2">
        <v>43812</v>
      </c>
      <c r="E2628" s="3">
        <v>20000</v>
      </c>
      <c r="F2628" t="s">
        <v>252</v>
      </c>
      <c r="G2628" s="475" t="s">
        <v>958</v>
      </c>
      <c r="H2628" t="s">
        <v>254</v>
      </c>
      <c r="I2628" s="6" t="s">
        <v>1105</v>
      </c>
      <c r="J2628" s="61" t="s">
        <v>22</v>
      </c>
      <c r="L2628" s="5" t="str">
        <f t="shared" si="845"/>
        <v>02627</v>
      </c>
      <c r="M2628" s="47" t="str">
        <f t="shared" si="846"/>
        <v>13 de diciembre de 2019</v>
      </c>
      <c r="N2628" s="323">
        <f t="shared" si="847"/>
        <v>13</v>
      </c>
      <c r="O2628" s="25">
        <f t="shared" si="848"/>
        <v>43800</v>
      </c>
      <c r="P2628" s="5" t="str">
        <f t="shared" si="849"/>
        <v>20.000,00</v>
      </c>
      <c r="Q2628" s="4" t="str">
        <f t="shared" si="850"/>
        <v>Veinte Mil Bolívares con 00/100</v>
      </c>
    </row>
    <row r="2629" spans="1:17" x14ac:dyDescent="0.25">
      <c r="A2629" s="1">
        <f t="shared" si="855"/>
        <v>2628</v>
      </c>
      <c r="B2629" s="8"/>
      <c r="C2629" s="8" t="s">
        <v>17</v>
      </c>
      <c r="D2629" s="2">
        <v>43825</v>
      </c>
      <c r="E2629" s="3">
        <v>105250</v>
      </c>
      <c r="F2629" t="s">
        <v>633</v>
      </c>
      <c r="G2629" t="s">
        <v>634</v>
      </c>
      <c r="H2629" t="s">
        <v>635</v>
      </c>
      <c r="I2629" s="6" t="s">
        <v>1100</v>
      </c>
      <c r="J2629" s="61" t="s">
        <v>22</v>
      </c>
      <c r="L2629" s="5" t="str">
        <f t="shared" si="845"/>
        <v>02628</v>
      </c>
      <c r="M2629" s="47" t="str">
        <f t="shared" si="846"/>
        <v>26 de diciembre de 2019</v>
      </c>
      <c r="N2629" s="323">
        <f t="shared" si="847"/>
        <v>26</v>
      </c>
      <c r="O2629" s="25">
        <f t="shared" si="848"/>
        <v>43800</v>
      </c>
      <c r="P2629" s="5" t="str">
        <f t="shared" si="849"/>
        <v>105.250,00</v>
      </c>
      <c r="Q2629" s="4" t="str">
        <f t="shared" si="850"/>
        <v>Ciento Cinco Mil Doscientos Cincuenta Bolívares con 00/100</v>
      </c>
    </row>
    <row r="2630" spans="1:17" x14ac:dyDescent="0.25">
      <c r="A2630" s="1">
        <f>A2629+1</f>
        <v>2629</v>
      </c>
      <c r="B2630" s="8"/>
      <c r="C2630" s="8" t="s">
        <v>17</v>
      </c>
      <c r="D2630" s="2">
        <v>43825</v>
      </c>
      <c r="E2630" s="3">
        <v>20000</v>
      </c>
      <c r="F2630" t="s">
        <v>252</v>
      </c>
      <c r="G2630" s="475" t="s">
        <v>958</v>
      </c>
      <c r="H2630" t="s">
        <v>254</v>
      </c>
      <c r="I2630" s="6" t="s">
        <v>1105</v>
      </c>
      <c r="J2630" s="61" t="s">
        <v>22</v>
      </c>
      <c r="L2630" s="5" t="str">
        <f t="shared" ref="L2630:L2644" si="856">IF(ISBLANK(A2630),"",TEXT(A2630,"00000"))</f>
        <v>02629</v>
      </c>
      <c r="M2630" s="47" t="str">
        <f t="shared" ref="M2630:M2644" si="857">IF(ISBLANK(D2630),"",TEXT(D2630,"dd")&amp;" de "&amp;TEXT(D2630,"mmmm")&amp;" de "&amp;TEXT(YEAR(D2630),"0"))</f>
        <v>26 de diciembre de 2019</v>
      </c>
      <c r="N2630" s="323">
        <f t="shared" ref="N2630:N2658" si="858">DAY(D2630)</f>
        <v>26</v>
      </c>
      <c r="O2630" s="25">
        <f t="shared" ref="O2630:O2644" si="859">DATE(YEAR(D2630),MONTH(D2630),1)</f>
        <v>43800</v>
      </c>
      <c r="P2630" s="5" t="str">
        <f t="shared" ref="P2630:P2651" si="860">TEXT(E2630,"#.##0,00")</f>
        <v>20.000,00</v>
      </c>
      <c r="Q2630" s="4" t="str">
        <f t="shared" ref="Q2630:Q2631" si="861">CONVERTIRNUM(E2630)</f>
        <v>Veinte Mil Bolívares con 00/100</v>
      </c>
    </row>
    <row r="2631" spans="1:17" x14ac:dyDescent="0.25">
      <c r="A2631" s="1">
        <f>A2630+1</f>
        <v>2630</v>
      </c>
      <c r="B2631" s="8"/>
      <c r="C2631" s="8" t="s">
        <v>17</v>
      </c>
      <c r="D2631" s="2">
        <v>43820</v>
      </c>
      <c r="E2631" s="3">
        <v>105250</v>
      </c>
      <c r="F2631" t="s">
        <v>211</v>
      </c>
      <c r="G2631" t="s">
        <v>212</v>
      </c>
      <c r="H2631" t="s">
        <v>213</v>
      </c>
      <c r="I2631" s="6" t="s">
        <v>1100</v>
      </c>
      <c r="J2631" s="61" t="s">
        <v>22</v>
      </c>
      <c r="L2631" s="5" t="str">
        <f t="shared" si="856"/>
        <v>02630</v>
      </c>
      <c r="M2631" s="47" t="str">
        <f t="shared" si="857"/>
        <v>21 de diciembre de 2019</v>
      </c>
      <c r="N2631" s="323">
        <f t="shared" si="858"/>
        <v>21</v>
      </c>
      <c r="O2631" s="25">
        <f t="shared" si="859"/>
        <v>43800</v>
      </c>
      <c r="P2631" s="5" t="str">
        <f t="shared" si="860"/>
        <v>105.250,00</v>
      </c>
      <c r="Q2631" s="4" t="str">
        <f t="shared" si="861"/>
        <v>Ciento Cinco Mil Doscientos Cincuenta Bolívares con 00/100</v>
      </c>
    </row>
    <row r="2632" spans="1:17" x14ac:dyDescent="0.25">
      <c r="A2632" s="1">
        <f t="shared" ref="A2632:A2633" si="862">A2631+1</f>
        <v>2631</v>
      </c>
      <c r="B2632" s="8"/>
      <c r="C2632" s="8" t="s">
        <v>17</v>
      </c>
      <c r="D2632" s="2">
        <v>43829</v>
      </c>
      <c r="E2632" s="3">
        <v>105250</v>
      </c>
      <c r="F2632" t="s">
        <v>407</v>
      </c>
      <c r="G2632" t="s">
        <v>408</v>
      </c>
      <c r="H2632" t="s">
        <v>409</v>
      </c>
      <c r="I2632" s="6" t="s">
        <v>1121</v>
      </c>
      <c r="J2632" s="61" t="s">
        <v>22</v>
      </c>
      <c r="L2632" s="5" t="str">
        <f t="shared" si="856"/>
        <v>02631</v>
      </c>
      <c r="M2632" s="47" t="str">
        <f t="shared" si="857"/>
        <v>30 de diciembre de 2019</v>
      </c>
      <c r="N2632" s="323">
        <f t="shared" si="858"/>
        <v>30</v>
      </c>
      <c r="O2632" s="25">
        <f t="shared" si="859"/>
        <v>43800</v>
      </c>
      <c r="P2632" s="5" t="str">
        <f t="shared" si="860"/>
        <v>105.250,00</v>
      </c>
      <c r="Q2632" s="4" t="str">
        <f>CONVERTIRNUM(E2632)</f>
        <v>Ciento Cinco Mil Doscientos Cincuenta Bolívares con 00/100</v>
      </c>
    </row>
    <row r="2633" spans="1:17" x14ac:dyDescent="0.25">
      <c r="A2633" s="1">
        <f t="shared" si="862"/>
        <v>2632</v>
      </c>
      <c r="B2633" s="8"/>
      <c r="C2633" s="8" t="s">
        <v>17</v>
      </c>
      <c r="D2633" s="2">
        <v>43829</v>
      </c>
      <c r="E2633" s="3">
        <v>105250</v>
      </c>
      <c r="F2633" t="s">
        <v>94</v>
      </c>
      <c r="G2633" t="s">
        <v>607</v>
      </c>
      <c r="H2633" t="s">
        <v>96</v>
      </c>
      <c r="I2633" s="6" t="s">
        <v>1100</v>
      </c>
      <c r="J2633" s="61" t="s">
        <v>22</v>
      </c>
      <c r="L2633" s="5" t="str">
        <f t="shared" si="856"/>
        <v>02632</v>
      </c>
      <c r="M2633" s="47" t="str">
        <f t="shared" si="857"/>
        <v>30 de diciembre de 2019</v>
      </c>
      <c r="N2633" s="323">
        <f t="shared" si="858"/>
        <v>30</v>
      </c>
      <c r="O2633" s="25">
        <f t="shared" si="859"/>
        <v>43800</v>
      </c>
      <c r="P2633" s="5" t="str">
        <f t="shared" si="860"/>
        <v>105.250,00</v>
      </c>
      <c r="Q2633" s="4" t="str">
        <f t="shared" ref="Q2633:Q2651" si="863">CONVERTIRNUM(E2633)</f>
        <v>Ciento Cinco Mil Doscientos Cincuenta Bolívares con 00/100</v>
      </c>
    </row>
    <row r="2634" spans="1:17" x14ac:dyDescent="0.25">
      <c r="A2634" s="1">
        <f>A2633+1</f>
        <v>2633</v>
      </c>
      <c r="B2634" s="8"/>
      <c r="C2634" s="8" t="s">
        <v>17</v>
      </c>
      <c r="D2634" s="2">
        <v>43807</v>
      </c>
      <c r="E2634" s="3">
        <v>97500</v>
      </c>
      <c r="F2634" t="s">
        <v>181</v>
      </c>
      <c r="G2634" t="s">
        <v>182</v>
      </c>
      <c r="H2634" t="s">
        <v>183</v>
      </c>
      <c r="I2634" s="6" t="s">
        <v>1122</v>
      </c>
      <c r="J2634" s="61" t="s">
        <v>22</v>
      </c>
      <c r="L2634" s="5" t="str">
        <f t="shared" si="856"/>
        <v>02633</v>
      </c>
      <c r="M2634" s="47" t="str">
        <f t="shared" si="857"/>
        <v>08 de diciembre de 2019</v>
      </c>
      <c r="N2634" s="323">
        <f t="shared" si="858"/>
        <v>8</v>
      </c>
      <c r="O2634" s="25">
        <f t="shared" si="859"/>
        <v>43800</v>
      </c>
      <c r="P2634" s="5" t="str">
        <f t="shared" si="860"/>
        <v>97.500,00</v>
      </c>
      <c r="Q2634" s="4" t="str">
        <f t="shared" si="863"/>
        <v>Noventa y Siete Mil Quinientos Bolívares con 00/100</v>
      </c>
    </row>
    <row r="2635" spans="1:17" x14ac:dyDescent="0.25">
      <c r="A2635" s="1">
        <f>A2634+1</f>
        <v>2634</v>
      </c>
      <c r="C2635" s="8" t="s">
        <v>17</v>
      </c>
      <c r="D2635" s="2">
        <v>43831</v>
      </c>
      <c r="E2635" s="3">
        <v>60000</v>
      </c>
      <c r="F2635" t="s">
        <v>412</v>
      </c>
      <c r="G2635" t="s">
        <v>413</v>
      </c>
      <c r="H2635" t="s">
        <v>414</v>
      </c>
      <c r="I2635" s="6" t="s">
        <v>1105</v>
      </c>
      <c r="J2635" s="61" t="s">
        <v>22</v>
      </c>
      <c r="L2635" s="5" t="str">
        <f t="shared" si="856"/>
        <v>02634</v>
      </c>
      <c r="M2635" s="47" t="str">
        <f t="shared" si="857"/>
        <v>01 de enero de 2020</v>
      </c>
      <c r="N2635" s="323">
        <f t="shared" si="858"/>
        <v>1</v>
      </c>
      <c r="O2635" s="25">
        <f t="shared" si="859"/>
        <v>43831</v>
      </c>
      <c r="P2635" s="5" t="str">
        <f t="shared" si="860"/>
        <v>60.000,00</v>
      </c>
      <c r="Q2635" s="4" t="str">
        <f t="shared" si="863"/>
        <v>Sesenta Mil Bolívares con 00/100</v>
      </c>
    </row>
    <row r="2636" spans="1:17" x14ac:dyDescent="0.25">
      <c r="A2636" s="1">
        <f>A2635+1</f>
        <v>2635</v>
      </c>
      <c r="C2636" s="8" t="s">
        <v>17</v>
      </c>
      <c r="D2636" s="2">
        <v>43834</v>
      </c>
      <c r="E2636" s="3">
        <v>136250</v>
      </c>
      <c r="F2636" t="s">
        <v>70</v>
      </c>
      <c r="G2636" t="s">
        <v>71</v>
      </c>
      <c r="H2636" t="s">
        <v>72</v>
      </c>
      <c r="I2636" s="6" t="s">
        <v>1121</v>
      </c>
      <c r="J2636" s="61" t="s">
        <v>22</v>
      </c>
      <c r="L2636" s="5" t="str">
        <f t="shared" si="856"/>
        <v>02635</v>
      </c>
      <c r="M2636" s="47" t="str">
        <f t="shared" si="857"/>
        <v>04 de enero de 2020</v>
      </c>
      <c r="N2636" s="323">
        <f t="shared" si="858"/>
        <v>4</v>
      </c>
      <c r="O2636" s="25">
        <f t="shared" si="859"/>
        <v>43831</v>
      </c>
      <c r="P2636" s="5" t="str">
        <f t="shared" si="860"/>
        <v>136.250,00</v>
      </c>
      <c r="Q2636" s="4" t="str">
        <f t="shared" si="863"/>
        <v>Ciento Treinta y Seis Mil Doscientos Cincuenta Bolívares con 00/100</v>
      </c>
    </row>
    <row r="2637" spans="1:17" x14ac:dyDescent="0.25">
      <c r="A2637" s="1">
        <f t="shared" ref="A2637" si="864">A2636+1</f>
        <v>2636</v>
      </c>
      <c r="C2637" s="8" t="s">
        <v>17</v>
      </c>
      <c r="D2637" s="2">
        <v>43834</v>
      </c>
      <c r="E2637" s="3">
        <v>136250</v>
      </c>
      <c r="F2637" t="s">
        <v>103</v>
      </c>
      <c r="G2637" s="599" t="s">
        <v>1047</v>
      </c>
      <c r="H2637" t="s">
        <v>105</v>
      </c>
      <c r="I2637" s="6" t="s">
        <v>1121</v>
      </c>
      <c r="J2637" s="61" t="s">
        <v>22</v>
      </c>
      <c r="L2637" s="5" t="str">
        <f t="shared" si="856"/>
        <v>02636</v>
      </c>
      <c r="M2637" s="47" t="str">
        <f t="shared" si="857"/>
        <v>04 de enero de 2020</v>
      </c>
      <c r="N2637" s="323">
        <f t="shared" si="858"/>
        <v>4</v>
      </c>
      <c r="O2637" s="25">
        <f t="shared" si="859"/>
        <v>43831</v>
      </c>
      <c r="P2637" s="5" t="str">
        <f t="shared" si="860"/>
        <v>136.250,00</v>
      </c>
      <c r="Q2637" s="4" t="str">
        <f t="shared" si="863"/>
        <v>Ciento Treinta y Seis Mil Doscientos Cincuenta Bolívares con 00/100</v>
      </c>
    </row>
    <row r="2638" spans="1:17" x14ac:dyDescent="0.25">
      <c r="A2638" s="1">
        <f>A2637+1</f>
        <v>2637</v>
      </c>
      <c r="C2638" s="8" t="s">
        <v>17</v>
      </c>
      <c r="D2638" s="2">
        <v>43834</v>
      </c>
      <c r="E2638" s="3">
        <v>136250</v>
      </c>
      <c r="F2638" t="s">
        <v>1004</v>
      </c>
      <c r="G2638" t="s">
        <v>1005</v>
      </c>
      <c r="H2638" t="s">
        <v>539</v>
      </c>
      <c r="I2638" s="6" t="s">
        <v>1121</v>
      </c>
      <c r="J2638" s="61" t="s">
        <v>22</v>
      </c>
      <c r="L2638" s="5" t="str">
        <f t="shared" si="856"/>
        <v>02637</v>
      </c>
      <c r="M2638" s="47" t="str">
        <f t="shared" si="857"/>
        <v>04 de enero de 2020</v>
      </c>
      <c r="N2638" s="323">
        <f t="shared" si="858"/>
        <v>4</v>
      </c>
      <c r="O2638" s="25">
        <f t="shared" si="859"/>
        <v>43831</v>
      </c>
      <c r="P2638" s="5" t="str">
        <f t="shared" si="860"/>
        <v>136.250,00</v>
      </c>
      <c r="Q2638" s="4" t="str">
        <f t="shared" si="863"/>
        <v>Ciento Treinta y Seis Mil Doscientos Cincuenta Bolívares con 00/100</v>
      </c>
    </row>
    <row r="2639" spans="1:17" x14ac:dyDescent="0.25">
      <c r="A2639" s="1">
        <f t="shared" ref="A2639" si="865">A2638+1</f>
        <v>2638</v>
      </c>
      <c r="B2639" s="8"/>
      <c r="C2639" s="85" t="s">
        <v>17</v>
      </c>
      <c r="D2639" s="2">
        <v>43834</v>
      </c>
      <c r="E2639" s="3">
        <v>136250</v>
      </c>
      <c r="F2639" t="s">
        <v>259</v>
      </c>
      <c r="G2639" s="18" t="s">
        <v>58</v>
      </c>
      <c r="H2639" t="s">
        <v>261</v>
      </c>
      <c r="I2639" s="6" t="s">
        <v>1100</v>
      </c>
      <c r="J2639" s="61" t="s">
        <v>22</v>
      </c>
      <c r="L2639" s="5" t="str">
        <f t="shared" si="856"/>
        <v>02638</v>
      </c>
      <c r="M2639" s="47" t="str">
        <f t="shared" si="857"/>
        <v>04 de enero de 2020</v>
      </c>
      <c r="N2639" s="323">
        <f t="shared" si="858"/>
        <v>4</v>
      </c>
      <c r="O2639" s="25">
        <f t="shared" si="859"/>
        <v>43831</v>
      </c>
      <c r="P2639" s="5" t="str">
        <f t="shared" si="860"/>
        <v>136.250,00</v>
      </c>
      <c r="Q2639" s="4" t="str">
        <f t="shared" si="863"/>
        <v>Ciento Treinta y Seis Mil Doscientos Cincuenta Bolívares con 00/100</v>
      </c>
    </row>
    <row r="2640" spans="1:17" x14ac:dyDescent="0.25">
      <c r="A2640" s="656">
        <f>A2639+1</f>
        <v>2639</v>
      </c>
      <c r="C2640" s="8" t="s">
        <v>17</v>
      </c>
      <c r="D2640" s="2">
        <v>43834</v>
      </c>
      <c r="E2640" s="3">
        <v>136250</v>
      </c>
      <c r="F2640" t="s">
        <v>454</v>
      </c>
      <c r="G2640" t="s">
        <v>761</v>
      </c>
      <c r="H2640" t="s">
        <v>455</v>
      </c>
      <c r="I2640" s="6" t="s">
        <v>1121</v>
      </c>
      <c r="J2640" s="61" t="s">
        <v>22</v>
      </c>
      <c r="L2640" s="5" t="str">
        <f t="shared" si="856"/>
        <v>02639</v>
      </c>
      <c r="M2640" s="47" t="str">
        <f t="shared" si="857"/>
        <v>04 de enero de 2020</v>
      </c>
      <c r="N2640" s="323">
        <f t="shared" si="858"/>
        <v>4</v>
      </c>
      <c r="O2640" s="25">
        <f t="shared" si="859"/>
        <v>43831</v>
      </c>
      <c r="P2640" s="5" t="str">
        <f t="shared" si="860"/>
        <v>136.250,00</v>
      </c>
      <c r="Q2640" s="4" t="str">
        <f t="shared" si="863"/>
        <v>Ciento Treinta y Seis Mil Doscientos Cincuenta Bolívares con 00/100</v>
      </c>
    </row>
    <row r="2641" spans="1:17" x14ac:dyDescent="0.25">
      <c r="A2641" s="1">
        <f>A2640+1</f>
        <v>2640</v>
      </c>
      <c r="C2641" s="8" t="s">
        <v>17</v>
      </c>
      <c r="D2641" s="2">
        <v>43834</v>
      </c>
      <c r="E2641" s="3">
        <v>136250</v>
      </c>
      <c r="F2641" t="s">
        <v>18</v>
      </c>
      <c r="G2641" t="s">
        <v>19</v>
      </c>
      <c r="H2641" t="s">
        <v>20</v>
      </c>
      <c r="I2641" t="s">
        <v>1123</v>
      </c>
      <c r="J2641" s="61" t="s">
        <v>22</v>
      </c>
      <c r="L2641" s="5" t="str">
        <f t="shared" si="856"/>
        <v>02640</v>
      </c>
      <c r="M2641" s="47" t="str">
        <f t="shared" si="857"/>
        <v>04 de enero de 2020</v>
      </c>
      <c r="N2641" s="323">
        <f t="shared" si="858"/>
        <v>4</v>
      </c>
      <c r="O2641" s="25">
        <f t="shared" si="859"/>
        <v>43831</v>
      </c>
      <c r="P2641" s="5" t="str">
        <f t="shared" si="860"/>
        <v>136.250,00</v>
      </c>
      <c r="Q2641" s="4" t="str">
        <f t="shared" si="863"/>
        <v>Ciento Treinta y Seis Mil Doscientos Cincuenta Bolívares con 00/100</v>
      </c>
    </row>
    <row r="2642" spans="1:17" x14ac:dyDescent="0.25">
      <c r="A2642" s="1">
        <f>A2641+1</f>
        <v>2641</v>
      </c>
      <c r="C2642" s="8" t="s">
        <v>17</v>
      </c>
      <c r="D2642" s="2">
        <v>43834</v>
      </c>
      <c r="E2642" s="3">
        <v>136250</v>
      </c>
      <c r="F2642" t="s">
        <v>438</v>
      </c>
      <c r="G2642" t="s">
        <v>439</v>
      </c>
      <c r="H2642" t="s">
        <v>440</v>
      </c>
      <c r="I2642" s="6" t="s">
        <v>1124</v>
      </c>
      <c r="J2642" s="61" t="s">
        <v>22</v>
      </c>
      <c r="L2642" s="5" t="str">
        <f t="shared" si="856"/>
        <v>02641</v>
      </c>
      <c r="M2642" s="47" t="str">
        <f t="shared" si="857"/>
        <v>04 de enero de 2020</v>
      </c>
      <c r="N2642" s="323">
        <f t="shared" si="858"/>
        <v>4</v>
      </c>
      <c r="O2642" s="25">
        <f t="shared" si="859"/>
        <v>43831</v>
      </c>
      <c r="P2642" s="5" t="str">
        <f t="shared" si="860"/>
        <v>136.250,00</v>
      </c>
      <c r="Q2642" s="4" t="str">
        <f t="shared" si="863"/>
        <v>Ciento Treinta y Seis Mil Doscientos Cincuenta Bolívares con 00/100</v>
      </c>
    </row>
    <row r="2643" spans="1:17" x14ac:dyDescent="0.25">
      <c r="A2643" s="1">
        <f t="shared" ref="A2643:A2645" si="866">A2642+1</f>
        <v>2642</v>
      </c>
      <c r="C2643" s="8" t="s">
        <v>17</v>
      </c>
      <c r="D2643" s="2">
        <v>43833</v>
      </c>
      <c r="E2643" s="3">
        <v>105250</v>
      </c>
      <c r="F2643" t="s">
        <v>947</v>
      </c>
      <c r="G2643" t="s">
        <v>948</v>
      </c>
      <c r="H2643" t="s">
        <v>949</v>
      </c>
      <c r="I2643" s="6" t="s">
        <v>1125</v>
      </c>
      <c r="J2643" s="61" t="s">
        <v>22</v>
      </c>
      <c r="L2643" s="5" t="str">
        <f t="shared" si="856"/>
        <v>02642</v>
      </c>
      <c r="M2643" s="47" t="str">
        <f t="shared" si="857"/>
        <v>03 de enero de 2020</v>
      </c>
      <c r="N2643" s="323">
        <f t="shared" si="858"/>
        <v>3</v>
      </c>
      <c r="O2643" s="25">
        <f t="shared" si="859"/>
        <v>43831</v>
      </c>
      <c r="P2643" s="5" t="str">
        <f t="shared" si="860"/>
        <v>105.250,00</v>
      </c>
      <c r="Q2643" s="4" t="str">
        <f t="shared" si="863"/>
        <v>Ciento Cinco Mil Doscientos Cincuenta Bolívares con 00/100</v>
      </c>
    </row>
    <row r="2644" spans="1:17" x14ac:dyDescent="0.25">
      <c r="A2644" s="1">
        <f t="shared" si="866"/>
        <v>2643</v>
      </c>
      <c r="C2644" s="8" t="s">
        <v>17</v>
      </c>
      <c r="D2644" s="2">
        <v>43834</v>
      </c>
      <c r="E2644" s="3">
        <v>31000</v>
      </c>
      <c r="F2644" t="s">
        <v>947</v>
      </c>
      <c r="G2644" t="s">
        <v>948</v>
      </c>
      <c r="H2644" t="s">
        <v>949</v>
      </c>
      <c r="I2644" s="6" t="s">
        <v>1126</v>
      </c>
      <c r="J2644" s="61" t="s">
        <v>22</v>
      </c>
      <c r="L2644" s="5" t="str">
        <f t="shared" si="856"/>
        <v>02643</v>
      </c>
      <c r="M2644" s="47" t="str">
        <f t="shared" si="857"/>
        <v>04 de enero de 2020</v>
      </c>
      <c r="N2644" s="323">
        <f t="shared" si="858"/>
        <v>4</v>
      </c>
      <c r="O2644" s="25">
        <f t="shared" si="859"/>
        <v>43831</v>
      </c>
      <c r="P2644" s="5" t="str">
        <f t="shared" si="860"/>
        <v>31.000,00</v>
      </c>
      <c r="Q2644" s="4" t="str">
        <f t="shared" si="863"/>
        <v>Treinta y Un Mil Bolívares con 00/100</v>
      </c>
    </row>
    <row r="2645" spans="1:17" x14ac:dyDescent="0.25">
      <c r="A2645" s="1">
        <f t="shared" si="866"/>
        <v>2644</v>
      </c>
      <c r="B2645" s="8"/>
      <c r="C2645" s="8" t="s">
        <v>17</v>
      </c>
      <c r="D2645" s="2">
        <v>43834</v>
      </c>
      <c r="E2645" s="3">
        <v>136250</v>
      </c>
      <c r="F2645" t="s">
        <v>243</v>
      </c>
      <c r="G2645" t="s">
        <v>244</v>
      </c>
      <c r="H2645" t="s">
        <v>245</v>
      </c>
      <c r="I2645" s="6" t="s">
        <v>1121</v>
      </c>
      <c r="J2645" s="61" t="s">
        <v>22</v>
      </c>
      <c r="L2645" s="5" t="str">
        <f>IF(ISBLANK(A2645),"",TEXT(A2645,"00000"))</f>
        <v>02644</v>
      </c>
      <c r="M2645" s="47" t="str">
        <f>IF(ISBLANK(D2645),"",TEXT(D2645,"dd")&amp;" de "&amp;TEXT(D2645,"mmmm")&amp;" de "&amp;TEXT(YEAR(D2645),"0"))</f>
        <v>04 de enero de 2020</v>
      </c>
      <c r="N2645" s="323">
        <f t="shared" si="858"/>
        <v>4</v>
      </c>
      <c r="O2645" s="25">
        <f>DATE(YEAR(D2645),MONTH(D2645),1)</f>
        <v>43831</v>
      </c>
      <c r="P2645" s="5" t="str">
        <f t="shared" si="860"/>
        <v>136.250,00</v>
      </c>
      <c r="Q2645" s="4" t="str">
        <f t="shared" si="863"/>
        <v>Ciento Treinta y Seis Mil Doscientos Cincuenta Bolívares con 00/100</v>
      </c>
    </row>
    <row r="2646" spans="1:17" x14ac:dyDescent="0.25">
      <c r="A2646" s="1">
        <f>A2645+1</f>
        <v>2645</v>
      </c>
      <c r="C2646" s="8" t="s">
        <v>17</v>
      </c>
      <c r="D2646" s="2">
        <v>43835</v>
      </c>
      <c r="E2646" s="3">
        <v>136250</v>
      </c>
      <c r="F2646" t="s">
        <v>24</v>
      </c>
      <c r="G2646" t="s">
        <v>25</v>
      </c>
      <c r="H2646" t="s">
        <v>26</v>
      </c>
      <c r="I2646" s="6" t="s">
        <v>1121</v>
      </c>
      <c r="J2646" s="61" t="s">
        <v>22</v>
      </c>
      <c r="L2646" s="5" t="str">
        <f t="shared" ref="L2646:L2680" si="867">IF(ISBLANK(A2646),"",TEXT(A2646,"00000"))</f>
        <v>02645</v>
      </c>
      <c r="M2646" s="47" t="str">
        <f t="shared" ref="M2646:M2680" si="868">IF(ISBLANK(D2646),"",TEXT(D2646,"dd")&amp;" de "&amp;TEXT(D2646,"mmmm")&amp;" de "&amp;TEXT(YEAR(D2646),"0"))</f>
        <v>05 de enero de 2020</v>
      </c>
      <c r="N2646" s="323">
        <f t="shared" si="858"/>
        <v>5</v>
      </c>
      <c r="O2646" s="25">
        <f t="shared" ref="O2646:O2680" si="869">DATE(YEAR(D2646),MONTH(D2646),1)</f>
        <v>43831</v>
      </c>
      <c r="P2646" s="5" t="str">
        <f t="shared" si="860"/>
        <v>136.250,00</v>
      </c>
      <c r="Q2646" s="4" t="str">
        <f t="shared" si="863"/>
        <v>Ciento Treinta y Seis Mil Doscientos Cincuenta Bolívares con 00/100</v>
      </c>
    </row>
    <row r="2647" spans="1:17" x14ac:dyDescent="0.25">
      <c r="A2647" s="1">
        <f t="shared" ref="A2647" si="870">A2646+1</f>
        <v>2646</v>
      </c>
      <c r="C2647" s="8" t="s">
        <v>17</v>
      </c>
      <c r="D2647" s="2">
        <v>43835</v>
      </c>
      <c r="E2647" s="3">
        <v>136250</v>
      </c>
      <c r="F2647" t="s">
        <v>362</v>
      </c>
      <c r="G2647" t="s">
        <v>363</v>
      </c>
      <c r="H2647" t="s">
        <v>364</v>
      </c>
      <c r="I2647" s="6" t="s">
        <v>1121</v>
      </c>
      <c r="J2647" s="61" t="s">
        <v>22</v>
      </c>
      <c r="L2647" s="5" t="str">
        <f t="shared" si="867"/>
        <v>02646</v>
      </c>
      <c r="M2647" s="47" t="str">
        <f t="shared" si="868"/>
        <v>05 de enero de 2020</v>
      </c>
      <c r="N2647" s="323">
        <f t="shared" si="858"/>
        <v>5</v>
      </c>
      <c r="O2647" s="25">
        <f t="shared" si="869"/>
        <v>43831</v>
      </c>
      <c r="P2647" s="5" t="str">
        <f t="shared" si="860"/>
        <v>136.250,00</v>
      </c>
      <c r="Q2647" s="4" t="str">
        <f t="shared" si="863"/>
        <v>Ciento Treinta y Seis Mil Doscientos Cincuenta Bolívares con 00/100</v>
      </c>
    </row>
    <row r="2648" spans="1:17" x14ac:dyDescent="0.25">
      <c r="A2648" s="1">
        <f>A2647+1</f>
        <v>2647</v>
      </c>
      <c r="C2648" s="8" t="s">
        <v>17</v>
      </c>
      <c r="D2648" s="2">
        <v>43832</v>
      </c>
      <c r="E2648" s="3">
        <v>105250</v>
      </c>
      <c r="F2648" t="s">
        <v>177</v>
      </c>
      <c r="G2648" t="s">
        <v>941</v>
      </c>
      <c r="H2648" t="s">
        <v>179</v>
      </c>
      <c r="I2648" s="6" t="s">
        <v>1127</v>
      </c>
      <c r="J2648" s="61" t="s">
        <v>22</v>
      </c>
      <c r="L2648" s="5" t="str">
        <f t="shared" si="867"/>
        <v>02647</v>
      </c>
      <c r="M2648" s="47" t="str">
        <f t="shared" si="868"/>
        <v>02 de enero de 2020</v>
      </c>
      <c r="N2648" s="323">
        <f t="shared" si="858"/>
        <v>2</v>
      </c>
      <c r="O2648" s="25">
        <f t="shared" si="869"/>
        <v>43831</v>
      </c>
      <c r="P2648" s="5" t="str">
        <f t="shared" si="860"/>
        <v>105.250,00</v>
      </c>
      <c r="Q2648" s="4" t="str">
        <f t="shared" si="863"/>
        <v>Ciento Cinco Mil Doscientos Cincuenta Bolívares con 00/100</v>
      </c>
    </row>
    <row r="2649" spans="1:17" x14ac:dyDescent="0.25">
      <c r="A2649" s="1">
        <f>A2648+1</f>
        <v>2648</v>
      </c>
      <c r="C2649" s="8" t="s">
        <v>17</v>
      </c>
      <c r="D2649" s="2">
        <v>43836</v>
      </c>
      <c r="E2649" s="3">
        <v>136250</v>
      </c>
      <c r="F2649" t="s">
        <v>36</v>
      </c>
      <c r="G2649" t="s">
        <v>37</v>
      </c>
      <c r="H2649" t="s">
        <v>38</v>
      </c>
      <c r="I2649" s="6" t="s">
        <v>1121</v>
      </c>
      <c r="J2649" s="61" t="s">
        <v>22</v>
      </c>
      <c r="L2649" s="5" t="str">
        <f t="shared" si="867"/>
        <v>02648</v>
      </c>
      <c r="M2649" s="47" t="str">
        <f t="shared" si="868"/>
        <v>06 de enero de 2020</v>
      </c>
      <c r="N2649" s="323">
        <f t="shared" si="858"/>
        <v>6</v>
      </c>
      <c r="O2649" s="25">
        <f t="shared" si="869"/>
        <v>43831</v>
      </c>
      <c r="P2649" s="5" t="str">
        <f t="shared" si="860"/>
        <v>136.250,00</v>
      </c>
      <c r="Q2649" s="4" t="str">
        <f t="shared" si="863"/>
        <v>Ciento Treinta y Seis Mil Doscientos Cincuenta Bolívares con 00/100</v>
      </c>
    </row>
    <row r="2650" spans="1:17" x14ac:dyDescent="0.25">
      <c r="A2650" s="1">
        <f t="shared" ref="A2650" si="871">A2649+1</f>
        <v>2649</v>
      </c>
      <c r="C2650" s="8" t="s">
        <v>17</v>
      </c>
      <c r="D2650" s="2">
        <v>43836</v>
      </c>
      <c r="E2650" s="3">
        <v>137000</v>
      </c>
      <c r="F2650" t="s">
        <v>443</v>
      </c>
      <c r="G2650" t="s">
        <v>444</v>
      </c>
      <c r="H2650" t="s">
        <v>75</v>
      </c>
      <c r="I2650" s="6" t="s">
        <v>1128</v>
      </c>
      <c r="J2650" s="61" t="s">
        <v>22</v>
      </c>
      <c r="L2650" s="5" t="str">
        <f t="shared" si="867"/>
        <v>02649</v>
      </c>
      <c r="M2650" s="47" t="str">
        <f t="shared" si="868"/>
        <v>06 de enero de 2020</v>
      </c>
      <c r="N2650" s="323">
        <f t="shared" si="858"/>
        <v>6</v>
      </c>
      <c r="O2650" s="25">
        <f t="shared" si="869"/>
        <v>43831</v>
      </c>
      <c r="P2650" s="5" t="str">
        <f t="shared" si="860"/>
        <v>137.000,00</v>
      </c>
      <c r="Q2650" s="4" t="str">
        <f t="shared" si="863"/>
        <v>Ciento Treinta y Siete Mil Bolívares con 00/100</v>
      </c>
    </row>
    <row r="2651" spans="1:17" x14ac:dyDescent="0.25">
      <c r="A2651" s="1">
        <f t="shared" ref="A2651:A2662" si="872">A2650+1</f>
        <v>2650</v>
      </c>
      <c r="C2651" s="85" t="s">
        <v>17</v>
      </c>
      <c r="D2651" s="2">
        <v>43836</v>
      </c>
      <c r="E2651" s="3">
        <v>136250</v>
      </c>
      <c r="F2651" t="s">
        <v>40</v>
      </c>
      <c r="G2651" s="18" t="s">
        <v>58</v>
      </c>
      <c r="H2651" t="s">
        <v>42</v>
      </c>
      <c r="I2651" s="6" t="s">
        <v>1121</v>
      </c>
      <c r="J2651" s="61" t="s">
        <v>22</v>
      </c>
      <c r="L2651" s="5" t="str">
        <f t="shared" si="867"/>
        <v>02650</v>
      </c>
      <c r="M2651" s="47" t="str">
        <f t="shared" si="868"/>
        <v>06 de enero de 2020</v>
      </c>
      <c r="N2651" s="323">
        <f t="shared" si="858"/>
        <v>6</v>
      </c>
      <c r="O2651" s="25">
        <f t="shared" si="869"/>
        <v>43831</v>
      </c>
      <c r="P2651" s="5" t="str">
        <f t="shared" si="860"/>
        <v>136.250,00</v>
      </c>
      <c r="Q2651" s="4" t="str">
        <f t="shared" si="863"/>
        <v>Ciento Treinta y Seis Mil Doscientos Cincuenta Bolívares con 00/100</v>
      </c>
    </row>
    <row r="2652" spans="1:17" x14ac:dyDescent="0.25">
      <c r="A2652" s="1">
        <f t="shared" si="872"/>
        <v>2651</v>
      </c>
      <c r="C2652" s="8" t="s">
        <v>17</v>
      </c>
      <c r="D2652" s="2">
        <v>43836</v>
      </c>
      <c r="E2652" s="3">
        <v>137000</v>
      </c>
      <c r="F2652" t="s">
        <v>162</v>
      </c>
      <c r="G2652" t="s">
        <v>163</v>
      </c>
      <c r="H2652" t="s">
        <v>164</v>
      </c>
      <c r="I2652" s="6" t="s">
        <v>1100</v>
      </c>
      <c r="J2652" s="61" t="s">
        <v>22</v>
      </c>
      <c r="L2652" s="5" t="str">
        <f t="shared" si="867"/>
        <v>02651</v>
      </c>
      <c r="M2652" s="47" t="str">
        <f t="shared" si="868"/>
        <v>06 de enero de 2020</v>
      </c>
      <c r="N2652" s="323">
        <f t="shared" si="858"/>
        <v>6</v>
      </c>
      <c r="O2652" s="25">
        <f t="shared" si="869"/>
        <v>43831</v>
      </c>
      <c r="P2652" s="5" t="str">
        <f>TEXT(E2652,"#.##0,00")</f>
        <v>137.000,00</v>
      </c>
      <c r="Q2652" s="4" t="str">
        <f>CONVERTIRNUM(E2652)</f>
        <v>Ciento Treinta y Siete Mil Bolívares con 00/100</v>
      </c>
    </row>
    <row r="2653" spans="1:17" x14ac:dyDescent="0.25">
      <c r="A2653" s="1">
        <f t="shared" si="872"/>
        <v>2652</v>
      </c>
      <c r="C2653" s="8" t="s">
        <v>17</v>
      </c>
      <c r="D2653" s="2">
        <v>43837</v>
      </c>
      <c r="E2653" s="3">
        <v>175000</v>
      </c>
      <c r="F2653" t="s">
        <v>48</v>
      </c>
      <c r="G2653" t="s">
        <v>49</v>
      </c>
      <c r="H2653" t="s">
        <v>50</v>
      </c>
      <c r="I2653" s="6" t="s">
        <v>1129</v>
      </c>
      <c r="J2653" s="61" t="s">
        <v>22</v>
      </c>
      <c r="L2653" s="5" t="str">
        <f t="shared" si="867"/>
        <v>02652</v>
      </c>
      <c r="M2653" s="47" t="str">
        <f t="shared" si="868"/>
        <v>07 de enero de 2020</v>
      </c>
      <c r="N2653" s="323">
        <f t="shared" si="858"/>
        <v>7</v>
      </c>
      <c r="O2653" s="25">
        <f t="shared" si="869"/>
        <v>43831</v>
      </c>
      <c r="P2653" s="5" t="str">
        <f t="shared" ref="P2653:P2680" si="873">TEXT(E2653,"#.##0,00")</f>
        <v>175.000,00</v>
      </c>
      <c r="Q2653" s="4" t="str">
        <f t="shared" ref="Q2653:Q2680" si="874">CONVERTIRNUM(E2653)</f>
        <v>Ciento Setenta y Cinco Mil Bolívares con 00/100</v>
      </c>
    </row>
    <row r="2654" spans="1:17" x14ac:dyDescent="0.25">
      <c r="A2654" s="1">
        <f t="shared" si="872"/>
        <v>2653</v>
      </c>
      <c r="C2654" s="8" t="s">
        <v>17</v>
      </c>
      <c r="D2654" s="2">
        <v>43838</v>
      </c>
      <c r="E2654" s="3">
        <v>136250</v>
      </c>
      <c r="F2654" t="s">
        <v>312</v>
      </c>
      <c r="G2654" t="s">
        <v>313</v>
      </c>
      <c r="H2654" t="s">
        <v>314</v>
      </c>
      <c r="I2654" s="6" t="s">
        <v>1121</v>
      </c>
      <c r="J2654" s="61" t="s">
        <v>22</v>
      </c>
      <c r="L2654" s="5" t="str">
        <f t="shared" si="867"/>
        <v>02653</v>
      </c>
      <c r="M2654" s="47" t="str">
        <f t="shared" si="868"/>
        <v>08 de enero de 2020</v>
      </c>
      <c r="N2654" s="323">
        <f t="shared" si="858"/>
        <v>8</v>
      </c>
      <c r="O2654" s="25">
        <f t="shared" si="869"/>
        <v>43831</v>
      </c>
      <c r="P2654" s="5" t="str">
        <f t="shared" si="873"/>
        <v>136.250,00</v>
      </c>
      <c r="Q2654" s="4" t="str">
        <f t="shared" si="874"/>
        <v>Ciento Treinta y Seis Mil Doscientos Cincuenta Bolívares con 00/100</v>
      </c>
    </row>
    <row r="2655" spans="1:17" x14ac:dyDescent="0.25">
      <c r="A2655" s="1">
        <f t="shared" si="872"/>
        <v>2654</v>
      </c>
      <c r="C2655" s="8" t="s">
        <v>17</v>
      </c>
      <c r="D2655" s="2">
        <v>43839</v>
      </c>
      <c r="E2655" s="3">
        <v>136250</v>
      </c>
      <c r="F2655" t="s">
        <v>134</v>
      </c>
      <c r="G2655" t="s">
        <v>135</v>
      </c>
      <c r="H2655" t="s">
        <v>136</v>
      </c>
      <c r="I2655" s="6" t="s">
        <v>1121</v>
      </c>
      <c r="J2655" s="61" t="s">
        <v>22</v>
      </c>
      <c r="L2655" s="5" t="str">
        <f t="shared" si="867"/>
        <v>02654</v>
      </c>
      <c r="M2655" s="47" t="str">
        <f t="shared" si="868"/>
        <v>09 de enero de 2020</v>
      </c>
      <c r="N2655" s="323">
        <f t="shared" si="858"/>
        <v>9</v>
      </c>
      <c r="O2655" s="25">
        <f t="shared" si="869"/>
        <v>43831</v>
      </c>
      <c r="P2655" s="5" t="str">
        <f t="shared" si="873"/>
        <v>136.250,00</v>
      </c>
      <c r="Q2655" s="4" t="str">
        <f t="shared" si="874"/>
        <v>Ciento Treinta y Seis Mil Doscientos Cincuenta Bolívares con 00/100</v>
      </c>
    </row>
    <row r="2656" spans="1:17" x14ac:dyDescent="0.25">
      <c r="A2656" s="1">
        <f t="shared" si="872"/>
        <v>2655</v>
      </c>
      <c r="C2656" s="8" t="s">
        <v>17</v>
      </c>
      <c r="D2656" s="2">
        <v>43839</v>
      </c>
      <c r="E2656" s="3">
        <v>136250</v>
      </c>
      <c r="F2656" t="s">
        <v>107</v>
      </c>
      <c r="G2656" t="s">
        <v>108</v>
      </c>
      <c r="H2656" t="s">
        <v>109</v>
      </c>
      <c r="I2656" s="6" t="s">
        <v>1121</v>
      </c>
      <c r="J2656" s="61" t="s">
        <v>22</v>
      </c>
      <c r="L2656" s="5" t="str">
        <f t="shared" si="867"/>
        <v>02655</v>
      </c>
      <c r="M2656" s="47" t="str">
        <f t="shared" si="868"/>
        <v>09 de enero de 2020</v>
      </c>
      <c r="N2656" s="323">
        <f t="shared" si="858"/>
        <v>9</v>
      </c>
      <c r="O2656" s="25">
        <f t="shared" si="869"/>
        <v>43831</v>
      </c>
      <c r="P2656" s="5" t="str">
        <f t="shared" si="873"/>
        <v>136.250,00</v>
      </c>
      <c r="Q2656" s="4" t="str">
        <f t="shared" si="874"/>
        <v>Ciento Treinta y Seis Mil Doscientos Cincuenta Bolívares con 00/100</v>
      </c>
    </row>
    <row r="2657" spans="1:17" x14ac:dyDescent="0.25">
      <c r="A2657" s="1">
        <f t="shared" si="872"/>
        <v>2656</v>
      </c>
      <c r="C2657" s="8" t="s">
        <v>17</v>
      </c>
      <c r="D2657" s="2">
        <v>43839</v>
      </c>
      <c r="E2657" s="3">
        <v>136250</v>
      </c>
      <c r="F2657" t="s">
        <v>201</v>
      </c>
      <c r="G2657" t="s">
        <v>202</v>
      </c>
      <c r="H2657" t="s">
        <v>203</v>
      </c>
      <c r="I2657" s="6" t="s">
        <v>1130</v>
      </c>
      <c r="J2657" s="61" t="s">
        <v>22</v>
      </c>
      <c r="L2657" s="5" t="str">
        <f t="shared" si="867"/>
        <v>02656</v>
      </c>
      <c r="M2657" s="47" t="str">
        <f t="shared" si="868"/>
        <v>09 de enero de 2020</v>
      </c>
      <c r="N2657" s="323">
        <f t="shared" si="858"/>
        <v>9</v>
      </c>
      <c r="O2657" s="25">
        <f t="shared" si="869"/>
        <v>43831</v>
      </c>
      <c r="P2657" s="5" t="str">
        <f t="shared" si="873"/>
        <v>136.250,00</v>
      </c>
      <c r="Q2657" s="4" t="str">
        <f t="shared" si="874"/>
        <v>Ciento Treinta y Seis Mil Doscientos Cincuenta Bolívares con 00/100</v>
      </c>
    </row>
    <row r="2658" spans="1:17" x14ac:dyDescent="0.25">
      <c r="A2658" s="1">
        <f t="shared" si="872"/>
        <v>2657</v>
      </c>
      <c r="C2658" s="8" t="s">
        <v>17</v>
      </c>
      <c r="D2658" s="2">
        <v>43839</v>
      </c>
      <c r="E2658" s="3">
        <v>136250</v>
      </c>
      <c r="F2658" t="s">
        <v>62</v>
      </c>
      <c r="G2658" t="s">
        <v>63</v>
      </c>
      <c r="H2658" t="s">
        <v>64</v>
      </c>
      <c r="I2658" s="6" t="s">
        <v>1121</v>
      </c>
      <c r="J2658" s="61" t="s">
        <v>22</v>
      </c>
      <c r="L2658" s="5" t="str">
        <f t="shared" si="867"/>
        <v>02657</v>
      </c>
      <c r="M2658" s="47" t="str">
        <f t="shared" si="868"/>
        <v>09 de enero de 2020</v>
      </c>
      <c r="N2658" s="323">
        <f t="shared" si="858"/>
        <v>9</v>
      </c>
      <c r="O2658" s="25">
        <f t="shared" si="869"/>
        <v>43831</v>
      </c>
      <c r="P2658" s="5" t="str">
        <f t="shared" si="873"/>
        <v>136.250,00</v>
      </c>
      <c r="Q2658" s="4" t="str">
        <f t="shared" si="874"/>
        <v>Ciento Treinta y Seis Mil Doscientos Cincuenta Bolívares con 00/100</v>
      </c>
    </row>
    <row r="2659" spans="1:17" x14ac:dyDescent="0.25">
      <c r="A2659" s="1">
        <f t="shared" si="872"/>
        <v>2658</v>
      </c>
      <c r="C2659" s="8" t="s">
        <v>17</v>
      </c>
      <c r="D2659" s="2">
        <v>43839</v>
      </c>
      <c r="E2659" s="3">
        <v>136250</v>
      </c>
      <c r="F2659" t="s">
        <v>438</v>
      </c>
      <c r="G2659" t="s">
        <v>439</v>
      </c>
      <c r="H2659" t="s">
        <v>440</v>
      </c>
      <c r="I2659" s="6" t="s">
        <v>1131</v>
      </c>
      <c r="J2659" s="61" t="s">
        <v>22</v>
      </c>
      <c r="L2659" s="5" t="str">
        <f t="shared" si="867"/>
        <v>02658</v>
      </c>
      <c r="M2659" s="47" t="str">
        <f t="shared" si="868"/>
        <v>09 de enero de 2020</v>
      </c>
      <c r="N2659" s="323">
        <f t="shared" ref="N2659:N2680" si="875">DAY(D2659)</f>
        <v>9</v>
      </c>
      <c r="O2659" s="25">
        <f t="shared" si="869"/>
        <v>43831</v>
      </c>
      <c r="P2659" s="5" t="str">
        <f t="shared" si="873"/>
        <v>136.250,00</v>
      </c>
      <c r="Q2659" s="4" t="str">
        <f t="shared" si="874"/>
        <v>Ciento Treinta y Seis Mil Doscientos Cincuenta Bolívares con 00/100</v>
      </c>
    </row>
    <row r="2660" spans="1:17" x14ac:dyDescent="0.25">
      <c r="A2660" s="1">
        <f t="shared" si="872"/>
        <v>2659</v>
      </c>
      <c r="C2660" s="8" t="s">
        <v>17</v>
      </c>
      <c r="D2660" s="2">
        <v>43839</v>
      </c>
      <c r="E2660" s="3">
        <v>136250</v>
      </c>
      <c r="F2660" t="s">
        <v>66</v>
      </c>
      <c r="G2660" t="s">
        <v>67</v>
      </c>
      <c r="H2660" t="s">
        <v>68</v>
      </c>
      <c r="I2660" s="6" t="s">
        <v>1121</v>
      </c>
      <c r="J2660" s="61" t="s">
        <v>22</v>
      </c>
      <c r="L2660" s="5" t="str">
        <f t="shared" si="867"/>
        <v>02659</v>
      </c>
      <c r="M2660" s="47" t="str">
        <f t="shared" si="868"/>
        <v>09 de enero de 2020</v>
      </c>
      <c r="N2660" s="323">
        <f t="shared" si="875"/>
        <v>9</v>
      </c>
      <c r="O2660" s="25">
        <f t="shared" si="869"/>
        <v>43831</v>
      </c>
      <c r="P2660" s="5" t="str">
        <f t="shared" si="873"/>
        <v>136.250,00</v>
      </c>
      <c r="Q2660" s="4" t="str">
        <f t="shared" si="874"/>
        <v>Ciento Treinta y Seis Mil Doscientos Cincuenta Bolívares con 00/100</v>
      </c>
    </row>
    <row r="2661" spans="1:17" x14ac:dyDescent="0.25">
      <c r="A2661" s="1">
        <f t="shared" si="872"/>
        <v>2660</v>
      </c>
      <c r="B2661" s="8"/>
      <c r="C2661" s="85" t="s">
        <v>17</v>
      </c>
      <c r="D2661" s="2">
        <v>43840</v>
      </c>
      <c r="E2661" s="3">
        <v>197575</v>
      </c>
      <c r="F2661" s="23" t="s">
        <v>422</v>
      </c>
      <c r="G2661" s="18" t="s">
        <v>58</v>
      </c>
      <c r="H2661" t="s">
        <v>423</v>
      </c>
      <c r="I2661" s="6" t="s">
        <v>1121</v>
      </c>
      <c r="J2661" s="61" t="s">
        <v>22</v>
      </c>
      <c r="L2661" s="5" t="str">
        <f t="shared" si="867"/>
        <v>02660</v>
      </c>
      <c r="M2661" s="47" t="str">
        <f t="shared" si="868"/>
        <v>10 de enero de 2020</v>
      </c>
      <c r="N2661" s="323">
        <f t="shared" si="875"/>
        <v>10</v>
      </c>
      <c r="O2661" s="25">
        <f t="shared" si="869"/>
        <v>43831</v>
      </c>
      <c r="P2661" s="5" t="str">
        <f t="shared" si="873"/>
        <v>197.575,00</v>
      </c>
      <c r="Q2661" s="4" t="str">
        <f t="shared" si="874"/>
        <v>Ciento Noventa y Siete Mil Quinientos Setenta y Cinco Bolívares con 00/100</v>
      </c>
    </row>
    <row r="2662" spans="1:17" x14ac:dyDescent="0.25">
      <c r="A2662" s="1">
        <f t="shared" si="872"/>
        <v>2661</v>
      </c>
      <c r="B2662" s="8"/>
      <c r="C2662" s="8" t="s">
        <v>17</v>
      </c>
      <c r="D2662" s="2">
        <v>43841</v>
      </c>
      <c r="E2662" s="3">
        <v>136250</v>
      </c>
      <c r="F2662" t="s">
        <v>713</v>
      </c>
      <c r="G2662" t="s">
        <v>714</v>
      </c>
      <c r="H2662" t="s">
        <v>154</v>
      </c>
      <c r="I2662" s="6" t="s">
        <v>1121</v>
      </c>
      <c r="J2662" s="61" t="s">
        <v>22</v>
      </c>
      <c r="L2662" s="5" t="str">
        <f t="shared" si="867"/>
        <v>02661</v>
      </c>
      <c r="M2662" s="47" t="str">
        <f t="shared" si="868"/>
        <v>11 de enero de 2020</v>
      </c>
      <c r="N2662" s="323">
        <f t="shared" si="875"/>
        <v>11</v>
      </c>
      <c r="O2662" s="25">
        <f t="shared" si="869"/>
        <v>43831</v>
      </c>
      <c r="P2662" s="5" t="str">
        <f t="shared" si="873"/>
        <v>136.250,00</v>
      </c>
      <c r="Q2662" s="4" t="str">
        <f t="shared" si="874"/>
        <v>Ciento Treinta y Seis Mil Doscientos Cincuenta Bolívares con 00/100</v>
      </c>
    </row>
    <row r="2663" spans="1:17" x14ac:dyDescent="0.25">
      <c r="A2663" s="1">
        <f>A2662+1</f>
        <v>2662</v>
      </c>
      <c r="B2663" s="8"/>
      <c r="C2663" s="8" t="s">
        <v>17</v>
      </c>
      <c r="D2663" s="2">
        <v>43840</v>
      </c>
      <c r="E2663" s="3">
        <v>80000</v>
      </c>
      <c r="F2663" t="s">
        <v>28</v>
      </c>
      <c r="G2663" t="s">
        <v>716</v>
      </c>
      <c r="H2663" t="s">
        <v>30</v>
      </c>
      <c r="I2663" s="6" t="s">
        <v>1132</v>
      </c>
      <c r="J2663" s="61" t="s">
        <v>22</v>
      </c>
      <c r="L2663" s="5" t="str">
        <f t="shared" si="867"/>
        <v>02662</v>
      </c>
      <c r="M2663" s="47" t="str">
        <f t="shared" si="868"/>
        <v>10 de enero de 2020</v>
      </c>
      <c r="N2663" s="323">
        <f t="shared" si="875"/>
        <v>10</v>
      </c>
      <c r="O2663" s="25">
        <f t="shared" si="869"/>
        <v>43831</v>
      </c>
      <c r="P2663" s="5" t="str">
        <f t="shared" si="873"/>
        <v>80.000,00</v>
      </c>
      <c r="Q2663" s="4" t="str">
        <f t="shared" si="874"/>
        <v>Ochenta Mil Bolívares con 00/100</v>
      </c>
    </row>
    <row r="2664" spans="1:17" x14ac:dyDescent="0.25">
      <c r="A2664" s="1">
        <f t="shared" ref="A2664" si="876">A2663+1</f>
        <v>2663</v>
      </c>
      <c r="B2664" s="8"/>
      <c r="C2664" s="8" t="s">
        <v>17</v>
      </c>
      <c r="D2664" s="2">
        <v>43841</v>
      </c>
      <c r="E2664" s="3">
        <v>136250</v>
      </c>
      <c r="F2664" t="s">
        <v>342</v>
      </c>
      <c r="G2664" t="s">
        <v>1036</v>
      </c>
      <c r="H2664" t="s">
        <v>344</v>
      </c>
      <c r="I2664" s="6" t="s">
        <v>1121</v>
      </c>
      <c r="J2664" s="61" t="s">
        <v>22</v>
      </c>
      <c r="L2664" s="5" t="str">
        <f t="shared" si="867"/>
        <v>02663</v>
      </c>
      <c r="M2664" s="47" t="str">
        <f t="shared" si="868"/>
        <v>11 de enero de 2020</v>
      </c>
      <c r="N2664" s="323">
        <f t="shared" si="875"/>
        <v>11</v>
      </c>
      <c r="O2664" s="25">
        <f t="shared" si="869"/>
        <v>43831</v>
      </c>
      <c r="P2664" s="5" t="str">
        <f t="shared" si="873"/>
        <v>136.250,00</v>
      </c>
      <c r="Q2664" s="4" t="str">
        <f t="shared" si="874"/>
        <v>Ciento Treinta y Seis Mil Doscientos Cincuenta Bolívares con 00/100</v>
      </c>
    </row>
    <row r="2665" spans="1:17" x14ac:dyDescent="0.25">
      <c r="A2665" s="1">
        <f>A2664+1</f>
        <v>2664</v>
      </c>
      <c r="B2665" s="8"/>
      <c r="C2665" s="8" t="s">
        <v>17</v>
      </c>
      <c r="D2665" s="2">
        <v>43841</v>
      </c>
      <c r="E2665" s="3">
        <v>136250</v>
      </c>
      <c r="F2665" t="s">
        <v>114</v>
      </c>
      <c r="G2665" t="s">
        <v>115</v>
      </c>
      <c r="H2665" t="s">
        <v>105</v>
      </c>
      <c r="I2665" s="6" t="s">
        <v>1121</v>
      </c>
      <c r="J2665" s="61" t="s">
        <v>22</v>
      </c>
      <c r="L2665" s="5" t="str">
        <f t="shared" si="867"/>
        <v>02664</v>
      </c>
      <c r="M2665" s="47" t="str">
        <f t="shared" si="868"/>
        <v>11 de enero de 2020</v>
      </c>
      <c r="N2665" s="323">
        <f t="shared" si="875"/>
        <v>11</v>
      </c>
      <c r="O2665" s="25">
        <f t="shared" si="869"/>
        <v>43831</v>
      </c>
      <c r="P2665" s="5" t="str">
        <f t="shared" si="873"/>
        <v>136.250,00</v>
      </c>
      <c r="Q2665" s="4" t="str">
        <f t="shared" si="874"/>
        <v>Ciento Treinta y Seis Mil Doscientos Cincuenta Bolívares con 00/100</v>
      </c>
    </row>
    <row r="2666" spans="1:17" x14ac:dyDescent="0.25">
      <c r="A2666" s="1">
        <f>A2665+1</f>
        <v>2665</v>
      </c>
      <c r="B2666" s="8"/>
      <c r="C2666" s="8" t="s">
        <v>17</v>
      </c>
      <c r="D2666" s="2">
        <v>43841</v>
      </c>
      <c r="E2666" s="3">
        <v>210000</v>
      </c>
      <c r="F2666" t="s">
        <v>578</v>
      </c>
      <c r="G2666" t="s">
        <v>579</v>
      </c>
      <c r="H2666" t="s">
        <v>580</v>
      </c>
      <c r="I2666" s="6" t="s">
        <v>1133</v>
      </c>
      <c r="J2666" s="61" t="s">
        <v>22</v>
      </c>
      <c r="L2666" s="5" t="str">
        <f t="shared" si="867"/>
        <v>02665</v>
      </c>
      <c r="M2666" s="47" t="str">
        <f t="shared" si="868"/>
        <v>11 de enero de 2020</v>
      </c>
      <c r="N2666" s="323">
        <f t="shared" si="875"/>
        <v>11</v>
      </c>
      <c r="O2666" s="25">
        <f t="shared" si="869"/>
        <v>43831</v>
      </c>
      <c r="P2666" s="5" t="str">
        <f t="shared" si="873"/>
        <v>210.000,00</v>
      </c>
      <c r="Q2666" s="4" t="str">
        <f t="shared" si="874"/>
        <v>Doscientos Diez Mil Bolívares con 00/100</v>
      </c>
    </row>
    <row r="2667" spans="1:17" x14ac:dyDescent="0.25">
      <c r="A2667" s="1">
        <f>A2666+1</f>
        <v>2666</v>
      </c>
      <c r="B2667" s="8"/>
      <c r="C2667" s="8" t="s">
        <v>17</v>
      </c>
      <c r="D2667" s="2">
        <v>43841</v>
      </c>
      <c r="E2667" s="3">
        <v>136250</v>
      </c>
      <c r="F2667" t="s">
        <v>181</v>
      </c>
      <c r="G2667" t="s">
        <v>182</v>
      </c>
      <c r="H2667" t="s">
        <v>183</v>
      </c>
      <c r="I2667" s="6" t="s">
        <v>1121</v>
      </c>
      <c r="J2667" s="61" t="s">
        <v>22</v>
      </c>
      <c r="L2667" s="5" t="str">
        <f t="shared" si="867"/>
        <v>02666</v>
      </c>
      <c r="M2667" s="47" t="str">
        <f t="shared" si="868"/>
        <v>11 de enero de 2020</v>
      </c>
      <c r="N2667" s="323">
        <f t="shared" si="875"/>
        <v>11</v>
      </c>
      <c r="O2667" s="25">
        <f t="shared" si="869"/>
        <v>43831</v>
      </c>
      <c r="P2667" s="5" t="str">
        <f t="shared" si="873"/>
        <v>136.250,00</v>
      </c>
      <c r="Q2667" s="4" t="str">
        <f t="shared" si="874"/>
        <v>Ciento Treinta y Seis Mil Doscientos Cincuenta Bolívares con 00/100</v>
      </c>
    </row>
    <row r="2668" spans="1:17" x14ac:dyDescent="0.25">
      <c r="A2668" s="1">
        <f t="shared" ref="A2668" si="877">A2667+1</f>
        <v>2667</v>
      </c>
      <c r="B2668" s="8"/>
      <c r="C2668" s="85" t="s">
        <v>17</v>
      </c>
      <c r="D2668" s="2">
        <v>43843</v>
      </c>
      <c r="E2668" s="162">
        <v>136250</v>
      </c>
      <c r="F2668" t="s">
        <v>492</v>
      </c>
      <c r="G2668" s="18" t="s">
        <v>58</v>
      </c>
      <c r="H2668" t="s">
        <v>493</v>
      </c>
      <c r="I2668" s="6" t="s">
        <v>1121</v>
      </c>
      <c r="J2668" s="61" t="s">
        <v>22</v>
      </c>
      <c r="L2668" s="5" t="str">
        <f t="shared" si="867"/>
        <v>02667</v>
      </c>
      <c r="M2668" s="47" t="str">
        <f t="shared" si="868"/>
        <v>13 de enero de 2020</v>
      </c>
      <c r="N2668" s="323">
        <f t="shared" si="875"/>
        <v>13</v>
      </c>
      <c r="O2668" s="25">
        <f t="shared" si="869"/>
        <v>43831</v>
      </c>
      <c r="P2668" s="5" t="str">
        <f t="shared" si="873"/>
        <v>136.250,00</v>
      </c>
      <c r="Q2668" s="4" t="str">
        <f t="shared" si="874"/>
        <v>Ciento Treinta y Seis Mil Doscientos Cincuenta Bolívares con 00/100</v>
      </c>
    </row>
    <row r="2669" spans="1:17" x14ac:dyDescent="0.25">
      <c r="A2669" s="1">
        <f>A2668+1</f>
        <v>2668</v>
      </c>
      <c r="B2669" s="8"/>
      <c r="C2669" s="8" t="s">
        <v>17</v>
      </c>
      <c r="D2669" s="2">
        <v>43845</v>
      </c>
      <c r="E2669" s="3">
        <v>136250</v>
      </c>
      <c r="F2669" t="s">
        <v>843</v>
      </c>
      <c r="G2669" t="s">
        <v>844</v>
      </c>
      <c r="H2669" t="s">
        <v>169</v>
      </c>
      <c r="I2669" s="6" t="s">
        <v>1121</v>
      </c>
      <c r="J2669" s="61" t="s">
        <v>22</v>
      </c>
      <c r="L2669" s="5" t="str">
        <f t="shared" si="867"/>
        <v>02668</v>
      </c>
      <c r="M2669" s="47" t="str">
        <f t="shared" si="868"/>
        <v>15 de enero de 2020</v>
      </c>
      <c r="N2669" s="323">
        <f t="shared" si="875"/>
        <v>15</v>
      </c>
      <c r="O2669" s="25">
        <f t="shared" si="869"/>
        <v>43831</v>
      </c>
      <c r="P2669" s="5" t="str">
        <f t="shared" si="873"/>
        <v>136.250,00</v>
      </c>
      <c r="Q2669" s="4" t="str">
        <f t="shared" si="874"/>
        <v>Ciento Treinta y Seis Mil Doscientos Cincuenta Bolívares con 00/100</v>
      </c>
    </row>
    <row r="2670" spans="1:17" x14ac:dyDescent="0.25">
      <c r="A2670" s="1">
        <f>A2669+1</f>
        <v>2669</v>
      </c>
      <c r="B2670" s="8"/>
      <c r="C2670" s="8" t="s">
        <v>17</v>
      </c>
      <c r="D2670" s="2">
        <v>43845</v>
      </c>
      <c r="E2670" s="3">
        <v>30000</v>
      </c>
      <c r="F2670" t="s">
        <v>252</v>
      </c>
      <c r="G2670" s="475" t="s">
        <v>958</v>
      </c>
      <c r="H2670" t="s">
        <v>254</v>
      </c>
      <c r="I2670" s="6" t="s">
        <v>1134</v>
      </c>
      <c r="J2670" s="61" t="s">
        <v>22</v>
      </c>
      <c r="L2670" s="5" t="str">
        <f t="shared" si="867"/>
        <v>02669</v>
      </c>
      <c r="M2670" s="47" t="str">
        <f t="shared" si="868"/>
        <v>15 de enero de 2020</v>
      </c>
      <c r="N2670" s="323">
        <f t="shared" si="875"/>
        <v>15</v>
      </c>
      <c r="O2670" s="25">
        <f t="shared" si="869"/>
        <v>43831</v>
      </c>
      <c r="P2670" s="5" t="str">
        <f t="shared" si="873"/>
        <v>30.000,00</v>
      </c>
      <c r="Q2670" s="4" t="str">
        <f t="shared" si="874"/>
        <v>Treinta Mil Bolívares con 00/100</v>
      </c>
    </row>
    <row r="2671" spans="1:17" x14ac:dyDescent="0.25">
      <c r="A2671" s="1">
        <f>A2670+1</f>
        <v>2670</v>
      </c>
      <c r="C2671" s="8" t="s">
        <v>17</v>
      </c>
      <c r="D2671" s="2">
        <v>43847</v>
      </c>
      <c r="E2671" s="3">
        <v>136250</v>
      </c>
      <c r="F2671" t="s">
        <v>935</v>
      </c>
      <c r="G2671" t="s">
        <v>936</v>
      </c>
      <c r="H2671" t="s">
        <v>150</v>
      </c>
      <c r="I2671" s="6" t="s">
        <v>1121</v>
      </c>
      <c r="J2671" s="61" t="s">
        <v>22</v>
      </c>
      <c r="L2671" s="5" t="str">
        <f t="shared" si="867"/>
        <v>02670</v>
      </c>
      <c r="M2671" s="47" t="str">
        <f t="shared" si="868"/>
        <v>17 de enero de 2020</v>
      </c>
      <c r="N2671" s="323">
        <f t="shared" si="875"/>
        <v>17</v>
      </c>
      <c r="O2671" s="25">
        <f t="shared" si="869"/>
        <v>43831</v>
      </c>
      <c r="P2671" s="5" t="str">
        <f t="shared" si="873"/>
        <v>136.250,00</v>
      </c>
      <c r="Q2671" s="4" t="str">
        <f t="shared" si="874"/>
        <v>Ciento Treinta y Seis Mil Doscientos Cincuenta Bolívares con 00/100</v>
      </c>
    </row>
    <row r="2672" spans="1:17" x14ac:dyDescent="0.25">
      <c r="A2672" s="1">
        <f t="shared" ref="A2672:A2677" si="878">A2671+1</f>
        <v>2671</v>
      </c>
      <c r="C2672" s="8" t="s">
        <v>17</v>
      </c>
      <c r="D2672" s="2">
        <v>43851</v>
      </c>
      <c r="E2672" s="3">
        <v>136250</v>
      </c>
      <c r="F2672" t="s">
        <v>483</v>
      </c>
      <c r="G2672" t="s">
        <v>484</v>
      </c>
      <c r="H2672" t="s">
        <v>485</v>
      </c>
      <c r="I2672" s="6" t="s">
        <v>1121</v>
      </c>
      <c r="J2672" s="61" t="s">
        <v>22</v>
      </c>
      <c r="L2672" s="5" t="str">
        <f t="shared" si="867"/>
        <v>02671</v>
      </c>
      <c r="M2672" s="47" t="str">
        <f t="shared" si="868"/>
        <v>21 de enero de 2020</v>
      </c>
      <c r="N2672" s="323">
        <f t="shared" si="875"/>
        <v>21</v>
      </c>
      <c r="O2672" s="25">
        <f t="shared" si="869"/>
        <v>43831</v>
      </c>
      <c r="P2672" s="5" t="str">
        <f t="shared" si="873"/>
        <v>136.250,00</v>
      </c>
      <c r="Q2672" s="4" t="str">
        <f t="shared" si="874"/>
        <v>Ciento Treinta y Seis Mil Doscientos Cincuenta Bolívares con 00/100</v>
      </c>
    </row>
    <row r="2673" spans="1:17" x14ac:dyDescent="0.25">
      <c r="A2673" s="1">
        <f t="shared" si="878"/>
        <v>2672</v>
      </c>
      <c r="C2673" s="8" t="s">
        <v>17</v>
      </c>
      <c r="D2673" s="2">
        <v>43851</v>
      </c>
      <c r="E2673" s="3">
        <v>273000</v>
      </c>
      <c r="F2673" t="s">
        <v>230</v>
      </c>
      <c r="G2673" t="s">
        <v>231</v>
      </c>
      <c r="H2673" t="s">
        <v>232</v>
      </c>
      <c r="I2673" s="6" t="s">
        <v>1097</v>
      </c>
      <c r="J2673" s="61" t="s">
        <v>22</v>
      </c>
      <c r="L2673" s="5" t="str">
        <f t="shared" si="867"/>
        <v>02672</v>
      </c>
      <c r="M2673" s="47" t="str">
        <f t="shared" si="868"/>
        <v>21 de enero de 2020</v>
      </c>
      <c r="N2673" s="323">
        <f t="shared" si="875"/>
        <v>21</v>
      </c>
      <c r="O2673" s="25">
        <f t="shared" si="869"/>
        <v>43831</v>
      </c>
      <c r="P2673" s="5" t="str">
        <f t="shared" si="873"/>
        <v>273.000,00</v>
      </c>
      <c r="Q2673" s="4" t="str">
        <f t="shared" si="874"/>
        <v>Doscientos Setenta y Tres Mil Bolívares con 00/100</v>
      </c>
    </row>
    <row r="2674" spans="1:17" x14ac:dyDescent="0.25">
      <c r="A2674" s="1">
        <f t="shared" si="878"/>
        <v>2673</v>
      </c>
      <c r="C2674" s="8" t="s">
        <v>17</v>
      </c>
      <c r="D2674" s="2">
        <v>43852</v>
      </c>
      <c r="E2674" s="3">
        <v>136250</v>
      </c>
      <c r="F2674" t="s">
        <v>100</v>
      </c>
      <c r="G2674" t="s">
        <v>95</v>
      </c>
      <c r="H2674" t="s">
        <v>101</v>
      </c>
      <c r="I2674" s="6" t="s">
        <v>1121</v>
      </c>
      <c r="J2674" s="61" t="s">
        <v>22</v>
      </c>
      <c r="L2674" s="5" t="str">
        <f t="shared" si="867"/>
        <v>02673</v>
      </c>
      <c r="M2674" s="47" t="str">
        <f t="shared" si="868"/>
        <v>22 de enero de 2020</v>
      </c>
      <c r="N2674" s="323">
        <f t="shared" si="875"/>
        <v>22</v>
      </c>
      <c r="O2674" s="25">
        <f t="shared" si="869"/>
        <v>43831</v>
      </c>
      <c r="P2674" s="5" t="str">
        <f t="shared" si="873"/>
        <v>136.250,00</v>
      </c>
      <c r="Q2674" s="4" t="str">
        <f t="shared" si="874"/>
        <v>Ciento Treinta y Seis Mil Doscientos Cincuenta Bolívares con 00/100</v>
      </c>
    </row>
    <row r="2675" spans="1:17" x14ac:dyDescent="0.25">
      <c r="A2675" s="1">
        <f t="shared" si="878"/>
        <v>2674</v>
      </c>
      <c r="C2675" s="8" t="s">
        <v>17</v>
      </c>
      <c r="D2675" s="2">
        <v>43837</v>
      </c>
      <c r="E2675" s="3">
        <v>136250</v>
      </c>
      <c r="F2675" t="s">
        <v>264</v>
      </c>
      <c r="G2675" t="s">
        <v>265</v>
      </c>
      <c r="H2675" t="s">
        <v>266</v>
      </c>
      <c r="I2675" s="6" t="s">
        <v>1082</v>
      </c>
      <c r="J2675" s="61" t="s">
        <v>22</v>
      </c>
      <c r="L2675" s="5" t="str">
        <f t="shared" si="867"/>
        <v>02674</v>
      </c>
      <c r="M2675" s="47" t="str">
        <f t="shared" si="868"/>
        <v>07 de enero de 2020</v>
      </c>
      <c r="N2675" s="323">
        <f t="shared" si="875"/>
        <v>7</v>
      </c>
      <c r="O2675" s="25">
        <f t="shared" si="869"/>
        <v>43831</v>
      </c>
      <c r="P2675" s="5" t="str">
        <f t="shared" si="873"/>
        <v>136.250,00</v>
      </c>
      <c r="Q2675" s="4" t="str">
        <f t="shared" si="874"/>
        <v>Ciento Treinta y Seis Mil Doscientos Cincuenta Bolívares con 00/100</v>
      </c>
    </row>
    <row r="2676" spans="1:17" x14ac:dyDescent="0.25">
      <c r="A2676" s="1">
        <f t="shared" si="878"/>
        <v>2675</v>
      </c>
      <c r="C2676" s="8" t="s">
        <v>17</v>
      </c>
      <c r="D2676" s="2">
        <v>43834</v>
      </c>
      <c r="E2676" s="3">
        <v>54500</v>
      </c>
      <c r="F2676" t="s">
        <v>334</v>
      </c>
      <c r="G2676" t="s">
        <v>85</v>
      </c>
      <c r="H2676" t="s">
        <v>335</v>
      </c>
      <c r="I2676" s="6" t="s">
        <v>1105</v>
      </c>
      <c r="J2676" s="61" t="s">
        <v>22</v>
      </c>
      <c r="L2676" s="5" t="str">
        <f t="shared" si="867"/>
        <v>02675</v>
      </c>
      <c r="M2676" s="47" t="str">
        <f t="shared" si="868"/>
        <v>04 de enero de 2020</v>
      </c>
      <c r="N2676" s="323">
        <f t="shared" si="875"/>
        <v>4</v>
      </c>
      <c r="O2676" s="25">
        <f t="shared" si="869"/>
        <v>43831</v>
      </c>
      <c r="P2676" s="5" t="str">
        <f t="shared" si="873"/>
        <v>54.500,00</v>
      </c>
      <c r="Q2676" s="4" t="str">
        <f t="shared" si="874"/>
        <v>Cincuenta y Cuatro Mil Quinientos Bolívares con 00/100</v>
      </c>
    </row>
    <row r="2677" spans="1:17" x14ac:dyDescent="0.25">
      <c r="A2677" s="1">
        <f t="shared" si="878"/>
        <v>2676</v>
      </c>
      <c r="C2677" s="8" t="s">
        <v>17</v>
      </c>
      <c r="D2677" s="2">
        <v>43834</v>
      </c>
      <c r="E2677" s="3">
        <v>136250</v>
      </c>
      <c r="F2677" t="s">
        <v>84</v>
      </c>
      <c r="G2677" t="s">
        <v>85</v>
      </c>
      <c r="H2677" t="s">
        <v>86</v>
      </c>
      <c r="I2677" s="6" t="s">
        <v>1100</v>
      </c>
      <c r="J2677" s="61" t="s">
        <v>22</v>
      </c>
      <c r="L2677" s="5" t="str">
        <f t="shared" si="867"/>
        <v>02676</v>
      </c>
      <c r="M2677" s="47" t="str">
        <f t="shared" si="868"/>
        <v>04 de enero de 2020</v>
      </c>
      <c r="N2677" s="323">
        <f t="shared" si="875"/>
        <v>4</v>
      </c>
      <c r="O2677" s="25">
        <f t="shared" si="869"/>
        <v>43831</v>
      </c>
      <c r="P2677" s="5" t="str">
        <f t="shared" si="873"/>
        <v>136.250,00</v>
      </c>
      <c r="Q2677" s="4" t="str">
        <f t="shared" si="874"/>
        <v>Ciento Treinta y Seis Mil Doscientos Cincuenta Bolívares con 00/100</v>
      </c>
    </row>
    <row r="2678" spans="1:17" x14ac:dyDescent="0.25">
      <c r="A2678" s="1">
        <f>A2677+1</f>
        <v>2677</v>
      </c>
      <c r="C2678" s="8" t="s">
        <v>17</v>
      </c>
      <c r="D2678" s="2">
        <v>43852</v>
      </c>
      <c r="E2678" s="3">
        <v>105250</v>
      </c>
      <c r="F2678" t="s">
        <v>287</v>
      </c>
      <c r="G2678" t="s">
        <v>288</v>
      </c>
      <c r="H2678" t="s">
        <v>289</v>
      </c>
      <c r="I2678" s="6" t="s">
        <v>1135</v>
      </c>
      <c r="J2678" s="61" t="s">
        <v>22</v>
      </c>
      <c r="L2678" s="5" t="str">
        <f t="shared" si="867"/>
        <v>02677</v>
      </c>
      <c r="M2678" s="47" t="str">
        <f t="shared" si="868"/>
        <v>22 de enero de 2020</v>
      </c>
      <c r="N2678" s="323">
        <f t="shared" si="875"/>
        <v>22</v>
      </c>
      <c r="O2678" s="25">
        <f t="shared" si="869"/>
        <v>43831</v>
      </c>
      <c r="P2678" s="5" t="str">
        <f t="shared" si="873"/>
        <v>105.250,00</v>
      </c>
      <c r="Q2678" s="4" t="str">
        <f t="shared" si="874"/>
        <v>Ciento Cinco Mil Doscientos Cincuenta Bolívares con 00/100</v>
      </c>
    </row>
    <row r="2679" spans="1:17" x14ac:dyDescent="0.25">
      <c r="A2679" s="1">
        <f>A2678+1</f>
        <v>2678</v>
      </c>
      <c r="C2679" s="8" t="s">
        <v>17</v>
      </c>
      <c r="D2679" s="2">
        <v>43852</v>
      </c>
      <c r="E2679" s="3">
        <v>136000</v>
      </c>
      <c r="F2679" t="s">
        <v>118</v>
      </c>
      <c r="G2679" t="s">
        <v>119</v>
      </c>
      <c r="H2679" t="s">
        <v>120</v>
      </c>
      <c r="I2679" s="6" t="s">
        <v>1132</v>
      </c>
      <c r="J2679" s="61" t="s">
        <v>22</v>
      </c>
      <c r="L2679" s="5" t="str">
        <f t="shared" si="867"/>
        <v>02678</v>
      </c>
      <c r="M2679" s="47" t="str">
        <f t="shared" si="868"/>
        <v>22 de enero de 2020</v>
      </c>
      <c r="N2679" s="323">
        <f t="shared" si="875"/>
        <v>22</v>
      </c>
      <c r="O2679" s="25">
        <f t="shared" si="869"/>
        <v>43831</v>
      </c>
      <c r="P2679" s="5" t="str">
        <f t="shared" si="873"/>
        <v>136.000,00</v>
      </c>
      <c r="Q2679" s="4" t="str">
        <f t="shared" si="874"/>
        <v>Ciento Treinta y Seis Mil Bolívares con 00/100</v>
      </c>
    </row>
    <row r="2680" spans="1:17" x14ac:dyDescent="0.25">
      <c r="A2680" s="1">
        <f>A2679+1</f>
        <v>2679</v>
      </c>
      <c r="C2680" s="8" t="s">
        <v>17</v>
      </c>
      <c r="D2680" s="2">
        <v>43852</v>
      </c>
      <c r="E2680" s="3">
        <v>136250</v>
      </c>
      <c r="F2680" t="s">
        <v>771</v>
      </c>
      <c r="G2680" t="s">
        <v>772</v>
      </c>
      <c r="H2680" t="s">
        <v>773</v>
      </c>
      <c r="I2680" s="6" t="s">
        <v>1136</v>
      </c>
      <c r="J2680" s="61" t="s">
        <v>22</v>
      </c>
      <c r="L2680" s="5" t="str">
        <f t="shared" si="867"/>
        <v>02679</v>
      </c>
      <c r="M2680" s="47" t="str">
        <f t="shared" si="868"/>
        <v>22 de enero de 2020</v>
      </c>
      <c r="N2680" s="323">
        <f t="shared" si="875"/>
        <v>22</v>
      </c>
      <c r="O2680" s="25">
        <f t="shared" si="869"/>
        <v>43831</v>
      </c>
      <c r="P2680" s="5" t="str">
        <f t="shared" si="873"/>
        <v>136.250,00</v>
      </c>
      <c r="Q2680" s="4" t="str">
        <f t="shared" si="874"/>
        <v>Ciento Treinta y Seis Mil Doscientos Cincuenta Bolívares con 00/100</v>
      </c>
    </row>
    <row r="2681" spans="1:17" x14ac:dyDescent="0.25">
      <c r="A2681" s="1">
        <f>A2680+1</f>
        <v>2680</v>
      </c>
      <c r="C2681" s="8" t="s">
        <v>17</v>
      </c>
      <c r="D2681" s="2">
        <v>43852</v>
      </c>
      <c r="E2681" s="3">
        <v>64405.8</v>
      </c>
      <c r="F2681" t="s">
        <v>771</v>
      </c>
      <c r="G2681" t="s">
        <v>772</v>
      </c>
      <c r="H2681" t="s">
        <v>773</v>
      </c>
      <c r="I2681" s="6" t="s">
        <v>1137</v>
      </c>
      <c r="J2681" s="61" t="s">
        <v>22</v>
      </c>
      <c r="L2681" s="5" t="str">
        <f t="shared" ref="L2681" si="879">IF(ISBLANK(A2681),"",TEXT(A2681,"00000"))</f>
        <v>02680</v>
      </c>
      <c r="M2681" s="47" t="str">
        <f t="shared" ref="M2681" si="880">IF(ISBLANK(D2681),"",TEXT(D2681,"dd")&amp;" de "&amp;TEXT(D2681,"mmmm")&amp;" de "&amp;TEXT(YEAR(D2681),"0"))</f>
        <v>22 de enero de 2020</v>
      </c>
      <c r="N2681" s="323">
        <f t="shared" ref="N2681" si="881">DAY(D2681)</f>
        <v>22</v>
      </c>
      <c r="O2681" s="25">
        <f t="shared" ref="O2681" si="882">DATE(YEAR(D2681),MONTH(D2681),1)</f>
        <v>43831</v>
      </c>
      <c r="P2681" s="5" t="str">
        <f t="shared" ref="P2681" si="883">TEXT(E2681,"#.##0,00")</f>
        <v>64.405,80</v>
      </c>
      <c r="Q2681" s="4" t="str">
        <f t="shared" ref="Q2681" si="884">CONVERTIRNUM(E2681)</f>
        <v>Sesenta y Cuatro Mil Cuatrocientos Cinco Bolívares con 80/100</v>
      </c>
    </row>
    <row r="2682" spans="1:17" x14ac:dyDescent="0.25">
      <c r="A2682" s="1">
        <f>A2681+1</f>
        <v>2681</v>
      </c>
      <c r="C2682" s="8" t="s">
        <v>17</v>
      </c>
      <c r="D2682" s="2">
        <v>43853</v>
      </c>
      <c r="E2682" s="3">
        <v>136250</v>
      </c>
      <c r="F2682" t="s">
        <v>239</v>
      </c>
      <c r="G2682" s="73" t="s">
        <v>240</v>
      </c>
      <c r="H2682" t="s">
        <v>241</v>
      </c>
      <c r="I2682" s="6" t="s">
        <v>1121</v>
      </c>
      <c r="J2682" s="61" t="s">
        <v>22</v>
      </c>
      <c r="L2682" s="5" t="str">
        <f t="shared" ref="L2682:L2683" si="885">IF(ISBLANK(A2682),"",TEXT(A2682,"00000"))</f>
        <v>02681</v>
      </c>
      <c r="M2682" s="47" t="str">
        <f t="shared" ref="M2682:M2683" si="886">IF(ISBLANK(D2682),"",TEXT(D2682,"dd")&amp;" de "&amp;TEXT(D2682,"mmmm")&amp;" de "&amp;TEXT(YEAR(D2682),"0"))</f>
        <v>23 de enero de 2020</v>
      </c>
      <c r="N2682" s="323">
        <f t="shared" ref="N2682:N2683" si="887">DAY(D2682)</f>
        <v>23</v>
      </c>
      <c r="O2682" s="25">
        <f t="shared" ref="O2682:O2683" si="888">DATE(YEAR(D2682),MONTH(D2682),1)</f>
        <v>43831</v>
      </c>
      <c r="P2682" s="5" t="str">
        <f t="shared" ref="P2682:P2683" si="889">TEXT(E2682,"#.##0,00")</f>
        <v>136.250,00</v>
      </c>
      <c r="Q2682" s="4" t="str">
        <f t="shared" ref="Q2682:Q2683" si="890">CONVERTIRNUM(E2682)</f>
        <v>Ciento Treinta y Seis Mil Doscientos Cincuenta Bolívares con 00/100</v>
      </c>
    </row>
    <row r="2683" spans="1:17" x14ac:dyDescent="0.25">
      <c r="A2683" s="1">
        <f t="shared" ref="A2683:A2686" si="891">A2682+1</f>
        <v>2682</v>
      </c>
      <c r="C2683" s="8" t="s">
        <v>17</v>
      </c>
      <c r="D2683" s="2">
        <v>43853</v>
      </c>
      <c r="E2683" s="3">
        <v>136250</v>
      </c>
      <c r="F2683" t="s">
        <v>558</v>
      </c>
      <c r="G2683" t="s">
        <v>559</v>
      </c>
      <c r="H2683" t="s">
        <v>560</v>
      </c>
      <c r="I2683" s="6" t="s">
        <v>1121</v>
      </c>
      <c r="J2683" s="61" t="s">
        <v>22</v>
      </c>
      <c r="L2683" s="5" t="str">
        <f t="shared" si="885"/>
        <v>02682</v>
      </c>
      <c r="M2683" s="47" t="str">
        <f t="shared" si="886"/>
        <v>23 de enero de 2020</v>
      </c>
      <c r="N2683" s="323">
        <f t="shared" si="887"/>
        <v>23</v>
      </c>
      <c r="O2683" s="25">
        <f t="shared" si="888"/>
        <v>43831</v>
      </c>
      <c r="P2683" s="5" t="str">
        <f t="shared" si="889"/>
        <v>136.250,00</v>
      </c>
      <c r="Q2683" s="4" t="str">
        <f t="shared" si="890"/>
        <v>Ciento Treinta y Seis Mil Doscientos Cincuenta Bolívares con 00/100</v>
      </c>
    </row>
    <row r="2684" spans="1:17" x14ac:dyDescent="0.25">
      <c r="A2684" s="1">
        <f t="shared" si="891"/>
        <v>2683</v>
      </c>
      <c r="C2684" s="8" t="s">
        <v>17</v>
      </c>
      <c r="D2684" s="2">
        <v>43853</v>
      </c>
      <c r="E2684" s="3">
        <v>136250</v>
      </c>
      <c r="F2684" t="s">
        <v>1138</v>
      </c>
      <c r="G2684" t="s">
        <v>1139</v>
      </c>
      <c r="H2684" t="s">
        <v>1115</v>
      </c>
      <c r="I2684" s="6" t="s">
        <v>1121</v>
      </c>
      <c r="J2684" s="61" t="s">
        <v>22</v>
      </c>
      <c r="L2684" s="5" t="str">
        <f t="shared" ref="L2684:L2686" si="892">IF(ISBLANK(A2684),"",TEXT(A2684,"00000"))</f>
        <v>02683</v>
      </c>
      <c r="M2684" s="47" t="str">
        <f t="shared" ref="M2684:M2686" si="893">IF(ISBLANK(D2684),"",TEXT(D2684,"dd")&amp;" de "&amp;TEXT(D2684,"mmmm")&amp;" de "&amp;TEXT(YEAR(D2684),"0"))</f>
        <v>23 de enero de 2020</v>
      </c>
      <c r="N2684" s="323">
        <f t="shared" ref="N2684:N2686" si="894">DAY(D2684)</f>
        <v>23</v>
      </c>
      <c r="O2684" s="25">
        <f t="shared" ref="O2684:O2686" si="895">DATE(YEAR(D2684),MONTH(D2684),1)</f>
        <v>43831</v>
      </c>
      <c r="P2684" s="5" t="str">
        <f t="shared" ref="P2684:P2686" si="896">TEXT(E2684,"#.##0,00")</f>
        <v>136.250,00</v>
      </c>
      <c r="Q2684" s="4" t="str">
        <f t="shared" ref="Q2684:Q2686" si="897">CONVERTIRNUM(E2684)</f>
        <v>Ciento Treinta y Seis Mil Doscientos Cincuenta Bolívares con 00/100</v>
      </c>
    </row>
    <row r="2685" spans="1:17" x14ac:dyDescent="0.25">
      <c r="A2685" s="1">
        <f t="shared" si="891"/>
        <v>2684</v>
      </c>
      <c r="C2685" s="8" t="s">
        <v>17</v>
      </c>
      <c r="D2685" s="2">
        <v>43853</v>
      </c>
      <c r="E2685" s="3">
        <v>136250</v>
      </c>
      <c r="F2685" t="s">
        <v>1017</v>
      </c>
      <c r="G2685" s="475" t="s">
        <v>1018</v>
      </c>
      <c r="H2685" t="s">
        <v>140</v>
      </c>
      <c r="I2685" s="6" t="s">
        <v>1121</v>
      </c>
      <c r="J2685" s="61" t="s">
        <v>22</v>
      </c>
      <c r="L2685" s="5" t="str">
        <f t="shared" si="892"/>
        <v>02684</v>
      </c>
      <c r="M2685" s="47" t="str">
        <f t="shared" si="893"/>
        <v>23 de enero de 2020</v>
      </c>
      <c r="N2685" s="323">
        <f t="shared" si="894"/>
        <v>23</v>
      </c>
      <c r="O2685" s="25">
        <f t="shared" si="895"/>
        <v>43831</v>
      </c>
      <c r="P2685" s="5" t="str">
        <f t="shared" si="896"/>
        <v>136.250,00</v>
      </c>
      <c r="Q2685" s="4" t="str">
        <f t="shared" si="897"/>
        <v>Ciento Treinta y Seis Mil Doscientos Cincuenta Bolívares con 00/100</v>
      </c>
    </row>
    <row r="2686" spans="1:17" x14ac:dyDescent="0.25">
      <c r="A2686" s="319">
        <f t="shared" si="891"/>
        <v>2685</v>
      </c>
      <c r="B2686" s="12"/>
      <c r="C2686" s="12" t="s">
        <v>225</v>
      </c>
      <c r="D2686" s="17">
        <v>43854</v>
      </c>
      <c r="E2686" s="660">
        <f>1*74200+70000</f>
        <v>144200</v>
      </c>
      <c r="F2686" s="14" t="s">
        <v>126</v>
      </c>
      <c r="G2686" s="14" t="s">
        <v>127</v>
      </c>
      <c r="H2686" s="14" t="s">
        <v>128</v>
      </c>
      <c r="I2686" s="15" t="s">
        <v>1100</v>
      </c>
      <c r="J2686" s="62" t="s">
        <v>426</v>
      </c>
      <c r="K2686" s="16"/>
      <c r="L2686" s="5" t="str">
        <f t="shared" si="892"/>
        <v>02685</v>
      </c>
      <c r="M2686" s="47" t="str">
        <f t="shared" si="893"/>
        <v>24 de enero de 2020</v>
      </c>
      <c r="N2686" s="323">
        <f t="shared" si="894"/>
        <v>24</v>
      </c>
      <c r="O2686" s="25">
        <f t="shared" si="895"/>
        <v>43831</v>
      </c>
      <c r="P2686" s="5" t="str">
        <f t="shared" si="896"/>
        <v>144.200,00</v>
      </c>
      <c r="Q2686" s="4" t="str">
        <f t="shared" si="897"/>
        <v>Ciento Cuarenta y Cuatro Mil Doscientos Bolívares con 00/100</v>
      </c>
    </row>
    <row r="2687" spans="1:17" x14ac:dyDescent="0.25">
      <c r="A2687" s="1">
        <f>A2686+1</f>
        <v>2686</v>
      </c>
      <c r="B2687" s="8"/>
      <c r="C2687" s="8" t="s">
        <v>17</v>
      </c>
      <c r="D2687" s="2">
        <v>43854</v>
      </c>
      <c r="E2687" s="597">
        <f>1*74200+70000</f>
        <v>144200</v>
      </c>
      <c r="F2687" t="s">
        <v>126</v>
      </c>
      <c r="G2687" t="s">
        <v>127</v>
      </c>
      <c r="H2687" t="s">
        <v>128</v>
      </c>
      <c r="I2687" s="6" t="s">
        <v>1140</v>
      </c>
      <c r="J2687" s="61" t="s">
        <v>22</v>
      </c>
      <c r="L2687" s="5" t="str">
        <f t="shared" ref="L2687:L2690" si="898">IF(ISBLANK(A2687),"",TEXT(A2687,"00000"))</f>
        <v>02686</v>
      </c>
      <c r="M2687" s="47" t="str">
        <f t="shared" ref="M2687:M2690" si="899">IF(ISBLANK(D2687),"",TEXT(D2687,"dd")&amp;" de "&amp;TEXT(D2687,"mmmm")&amp;" de "&amp;TEXT(YEAR(D2687),"0"))</f>
        <v>24 de enero de 2020</v>
      </c>
      <c r="N2687" s="323">
        <f t="shared" ref="N2687:N2701" si="900">DAY(D2687)</f>
        <v>24</v>
      </c>
      <c r="O2687" s="25">
        <f t="shared" ref="O2687:O2690" si="901">DATE(YEAR(D2687),MONTH(D2687),1)</f>
        <v>43831</v>
      </c>
      <c r="P2687" s="5" t="str">
        <f t="shared" ref="P2687:P2701" si="902">TEXT(E2687,"#.##0,00")</f>
        <v>144.200,00</v>
      </c>
      <c r="Q2687" s="4" t="str">
        <f t="shared" ref="Q2687:Q2691" si="903">CONVERTIRNUM(E2687)</f>
        <v>Ciento Cuarenta y Cuatro Mil Doscientos Bolívares con 00/100</v>
      </c>
    </row>
    <row r="2688" spans="1:17" x14ac:dyDescent="0.25">
      <c r="A2688" s="1">
        <f>A2687+1</f>
        <v>2687</v>
      </c>
      <c r="B2688" s="8"/>
      <c r="C2688" s="8" t="s">
        <v>17</v>
      </c>
      <c r="D2688" s="2">
        <v>43853</v>
      </c>
      <c r="E2688" s="3">
        <v>136250</v>
      </c>
      <c r="F2688" t="s">
        <v>337</v>
      </c>
      <c r="G2688" t="s">
        <v>338</v>
      </c>
      <c r="H2688" t="s">
        <v>339</v>
      </c>
      <c r="I2688" s="6" t="s">
        <v>1121</v>
      </c>
      <c r="J2688" s="61" t="s">
        <v>22</v>
      </c>
      <c r="L2688" s="5" t="str">
        <f t="shared" si="898"/>
        <v>02687</v>
      </c>
      <c r="M2688" s="47" t="str">
        <f t="shared" si="899"/>
        <v>23 de enero de 2020</v>
      </c>
      <c r="N2688" s="323">
        <f t="shared" si="900"/>
        <v>23</v>
      </c>
      <c r="O2688" s="25">
        <f t="shared" si="901"/>
        <v>43831</v>
      </c>
      <c r="P2688" s="5" t="str">
        <f t="shared" si="902"/>
        <v>136.250,00</v>
      </c>
      <c r="Q2688" s="4" t="str">
        <f t="shared" si="903"/>
        <v>Ciento Treinta y Seis Mil Doscientos Cincuenta Bolívares con 00/100</v>
      </c>
    </row>
    <row r="2689" spans="1:17" x14ac:dyDescent="0.25">
      <c r="A2689" s="1">
        <f t="shared" ref="A2689" si="904">A2688+1</f>
        <v>2688</v>
      </c>
      <c r="B2689" s="8"/>
      <c r="C2689" s="8" t="s">
        <v>17</v>
      </c>
      <c r="D2689" s="2">
        <v>43853</v>
      </c>
      <c r="E2689" s="3">
        <v>136250</v>
      </c>
      <c r="F2689" t="s">
        <v>122</v>
      </c>
      <c r="G2689" t="s">
        <v>123</v>
      </c>
      <c r="H2689" t="s">
        <v>124</v>
      </c>
      <c r="I2689" s="6" t="s">
        <v>1121</v>
      </c>
      <c r="J2689" s="61" t="s">
        <v>22</v>
      </c>
      <c r="L2689" s="5" t="str">
        <f t="shared" si="898"/>
        <v>02688</v>
      </c>
      <c r="M2689" s="47" t="str">
        <f t="shared" si="899"/>
        <v>23 de enero de 2020</v>
      </c>
      <c r="N2689" s="323">
        <f t="shared" si="900"/>
        <v>23</v>
      </c>
      <c r="O2689" s="25">
        <f t="shared" si="901"/>
        <v>43831</v>
      </c>
      <c r="P2689" s="5" t="str">
        <f t="shared" si="902"/>
        <v>136.250,00</v>
      </c>
      <c r="Q2689" s="4" t="str">
        <f t="shared" si="903"/>
        <v>Ciento Treinta y Seis Mil Doscientos Cincuenta Bolívares con 00/100</v>
      </c>
    </row>
    <row r="2690" spans="1:17" ht="16.5" customHeight="1" x14ac:dyDescent="0.25">
      <c r="A2690" s="1">
        <f>A2689+1</f>
        <v>2689</v>
      </c>
      <c r="B2690" s="8"/>
      <c r="C2690" s="8" t="s">
        <v>17</v>
      </c>
      <c r="D2690" s="2">
        <v>43853</v>
      </c>
      <c r="E2690" s="3">
        <v>137000</v>
      </c>
      <c r="F2690" t="s">
        <v>219</v>
      </c>
      <c r="G2690" t="s">
        <v>220</v>
      </c>
      <c r="H2690" t="s">
        <v>221</v>
      </c>
      <c r="I2690" s="6" t="s">
        <v>1121</v>
      </c>
      <c r="J2690" s="61" t="s">
        <v>22</v>
      </c>
      <c r="L2690" s="5" t="str">
        <f t="shared" si="898"/>
        <v>02689</v>
      </c>
      <c r="M2690" s="47" t="str">
        <f t="shared" si="899"/>
        <v>23 de enero de 2020</v>
      </c>
      <c r="N2690" s="323">
        <f t="shared" si="900"/>
        <v>23</v>
      </c>
      <c r="O2690" s="25">
        <f t="shared" si="901"/>
        <v>43831</v>
      </c>
      <c r="P2690" s="5" t="str">
        <f t="shared" si="902"/>
        <v>137.000,00</v>
      </c>
      <c r="Q2690" s="4" t="str">
        <f t="shared" si="903"/>
        <v>Ciento Treinta y Siete Mil Bolívares con 00/100</v>
      </c>
    </row>
    <row r="2691" spans="1:17" x14ac:dyDescent="0.25">
      <c r="A2691" s="1">
        <f t="shared" ref="A2691:A2692" si="905">A2690+1</f>
        <v>2690</v>
      </c>
      <c r="B2691" s="8"/>
      <c r="C2691" s="8" t="s">
        <v>17</v>
      </c>
      <c r="D2691" s="2">
        <v>43855</v>
      </c>
      <c r="E2691" s="3">
        <v>135000</v>
      </c>
      <c r="F2691" t="s">
        <v>44</v>
      </c>
      <c r="G2691" t="s">
        <v>45</v>
      </c>
      <c r="H2691" t="s">
        <v>46</v>
      </c>
      <c r="I2691" s="6" t="s">
        <v>1121</v>
      </c>
      <c r="J2691" s="61" t="s">
        <v>22</v>
      </c>
      <c r="L2691" s="5" t="str">
        <f>IF(ISBLANK(A2691),"",TEXT(A2691,"00000"))</f>
        <v>02690</v>
      </c>
      <c r="M2691" s="47" t="str">
        <f>IF(ISBLANK(D2691),"",TEXT(D2691,"dd")&amp;" de "&amp;TEXT(D2691,"mmmm")&amp;" de "&amp;TEXT(YEAR(D2691),"0"))</f>
        <v>25 de enero de 2020</v>
      </c>
      <c r="N2691" s="323">
        <f t="shared" si="900"/>
        <v>25</v>
      </c>
      <c r="O2691" s="25">
        <f>DATE(YEAR(D2691),MONTH(D2691),1)</f>
        <v>43831</v>
      </c>
      <c r="P2691" s="5" t="str">
        <f t="shared" si="902"/>
        <v>135.000,00</v>
      </c>
      <c r="Q2691" s="4" t="str">
        <f t="shared" si="903"/>
        <v>Ciento Treinta y Cinco Mil Bolívares con 00/100</v>
      </c>
    </row>
    <row r="2692" spans="1:17" x14ac:dyDescent="0.25">
      <c r="A2692" s="1">
        <f t="shared" si="905"/>
        <v>2691</v>
      </c>
      <c r="B2692" s="8"/>
      <c r="C2692" s="8" t="s">
        <v>17</v>
      </c>
      <c r="D2692" s="2">
        <v>43857</v>
      </c>
      <c r="E2692" s="3">
        <v>136250</v>
      </c>
      <c r="F2692" t="s">
        <v>1015</v>
      </c>
      <c r="G2692" t="s">
        <v>1016</v>
      </c>
      <c r="H2692" t="s">
        <v>59</v>
      </c>
      <c r="I2692" s="6" t="s">
        <v>1121</v>
      </c>
      <c r="J2692" s="61" t="s">
        <v>22</v>
      </c>
      <c r="L2692" s="5" t="str">
        <f t="shared" ref="L2692:L2701" si="906">IF(ISBLANK(A2692),"",TEXT(A2692,"00000"))</f>
        <v>02691</v>
      </c>
      <c r="M2692" s="47" t="str">
        <f t="shared" ref="M2692:M2701" si="907">IF(ISBLANK(D2692),"",TEXT(D2692,"dd")&amp;" de "&amp;TEXT(D2692,"mmmm")&amp;" de "&amp;TEXT(YEAR(D2692),"0"))</f>
        <v>27 de enero de 2020</v>
      </c>
      <c r="N2692" s="323">
        <f t="shared" si="900"/>
        <v>27</v>
      </c>
      <c r="O2692" s="25">
        <f t="shared" ref="O2692:O2701" si="908">DATE(YEAR(D2692),MONTH(D2692),1)</f>
        <v>43831</v>
      </c>
      <c r="P2692" s="5" t="str">
        <f t="shared" si="902"/>
        <v>136.250,00</v>
      </c>
      <c r="Q2692" s="4" t="str">
        <f>CONVERTIRNUM(E2692)</f>
        <v>Ciento Treinta y Seis Mil Doscientos Cincuenta Bolívares con 00/100</v>
      </c>
    </row>
    <row r="2693" spans="1:17" x14ac:dyDescent="0.25">
      <c r="A2693" s="1">
        <f>A2692+1</f>
        <v>2692</v>
      </c>
      <c r="B2693" s="8"/>
      <c r="C2693" s="8" t="s">
        <v>17</v>
      </c>
      <c r="D2693" s="2">
        <v>43857</v>
      </c>
      <c r="E2693" s="3">
        <v>136250</v>
      </c>
      <c r="F2693" t="s">
        <v>324</v>
      </c>
      <c r="G2693" t="s">
        <v>325</v>
      </c>
      <c r="H2693" t="s">
        <v>326</v>
      </c>
      <c r="I2693" s="6" t="s">
        <v>1121</v>
      </c>
      <c r="J2693" s="61" t="s">
        <v>22</v>
      </c>
      <c r="L2693" s="5" t="str">
        <f t="shared" si="906"/>
        <v>02692</v>
      </c>
      <c r="M2693" s="47" t="str">
        <f t="shared" si="907"/>
        <v>27 de enero de 2020</v>
      </c>
      <c r="N2693" s="323">
        <f t="shared" si="900"/>
        <v>27</v>
      </c>
      <c r="O2693" s="25">
        <f t="shared" si="908"/>
        <v>43831</v>
      </c>
      <c r="P2693" s="5" t="str">
        <f t="shared" si="902"/>
        <v>136.250,00</v>
      </c>
      <c r="Q2693" s="4" t="str">
        <f t="shared" ref="Q2693:Q2701" si="909">CONVERTIRNUM(E2693)</f>
        <v>Ciento Treinta y Seis Mil Doscientos Cincuenta Bolívares con 00/100</v>
      </c>
    </row>
    <row r="2694" spans="1:17" x14ac:dyDescent="0.25">
      <c r="A2694" s="1">
        <f>A2693+1</f>
        <v>2693</v>
      </c>
      <c r="B2694" s="8"/>
      <c r="C2694" s="8" t="s">
        <v>17</v>
      </c>
      <c r="D2694" s="2">
        <v>43856</v>
      </c>
      <c r="E2694" s="3">
        <v>136250</v>
      </c>
      <c r="F2694" t="s">
        <v>296</v>
      </c>
      <c r="G2694" t="s">
        <v>297</v>
      </c>
      <c r="H2694" t="s">
        <v>298</v>
      </c>
      <c r="I2694" s="6" t="s">
        <v>1121</v>
      </c>
      <c r="J2694" s="61" t="s">
        <v>22</v>
      </c>
      <c r="L2694" s="5" t="str">
        <f t="shared" si="906"/>
        <v>02693</v>
      </c>
      <c r="M2694" s="47" t="str">
        <f t="shared" si="907"/>
        <v>26 de enero de 2020</v>
      </c>
      <c r="N2694" s="323">
        <f t="shared" si="900"/>
        <v>26</v>
      </c>
      <c r="O2694" s="25">
        <f t="shared" si="908"/>
        <v>43831</v>
      </c>
      <c r="P2694" s="5" t="str">
        <f t="shared" si="902"/>
        <v>136.250,00</v>
      </c>
      <c r="Q2694" s="4" t="str">
        <f t="shared" si="909"/>
        <v>Ciento Treinta y Seis Mil Doscientos Cincuenta Bolívares con 00/100</v>
      </c>
    </row>
    <row r="2695" spans="1:17" x14ac:dyDescent="0.25">
      <c r="A2695" s="1">
        <f>A2694+1</f>
        <v>2694</v>
      </c>
      <c r="B2695" s="8"/>
      <c r="C2695" s="8" t="s">
        <v>17</v>
      </c>
      <c r="D2695" s="2">
        <v>43859</v>
      </c>
      <c r="E2695" s="3">
        <v>136250</v>
      </c>
      <c r="F2695" t="s">
        <v>264</v>
      </c>
      <c r="G2695" t="s">
        <v>265</v>
      </c>
      <c r="H2695" t="s">
        <v>266</v>
      </c>
      <c r="I2695" s="6" t="s">
        <v>1121</v>
      </c>
      <c r="J2695" s="61" t="s">
        <v>22</v>
      </c>
      <c r="L2695" s="5" t="str">
        <f t="shared" si="906"/>
        <v>02694</v>
      </c>
      <c r="M2695" s="47" t="str">
        <f t="shared" si="907"/>
        <v>29 de enero de 2020</v>
      </c>
      <c r="N2695" s="323">
        <f t="shared" si="900"/>
        <v>29</v>
      </c>
      <c r="O2695" s="25">
        <f t="shared" si="908"/>
        <v>43831</v>
      </c>
      <c r="P2695" s="5" t="str">
        <f t="shared" si="902"/>
        <v>136.250,00</v>
      </c>
      <c r="Q2695" s="4" t="str">
        <f t="shared" si="909"/>
        <v>Ciento Treinta y Seis Mil Doscientos Cincuenta Bolívares con 00/100</v>
      </c>
    </row>
    <row r="2696" spans="1:17" x14ac:dyDescent="0.25">
      <c r="A2696" s="1">
        <f t="shared" ref="A2696" si="910">A2695+1</f>
        <v>2695</v>
      </c>
      <c r="B2696" s="8"/>
      <c r="C2696" s="8" t="s">
        <v>17</v>
      </c>
      <c r="D2696" s="2">
        <v>43860</v>
      </c>
      <c r="E2696" s="3">
        <v>136250</v>
      </c>
      <c r="F2696" t="s">
        <v>94</v>
      </c>
      <c r="G2696" t="s">
        <v>607</v>
      </c>
      <c r="H2696" t="s">
        <v>96</v>
      </c>
      <c r="I2696" s="6" t="s">
        <v>1100</v>
      </c>
      <c r="J2696" s="61" t="s">
        <v>22</v>
      </c>
      <c r="L2696" s="5" t="str">
        <f t="shared" si="906"/>
        <v>02695</v>
      </c>
      <c r="M2696" s="47" t="str">
        <f t="shared" si="907"/>
        <v>30 de enero de 2020</v>
      </c>
      <c r="N2696" s="323">
        <f t="shared" si="900"/>
        <v>30</v>
      </c>
      <c r="O2696" s="25">
        <f t="shared" si="908"/>
        <v>43831</v>
      </c>
      <c r="P2696" s="5" t="str">
        <f t="shared" si="902"/>
        <v>136.250,00</v>
      </c>
      <c r="Q2696" s="4" t="str">
        <f t="shared" si="909"/>
        <v>Ciento Treinta y Seis Mil Doscientos Cincuenta Bolívares con 00/100</v>
      </c>
    </row>
    <row r="2697" spans="1:17" x14ac:dyDescent="0.25">
      <c r="A2697" s="1">
        <f>A2696+1</f>
        <v>2696</v>
      </c>
      <c r="B2697" s="8"/>
      <c r="C2697" s="8" t="s">
        <v>17</v>
      </c>
      <c r="D2697" s="2">
        <v>43861</v>
      </c>
      <c r="E2697" s="3">
        <v>300000</v>
      </c>
      <c r="F2697" t="s">
        <v>90</v>
      </c>
      <c r="G2697" s="475" t="s">
        <v>978</v>
      </c>
      <c r="H2697" t="s">
        <v>92</v>
      </c>
      <c r="I2697" s="6" t="s">
        <v>1097</v>
      </c>
      <c r="J2697" s="61" t="s">
        <v>22</v>
      </c>
      <c r="L2697" s="5" t="str">
        <f t="shared" si="906"/>
        <v>02696</v>
      </c>
      <c r="M2697" s="47" t="str">
        <f t="shared" si="907"/>
        <v>31 de enero de 2020</v>
      </c>
      <c r="N2697" s="323">
        <f t="shared" si="900"/>
        <v>31</v>
      </c>
      <c r="O2697" s="25">
        <f t="shared" si="908"/>
        <v>43831</v>
      </c>
      <c r="P2697" s="5" t="str">
        <f t="shared" si="902"/>
        <v>300.000,00</v>
      </c>
      <c r="Q2697" s="4" t="str">
        <f t="shared" si="909"/>
        <v>Trescientos Mil Bolívares con 00/100</v>
      </c>
    </row>
    <row r="2698" spans="1:17" x14ac:dyDescent="0.25">
      <c r="A2698" s="1">
        <f t="shared" ref="A2698" si="911">A2697+1</f>
        <v>2697</v>
      </c>
      <c r="B2698" s="8"/>
      <c r="C2698" s="8" t="s">
        <v>17</v>
      </c>
      <c r="D2698" s="2">
        <v>43860</v>
      </c>
      <c r="E2698" s="3">
        <v>136250</v>
      </c>
      <c r="F2698" t="s">
        <v>633</v>
      </c>
      <c r="G2698" t="s">
        <v>634</v>
      </c>
      <c r="H2698" t="s">
        <v>635</v>
      </c>
      <c r="I2698" s="6" t="s">
        <v>1121</v>
      </c>
      <c r="J2698" s="61" t="s">
        <v>22</v>
      </c>
      <c r="L2698" s="5" t="str">
        <f t="shared" si="906"/>
        <v>02697</v>
      </c>
      <c r="M2698" s="47" t="str">
        <f t="shared" si="907"/>
        <v>30 de enero de 2020</v>
      </c>
      <c r="N2698" s="323">
        <f t="shared" si="900"/>
        <v>30</v>
      </c>
      <c r="O2698" s="25">
        <f t="shared" si="908"/>
        <v>43831</v>
      </c>
      <c r="P2698" s="5" t="str">
        <f t="shared" si="902"/>
        <v>136.250,00</v>
      </c>
      <c r="Q2698" s="4" t="str">
        <f t="shared" si="909"/>
        <v>Ciento Treinta y Seis Mil Doscientos Cincuenta Bolívares con 00/100</v>
      </c>
    </row>
    <row r="2699" spans="1:17" x14ac:dyDescent="0.25">
      <c r="A2699" s="1">
        <f t="shared" ref="A2699:A2705" si="912">A2698+1</f>
        <v>2698</v>
      </c>
      <c r="B2699" s="8"/>
      <c r="C2699" s="8" t="s">
        <v>17</v>
      </c>
      <c r="D2699" s="2">
        <v>43862</v>
      </c>
      <c r="E2699" s="3">
        <v>136250</v>
      </c>
      <c r="F2699" t="s">
        <v>177</v>
      </c>
      <c r="G2699" t="s">
        <v>941</v>
      </c>
      <c r="H2699" t="s">
        <v>179</v>
      </c>
      <c r="I2699" s="6" t="s">
        <v>1141</v>
      </c>
      <c r="J2699" s="61" t="s">
        <v>22</v>
      </c>
      <c r="L2699" s="5" t="str">
        <f t="shared" si="906"/>
        <v>02698</v>
      </c>
      <c r="M2699" s="47" t="str">
        <f t="shared" si="907"/>
        <v>01 de febrero de 2020</v>
      </c>
      <c r="N2699" s="323">
        <f t="shared" si="900"/>
        <v>1</v>
      </c>
      <c r="O2699" s="25">
        <f t="shared" si="908"/>
        <v>43862</v>
      </c>
      <c r="P2699" s="5" t="str">
        <f t="shared" si="902"/>
        <v>136.250,00</v>
      </c>
      <c r="Q2699" s="4" t="str">
        <f t="shared" si="909"/>
        <v>Ciento Treinta y Seis Mil Doscientos Cincuenta Bolívares con 00/100</v>
      </c>
    </row>
    <row r="2700" spans="1:17" x14ac:dyDescent="0.25">
      <c r="A2700" s="1">
        <f t="shared" si="912"/>
        <v>2699</v>
      </c>
      <c r="B2700" s="8"/>
      <c r="C2700" s="8" t="s">
        <v>17</v>
      </c>
      <c r="D2700" s="2">
        <v>43862</v>
      </c>
      <c r="E2700" s="3">
        <v>136250</v>
      </c>
      <c r="F2700" t="s">
        <v>211</v>
      </c>
      <c r="G2700" t="s">
        <v>212</v>
      </c>
      <c r="H2700" t="s">
        <v>213</v>
      </c>
      <c r="I2700" s="6" t="s">
        <v>1121</v>
      </c>
      <c r="J2700" s="61" t="s">
        <v>22</v>
      </c>
      <c r="L2700" s="5" t="str">
        <f t="shared" si="906"/>
        <v>02699</v>
      </c>
      <c r="M2700" s="47" t="str">
        <f t="shared" si="907"/>
        <v>01 de febrero de 2020</v>
      </c>
      <c r="N2700" s="323">
        <f t="shared" si="900"/>
        <v>1</v>
      </c>
      <c r="O2700" s="25">
        <f t="shared" si="908"/>
        <v>43862</v>
      </c>
      <c r="P2700" s="5" t="str">
        <f t="shared" si="902"/>
        <v>136.250,00</v>
      </c>
      <c r="Q2700" s="4" t="str">
        <f t="shared" si="909"/>
        <v>Ciento Treinta y Seis Mil Doscientos Cincuenta Bolívares con 00/100</v>
      </c>
    </row>
    <row r="2701" spans="1:17" x14ac:dyDescent="0.25">
      <c r="A2701" s="1">
        <f t="shared" si="912"/>
        <v>2700</v>
      </c>
      <c r="B2701" s="8"/>
      <c r="C2701" s="8" t="s">
        <v>17</v>
      </c>
      <c r="D2701" s="2">
        <v>43863</v>
      </c>
      <c r="E2701" s="3">
        <v>136250</v>
      </c>
      <c r="F2701" t="s">
        <v>114</v>
      </c>
      <c r="G2701" t="s">
        <v>115</v>
      </c>
      <c r="H2701" t="s">
        <v>105</v>
      </c>
      <c r="I2701" s="6" t="s">
        <v>1142</v>
      </c>
      <c r="J2701" s="61" t="s">
        <v>22</v>
      </c>
      <c r="L2701" s="5" t="str">
        <f t="shared" si="906"/>
        <v>02700</v>
      </c>
      <c r="M2701" s="47" t="str">
        <f t="shared" si="907"/>
        <v>02 de febrero de 2020</v>
      </c>
      <c r="N2701" s="323">
        <f t="shared" si="900"/>
        <v>2</v>
      </c>
      <c r="O2701" s="25">
        <f t="shared" si="908"/>
        <v>43862</v>
      </c>
      <c r="P2701" s="5" t="str">
        <f t="shared" si="902"/>
        <v>136.250,00</v>
      </c>
      <c r="Q2701" s="4" t="str">
        <f t="shared" si="909"/>
        <v>Ciento Treinta y Seis Mil Doscientos Cincuenta Bolívares con 00/100</v>
      </c>
    </row>
    <row r="2702" spans="1:17" x14ac:dyDescent="0.25">
      <c r="A2702" s="1">
        <f t="shared" si="912"/>
        <v>2701</v>
      </c>
      <c r="B2702" s="8"/>
      <c r="C2702" s="8" t="s">
        <v>17</v>
      </c>
      <c r="D2702" s="2">
        <v>43863</v>
      </c>
      <c r="E2702" s="3">
        <v>136250</v>
      </c>
      <c r="F2702" t="s">
        <v>324</v>
      </c>
      <c r="G2702" t="s">
        <v>325</v>
      </c>
      <c r="H2702" t="s">
        <v>326</v>
      </c>
      <c r="I2702" s="6" t="s">
        <v>1142</v>
      </c>
      <c r="J2702" s="61" t="s">
        <v>22</v>
      </c>
      <c r="L2702" s="5" t="str">
        <f t="shared" ref="L2702:L2717" si="913">IF(ISBLANK(A2702),"",TEXT(A2702,"00000"))</f>
        <v>02701</v>
      </c>
      <c r="M2702" s="47" t="str">
        <f t="shared" ref="M2702:M2717" si="914">IF(ISBLANK(D2702),"",TEXT(D2702,"dd")&amp;" de "&amp;TEXT(D2702,"mmmm")&amp;" de "&amp;TEXT(YEAR(D2702),"0"))</f>
        <v>02 de febrero de 2020</v>
      </c>
      <c r="N2702" s="323">
        <f t="shared" ref="N2702:N2717" si="915">DAY(D2702)</f>
        <v>2</v>
      </c>
      <c r="O2702" s="25">
        <f t="shared" ref="O2702:O2717" si="916">DATE(YEAR(D2702),MONTH(D2702),1)</f>
        <v>43862</v>
      </c>
      <c r="P2702" s="5" t="str">
        <f t="shared" ref="P2702:P2717" si="917">TEXT(E2702,"#.##0,00")</f>
        <v>136.250,00</v>
      </c>
      <c r="Q2702" s="4" t="str">
        <f t="shared" ref="Q2702:Q2708" si="918">CONVERTIRNUM(E2702)</f>
        <v>Ciento Treinta y Seis Mil Doscientos Cincuenta Bolívares con 00/100</v>
      </c>
    </row>
    <row r="2703" spans="1:17" x14ac:dyDescent="0.25">
      <c r="A2703" s="1">
        <f t="shared" si="912"/>
        <v>2702</v>
      </c>
      <c r="B2703" s="8"/>
      <c r="C2703" s="8" t="s">
        <v>17</v>
      </c>
      <c r="D2703" s="2">
        <v>43863</v>
      </c>
      <c r="E2703" s="3">
        <v>136250</v>
      </c>
      <c r="F2703" t="s">
        <v>24</v>
      </c>
      <c r="G2703" t="s">
        <v>25</v>
      </c>
      <c r="H2703" t="s">
        <v>26</v>
      </c>
      <c r="I2703" s="6" t="s">
        <v>1142</v>
      </c>
      <c r="J2703" s="61" t="s">
        <v>22</v>
      </c>
      <c r="L2703" s="5" t="str">
        <f t="shared" si="913"/>
        <v>02702</v>
      </c>
      <c r="M2703" s="47" t="str">
        <f t="shared" si="914"/>
        <v>02 de febrero de 2020</v>
      </c>
      <c r="N2703" s="323">
        <f t="shared" si="915"/>
        <v>2</v>
      </c>
      <c r="O2703" s="25">
        <f t="shared" si="916"/>
        <v>43862</v>
      </c>
      <c r="P2703" s="5" t="str">
        <f t="shared" si="917"/>
        <v>136.250,00</v>
      </c>
      <c r="Q2703" s="4" t="str">
        <f t="shared" si="918"/>
        <v>Ciento Treinta y Seis Mil Doscientos Cincuenta Bolívares con 00/100</v>
      </c>
    </row>
    <row r="2704" spans="1:17" x14ac:dyDescent="0.25">
      <c r="A2704" s="1">
        <f t="shared" si="912"/>
        <v>2703</v>
      </c>
      <c r="B2704" s="8"/>
      <c r="C2704" s="8" t="s">
        <v>17</v>
      </c>
      <c r="D2704" s="2">
        <v>43863</v>
      </c>
      <c r="E2704" s="3">
        <v>136250</v>
      </c>
      <c r="F2704" t="s">
        <v>36</v>
      </c>
      <c r="G2704" t="s">
        <v>37</v>
      </c>
      <c r="H2704" t="s">
        <v>38</v>
      </c>
      <c r="I2704" s="6" t="s">
        <v>1142</v>
      </c>
      <c r="J2704" s="61" t="s">
        <v>22</v>
      </c>
      <c r="L2704" s="5" t="str">
        <f t="shared" si="913"/>
        <v>02703</v>
      </c>
      <c r="M2704" s="47" t="str">
        <f t="shared" si="914"/>
        <v>02 de febrero de 2020</v>
      </c>
      <c r="N2704" s="323">
        <f t="shared" si="915"/>
        <v>2</v>
      </c>
      <c r="O2704" s="25">
        <f t="shared" si="916"/>
        <v>43862</v>
      </c>
      <c r="P2704" s="5" t="str">
        <f t="shared" si="917"/>
        <v>136.250,00</v>
      </c>
      <c r="Q2704" s="4" t="str">
        <f t="shared" si="918"/>
        <v>Ciento Treinta y Seis Mil Doscientos Cincuenta Bolívares con 00/100</v>
      </c>
    </row>
    <row r="2705" spans="1:17" x14ac:dyDescent="0.25">
      <c r="A2705" s="1">
        <f t="shared" si="912"/>
        <v>2704</v>
      </c>
      <c r="B2705" s="8"/>
      <c r="C2705" s="8" t="s">
        <v>17</v>
      </c>
      <c r="D2705" s="2">
        <v>43863</v>
      </c>
      <c r="E2705" s="3">
        <v>136250</v>
      </c>
      <c r="F2705" t="s">
        <v>100</v>
      </c>
      <c r="G2705" t="s">
        <v>95</v>
      </c>
      <c r="H2705" t="s">
        <v>101</v>
      </c>
      <c r="I2705" s="6" t="s">
        <v>1142</v>
      </c>
      <c r="J2705" s="61" t="s">
        <v>22</v>
      </c>
      <c r="L2705" s="5" t="str">
        <f t="shared" si="913"/>
        <v>02704</v>
      </c>
      <c r="M2705" s="47" t="str">
        <f t="shared" si="914"/>
        <v>02 de febrero de 2020</v>
      </c>
      <c r="N2705" s="323">
        <f t="shared" si="915"/>
        <v>2</v>
      </c>
      <c r="O2705" s="25">
        <f t="shared" si="916"/>
        <v>43862</v>
      </c>
      <c r="P2705" s="5" t="str">
        <f t="shared" si="917"/>
        <v>136.250,00</v>
      </c>
      <c r="Q2705" s="4" t="str">
        <f t="shared" si="918"/>
        <v>Ciento Treinta y Seis Mil Doscientos Cincuenta Bolívares con 00/100</v>
      </c>
    </row>
    <row r="2706" spans="1:17" x14ac:dyDescent="0.25">
      <c r="A2706" s="1">
        <f t="shared" ref="A2706" si="919">A2705+1</f>
        <v>2705</v>
      </c>
      <c r="B2706" s="8"/>
      <c r="C2706" s="8" t="s">
        <v>17</v>
      </c>
      <c r="D2706" s="2">
        <v>43863</v>
      </c>
      <c r="E2706" s="3">
        <v>272500</v>
      </c>
      <c r="F2706" t="s">
        <v>130</v>
      </c>
      <c r="G2706" t="s">
        <v>1054</v>
      </c>
      <c r="H2706" t="s">
        <v>132</v>
      </c>
      <c r="I2706" s="6" t="s">
        <v>1097</v>
      </c>
      <c r="J2706" s="61" t="s">
        <v>22</v>
      </c>
      <c r="L2706" s="5" t="str">
        <f t="shared" si="913"/>
        <v>02705</v>
      </c>
      <c r="M2706" s="47" t="str">
        <f t="shared" si="914"/>
        <v>02 de febrero de 2020</v>
      </c>
      <c r="N2706" s="323">
        <f t="shared" si="915"/>
        <v>2</v>
      </c>
      <c r="O2706" s="25">
        <f t="shared" si="916"/>
        <v>43862</v>
      </c>
      <c r="P2706" s="5" t="str">
        <f t="shared" si="917"/>
        <v>272.500,00</v>
      </c>
      <c r="Q2706" s="4" t="str">
        <f t="shared" si="918"/>
        <v>Doscientos Setenta y Dos Mil Quinientos Bolívares con 00/100</v>
      </c>
    </row>
    <row r="2707" spans="1:17" x14ac:dyDescent="0.25">
      <c r="A2707" s="1">
        <f>A2706+1</f>
        <v>2706</v>
      </c>
      <c r="B2707" s="8"/>
      <c r="C2707" s="8" t="s">
        <v>17</v>
      </c>
      <c r="D2707" s="2">
        <v>43863</v>
      </c>
      <c r="E2707" s="3">
        <v>107000</v>
      </c>
      <c r="F2707" t="s">
        <v>252</v>
      </c>
      <c r="G2707" s="475" t="s">
        <v>958</v>
      </c>
      <c r="H2707" t="s">
        <v>254</v>
      </c>
      <c r="I2707" s="6" t="s">
        <v>1143</v>
      </c>
      <c r="J2707" s="61" t="s">
        <v>22</v>
      </c>
      <c r="L2707" s="5" t="str">
        <f t="shared" si="913"/>
        <v>02706</v>
      </c>
      <c r="M2707" s="47" t="str">
        <f t="shared" si="914"/>
        <v>02 de febrero de 2020</v>
      </c>
      <c r="N2707" s="323">
        <f t="shared" si="915"/>
        <v>2</v>
      </c>
      <c r="O2707" s="25">
        <f t="shared" si="916"/>
        <v>43862</v>
      </c>
      <c r="P2707" s="5" t="str">
        <f t="shared" si="917"/>
        <v>107.000,00</v>
      </c>
      <c r="Q2707" s="4" t="str">
        <f t="shared" si="918"/>
        <v>Ciento Siete Mil Bolívares con 00/100</v>
      </c>
    </row>
    <row r="2708" spans="1:17" x14ac:dyDescent="0.25">
      <c r="A2708" s="1">
        <f>A2707+1</f>
        <v>2707</v>
      </c>
      <c r="C2708" s="8" t="s">
        <v>17</v>
      </c>
      <c r="D2708" s="2">
        <v>43863</v>
      </c>
      <c r="E2708" s="3">
        <v>135700</v>
      </c>
      <c r="F2708" t="s">
        <v>48</v>
      </c>
      <c r="G2708" t="s">
        <v>49</v>
      </c>
      <c r="H2708" t="s">
        <v>50</v>
      </c>
      <c r="I2708" s="6" t="s">
        <v>1144</v>
      </c>
      <c r="J2708" s="61" t="s">
        <v>22</v>
      </c>
      <c r="L2708" s="5" t="str">
        <f t="shared" si="913"/>
        <v>02707</v>
      </c>
      <c r="M2708" s="47" t="str">
        <f t="shared" si="914"/>
        <v>02 de febrero de 2020</v>
      </c>
      <c r="N2708" s="323">
        <f t="shared" si="915"/>
        <v>2</v>
      </c>
      <c r="O2708" s="25">
        <f t="shared" si="916"/>
        <v>43862</v>
      </c>
      <c r="P2708" s="5" t="str">
        <f t="shared" si="917"/>
        <v>135.700,00</v>
      </c>
      <c r="Q2708" s="4" t="str">
        <f t="shared" si="918"/>
        <v>Ciento Treinta y Cinco Mil Setecientos Bolívares con 00/100</v>
      </c>
    </row>
    <row r="2709" spans="1:17" x14ac:dyDescent="0.25">
      <c r="A2709" s="1">
        <f>A2708+1</f>
        <v>2708</v>
      </c>
      <c r="C2709" s="8" t="s">
        <v>17</v>
      </c>
      <c r="D2709" s="2">
        <v>43864</v>
      </c>
      <c r="E2709" s="3">
        <v>136250</v>
      </c>
      <c r="F2709" t="s">
        <v>407</v>
      </c>
      <c r="G2709" t="s">
        <v>408</v>
      </c>
      <c r="H2709" t="s">
        <v>409</v>
      </c>
      <c r="I2709" s="6" t="s">
        <v>1142</v>
      </c>
      <c r="J2709" s="61" t="s">
        <v>22</v>
      </c>
      <c r="L2709" s="5" t="str">
        <f t="shared" si="913"/>
        <v>02708</v>
      </c>
      <c r="M2709" s="47" t="str">
        <f t="shared" si="914"/>
        <v>03 de febrero de 2020</v>
      </c>
      <c r="N2709" s="323">
        <f t="shared" si="915"/>
        <v>3</v>
      </c>
      <c r="O2709" s="25">
        <f t="shared" si="916"/>
        <v>43862</v>
      </c>
      <c r="P2709" s="5" t="str">
        <f t="shared" si="917"/>
        <v>136.250,00</v>
      </c>
      <c r="Q2709" s="4" t="str">
        <f>CONVERTIRNUM(E2709)</f>
        <v>Ciento Treinta y Seis Mil Doscientos Cincuenta Bolívares con 00/100</v>
      </c>
    </row>
    <row r="2710" spans="1:17" x14ac:dyDescent="0.25">
      <c r="A2710" s="1">
        <f t="shared" ref="A2710" si="920">A2709+1</f>
        <v>2709</v>
      </c>
      <c r="C2710" s="8" t="s">
        <v>17</v>
      </c>
      <c r="D2710" s="2">
        <v>43864</v>
      </c>
      <c r="E2710" s="3">
        <v>136250</v>
      </c>
      <c r="F2710" t="s">
        <v>134</v>
      </c>
      <c r="G2710" t="s">
        <v>135</v>
      </c>
      <c r="H2710" t="s">
        <v>136</v>
      </c>
      <c r="I2710" s="6" t="s">
        <v>1142</v>
      </c>
      <c r="J2710" s="61" t="s">
        <v>22</v>
      </c>
      <c r="L2710" s="5" t="str">
        <f t="shared" si="913"/>
        <v>02709</v>
      </c>
      <c r="M2710" s="47" t="str">
        <f t="shared" si="914"/>
        <v>03 de febrero de 2020</v>
      </c>
      <c r="N2710" s="323">
        <f t="shared" si="915"/>
        <v>3</v>
      </c>
      <c r="O2710" s="25">
        <f t="shared" si="916"/>
        <v>43862</v>
      </c>
      <c r="P2710" s="5" t="str">
        <f t="shared" si="917"/>
        <v>136.250,00</v>
      </c>
      <c r="Q2710" s="4" t="str">
        <f t="shared" ref="Q2710:Q2717" si="921">CONVERTIRNUM(E2710)</f>
        <v>Ciento Treinta y Seis Mil Doscientos Cincuenta Bolívares con 00/100</v>
      </c>
    </row>
    <row r="2711" spans="1:17" x14ac:dyDescent="0.25">
      <c r="A2711" s="1">
        <f t="shared" ref="A2711:A2718" si="922">A2710+1</f>
        <v>2710</v>
      </c>
      <c r="C2711" s="8" t="s">
        <v>17</v>
      </c>
      <c r="D2711" s="2">
        <v>43864</v>
      </c>
      <c r="E2711" s="3">
        <v>136250</v>
      </c>
      <c r="F2711" t="s">
        <v>18</v>
      </c>
      <c r="G2711" t="s">
        <v>19</v>
      </c>
      <c r="H2711" t="s">
        <v>20</v>
      </c>
      <c r="I2711" t="s">
        <v>1145</v>
      </c>
      <c r="J2711" s="61" t="s">
        <v>22</v>
      </c>
      <c r="L2711" s="5" t="str">
        <f t="shared" si="913"/>
        <v>02710</v>
      </c>
      <c r="M2711" s="47" t="str">
        <f t="shared" si="914"/>
        <v>03 de febrero de 2020</v>
      </c>
      <c r="N2711" s="323">
        <f t="shared" si="915"/>
        <v>3</v>
      </c>
      <c r="O2711" s="25">
        <f t="shared" si="916"/>
        <v>43862</v>
      </c>
      <c r="P2711" s="5" t="str">
        <f t="shared" si="917"/>
        <v>136.250,00</v>
      </c>
      <c r="Q2711" s="4" t="str">
        <f t="shared" si="921"/>
        <v>Ciento Treinta y Seis Mil Doscientos Cincuenta Bolívares con 00/100</v>
      </c>
    </row>
    <row r="2712" spans="1:17" x14ac:dyDescent="0.25">
      <c r="A2712" s="1">
        <f t="shared" si="922"/>
        <v>2711</v>
      </c>
      <c r="C2712" s="8" t="s">
        <v>17</v>
      </c>
      <c r="D2712" s="2">
        <v>43864</v>
      </c>
      <c r="E2712" s="3">
        <v>150000</v>
      </c>
      <c r="F2712" t="s">
        <v>80</v>
      </c>
      <c r="G2712" t="s">
        <v>81</v>
      </c>
      <c r="H2712" t="s">
        <v>82</v>
      </c>
      <c r="I2712" s="6" t="s">
        <v>1142</v>
      </c>
      <c r="J2712" s="61" t="s">
        <v>22</v>
      </c>
      <c r="L2712" s="5" t="str">
        <f t="shared" si="913"/>
        <v>02711</v>
      </c>
      <c r="M2712" s="47" t="str">
        <f t="shared" si="914"/>
        <v>03 de febrero de 2020</v>
      </c>
      <c r="N2712" s="323">
        <f t="shared" si="915"/>
        <v>3</v>
      </c>
      <c r="O2712" s="25">
        <f t="shared" si="916"/>
        <v>43862</v>
      </c>
      <c r="P2712" s="5" t="str">
        <f t="shared" si="917"/>
        <v>150.000,00</v>
      </c>
      <c r="Q2712" s="4" t="str">
        <f t="shared" si="921"/>
        <v>Ciento Cincuenta Mil Bolívares con 00/100</v>
      </c>
    </row>
    <row r="2713" spans="1:17" x14ac:dyDescent="0.25">
      <c r="A2713" s="1">
        <f t="shared" si="922"/>
        <v>2712</v>
      </c>
      <c r="C2713" s="8" t="s">
        <v>17</v>
      </c>
      <c r="D2713" s="2">
        <v>43865</v>
      </c>
      <c r="E2713" s="3">
        <v>100000</v>
      </c>
      <c r="F2713" t="s">
        <v>412</v>
      </c>
      <c r="G2713" t="s">
        <v>413</v>
      </c>
      <c r="H2713" t="s">
        <v>414</v>
      </c>
      <c r="I2713" s="6" t="s">
        <v>1132</v>
      </c>
      <c r="J2713" s="61" t="s">
        <v>22</v>
      </c>
      <c r="L2713" s="5" t="str">
        <f t="shared" si="913"/>
        <v>02712</v>
      </c>
      <c r="M2713" s="47" t="str">
        <f t="shared" si="914"/>
        <v>04 de febrero de 2020</v>
      </c>
      <c r="N2713" s="323">
        <f t="shared" si="915"/>
        <v>4</v>
      </c>
      <c r="O2713" s="25">
        <f t="shared" si="916"/>
        <v>43862</v>
      </c>
      <c r="P2713" s="5" t="str">
        <f t="shared" si="917"/>
        <v>100.000,00</v>
      </c>
      <c r="Q2713" s="4" t="str">
        <f t="shared" si="921"/>
        <v>Cien Mil Bolívares con 00/100</v>
      </c>
    </row>
    <row r="2714" spans="1:17" ht="16.5" customHeight="1" x14ac:dyDescent="0.25">
      <c r="A2714" s="1">
        <f t="shared" si="922"/>
        <v>2713</v>
      </c>
      <c r="C2714" s="8" t="s">
        <v>17</v>
      </c>
      <c r="D2714" s="2">
        <v>43865</v>
      </c>
      <c r="E2714" s="3">
        <v>137000</v>
      </c>
      <c r="F2714" t="s">
        <v>219</v>
      </c>
      <c r="G2714" t="s">
        <v>220</v>
      </c>
      <c r="H2714" t="s">
        <v>221</v>
      </c>
      <c r="I2714" s="6" t="s">
        <v>1142</v>
      </c>
      <c r="J2714" s="61" t="s">
        <v>22</v>
      </c>
      <c r="L2714" s="5" t="str">
        <f t="shared" si="913"/>
        <v>02713</v>
      </c>
      <c r="M2714" s="47" t="str">
        <f t="shared" si="914"/>
        <v>04 de febrero de 2020</v>
      </c>
      <c r="N2714" s="323">
        <f t="shared" si="915"/>
        <v>4</v>
      </c>
      <c r="O2714" s="25">
        <f t="shared" si="916"/>
        <v>43862</v>
      </c>
      <c r="P2714" s="5" t="str">
        <f t="shared" si="917"/>
        <v>137.000,00</v>
      </c>
      <c r="Q2714" s="4" t="str">
        <f t="shared" si="921"/>
        <v>Ciento Treinta y Siete Mil Bolívares con 00/100</v>
      </c>
    </row>
    <row r="2715" spans="1:17" x14ac:dyDescent="0.25">
      <c r="A2715" s="1">
        <f t="shared" si="922"/>
        <v>2714</v>
      </c>
      <c r="C2715" s="8" t="s">
        <v>17</v>
      </c>
      <c r="D2715" s="2">
        <v>43865</v>
      </c>
      <c r="E2715" s="3">
        <v>60500</v>
      </c>
      <c r="F2715" t="s">
        <v>334</v>
      </c>
      <c r="G2715" t="s">
        <v>85</v>
      </c>
      <c r="H2715" t="s">
        <v>335</v>
      </c>
      <c r="I2715" s="6" t="s">
        <v>1146</v>
      </c>
      <c r="J2715" s="61" t="s">
        <v>22</v>
      </c>
      <c r="L2715" s="5" t="str">
        <f t="shared" si="913"/>
        <v>02714</v>
      </c>
      <c r="M2715" s="47" t="str">
        <f t="shared" si="914"/>
        <v>04 de febrero de 2020</v>
      </c>
      <c r="N2715" s="323">
        <f t="shared" si="915"/>
        <v>4</v>
      </c>
      <c r="O2715" s="25">
        <f t="shared" si="916"/>
        <v>43862</v>
      </c>
      <c r="P2715" s="5" t="str">
        <f t="shared" si="917"/>
        <v>60.500,00</v>
      </c>
      <c r="Q2715" s="4" t="str">
        <f t="shared" si="921"/>
        <v>Sesenta Mil Quinientos Bolívares con 00/100</v>
      </c>
    </row>
    <row r="2716" spans="1:17" x14ac:dyDescent="0.25">
      <c r="A2716" s="1">
        <f t="shared" si="922"/>
        <v>2715</v>
      </c>
      <c r="C2716" s="8" t="s">
        <v>17</v>
      </c>
      <c r="D2716" s="2">
        <v>43865</v>
      </c>
      <c r="E2716" s="3">
        <v>136250</v>
      </c>
      <c r="F2716" t="s">
        <v>84</v>
      </c>
      <c r="G2716" t="s">
        <v>85</v>
      </c>
      <c r="H2716" t="s">
        <v>86</v>
      </c>
      <c r="I2716" s="6" t="s">
        <v>1142</v>
      </c>
      <c r="J2716" s="61" t="s">
        <v>22</v>
      </c>
      <c r="L2716" s="5" t="str">
        <f t="shared" si="913"/>
        <v>02715</v>
      </c>
      <c r="M2716" s="47" t="str">
        <f t="shared" si="914"/>
        <v>04 de febrero de 2020</v>
      </c>
      <c r="N2716" s="323">
        <f t="shared" si="915"/>
        <v>4</v>
      </c>
      <c r="O2716" s="25">
        <f t="shared" si="916"/>
        <v>43862</v>
      </c>
      <c r="P2716" s="5" t="str">
        <f t="shared" si="917"/>
        <v>136.250,00</v>
      </c>
      <c r="Q2716" s="4" t="str">
        <f t="shared" si="921"/>
        <v>Ciento Treinta y Seis Mil Doscientos Cincuenta Bolívares con 00/100</v>
      </c>
    </row>
    <row r="2717" spans="1:17" x14ac:dyDescent="0.25">
      <c r="A2717" s="1">
        <f>A2716+1</f>
        <v>2716</v>
      </c>
      <c r="C2717" s="8" t="s">
        <v>17</v>
      </c>
      <c r="D2717" s="2">
        <v>43837</v>
      </c>
      <c r="E2717" s="3">
        <v>150000</v>
      </c>
      <c r="F2717" t="s">
        <v>53</v>
      </c>
      <c r="G2717" t="s">
        <v>677</v>
      </c>
      <c r="H2717" t="s">
        <v>55</v>
      </c>
      <c r="I2717" s="6" t="s">
        <v>1147</v>
      </c>
      <c r="J2717" s="61" t="s">
        <v>22</v>
      </c>
      <c r="L2717" s="5" t="str">
        <f t="shared" si="913"/>
        <v>02716</v>
      </c>
      <c r="M2717" s="47" t="str">
        <f t="shared" si="914"/>
        <v>07 de enero de 2020</v>
      </c>
      <c r="N2717" s="323">
        <f t="shared" si="915"/>
        <v>7</v>
      </c>
      <c r="O2717" s="25">
        <f t="shared" si="916"/>
        <v>43831</v>
      </c>
      <c r="P2717" s="5" t="str">
        <f t="shared" si="917"/>
        <v>150.000,00</v>
      </c>
      <c r="Q2717" s="4" t="str">
        <f t="shared" si="921"/>
        <v>Ciento Cincuenta Mil Bolívares con 00/100</v>
      </c>
    </row>
    <row r="2718" spans="1:17" x14ac:dyDescent="0.25">
      <c r="A2718" s="1">
        <f t="shared" si="922"/>
        <v>2717</v>
      </c>
      <c r="C2718" s="8" t="s">
        <v>17</v>
      </c>
      <c r="D2718" s="2">
        <v>43865</v>
      </c>
      <c r="E2718" s="3">
        <v>150000</v>
      </c>
      <c r="F2718" t="s">
        <v>53</v>
      </c>
      <c r="G2718" t="s">
        <v>677</v>
      </c>
      <c r="H2718" t="s">
        <v>55</v>
      </c>
      <c r="I2718" s="6" t="s">
        <v>1148</v>
      </c>
      <c r="J2718" s="61" t="s">
        <v>22</v>
      </c>
      <c r="L2718" s="5" t="str">
        <f t="shared" ref="L2718:L2737" si="923">IF(ISBLANK(A2718),"",TEXT(A2718,"00000"))</f>
        <v>02717</v>
      </c>
      <c r="M2718" s="47" t="str">
        <f t="shared" ref="M2718:M2737" si="924">IF(ISBLANK(D2718),"",TEXT(D2718,"dd")&amp;" de "&amp;TEXT(D2718,"mmmm")&amp;" de "&amp;TEXT(YEAR(D2718),"0"))</f>
        <v>04 de febrero de 2020</v>
      </c>
      <c r="N2718" s="323">
        <f t="shared" ref="N2718:N2754" si="925">DAY(D2718)</f>
        <v>4</v>
      </c>
      <c r="O2718" s="25">
        <f t="shared" ref="O2718:O2737" si="926">DATE(YEAR(D2718),MONTH(D2718),1)</f>
        <v>43862</v>
      </c>
      <c r="P2718" s="5" t="str">
        <f t="shared" ref="P2718:P2720" si="927">TEXT(E2718,"#.##0,00")</f>
        <v>150.000,00</v>
      </c>
      <c r="Q2718" s="4" t="str">
        <f t="shared" ref="Q2718:Q2720" si="928">CONVERTIRNUM(E2718)</f>
        <v>Ciento Cincuenta Mil Bolívares con 00/100</v>
      </c>
    </row>
    <row r="2719" spans="1:17" x14ac:dyDescent="0.25">
      <c r="A2719" s="1">
        <f>A2718+1</f>
        <v>2718</v>
      </c>
      <c r="C2719" s="8" t="s">
        <v>17</v>
      </c>
      <c r="D2719" s="2">
        <v>43866</v>
      </c>
      <c r="E2719" s="3">
        <v>136250</v>
      </c>
      <c r="F2719" t="s">
        <v>1004</v>
      </c>
      <c r="G2719" t="s">
        <v>1005</v>
      </c>
      <c r="H2719" t="s">
        <v>539</v>
      </c>
      <c r="I2719" s="6" t="s">
        <v>1142</v>
      </c>
      <c r="J2719" s="61" t="s">
        <v>22</v>
      </c>
      <c r="L2719" s="5" t="str">
        <f t="shared" si="923"/>
        <v>02718</v>
      </c>
      <c r="M2719" s="47" t="str">
        <f t="shared" si="924"/>
        <v>05 de febrero de 2020</v>
      </c>
      <c r="N2719" s="323">
        <f t="shared" si="925"/>
        <v>5</v>
      </c>
      <c r="O2719" s="25">
        <f t="shared" si="926"/>
        <v>43862</v>
      </c>
      <c r="P2719" s="5" t="str">
        <f t="shared" si="927"/>
        <v>136.250,00</v>
      </c>
      <c r="Q2719" s="4" t="str">
        <f t="shared" si="928"/>
        <v>Ciento Treinta y Seis Mil Doscientos Cincuenta Bolívares con 00/100</v>
      </c>
    </row>
    <row r="2720" spans="1:17" x14ac:dyDescent="0.25">
      <c r="A2720" s="1">
        <f>A2719+1</f>
        <v>2719</v>
      </c>
      <c r="C2720" s="8" t="s">
        <v>17</v>
      </c>
      <c r="D2720" s="2">
        <v>43866</v>
      </c>
      <c r="E2720" s="3">
        <v>136250</v>
      </c>
      <c r="F2720" t="s">
        <v>70</v>
      </c>
      <c r="G2720" t="s">
        <v>71</v>
      </c>
      <c r="H2720" t="s">
        <v>72</v>
      </c>
      <c r="I2720" s="6" t="s">
        <v>1142</v>
      </c>
      <c r="J2720" s="61" t="s">
        <v>22</v>
      </c>
      <c r="L2720" s="5" t="str">
        <f t="shared" si="923"/>
        <v>02719</v>
      </c>
      <c r="M2720" s="47" t="str">
        <f t="shared" si="924"/>
        <v>05 de febrero de 2020</v>
      </c>
      <c r="N2720" s="323">
        <f t="shared" si="925"/>
        <v>5</v>
      </c>
      <c r="O2720" s="25">
        <f t="shared" si="926"/>
        <v>43862</v>
      </c>
      <c r="P2720" s="5" t="str">
        <f t="shared" si="927"/>
        <v>136.250,00</v>
      </c>
      <c r="Q2720" s="4" t="str">
        <f t="shared" si="928"/>
        <v>Ciento Treinta y Seis Mil Doscientos Cincuenta Bolívares con 00/100</v>
      </c>
    </row>
    <row r="2721" spans="1:17" x14ac:dyDescent="0.25">
      <c r="A2721" s="1">
        <f t="shared" ref="A2721:A2723" si="929">A2720+1</f>
        <v>2720</v>
      </c>
      <c r="C2721" s="8" t="s">
        <v>17</v>
      </c>
      <c r="D2721" s="2">
        <v>43866</v>
      </c>
      <c r="E2721" s="3">
        <v>136250</v>
      </c>
      <c r="F2721" t="s">
        <v>162</v>
      </c>
      <c r="G2721" t="s">
        <v>163</v>
      </c>
      <c r="H2721" t="s">
        <v>164</v>
      </c>
      <c r="I2721" s="6" t="s">
        <v>1121</v>
      </c>
      <c r="J2721" s="61" t="s">
        <v>22</v>
      </c>
      <c r="L2721" s="5" t="str">
        <f t="shared" si="923"/>
        <v>02720</v>
      </c>
      <c r="M2721" s="47" t="str">
        <f t="shared" si="924"/>
        <v>05 de febrero de 2020</v>
      </c>
      <c r="N2721" s="323">
        <f t="shared" si="925"/>
        <v>5</v>
      </c>
      <c r="O2721" s="25">
        <f t="shared" si="926"/>
        <v>43862</v>
      </c>
      <c r="P2721" s="5" t="str">
        <f>TEXT(E2721,"#.##0,00")</f>
        <v>136.250,00</v>
      </c>
      <c r="Q2721" s="4" t="str">
        <f>CONVERTIRNUM(E2721)</f>
        <v>Ciento Treinta y Seis Mil Doscientos Cincuenta Bolívares con 00/100</v>
      </c>
    </row>
    <row r="2722" spans="1:17" x14ac:dyDescent="0.25">
      <c r="A2722" s="1">
        <f t="shared" si="929"/>
        <v>2721</v>
      </c>
      <c r="C2722" s="8" t="s">
        <v>17</v>
      </c>
      <c r="D2722" s="2">
        <v>43866</v>
      </c>
      <c r="E2722" s="3">
        <v>136250</v>
      </c>
      <c r="F2722" t="s">
        <v>713</v>
      </c>
      <c r="G2722" t="s">
        <v>714</v>
      </c>
      <c r="H2722" t="s">
        <v>154</v>
      </c>
      <c r="I2722" s="6" t="s">
        <v>1142</v>
      </c>
      <c r="J2722" s="61" t="s">
        <v>22</v>
      </c>
      <c r="L2722" s="5" t="str">
        <f t="shared" si="923"/>
        <v>02721</v>
      </c>
      <c r="M2722" s="47" t="str">
        <f t="shared" si="924"/>
        <v>05 de febrero de 2020</v>
      </c>
      <c r="N2722" s="323">
        <f t="shared" si="925"/>
        <v>5</v>
      </c>
      <c r="O2722" s="25">
        <f t="shared" si="926"/>
        <v>43862</v>
      </c>
      <c r="P2722" s="5" t="str">
        <f t="shared" ref="P2722:P2754" si="930">TEXT(E2722,"#.##0,00")</f>
        <v>136.250,00</v>
      </c>
      <c r="Q2722" s="4" t="str">
        <f t="shared" ref="Q2722:Q2747" si="931">CONVERTIRNUM(E2722)</f>
        <v>Ciento Treinta y Seis Mil Doscientos Cincuenta Bolívares con 00/100</v>
      </c>
    </row>
    <row r="2723" spans="1:17" x14ac:dyDescent="0.25">
      <c r="A2723" s="1">
        <f t="shared" si="929"/>
        <v>2722</v>
      </c>
      <c r="C2723" s="8" t="s">
        <v>17</v>
      </c>
      <c r="D2723" s="2">
        <v>43866</v>
      </c>
      <c r="E2723" s="597">
        <f>73400*10</f>
        <v>734000</v>
      </c>
      <c r="F2723" t="s">
        <v>785</v>
      </c>
      <c r="G2723" t="s">
        <v>786</v>
      </c>
      <c r="H2723" t="s">
        <v>719</v>
      </c>
      <c r="I2723" s="6" t="s">
        <v>1149</v>
      </c>
      <c r="J2723" s="61" t="s">
        <v>22</v>
      </c>
      <c r="L2723" s="5" t="str">
        <f t="shared" si="923"/>
        <v>02722</v>
      </c>
      <c r="M2723" s="47" t="str">
        <f t="shared" si="924"/>
        <v>05 de febrero de 2020</v>
      </c>
      <c r="N2723" s="323">
        <f t="shared" si="925"/>
        <v>5</v>
      </c>
      <c r="O2723" s="25">
        <f t="shared" si="926"/>
        <v>43862</v>
      </c>
      <c r="P2723" s="5" t="str">
        <f t="shared" si="930"/>
        <v>734.000,00</v>
      </c>
      <c r="Q2723" s="4" t="str">
        <f t="shared" si="931"/>
        <v>Setecientos Treinta y Cuatro Mil Bolívares con 00/100</v>
      </c>
    </row>
    <row r="2724" spans="1:17" x14ac:dyDescent="0.25">
      <c r="A2724" s="1">
        <f>A2723+1</f>
        <v>2723</v>
      </c>
      <c r="C2724" s="8" t="s">
        <v>17</v>
      </c>
      <c r="D2724" s="2">
        <v>43866</v>
      </c>
      <c r="E2724" s="597">
        <f>73400*2+20000</f>
        <v>166800</v>
      </c>
      <c r="F2724" t="s">
        <v>401</v>
      </c>
      <c r="G2724" t="s">
        <v>402</v>
      </c>
      <c r="H2724" t="s">
        <v>403</v>
      </c>
      <c r="I2724" s="6" t="s">
        <v>1150</v>
      </c>
      <c r="J2724" s="61" t="s">
        <v>22</v>
      </c>
      <c r="L2724" s="5" t="str">
        <f t="shared" si="923"/>
        <v>02723</v>
      </c>
      <c r="M2724" s="47" t="str">
        <f t="shared" si="924"/>
        <v>05 de febrero de 2020</v>
      </c>
      <c r="N2724" s="323">
        <f t="shared" si="925"/>
        <v>5</v>
      </c>
      <c r="O2724" s="25">
        <f t="shared" si="926"/>
        <v>43862</v>
      </c>
      <c r="P2724" s="5" t="str">
        <f t="shared" si="930"/>
        <v>166.800,00</v>
      </c>
      <c r="Q2724" s="4" t="str">
        <f t="shared" si="931"/>
        <v>Ciento Sesenta y Seis Mil Ochocientos Bolívares con 00/100</v>
      </c>
    </row>
    <row r="2725" spans="1:17" x14ac:dyDescent="0.25">
      <c r="A2725" s="1">
        <f t="shared" ref="A2725:A2728" si="932">A2724+1</f>
        <v>2724</v>
      </c>
      <c r="C2725" s="8" t="s">
        <v>17</v>
      </c>
      <c r="D2725" s="2">
        <v>43867</v>
      </c>
      <c r="E2725" s="3">
        <v>136250</v>
      </c>
      <c r="F2725" t="s">
        <v>483</v>
      </c>
      <c r="G2725" t="s">
        <v>484</v>
      </c>
      <c r="H2725" t="s">
        <v>485</v>
      </c>
      <c r="I2725" s="6" t="s">
        <v>1142</v>
      </c>
      <c r="J2725" s="61" t="s">
        <v>22</v>
      </c>
      <c r="L2725" s="5" t="str">
        <f t="shared" si="923"/>
        <v>02724</v>
      </c>
      <c r="M2725" s="47" t="str">
        <f t="shared" si="924"/>
        <v>06 de febrero de 2020</v>
      </c>
      <c r="N2725" s="323">
        <f t="shared" si="925"/>
        <v>6</v>
      </c>
      <c r="O2725" s="25">
        <f t="shared" si="926"/>
        <v>43862</v>
      </c>
      <c r="P2725" s="5" t="str">
        <f t="shared" si="930"/>
        <v>136.250,00</v>
      </c>
      <c r="Q2725" s="4" t="str">
        <f t="shared" si="931"/>
        <v>Ciento Treinta y Seis Mil Doscientos Cincuenta Bolívares con 00/100</v>
      </c>
    </row>
    <row r="2726" spans="1:17" x14ac:dyDescent="0.25">
      <c r="A2726" s="1">
        <f t="shared" si="932"/>
        <v>2725</v>
      </c>
      <c r="C2726" s="8" t="s">
        <v>17</v>
      </c>
      <c r="D2726" s="2">
        <v>43867</v>
      </c>
      <c r="E2726" s="3">
        <v>136250</v>
      </c>
      <c r="F2726" t="s">
        <v>201</v>
      </c>
      <c r="G2726" t="s">
        <v>202</v>
      </c>
      <c r="H2726" t="s">
        <v>203</v>
      </c>
      <c r="I2726" s="6" t="s">
        <v>1151</v>
      </c>
      <c r="J2726" s="61" t="s">
        <v>22</v>
      </c>
      <c r="L2726" s="5" t="str">
        <f t="shared" si="923"/>
        <v>02725</v>
      </c>
      <c r="M2726" s="47" t="str">
        <f t="shared" si="924"/>
        <v>06 de febrero de 2020</v>
      </c>
      <c r="N2726" s="323">
        <f t="shared" si="925"/>
        <v>6</v>
      </c>
      <c r="O2726" s="25">
        <f t="shared" si="926"/>
        <v>43862</v>
      </c>
      <c r="P2726" s="5" t="str">
        <f t="shared" si="930"/>
        <v>136.250,00</v>
      </c>
      <c r="Q2726" s="4" t="str">
        <f t="shared" si="931"/>
        <v>Ciento Treinta y Seis Mil Doscientos Cincuenta Bolívares con 00/100</v>
      </c>
    </row>
    <row r="2727" spans="1:17" x14ac:dyDescent="0.25">
      <c r="A2727" s="1">
        <f t="shared" si="932"/>
        <v>2726</v>
      </c>
      <c r="C2727" s="8" t="s">
        <v>17</v>
      </c>
      <c r="D2727" s="2">
        <v>43867</v>
      </c>
      <c r="E2727" s="3">
        <v>408750</v>
      </c>
      <c r="F2727" t="s">
        <v>612</v>
      </c>
      <c r="G2727" t="s">
        <v>613</v>
      </c>
      <c r="H2727" t="s">
        <v>614</v>
      </c>
      <c r="I2727" s="6" t="s">
        <v>1152</v>
      </c>
      <c r="J2727" s="61" t="s">
        <v>22</v>
      </c>
      <c r="L2727" s="5" t="str">
        <f t="shared" si="923"/>
        <v>02726</v>
      </c>
      <c r="M2727" s="47" t="str">
        <f t="shared" si="924"/>
        <v>06 de febrero de 2020</v>
      </c>
      <c r="N2727" s="323">
        <f t="shared" si="925"/>
        <v>6</v>
      </c>
      <c r="O2727" s="25">
        <f t="shared" si="926"/>
        <v>43862</v>
      </c>
      <c r="P2727" s="5" t="str">
        <f t="shared" si="930"/>
        <v>408.750,00</v>
      </c>
      <c r="Q2727" s="4" t="str">
        <f t="shared" si="931"/>
        <v>Cuatrocientos Ocho Mil Setecientos Cincuenta Bolívares con 00/100</v>
      </c>
    </row>
    <row r="2728" spans="1:17" x14ac:dyDescent="0.25">
      <c r="A2728" s="1">
        <f t="shared" si="932"/>
        <v>2727</v>
      </c>
      <c r="C2728" s="8" t="s">
        <v>17</v>
      </c>
      <c r="D2728" s="2">
        <v>43867</v>
      </c>
      <c r="E2728" s="3">
        <v>129000</v>
      </c>
      <c r="F2728" t="s">
        <v>443</v>
      </c>
      <c r="G2728" t="s">
        <v>444</v>
      </c>
      <c r="H2728" t="s">
        <v>75</v>
      </c>
      <c r="I2728" s="6" t="s">
        <v>1153</v>
      </c>
      <c r="J2728" s="61" t="s">
        <v>22</v>
      </c>
      <c r="L2728" s="5" t="str">
        <f t="shared" si="923"/>
        <v>02727</v>
      </c>
      <c r="M2728" s="47" t="str">
        <f t="shared" si="924"/>
        <v>06 de febrero de 2020</v>
      </c>
      <c r="N2728" s="323">
        <f t="shared" si="925"/>
        <v>6</v>
      </c>
      <c r="O2728" s="25">
        <f t="shared" si="926"/>
        <v>43862</v>
      </c>
      <c r="P2728" s="5" t="str">
        <f t="shared" si="930"/>
        <v>129.000,00</v>
      </c>
      <c r="Q2728" s="4" t="str">
        <f t="shared" si="931"/>
        <v>Ciento Veintinueve Mil Bolívares con 00/100</v>
      </c>
    </row>
    <row r="2729" spans="1:17" x14ac:dyDescent="0.25">
      <c r="A2729" s="1">
        <f>A2728+1</f>
        <v>2728</v>
      </c>
      <c r="C2729" s="8" t="s">
        <v>17</v>
      </c>
      <c r="D2729" s="2">
        <v>43867</v>
      </c>
      <c r="E2729" s="3">
        <v>136250</v>
      </c>
      <c r="F2729" t="s">
        <v>239</v>
      </c>
      <c r="G2729" s="73" t="s">
        <v>240</v>
      </c>
      <c r="H2729" t="s">
        <v>241</v>
      </c>
      <c r="I2729" s="6" t="s">
        <v>1142</v>
      </c>
      <c r="J2729" s="61" t="s">
        <v>22</v>
      </c>
      <c r="L2729" s="5" t="str">
        <f t="shared" si="923"/>
        <v>02728</v>
      </c>
      <c r="M2729" s="47" t="str">
        <f t="shared" si="924"/>
        <v>06 de febrero de 2020</v>
      </c>
      <c r="N2729" s="323">
        <f t="shared" si="925"/>
        <v>6</v>
      </c>
      <c r="O2729" s="25">
        <f t="shared" si="926"/>
        <v>43862</v>
      </c>
      <c r="P2729" s="5" t="str">
        <f t="shared" si="930"/>
        <v>136.250,00</v>
      </c>
      <c r="Q2729" s="4" t="str">
        <f t="shared" si="931"/>
        <v>Ciento Treinta y Seis Mil Doscientos Cincuenta Bolívares con 00/100</v>
      </c>
    </row>
    <row r="2730" spans="1:17" x14ac:dyDescent="0.25">
      <c r="A2730" s="1">
        <f t="shared" ref="A2730:A2732" si="933">A2729+1</f>
        <v>2729</v>
      </c>
      <c r="C2730" s="8" t="s">
        <v>17</v>
      </c>
      <c r="D2730" s="2">
        <v>43867</v>
      </c>
      <c r="E2730" s="597">
        <f>73400*2+36000</f>
        <v>182800</v>
      </c>
      <c r="F2730" t="s">
        <v>291</v>
      </c>
      <c r="G2730" t="s">
        <v>292</v>
      </c>
      <c r="H2730" t="s">
        <v>293</v>
      </c>
      <c r="I2730" s="161" t="s">
        <v>1154</v>
      </c>
      <c r="J2730" s="61" t="s">
        <v>22</v>
      </c>
      <c r="L2730" s="5" t="str">
        <f t="shared" si="923"/>
        <v>02729</v>
      </c>
      <c r="M2730" s="47" t="str">
        <f t="shared" si="924"/>
        <v>06 de febrero de 2020</v>
      </c>
      <c r="N2730" s="323">
        <f t="shared" si="925"/>
        <v>6</v>
      </c>
      <c r="O2730" s="25">
        <f t="shared" si="926"/>
        <v>43862</v>
      </c>
      <c r="P2730" s="5" t="str">
        <f t="shared" si="930"/>
        <v>182.800,00</v>
      </c>
      <c r="Q2730" s="4" t="str">
        <f t="shared" si="931"/>
        <v>Ciento Ochenta y Dos Mil Ochocientos Bolívares con 00/100</v>
      </c>
    </row>
    <row r="2731" spans="1:17" x14ac:dyDescent="0.25">
      <c r="A2731" s="1">
        <f t="shared" si="933"/>
        <v>2730</v>
      </c>
      <c r="B2731" s="8"/>
      <c r="C2731" s="85" t="s">
        <v>17</v>
      </c>
      <c r="D2731" s="2">
        <v>43867</v>
      </c>
      <c r="E2731" s="162">
        <v>136250</v>
      </c>
      <c r="F2731" t="s">
        <v>492</v>
      </c>
      <c r="G2731" s="18" t="s">
        <v>58</v>
      </c>
      <c r="H2731" t="s">
        <v>493</v>
      </c>
      <c r="I2731" s="6" t="s">
        <v>1142</v>
      </c>
      <c r="J2731" s="61" t="s">
        <v>22</v>
      </c>
      <c r="L2731" s="5" t="str">
        <f t="shared" si="923"/>
        <v>02730</v>
      </c>
      <c r="M2731" s="47" t="str">
        <f t="shared" si="924"/>
        <v>06 de febrero de 2020</v>
      </c>
      <c r="N2731" s="323">
        <f t="shared" si="925"/>
        <v>6</v>
      </c>
      <c r="O2731" s="25">
        <f t="shared" si="926"/>
        <v>43862</v>
      </c>
      <c r="P2731" s="5" t="str">
        <f t="shared" si="930"/>
        <v>136.250,00</v>
      </c>
      <c r="Q2731" s="4" t="str">
        <f t="shared" si="931"/>
        <v>Ciento Treinta y Seis Mil Doscientos Cincuenta Bolívares con 00/100</v>
      </c>
    </row>
    <row r="2732" spans="1:17" x14ac:dyDescent="0.25">
      <c r="A2732" s="1">
        <f t="shared" si="933"/>
        <v>2731</v>
      </c>
      <c r="C2732" s="8" t="s">
        <v>17</v>
      </c>
      <c r="D2732" s="2">
        <v>43867</v>
      </c>
      <c r="E2732" s="3">
        <v>136250</v>
      </c>
      <c r="F2732" t="s">
        <v>62</v>
      </c>
      <c r="G2732" t="s">
        <v>63</v>
      </c>
      <c r="H2732" t="s">
        <v>64</v>
      </c>
      <c r="I2732" s="6" t="s">
        <v>1142</v>
      </c>
      <c r="J2732" s="61" t="s">
        <v>22</v>
      </c>
      <c r="L2732" s="5" t="str">
        <f t="shared" si="923"/>
        <v>02731</v>
      </c>
      <c r="M2732" s="47" t="str">
        <f t="shared" si="924"/>
        <v>06 de febrero de 2020</v>
      </c>
      <c r="N2732" s="323">
        <f t="shared" si="925"/>
        <v>6</v>
      </c>
      <c r="O2732" s="25">
        <f t="shared" si="926"/>
        <v>43862</v>
      </c>
      <c r="P2732" s="5" t="str">
        <f t="shared" si="930"/>
        <v>136.250,00</v>
      </c>
      <c r="Q2732" s="4" t="str">
        <f t="shared" si="931"/>
        <v>Ciento Treinta y Seis Mil Doscientos Cincuenta Bolívares con 00/100</v>
      </c>
    </row>
    <row r="2733" spans="1:17" x14ac:dyDescent="0.25">
      <c r="A2733" s="1">
        <f>A2732+1</f>
        <v>2732</v>
      </c>
      <c r="C2733" s="8" t="s">
        <v>17</v>
      </c>
      <c r="D2733" s="2">
        <v>43867</v>
      </c>
      <c r="E2733" s="3">
        <v>300000</v>
      </c>
      <c r="F2733" t="s">
        <v>66</v>
      </c>
      <c r="G2733" t="s">
        <v>67</v>
      </c>
      <c r="H2733" t="s">
        <v>68</v>
      </c>
      <c r="I2733" s="6" t="s">
        <v>1155</v>
      </c>
      <c r="J2733" s="61" t="s">
        <v>22</v>
      </c>
      <c r="L2733" s="5" t="str">
        <f t="shared" si="923"/>
        <v>02732</v>
      </c>
      <c r="M2733" s="47" t="str">
        <f t="shared" si="924"/>
        <v>06 de febrero de 2020</v>
      </c>
      <c r="N2733" s="323">
        <f t="shared" si="925"/>
        <v>6</v>
      </c>
      <c r="O2733" s="25">
        <f t="shared" si="926"/>
        <v>43862</v>
      </c>
      <c r="P2733" s="5" t="str">
        <f t="shared" si="930"/>
        <v>300.000,00</v>
      </c>
      <c r="Q2733" s="4" t="str">
        <f t="shared" si="931"/>
        <v>Trescientos Mil Bolívares con 00/100</v>
      </c>
    </row>
    <row r="2734" spans="1:17" x14ac:dyDescent="0.25">
      <c r="A2734" s="1">
        <f t="shared" ref="A2734" si="934">A2733+1</f>
        <v>2733</v>
      </c>
      <c r="B2734" s="8"/>
      <c r="C2734" s="85" t="s">
        <v>17</v>
      </c>
      <c r="D2734" s="2">
        <v>43868</v>
      </c>
      <c r="E2734" s="3">
        <v>197575</v>
      </c>
      <c r="F2734" s="23" t="s">
        <v>422</v>
      </c>
      <c r="G2734" s="18" t="s">
        <v>58</v>
      </c>
      <c r="H2734" t="s">
        <v>423</v>
      </c>
      <c r="I2734" s="6" t="s">
        <v>1142</v>
      </c>
      <c r="J2734" s="61" t="s">
        <v>22</v>
      </c>
      <c r="L2734" s="5" t="str">
        <f t="shared" si="923"/>
        <v>02733</v>
      </c>
      <c r="M2734" s="47" t="str">
        <f t="shared" si="924"/>
        <v>07 de febrero de 2020</v>
      </c>
      <c r="N2734" s="323">
        <f t="shared" si="925"/>
        <v>7</v>
      </c>
      <c r="O2734" s="25">
        <f t="shared" si="926"/>
        <v>43862</v>
      </c>
      <c r="P2734" s="5" t="str">
        <f t="shared" si="930"/>
        <v>197.575,00</v>
      </c>
      <c r="Q2734" s="4" t="str">
        <f t="shared" si="931"/>
        <v>Ciento Noventa y Siete Mil Quinientos Setenta y Cinco Bolívares con 00/100</v>
      </c>
    </row>
    <row r="2735" spans="1:17" x14ac:dyDescent="0.25">
      <c r="A2735" s="1">
        <f>A2734+1</f>
        <v>2734</v>
      </c>
      <c r="B2735" s="8"/>
      <c r="C2735" s="8" t="s">
        <v>17</v>
      </c>
      <c r="D2735" s="2">
        <v>43868</v>
      </c>
      <c r="E2735" s="3">
        <v>80000</v>
      </c>
      <c r="F2735" t="s">
        <v>28</v>
      </c>
      <c r="G2735" t="s">
        <v>716</v>
      </c>
      <c r="H2735" t="s">
        <v>30</v>
      </c>
      <c r="I2735" s="6" t="s">
        <v>1146</v>
      </c>
      <c r="J2735" s="61" t="s">
        <v>22</v>
      </c>
      <c r="L2735" s="5" t="str">
        <f t="shared" si="923"/>
        <v>02734</v>
      </c>
      <c r="M2735" s="47" t="str">
        <f t="shared" si="924"/>
        <v>07 de febrero de 2020</v>
      </c>
      <c r="N2735" s="323">
        <f t="shared" si="925"/>
        <v>7</v>
      </c>
      <c r="O2735" s="25">
        <f t="shared" si="926"/>
        <v>43862</v>
      </c>
      <c r="P2735" s="5" t="str">
        <f t="shared" si="930"/>
        <v>80.000,00</v>
      </c>
      <c r="Q2735" s="4" t="str">
        <f t="shared" si="931"/>
        <v>Ochenta Mil Bolívares con 00/100</v>
      </c>
    </row>
    <row r="2736" spans="1:17" x14ac:dyDescent="0.25">
      <c r="A2736" s="1">
        <f t="shared" ref="A2736" si="935">A2735+1</f>
        <v>2735</v>
      </c>
      <c r="C2736" s="8" t="s">
        <v>17</v>
      </c>
      <c r="D2736" s="2">
        <v>43868</v>
      </c>
      <c r="E2736" s="3">
        <v>210000</v>
      </c>
      <c r="F2736" t="s">
        <v>107</v>
      </c>
      <c r="G2736" t="s">
        <v>108</v>
      </c>
      <c r="H2736" t="s">
        <v>109</v>
      </c>
      <c r="I2736" s="6" t="s">
        <v>1142</v>
      </c>
      <c r="J2736" s="61" t="s">
        <v>22</v>
      </c>
      <c r="L2736" s="5" t="str">
        <f t="shared" si="923"/>
        <v>02735</v>
      </c>
      <c r="M2736" s="47" t="str">
        <f t="shared" si="924"/>
        <v>07 de febrero de 2020</v>
      </c>
      <c r="N2736" s="323">
        <f t="shared" si="925"/>
        <v>7</v>
      </c>
      <c r="O2736" s="25">
        <f t="shared" si="926"/>
        <v>43862</v>
      </c>
      <c r="P2736" s="5" t="str">
        <f t="shared" si="930"/>
        <v>210.000,00</v>
      </c>
      <c r="Q2736" s="4" t="str">
        <f t="shared" si="931"/>
        <v>Doscientos Diez Mil Bolívares con 00/100</v>
      </c>
    </row>
    <row r="2737" spans="1:17" x14ac:dyDescent="0.25">
      <c r="A2737" s="1">
        <f>A2736+1</f>
        <v>2736</v>
      </c>
      <c r="C2737" s="8" t="s">
        <v>17</v>
      </c>
      <c r="D2737" s="2">
        <v>43868</v>
      </c>
      <c r="E2737" s="3">
        <f>122550+13700</f>
        <v>136250</v>
      </c>
      <c r="F2737" t="s">
        <v>284</v>
      </c>
      <c r="G2737" t="s">
        <v>687</v>
      </c>
      <c r="H2737" t="s">
        <v>285</v>
      </c>
      <c r="I2737" s="6" t="s">
        <v>1121</v>
      </c>
      <c r="J2737" s="61" t="s">
        <v>22</v>
      </c>
      <c r="L2737" s="5" t="str">
        <f t="shared" si="923"/>
        <v>02736</v>
      </c>
      <c r="M2737" s="47" t="str">
        <f t="shared" si="924"/>
        <v>07 de febrero de 2020</v>
      </c>
      <c r="N2737" s="323">
        <f t="shared" si="925"/>
        <v>7</v>
      </c>
      <c r="O2737" s="25">
        <f t="shared" si="926"/>
        <v>43862</v>
      </c>
      <c r="P2737" s="5" t="str">
        <f t="shared" si="930"/>
        <v>136.250,00</v>
      </c>
      <c r="Q2737" s="4" t="str">
        <f t="shared" si="931"/>
        <v>Ciento Treinta y Seis Mil Doscientos Cincuenta Bolívares con 00/100</v>
      </c>
    </row>
    <row r="2738" spans="1:17" x14ac:dyDescent="0.25">
      <c r="A2738" s="1">
        <f t="shared" ref="A2738:A2739" si="936">A2737+1</f>
        <v>2737</v>
      </c>
      <c r="B2738" s="8"/>
      <c r="C2738" s="8" t="s">
        <v>17</v>
      </c>
      <c r="D2738" s="2">
        <v>43869</v>
      </c>
      <c r="E2738" s="3">
        <v>140000</v>
      </c>
      <c r="F2738" t="s">
        <v>44</v>
      </c>
      <c r="G2738" t="s">
        <v>45</v>
      </c>
      <c r="H2738" t="s">
        <v>46</v>
      </c>
      <c r="I2738" s="6" t="s">
        <v>1142</v>
      </c>
      <c r="J2738" s="61" t="s">
        <v>22</v>
      </c>
      <c r="L2738" s="5" t="str">
        <f>IF(ISBLANK(A2738),"",TEXT(A2738,"00000"))</f>
        <v>02737</v>
      </c>
      <c r="M2738" s="47" t="str">
        <f>IF(ISBLANK(D2738),"",TEXT(D2738,"dd")&amp;" de "&amp;TEXT(D2738,"mmmm")&amp;" de "&amp;TEXT(YEAR(D2738),"0"))</f>
        <v>08 de febrero de 2020</v>
      </c>
      <c r="N2738" s="323">
        <f t="shared" si="925"/>
        <v>8</v>
      </c>
      <c r="O2738" s="25">
        <f>DATE(YEAR(D2738),MONTH(D2738),1)</f>
        <v>43862</v>
      </c>
      <c r="P2738" s="5" t="str">
        <f t="shared" si="930"/>
        <v>140.000,00</v>
      </c>
      <c r="Q2738" s="4" t="str">
        <f t="shared" si="931"/>
        <v>Ciento Cuarenta Mil Bolívares con 00/100</v>
      </c>
    </row>
    <row r="2739" spans="1:17" x14ac:dyDescent="0.25">
      <c r="A2739" s="1">
        <f t="shared" si="936"/>
        <v>2738</v>
      </c>
      <c r="C2739" s="8" t="s">
        <v>17</v>
      </c>
      <c r="D2739" s="2">
        <v>43869</v>
      </c>
      <c r="E2739" s="3">
        <v>136250</v>
      </c>
      <c r="F2739" t="s">
        <v>103</v>
      </c>
      <c r="G2739" s="599" t="s">
        <v>1047</v>
      </c>
      <c r="H2739" t="s">
        <v>105</v>
      </c>
      <c r="I2739" s="6" t="s">
        <v>1142</v>
      </c>
      <c r="J2739" s="61" t="s">
        <v>22</v>
      </c>
      <c r="L2739" s="5" t="str">
        <f t="shared" ref="L2739:L2754" si="937">IF(ISBLANK(A2739),"",TEXT(A2739,"00000"))</f>
        <v>02738</v>
      </c>
      <c r="M2739" s="47" t="str">
        <f t="shared" ref="M2739:M2754" si="938">IF(ISBLANK(D2739),"",TEXT(D2739,"dd")&amp;" de "&amp;TEXT(D2739,"mmmm")&amp;" de "&amp;TEXT(YEAR(D2739),"0"))</f>
        <v>08 de febrero de 2020</v>
      </c>
      <c r="N2739" s="323">
        <f t="shared" si="925"/>
        <v>8</v>
      </c>
      <c r="O2739" s="25">
        <f t="shared" ref="O2739:O2754" si="939">DATE(YEAR(D2739),MONTH(D2739),1)</f>
        <v>43862</v>
      </c>
      <c r="P2739" s="5" t="str">
        <f t="shared" si="930"/>
        <v>136.250,00</v>
      </c>
      <c r="Q2739" s="4" t="str">
        <f t="shared" si="931"/>
        <v>Ciento Treinta y Seis Mil Doscientos Cincuenta Bolívares con 00/100</v>
      </c>
    </row>
    <row r="2740" spans="1:17" x14ac:dyDescent="0.25">
      <c r="A2740" s="1">
        <f>A2739+1</f>
        <v>2739</v>
      </c>
      <c r="C2740" s="8" t="s">
        <v>17</v>
      </c>
      <c r="D2740" s="2">
        <v>43869</v>
      </c>
      <c r="E2740" s="3">
        <v>140000</v>
      </c>
      <c r="F2740" t="s">
        <v>558</v>
      </c>
      <c r="G2740" t="s">
        <v>559</v>
      </c>
      <c r="H2740" t="s">
        <v>560</v>
      </c>
      <c r="I2740" s="6" t="s">
        <v>1142</v>
      </c>
      <c r="J2740" s="61" t="s">
        <v>22</v>
      </c>
      <c r="L2740" s="5" t="str">
        <f t="shared" si="937"/>
        <v>02739</v>
      </c>
      <c r="M2740" s="47" t="str">
        <f t="shared" si="938"/>
        <v>08 de febrero de 2020</v>
      </c>
      <c r="N2740" s="323">
        <f t="shared" si="925"/>
        <v>8</v>
      </c>
      <c r="O2740" s="25">
        <f t="shared" si="939"/>
        <v>43862</v>
      </c>
      <c r="P2740" s="5" t="str">
        <f t="shared" si="930"/>
        <v>140.000,00</v>
      </c>
      <c r="Q2740" s="4" t="str">
        <f t="shared" si="931"/>
        <v>Ciento Cuarenta Mil Bolívares con 00/100</v>
      </c>
    </row>
    <row r="2741" spans="1:17" x14ac:dyDescent="0.25">
      <c r="A2741" s="1">
        <f>A2740+1</f>
        <v>2740</v>
      </c>
      <c r="B2741" s="8"/>
      <c r="C2741" s="85" t="s">
        <v>17</v>
      </c>
      <c r="D2741" s="2">
        <v>43869</v>
      </c>
      <c r="E2741" s="3">
        <v>136250</v>
      </c>
      <c r="F2741" t="s">
        <v>259</v>
      </c>
      <c r="G2741" s="18" t="s">
        <v>58</v>
      </c>
      <c r="H2741" t="s">
        <v>261</v>
      </c>
      <c r="I2741" s="6" t="s">
        <v>1121</v>
      </c>
      <c r="J2741" s="61" t="s">
        <v>22</v>
      </c>
      <c r="L2741" s="5" t="str">
        <f t="shared" si="937"/>
        <v>02740</v>
      </c>
      <c r="M2741" s="47" t="str">
        <f t="shared" si="938"/>
        <v>08 de febrero de 2020</v>
      </c>
      <c r="N2741" s="323">
        <f t="shared" si="925"/>
        <v>8</v>
      </c>
      <c r="O2741" s="25">
        <f t="shared" si="939"/>
        <v>43862</v>
      </c>
      <c r="P2741" s="5" t="str">
        <f t="shared" si="930"/>
        <v>136.250,00</v>
      </c>
      <c r="Q2741" s="4" t="str">
        <f t="shared" si="931"/>
        <v>Ciento Treinta y Seis Mil Doscientos Cincuenta Bolívares con 00/100</v>
      </c>
    </row>
    <row r="2742" spans="1:17" x14ac:dyDescent="0.25">
      <c r="A2742" s="1">
        <f t="shared" ref="A2742" si="940">A2741+1</f>
        <v>2741</v>
      </c>
      <c r="B2742" s="8"/>
      <c r="C2742" s="8" t="s">
        <v>17</v>
      </c>
      <c r="D2742" s="2">
        <v>43871</v>
      </c>
      <c r="E2742" s="3">
        <v>136250</v>
      </c>
      <c r="F2742" t="s">
        <v>342</v>
      </c>
      <c r="G2742" t="s">
        <v>1036</v>
      </c>
      <c r="H2742" t="s">
        <v>344</v>
      </c>
      <c r="I2742" s="6" t="s">
        <v>1142</v>
      </c>
      <c r="J2742" s="61" t="s">
        <v>22</v>
      </c>
      <c r="L2742" s="5" t="str">
        <f t="shared" si="937"/>
        <v>02741</v>
      </c>
      <c r="M2742" s="47" t="str">
        <f t="shared" si="938"/>
        <v>10 de febrero de 2020</v>
      </c>
      <c r="N2742" s="323">
        <f t="shared" si="925"/>
        <v>10</v>
      </c>
      <c r="O2742" s="25">
        <f t="shared" si="939"/>
        <v>43862</v>
      </c>
      <c r="P2742" s="5" t="str">
        <f t="shared" si="930"/>
        <v>136.250,00</v>
      </c>
      <c r="Q2742" s="4" t="str">
        <f t="shared" si="931"/>
        <v>Ciento Treinta y Seis Mil Doscientos Cincuenta Bolívares con 00/100</v>
      </c>
    </row>
    <row r="2743" spans="1:17" x14ac:dyDescent="0.25">
      <c r="A2743" s="1">
        <f>A2742+1</f>
        <v>2742</v>
      </c>
      <c r="B2743" s="8"/>
      <c r="C2743" s="8" t="s">
        <v>17</v>
      </c>
      <c r="D2743" s="2">
        <v>43872</v>
      </c>
      <c r="E2743" s="597">
        <f>1*73500+50000+5000</f>
        <v>128500</v>
      </c>
      <c r="F2743" t="s">
        <v>126</v>
      </c>
      <c r="G2743" t="s">
        <v>127</v>
      </c>
      <c r="H2743" t="s">
        <v>128</v>
      </c>
      <c r="I2743" s="6" t="s">
        <v>1153</v>
      </c>
      <c r="J2743" s="61" t="s">
        <v>22</v>
      </c>
      <c r="L2743" s="5" t="str">
        <f t="shared" si="937"/>
        <v>02742</v>
      </c>
      <c r="M2743" s="47" t="str">
        <f t="shared" si="938"/>
        <v>11 de febrero de 2020</v>
      </c>
      <c r="N2743" s="323">
        <f t="shared" si="925"/>
        <v>11</v>
      </c>
      <c r="O2743" s="25">
        <f t="shared" si="939"/>
        <v>43862</v>
      </c>
      <c r="P2743" s="5" t="str">
        <f t="shared" si="930"/>
        <v>128.500,00</v>
      </c>
      <c r="Q2743" s="4" t="str">
        <f t="shared" si="931"/>
        <v>Ciento Veintiocho Mil Quinientos Bolívares con 00/100</v>
      </c>
    </row>
    <row r="2744" spans="1:17" x14ac:dyDescent="0.25">
      <c r="A2744" s="1">
        <f t="shared" ref="A2744" si="941">A2743+1</f>
        <v>2743</v>
      </c>
      <c r="C2744" s="85" t="s">
        <v>17</v>
      </c>
      <c r="D2744" s="2">
        <v>43871</v>
      </c>
      <c r="E2744" s="3">
        <v>136250</v>
      </c>
      <c r="F2744" t="s">
        <v>40</v>
      </c>
      <c r="G2744" s="18" t="s">
        <v>58</v>
      </c>
      <c r="H2744" t="s">
        <v>42</v>
      </c>
      <c r="I2744" s="6" t="s">
        <v>1142</v>
      </c>
      <c r="J2744" s="61" t="s">
        <v>22</v>
      </c>
      <c r="L2744" s="5" t="str">
        <f t="shared" si="937"/>
        <v>02743</v>
      </c>
      <c r="M2744" s="47" t="str">
        <f t="shared" si="938"/>
        <v>10 de febrero de 2020</v>
      </c>
      <c r="N2744" s="323">
        <f t="shared" si="925"/>
        <v>10</v>
      </c>
      <c r="O2744" s="25">
        <f t="shared" si="939"/>
        <v>43862</v>
      </c>
      <c r="P2744" s="5" t="str">
        <f t="shared" si="930"/>
        <v>136.250,00</v>
      </c>
      <c r="Q2744" s="4" t="str">
        <f t="shared" si="931"/>
        <v>Ciento Treinta y Seis Mil Doscientos Cincuenta Bolívares con 00/100</v>
      </c>
    </row>
    <row r="2745" spans="1:17" x14ac:dyDescent="0.25">
      <c r="A2745" s="1">
        <f>A2744+1</f>
        <v>2744</v>
      </c>
      <c r="B2745" s="8"/>
      <c r="C2745" s="8" t="s">
        <v>17</v>
      </c>
      <c r="D2745" s="2">
        <v>43872</v>
      </c>
      <c r="E2745" s="3">
        <v>30000</v>
      </c>
      <c r="F2745" t="s">
        <v>433</v>
      </c>
      <c r="G2745" t="s">
        <v>434</v>
      </c>
      <c r="H2745" t="s">
        <v>435</v>
      </c>
      <c r="I2745" s="6" t="s">
        <v>1132</v>
      </c>
      <c r="J2745" s="61" t="s">
        <v>22</v>
      </c>
      <c r="L2745" s="5" t="str">
        <f t="shared" si="937"/>
        <v>02744</v>
      </c>
      <c r="M2745" s="47" t="str">
        <f t="shared" si="938"/>
        <v>11 de febrero de 2020</v>
      </c>
      <c r="N2745" s="323">
        <f t="shared" si="925"/>
        <v>11</v>
      </c>
      <c r="O2745" s="25">
        <f t="shared" si="939"/>
        <v>43862</v>
      </c>
      <c r="P2745" s="5" t="str">
        <f t="shared" si="930"/>
        <v>30.000,00</v>
      </c>
      <c r="Q2745" s="4" t="str">
        <f t="shared" si="931"/>
        <v>Treinta Mil Bolívares con 00/100</v>
      </c>
    </row>
    <row r="2746" spans="1:17" x14ac:dyDescent="0.25">
      <c r="A2746" s="1">
        <f t="shared" ref="A2746" si="942">A2745+1</f>
        <v>2745</v>
      </c>
      <c r="B2746" s="8"/>
      <c r="C2746" s="85" t="s">
        <v>17</v>
      </c>
      <c r="D2746" s="2">
        <v>43872</v>
      </c>
      <c r="E2746" s="3">
        <v>136250</v>
      </c>
      <c r="F2746" t="s">
        <v>319</v>
      </c>
      <c r="G2746" s="18" t="s">
        <v>58</v>
      </c>
      <c r="H2746" t="s">
        <v>320</v>
      </c>
      <c r="I2746" s="6" t="s">
        <v>1142</v>
      </c>
      <c r="J2746" s="61" t="s">
        <v>22</v>
      </c>
      <c r="L2746" s="5" t="str">
        <f t="shared" si="937"/>
        <v>02745</v>
      </c>
      <c r="M2746" s="47" t="str">
        <f t="shared" si="938"/>
        <v>11 de febrero de 2020</v>
      </c>
      <c r="N2746" s="323">
        <f t="shared" si="925"/>
        <v>11</v>
      </c>
      <c r="O2746" s="25">
        <f t="shared" si="939"/>
        <v>43862</v>
      </c>
      <c r="P2746" s="5" t="str">
        <f t="shared" si="930"/>
        <v>136.250,00</v>
      </c>
      <c r="Q2746" s="4" t="str">
        <f t="shared" si="931"/>
        <v>Ciento Treinta y Seis Mil Doscientos Cincuenta Bolívares con 00/100</v>
      </c>
    </row>
    <row r="2747" spans="1:17" x14ac:dyDescent="0.25">
      <c r="A2747" s="656">
        <f t="shared" ref="A2747:A2753" si="943">A2746+1</f>
        <v>2746</v>
      </c>
      <c r="B2747" s="8"/>
      <c r="C2747" s="8" t="s">
        <v>17</v>
      </c>
      <c r="D2747" s="2">
        <v>43872</v>
      </c>
      <c r="E2747" s="3">
        <v>136250</v>
      </c>
      <c r="F2747" t="s">
        <v>454</v>
      </c>
      <c r="G2747" t="s">
        <v>761</v>
      </c>
      <c r="H2747" t="s">
        <v>455</v>
      </c>
      <c r="I2747" s="6" t="s">
        <v>1142</v>
      </c>
      <c r="J2747" s="61" t="s">
        <v>22</v>
      </c>
      <c r="L2747" s="5" t="str">
        <f t="shared" si="937"/>
        <v>02746</v>
      </c>
      <c r="M2747" s="47" t="str">
        <f t="shared" si="938"/>
        <v>11 de febrero de 2020</v>
      </c>
      <c r="N2747" s="323">
        <f t="shared" si="925"/>
        <v>11</v>
      </c>
      <c r="O2747" s="25">
        <f t="shared" si="939"/>
        <v>43862</v>
      </c>
      <c r="P2747" s="5" t="str">
        <f t="shared" si="930"/>
        <v>136.250,00</v>
      </c>
      <c r="Q2747" s="4" t="str">
        <f t="shared" si="931"/>
        <v>Ciento Treinta y Seis Mil Doscientos Cincuenta Bolívares con 00/100</v>
      </c>
    </row>
    <row r="2748" spans="1:17" x14ac:dyDescent="0.25">
      <c r="A2748" s="1">
        <f t="shared" si="943"/>
        <v>2747</v>
      </c>
      <c r="B2748" s="8"/>
      <c r="C2748" s="8" t="s">
        <v>17</v>
      </c>
      <c r="D2748" s="2">
        <v>43874</v>
      </c>
      <c r="E2748" s="3">
        <v>136250</v>
      </c>
      <c r="F2748" t="s">
        <v>1138</v>
      </c>
      <c r="G2748" t="s">
        <v>1139</v>
      </c>
      <c r="H2748" t="s">
        <v>1115</v>
      </c>
      <c r="I2748" s="6" t="s">
        <v>1142</v>
      </c>
      <c r="J2748" s="61" t="s">
        <v>22</v>
      </c>
      <c r="L2748" s="5" t="str">
        <f t="shared" si="937"/>
        <v>02747</v>
      </c>
      <c r="M2748" s="47" t="str">
        <f t="shared" si="938"/>
        <v>13 de febrero de 2020</v>
      </c>
      <c r="N2748" s="323">
        <f t="shared" si="925"/>
        <v>13</v>
      </c>
      <c r="O2748" s="25">
        <f t="shared" si="939"/>
        <v>43862</v>
      </c>
      <c r="P2748" s="5" t="str">
        <f t="shared" si="930"/>
        <v>136.250,00</v>
      </c>
      <c r="Q2748" s="4" t="str">
        <f t="shared" ref="Q2748:Q2754" si="944">CONVERTIRNUM(E2748)</f>
        <v>Ciento Treinta y Seis Mil Doscientos Cincuenta Bolívares con 00/100</v>
      </c>
    </row>
    <row r="2749" spans="1:17" x14ac:dyDescent="0.25">
      <c r="A2749" s="1">
        <f t="shared" si="943"/>
        <v>2748</v>
      </c>
      <c r="B2749" s="8"/>
      <c r="C2749" s="8" t="s">
        <v>17</v>
      </c>
      <c r="D2749" s="2">
        <v>43874</v>
      </c>
      <c r="E2749" s="3">
        <v>136250</v>
      </c>
      <c r="F2749" t="s">
        <v>337</v>
      </c>
      <c r="G2749" t="s">
        <v>338</v>
      </c>
      <c r="H2749" t="s">
        <v>339</v>
      </c>
      <c r="I2749" s="6" t="s">
        <v>1142</v>
      </c>
      <c r="J2749" s="61" t="s">
        <v>22</v>
      </c>
      <c r="L2749" s="5" t="str">
        <f t="shared" si="937"/>
        <v>02748</v>
      </c>
      <c r="M2749" s="47" t="str">
        <f t="shared" si="938"/>
        <v>13 de febrero de 2020</v>
      </c>
      <c r="N2749" s="323">
        <f t="shared" si="925"/>
        <v>13</v>
      </c>
      <c r="O2749" s="25">
        <f t="shared" si="939"/>
        <v>43862</v>
      </c>
      <c r="P2749" s="5" t="str">
        <f t="shared" si="930"/>
        <v>136.250,00</v>
      </c>
      <c r="Q2749" s="4" t="str">
        <f t="shared" si="944"/>
        <v>Ciento Treinta y Seis Mil Doscientos Cincuenta Bolívares con 00/100</v>
      </c>
    </row>
    <row r="2750" spans="1:17" x14ac:dyDescent="0.25">
      <c r="A2750" s="1">
        <f t="shared" si="943"/>
        <v>2749</v>
      </c>
      <c r="B2750" s="8"/>
      <c r="C2750" s="8" t="s">
        <v>17</v>
      </c>
      <c r="D2750" s="2">
        <v>43874</v>
      </c>
      <c r="E2750" s="3">
        <v>136250</v>
      </c>
      <c r="F2750" t="s">
        <v>947</v>
      </c>
      <c r="G2750" t="s">
        <v>948</v>
      </c>
      <c r="H2750" t="s">
        <v>949</v>
      </c>
      <c r="I2750" s="6" t="s">
        <v>1142</v>
      </c>
      <c r="J2750" s="61" t="s">
        <v>22</v>
      </c>
      <c r="L2750" s="5" t="str">
        <f t="shared" si="937"/>
        <v>02749</v>
      </c>
      <c r="M2750" s="47" t="str">
        <f t="shared" si="938"/>
        <v>13 de febrero de 2020</v>
      </c>
      <c r="N2750" s="323">
        <f t="shared" si="925"/>
        <v>13</v>
      </c>
      <c r="O2750" s="25">
        <f t="shared" si="939"/>
        <v>43862</v>
      </c>
      <c r="P2750" s="5" t="str">
        <f t="shared" si="930"/>
        <v>136.250,00</v>
      </c>
      <c r="Q2750" s="4" t="str">
        <f t="shared" si="944"/>
        <v>Ciento Treinta y Seis Mil Doscientos Cincuenta Bolívares con 00/100</v>
      </c>
    </row>
    <row r="2751" spans="1:17" x14ac:dyDescent="0.25">
      <c r="A2751" s="1">
        <f t="shared" si="943"/>
        <v>2750</v>
      </c>
      <c r="B2751" s="8"/>
      <c r="C2751" s="8" t="s">
        <v>17</v>
      </c>
      <c r="D2751" s="2">
        <v>43876</v>
      </c>
      <c r="E2751" s="3">
        <v>175000</v>
      </c>
      <c r="F2751" t="s">
        <v>998</v>
      </c>
      <c r="G2751" t="s">
        <v>999</v>
      </c>
      <c r="H2751" t="s">
        <v>1000</v>
      </c>
      <c r="I2751" s="6" t="s">
        <v>1156</v>
      </c>
      <c r="J2751" s="61" t="s">
        <v>22</v>
      </c>
      <c r="L2751" s="5" t="str">
        <f t="shared" si="937"/>
        <v>02750</v>
      </c>
      <c r="M2751" s="47" t="str">
        <f t="shared" si="938"/>
        <v>15 de febrero de 2020</v>
      </c>
      <c r="N2751" s="323">
        <f t="shared" si="925"/>
        <v>15</v>
      </c>
      <c r="O2751" s="25">
        <f t="shared" si="939"/>
        <v>43862</v>
      </c>
      <c r="P2751" s="5" t="str">
        <f t="shared" si="930"/>
        <v>175.000,00</v>
      </c>
      <c r="Q2751" s="4" t="str">
        <f t="shared" si="944"/>
        <v>Ciento Setenta y Cinco Mil Bolívares con 00/100</v>
      </c>
    </row>
    <row r="2752" spans="1:17" x14ac:dyDescent="0.25">
      <c r="A2752" s="1">
        <f t="shared" si="943"/>
        <v>2751</v>
      </c>
      <c r="B2752" s="8"/>
      <c r="C2752" s="8" t="s">
        <v>17</v>
      </c>
      <c r="D2752" s="2">
        <v>43876</v>
      </c>
      <c r="E2752" s="3">
        <v>136250</v>
      </c>
      <c r="F2752" t="s">
        <v>181</v>
      </c>
      <c r="G2752" t="s">
        <v>182</v>
      </c>
      <c r="H2752" t="s">
        <v>183</v>
      </c>
      <c r="I2752" s="6" t="s">
        <v>1142</v>
      </c>
      <c r="J2752" s="61" t="s">
        <v>22</v>
      </c>
      <c r="L2752" s="5" t="str">
        <f t="shared" si="937"/>
        <v>02751</v>
      </c>
      <c r="M2752" s="47" t="str">
        <f t="shared" si="938"/>
        <v>15 de febrero de 2020</v>
      </c>
      <c r="N2752" s="323">
        <f t="shared" si="925"/>
        <v>15</v>
      </c>
      <c r="O2752" s="25">
        <f t="shared" si="939"/>
        <v>43862</v>
      </c>
      <c r="P2752" s="5" t="str">
        <f t="shared" si="930"/>
        <v>136.250,00</v>
      </c>
      <c r="Q2752" s="4" t="str">
        <f t="shared" si="944"/>
        <v>Ciento Treinta y Seis Mil Doscientos Cincuenta Bolívares con 00/100</v>
      </c>
    </row>
    <row r="2753" spans="1:17" x14ac:dyDescent="0.25">
      <c r="A2753" s="1">
        <f t="shared" si="943"/>
        <v>2752</v>
      </c>
      <c r="B2753" s="8"/>
      <c r="C2753" s="8" t="s">
        <v>17</v>
      </c>
      <c r="D2753" s="2">
        <v>43877</v>
      </c>
      <c r="E2753" s="3">
        <v>145000</v>
      </c>
      <c r="F2753" t="s">
        <v>32</v>
      </c>
      <c r="G2753" t="s">
        <v>33</v>
      </c>
      <c r="H2753" t="s">
        <v>34</v>
      </c>
      <c r="I2753" s="6" t="s">
        <v>1157</v>
      </c>
      <c r="J2753" s="61" t="s">
        <v>22</v>
      </c>
      <c r="L2753" s="5" t="str">
        <f t="shared" si="937"/>
        <v>02752</v>
      </c>
      <c r="M2753" s="47" t="str">
        <f t="shared" si="938"/>
        <v>16 de febrero de 2020</v>
      </c>
      <c r="N2753" s="323">
        <f t="shared" si="925"/>
        <v>16</v>
      </c>
      <c r="O2753" s="25">
        <f t="shared" si="939"/>
        <v>43862</v>
      </c>
      <c r="P2753" s="5" t="str">
        <f t="shared" si="930"/>
        <v>145.000,00</v>
      </c>
      <c r="Q2753" s="4" t="str">
        <f t="shared" si="944"/>
        <v>Ciento Cuarenta y Cinco Mil Bolívares con 00/100</v>
      </c>
    </row>
    <row r="2754" spans="1:17" x14ac:dyDescent="0.25">
      <c r="A2754" s="1">
        <f t="shared" ref="A2754" si="945">A2753+1</f>
        <v>2753</v>
      </c>
      <c r="B2754" s="8"/>
      <c r="C2754" s="8" t="s">
        <v>17</v>
      </c>
      <c r="D2754" s="2">
        <v>43817</v>
      </c>
      <c r="E2754" s="3">
        <v>105250</v>
      </c>
      <c r="F2754" t="s">
        <v>197</v>
      </c>
      <c r="G2754" t="s">
        <v>198</v>
      </c>
      <c r="H2754" t="s">
        <v>199</v>
      </c>
      <c r="I2754" s="6" t="s">
        <v>1082</v>
      </c>
      <c r="J2754" s="61" t="s">
        <v>22</v>
      </c>
      <c r="L2754" s="5" t="str">
        <f t="shared" si="937"/>
        <v>02753</v>
      </c>
      <c r="M2754" s="47" t="str">
        <f t="shared" si="938"/>
        <v>18 de diciembre de 2019</v>
      </c>
      <c r="N2754" s="323">
        <f t="shared" si="925"/>
        <v>18</v>
      </c>
      <c r="O2754" s="25">
        <f t="shared" si="939"/>
        <v>43800</v>
      </c>
      <c r="P2754" s="5" t="str">
        <f t="shared" si="930"/>
        <v>105.250,00</v>
      </c>
      <c r="Q2754" s="4" t="str">
        <f t="shared" si="944"/>
        <v>Ciento Cinco Mil Doscientos Cincuenta Bolívares con 00/100</v>
      </c>
    </row>
    <row r="2755" spans="1:17" x14ac:dyDescent="0.25">
      <c r="A2755" s="1">
        <f>A2754+1</f>
        <v>2754</v>
      </c>
      <c r="B2755" s="8"/>
      <c r="C2755" s="8" t="s">
        <v>17</v>
      </c>
      <c r="D2755" s="2">
        <v>43877</v>
      </c>
      <c r="E2755" s="3">
        <v>439750</v>
      </c>
      <c r="F2755" t="s">
        <v>197</v>
      </c>
      <c r="G2755" t="s">
        <v>198</v>
      </c>
      <c r="H2755" t="s">
        <v>199</v>
      </c>
      <c r="I2755" s="6" t="s">
        <v>1150</v>
      </c>
      <c r="J2755" s="61" t="s">
        <v>22</v>
      </c>
      <c r="L2755" s="5" t="str">
        <f t="shared" ref="L2755:L2757" si="946">IF(ISBLANK(A2755),"",TEXT(A2755,"00000"))</f>
        <v>02754</v>
      </c>
      <c r="M2755" s="47" t="str">
        <f t="shared" ref="M2755:M2757" si="947">IF(ISBLANK(D2755),"",TEXT(D2755,"dd")&amp;" de "&amp;TEXT(D2755,"mmmm")&amp;" de "&amp;TEXT(YEAR(D2755),"0"))</f>
        <v>16 de febrero de 2020</v>
      </c>
      <c r="N2755" s="323">
        <f t="shared" ref="N2755:N2767" si="948">DAY(D2755)</f>
        <v>16</v>
      </c>
      <c r="O2755" s="25">
        <f t="shared" ref="O2755:O2757" si="949">DATE(YEAR(D2755),MONTH(D2755),1)</f>
        <v>43862</v>
      </c>
      <c r="P2755" s="5" t="str">
        <f t="shared" ref="P2755:P2767" si="950">TEXT(E2755,"#.##0,00")</f>
        <v>439.750,00</v>
      </c>
      <c r="Q2755" s="4" t="str">
        <f t="shared" ref="Q2755:Q2764" si="951">CONVERTIRNUM(E2755)</f>
        <v>Cuatrocientos Treinta y Nueve Mil Setecientos Cincuenta Bolívares con 00/100</v>
      </c>
    </row>
    <row r="2756" spans="1:17" x14ac:dyDescent="0.25">
      <c r="A2756" s="1">
        <f>A2755+1</f>
        <v>2755</v>
      </c>
      <c r="B2756" s="8"/>
      <c r="C2756" s="8" t="s">
        <v>17</v>
      </c>
      <c r="D2756" s="2">
        <v>43878</v>
      </c>
      <c r="E2756" s="3">
        <v>136250</v>
      </c>
      <c r="F2756" t="s">
        <v>264</v>
      </c>
      <c r="G2756" t="s">
        <v>265</v>
      </c>
      <c r="H2756" t="s">
        <v>266</v>
      </c>
      <c r="I2756" s="6" t="s">
        <v>1142</v>
      </c>
      <c r="J2756" s="61" t="s">
        <v>22</v>
      </c>
      <c r="L2756" s="5" t="str">
        <f t="shared" si="946"/>
        <v>02755</v>
      </c>
      <c r="M2756" s="47" t="str">
        <f t="shared" si="947"/>
        <v>17 de febrero de 2020</v>
      </c>
      <c r="N2756" s="323">
        <f t="shared" si="948"/>
        <v>17</v>
      </c>
      <c r="O2756" s="25">
        <f t="shared" si="949"/>
        <v>43862</v>
      </c>
      <c r="P2756" s="5" t="str">
        <f t="shared" si="950"/>
        <v>136.250,00</v>
      </c>
      <c r="Q2756" s="4" t="str">
        <f t="shared" si="951"/>
        <v>Ciento Treinta y Seis Mil Doscientos Cincuenta Bolívares con 00/100</v>
      </c>
    </row>
    <row r="2757" spans="1:17" x14ac:dyDescent="0.25">
      <c r="A2757" s="1">
        <f>A2756+1</f>
        <v>2756</v>
      </c>
      <c r="B2757" s="8"/>
      <c r="C2757" s="8" t="s">
        <v>17</v>
      </c>
      <c r="D2757" s="2">
        <v>43882</v>
      </c>
      <c r="E2757" s="3">
        <v>100000</v>
      </c>
      <c r="F2757" t="s">
        <v>252</v>
      </c>
      <c r="G2757" s="475" t="s">
        <v>958</v>
      </c>
      <c r="H2757" t="s">
        <v>254</v>
      </c>
      <c r="I2757" s="6" t="s">
        <v>1158</v>
      </c>
      <c r="J2757" s="61" t="s">
        <v>22</v>
      </c>
      <c r="L2757" s="5" t="str">
        <f t="shared" si="946"/>
        <v>02756</v>
      </c>
      <c r="M2757" s="47" t="str">
        <f t="shared" si="947"/>
        <v>21 de febrero de 2020</v>
      </c>
      <c r="N2757" s="323">
        <f t="shared" si="948"/>
        <v>21</v>
      </c>
      <c r="O2757" s="25">
        <f t="shared" si="949"/>
        <v>43862</v>
      </c>
      <c r="P2757" s="5" t="str">
        <f t="shared" si="950"/>
        <v>100.000,00</v>
      </c>
      <c r="Q2757" s="4" t="str">
        <f t="shared" si="951"/>
        <v>Cien Mil Bolívares con 00/100</v>
      </c>
    </row>
    <row r="2758" spans="1:17" x14ac:dyDescent="0.25">
      <c r="A2758" s="1">
        <f>A2757+1</f>
        <v>2757</v>
      </c>
      <c r="B2758" s="8"/>
      <c r="C2758" s="8" t="s">
        <v>17</v>
      </c>
      <c r="D2758" s="2">
        <v>43883</v>
      </c>
      <c r="E2758" s="3">
        <v>272500</v>
      </c>
      <c r="F2758" t="s">
        <v>243</v>
      </c>
      <c r="G2758" t="s">
        <v>244</v>
      </c>
      <c r="H2758" t="s">
        <v>245</v>
      </c>
      <c r="I2758" s="6" t="s">
        <v>1159</v>
      </c>
      <c r="J2758" s="61" t="s">
        <v>22</v>
      </c>
      <c r="L2758" s="5" t="str">
        <f>IF(ISBLANK(A2758),"",TEXT(A2758,"00000"))</f>
        <v>02757</v>
      </c>
      <c r="M2758" s="47" t="str">
        <f>IF(ISBLANK(D2758),"",TEXT(D2758,"dd")&amp;" de "&amp;TEXT(D2758,"mmmm")&amp;" de "&amp;TEXT(YEAR(D2758),"0"))</f>
        <v>22 de febrero de 2020</v>
      </c>
      <c r="N2758" s="323">
        <f t="shared" si="948"/>
        <v>22</v>
      </c>
      <c r="O2758" s="25">
        <f>DATE(YEAR(D2758),MONTH(D2758),1)</f>
        <v>43862</v>
      </c>
      <c r="P2758" s="5" t="str">
        <f t="shared" si="950"/>
        <v>272.500,00</v>
      </c>
      <c r="Q2758" s="4" t="str">
        <f t="shared" si="951"/>
        <v>Doscientos Setenta y Dos Mil Quinientos Bolívares con 00/100</v>
      </c>
    </row>
    <row r="2759" spans="1:17" x14ac:dyDescent="0.25">
      <c r="A2759" s="1">
        <f t="shared" ref="A2759:A2760" si="952">A2758+1</f>
        <v>2758</v>
      </c>
      <c r="B2759" s="8"/>
      <c r="C2759" s="8" t="s">
        <v>17</v>
      </c>
      <c r="D2759" s="2">
        <v>43883</v>
      </c>
      <c r="E2759" s="3">
        <v>136250</v>
      </c>
      <c r="F2759" t="s">
        <v>594</v>
      </c>
      <c r="G2759" t="s">
        <v>1051</v>
      </c>
      <c r="H2759" t="s">
        <v>596</v>
      </c>
      <c r="I2759" s="6" t="s">
        <v>1121</v>
      </c>
      <c r="J2759" s="61" t="s">
        <v>22</v>
      </c>
      <c r="L2759" s="5" t="str">
        <f t="shared" ref="L2759:L2767" si="953">IF(ISBLANK(A2759),"",TEXT(A2759,"00000"))</f>
        <v>02758</v>
      </c>
      <c r="M2759" s="47" t="str">
        <f t="shared" ref="M2759:M2767" si="954">IF(ISBLANK(D2759),"",TEXT(D2759,"dd")&amp;" de "&amp;TEXT(D2759,"mmmm")&amp;" de "&amp;TEXT(YEAR(D2759),"0"))</f>
        <v>22 de febrero de 2020</v>
      </c>
      <c r="N2759" s="323">
        <f t="shared" si="948"/>
        <v>22</v>
      </c>
      <c r="O2759" s="25">
        <f t="shared" ref="O2759:O2767" si="955">DATE(YEAR(D2759),MONTH(D2759),1)</f>
        <v>43862</v>
      </c>
      <c r="P2759" s="5" t="str">
        <f t="shared" si="950"/>
        <v>136.250,00</v>
      </c>
      <c r="Q2759" s="4" t="str">
        <f t="shared" si="951"/>
        <v>Ciento Treinta y Seis Mil Doscientos Cincuenta Bolívares con 00/100</v>
      </c>
    </row>
    <row r="2760" spans="1:17" x14ac:dyDescent="0.25">
      <c r="A2760" s="1">
        <f t="shared" si="952"/>
        <v>2759</v>
      </c>
      <c r="B2760" s="8"/>
      <c r="C2760" s="8" t="s">
        <v>17</v>
      </c>
      <c r="D2760" s="2">
        <v>43884</v>
      </c>
      <c r="E2760" s="3">
        <v>136250</v>
      </c>
      <c r="F2760" t="s">
        <v>122</v>
      </c>
      <c r="G2760" t="s">
        <v>123</v>
      </c>
      <c r="H2760" t="s">
        <v>124</v>
      </c>
      <c r="I2760" s="6" t="s">
        <v>1142</v>
      </c>
      <c r="J2760" s="61" t="s">
        <v>22</v>
      </c>
      <c r="L2760" s="5" t="str">
        <f t="shared" si="953"/>
        <v>02759</v>
      </c>
      <c r="M2760" s="47" t="str">
        <f t="shared" si="954"/>
        <v>23 de febrero de 2020</v>
      </c>
      <c r="N2760" s="323">
        <f t="shared" si="948"/>
        <v>23</v>
      </c>
      <c r="O2760" s="25">
        <f t="shared" si="955"/>
        <v>43862</v>
      </c>
      <c r="P2760" s="5" t="str">
        <f t="shared" si="950"/>
        <v>136.250,00</v>
      </c>
      <c r="Q2760" s="4" t="str">
        <f t="shared" si="951"/>
        <v>Ciento Treinta y Seis Mil Doscientos Cincuenta Bolívares con 00/100</v>
      </c>
    </row>
    <row r="2761" spans="1:17" x14ac:dyDescent="0.25">
      <c r="A2761" s="1">
        <f>A2760+1</f>
        <v>2760</v>
      </c>
      <c r="B2761" s="8"/>
      <c r="C2761" s="8" t="s">
        <v>17</v>
      </c>
      <c r="D2761" s="2">
        <v>43884</v>
      </c>
      <c r="E2761" s="3">
        <v>136250</v>
      </c>
      <c r="F2761" t="s">
        <v>296</v>
      </c>
      <c r="G2761" t="s">
        <v>297</v>
      </c>
      <c r="H2761" t="s">
        <v>298</v>
      </c>
      <c r="I2761" s="6" t="s">
        <v>1142</v>
      </c>
      <c r="J2761" s="61" t="s">
        <v>22</v>
      </c>
      <c r="L2761" s="5" t="str">
        <f t="shared" si="953"/>
        <v>02760</v>
      </c>
      <c r="M2761" s="47" t="str">
        <f t="shared" si="954"/>
        <v>23 de febrero de 2020</v>
      </c>
      <c r="N2761" s="323">
        <f t="shared" si="948"/>
        <v>23</v>
      </c>
      <c r="O2761" s="25">
        <f t="shared" si="955"/>
        <v>43862</v>
      </c>
      <c r="P2761" s="5" t="str">
        <f t="shared" si="950"/>
        <v>136.250,00</v>
      </c>
      <c r="Q2761" s="4" t="str">
        <f t="shared" si="951"/>
        <v>Ciento Treinta y Seis Mil Doscientos Cincuenta Bolívares con 00/100</v>
      </c>
    </row>
    <row r="2762" spans="1:17" x14ac:dyDescent="0.25">
      <c r="A2762" s="1">
        <f t="shared" ref="A2762:A2766" si="956">A2761+1</f>
        <v>2761</v>
      </c>
      <c r="B2762" s="8"/>
      <c r="C2762" s="8" t="s">
        <v>17</v>
      </c>
      <c r="D2762" s="2">
        <v>43887</v>
      </c>
      <c r="E2762" s="3">
        <v>136250</v>
      </c>
      <c r="F2762" t="s">
        <v>633</v>
      </c>
      <c r="G2762" t="s">
        <v>634</v>
      </c>
      <c r="H2762" t="s">
        <v>635</v>
      </c>
      <c r="I2762" s="6" t="s">
        <v>1142</v>
      </c>
      <c r="J2762" s="61" t="s">
        <v>22</v>
      </c>
      <c r="L2762" s="5" t="str">
        <f t="shared" si="953"/>
        <v>02761</v>
      </c>
      <c r="M2762" s="47" t="str">
        <f t="shared" si="954"/>
        <v>26 de febrero de 2020</v>
      </c>
      <c r="N2762" s="323">
        <f t="shared" si="948"/>
        <v>26</v>
      </c>
      <c r="O2762" s="25">
        <f t="shared" si="955"/>
        <v>43862</v>
      </c>
      <c r="P2762" s="5" t="str">
        <f t="shared" si="950"/>
        <v>136.250,00</v>
      </c>
      <c r="Q2762" s="4" t="str">
        <f t="shared" si="951"/>
        <v>Ciento Treinta y Seis Mil Doscientos Cincuenta Bolívares con 00/100</v>
      </c>
    </row>
    <row r="2763" spans="1:17" x14ac:dyDescent="0.25">
      <c r="A2763" s="1">
        <f t="shared" si="956"/>
        <v>2762</v>
      </c>
      <c r="C2763" s="8" t="s">
        <v>17</v>
      </c>
      <c r="D2763" s="2">
        <v>43887</v>
      </c>
      <c r="E2763" s="3">
        <v>136250</v>
      </c>
      <c r="F2763" t="s">
        <v>312</v>
      </c>
      <c r="G2763" t="s">
        <v>313</v>
      </c>
      <c r="H2763" t="s">
        <v>314</v>
      </c>
      <c r="I2763" s="6" t="s">
        <v>1142</v>
      </c>
      <c r="J2763" s="61" t="s">
        <v>22</v>
      </c>
      <c r="L2763" s="5" t="str">
        <f t="shared" si="953"/>
        <v>02762</v>
      </c>
      <c r="M2763" s="47" t="str">
        <f t="shared" si="954"/>
        <v>26 de febrero de 2020</v>
      </c>
      <c r="N2763" s="323">
        <f t="shared" si="948"/>
        <v>26</v>
      </c>
      <c r="O2763" s="25">
        <f t="shared" si="955"/>
        <v>43862</v>
      </c>
      <c r="P2763" s="5" t="str">
        <f t="shared" si="950"/>
        <v>136.250,00</v>
      </c>
      <c r="Q2763" s="4" t="str">
        <f t="shared" si="951"/>
        <v>Ciento Treinta y Seis Mil Doscientos Cincuenta Bolívares con 00/100</v>
      </c>
    </row>
    <row r="2764" spans="1:17" x14ac:dyDescent="0.25">
      <c r="A2764" s="1">
        <f t="shared" si="956"/>
        <v>2763</v>
      </c>
      <c r="B2764" s="8"/>
      <c r="C2764" s="8" t="s">
        <v>17</v>
      </c>
      <c r="D2764" s="2">
        <v>43888</v>
      </c>
      <c r="E2764" s="3">
        <v>200000</v>
      </c>
      <c r="F2764" t="s">
        <v>417</v>
      </c>
      <c r="G2764" t="s">
        <v>418</v>
      </c>
      <c r="H2764" t="s">
        <v>419</v>
      </c>
      <c r="I2764" s="6" t="s">
        <v>1109</v>
      </c>
      <c r="J2764" s="61" t="s">
        <v>22</v>
      </c>
      <c r="L2764" s="5" t="str">
        <f t="shared" si="953"/>
        <v>02763</v>
      </c>
      <c r="M2764" s="47" t="str">
        <f t="shared" si="954"/>
        <v>27 de febrero de 2020</v>
      </c>
      <c r="N2764" s="323">
        <f t="shared" si="948"/>
        <v>27</v>
      </c>
      <c r="O2764" s="25">
        <f t="shared" si="955"/>
        <v>43862</v>
      </c>
      <c r="P2764" s="5" t="str">
        <f t="shared" si="950"/>
        <v>200.000,00</v>
      </c>
      <c r="Q2764" s="4" t="str">
        <f t="shared" si="951"/>
        <v>Doscientos Mil Bolívares con 00/100</v>
      </c>
    </row>
    <row r="2765" spans="1:17" x14ac:dyDescent="0.25">
      <c r="A2765" s="1">
        <f t="shared" si="956"/>
        <v>2764</v>
      </c>
      <c r="B2765" s="8"/>
      <c r="C2765" s="8" t="s">
        <v>17</v>
      </c>
      <c r="D2765" s="2">
        <v>43888</v>
      </c>
      <c r="E2765" s="3">
        <v>136250</v>
      </c>
      <c r="F2765" t="s">
        <v>1015</v>
      </c>
      <c r="G2765" t="s">
        <v>1016</v>
      </c>
      <c r="H2765" t="s">
        <v>59</v>
      </c>
      <c r="I2765" s="6" t="s">
        <v>1142</v>
      </c>
      <c r="J2765" s="61" t="s">
        <v>22</v>
      </c>
      <c r="L2765" s="5" t="str">
        <f t="shared" si="953"/>
        <v>02764</v>
      </c>
      <c r="M2765" s="47" t="str">
        <f t="shared" si="954"/>
        <v>27 de febrero de 2020</v>
      </c>
      <c r="N2765" s="323">
        <f t="shared" si="948"/>
        <v>27</v>
      </c>
      <c r="O2765" s="25">
        <f t="shared" si="955"/>
        <v>43862</v>
      </c>
      <c r="P2765" s="5" t="str">
        <f t="shared" si="950"/>
        <v>136.250,00</v>
      </c>
      <c r="Q2765" s="4" t="str">
        <f>CONVERTIRNUM(E2765)</f>
        <v>Ciento Treinta y Seis Mil Doscientos Cincuenta Bolívares con 00/100</v>
      </c>
    </row>
    <row r="2766" spans="1:17" x14ac:dyDescent="0.25">
      <c r="A2766" s="1">
        <f t="shared" si="956"/>
        <v>2765</v>
      </c>
      <c r="B2766" s="8"/>
      <c r="C2766" s="8" t="s">
        <v>17</v>
      </c>
      <c r="D2766" s="2">
        <v>43889</v>
      </c>
      <c r="E2766" s="3">
        <v>136250</v>
      </c>
      <c r="F2766" t="s">
        <v>1017</v>
      </c>
      <c r="G2766" s="475" t="s">
        <v>1160</v>
      </c>
      <c r="H2766" t="s">
        <v>140</v>
      </c>
      <c r="I2766" s="6" t="s">
        <v>1142</v>
      </c>
      <c r="J2766" s="61" t="s">
        <v>22</v>
      </c>
      <c r="L2766" s="5" t="str">
        <f t="shared" si="953"/>
        <v>02765</v>
      </c>
      <c r="M2766" s="47" t="str">
        <f t="shared" si="954"/>
        <v>28 de febrero de 2020</v>
      </c>
      <c r="N2766" s="323">
        <f t="shared" si="948"/>
        <v>28</v>
      </c>
      <c r="O2766" s="25">
        <f t="shared" si="955"/>
        <v>43862</v>
      </c>
      <c r="P2766" s="5" t="str">
        <f t="shared" si="950"/>
        <v>136.250,00</v>
      </c>
      <c r="Q2766" s="4" t="str">
        <f t="shared" ref="Q2766:Q2767" si="957">CONVERTIRNUM(E2766)</f>
        <v>Ciento Treinta y Seis Mil Doscientos Cincuenta Bolívares con 00/100</v>
      </c>
    </row>
    <row r="2767" spans="1:17" x14ac:dyDescent="0.25">
      <c r="A2767" s="1">
        <f>A2766+1</f>
        <v>2766</v>
      </c>
      <c r="B2767" s="8"/>
      <c r="C2767" s="8" t="s">
        <v>17</v>
      </c>
      <c r="D2767" s="2">
        <v>43889</v>
      </c>
      <c r="E2767" s="3">
        <f>122550+13700</f>
        <v>136250</v>
      </c>
      <c r="F2767" t="s">
        <v>284</v>
      </c>
      <c r="G2767" t="s">
        <v>687</v>
      </c>
      <c r="H2767" t="s">
        <v>285</v>
      </c>
      <c r="I2767" s="6" t="s">
        <v>1142</v>
      </c>
      <c r="J2767" s="61" t="s">
        <v>22</v>
      </c>
      <c r="L2767" s="5" t="str">
        <f t="shared" si="953"/>
        <v>02766</v>
      </c>
      <c r="M2767" s="47" t="str">
        <f t="shared" si="954"/>
        <v>28 de febrero de 2020</v>
      </c>
      <c r="N2767" s="323">
        <f t="shared" si="948"/>
        <v>28</v>
      </c>
      <c r="O2767" s="25">
        <f t="shared" si="955"/>
        <v>43862</v>
      </c>
      <c r="P2767" s="5" t="str">
        <f t="shared" si="950"/>
        <v>136.250,00</v>
      </c>
      <c r="Q2767" s="4" t="str">
        <f t="shared" si="957"/>
        <v>Ciento Treinta y Seis Mil Doscientos Cincuenta Bolívares con 00/100</v>
      </c>
    </row>
    <row r="2768" spans="1:17" x14ac:dyDescent="0.25">
      <c r="A2768" s="1">
        <f>A2767+1</f>
        <v>2767</v>
      </c>
      <c r="B2768" s="8"/>
      <c r="C2768" s="8" t="s">
        <v>17</v>
      </c>
      <c r="D2768" s="2">
        <v>43890</v>
      </c>
      <c r="E2768" s="3">
        <v>40000</v>
      </c>
      <c r="F2768" t="s">
        <v>433</v>
      </c>
      <c r="G2768" t="s">
        <v>434</v>
      </c>
      <c r="H2768" t="s">
        <v>435</v>
      </c>
      <c r="I2768" s="6" t="s">
        <v>1146</v>
      </c>
      <c r="J2768" s="61" t="s">
        <v>22</v>
      </c>
      <c r="L2768" s="5" t="str">
        <f t="shared" ref="L2768:L2793" si="958">IF(ISBLANK(A2768),"",TEXT(A2768,"00000"))</f>
        <v>02767</v>
      </c>
      <c r="M2768" s="47" t="str">
        <f t="shared" ref="M2768:M2793" si="959">IF(ISBLANK(D2768),"",TEXT(D2768,"dd")&amp;" de "&amp;TEXT(D2768,"mmmm")&amp;" de "&amp;TEXT(YEAR(D2768),"0"))</f>
        <v>29 de febrero de 2020</v>
      </c>
      <c r="N2768" s="323">
        <f t="shared" ref="N2768:N2793" si="960">DAY(D2768)</f>
        <v>29</v>
      </c>
      <c r="O2768" s="25">
        <f t="shared" ref="O2768:O2793" si="961">DATE(YEAR(D2768),MONTH(D2768),1)</f>
        <v>43862</v>
      </c>
      <c r="P2768" s="5" t="str">
        <f t="shared" ref="P2768:P2779" si="962">TEXT(E2768,"#.##0,00")</f>
        <v>40.000,00</v>
      </c>
      <c r="Q2768" s="4" t="str">
        <f t="shared" ref="Q2768:Q2779" si="963">CONVERTIRNUM(E2768)</f>
        <v>Cuarenta Mil Bolívares con 00/100</v>
      </c>
    </row>
    <row r="2769" spans="1:17" x14ac:dyDescent="0.25">
      <c r="A2769" s="1">
        <f>A2768+1</f>
        <v>2768</v>
      </c>
      <c r="B2769" s="8"/>
      <c r="C2769" s="8" t="s">
        <v>17</v>
      </c>
      <c r="D2769" s="2">
        <v>43890</v>
      </c>
      <c r="E2769" s="3">
        <v>150000</v>
      </c>
      <c r="F2769" t="s">
        <v>90</v>
      </c>
      <c r="G2769" s="475" t="s">
        <v>978</v>
      </c>
      <c r="H2769" t="s">
        <v>92</v>
      </c>
      <c r="I2769" s="6" t="s">
        <v>1142</v>
      </c>
      <c r="J2769" s="61" t="s">
        <v>22</v>
      </c>
      <c r="L2769" s="5" t="str">
        <f t="shared" si="958"/>
        <v>02768</v>
      </c>
      <c r="M2769" s="47" t="str">
        <f t="shared" si="959"/>
        <v>29 de febrero de 2020</v>
      </c>
      <c r="N2769" s="323">
        <f t="shared" si="960"/>
        <v>29</v>
      </c>
      <c r="O2769" s="25">
        <f t="shared" si="961"/>
        <v>43862</v>
      </c>
      <c r="P2769" s="5" t="str">
        <f t="shared" si="962"/>
        <v>150.000,00</v>
      </c>
      <c r="Q2769" s="4" t="str">
        <f t="shared" si="963"/>
        <v>Ciento Cincuenta Mil Bolívares con 00/100</v>
      </c>
    </row>
    <row r="2770" spans="1:17" x14ac:dyDescent="0.25">
      <c r="A2770" s="1">
        <f>A2769+1</f>
        <v>2769</v>
      </c>
      <c r="B2770" s="8"/>
      <c r="C2770" s="8" t="s">
        <v>17</v>
      </c>
      <c r="D2770" s="2">
        <v>43890</v>
      </c>
      <c r="E2770" s="3">
        <v>136250</v>
      </c>
      <c r="F2770" t="s">
        <v>211</v>
      </c>
      <c r="G2770" t="s">
        <v>212</v>
      </c>
      <c r="H2770" t="s">
        <v>213</v>
      </c>
      <c r="I2770" s="6" t="s">
        <v>1142</v>
      </c>
      <c r="J2770" s="61" t="s">
        <v>22</v>
      </c>
      <c r="L2770" s="5" t="str">
        <f t="shared" si="958"/>
        <v>02769</v>
      </c>
      <c r="M2770" s="47" t="str">
        <f t="shared" si="959"/>
        <v>29 de febrero de 2020</v>
      </c>
      <c r="N2770" s="323">
        <f t="shared" si="960"/>
        <v>29</v>
      </c>
      <c r="O2770" s="25">
        <f t="shared" si="961"/>
        <v>43862</v>
      </c>
      <c r="P2770" s="5" t="str">
        <f t="shared" si="962"/>
        <v>136.250,00</v>
      </c>
      <c r="Q2770" s="4" t="str">
        <f t="shared" si="963"/>
        <v>Ciento Treinta y Seis Mil Doscientos Cincuenta Bolívares con 00/100</v>
      </c>
    </row>
    <row r="2771" spans="1:17" x14ac:dyDescent="0.25">
      <c r="A2771" s="1">
        <f t="shared" ref="A2771:A2774" si="964">A2770+1</f>
        <v>2770</v>
      </c>
      <c r="B2771" s="8"/>
      <c r="C2771" s="8" t="s">
        <v>17</v>
      </c>
      <c r="D2771" s="2">
        <v>43890</v>
      </c>
      <c r="E2771" s="3">
        <f>131000+5250</f>
        <v>136250</v>
      </c>
      <c r="F2771" t="s">
        <v>362</v>
      </c>
      <c r="G2771" t="s">
        <v>363</v>
      </c>
      <c r="H2771" t="s">
        <v>364</v>
      </c>
      <c r="I2771" s="6" t="s">
        <v>1142</v>
      </c>
      <c r="J2771" s="61" t="s">
        <v>22</v>
      </c>
      <c r="L2771" s="5" t="str">
        <f t="shared" si="958"/>
        <v>02770</v>
      </c>
      <c r="M2771" s="47" t="str">
        <f t="shared" si="959"/>
        <v>29 de febrero de 2020</v>
      </c>
      <c r="N2771" s="323">
        <f t="shared" si="960"/>
        <v>29</v>
      </c>
      <c r="O2771" s="25">
        <f t="shared" si="961"/>
        <v>43862</v>
      </c>
      <c r="P2771" s="5" t="str">
        <f t="shared" si="962"/>
        <v>136.250,00</v>
      </c>
      <c r="Q2771" s="4" t="str">
        <f t="shared" si="963"/>
        <v>Ciento Treinta y Seis Mil Doscientos Cincuenta Bolívares con 00/100</v>
      </c>
    </row>
    <row r="2772" spans="1:17" x14ac:dyDescent="0.25">
      <c r="A2772" s="1">
        <f t="shared" si="964"/>
        <v>2771</v>
      </c>
      <c r="C2772" s="8" t="s">
        <v>17</v>
      </c>
      <c r="D2772" s="2">
        <v>43893</v>
      </c>
      <c r="E2772" s="3">
        <v>136250</v>
      </c>
      <c r="F2772" t="s">
        <v>134</v>
      </c>
      <c r="G2772" t="s">
        <v>135</v>
      </c>
      <c r="H2772" t="s">
        <v>136</v>
      </c>
      <c r="I2772" s="6" t="s">
        <v>1161</v>
      </c>
      <c r="J2772" s="61" t="s">
        <v>22</v>
      </c>
      <c r="L2772" s="5" t="str">
        <f t="shared" si="958"/>
        <v>02771</v>
      </c>
      <c r="M2772" s="47" t="str">
        <f t="shared" si="959"/>
        <v>03 de marzo de 2020</v>
      </c>
      <c r="N2772" s="323">
        <f t="shared" si="960"/>
        <v>3</v>
      </c>
      <c r="O2772" s="25">
        <f t="shared" si="961"/>
        <v>43891</v>
      </c>
      <c r="P2772" s="5" t="str">
        <f t="shared" si="962"/>
        <v>136.250,00</v>
      </c>
      <c r="Q2772" s="4" t="str">
        <f t="shared" si="963"/>
        <v>Ciento Treinta y Seis Mil Doscientos Cincuenta Bolívares con 00/100</v>
      </c>
    </row>
    <row r="2773" spans="1:17" x14ac:dyDescent="0.25">
      <c r="A2773" s="1">
        <f t="shared" si="964"/>
        <v>2772</v>
      </c>
      <c r="C2773" s="8" t="s">
        <v>17</v>
      </c>
      <c r="D2773" s="2">
        <v>43893</v>
      </c>
      <c r="E2773" s="10">
        <f>260225-185250</f>
        <v>74975</v>
      </c>
      <c r="F2773" t="s">
        <v>334</v>
      </c>
      <c r="G2773" t="s">
        <v>85</v>
      </c>
      <c r="H2773" t="s">
        <v>335</v>
      </c>
      <c r="I2773" s="6" t="s">
        <v>1162</v>
      </c>
      <c r="J2773" s="61" t="s">
        <v>22</v>
      </c>
      <c r="L2773" s="5" t="str">
        <f t="shared" si="958"/>
        <v>02772</v>
      </c>
      <c r="M2773" s="47" t="str">
        <f t="shared" si="959"/>
        <v>03 de marzo de 2020</v>
      </c>
      <c r="N2773" s="323">
        <f t="shared" si="960"/>
        <v>3</v>
      </c>
      <c r="O2773" s="25">
        <f t="shared" si="961"/>
        <v>43891</v>
      </c>
      <c r="P2773" s="5" t="str">
        <f t="shared" si="962"/>
        <v>74.975,00</v>
      </c>
      <c r="Q2773" s="4" t="str">
        <f t="shared" si="963"/>
        <v>Setenta y Cuatro Mil Novecientos Setenta y Cinco Bolívares con 00/100</v>
      </c>
    </row>
    <row r="2774" spans="1:17" x14ac:dyDescent="0.25">
      <c r="A2774" s="1">
        <f t="shared" si="964"/>
        <v>2773</v>
      </c>
      <c r="C2774" s="8" t="s">
        <v>17</v>
      </c>
      <c r="D2774" s="2">
        <v>43893</v>
      </c>
      <c r="E2774" s="10">
        <v>185250</v>
      </c>
      <c r="F2774" t="s">
        <v>84</v>
      </c>
      <c r="G2774" t="s">
        <v>85</v>
      </c>
      <c r="H2774" t="s">
        <v>86</v>
      </c>
      <c r="I2774" s="6" t="s">
        <v>1161</v>
      </c>
      <c r="J2774" s="61" t="s">
        <v>22</v>
      </c>
      <c r="L2774" s="5" t="str">
        <f t="shared" si="958"/>
        <v>02773</v>
      </c>
      <c r="M2774" s="47" t="str">
        <f t="shared" si="959"/>
        <v>03 de marzo de 2020</v>
      </c>
      <c r="N2774" s="323">
        <f t="shared" si="960"/>
        <v>3</v>
      </c>
      <c r="O2774" s="25">
        <f t="shared" si="961"/>
        <v>43891</v>
      </c>
      <c r="P2774" s="5" t="str">
        <f t="shared" si="962"/>
        <v>185.250,00</v>
      </c>
      <c r="Q2774" s="4" t="str">
        <f t="shared" si="963"/>
        <v>Ciento Ochenta y Cinco Mil Doscientos Cincuenta Bolívares con 00/100</v>
      </c>
    </row>
    <row r="2775" spans="1:17" x14ac:dyDescent="0.25">
      <c r="A2775" s="1">
        <f>A2774+1</f>
        <v>2774</v>
      </c>
      <c r="C2775" s="8" t="s">
        <v>17</v>
      </c>
      <c r="D2775" s="2">
        <v>43893</v>
      </c>
      <c r="E2775" s="3">
        <v>185250</v>
      </c>
      <c r="F2775" t="s">
        <v>1004</v>
      </c>
      <c r="G2775" t="s">
        <v>1005</v>
      </c>
      <c r="H2775" t="s">
        <v>539</v>
      </c>
      <c r="I2775" s="6" t="s">
        <v>1163</v>
      </c>
      <c r="J2775" s="61" t="s">
        <v>22</v>
      </c>
      <c r="L2775" s="5" t="str">
        <f t="shared" si="958"/>
        <v>02774</v>
      </c>
      <c r="M2775" s="47" t="str">
        <f t="shared" si="959"/>
        <v>03 de marzo de 2020</v>
      </c>
      <c r="N2775" s="323">
        <f t="shared" si="960"/>
        <v>3</v>
      </c>
      <c r="O2775" s="25">
        <f t="shared" si="961"/>
        <v>43891</v>
      </c>
      <c r="P2775" s="5" t="str">
        <f t="shared" si="962"/>
        <v>185.250,00</v>
      </c>
      <c r="Q2775" s="4" t="str">
        <f t="shared" si="963"/>
        <v>Ciento Ochenta y Cinco Mil Doscientos Cincuenta Bolívares con 00/100</v>
      </c>
    </row>
    <row r="2776" spans="1:17" x14ac:dyDescent="0.25">
      <c r="A2776" s="1">
        <f t="shared" ref="A2776:A2781" si="965">A2775+1</f>
        <v>2775</v>
      </c>
      <c r="C2776" s="8" t="s">
        <v>17</v>
      </c>
      <c r="D2776" s="2">
        <v>43890</v>
      </c>
      <c r="E2776" s="3">
        <v>136250</v>
      </c>
      <c r="F2776" t="s">
        <v>130</v>
      </c>
      <c r="G2776" t="s">
        <v>1054</v>
      </c>
      <c r="H2776" t="s">
        <v>132</v>
      </c>
      <c r="I2776" s="6" t="s">
        <v>1164</v>
      </c>
      <c r="J2776" s="61" t="s">
        <v>22</v>
      </c>
      <c r="L2776" s="5" t="str">
        <f t="shared" si="958"/>
        <v>02775</v>
      </c>
      <c r="M2776" s="47" t="str">
        <f t="shared" si="959"/>
        <v>29 de febrero de 2020</v>
      </c>
      <c r="N2776" s="323">
        <f t="shared" si="960"/>
        <v>29</v>
      </c>
      <c r="O2776" s="25">
        <f t="shared" si="961"/>
        <v>43862</v>
      </c>
      <c r="P2776" s="5" t="str">
        <f t="shared" si="962"/>
        <v>136.250,00</v>
      </c>
      <c r="Q2776" s="4" t="str">
        <f t="shared" si="963"/>
        <v>Ciento Treinta y Seis Mil Doscientos Cincuenta Bolívares con 00/100</v>
      </c>
    </row>
    <row r="2777" spans="1:17" x14ac:dyDescent="0.25">
      <c r="A2777" s="1">
        <f t="shared" si="965"/>
        <v>2776</v>
      </c>
      <c r="B2777" s="8"/>
      <c r="C2777" s="85" t="s">
        <v>17</v>
      </c>
      <c r="D2777" s="2">
        <v>43894</v>
      </c>
      <c r="E2777" s="162">
        <v>185250</v>
      </c>
      <c r="F2777" t="s">
        <v>492</v>
      </c>
      <c r="G2777" s="18" t="s">
        <v>58</v>
      </c>
      <c r="H2777" t="s">
        <v>493</v>
      </c>
      <c r="I2777" s="6" t="s">
        <v>1163</v>
      </c>
      <c r="J2777" s="61" t="s">
        <v>22</v>
      </c>
      <c r="L2777" s="5" t="str">
        <f t="shared" si="958"/>
        <v>02776</v>
      </c>
      <c r="M2777" s="47" t="str">
        <f t="shared" si="959"/>
        <v>04 de marzo de 2020</v>
      </c>
      <c r="N2777" s="323">
        <f t="shared" si="960"/>
        <v>4</v>
      </c>
      <c r="O2777" s="25">
        <f t="shared" si="961"/>
        <v>43891</v>
      </c>
      <c r="P2777" s="5" t="str">
        <f t="shared" si="962"/>
        <v>185.250,00</v>
      </c>
      <c r="Q2777" s="4" t="str">
        <f t="shared" si="963"/>
        <v>Ciento Ochenta y Cinco Mil Doscientos Cincuenta Bolívares con 00/100</v>
      </c>
    </row>
    <row r="2778" spans="1:17" x14ac:dyDescent="0.25">
      <c r="A2778" s="1">
        <f t="shared" si="965"/>
        <v>2777</v>
      </c>
      <c r="C2778" s="8" t="s">
        <v>17</v>
      </c>
      <c r="D2778" s="2">
        <v>43894</v>
      </c>
      <c r="E2778" s="3">
        <v>185250</v>
      </c>
      <c r="F2778" t="s">
        <v>713</v>
      </c>
      <c r="G2778" t="s">
        <v>714</v>
      </c>
      <c r="H2778" t="s">
        <v>154</v>
      </c>
      <c r="I2778" s="6" t="s">
        <v>1163</v>
      </c>
      <c r="J2778" s="61" t="s">
        <v>22</v>
      </c>
      <c r="L2778" s="5" t="str">
        <f t="shared" si="958"/>
        <v>02777</v>
      </c>
      <c r="M2778" s="47" t="str">
        <f t="shared" si="959"/>
        <v>04 de marzo de 2020</v>
      </c>
      <c r="N2778" s="323">
        <f t="shared" si="960"/>
        <v>4</v>
      </c>
      <c r="O2778" s="25">
        <f t="shared" si="961"/>
        <v>43891</v>
      </c>
      <c r="P2778" s="5" t="str">
        <f t="shared" si="962"/>
        <v>185.250,00</v>
      </c>
      <c r="Q2778" s="4" t="str">
        <f t="shared" si="963"/>
        <v>Ciento Ochenta y Cinco Mil Doscientos Cincuenta Bolívares con 00/100</v>
      </c>
    </row>
    <row r="2779" spans="1:17" x14ac:dyDescent="0.25">
      <c r="A2779" s="1">
        <f t="shared" si="965"/>
        <v>2778</v>
      </c>
      <c r="C2779" s="8" t="s">
        <v>17</v>
      </c>
      <c r="D2779" s="2">
        <v>43894</v>
      </c>
      <c r="E2779" s="3">
        <v>185250</v>
      </c>
      <c r="F2779" t="s">
        <v>24</v>
      </c>
      <c r="G2779" t="s">
        <v>25</v>
      </c>
      <c r="H2779" t="s">
        <v>26</v>
      </c>
      <c r="I2779" s="6" t="s">
        <v>1163</v>
      </c>
      <c r="J2779" s="61" t="s">
        <v>22</v>
      </c>
      <c r="L2779" s="5" t="str">
        <f t="shared" si="958"/>
        <v>02778</v>
      </c>
      <c r="M2779" s="47" t="str">
        <f t="shared" si="959"/>
        <v>04 de marzo de 2020</v>
      </c>
      <c r="N2779" s="323">
        <f t="shared" si="960"/>
        <v>4</v>
      </c>
      <c r="O2779" s="25">
        <f t="shared" si="961"/>
        <v>43891</v>
      </c>
      <c r="P2779" s="5" t="str">
        <f t="shared" si="962"/>
        <v>185.250,00</v>
      </c>
      <c r="Q2779" s="4" t="str">
        <f t="shared" si="963"/>
        <v>Ciento Ochenta y Cinco Mil Doscientos Cincuenta Bolívares con 00/100</v>
      </c>
    </row>
    <row r="2780" spans="1:17" x14ac:dyDescent="0.25">
      <c r="A2780" s="1">
        <f t="shared" si="965"/>
        <v>2779</v>
      </c>
      <c r="C2780" s="8" t="s">
        <v>17</v>
      </c>
      <c r="D2780" s="2">
        <v>43894</v>
      </c>
      <c r="E2780" s="3">
        <v>136000</v>
      </c>
      <c r="F2780" t="s">
        <v>162</v>
      </c>
      <c r="G2780" t="s">
        <v>163</v>
      </c>
      <c r="H2780" t="s">
        <v>164</v>
      </c>
      <c r="I2780" s="6" t="s">
        <v>1164</v>
      </c>
      <c r="J2780" s="61" t="s">
        <v>22</v>
      </c>
      <c r="L2780" s="5" t="str">
        <f t="shared" si="958"/>
        <v>02779</v>
      </c>
      <c r="M2780" s="47" t="str">
        <f t="shared" si="959"/>
        <v>04 de marzo de 2020</v>
      </c>
      <c r="N2780" s="323">
        <f t="shared" si="960"/>
        <v>4</v>
      </c>
      <c r="O2780" s="25">
        <f t="shared" si="961"/>
        <v>43891</v>
      </c>
      <c r="P2780" s="5" t="str">
        <f>TEXT(E2780,"#.##0,00")</f>
        <v>136.000,00</v>
      </c>
      <c r="Q2780" s="4" t="str">
        <f>CONVERTIRNUM(E2780)</f>
        <v>Ciento Treinta y Seis Mil Bolívares con 00/100</v>
      </c>
    </row>
    <row r="2781" spans="1:17" x14ac:dyDescent="0.25">
      <c r="A2781" s="1">
        <f t="shared" si="965"/>
        <v>2780</v>
      </c>
      <c r="C2781" s="8" t="s">
        <v>17</v>
      </c>
      <c r="D2781" s="2">
        <v>43893</v>
      </c>
      <c r="E2781" s="3">
        <v>200000</v>
      </c>
      <c r="F2781" t="s">
        <v>80</v>
      </c>
      <c r="G2781" t="s">
        <v>81</v>
      </c>
      <c r="H2781" t="s">
        <v>82</v>
      </c>
      <c r="I2781" s="6" t="s">
        <v>1163</v>
      </c>
      <c r="J2781" s="61" t="s">
        <v>22</v>
      </c>
      <c r="L2781" s="5" t="str">
        <f t="shared" si="958"/>
        <v>02780</v>
      </c>
      <c r="M2781" s="47" t="str">
        <f t="shared" si="959"/>
        <v>03 de marzo de 2020</v>
      </c>
      <c r="N2781" s="323">
        <f t="shared" si="960"/>
        <v>3</v>
      </c>
      <c r="O2781" s="25">
        <f t="shared" si="961"/>
        <v>43891</v>
      </c>
      <c r="P2781" s="5" t="str">
        <f t="shared" ref="P2781:P2803" si="966">TEXT(E2781,"#.##0,00")</f>
        <v>200.000,00</v>
      </c>
      <c r="Q2781" s="4" t="str">
        <f t="shared" ref="Q2781:Q2796" si="967">CONVERTIRNUM(E2781)</f>
        <v>Doscientos Mil Bolívares con 00/100</v>
      </c>
    </row>
    <row r="2782" spans="1:17" x14ac:dyDescent="0.25">
      <c r="A2782" s="1">
        <f>A2781+1</f>
        <v>2781</v>
      </c>
      <c r="C2782" s="8" t="s">
        <v>17</v>
      </c>
      <c r="D2782" s="2">
        <v>43894</v>
      </c>
      <c r="E2782" s="3">
        <v>185250</v>
      </c>
      <c r="F2782" t="s">
        <v>70</v>
      </c>
      <c r="G2782" t="s">
        <v>71</v>
      </c>
      <c r="H2782" t="s">
        <v>72</v>
      </c>
      <c r="I2782" s="6" t="s">
        <v>1163</v>
      </c>
      <c r="J2782" s="61" t="s">
        <v>22</v>
      </c>
      <c r="L2782" s="5" t="str">
        <f t="shared" si="958"/>
        <v>02781</v>
      </c>
      <c r="M2782" s="47" t="str">
        <f t="shared" si="959"/>
        <v>04 de marzo de 2020</v>
      </c>
      <c r="N2782" s="323">
        <f t="shared" si="960"/>
        <v>4</v>
      </c>
      <c r="O2782" s="25">
        <f t="shared" si="961"/>
        <v>43891</v>
      </c>
      <c r="P2782" s="5" t="str">
        <f t="shared" si="966"/>
        <v>185.250,00</v>
      </c>
      <c r="Q2782" s="4" t="str">
        <f t="shared" si="967"/>
        <v>Ciento Ochenta y Cinco Mil Doscientos Cincuenta Bolívares con 00/100</v>
      </c>
    </row>
    <row r="2783" spans="1:17" x14ac:dyDescent="0.25">
      <c r="A2783" s="1">
        <f>A2782+1</f>
        <v>2782</v>
      </c>
      <c r="C2783" s="8" t="s">
        <v>17</v>
      </c>
      <c r="D2783" s="2">
        <v>43894</v>
      </c>
      <c r="E2783" s="3">
        <v>586750</v>
      </c>
      <c r="F2783" t="s">
        <v>287</v>
      </c>
      <c r="G2783" t="s">
        <v>288</v>
      </c>
      <c r="H2783" t="s">
        <v>289</v>
      </c>
      <c r="I2783" s="6" t="s">
        <v>1165</v>
      </c>
      <c r="J2783" s="61" t="s">
        <v>22</v>
      </c>
      <c r="L2783" s="5" t="str">
        <f t="shared" si="958"/>
        <v>02782</v>
      </c>
      <c r="M2783" s="47" t="str">
        <f t="shared" si="959"/>
        <v>04 de marzo de 2020</v>
      </c>
      <c r="N2783" s="323">
        <f t="shared" si="960"/>
        <v>4</v>
      </c>
      <c r="O2783" s="25">
        <f t="shared" si="961"/>
        <v>43891</v>
      </c>
      <c r="P2783" s="5" t="str">
        <f t="shared" si="966"/>
        <v>586.750,00</v>
      </c>
      <c r="Q2783" s="4" t="str">
        <f t="shared" si="967"/>
        <v>Quinientos Ochenta y Seis Mil Setecientos Cincuenta Bolívares con 00/100</v>
      </c>
    </row>
    <row r="2784" spans="1:17" x14ac:dyDescent="0.25">
      <c r="A2784" s="1">
        <f>A2783+1</f>
        <v>2783</v>
      </c>
      <c r="C2784" s="8" t="s">
        <v>17</v>
      </c>
      <c r="D2784" s="2">
        <v>43890</v>
      </c>
      <c r="E2784" s="3">
        <f>272500+49000</f>
        <v>321500</v>
      </c>
      <c r="F2784" t="s">
        <v>935</v>
      </c>
      <c r="G2784" t="s">
        <v>936</v>
      </c>
      <c r="H2784" t="s">
        <v>150</v>
      </c>
      <c r="I2784" s="6" t="s">
        <v>1155</v>
      </c>
      <c r="J2784" s="61" t="s">
        <v>22</v>
      </c>
      <c r="L2784" s="5" t="str">
        <f t="shared" si="958"/>
        <v>02783</v>
      </c>
      <c r="M2784" s="47" t="str">
        <f t="shared" si="959"/>
        <v>29 de febrero de 2020</v>
      </c>
      <c r="N2784" s="323">
        <f t="shared" si="960"/>
        <v>29</v>
      </c>
      <c r="O2784" s="25">
        <f t="shared" si="961"/>
        <v>43862</v>
      </c>
      <c r="P2784" s="5" t="str">
        <f t="shared" si="966"/>
        <v>321.500,00</v>
      </c>
      <c r="Q2784" s="4" t="str">
        <f t="shared" si="967"/>
        <v>Trescientos Veintiun Mil Quinientos Bolívares con 00/100</v>
      </c>
    </row>
    <row r="2785" spans="1:17" x14ac:dyDescent="0.25">
      <c r="A2785" s="1">
        <f>A2784+1</f>
        <v>2784</v>
      </c>
      <c r="C2785" s="8" t="s">
        <v>17</v>
      </c>
      <c r="D2785" s="2">
        <v>43893</v>
      </c>
      <c r="E2785" s="3">
        <v>190000</v>
      </c>
      <c r="F2785" t="s">
        <v>230</v>
      </c>
      <c r="G2785" t="s">
        <v>231</v>
      </c>
      <c r="H2785" t="s">
        <v>232</v>
      </c>
      <c r="I2785" s="6" t="s">
        <v>1142</v>
      </c>
      <c r="J2785" s="61" t="s">
        <v>22</v>
      </c>
      <c r="L2785" s="5" t="str">
        <f t="shared" si="958"/>
        <v>02784</v>
      </c>
      <c r="M2785" s="47" t="str">
        <f t="shared" si="959"/>
        <v>03 de marzo de 2020</v>
      </c>
      <c r="N2785" s="323">
        <f t="shared" si="960"/>
        <v>3</v>
      </c>
      <c r="O2785" s="25">
        <f t="shared" si="961"/>
        <v>43891</v>
      </c>
      <c r="P2785" s="5" t="str">
        <f t="shared" si="966"/>
        <v>190.000,00</v>
      </c>
      <c r="Q2785" s="4" t="str">
        <f t="shared" si="967"/>
        <v>Ciento Noventa Mil Bolívares con 00/100</v>
      </c>
    </row>
    <row r="2786" spans="1:17" x14ac:dyDescent="0.25">
      <c r="A2786" s="1">
        <f>A2785+1</f>
        <v>2785</v>
      </c>
      <c r="C2786" s="8" t="s">
        <v>17</v>
      </c>
      <c r="D2786" s="2">
        <v>43894</v>
      </c>
      <c r="E2786" s="3">
        <v>185250</v>
      </c>
      <c r="F2786" t="s">
        <v>118</v>
      </c>
      <c r="G2786" t="s">
        <v>119</v>
      </c>
      <c r="H2786" t="s">
        <v>120</v>
      </c>
      <c r="I2786" s="6" t="s">
        <v>1146</v>
      </c>
      <c r="J2786" s="61" t="s">
        <v>22</v>
      </c>
      <c r="L2786" s="5" t="str">
        <f t="shared" si="958"/>
        <v>02785</v>
      </c>
      <c r="M2786" s="47" t="str">
        <f t="shared" si="959"/>
        <v>04 de marzo de 2020</v>
      </c>
      <c r="N2786" s="323">
        <f t="shared" si="960"/>
        <v>4</v>
      </c>
      <c r="O2786" s="25">
        <f t="shared" si="961"/>
        <v>43891</v>
      </c>
      <c r="P2786" s="5" t="str">
        <f t="shared" si="966"/>
        <v>185.250,00</v>
      </c>
      <c r="Q2786" s="4" t="str">
        <f t="shared" si="967"/>
        <v>Ciento Ochenta y Cinco Mil Doscientos Cincuenta Bolívares con 00/100</v>
      </c>
    </row>
    <row r="2787" spans="1:17" x14ac:dyDescent="0.25">
      <c r="A2787" s="1">
        <f t="shared" ref="A2787" si="968">A2786+1</f>
        <v>2786</v>
      </c>
      <c r="C2787" s="8" t="s">
        <v>17</v>
      </c>
      <c r="D2787" s="2">
        <v>43895</v>
      </c>
      <c r="E2787" s="3">
        <v>185250</v>
      </c>
      <c r="F2787" t="s">
        <v>201</v>
      </c>
      <c r="G2787" t="s">
        <v>202</v>
      </c>
      <c r="H2787" t="s">
        <v>203</v>
      </c>
      <c r="I2787" s="6" t="s">
        <v>1166</v>
      </c>
      <c r="J2787" s="61" t="s">
        <v>22</v>
      </c>
      <c r="L2787" s="5" t="str">
        <f t="shared" si="958"/>
        <v>02786</v>
      </c>
      <c r="M2787" s="47" t="str">
        <f t="shared" si="959"/>
        <v>05 de marzo de 2020</v>
      </c>
      <c r="N2787" s="323">
        <f t="shared" si="960"/>
        <v>5</v>
      </c>
      <c r="O2787" s="25">
        <f t="shared" si="961"/>
        <v>43891</v>
      </c>
      <c r="P2787" s="5" t="str">
        <f t="shared" si="966"/>
        <v>185.250,00</v>
      </c>
      <c r="Q2787" s="4" t="str">
        <f t="shared" si="967"/>
        <v>Ciento Ochenta y Cinco Mil Doscientos Cincuenta Bolívares con 00/100</v>
      </c>
    </row>
    <row r="2788" spans="1:17" x14ac:dyDescent="0.25">
      <c r="A2788" s="1">
        <f>A2787+1</f>
        <v>2787</v>
      </c>
      <c r="C2788" s="8" t="s">
        <v>17</v>
      </c>
      <c r="D2788" s="2">
        <v>43895</v>
      </c>
      <c r="E2788" s="3">
        <v>185250</v>
      </c>
      <c r="F2788" t="s">
        <v>48</v>
      </c>
      <c r="G2788" t="s">
        <v>49</v>
      </c>
      <c r="H2788" t="s">
        <v>50</v>
      </c>
      <c r="I2788" s="6" t="s">
        <v>1167</v>
      </c>
      <c r="J2788" s="61" t="s">
        <v>22</v>
      </c>
      <c r="L2788" s="5" t="str">
        <f t="shared" si="958"/>
        <v>02787</v>
      </c>
      <c r="M2788" s="47" t="str">
        <f t="shared" si="959"/>
        <v>05 de marzo de 2020</v>
      </c>
      <c r="N2788" s="323">
        <f t="shared" si="960"/>
        <v>5</v>
      </c>
      <c r="O2788" s="25">
        <f t="shared" si="961"/>
        <v>43891</v>
      </c>
      <c r="P2788" s="5" t="str">
        <f t="shared" si="966"/>
        <v>185.250,00</v>
      </c>
      <c r="Q2788" s="4" t="str">
        <f t="shared" si="967"/>
        <v>Ciento Ochenta y Cinco Mil Doscientos Cincuenta Bolívares con 00/100</v>
      </c>
    </row>
    <row r="2789" spans="1:17" x14ac:dyDescent="0.25">
      <c r="A2789" s="1">
        <f t="shared" ref="A2789" si="969">A2788+1</f>
        <v>2788</v>
      </c>
      <c r="B2789" s="8"/>
      <c r="C2789" s="8" t="s">
        <v>17</v>
      </c>
      <c r="D2789" s="2">
        <v>43895</v>
      </c>
      <c r="E2789" s="3">
        <v>185250</v>
      </c>
      <c r="F2789" t="s">
        <v>36</v>
      </c>
      <c r="G2789" t="s">
        <v>37</v>
      </c>
      <c r="H2789" t="s">
        <v>38</v>
      </c>
      <c r="I2789" s="6" t="s">
        <v>1163</v>
      </c>
      <c r="J2789" s="61" t="s">
        <v>22</v>
      </c>
      <c r="L2789" s="5" t="str">
        <f t="shared" si="958"/>
        <v>02788</v>
      </c>
      <c r="M2789" s="47" t="str">
        <f t="shared" si="959"/>
        <v>05 de marzo de 2020</v>
      </c>
      <c r="N2789" s="323">
        <f t="shared" si="960"/>
        <v>5</v>
      </c>
      <c r="O2789" s="25">
        <f t="shared" si="961"/>
        <v>43891</v>
      </c>
      <c r="P2789" s="5" t="str">
        <f t="shared" si="966"/>
        <v>185.250,00</v>
      </c>
      <c r="Q2789" s="4" t="str">
        <f t="shared" si="967"/>
        <v>Ciento Ochenta y Cinco Mil Doscientos Cincuenta Bolívares con 00/100</v>
      </c>
    </row>
    <row r="2790" spans="1:17" x14ac:dyDescent="0.25">
      <c r="A2790" s="1">
        <f>A2789+1</f>
        <v>2789</v>
      </c>
      <c r="B2790" s="8"/>
      <c r="C2790" s="85" t="s">
        <v>17</v>
      </c>
      <c r="D2790" s="2">
        <v>43895</v>
      </c>
      <c r="E2790" s="3">
        <v>185250</v>
      </c>
      <c r="F2790" t="s">
        <v>259</v>
      </c>
      <c r="G2790" s="18" t="s">
        <v>58</v>
      </c>
      <c r="H2790" t="s">
        <v>261</v>
      </c>
      <c r="I2790" s="6" t="s">
        <v>1142</v>
      </c>
      <c r="J2790" s="61" t="s">
        <v>22</v>
      </c>
      <c r="L2790" s="5" t="str">
        <f t="shared" si="958"/>
        <v>02789</v>
      </c>
      <c r="M2790" s="47" t="str">
        <f t="shared" si="959"/>
        <v>05 de marzo de 2020</v>
      </c>
      <c r="N2790" s="323">
        <f t="shared" si="960"/>
        <v>5</v>
      </c>
      <c r="O2790" s="25">
        <f t="shared" si="961"/>
        <v>43891</v>
      </c>
      <c r="P2790" s="5" t="str">
        <f t="shared" si="966"/>
        <v>185.250,00</v>
      </c>
      <c r="Q2790" s="4" t="str">
        <f t="shared" si="967"/>
        <v>Ciento Ochenta y Cinco Mil Doscientos Cincuenta Bolívares con 00/100</v>
      </c>
    </row>
    <row r="2791" spans="1:17" x14ac:dyDescent="0.25">
      <c r="A2791" s="1">
        <f t="shared" ref="A2791:A2794" si="970">A2790+1</f>
        <v>2790</v>
      </c>
      <c r="C2791" s="85" t="s">
        <v>17</v>
      </c>
      <c r="D2791" s="2">
        <v>43896</v>
      </c>
      <c r="E2791" s="3">
        <v>185250</v>
      </c>
      <c r="F2791" t="s">
        <v>40</v>
      </c>
      <c r="G2791" s="475" t="s">
        <v>1168</v>
      </c>
      <c r="H2791" t="s">
        <v>42</v>
      </c>
      <c r="I2791" s="6" t="s">
        <v>1163</v>
      </c>
      <c r="J2791" s="61" t="s">
        <v>22</v>
      </c>
      <c r="L2791" s="5" t="str">
        <f t="shared" si="958"/>
        <v>02790</v>
      </c>
      <c r="M2791" s="47" t="str">
        <f t="shared" si="959"/>
        <v>06 de marzo de 2020</v>
      </c>
      <c r="N2791" s="323">
        <f t="shared" si="960"/>
        <v>6</v>
      </c>
      <c r="O2791" s="25">
        <f t="shared" si="961"/>
        <v>43891</v>
      </c>
      <c r="P2791" s="5" t="str">
        <f t="shared" si="966"/>
        <v>185.250,00</v>
      </c>
      <c r="Q2791" s="4" t="str">
        <f t="shared" si="967"/>
        <v>Ciento Ochenta y Cinco Mil Doscientos Cincuenta Bolívares con 00/100</v>
      </c>
    </row>
    <row r="2792" spans="1:17" x14ac:dyDescent="0.25">
      <c r="A2792" s="1">
        <f>A2791+1</f>
        <v>2791</v>
      </c>
      <c r="B2792" s="8"/>
      <c r="C2792" s="8" t="s">
        <v>17</v>
      </c>
      <c r="D2792" s="2">
        <v>43896</v>
      </c>
      <c r="E2792" s="3">
        <v>185250</v>
      </c>
      <c r="F2792" t="s">
        <v>342</v>
      </c>
      <c r="G2792" t="s">
        <v>1036</v>
      </c>
      <c r="H2792" t="s">
        <v>344</v>
      </c>
      <c r="I2792" s="6" t="s">
        <v>1163</v>
      </c>
      <c r="J2792" s="61" t="s">
        <v>22</v>
      </c>
      <c r="L2792" s="5" t="str">
        <f t="shared" si="958"/>
        <v>02791</v>
      </c>
      <c r="M2792" s="47" t="str">
        <f t="shared" si="959"/>
        <v>06 de marzo de 2020</v>
      </c>
      <c r="N2792" s="323">
        <f t="shared" si="960"/>
        <v>6</v>
      </c>
      <c r="O2792" s="25">
        <f t="shared" si="961"/>
        <v>43891</v>
      </c>
      <c r="P2792" s="5" t="str">
        <f t="shared" si="966"/>
        <v>185.250,00</v>
      </c>
      <c r="Q2792" s="4" t="str">
        <f t="shared" si="967"/>
        <v>Ciento Ochenta y Cinco Mil Doscientos Cincuenta Bolívares con 00/100</v>
      </c>
    </row>
    <row r="2793" spans="1:17" x14ac:dyDescent="0.25">
      <c r="A2793" s="1">
        <f t="shared" si="970"/>
        <v>2792</v>
      </c>
      <c r="C2793" s="8" t="s">
        <v>17</v>
      </c>
      <c r="D2793" s="2">
        <v>43896</v>
      </c>
      <c r="E2793" s="3">
        <v>185250</v>
      </c>
      <c r="F2793" t="s">
        <v>438</v>
      </c>
      <c r="G2793" t="s">
        <v>439</v>
      </c>
      <c r="H2793" t="s">
        <v>440</v>
      </c>
      <c r="I2793" s="6" t="s">
        <v>1169</v>
      </c>
      <c r="J2793" s="61" t="s">
        <v>22</v>
      </c>
      <c r="L2793" s="5" t="str">
        <f t="shared" si="958"/>
        <v>02792</v>
      </c>
      <c r="M2793" s="47" t="str">
        <f t="shared" si="959"/>
        <v>06 de marzo de 2020</v>
      </c>
      <c r="N2793" s="323">
        <f t="shared" si="960"/>
        <v>6</v>
      </c>
      <c r="O2793" s="25">
        <f t="shared" si="961"/>
        <v>43891</v>
      </c>
      <c r="P2793" s="5" t="str">
        <f t="shared" si="966"/>
        <v>185.250,00</v>
      </c>
      <c r="Q2793" s="4" t="str">
        <f t="shared" si="967"/>
        <v>Ciento Ochenta y Cinco Mil Doscientos Cincuenta Bolívares con 00/100</v>
      </c>
    </row>
    <row r="2794" spans="1:17" x14ac:dyDescent="0.25">
      <c r="A2794" s="1">
        <f t="shared" si="970"/>
        <v>2793</v>
      </c>
      <c r="C2794" s="8" t="s">
        <v>17</v>
      </c>
      <c r="D2794" s="2">
        <v>43896</v>
      </c>
      <c r="E2794" s="3">
        <v>50000</v>
      </c>
      <c r="F2794" t="s">
        <v>134</v>
      </c>
      <c r="G2794" t="s">
        <v>135</v>
      </c>
      <c r="H2794" t="s">
        <v>136</v>
      </c>
      <c r="I2794" s="6" t="s">
        <v>1170</v>
      </c>
      <c r="J2794" s="61" t="s">
        <v>22</v>
      </c>
      <c r="L2794" s="5" t="str">
        <f t="shared" ref="L2794:L2809" si="971">IF(ISBLANK(A2794),"",TEXT(A2794,"00000"))</f>
        <v>02793</v>
      </c>
      <c r="M2794" s="47" t="str">
        <f t="shared" ref="M2794:M2809" si="972">IF(ISBLANK(D2794),"",TEXT(D2794,"dd")&amp;" de "&amp;TEXT(D2794,"mmmm")&amp;" de "&amp;TEXT(YEAR(D2794),"0"))</f>
        <v>06 de marzo de 2020</v>
      </c>
      <c r="N2794" s="323">
        <f t="shared" ref="N2794:N2809" si="973">DAY(D2794)</f>
        <v>6</v>
      </c>
      <c r="O2794" s="25">
        <f t="shared" ref="O2794:O2809" si="974">DATE(YEAR(D2794),MONTH(D2794),1)</f>
        <v>43891</v>
      </c>
      <c r="P2794" s="5" t="str">
        <f t="shared" si="966"/>
        <v>50.000,00</v>
      </c>
      <c r="Q2794" s="4" t="str">
        <f t="shared" si="967"/>
        <v>Cincuenta Mil Bolívares con 00/100</v>
      </c>
    </row>
    <row r="2795" spans="1:17" x14ac:dyDescent="0.25">
      <c r="A2795" s="1">
        <f>A2794+1</f>
        <v>2794</v>
      </c>
      <c r="C2795" s="8" t="s">
        <v>17</v>
      </c>
      <c r="D2795" s="2">
        <v>43896</v>
      </c>
      <c r="E2795" s="3">
        <v>185250</v>
      </c>
      <c r="F2795" t="s">
        <v>337</v>
      </c>
      <c r="G2795" t="s">
        <v>338</v>
      </c>
      <c r="H2795" t="s">
        <v>339</v>
      </c>
      <c r="I2795" s="6" t="s">
        <v>1163</v>
      </c>
      <c r="J2795" s="61" t="s">
        <v>22</v>
      </c>
      <c r="L2795" s="5" t="str">
        <f t="shared" si="971"/>
        <v>02794</v>
      </c>
      <c r="M2795" s="47" t="str">
        <f t="shared" si="972"/>
        <v>06 de marzo de 2020</v>
      </c>
      <c r="N2795" s="323">
        <f t="shared" si="973"/>
        <v>6</v>
      </c>
      <c r="O2795" s="25">
        <f t="shared" si="974"/>
        <v>43891</v>
      </c>
      <c r="P2795" s="5" t="str">
        <f t="shared" si="966"/>
        <v>185.250,00</v>
      </c>
      <c r="Q2795" s="4" t="str">
        <f t="shared" si="967"/>
        <v>Ciento Ochenta y Cinco Mil Doscientos Cincuenta Bolívares con 00/100</v>
      </c>
    </row>
    <row r="2796" spans="1:17" x14ac:dyDescent="0.25">
      <c r="A2796" s="1">
        <f>A2795+1</f>
        <v>2795</v>
      </c>
      <c r="C2796" s="8" t="s">
        <v>17</v>
      </c>
      <c r="D2796" s="2">
        <v>43896</v>
      </c>
      <c r="E2796" s="3">
        <f>2*185250</f>
        <v>370500</v>
      </c>
      <c r="F2796" t="s">
        <v>843</v>
      </c>
      <c r="G2796" t="s">
        <v>844</v>
      </c>
      <c r="H2796" t="s">
        <v>169</v>
      </c>
      <c r="I2796" s="6" t="s">
        <v>1155</v>
      </c>
      <c r="J2796" s="61" t="s">
        <v>22</v>
      </c>
      <c r="L2796" s="5" t="str">
        <f t="shared" si="971"/>
        <v>02795</v>
      </c>
      <c r="M2796" s="47" t="str">
        <f t="shared" si="972"/>
        <v>06 de marzo de 2020</v>
      </c>
      <c r="N2796" s="323">
        <f t="shared" si="973"/>
        <v>6</v>
      </c>
      <c r="O2796" s="25">
        <f t="shared" si="974"/>
        <v>43891</v>
      </c>
      <c r="P2796" s="5" t="str">
        <f t="shared" si="966"/>
        <v>370.500,00</v>
      </c>
      <c r="Q2796" s="4" t="str">
        <f t="shared" si="967"/>
        <v>Trescientos Setenta Mil Quinientos Bolívares con 00/100</v>
      </c>
    </row>
    <row r="2797" spans="1:17" x14ac:dyDescent="0.25">
      <c r="A2797" s="1">
        <f>A2796+1</f>
        <v>2796</v>
      </c>
      <c r="C2797" s="8" t="s">
        <v>17</v>
      </c>
      <c r="D2797" s="2">
        <v>43898</v>
      </c>
      <c r="E2797" s="3">
        <v>185250</v>
      </c>
      <c r="F2797" t="s">
        <v>407</v>
      </c>
      <c r="G2797" t="s">
        <v>408</v>
      </c>
      <c r="H2797" t="s">
        <v>409</v>
      </c>
      <c r="I2797" s="6" t="s">
        <v>1163</v>
      </c>
      <c r="J2797" s="61" t="s">
        <v>22</v>
      </c>
      <c r="L2797" s="5" t="str">
        <f t="shared" si="971"/>
        <v>02796</v>
      </c>
      <c r="M2797" s="47" t="str">
        <f t="shared" si="972"/>
        <v>08 de marzo de 2020</v>
      </c>
      <c r="N2797" s="323">
        <f t="shared" si="973"/>
        <v>8</v>
      </c>
      <c r="O2797" s="25">
        <f t="shared" si="974"/>
        <v>43891</v>
      </c>
      <c r="P2797" s="5" t="str">
        <f t="shared" si="966"/>
        <v>185.250,00</v>
      </c>
      <c r="Q2797" s="4" t="str">
        <f>CONVERTIRNUM(E2797)</f>
        <v>Ciento Ochenta y Cinco Mil Doscientos Cincuenta Bolívares con 00/100</v>
      </c>
    </row>
    <row r="2798" spans="1:17" x14ac:dyDescent="0.25">
      <c r="A2798" s="1">
        <f>A2797+1</f>
        <v>2797</v>
      </c>
      <c r="B2798" s="8"/>
      <c r="C2798" s="8" t="s">
        <v>17</v>
      </c>
      <c r="D2798" s="2">
        <v>43897</v>
      </c>
      <c r="E2798" s="3">
        <v>90000</v>
      </c>
      <c r="F2798" t="s">
        <v>28</v>
      </c>
      <c r="G2798" t="s">
        <v>716</v>
      </c>
      <c r="H2798" t="s">
        <v>30</v>
      </c>
      <c r="I2798" s="6" t="s">
        <v>1162</v>
      </c>
      <c r="J2798" s="61" t="s">
        <v>22</v>
      </c>
      <c r="L2798" s="5" t="str">
        <f t="shared" si="971"/>
        <v>02797</v>
      </c>
      <c r="M2798" s="47" t="str">
        <f t="shared" si="972"/>
        <v>07 de marzo de 2020</v>
      </c>
      <c r="N2798" s="323">
        <f t="shared" si="973"/>
        <v>7</v>
      </c>
      <c r="O2798" s="25">
        <f t="shared" si="974"/>
        <v>43891</v>
      </c>
      <c r="P2798" s="5" t="str">
        <f t="shared" si="966"/>
        <v>90.000,00</v>
      </c>
      <c r="Q2798" s="4" t="str">
        <f t="shared" ref="Q2798:Q2803" si="975">CONVERTIRNUM(E2798)</f>
        <v>Noventa Mil Bolívares con 00/100</v>
      </c>
    </row>
    <row r="2799" spans="1:17" x14ac:dyDescent="0.25">
      <c r="A2799" s="1">
        <f t="shared" ref="A2799:A2805" si="976">A2798+1</f>
        <v>2798</v>
      </c>
      <c r="B2799" s="8"/>
      <c r="C2799" s="85" t="s">
        <v>17</v>
      </c>
      <c r="D2799" s="2">
        <v>43899</v>
      </c>
      <c r="E2799" s="3">
        <v>265615</v>
      </c>
      <c r="F2799" s="23" t="s">
        <v>422</v>
      </c>
      <c r="G2799" s="18" t="s">
        <v>58</v>
      </c>
      <c r="H2799" t="s">
        <v>423</v>
      </c>
      <c r="I2799" s="6" t="s">
        <v>1163</v>
      </c>
      <c r="J2799" s="61" t="s">
        <v>22</v>
      </c>
      <c r="L2799" s="5" t="str">
        <f t="shared" si="971"/>
        <v>02798</v>
      </c>
      <c r="M2799" s="47" t="str">
        <f t="shared" si="972"/>
        <v>09 de marzo de 2020</v>
      </c>
      <c r="N2799" s="323">
        <f t="shared" si="973"/>
        <v>9</v>
      </c>
      <c r="O2799" s="25">
        <f t="shared" si="974"/>
        <v>43891</v>
      </c>
      <c r="P2799" s="5" t="str">
        <f t="shared" si="966"/>
        <v>265.615,00</v>
      </c>
      <c r="Q2799" s="4" t="str">
        <f t="shared" si="975"/>
        <v>Doscientos Sesenta y Cinco Mil Seiscientos Quince Bolívares con 00/100</v>
      </c>
    </row>
    <row r="2800" spans="1:17" x14ac:dyDescent="0.25">
      <c r="A2800" s="1">
        <f>A2799+1</f>
        <v>2799</v>
      </c>
      <c r="C2800" s="8" t="s">
        <v>17</v>
      </c>
      <c r="D2800" s="2">
        <v>43898</v>
      </c>
      <c r="E2800" s="3">
        <v>185250</v>
      </c>
      <c r="F2800" t="s">
        <v>312</v>
      </c>
      <c r="G2800" t="s">
        <v>313</v>
      </c>
      <c r="H2800" t="s">
        <v>314</v>
      </c>
      <c r="I2800" s="6" t="s">
        <v>1163</v>
      </c>
      <c r="J2800" s="61" t="s">
        <v>22</v>
      </c>
      <c r="L2800" s="5" t="str">
        <f t="shared" si="971"/>
        <v>02799</v>
      </c>
      <c r="M2800" s="47" t="str">
        <f t="shared" si="972"/>
        <v>08 de marzo de 2020</v>
      </c>
      <c r="N2800" s="323">
        <f t="shared" si="973"/>
        <v>8</v>
      </c>
      <c r="O2800" s="25">
        <f t="shared" si="974"/>
        <v>43891</v>
      </c>
      <c r="P2800" s="5" t="str">
        <f t="shared" si="966"/>
        <v>185.250,00</v>
      </c>
      <c r="Q2800" s="4" t="str">
        <f t="shared" si="975"/>
        <v>Ciento Ochenta y Cinco Mil Doscientos Cincuenta Bolívares con 00/100</v>
      </c>
    </row>
    <row r="2801" spans="1:17" x14ac:dyDescent="0.25">
      <c r="A2801" s="1">
        <f t="shared" si="976"/>
        <v>2800</v>
      </c>
      <c r="B2801" s="8"/>
      <c r="C2801" s="8" t="s">
        <v>17</v>
      </c>
      <c r="D2801" s="2">
        <v>43897</v>
      </c>
      <c r="E2801" s="3">
        <v>185250</v>
      </c>
      <c r="F2801" t="s">
        <v>181</v>
      </c>
      <c r="G2801" t="s">
        <v>182</v>
      </c>
      <c r="H2801" t="s">
        <v>183</v>
      </c>
      <c r="I2801" s="6" t="s">
        <v>1163</v>
      </c>
      <c r="J2801" s="61" t="s">
        <v>22</v>
      </c>
      <c r="L2801" s="5" t="str">
        <f t="shared" si="971"/>
        <v>02800</v>
      </c>
      <c r="M2801" s="47" t="str">
        <f t="shared" si="972"/>
        <v>07 de marzo de 2020</v>
      </c>
      <c r="N2801" s="323">
        <f t="shared" si="973"/>
        <v>7</v>
      </c>
      <c r="O2801" s="25">
        <f t="shared" si="974"/>
        <v>43891</v>
      </c>
      <c r="P2801" s="5" t="str">
        <f t="shared" si="966"/>
        <v>185.250,00</v>
      </c>
      <c r="Q2801" s="4" t="str">
        <f t="shared" si="975"/>
        <v>Ciento Ochenta y Cinco Mil Doscientos Cincuenta Bolívares con 00/100</v>
      </c>
    </row>
    <row r="2802" spans="1:17" x14ac:dyDescent="0.25">
      <c r="A2802" s="1">
        <f>A2801+1</f>
        <v>2801</v>
      </c>
      <c r="B2802" s="8"/>
      <c r="C2802" s="8" t="s">
        <v>17</v>
      </c>
      <c r="D2802" s="2">
        <v>43900</v>
      </c>
      <c r="E2802" s="3">
        <v>185250</v>
      </c>
      <c r="F2802" t="s">
        <v>18</v>
      </c>
      <c r="G2802" t="s">
        <v>19</v>
      </c>
      <c r="H2802" t="s">
        <v>20</v>
      </c>
      <c r="I2802" t="s">
        <v>1171</v>
      </c>
      <c r="J2802" s="61" t="s">
        <v>22</v>
      </c>
      <c r="L2802" s="5" t="str">
        <f t="shared" si="971"/>
        <v>02801</v>
      </c>
      <c r="M2802" s="47" t="str">
        <f t="shared" si="972"/>
        <v>10 de marzo de 2020</v>
      </c>
      <c r="N2802" s="323">
        <f t="shared" si="973"/>
        <v>10</v>
      </c>
      <c r="O2802" s="25">
        <f t="shared" si="974"/>
        <v>43891</v>
      </c>
      <c r="P2802" s="5" t="str">
        <f t="shared" si="966"/>
        <v>185.250,00</v>
      </c>
      <c r="Q2802" s="4" t="str">
        <f t="shared" si="975"/>
        <v>Ciento Ochenta y Cinco Mil Doscientos Cincuenta Bolívares con 00/100</v>
      </c>
    </row>
    <row r="2803" spans="1:17" x14ac:dyDescent="0.25">
      <c r="A2803" s="1">
        <f t="shared" si="976"/>
        <v>2802</v>
      </c>
      <c r="B2803" s="8"/>
      <c r="C2803" s="8" t="s">
        <v>17</v>
      </c>
      <c r="D2803" s="2">
        <v>43900</v>
      </c>
      <c r="E2803" s="3">
        <v>185000</v>
      </c>
      <c r="F2803" t="s">
        <v>443</v>
      </c>
      <c r="G2803" t="s">
        <v>444</v>
      </c>
      <c r="H2803" t="s">
        <v>75</v>
      </c>
      <c r="I2803" s="6" t="s">
        <v>1163</v>
      </c>
      <c r="J2803" s="61" t="s">
        <v>22</v>
      </c>
      <c r="L2803" s="5" t="str">
        <f t="shared" si="971"/>
        <v>02802</v>
      </c>
      <c r="M2803" s="47" t="str">
        <f t="shared" si="972"/>
        <v>10 de marzo de 2020</v>
      </c>
      <c r="N2803" s="323">
        <f t="shared" si="973"/>
        <v>10</v>
      </c>
      <c r="O2803" s="25">
        <f t="shared" si="974"/>
        <v>43891</v>
      </c>
      <c r="P2803" s="5" t="str">
        <f t="shared" si="966"/>
        <v>185.000,00</v>
      </c>
      <c r="Q2803" s="4" t="str">
        <f t="shared" si="975"/>
        <v>Ciento Ochenta y Cinco Mil Bolívares con 00/100</v>
      </c>
    </row>
    <row r="2804" spans="1:17" x14ac:dyDescent="0.25">
      <c r="A2804" s="1">
        <f t="shared" si="976"/>
        <v>2803</v>
      </c>
      <c r="B2804" s="8"/>
      <c r="C2804" s="8" t="s">
        <v>17</v>
      </c>
      <c r="D2804" s="2">
        <v>43901</v>
      </c>
      <c r="E2804" s="3">
        <v>185250</v>
      </c>
      <c r="F2804" t="s">
        <v>162</v>
      </c>
      <c r="G2804" t="s">
        <v>163</v>
      </c>
      <c r="H2804" t="s">
        <v>164</v>
      </c>
      <c r="I2804" s="6" t="s">
        <v>1163</v>
      </c>
      <c r="J2804" s="61" t="s">
        <v>22</v>
      </c>
      <c r="L2804" s="5" t="str">
        <f t="shared" si="971"/>
        <v>02803</v>
      </c>
      <c r="M2804" s="47" t="str">
        <f t="shared" si="972"/>
        <v>11 de marzo de 2020</v>
      </c>
      <c r="N2804" s="323">
        <f t="shared" si="973"/>
        <v>11</v>
      </c>
      <c r="O2804" s="25">
        <f t="shared" si="974"/>
        <v>43891</v>
      </c>
      <c r="P2804" s="5" t="str">
        <f>TEXT(E2804,"#.##0,00")</f>
        <v>185.250,00</v>
      </c>
      <c r="Q2804" s="4" t="str">
        <f>CONVERTIRNUM(E2804)</f>
        <v>Ciento Ochenta y Cinco Mil Doscientos Cincuenta Bolívares con 00/100</v>
      </c>
    </row>
    <row r="2805" spans="1:17" x14ac:dyDescent="0.25">
      <c r="A2805" s="1">
        <f t="shared" si="976"/>
        <v>2804</v>
      </c>
      <c r="B2805" s="8"/>
      <c r="C2805" s="8" t="s">
        <v>17</v>
      </c>
      <c r="D2805" s="2">
        <v>43901</v>
      </c>
      <c r="E2805" s="3">
        <v>185250</v>
      </c>
      <c r="F2805" t="s">
        <v>114</v>
      </c>
      <c r="G2805" t="s">
        <v>115</v>
      </c>
      <c r="H2805" t="s">
        <v>105</v>
      </c>
      <c r="I2805" s="6" t="s">
        <v>1163</v>
      </c>
      <c r="J2805" s="61" t="s">
        <v>22</v>
      </c>
      <c r="L2805" s="5" t="str">
        <f t="shared" si="971"/>
        <v>02804</v>
      </c>
      <c r="M2805" s="47" t="str">
        <f t="shared" si="972"/>
        <v>11 de marzo de 2020</v>
      </c>
      <c r="N2805" s="323">
        <f t="shared" si="973"/>
        <v>11</v>
      </c>
      <c r="O2805" s="25">
        <f t="shared" si="974"/>
        <v>43891</v>
      </c>
      <c r="P2805" s="5" t="str">
        <f t="shared" ref="P2805:P2809" si="977">TEXT(E2805,"#.##0,00")</f>
        <v>185.250,00</v>
      </c>
      <c r="Q2805" s="4" t="str">
        <f t="shared" ref="Q2805:Q2809" si="978">CONVERTIRNUM(E2805)</f>
        <v>Ciento Ochenta y Cinco Mil Doscientos Cincuenta Bolívares con 00/100</v>
      </c>
    </row>
    <row r="2806" spans="1:17" x14ac:dyDescent="0.25">
      <c r="A2806" s="1">
        <f>A2805+1</f>
        <v>2805</v>
      </c>
      <c r="B2806" s="8"/>
      <c r="C2806" s="8" t="s">
        <v>17</v>
      </c>
      <c r="D2806" s="2">
        <v>43902</v>
      </c>
      <c r="E2806" s="3">
        <f>80000+5250</f>
        <v>85250</v>
      </c>
      <c r="F2806" t="s">
        <v>252</v>
      </c>
      <c r="G2806" s="475" t="s">
        <v>958</v>
      </c>
      <c r="H2806" t="s">
        <v>254</v>
      </c>
      <c r="I2806" s="6" t="s">
        <v>1172</v>
      </c>
      <c r="J2806" s="61" t="s">
        <v>22</v>
      </c>
      <c r="L2806" s="5" t="str">
        <f t="shared" si="971"/>
        <v>02805</v>
      </c>
      <c r="M2806" s="47" t="str">
        <f t="shared" si="972"/>
        <v>12 de marzo de 2020</v>
      </c>
      <c r="N2806" s="323">
        <f t="shared" si="973"/>
        <v>12</v>
      </c>
      <c r="O2806" s="25">
        <f t="shared" si="974"/>
        <v>43891</v>
      </c>
      <c r="P2806" s="5" t="str">
        <f t="shared" si="977"/>
        <v>85.250,00</v>
      </c>
      <c r="Q2806" s="4" t="str">
        <f t="shared" si="978"/>
        <v>Ochenta y Cinco Mil Doscientos Cincuenta Bolívares con 00/100</v>
      </c>
    </row>
    <row r="2807" spans="1:17" x14ac:dyDescent="0.25">
      <c r="A2807" s="1">
        <f>A2806+1</f>
        <v>2806</v>
      </c>
      <c r="B2807" s="8"/>
      <c r="C2807" s="8" t="s">
        <v>17</v>
      </c>
      <c r="D2807" s="2">
        <v>43903</v>
      </c>
      <c r="E2807" s="3">
        <v>186000</v>
      </c>
      <c r="F2807" t="s">
        <v>103</v>
      </c>
      <c r="G2807" s="599" t="s">
        <v>1047</v>
      </c>
      <c r="H2807" t="s">
        <v>105</v>
      </c>
      <c r="I2807" s="6" t="s">
        <v>1163</v>
      </c>
      <c r="J2807" s="61" t="s">
        <v>22</v>
      </c>
      <c r="L2807" s="5" t="str">
        <f t="shared" si="971"/>
        <v>02806</v>
      </c>
      <c r="M2807" s="47" t="str">
        <f t="shared" si="972"/>
        <v>13 de marzo de 2020</v>
      </c>
      <c r="N2807" s="323">
        <f t="shared" si="973"/>
        <v>13</v>
      </c>
      <c r="O2807" s="25">
        <f t="shared" si="974"/>
        <v>43891</v>
      </c>
      <c r="P2807" s="5" t="str">
        <f t="shared" si="977"/>
        <v>186.000,00</v>
      </c>
      <c r="Q2807" s="4" t="str">
        <f t="shared" si="978"/>
        <v>Ciento Ochenta y Seis Mil Bolívares con 00/100</v>
      </c>
    </row>
    <row r="2808" spans="1:17" x14ac:dyDescent="0.25">
      <c r="A2808" s="1">
        <f t="shared" ref="A2808:A2812" si="979">A2807+1</f>
        <v>2807</v>
      </c>
      <c r="B2808" s="8"/>
      <c r="C2808" s="85" t="s">
        <v>17</v>
      </c>
      <c r="D2808" s="2">
        <v>43902</v>
      </c>
      <c r="E2808" s="3">
        <v>200000</v>
      </c>
      <c r="F2808" t="s">
        <v>319</v>
      </c>
      <c r="G2808" s="18" t="s">
        <v>58</v>
      </c>
      <c r="H2808" t="s">
        <v>320</v>
      </c>
      <c r="I2808" s="6" t="s">
        <v>1163</v>
      </c>
      <c r="J2808" s="61" t="s">
        <v>22</v>
      </c>
      <c r="L2808" s="5" t="str">
        <f t="shared" si="971"/>
        <v>02807</v>
      </c>
      <c r="M2808" s="47" t="str">
        <f t="shared" si="972"/>
        <v>12 de marzo de 2020</v>
      </c>
      <c r="N2808" s="323">
        <f t="shared" si="973"/>
        <v>12</v>
      </c>
      <c r="O2808" s="25">
        <f t="shared" si="974"/>
        <v>43891</v>
      </c>
      <c r="P2808" s="5" t="str">
        <f t="shared" si="977"/>
        <v>200.000,00</v>
      </c>
      <c r="Q2808" s="4" t="str">
        <f t="shared" si="978"/>
        <v>Doscientos Mil Bolívares con 00/100</v>
      </c>
    </row>
    <row r="2809" spans="1:17" x14ac:dyDescent="0.25">
      <c r="A2809" s="656">
        <f>A2808+1</f>
        <v>2808</v>
      </c>
      <c r="B2809" s="8"/>
      <c r="C2809" s="8" t="s">
        <v>17</v>
      </c>
      <c r="D2809" s="2">
        <v>43902</v>
      </c>
      <c r="E2809" s="3">
        <v>185250</v>
      </c>
      <c r="F2809" t="s">
        <v>454</v>
      </c>
      <c r="G2809" t="s">
        <v>761</v>
      </c>
      <c r="H2809" t="s">
        <v>455</v>
      </c>
      <c r="I2809" s="6" t="s">
        <v>1163</v>
      </c>
      <c r="J2809" s="61" t="s">
        <v>22</v>
      </c>
      <c r="L2809" s="5" t="str">
        <f t="shared" si="971"/>
        <v>02808</v>
      </c>
      <c r="M2809" s="47" t="str">
        <f t="shared" si="972"/>
        <v>12 de marzo de 2020</v>
      </c>
      <c r="N2809" s="323">
        <f t="shared" si="973"/>
        <v>12</v>
      </c>
      <c r="O2809" s="25">
        <f t="shared" si="974"/>
        <v>43891</v>
      </c>
      <c r="P2809" s="5" t="str">
        <f t="shared" si="977"/>
        <v>185.250,00</v>
      </c>
      <c r="Q2809" s="4" t="str">
        <f t="shared" si="978"/>
        <v>Ciento Ochenta y Cinco Mil Doscientos Cincuenta Bolívares con 00/100</v>
      </c>
    </row>
    <row r="2810" spans="1:17" x14ac:dyDescent="0.25">
      <c r="A2810" s="656">
        <f>A2809+1</f>
        <v>2809</v>
      </c>
      <c r="B2810" s="8"/>
      <c r="C2810" s="8" t="s">
        <v>17</v>
      </c>
      <c r="D2810" s="2">
        <v>43903</v>
      </c>
      <c r="E2810" s="3">
        <f>372000</f>
        <v>372000</v>
      </c>
      <c r="F2810" t="s">
        <v>1173</v>
      </c>
      <c r="G2810" t="s">
        <v>1174</v>
      </c>
      <c r="H2810" t="s">
        <v>187</v>
      </c>
      <c r="I2810" s="6" t="s">
        <v>1155</v>
      </c>
      <c r="J2810" s="61" t="s">
        <v>22</v>
      </c>
      <c r="L2810" s="5" t="str">
        <f t="shared" ref="L2810:L2817" si="980">IF(ISBLANK(A2810),"",TEXT(A2810,"00000"))</f>
        <v>02809</v>
      </c>
      <c r="M2810" s="47" t="str">
        <f t="shared" ref="M2810:M2817" si="981">IF(ISBLANK(D2810),"",TEXT(D2810,"dd")&amp;" de "&amp;TEXT(D2810,"mmmm")&amp;" de "&amp;TEXT(YEAR(D2810),"0"))</f>
        <v>13 de marzo de 2020</v>
      </c>
      <c r="N2810" s="323">
        <f t="shared" ref="N2810:N2817" si="982">DAY(D2810)</f>
        <v>13</v>
      </c>
      <c r="O2810" s="25">
        <f t="shared" ref="O2810:O2817" si="983">DATE(YEAR(D2810),MONTH(D2810),1)</f>
        <v>43891</v>
      </c>
      <c r="P2810" s="5" t="str">
        <f t="shared" ref="P2810:P2817" si="984">TEXT(E2810,"#.##0,00")</f>
        <v>372.000,00</v>
      </c>
      <c r="Q2810" s="4" t="str">
        <f t="shared" ref="Q2810:Q2817" si="985">CONVERTIRNUM(E2810)</f>
        <v>Trescientos Setenta y Dos Mil Bolívares con 00/100</v>
      </c>
    </row>
    <row r="2811" spans="1:17" x14ac:dyDescent="0.25">
      <c r="A2811" s="1">
        <f>A2810+1</f>
        <v>2810</v>
      </c>
      <c r="B2811" s="8"/>
      <c r="C2811" s="8" t="s">
        <v>17</v>
      </c>
      <c r="D2811" s="2">
        <v>43905</v>
      </c>
      <c r="E2811" s="3">
        <v>185250</v>
      </c>
      <c r="F2811" t="s">
        <v>947</v>
      </c>
      <c r="G2811" t="s">
        <v>948</v>
      </c>
      <c r="H2811" t="s">
        <v>949</v>
      </c>
      <c r="I2811" s="6" t="s">
        <v>1163</v>
      </c>
      <c r="J2811" s="61" t="s">
        <v>22</v>
      </c>
      <c r="L2811" s="5" t="str">
        <f t="shared" si="980"/>
        <v>02810</v>
      </c>
      <c r="M2811" s="47" t="str">
        <f t="shared" si="981"/>
        <v>15 de marzo de 2020</v>
      </c>
      <c r="N2811" s="323">
        <f t="shared" si="982"/>
        <v>15</v>
      </c>
      <c r="O2811" s="25">
        <f t="shared" si="983"/>
        <v>43891</v>
      </c>
      <c r="P2811" s="5" t="str">
        <f t="shared" si="984"/>
        <v>185.250,00</v>
      </c>
      <c r="Q2811" s="4" t="str">
        <f t="shared" si="985"/>
        <v>Ciento Ochenta y Cinco Mil Doscientos Cincuenta Bolívares con 00/100</v>
      </c>
    </row>
    <row r="2812" spans="1:17" x14ac:dyDescent="0.25">
      <c r="A2812" s="1">
        <f t="shared" si="979"/>
        <v>2811</v>
      </c>
      <c r="B2812" s="8"/>
      <c r="C2812" s="8" t="s">
        <v>17</v>
      </c>
      <c r="D2812" s="2">
        <v>43906</v>
      </c>
      <c r="E2812" s="3">
        <v>186000</v>
      </c>
      <c r="F2812" t="s">
        <v>107</v>
      </c>
      <c r="G2812" t="s">
        <v>108</v>
      </c>
      <c r="H2812" t="s">
        <v>109</v>
      </c>
      <c r="I2812" s="6" t="s">
        <v>1163</v>
      </c>
      <c r="J2812" s="61" t="s">
        <v>22</v>
      </c>
      <c r="L2812" s="5" t="str">
        <f t="shared" si="980"/>
        <v>02811</v>
      </c>
      <c r="M2812" s="47" t="str">
        <f t="shared" si="981"/>
        <v>16 de marzo de 2020</v>
      </c>
      <c r="N2812" s="323">
        <f t="shared" si="982"/>
        <v>16</v>
      </c>
      <c r="O2812" s="25">
        <f t="shared" si="983"/>
        <v>43891</v>
      </c>
      <c r="P2812" s="5" t="str">
        <f t="shared" si="984"/>
        <v>186.000,00</v>
      </c>
      <c r="Q2812" s="4" t="str">
        <f t="shared" si="985"/>
        <v>Ciento Ochenta y Seis Mil Bolívares con 00/100</v>
      </c>
    </row>
    <row r="2813" spans="1:17" x14ac:dyDescent="0.25">
      <c r="A2813" s="1">
        <f>A2812+1</f>
        <v>2812</v>
      </c>
      <c r="B2813" s="8"/>
      <c r="C2813" s="8" t="s">
        <v>17</v>
      </c>
      <c r="D2813" s="2">
        <v>43909</v>
      </c>
      <c r="E2813" s="3">
        <v>186000</v>
      </c>
      <c r="F2813" t="s">
        <v>100</v>
      </c>
      <c r="G2813" t="s">
        <v>95</v>
      </c>
      <c r="H2813" t="s">
        <v>101</v>
      </c>
      <c r="I2813" s="6" t="s">
        <v>1163</v>
      </c>
      <c r="J2813" s="61" t="s">
        <v>22</v>
      </c>
      <c r="L2813" s="5" t="str">
        <f t="shared" si="980"/>
        <v>02812</v>
      </c>
      <c r="M2813" s="47" t="str">
        <f t="shared" si="981"/>
        <v>19 de marzo de 2020</v>
      </c>
      <c r="N2813" s="323">
        <f t="shared" si="982"/>
        <v>19</v>
      </c>
      <c r="O2813" s="25">
        <f t="shared" si="983"/>
        <v>43891</v>
      </c>
      <c r="P2813" s="5" t="str">
        <f t="shared" si="984"/>
        <v>186.000,00</v>
      </c>
      <c r="Q2813" s="4" t="str">
        <f t="shared" si="985"/>
        <v>Ciento Ochenta y Seis Mil Bolívares con 00/100</v>
      </c>
    </row>
    <row r="2814" spans="1:17" x14ac:dyDescent="0.25">
      <c r="A2814" s="1">
        <f>A2813+1</f>
        <v>2813</v>
      </c>
      <c r="C2814" s="8" t="s">
        <v>17</v>
      </c>
      <c r="D2814" s="2">
        <v>43910</v>
      </c>
      <c r="E2814" s="3">
        <v>185250</v>
      </c>
      <c r="F2814" t="s">
        <v>239</v>
      </c>
      <c r="G2814" s="73" t="s">
        <v>240</v>
      </c>
      <c r="H2814" t="s">
        <v>241</v>
      </c>
      <c r="I2814" s="6" t="s">
        <v>1163</v>
      </c>
      <c r="J2814" s="61" t="s">
        <v>22</v>
      </c>
      <c r="L2814" s="5" t="str">
        <f t="shared" si="980"/>
        <v>02813</v>
      </c>
      <c r="M2814" s="47" t="str">
        <f t="shared" si="981"/>
        <v>20 de marzo de 2020</v>
      </c>
      <c r="N2814" s="323">
        <f t="shared" si="982"/>
        <v>20</v>
      </c>
      <c r="O2814" s="25">
        <f t="shared" si="983"/>
        <v>43891</v>
      </c>
      <c r="P2814" s="5" t="str">
        <f t="shared" si="984"/>
        <v>185.250,00</v>
      </c>
      <c r="Q2814" s="4" t="str">
        <f t="shared" si="985"/>
        <v>Ciento Ochenta y Cinco Mil Doscientos Cincuenta Bolívares con 00/100</v>
      </c>
    </row>
    <row r="2815" spans="1:17" x14ac:dyDescent="0.25">
      <c r="A2815" s="1">
        <f>A2814+1</f>
        <v>2814</v>
      </c>
      <c r="C2815" s="8" t="s">
        <v>17</v>
      </c>
      <c r="D2815" s="2">
        <v>43910</v>
      </c>
      <c r="E2815" s="3">
        <v>200000</v>
      </c>
      <c r="F2815" t="s">
        <v>558</v>
      </c>
      <c r="G2815" t="s">
        <v>559</v>
      </c>
      <c r="H2815" t="s">
        <v>560</v>
      </c>
      <c r="I2815" s="6" t="s">
        <v>1163</v>
      </c>
      <c r="J2815" s="61" t="s">
        <v>22</v>
      </c>
      <c r="L2815" s="5" t="str">
        <f t="shared" si="980"/>
        <v>02814</v>
      </c>
      <c r="M2815" s="47" t="str">
        <f t="shared" si="981"/>
        <v>20 de marzo de 2020</v>
      </c>
      <c r="N2815" s="323">
        <f t="shared" si="982"/>
        <v>20</v>
      </c>
      <c r="O2815" s="25">
        <f t="shared" si="983"/>
        <v>43891</v>
      </c>
      <c r="P2815" s="5" t="str">
        <f t="shared" si="984"/>
        <v>200.000,00</v>
      </c>
      <c r="Q2815" s="4" t="str">
        <f t="shared" si="985"/>
        <v>Doscientos Mil Bolívares con 00/100</v>
      </c>
    </row>
    <row r="2816" spans="1:17" x14ac:dyDescent="0.25">
      <c r="A2816" s="1">
        <f>A2815+1</f>
        <v>2815</v>
      </c>
      <c r="B2816" s="8"/>
      <c r="C2816" s="8" t="s">
        <v>17</v>
      </c>
      <c r="D2816" s="2">
        <v>43910</v>
      </c>
      <c r="E2816" s="3">
        <v>185250</v>
      </c>
      <c r="F2816" t="s">
        <v>296</v>
      </c>
      <c r="G2816" t="s">
        <v>297</v>
      </c>
      <c r="H2816" t="s">
        <v>298</v>
      </c>
      <c r="I2816" s="6" t="s">
        <v>1163</v>
      </c>
      <c r="J2816" s="61" t="s">
        <v>22</v>
      </c>
      <c r="L2816" s="5" t="str">
        <f t="shared" si="980"/>
        <v>02815</v>
      </c>
      <c r="M2816" s="47" t="str">
        <f t="shared" si="981"/>
        <v>20 de marzo de 2020</v>
      </c>
      <c r="N2816" s="323">
        <f t="shared" si="982"/>
        <v>20</v>
      </c>
      <c r="O2816" s="25">
        <f t="shared" si="983"/>
        <v>43891</v>
      </c>
      <c r="P2816" s="5" t="str">
        <f t="shared" si="984"/>
        <v>185.250,00</v>
      </c>
      <c r="Q2816" s="4" t="str">
        <f t="shared" si="985"/>
        <v>Ciento Ochenta y Cinco Mil Doscientos Cincuenta Bolívares con 00/100</v>
      </c>
    </row>
    <row r="2817" spans="1:17" x14ac:dyDescent="0.25">
      <c r="A2817" s="1">
        <f>A2816+1</f>
        <v>2816</v>
      </c>
      <c r="B2817" s="8"/>
      <c r="C2817" s="8" t="s">
        <v>17</v>
      </c>
      <c r="D2817" s="2">
        <v>43912</v>
      </c>
      <c r="E2817" s="3">
        <v>185250</v>
      </c>
      <c r="F2817" t="s">
        <v>126</v>
      </c>
      <c r="G2817" t="s">
        <v>127</v>
      </c>
      <c r="H2817" t="s">
        <v>128</v>
      </c>
      <c r="I2817" s="6" t="s">
        <v>1163</v>
      </c>
      <c r="J2817" s="61" t="s">
        <v>22</v>
      </c>
      <c r="L2817" s="5" t="str">
        <f t="shared" si="980"/>
        <v>02816</v>
      </c>
      <c r="M2817" s="47" t="str">
        <f t="shared" si="981"/>
        <v>22 de marzo de 2020</v>
      </c>
      <c r="N2817" s="323">
        <f t="shared" si="982"/>
        <v>22</v>
      </c>
      <c r="O2817" s="25">
        <f t="shared" si="983"/>
        <v>43891</v>
      </c>
      <c r="P2817" s="5" t="str">
        <f t="shared" si="984"/>
        <v>185.250,00</v>
      </c>
      <c r="Q2817" s="4" t="str">
        <f t="shared" si="985"/>
        <v>Ciento Ochenta y Cinco Mil Doscientos Cincuenta Bolívares con 00/100</v>
      </c>
    </row>
  </sheetData>
  <autoFilter ref="A1:Q2793"/>
  <sortState ref="A2:N204">
    <sortCondition ref="A203"/>
  </sortState>
  <conditionalFormatting sqref="G79">
    <cfRule type="expression" dxfId="865" priority="851" stopIfTrue="1">
      <formula>ISBLANK(G79)</formula>
    </cfRule>
    <cfRule type="expression" dxfId="864" priority="852">
      <formula>IFERROR(FIND("@",G79),-1)&lt;0</formula>
    </cfRule>
  </conditionalFormatting>
  <conditionalFormatting sqref="G179">
    <cfRule type="expression" dxfId="863" priority="849" stopIfTrue="1">
      <formula>ISBLANK(G179)</formula>
    </cfRule>
    <cfRule type="expression" dxfId="862" priority="850">
      <formula>IFERROR(FIND("@",G179),-1)&lt;0</formula>
    </cfRule>
  </conditionalFormatting>
  <conditionalFormatting sqref="G13">
    <cfRule type="expression" dxfId="861" priority="847" stopIfTrue="1">
      <formula>ISBLANK(G13)</formula>
    </cfRule>
    <cfRule type="expression" dxfId="860" priority="848">
      <formula>IFERROR(FIND("@",G13),-1)&lt;0</formula>
    </cfRule>
  </conditionalFormatting>
  <conditionalFormatting sqref="G56">
    <cfRule type="expression" dxfId="859" priority="845" stopIfTrue="1">
      <formula>ISBLANK(G56)</formula>
    </cfRule>
    <cfRule type="expression" dxfId="858" priority="846">
      <formula>IFERROR(FIND("@",G56),-1)&lt;0</formula>
    </cfRule>
  </conditionalFormatting>
  <conditionalFormatting sqref="G139">
    <cfRule type="expression" dxfId="857" priority="843" stopIfTrue="1">
      <formula>ISBLANK(G139)</formula>
    </cfRule>
    <cfRule type="expression" dxfId="856" priority="844">
      <formula>IFERROR(FIND("@",G139),-1)&lt;0</formula>
    </cfRule>
  </conditionalFormatting>
  <conditionalFormatting sqref="G163">
    <cfRule type="expression" dxfId="855" priority="841" stopIfTrue="1">
      <formula>ISBLANK(G163)</formula>
    </cfRule>
    <cfRule type="expression" dxfId="854" priority="842">
      <formula>IFERROR(FIND("@",G163),-1)&lt;0</formula>
    </cfRule>
  </conditionalFormatting>
  <conditionalFormatting sqref="G190">
    <cfRule type="expression" dxfId="853" priority="839" stopIfTrue="1">
      <formula>ISBLANK(G190)</formula>
    </cfRule>
    <cfRule type="expression" dxfId="852" priority="840">
      <formula>IFERROR(FIND("@",G190),-1)&lt;0</formula>
    </cfRule>
  </conditionalFormatting>
  <conditionalFormatting sqref="G191:G192">
    <cfRule type="expression" dxfId="851" priority="837" stopIfTrue="1">
      <formula>ISBLANK(G191)</formula>
    </cfRule>
    <cfRule type="expression" dxfId="850" priority="838">
      <formula>IFERROR(FIND("@",G191),-1)&lt;0</formula>
    </cfRule>
  </conditionalFormatting>
  <conditionalFormatting sqref="G184">
    <cfRule type="expression" dxfId="849" priority="835" stopIfTrue="1">
      <formula>ISBLANK(G184)</formula>
    </cfRule>
    <cfRule type="expression" dxfId="848" priority="836">
      <formula>IFERROR(FIND("@",G184),-1)&lt;0</formula>
    </cfRule>
  </conditionalFormatting>
  <conditionalFormatting sqref="G47">
    <cfRule type="expression" dxfId="847" priority="833" stopIfTrue="1">
      <formula>ISBLANK(G47)</formula>
    </cfRule>
    <cfRule type="expression" dxfId="846" priority="834">
      <formula>IFERROR(FIND("@",G47),-1)&lt;0</formula>
    </cfRule>
  </conditionalFormatting>
  <conditionalFormatting sqref="G93">
    <cfRule type="expression" dxfId="845" priority="831" stopIfTrue="1">
      <formula>ISBLANK(G93)</formula>
    </cfRule>
    <cfRule type="expression" dxfId="844" priority="832">
      <formula>IFERROR(FIND("@",G93),-1)&lt;0</formula>
    </cfRule>
  </conditionalFormatting>
  <conditionalFormatting sqref="G150">
    <cfRule type="expression" dxfId="843" priority="829" stopIfTrue="1">
      <formula>ISBLANK(G150)</formula>
    </cfRule>
    <cfRule type="expression" dxfId="842" priority="830">
      <formula>IFERROR(FIND("@",G150),-1)&lt;0</formula>
    </cfRule>
  </conditionalFormatting>
  <conditionalFormatting sqref="G53">
    <cfRule type="expression" dxfId="841" priority="827" stopIfTrue="1">
      <formula>ISBLANK(G53)</formula>
    </cfRule>
    <cfRule type="expression" dxfId="840" priority="828">
      <formula>IFERROR(FIND("@",G53),-1)&lt;0</formula>
    </cfRule>
  </conditionalFormatting>
  <conditionalFormatting sqref="G86">
    <cfRule type="expression" dxfId="839" priority="825" stopIfTrue="1">
      <formula>ISBLANK(G86)</formula>
    </cfRule>
    <cfRule type="expression" dxfId="838" priority="826">
      <formula>IFERROR(FIND("@",G86),-1)&lt;0</formula>
    </cfRule>
  </conditionalFormatting>
  <conditionalFormatting sqref="G125">
    <cfRule type="expression" dxfId="837" priority="823" stopIfTrue="1">
      <formula>ISBLANK(G125)</formula>
    </cfRule>
    <cfRule type="expression" dxfId="836" priority="824">
      <formula>IFERROR(FIND("@",G125),-1)&lt;0</formula>
    </cfRule>
  </conditionalFormatting>
  <conditionalFormatting sqref="G174">
    <cfRule type="expression" dxfId="835" priority="821" stopIfTrue="1">
      <formula>ISBLANK(G174)</formula>
    </cfRule>
    <cfRule type="expression" dxfId="834" priority="822">
      <formula>IFERROR(FIND("@",G174),-1)&lt;0</formula>
    </cfRule>
  </conditionalFormatting>
  <conditionalFormatting sqref="G117">
    <cfRule type="expression" dxfId="833" priority="819" stopIfTrue="1">
      <formula>ISBLANK(G117)</formula>
    </cfRule>
    <cfRule type="expression" dxfId="832" priority="820">
      <formula>IFERROR(FIND("@",G117),-1)&lt;0</formula>
    </cfRule>
  </conditionalFormatting>
  <conditionalFormatting sqref="G193">
    <cfRule type="expression" dxfId="831" priority="817" stopIfTrue="1">
      <formula>ISBLANK(G193)</formula>
    </cfRule>
    <cfRule type="expression" dxfId="830" priority="818">
      <formula>IFERROR(FIND("@",G193),-1)&lt;0</formula>
    </cfRule>
  </conditionalFormatting>
  <conditionalFormatting sqref="G12">
    <cfRule type="expression" dxfId="829" priority="815" stopIfTrue="1">
      <formula>ISBLANK(G12)</formula>
    </cfRule>
    <cfRule type="expression" dxfId="828" priority="816">
      <formula>IFERROR(FIND("@",G12),-1)&lt;0</formula>
    </cfRule>
  </conditionalFormatting>
  <conditionalFormatting sqref="G66">
    <cfRule type="expression" dxfId="827" priority="813" stopIfTrue="1">
      <formula>ISBLANK(G66)</formula>
    </cfRule>
    <cfRule type="expression" dxfId="826" priority="814">
      <formula>IFERROR(FIND("@",G66),-1)&lt;0</formula>
    </cfRule>
  </conditionalFormatting>
  <conditionalFormatting sqref="G129">
    <cfRule type="expression" dxfId="825" priority="811" stopIfTrue="1">
      <formula>ISBLANK(G129)</formula>
    </cfRule>
    <cfRule type="expression" dxfId="824" priority="812">
      <formula>IFERROR(FIND("@",G129),-1)&lt;0</formula>
    </cfRule>
  </conditionalFormatting>
  <conditionalFormatting sqref="G161">
    <cfRule type="expression" dxfId="823" priority="809" stopIfTrue="1">
      <formula>ISBLANK(G161)</formula>
    </cfRule>
    <cfRule type="expression" dxfId="822" priority="810">
      <formula>IFERROR(FIND("@",G161),-1)&lt;0</formula>
    </cfRule>
  </conditionalFormatting>
  <conditionalFormatting sqref="G67">
    <cfRule type="expression" dxfId="821" priority="807" stopIfTrue="1">
      <formula>ISBLANK(G67)</formula>
    </cfRule>
    <cfRule type="expression" dxfId="820" priority="808">
      <formula>IFERROR(FIND("@",G67),-1)&lt;0</formula>
    </cfRule>
  </conditionalFormatting>
  <conditionalFormatting sqref="G130">
    <cfRule type="expression" dxfId="819" priority="805" stopIfTrue="1">
      <formula>ISBLANK(G130)</formula>
    </cfRule>
    <cfRule type="expression" dxfId="818" priority="806">
      <formula>IFERROR(FIND("@",G130),-1)&lt;0</formula>
    </cfRule>
  </conditionalFormatting>
  <conditionalFormatting sqref="G168">
    <cfRule type="expression" dxfId="817" priority="803" stopIfTrue="1">
      <formula>ISBLANK(G168)</formula>
    </cfRule>
    <cfRule type="expression" dxfId="816" priority="804">
      <formula>IFERROR(FIND("@",G168),-1)&lt;0</formula>
    </cfRule>
  </conditionalFormatting>
  <conditionalFormatting sqref="G199">
    <cfRule type="expression" dxfId="815" priority="801" stopIfTrue="1">
      <formula>ISBLANK(G199)</formula>
    </cfRule>
    <cfRule type="expression" dxfId="814" priority="802">
      <formula>IFERROR(FIND("@",G199),-1)&lt;0</formula>
    </cfRule>
  </conditionalFormatting>
  <conditionalFormatting sqref="G200">
    <cfRule type="expression" dxfId="813" priority="799" stopIfTrue="1">
      <formula>ISBLANK(G200)</formula>
    </cfRule>
    <cfRule type="expression" dxfId="812" priority="800">
      <formula>IFERROR(FIND("@",G200),-1)&lt;0</formula>
    </cfRule>
  </conditionalFormatting>
  <conditionalFormatting sqref="G201">
    <cfRule type="expression" dxfId="811" priority="797" stopIfTrue="1">
      <formula>ISBLANK(G201)</formula>
    </cfRule>
    <cfRule type="expression" dxfId="810" priority="798">
      <formula>IFERROR(FIND("@",G201),-1)&lt;0</formula>
    </cfRule>
  </conditionalFormatting>
  <conditionalFormatting sqref="G89">
    <cfRule type="expression" dxfId="809" priority="795" stopIfTrue="1">
      <formula>ISBLANK(G89)</formula>
    </cfRule>
    <cfRule type="expression" dxfId="808" priority="796">
      <formula>IFERROR(FIND("@",G89),-1)&lt;0</formula>
    </cfRule>
  </conditionalFormatting>
  <conditionalFormatting sqref="G207">
    <cfRule type="expression" dxfId="807" priority="793" stopIfTrue="1">
      <formula>ISBLANK(G207)</formula>
    </cfRule>
    <cfRule type="expression" dxfId="806" priority="794">
      <formula>IFERROR(FIND("@",G207),-1)&lt;0</formula>
    </cfRule>
  </conditionalFormatting>
  <conditionalFormatting sqref="G211">
    <cfRule type="expression" dxfId="805" priority="791" stopIfTrue="1">
      <formula>ISBLANK(G211)</formula>
    </cfRule>
    <cfRule type="expression" dxfId="804" priority="792">
      <formula>IFERROR(FIND("@",G211),-1)&lt;0</formula>
    </cfRule>
  </conditionalFormatting>
  <conditionalFormatting sqref="G212">
    <cfRule type="expression" dxfId="803" priority="789" stopIfTrue="1">
      <formula>ISBLANK(G212)</formula>
    </cfRule>
    <cfRule type="expression" dxfId="802" priority="790">
      <formula>IFERROR(FIND("@",G212),-1)&lt;0</formula>
    </cfRule>
  </conditionalFormatting>
  <conditionalFormatting sqref="G214">
    <cfRule type="expression" dxfId="801" priority="787" stopIfTrue="1">
      <formula>ISBLANK(G214)</formula>
    </cfRule>
    <cfRule type="expression" dxfId="800" priority="788">
      <formula>IFERROR(FIND("@",G214),-1)&lt;0</formula>
    </cfRule>
  </conditionalFormatting>
  <conditionalFormatting sqref="G236">
    <cfRule type="expression" dxfId="799" priority="783" stopIfTrue="1">
      <formula>ISBLANK(G236)</formula>
    </cfRule>
    <cfRule type="expression" dxfId="798" priority="784">
      <formula>IFERROR(FIND("@",G236),-1)&lt;0</formula>
    </cfRule>
  </conditionalFormatting>
  <conditionalFormatting sqref="G243">
    <cfRule type="expression" dxfId="797" priority="781" stopIfTrue="1">
      <formula>ISBLANK(G243)</formula>
    </cfRule>
    <cfRule type="expression" dxfId="796" priority="782">
      <formula>IFERROR(FIND("@",G243),-1)&lt;0</formula>
    </cfRule>
  </conditionalFormatting>
  <conditionalFormatting sqref="G244">
    <cfRule type="expression" dxfId="795" priority="779" stopIfTrue="1">
      <formula>ISBLANK(G244)</formula>
    </cfRule>
    <cfRule type="expression" dxfId="794" priority="780">
      <formula>IFERROR(FIND("@",G244),-1)&lt;0</formula>
    </cfRule>
  </conditionalFormatting>
  <conditionalFormatting sqref="G245">
    <cfRule type="expression" dxfId="793" priority="777" stopIfTrue="1">
      <formula>ISBLANK(G245)</formula>
    </cfRule>
    <cfRule type="expression" dxfId="792" priority="778">
      <formula>IFERROR(FIND("@",G245),-1)&lt;0</formula>
    </cfRule>
  </conditionalFormatting>
  <conditionalFormatting sqref="G284">
    <cfRule type="expression" dxfId="791" priority="775" stopIfTrue="1">
      <formula>ISBLANK(G284)</formula>
    </cfRule>
    <cfRule type="expression" dxfId="790" priority="776">
      <formula>IFERROR(FIND("@",G284),-1)&lt;0</formula>
    </cfRule>
  </conditionalFormatting>
  <conditionalFormatting sqref="G286">
    <cfRule type="expression" dxfId="789" priority="773" stopIfTrue="1">
      <formula>ISBLANK(G286)</formula>
    </cfRule>
    <cfRule type="expression" dxfId="788" priority="774">
      <formula>IFERROR(FIND("@",G286),-1)&lt;0</formula>
    </cfRule>
  </conditionalFormatting>
  <conditionalFormatting sqref="G290">
    <cfRule type="expression" dxfId="787" priority="771" stopIfTrue="1">
      <formula>ISBLANK(G290)</formula>
    </cfRule>
    <cfRule type="expression" dxfId="786" priority="772">
      <formula>IFERROR(FIND("@",G290),-1)&lt;0</formula>
    </cfRule>
  </conditionalFormatting>
  <conditionalFormatting sqref="G297">
    <cfRule type="expression" dxfId="785" priority="769" stopIfTrue="1">
      <formula>ISBLANK(G297)</formula>
    </cfRule>
    <cfRule type="expression" dxfId="784" priority="770">
      <formula>IFERROR(FIND("@",G297),-1)&lt;0</formula>
    </cfRule>
  </conditionalFormatting>
  <conditionalFormatting sqref="G310:G311">
    <cfRule type="expression" dxfId="783" priority="763" stopIfTrue="1">
      <formula>ISBLANK(G310)</formula>
    </cfRule>
    <cfRule type="expression" dxfId="782" priority="764">
      <formula>IFERROR(FIND("@",G310),-1)&lt;0</formula>
    </cfRule>
  </conditionalFormatting>
  <conditionalFormatting sqref="G313">
    <cfRule type="expression" dxfId="781" priority="759" stopIfTrue="1">
      <formula>ISBLANK(G313)</formula>
    </cfRule>
    <cfRule type="expression" dxfId="780" priority="760">
      <formula>IFERROR(FIND("@",G313),-1)&lt;0</formula>
    </cfRule>
  </conditionalFormatting>
  <conditionalFormatting sqref="G332">
    <cfRule type="expression" dxfId="779" priority="755" stopIfTrue="1">
      <formula>ISBLANK(G332)</formula>
    </cfRule>
    <cfRule type="expression" dxfId="778" priority="756">
      <formula>IFERROR(FIND("@",G332),-1)&lt;0</formula>
    </cfRule>
  </conditionalFormatting>
  <conditionalFormatting sqref="G343">
    <cfRule type="expression" dxfId="777" priority="753" stopIfTrue="1">
      <formula>ISBLANK(G343)</formula>
    </cfRule>
    <cfRule type="expression" dxfId="776" priority="754">
      <formula>IFERROR(FIND("@",G343),-1)&lt;0</formula>
    </cfRule>
  </conditionalFormatting>
  <conditionalFormatting sqref="G350">
    <cfRule type="expression" dxfId="775" priority="751" stopIfTrue="1">
      <formula>ISBLANK(G350)</formula>
    </cfRule>
    <cfRule type="expression" dxfId="774" priority="752">
      <formula>IFERROR(FIND("@",G350),-1)&lt;0</formula>
    </cfRule>
  </conditionalFormatting>
  <conditionalFormatting sqref="G351">
    <cfRule type="expression" dxfId="773" priority="749" stopIfTrue="1">
      <formula>ISBLANK(G351)</formula>
    </cfRule>
    <cfRule type="expression" dxfId="772" priority="750">
      <formula>IFERROR(FIND("@",G351),-1)&lt;0</formula>
    </cfRule>
  </conditionalFormatting>
  <conditionalFormatting sqref="G355">
    <cfRule type="expression" dxfId="771" priority="747" stopIfTrue="1">
      <formula>ISBLANK(G355)</formula>
    </cfRule>
    <cfRule type="expression" dxfId="770" priority="748">
      <formula>IFERROR(FIND("@",G355),-1)&lt;0</formula>
    </cfRule>
  </conditionalFormatting>
  <conditionalFormatting sqref="G370">
    <cfRule type="expression" dxfId="769" priority="745" stopIfTrue="1">
      <formula>ISBLANK(G370)</formula>
    </cfRule>
    <cfRule type="expression" dxfId="768" priority="746">
      <formula>IFERROR(FIND("@",G370),-1)&lt;0</formula>
    </cfRule>
  </conditionalFormatting>
  <conditionalFormatting sqref="G408">
    <cfRule type="expression" dxfId="767" priority="743" stopIfTrue="1">
      <formula>ISBLANK(G408)</formula>
    </cfRule>
    <cfRule type="expression" dxfId="766" priority="744">
      <formula>IFERROR(FIND("@",G408),-1)&lt;0</formula>
    </cfRule>
  </conditionalFormatting>
  <conditionalFormatting sqref="G409">
    <cfRule type="expression" dxfId="765" priority="741" stopIfTrue="1">
      <formula>ISBLANK(G409)</formula>
    </cfRule>
    <cfRule type="expression" dxfId="764" priority="742">
      <formula>IFERROR(FIND("@",G409),-1)&lt;0</formula>
    </cfRule>
  </conditionalFormatting>
  <conditionalFormatting sqref="G412">
    <cfRule type="expression" dxfId="763" priority="739" stopIfTrue="1">
      <formula>ISBLANK(G412)</formula>
    </cfRule>
    <cfRule type="expression" dxfId="762" priority="740">
      <formula>IFERROR(FIND("@",G412),-1)&lt;0</formula>
    </cfRule>
  </conditionalFormatting>
  <conditionalFormatting sqref="G419">
    <cfRule type="expression" dxfId="761" priority="737" stopIfTrue="1">
      <formula>ISBLANK(G419)</formula>
    </cfRule>
    <cfRule type="expression" dxfId="760" priority="738">
      <formula>IFERROR(FIND("@",G419),-1)&lt;0</formula>
    </cfRule>
  </conditionalFormatting>
  <conditionalFormatting sqref="G420">
    <cfRule type="expression" dxfId="759" priority="735" stopIfTrue="1">
      <formula>ISBLANK(G420)</formula>
    </cfRule>
    <cfRule type="expression" dxfId="758" priority="736">
      <formula>IFERROR(FIND("@",G420),-1)&lt;0</formula>
    </cfRule>
  </conditionalFormatting>
  <conditionalFormatting sqref="G421">
    <cfRule type="expression" dxfId="757" priority="733" stopIfTrue="1">
      <formula>ISBLANK(G421)</formula>
    </cfRule>
    <cfRule type="expression" dxfId="756" priority="734">
      <formula>IFERROR(FIND("@",G421),-1)&lt;0</formula>
    </cfRule>
  </conditionalFormatting>
  <conditionalFormatting sqref="G449">
    <cfRule type="expression" dxfId="755" priority="729" stopIfTrue="1">
      <formula>ISBLANK(G449)</formula>
    </cfRule>
    <cfRule type="expression" dxfId="754" priority="730">
      <formula>IFERROR(FIND("@",G449),-1)&lt;0</formula>
    </cfRule>
  </conditionalFormatting>
  <conditionalFormatting sqref="G450">
    <cfRule type="expression" dxfId="753" priority="727" stopIfTrue="1">
      <formula>ISBLANK(G450)</formula>
    </cfRule>
    <cfRule type="expression" dxfId="752" priority="728">
      <formula>IFERROR(FIND("@",G450),-1)&lt;0</formula>
    </cfRule>
  </conditionalFormatting>
  <conditionalFormatting sqref="G470">
    <cfRule type="expression" dxfId="751" priority="725" stopIfTrue="1">
      <formula>ISBLANK(G470)</formula>
    </cfRule>
    <cfRule type="expression" dxfId="750" priority="726">
      <formula>IFERROR(FIND("@",G470),-1)&lt;0</formula>
    </cfRule>
  </conditionalFormatting>
  <conditionalFormatting sqref="G477">
    <cfRule type="expression" dxfId="749" priority="723" stopIfTrue="1">
      <formula>ISBLANK(G477)</formula>
    </cfRule>
    <cfRule type="expression" dxfId="748" priority="724">
      <formula>IFERROR(FIND("@",G477),-1)&lt;0</formula>
    </cfRule>
  </conditionalFormatting>
  <conditionalFormatting sqref="G482">
    <cfRule type="expression" dxfId="747" priority="721" stopIfTrue="1">
      <formula>ISBLANK(G482)</formula>
    </cfRule>
    <cfRule type="expression" dxfId="746" priority="722">
      <formula>IFERROR(FIND("@",G482),-1)&lt;0</formula>
    </cfRule>
  </conditionalFormatting>
  <conditionalFormatting sqref="G485">
    <cfRule type="expression" dxfId="745" priority="719" stopIfTrue="1">
      <formula>ISBLANK(G485)</formula>
    </cfRule>
    <cfRule type="expression" dxfId="744" priority="720">
      <formula>IFERROR(FIND("@",G485),-1)&lt;0</formula>
    </cfRule>
  </conditionalFormatting>
  <conditionalFormatting sqref="G487:G488">
    <cfRule type="expression" dxfId="743" priority="717" stopIfTrue="1">
      <formula>ISBLANK(G487)</formula>
    </cfRule>
    <cfRule type="expression" dxfId="742" priority="718">
      <formula>IFERROR(FIND("@",G487),-1)&lt;0</formula>
    </cfRule>
  </conditionalFormatting>
  <conditionalFormatting sqref="G493:G494">
    <cfRule type="expression" dxfId="741" priority="715" stopIfTrue="1">
      <formula>ISBLANK(G493)</formula>
    </cfRule>
    <cfRule type="expression" dxfId="740" priority="716">
      <formula>IFERROR(FIND("@",G493),-1)&lt;0</formula>
    </cfRule>
  </conditionalFormatting>
  <conditionalFormatting sqref="G495">
    <cfRule type="expression" dxfId="739" priority="713" stopIfTrue="1">
      <formula>ISBLANK(G495)</formula>
    </cfRule>
    <cfRule type="expression" dxfId="738" priority="714">
      <formula>IFERROR(FIND("@",G495),-1)&lt;0</formula>
    </cfRule>
  </conditionalFormatting>
  <conditionalFormatting sqref="G496">
    <cfRule type="expression" dxfId="737" priority="709" stopIfTrue="1">
      <formula>ISBLANK(G496)</formula>
    </cfRule>
    <cfRule type="expression" dxfId="736" priority="710">
      <formula>IFERROR(FIND("@",G496),-1)&lt;0</formula>
    </cfRule>
  </conditionalFormatting>
  <conditionalFormatting sqref="G501">
    <cfRule type="expression" dxfId="735" priority="707" stopIfTrue="1">
      <formula>ISBLANK(G501)</formula>
    </cfRule>
    <cfRule type="expression" dxfId="734" priority="708">
      <formula>IFERROR(FIND("@",G501),-1)&lt;0</formula>
    </cfRule>
  </conditionalFormatting>
  <conditionalFormatting sqref="G526">
    <cfRule type="expression" dxfId="733" priority="705" stopIfTrue="1">
      <formula>ISBLANK(G526)</formula>
    </cfRule>
    <cfRule type="expression" dxfId="732" priority="706">
      <formula>IFERROR(FIND("@",G526),-1)&lt;0</formula>
    </cfRule>
  </conditionalFormatting>
  <conditionalFormatting sqref="G534">
    <cfRule type="expression" dxfId="731" priority="703" stopIfTrue="1">
      <formula>ISBLANK(G534)</formula>
    </cfRule>
    <cfRule type="expression" dxfId="730" priority="704">
      <formula>IFERROR(FIND("@",G534),-1)&lt;0</formula>
    </cfRule>
  </conditionalFormatting>
  <conditionalFormatting sqref="G539">
    <cfRule type="expression" dxfId="729" priority="699" stopIfTrue="1">
      <formula>ISBLANK(G539)</formula>
    </cfRule>
    <cfRule type="expression" dxfId="728" priority="700">
      <formula>IFERROR(FIND("@",G539),-1)&lt;0</formula>
    </cfRule>
  </conditionalFormatting>
  <conditionalFormatting sqref="G541">
    <cfRule type="expression" dxfId="727" priority="697" stopIfTrue="1">
      <formula>ISBLANK(G541)</formula>
    </cfRule>
    <cfRule type="expression" dxfId="726" priority="698">
      <formula>IFERROR(FIND("@",G541),-1)&lt;0</formula>
    </cfRule>
  </conditionalFormatting>
  <conditionalFormatting sqref="G542">
    <cfRule type="expression" dxfId="725" priority="695" stopIfTrue="1">
      <formula>ISBLANK(G542)</formula>
    </cfRule>
    <cfRule type="expression" dxfId="724" priority="696">
      <formula>IFERROR(FIND("@",G542),-1)&lt;0</formula>
    </cfRule>
  </conditionalFormatting>
  <conditionalFormatting sqref="G551">
    <cfRule type="expression" dxfId="723" priority="693" stopIfTrue="1">
      <formula>ISBLANK(G551)</formula>
    </cfRule>
    <cfRule type="expression" dxfId="722" priority="694">
      <formula>IFERROR(FIND("@",G551),-1)&lt;0</formula>
    </cfRule>
  </conditionalFormatting>
  <conditionalFormatting sqref="G557">
    <cfRule type="expression" dxfId="721" priority="691" stopIfTrue="1">
      <formula>ISBLANK(G557)</formula>
    </cfRule>
    <cfRule type="expression" dxfId="720" priority="692">
      <formula>IFERROR(FIND("@",G557),-1)&lt;0</formula>
    </cfRule>
  </conditionalFormatting>
  <conditionalFormatting sqref="G562">
    <cfRule type="expression" dxfId="719" priority="689" stopIfTrue="1">
      <formula>ISBLANK(G562)</formula>
    </cfRule>
    <cfRule type="expression" dxfId="718" priority="690">
      <formula>IFERROR(FIND("@",G562),-1)&lt;0</formula>
    </cfRule>
  </conditionalFormatting>
  <conditionalFormatting sqref="G564">
    <cfRule type="expression" dxfId="717" priority="687" stopIfTrue="1">
      <formula>ISBLANK(G564)</formula>
    </cfRule>
    <cfRule type="expression" dxfId="716" priority="688">
      <formula>IFERROR(FIND("@",G564),-1)&lt;0</formula>
    </cfRule>
  </conditionalFormatting>
  <conditionalFormatting sqref="G570">
    <cfRule type="expression" dxfId="715" priority="685" stopIfTrue="1">
      <formula>ISBLANK(G570)</formula>
    </cfRule>
    <cfRule type="expression" dxfId="714" priority="686">
      <formula>IFERROR(FIND("@",G570),-1)&lt;0</formula>
    </cfRule>
  </conditionalFormatting>
  <conditionalFormatting sqref="G586">
    <cfRule type="expression" dxfId="713" priority="683" stopIfTrue="1">
      <formula>ISBLANK(G586)</formula>
    </cfRule>
    <cfRule type="expression" dxfId="712" priority="684">
      <formula>IFERROR(FIND("@",G586),-1)&lt;0</formula>
    </cfRule>
  </conditionalFormatting>
  <conditionalFormatting sqref="G587">
    <cfRule type="expression" dxfId="711" priority="681" stopIfTrue="1">
      <formula>ISBLANK(G587)</formula>
    </cfRule>
    <cfRule type="expression" dxfId="710" priority="682">
      <formula>IFERROR(FIND("@",G587),-1)&lt;0</formula>
    </cfRule>
  </conditionalFormatting>
  <conditionalFormatting sqref="G590">
    <cfRule type="expression" dxfId="709" priority="679" stopIfTrue="1">
      <formula>ISBLANK(G590)</formula>
    </cfRule>
    <cfRule type="expression" dxfId="708" priority="680">
      <formula>IFERROR(FIND("@",G590),-1)&lt;0</formula>
    </cfRule>
  </conditionalFormatting>
  <conditionalFormatting sqref="G591">
    <cfRule type="expression" dxfId="707" priority="677" stopIfTrue="1">
      <formula>ISBLANK(G591)</formula>
    </cfRule>
    <cfRule type="expression" dxfId="706" priority="678">
      <formula>IFERROR(FIND("@",G591),-1)&lt;0</formula>
    </cfRule>
  </conditionalFormatting>
  <conditionalFormatting sqref="G596">
    <cfRule type="expression" dxfId="705" priority="675" stopIfTrue="1">
      <formula>ISBLANK(G596)</formula>
    </cfRule>
    <cfRule type="expression" dxfId="704" priority="676">
      <formula>IFERROR(FIND("@",G596),-1)&lt;0</formula>
    </cfRule>
  </conditionalFormatting>
  <conditionalFormatting sqref="G603">
    <cfRule type="expression" dxfId="703" priority="673" stopIfTrue="1">
      <formula>ISBLANK(G603)</formula>
    </cfRule>
    <cfRule type="expression" dxfId="702" priority="674">
      <formula>IFERROR(FIND("@",G603),-1)&lt;0</formula>
    </cfRule>
  </conditionalFormatting>
  <conditionalFormatting sqref="G613">
    <cfRule type="expression" dxfId="701" priority="671" stopIfTrue="1">
      <formula>ISBLANK(G613)</formula>
    </cfRule>
    <cfRule type="expression" dxfId="700" priority="672">
      <formula>IFERROR(FIND("@",G613),-1)&lt;0</formula>
    </cfRule>
  </conditionalFormatting>
  <conditionalFormatting sqref="G618">
    <cfRule type="expression" dxfId="699" priority="669" stopIfTrue="1">
      <formula>ISBLANK(G618)</formula>
    </cfRule>
    <cfRule type="expression" dxfId="698" priority="670">
      <formula>IFERROR(FIND("@",G618),-1)&lt;0</formula>
    </cfRule>
  </conditionalFormatting>
  <conditionalFormatting sqref="G633">
    <cfRule type="expression" dxfId="697" priority="665" stopIfTrue="1">
      <formula>ISBLANK(G633)</formula>
    </cfRule>
    <cfRule type="expression" dxfId="696" priority="666">
      <formula>IFERROR(FIND("@",G633),-1)&lt;0</formula>
    </cfRule>
  </conditionalFormatting>
  <conditionalFormatting sqref="G637">
    <cfRule type="expression" dxfId="695" priority="663" stopIfTrue="1">
      <formula>ISBLANK(G637)</formula>
    </cfRule>
    <cfRule type="expression" dxfId="694" priority="664">
      <formula>IFERROR(FIND("@",G637),-1)&lt;0</formula>
    </cfRule>
  </conditionalFormatting>
  <conditionalFormatting sqref="G641">
    <cfRule type="expression" dxfId="693" priority="661" stopIfTrue="1">
      <formula>ISBLANK(G641)</formula>
    </cfRule>
    <cfRule type="expression" dxfId="692" priority="662">
      <formula>IFERROR(FIND("@",G641),-1)&lt;0</formula>
    </cfRule>
  </conditionalFormatting>
  <conditionalFormatting sqref="G642">
    <cfRule type="expression" dxfId="691" priority="659" stopIfTrue="1">
      <formula>ISBLANK(G642)</formula>
    </cfRule>
    <cfRule type="expression" dxfId="690" priority="660">
      <formula>IFERROR(FIND("@",G642),-1)&lt;0</formula>
    </cfRule>
  </conditionalFormatting>
  <conditionalFormatting sqref="G649">
    <cfRule type="expression" dxfId="689" priority="657" stopIfTrue="1">
      <formula>ISBLANK(G649)</formula>
    </cfRule>
    <cfRule type="expression" dxfId="688" priority="658">
      <formula>IFERROR(FIND("@",G649),-1)&lt;0</formula>
    </cfRule>
  </conditionalFormatting>
  <conditionalFormatting sqref="G668">
    <cfRule type="expression" dxfId="687" priority="655" stopIfTrue="1">
      <formula>ISBLANK(G668)</formula>
    </cfRule>
    <cfRule type="expression" dxfId="686" priority="656">
      <formula>IFERROR(FIND("@",G668),-1)&lt;0</formula>
    </cfRule>
  </conditionalFormatting>
  <conditionalFormatting sqref="G670">
    <cfRule type="expression" dxfId="685" priority="653" stopIfTrue="1">
      <formula>ISBLANK(G670)</formula>
    </cfRule>
    <cfRule type="expression" dxfId="684" priority="654">
      <formula>IFERROR(FIND("@",G670),-1)&lt;0</formula>
    </cfRule>
  </conditionalFormatting>
  <conditionalFormatting sqref="G672">
    <cfRule type="expression" dxfId="683" priority="651" stopIfTrue="1">
      <formula>ISBLANK(G672)</formula>
    </cfRule>
    <cfRule type="expression" dxfId="682" priority="652">
      <formula>IFERROR(FIND("@",G672),-1)&lt;0</formula>
    </cfRule>
  </conditionalFormatting>
  <conditionalFormatting sqref="G673">
    <cfRule type="expression" dxfId="681" priority="649" stopIfTrue="1">
      <formula>ISBLANK(G673)</formula>
    </cfRule>
    <cfRule type="expression" dxfId="680" priority="650">
      <formula>IFERROR(FIND("@",G673),-1)&lt;0</formula>
    </cfRule>
  </conditionalFormatting>
  <conditionalFormatting sqref="G679">
    <cfRule type="expression" dxfId="679" priority="645" stopIfTrue="1">
      <formula>ISBLANK(G679)</formula>
    </cfRule>
    <cfRule type="expression" dxfId="678" priority="646">
      <formula>IFERROR(FIND("@",G679),-1)&lt;0</formula>
    </cfRule>
  </conditionalFormatting>
  <conditionalFormatting sqref="G684">
    <cfRule type="expression" dxfId="677" priority="643" stopIfTrue="1">
      <formula>ISBLANK(G684)</formula>
    </cfRule>
    <cfRule type="expression" dxfId="676" priority="644">
      <formula>IFERROR(FIND("@",G684),-1)&lt;0</formula>
    </cfRule>
  </conditionalFormatting>
  <conditionalFormatting sqref="G687">
    <cfRule type="expression" dxfId="675" priority="641" stopIfTrue="1">
      <formula>ISBLANK(G687)</formula>
    </cfRule>
    <cfRule type="expression" dxfId="674" priority="642">
      <formula>IFERROR(FIND("@",G687),-1)&lt;0</formula>
    </cfRule>
  </conditionalFormatting>
  <conditionalFormatting sqref="G702">
    <cfRule type="expression" dxfId="673" priority="639" stopIfTrue="1">
      <formula>ISBLANK(G702)</formula>
    </cfRule>
    <cfRule type="expression" dxfId="672" priority="640">
      <formula>IFERROR(FIND("@",G702),-1)&lt;0</formula>
    </cfRule>
  </conditionalFormatting>
  <conditionalFormatting sqref="G705">
    <cfRule type="expression" dxfId="671" priority="637" stopIfTrue="1">
      <formula>ISBLANK(G705)</formula>
    </cfRule>
    <cfRule type="expression" dxfId="670" priority="638">
      <formula>IFERROR(FIND("@",G705),-1)&lt;0</formula>
    </cfRule>
  </conditionalFormatting>
  <conditionalFormatting sqref="G721">
    <cfRule type="expression" dxfId="669" priority="634" stopIfTrue="1">
      <formula>ISBLANK(G721)</formula>
    </cfRule>
    <cfRule type="expression" dxfId="668" priority="635">
      <formula>IFERROR(FIND("@",G721),-1)&lt;0</formula>
    </cfRule>
  </conditionalFormatting>
  <conditionalFormatting sqref="G728">
    <cfRule type="expression" dxfId="667" priority="632" stopIfTrue="1">
      <formula>ISBLANK(G728)</formula>
    </cfRule>
    <cfRule type="expression" dxfId="666" priority="633">
      <formula>IFERROR(FIND("@",G728),-1)&lt;0</formula>
    </cfRule>
  </conditionalFormatting>
  <conditionalFormatting sqref="G739">
    <cfRule type="expression" dxfId="665" priority="630" stopIfTrue="1">
      <formula>ISBLANK(G739)</formula>
    </cfRule>
    <cfRule type="expression" dxfId="664" priority="631">
      <formula>IFERROR(FIND("@",G739),-1)&lt;0</formula>
    </cfRule>
  </conditionalFormatting>
  <conditionalFormatting sqref="G743">
    <cfRule type="expression" dxfId="663" priority="628" stopIfTrue="1">
      <formula>ISBLANK(G743)</formula>
    </cfRule>
    <cfRule type="expression" dxfId="662" priority="629">
      <formula>IFERROR(FIND("@",G743),-1)&lt;0</formula>
    </cfRule>
  </conditionalFormatting>
  <conditionalFormatting sqref="G748">
    <cfRule type="expression" dxfId="661" priority="626" stopIfTrue="1">
      <formula>ISBLANK(G748)</formula>
    </cfRule>
    <cfRule type="expression" dxfId="660" priority="627">
      <formula>IFERROR(FIND("@",G748),-1)&lt;0</formula>
    </cfRule>
  </conditionalFormatting>
  <conditionalFormatting sqref="G750">
    <cfRule type="expression" dxfId="659" priority="624" stopIfTrue="1">
      <formula>ISBLANK(G750)</formula>
    </cfRule>
    <cfRule type="expression" dxfId="658" priority="625">
      <formula>IFERROR(FIND("@",G750),-1)&lt;0</formula>
    </cfRule>
  </conditionalFormatting>
  <conditionalFormatting sqref="G760">
    <cfRule type="expression" dxfId="657" priority="622" stopIfTrue="1">
      <formula>ISBLANK(G760)</formula>
    </cfRule>
    <cfRule type="expression" dxfId="656" priority="623">
      <formula>IFERROR(FIND("@",G760),-1)&lt;0</formula>
    </cfRule>
  </conditionalFormatting>
  <conditionalFormatting sqref="G773">
    <cfRule type="expression" dxfId="655" priority="620" stopIfTrue="1">
      <formula>ISBLANK(G773)</formula>
    </cfRule>
    <cfRule type="expression" dxfId="654" priority="621">
      <formula>IFERROR(FIND("@",G773),-1)&lt;0</formula>
    </cfRule>
  </conditionalFormatting>
  <conditionalFormatting sqref="G779">
    <cfRule type="expression" dxfId="653" priority="618" stopIfTrue="1">
      <formula>ISBLANK(G779)</formula>
    </cfRule>
    <cfRule type="expression" dxfId="652" priority="619">
      <formula>IFERROR(FIND("@",G779),-1)&lt;0</formula>
    </cfRule>
  </conditionalFormatting>
  <conditionalFormatting sqref="G782">
    <cfRule type="expression" dxfId="651" priority="614" stopIfTrue="1">
      <formula>ISBLANK(G782)</formula>
    </cfRule>
    <cfRule type="expression" dxfId="650" priority="615">
      <formula>IFERROR(FIND("@",G782),-1)&lt;0</formula>
    </cfRule>
  </conditionalFormatting>
  <conditionalFormatting sqref="G789">
    <cfRule type="expression" dxfId="649" priority="612" stopIfTrue="1">
      <formula>ISBLANK(G789)</formula>
    </cfRule>
    <cfRule type="expression" dxfId="648" priority="613">
      <formula>IFERROR(FIND("@",G789),-1)&lt;0</formula>
    </cfRule>
  </conditionalFormatting>
  <conditionalFormatting sqref="G790">
    <cfRule type="expression" dxfId="647" priority="610" stopIfTrue="1">
      <formula>ISBLANK(G790)</formula>
    </cfRule>
    <cfRule type="expression" dxfId="646" priority="611">
      <formula>IFERROR(FIND("@",G790),-1)&lt;0</formula>
    </cfRule>
  </conditionalFormatting>
  <conditionalFormatting sqref="G797">
    <cfRule type="expression" dxfId="645" priority="608" stopIfTrue="1">
      <formula>ISBLANK(G797)</formula>
    </cfRule>
    <cfRule type="expression" dxfId="644" priority="609">
      <formula>IFERROR(FIND("@",G797),-1)&lt;0</formula>
    </cfRule>
  </conditionalFormatting>
  <conditionalFormatting sqref="G798:G799">
    <cfRule type="expression" dxfId="643" priority="606" stopIfTrue="1">
      <formula>ISBLANK(G798)</formula>
    </cfRule>
    <cfRule type="expression" dxfId="642" priority="607">
      <formula>IFERROR(FIND("@",G798),-1)&lt;0</formula>
    </cfRule>
  </conditionalFormatting>
  <conditionalFormatting sqref="G810">
    <cfRule type="expression" dxfId="641" priority="604" stopIfTrue="1">
      <formula>ISBLANK(G810)</formula>
    </cfRule>
    <cfRule type="expression" dxfId="640" priority="605">
      <formula>IFERROR(FIND("@",G810),-1)&lt;0</formula>
    </cfRule>
  </conditionalFormatting>
  <conditionalFormatting sqref="G815">
    <cfRule type="expression" dxfId="639" priority="602" stopIfTrue="1">
      <formula>ISBLANK(G815)</formula>
    </cfRule>
    <cfRule type="expression" dxfId="638" priority="603">
      <formula>IFERROR(FIND("@",G815),-1)&lt;0</formula>
    </cfRule>
  </conditionalFormatting>
  <conditionalFormatting sqref="G827">
    <cfRule type="expression" dxfId="637" priority="600" stopIfTrue="1">
      <formula>ISBLANK(G827)</formula>
    </cfRule>
    <cfRule type="expression" dxfId="636" priority="601">
      <formula>IFERROR(FIND("@",G827),-1)&lt;0</formula>
    </cfRule>
  </conditionalFormatting>
  <conditionalFormatting sqref="G834">
    <cfRule type="expression" dxfId="635" priority="598" stopIfTrue="1">
      <formula>ISBLANK(G834)</formula>
    </cfRule>
    <cfRule type="expression" dxfId="634" priority="599">
      <formula>IFERROR(FIND("@",G834),-1)&lt;0</formula>
    </cfRule>
  </conditionalFormatting>
  <conditionalFormatting sqref="G842">
    <cfRule type="expression" dxfId="633" priority="596" stopIfTrue="1">
      <formula>ISBLANK(G842)</formula>
    </cfRule>
    <cfRule type="expression" dxfId="632" priority="597">
      <formula>IFERROR(FIND("@",G842),-1)&lt;0</formula>
    </cfRule>
  </conditionalFormatting>
  <conditionalFormatting sqref="G854">
    <cfRule type="expression" dxfId="631" priority="594" stopIfTrue="1">
      <formula>ISBLANK(G854)</formula>
    </cfRule>
    <cfRule type="expression" dxfId="630" priority="595">
      <formula>IFERROR(FIND("@",G854),-1)&lt;0</formula>
    </cfRule>
  </conditionalFormatting>
  <conditionalFormatting sqref="G855">
    <cfRule type="expression" dxfId="629" priority="592" stopIfTrue="1">
      <formula>ISBLANK(G855)</formula>
    </cfRule>
    <cfRule type="expression" dxfId="628" priority="593">
      <formula>IFERROR(FIND("@",G855),-1)&lt;0</formula>
    </cfRule>
  </conditionalFormatting>
  <conditionalFormatting sqref="G864">
    <cfRule type="expression" dxfId="627" priority="590" stopIfTrue="1">
      <formula>ISBLANK(G864)</formula>
    </cfRule>
    <cfRule type="expression" dxfId="626" priority="591">
      <formula>IFERROR(FIND("@",G864),-1)&lt;0</formula>
    </cfRule>
  </conditionalFormatting>
  <conditionalFormatting sqref="G871">
    <cfRule type="expression" dxfId="625" priority="586" stopIfTrue="1">
      <formula>ISBLANK(G871)</formula>
    </cfRule>
    <cfRule type="expression" dxfId="624" priority="587">
      <formula>IFERROR(FIND("@",G871),-1)&lt;0</formula>
    </cfRule>
  </conditionalFormatting>
  <conditionalFormatting sqref="G886">
    <cfRule type="expression" dxfId="623" priority="584" stopIfTrue="1">
      <formula>ISBLANK(G886)</formula>
    </cfRule>
    <cfRule type="expression" dxfId="622" priority="585">
      <formula>IFERROR(FIND("@",G886),-1)&lt;0</formula>
    </cfRule>
  </conditionalFormatting>
  <conditionalFormatting sqref="G888">
    <cfRule type="expression" dxfId="621" priority="582" stopIfTrue="1">
      <formula>ISBLANK(G888)</formula>
    </cfRule>
    <cfRule type="expression" dxfId="620" priority="583">
      <formula>IFERROR(FIND("@",G888),-1)&lt;0</formula>
    </cfRule>
  </conditionalFormatting>
  <conditionalFormatting sqref="G899">
    <cfRule type="expression" dxfId="619" priority="580" stopIfTrue="1">
      <formula>ISBLANK(G899)</formula>
    </cfRule>
    <cfRule type="expression" dxfId="618" priority="581">
      <formula>IFERROR(FIND("@",G899),-1)&lt;0</formula>
    </cfRule>
  </conditionalFormatting>
  <conditionalFormatting sqref="G900">
    <cfRule type="expression" dxfId="617" priority="578" stopIfTrue="1">
      <formula>ISBLANK(G900)</formula>
    </cfRule>
    <cfRule type="expression" dxfId="616" priority="579">
      <formula>IFERROR(FIND("@",G900),-1)&lt;0</formula>
    </cfRule>
  </conditionalFormatting>
  <conditionalFormatting sqref="G902">
    <cfRule type="expression" dxfId="615" priority="576" stopIfTrue="1">
      <formula>ISBLANK(G902)</formula>
    </cfRule>
    <cfRule type="expression" dxfId="614" priority="577">
      <formula>IFERROR(FIND("@",G902),-1)&lt;0</formula>
    </cfRule>
  </conditionalFormatting>
  <conditionalFormatting sqref="G909">
    <cfRule type="expression" dxfId="613" priority="570" stopIfTrue="1">
      <formula>ISBLANK(G909)</formula>
    </cfRule>
    <cfRule type="expression" dxfId="612" priority="571">
      <formula>IFERROR(FIND("@",G909),-1)&lt;0</formula>
    </cfRule>
  </conditionalFormatting>
  <conditionalFormatting sqref="G916">
    <cfRule type="expression" dxfId="611" priority="568" stopIfTrue="1">
      <formula>ISBLANK(G916)</formula>
    </cfRule>
    <cfRule type="expression" dxfId="610" priority="569">
      <formula>IFERROR(FIND("@",G916),-1)&lt;0</formula>
    </cfRule>
  </conditionalFormatting>
  <conditionalFormatting sqref="G921">
    <cfRule type="expression" dxfId="609" priority="566" stopIfTrue="1">
      <formula>ISBLANK(G921)</formula>
    </cfRule>
    <cfRule type="expression" dxfId="608" priority="567">
      <formula>IFERROR(FIND("@",G921),-1)&lt;0</formula>
    </cfRule>
  </conditionalFormatting>
  <conditionalFormatting sqref="G930">
    <cfRule type="expression" dxfId="607" priority="563" stopIfTrue="1">
      <formula>ISBLANK(G930)</formula>
    </cfRule>
    <cfRule type="expression" dxfId="606" priority="564">
      <formula>IFERROR(FIND("@",G930),-1)&lt;0</formula>
    </cfRule>
  </conditionalFormatting>
  <conditionalFormatting sqref="G944">
    <cfRule type="expression" dxfId="605" priority="559" stopIfTrue="1">
      <formula>ISBLANK(G944)</formula>
    </cfRule>
    <cfRule type="expression" dxfId="604" priority="560">
      <formula>IFERROR(FIND("@",G944),-1)&lt;0</formula>
    </cfRule>
  </conditionalFormatting>
  <conditionalFormatting sqref="G958">
    <cfRule type="expression" dxfId="603" priority="557" stopIfTrue="1">
      <formula>ISBLANK(G958)</formula>
    </cfRule>
    <cfRule type="expression" dxfId="602" priority="558">
      <formula>IFERROR(FIND("@",G958),-1)&lt;0</formula>
    </cfRule>
  </conditionalFormatting>
  <conditionalFormatting sqref="G959">
    <cfRule type="expression" dxfId="601" priority="555" stopIfTrue="1">
      <formula>ISBLANK(G959)</formula>
    </cfRule>
    <cfRule type="expression" dxfId="600" priority="556">
      <formula>IFERROR(FIND("@",G959),-1)&lt;0</formula>
    </cfRule>
  </conditionalFormatting>
  <conditionalFormatting sqref="G961">
    <cfRule type="expression" dxfId="599" priority="553" stopIfTrue="1">
      <formula>ISBLANK(G961)</formula>
    </cfRule>
    <cfRule type="expression" dxfId="598" priority="554">
      <formula>IFERROR(FIND("@",G961),-1)&lt;0</formula>
    </cfRule>
  </conditionalFormatting>
  <conditionalFormatting sqref="G967">
    <cfRule type="expression" dxfId="597" priority="551" stopIfTrue="1">
      <formula>ISBLANK(G967)</formula>
    </cfRule>
    <cfRule type="expression" dxfId="596" priority="552">
      <formula>IFERROR(FIND("@",G967),-1)&lt;0</formula>
    </cfRule>
  </conditionalFormatting>
  <conditionalFormatting sqref="G971:G972">
    <cfRule type="expression" dxfId="595" priority="549" stopIfTrue="1">
      <formula>ISBLANK(G971)</formula>
    </cfRule>
    <cfRule type="expression" dxfId="594" priority="550">
      <formula>IFERROR(FIND("@",G971),-1)&lt;0</formula>
    </cfRule>
  </conditionalFormatting>
  <conditionalFormatting sqref="G983">
    <cfRule type="expression" dxfId="593" priority="547" stopIfTrue="1">
      <formula>ISBLANK(G983)</formula>
    </cfRule>
    <cfRule type="expression" dxfId="592" priority="548">
      <formula>IFERROR(FIND("@",G983),-1)&lt;0</formula>
    </cfRule>
  </conditionalFormatting>
  <conditionalFormatting sqref="G998">
    <cfRule type="expression" dxfId="591" priority="545" stopIfTrue="1">
      <formula>ISBLANK(G998)</formula>
    </cfRule>
    <cfRule type="expression" dxfId="590" priority="546">
      <formula>IFERROR(FIND("@",G998),-1)&lt;0</formula>
    </cfRule>
  </conditionalFormatting>
  <conditionalFormatting sqref="G1010">
    <cfRule type="expression" dxfId="589" priority="543" stopIfTrue="1">
      <formula>ISBLANK(G1010)</formula>
    </cfRule>
    <cfRule type="expression" dxfId="588" priority="544">
      <formula>IFERROR(FIND("@",G1010),-1)&lt;0</formula>
    </cfRule>
  </conditionalFormatting>
  <conditionalFormatting sqref="G1017">
    <cfRule type="expression" dxfId="587" priority="541" stopIfTrue="1">
      <formula>ISBLANK(G1017)</formula>
    </cfRule>
    <cfRule type="expression" dxfId="586" priority="542">
      <formula>IFERROR(FIND("@",G1017),-1)&lt;0</formula>
    </cfRule>
  </conditionalFormatting>
  <conditionalFormatting sqref="G1018">
    <cfRule type="expression" dxfId="585" priority="539" stopIfTrue="1">
      <formula>ISBLANK(G1018)</formula>
    </cfRule>
    <cfRule type="expression" dxfId="584" priority="540">
      <formula>IFERROR(FIND("@",G1018),-1)&lt;0</formula>
    </cfRule>
  </conditionalFormatting>
  <conditionalFormatting sqref="G1023">
    <cfRule type="expression" dxfId="583" priority="537" stopIfTrue="1">
      <formula>ISBLANK(G1023)</formula>
    </cfRule>
    <cfRule type="expression" dxfId="582" priority="538">
      <formula>IFERROR(FIND("@",G1023),-1)&lt;0</formula>
    </cfRule>
  </conditionalFormatting>
  <conditionalFormatting sqref="G1024">
    <cfRule type="expression" dxfId="581" priority="535" stopIfTrue="1">
      <formula>ISBLANK(G1024)</formula>
    </cfRule>
    <cfRule type="expression" dxfId="580" priority="536">
      <formula>IFERROR(FIND("@",G1024),-1)&lt;0</formula>
    </cfRule>
  </conditionalFormatting>
  <conditionalFormatting sqref="G1029">
    <cfRule type="expression" dxfId="579" priority="533" stopIfTrue="1">
      <formula>ISBLANK(G1029)</formula>
    </cfRule>
    <cfRule type="expression" dxfId="578" priority="534">
      <formula>IFERROR(FIND("@",G1029),-1)&lt;0</formula>
    </cfRule>
  </conditionalFormatting>
  <conditionalFormatting sqref="G1030">
    <cfRule type="expression" dxfId="577" priority="531" stopIfTrue="1">
      <formula>ISBLANK(G1030)</formula>
    </cfRule>
    <cfRule type="expression" dxfId="576" priority="532">
      <formula>IFERROR(FIND("@",G1030),-1)&lt;0</formula>
    </cfRule>
  </conditionalFormatting>
  <conditionalFormatting sqref="G1033">
    <cfRule type="expression" dxfId="575" priority="529" stopIfTrue="1">
      <formula>ISBLANK(G1033)</formula>
    </cfRule>
    <cfRule type="expression" dxfId="574" priority="530">
      <formula>IFERROR(FIND("@",G1033),-1)&lt;0</formula>
    </cfRule>
  </conditionalFormatting>
  <conditionalFormatting sqref="G1041">
    <cfRule type="expression" dxfId="573" priority="527" stopIfTrue="1">
      <formula>ISBLANK(G1041)</formula>
    </cfRule>
    <cfRule type="expression" dxfId="572" priority="528">
      <formula>IFERROR(FIND("@",G1041),-1)&lt;0</formula>
    </cfRule>
  </conditionalFormatting>
  <conditionalFormatting sqref="G1047">
    <cfRule type="expression" dxfId="571" priority="525" stopIfTrue="1">
      <formula>ISBLANK(G1047)</formula>
    </cfRule>
    <cfRule type="expression" dxfId="570" priority="526">
      <formula>IFERROR(FIND("@",G1047),-1)&lt;0</formula>
    </cfRule>
  </conditionalFormatting>
  <conditionalFormatting sqref="G1048">
    <cfRule type="expression" dxfId="569" priority="523" stopIfTrue="1">
      <formula>ISBLANK(G1048)</formula>
    </cfRule>
    <cfRule type="expression" dxfId="568" priority="524">
      <formula>IFERROR(FIND("@",G1048),-1)&lt;0</formula>
    </cfRule>
  </conditionalFormatting>
  <conditionalFormatting sqref="G1051">
    <cfRule type="expression" dxfId="567" priority="521" stopIfTrue="1">
      <formula>ISBLANK(G1051)</formula>
    </cfRule>
    <cfRule type="expression" dxfId="566" priority="522">
      <formula>IFERROR(FIND("@",G1051),-1)&lt;0</formula>
    </cfRule>
  </conditionalFormatting>
  <conditionalFormatting sqref="G1061">
    <cfRule type="expression" dxfId="565" priority="519" stopIfTrue="1">
      <formula>ISBLANK(G1061)</formula>
    </cfRule>
    <cfRule type="expression" dxfId="564" priority="520">
      <formula>IFERROR(FIND("@",G1061),-1)&lt;0</formula>
    </cfRule>
  </conditionalFormatting>
  <conditionalFormatting sqref="G1066">
    <cfRule type="expression" dxfId="563" priority="517" stopIfTrue="1">
      <formula>ISBLANK(G1066)</formula>
    </cfRule>
    <cfRule type="expression" dxfId="562" priority="518">
      <formula>IFERROR(FIND("@",G1066),-1)&lt;0</formula>
    </cfRule>
  </conditionalFormatting>
  <conditionalFormatting sqref="G1075">
    <cfRule type="expression" dxfId="561" priority="515" stopIfTrue="1">
      <formula>ISBLANK(G1075)</formula>
    </cfRule>
    <cfRule type="expression" dxfId="560" priority="516">
      <formula>IFERROR(FIND("@",G1075),-1)&lt;0</formula>
    </cfRule>
  </conditionalFormatting>
  <conditionalFormatting sqref="G1091">
    <cfRule type="expression" dxfId="559" priority="513" stopIfTrue="1">
      <formula>ISBLANK(G1091)</formula>
    </cfRule>
    <cfRule type="expression" dxfId="558" priority="514">
      <formula>IFERROR(FIND("@",G1091),-1)&lt;0</formula>
    </cfRule>
  </conditionalFormatting>
  <conditionalFormatting sqref="G1099:G1100">
    <cfRule type="expression" dxfId="557" priority="511" stopIfTrue="1">
      <formula>ISBLANK(G1099)</formula>
    </cfRule>
    <cfRule type="expression" dxfId="556" priority="512">
      <formula>IFERROR(FIND("@",G1099),-1)&lt;0</formula>
    </cfRule>
  </conditionalFormatting>
  <conditionalFormatting sqref="G1105">
    <cfRule type="expression" dxfId="555" priority="505" stopIfTrue="1">
      <formula>ISBLANK(G1105)</formula>
    </cfRule>
    <cfRule type="expression" dxfId="554" priority="506">
      <formula>IFERROR(FIND("@",G1105),-1)&lt;0</formula>
    </cfRule>
  </conditionalFormatting>
  <conditionalFormatting sqref="G1111">
    <cfRule type="expression" dxfId="553" priority="503" stopIfTrue="1">
      <formula>ISBLANK(G1111)</formula>
    </cfRule>
    <cfRule type="expression" dxfId="552" priority="504">
      <formula>IFERROR(FIND("@",G1111),-1)&lt;0</formula>
    </cfRule>
  </conditionalFormatting>
  <conditionalFormatting sqref="G1112">
    <cfRule type="expression" dxfId="551" priority="501" stopIfTrue="1">
      <formula>ISBLANK(G1112)</formula>
    </cfRule>
    <cfRule type="expression" dxfId="550" priority="502">
      <formula>IFERROR(FIND("@",G1112),-1)&lt;0</formula>
    </cfRule>
  </conditionalFormatting>
  <conditionalFormatting sqref="G1115:G1116">
    <cfRule type="expression" dxfId="549" priority="499" stopIfTrue="1">
      <formula>ISBLANK(G1115)</formula>
    </cfRule>
    <cfRule type="expression" dxfId="548" priority="500">
      <formula>IFERROR(FIND("@",G1115),-1)&lt;0</formula>
    </cfRule>
  </conditionalFormatting>
  <conditionalFormatting sqref="G1131">
    <cfRule type="expression" dxfId="547" priority="497" stopIfTrue="1">
      <formula>ISBLANK(G1131)</formula>
    </cfRule>
    <cfRule type="expression" dxfId="546" priority="498">
      <formula>IFERROR(FIND("@",G1131),-1)&lt;0</formula>
    </cfRule>
  </conditionalFormatting>
  <conditionalFormatting sqref="G1137">
    <cfRule type="expression" dxfId="545" priority="495" stopIfTrue="1">
      <formula>ISBLANK(G1137)</formula>
    </cfRule>
    <cfRule type="expression" dxfId="544" priority="496">
      <formula>IFERROR(FIND("@",G1137),-1)&lt;0</formula>
    </cfRule>
  </conditionalFormatting>
  <conditionalFormatting sqref="G1139">
    <cfRule type="expression" dxfId="543" priority="493" stopIfTrue="1">
      <formula>ISBLANK(G1139)</formula>
    </cfRule>
    <cfRule type="expression" dxfId="542" priority="494">
      <formula>IFERROR(FIND("@",G1139),-1)&lt;0</formula>
    </cfRule>
  </conditionalFormatting>
  <conditionalFormatting sqref="G1143">
    <cfRule type="expression" dxfId="541" priority="491" stopIfTrue="1">
      <formula>ISBLANK(G1143)</formula>
    </cfRule>
    <cfRule type="expression" dxfId="540" priority="492">
      <formula>IFERROR(FIND("@",G1143),-1)&lt;0</formula>
    </cfRule>
  </conditionalFormatting>
  <conditionalFormatting sqref="G1160">
    <cfRule type="expression" dxfId="539" priority="489" stopIfTrue="1">
      <formula>ISBLANK(G1160)</formula>
    </cfRule>
    <cfRule type="expression" dxfId="538" priority="490">
      <formula>IFERROR(FIND("@",G1160),-1)&lt;0</formula>
    </cfRule>
  </conditionalFormatting>
  <conditionalFormatting sqref="G1161">
    <cfRule type="expression" dxfId="537" priority="487" stopIfTrue="1">
      <formula>ISBLANK(G1161)</formula>
    </cfRule>
    <cfRule type="expression" dxfId="536" priority="488">
      <formula>IFERROR(FIND("@",G1161),-1)&lt;0</formula>
    </cfRule>
  </conditionalFormatting>
  <conditionalFormatting sqref="G1169">
    <cfRule type="expression" dxfId="535" priority="485" stopIfTrue="1">
      <formula>ISBLANK(G1169)</formula>
    </cfRule>
    <cfRule type="expression" dxfId="534" priority="486">
      <formula>IFERROR(FIND("@",G1169),-1)&lt;0</formula>
    </cfRule>
  </conditionalFormatting>
  <conditionalFormatting sqref="G1186">
    <cfRule type="expression" dxfId="533" priority="483" stopIfTrue="1">
      <formula>ISBLANK(G1186)</formula>
    </cfRule>
    <cfRule type="expression" dxfId="532" priority="484">
      <formula>IFERROR(FIND("@",G1186),-1)&lt;0</formula>
    </cfRule>
  </conditionalFormatting>
  <conditionalFormatting sqref="G1190">
    <cfRule type="expression" dxfId="531" priority="481" stopIfTrue="1">
      <formula>ISBLANK(G1190)</formula>
    </cfRule>
    <cfRule type="expression" dxfId="530" priority="482">
      <formula>IFERROR(FIND("@",G1190),-1)&lt;0</formula>
    </cfRule>
  </conditionalFormatting>
  <conditionalFormatting sqref="G1206">
    <cfRule type="expression" dxfId="529" priority="479" stopIfTrue="1">
      <formula>ISBLANK(G1206)</formula>
    </cfRule>
    <cfRule type="expression" dxfId="528" priority="480">
      <formula>IFERROR(FIND("@",G1206),-1)&lt;0</formula>
    </cfRule>
  </conditionalFormatting>
  <conditionalFormatting sqref="G1213">
    <cfRule type="expression" dxfId="527" priority="477" stopIfTrue="1">
      <formula>ISBLANK(G1213)</formula>
    </cfRule>
    <cfRule type="expression" dxfId="526" priority="478">
      <formula>IFERROR(FIND("@",G1213),-1)&lt;0</formula>
    </cfRule>
  </conditionalFormatting>
  <conditionalFormatting sqref="G1216">
    <cfRule type="expression" dxfId="525" priority="475" stopIfTrue="1">
      <formula>ISBLANK(G1216)</formula>
    </cfRule>
    <cfRule type="expression" dxfId="524" priority="476">
      <formula>IFERROR(FIND("@",G1216),-1)&lt;0</formula>
    </cfRule>
  </conditionalFormatting>
  <conditionalFormatting sqref="G1218">
    <cfRule type="expression" dxfId="523" priority="473" stopIfTrue="1">
      <formula>ISBLANK(G1218)</formula>
    </cfRule>
    <cfRule type="expression" dxfId="522" priority="474">
      <formula>IFERROR(FIND("@",G1218),-1)&lt;0</formula>
    </cfRule>
  </conditionalFormatting>
  <conditionalFormatting sqref="G1228">
    <cfRule type="expression" dxfId="521" priority="471" stopIfTrue="1">
      <formula>ISBLANK(G1228)</formula>
    </cfRule>
    <cfRule type="expression" dxfId="520" priority="472">
      <formula>IFERROR(FIND("@",G1228),-1)&lt;0</formula>
    </cfRule>
  </conditionalFormatting>
  <conditionalFormatting sqref="G1229">
    <cfRule type="expression" dxfId="519" priority="469" stopIfTrue="1">
      <formula>ISBLANK(G1229)</formula>
    </cfRule>
    <cfRule type="expression" dxfId="518" priority="470">
      <formula>IFERROR(FIND("@",G1229),-1)&lt;0</formula>
    </cfRule>
  </conditionalFormatting>
  <conditionalFormatting sqref="G1233">
    <cfRule type="expression" dxfId="517" priority="467" stopIfTrue="1">
      <formula>ISBLANK(G1233)</formula>
    </cfRule>
    <cfRule type="expression" dxfId="516" priority="468">
      <formula>IFERROR(FIND("@",G1233),-1)&lt;0</formula>
    </cfRule>
  </conditionalFormatting>
  <conditionalFormatting sqref="G1239">
    <cfRule type="expression" dxfId="515" priority="465" stopIfTrue="1">
      <formula>ISBLANK(G1239)</formula>
    </cfRule>
    <cfRule type="expression" dxfId="514" priority="466">
      <formula>IFERROR(FIND("@",G1239),-1)&lt;0</formula>
    </cfRule>
  </conditionalFormatting>
  <conditionalFormatting sqref="G1248">
    <cfRule type="expression" dxfId="513" priority="463" stopIfTrue="1">
      <formula>ISBLANK(G1248)</formula>
    </cfRule>
    <cfRule type="expression" dxfId="512" priority="464">
      <formula>IFERROR(FIND("@",G1248),-1)&lt;0</formula>
    </cfRule>
  </conditionalFormatting>
  <conditionalFormatting sqref="G1263">
    <cfRule type="expression" dxfId="511" priority="461" stopIfTrue="1">
      <formula>ISBLANK(G1263)</formula>
    </cfRule>
    <cfRule type="expression" dxfId="510" priority="462">
      <formula>IFERROR(FIND("@",G1263),-1)&lt;0</formula>
    </cfRule>
  </conditionalFormatting>
  <conditionalFormatting sqref="G1264">
    <cfRule type="expression" dxfId="509" priority="459" stopIfTrue="1">
      <formula>ISBLANK(G1264)</formula>
    </cfRule>
    <cfRule type="expression" dxfId="508" priority="460">
      <formula>IFERROR(FIND("@",G1264),-1)&lt;0</formula>
    </cfRule>
  </conditionalFormatting>
  <conditionalFormatting sqref="G1271">
    <cfRule type="expression" dxfId="507" priority="457" stopIfTrue="1">
      <formula>ISBLANK(G1271)</formula>
    </cfRule>
    <cfRule type="expression" dxfId="506" priority="458">
      <formula>IFERROR(FIND("@",G1271),-1)&lt;0</formula>
    </cfRule>
  </conditionalFormatting>
  <conditionalFormatting sqref="G1275:G1276">
    <cfRule type="expression" dxfId="505" priority="455" stopIfTrue="1">
      <formula>ISBLANK(G1275)</formula>
    </cfRule>
    <cfRule type="expression" dxfId="504" priority="456">
      <formula>IFERROR(FIND("@",G1275),-1)&lt;0</formula>
    </cfRule>
  </conditionalFormatting>
  <conditionalFormatting sqref="G1277">
    <cfRule type="expression" dxfId="503" priority="453" stopIfTrue="1">
      <formula>ISBLANK(G1277)</formula>
    </cfRule>
    <cfRule type="expression" dxfId="502" priority="454">
      <formula>IFERROR(FIND("@",G1277),-1)&lt;0</formula>
    </cfRule>
  </conditionalFormatting>
  <conditionalFormatting sqref="G1284">
    <cfRule type="expression" dxfId="501" priority="451" stopIfTrue="1">
      <formula>ISBLANK(G1284)</formula>
    </cfRule>
    <cfRule type="expression" dxfId="500" priority="452">
      <formula>IFERROR(FIND("@",G1284),-1)&lt;0</formula>
    </cfRule>
  </conditionalFormatting>
  <conditionalFormatting sqref="G1290">
    <cfRule type="expression" dxfId="499" priority="449" stopIfTrue="1">
      <formula>ISBLANK(G1290)</formula>
    </cfRule>
    <cfRule type="expression" dxfId="498" priority="450">
      <formula>IFERROR(FIND("@",G1290),-1)&lt;0</formula>
    </cfRule>
  </conditionalFormatting>
  <conditionalFormatting sqref="G1311:G1312">
    <cfRule type="expression" dxfId="497" priority="447" stopIfTrue="1">
      <formula>ISBLANK(G1311)</formula>
    </cfRule>
    <cfRule type="expression" dxfId="496" priority="448">
      <formula>IFERROR(FIND("@",G1311),-1)&lt;0</formula>
    </cfRule>
  </conditionalFormatting>
  <conditionalFormatting sqref="G1315:G1316">
    <cfRule type="expression" dxfId="495" priority="445" stopIfTrue="1">
      <formula>ISBLANK(G1315)</formula>
    </cfRule>
    <cfRule type="expression" dxfId="494" priority="446">
      <formula>IFERROR(FIND("@",G1315),-1)&lt;0</formula>
    </cfRule>
  </conditionalFormatting>
  <conditionalFormatting sqref="G1319:G1320">
    <cfRule type="expression" dxfId="493" priority="443" stopIfTrue="1">
      <formula>ISBLANK(G1319)</formula>
    </cfRule>
    <cfRule type="expression" dxfId="492" priority="444">
      <formula>IFERROR(FIND("@",G1319),-1)&lt;0</formula>
    </cfRule>
  </conditionalFormatting>
  <conditionalFormatting sqref="G1335">
    <cfRule type="expression" dxfId="491" priority="441" stopIfTrue="1">
      <formula>ISBLANK(G1335)</formula>
    </cfRule>
    <cfRule type="expression" dxfId="490" priority="442">
      <formula>IFERROR(FIND("@",G1335),-1)&lt;0</formula>
    </cfRule>
  </conditionalFormatting>
  <conditionalFormatting sqref="G1349">
    <cfRule type="expression" dxfId="489" priority="439" stopIfTrue="1">
      <formula>ISBLANK(G1349)</formula>
    </cfRule>
    <cfRule type="expression" dxfId="488" priority="440">
      <formula>IFERROR(FIND("@",G1349),-1)&lt;0</formula>
    </cfRule>
  </conditionalFormatting>
  <conditionalFormatting sqref="G1350">
    <cfRule type="expression" dxfId="487" priority="437" stopIfTrue="1">
      <formula>ISBLANK(G1350)</formula>
    </cfRule>
    <cfRule type="expression" dxfId="486" priority="438">
      <formula>IFERROR(FIND("@",G1350),-1)&lt;0</formula>
    </cfRule>
  </conditionalFormatting>
  <conditionalFormatting sqref="G1365">
    <cfRule type="expression" dxfId="485" priority="435" stopIfTrue="1">
      <formula>ISBLANK(G1365)</formula>
    </cfRule>
    <cfRule type="expression" dxfId="484" priority="436">
      <formula>IFERROR(FIND("@",G1365),-1)&lt;0</formula>
    </cfRule>
  </conditionalFormatting>
  <conditionalFormatting sqref="G1368">
    <cfRule type="expression" dxfId="483" priority="433" stopIfTrue="1">
      <formula>ISBLANK(G1368)</formula>
    </cfRule>
    <cfRule type="expression" dxfId="482" priority="434">
      <formula>IFERROR(FIND("@",G1368),-1)&lt;0</formula>
    </cfRule>
  </conditionalFormatting>
  <conditionalFormatting sqref="G1373">
    <cfRule type="expression" dxfId="481" priority="431" stopIfTrue="1">
      <formula>ISBLANK(G1373)</formula>
    </cfRule>
    <cfRule type="expression" dxfId="480" priority="432">
      <formula>IFERROR(FIND("@",G1373),-1)&lt;0</formula>
    </cfRule>
  </conditionalFormatting>
  <conditionalFormatting sqref="G1383">
    <cfRule type="expression" dxfId="479" priority="429" stopIfTrue="1">
      <formula>ISBLANK(G1383)</formula>
    </cfRule>
    <cfRule type="expression" dxfId="478" priority="430">
      <formula>IFERROR(FIND("@",G1383),-1)&lt;0</formula>
    </cfRule>
  </conditionalFormatting>
  <conditionalFormatting sqref="G1387">
    <cfRule type="expression" dxfId="477" priority="427" stopIfTrue="1">
      <formula>ISBLANK(G1387)</formula>
    </cfRule>
    <cfRule type="expression" dxfId="476" priority="428">
      <formula>IFERROR(FIND("@",G1387),-1)&lt;0</formula>
    </cfRule>
  </conditionalFormatting>
  <conditionalFormatting sqref="G1388">
    <cfRule type="expression" dxfId="475" priority="425" stopIfTrue="1">
      <formula>ISBLANK(G1388)</formula>
    </cfRule>
    <cfRule type="expression" dxfId="474" priority="426">
      <formula>IFERROR(FIND("@",G1388),-1)&lt;0</formula>
    </cfRule>
  </conditionalFormatting>
  <conditionalFormatting sqref="G1394">
    <cfRule type="expression" dxfId="473" priority="423" stopIfTrue="1">
      <formula>ISBLANK(G1394)</formula>
    </cfRule>
    <cfRule type="expression" dxfId="472" priority="424">
      <formula>IFERROR(FIND("@",G1394),-1)&lt;0</formula>
    </cfRule>
  </conditionalFormatting>
  <conditionalFormatting sqref="G1396">
    <cfRule type="expression" dxfId="471" priority="421" stopIfTrue="1">
      <formula>ISBLANK(G1396)</formula>
    </cfRule>
    <cfRule type="expression" dxfId="470" priority="422">
      <formula>IFERROR(FIND("@",G1396),-1)&lt;0</formula>
    </cfRule>
  </conditionalFormatting>
  <conditionalFormatting sqref="G1400">
    <cfRule type="expression" dxfId="469" priority="419" stopIfTrue="1">
      <formula>ISBLANK(G1400)</formula>
    </cfRule>
    <cfRule type="expression" dxfId="468" priority="420">
      <formula>IFERROR(FIND("@",G1400),-1)&lt;0</formula>
    </cfRule>
  </conditionalFormatting>
  <conditionalFormatting sqref="G1407">
    <cfRule type="expression" dxfId="467" priority="417" stopIfTrue="1">
      <formula>ISBLANK(G1407)</formula>
    </cfRule>
    <cfRule type="expression" dxfId="466" priority="418">
      <formula>IFERROR(FIND("@",G1407),-1)&lt;0</formula>
    </cfRule>
  </conditionalFormatting>
  <conditionalFormatting sqref="G1413">
    <cfRule type="expression" dxfId="465" priority="415" stopIfTrue="1">
      <formula>ISBLANK(G1413)</formula>
    </cfRule>
    <cfRule type="expression" dxfId="464" priority="416">
      <formula>IFERROR(FIND("@",G1413),-1)&lt;0</formula>
    </cfRule>
  </conditionalFormatting>
  <conditionalFormatting sqref="G1420">
    <cfRule type="expression" dxfId="463" priority="413" stopIfTrue="1">
      <formula>ISBLANK(G1420)</formula>
    </cfRule>
    <cfRule type="expression" dxfId="462" priority="414">
      <formula>IFERROR(FIND("@",G1420),-1)&lt;0</formula>
    </cfRule>
  </conditionalFormatting>
  <conditionalFormatting sqref="G1421">
    <cfRule type="expression" dxfId="461" priority="411" stopIfTrue="1">
      <formula>ISBLANK(G1421)</formula>
    </cfRule>
    <cfRule type="expression" dxfId="460" priority="412">
      <formula>IFERROR(FIND("@",G1421),-1)&lt;0</formula>
    </cfRule>
  </conditionalFormatting>
  <conditionalFormatting sqref="G1438">
    <cfRule type="expression" dxfId="459" priority="409" stopIfTrue="1">
      <formula>ISBLANK(G1438)</formula>
    </cfRule>
    <cfRule type="expression" dxfId="458" priority="410">
      <formula>IFERROR(FIND("@",G1438),-1)&lt;0</formula>
    </cfRule>
  </conditionalFormatting>
  <conditionalFormatting sqref="G1450">
    <cfRule type="expression" dxfId="457" priority="407" stopIfTrue="1">
      <formula>ISBLANK(G1450)</formula>
    </cfRule>
    <cfRule type="expression" dxfId="456" priority="408">
      <formula>IFERROR(FIND("@",G1450),-1)&lt;0</formula>
    </cfRule>
  </conditionalFormatting>
  <conditionalFormatting sqref="G1451:G1452">
    <cfRule type="expression" dxfId="455" priority="405" stopIfTrue="1">
      <formula>ISBLANK(G1451)</formula>
    </cfRule>
    <cfRule type="expression" dxfId="454" priority="406">
      <formula>IFERROR(FIND("@",G1451),-1)&lt;0</formula>
    </cfRule>
  </conditionalFormatting>
  <conditionalFormatting sqref="G1458">
    <cfRule type="expression" dxfId="453" priority="403" stopIfTrue="1">
      <formula>ISBLANK(G1458)</formula>
    </cfRule>
    <cfRule type="expression" dxfId="452" priority="404">
      <formula>IFERROR(FIND("@",G1458),-1)&lt;0</formula>
    </cfRule>
  </conditionalFormatting>
  <conditionalFormatting sqref="G1459">
    <cfRule type="expression" dxfId="451" priority="401" stopIfTrue="1">
      <formula>ISBLANK(G1459)</formula>
    </cfRule>
    <cfRule type="expression" dxfId="450" priority="402">
      <formula>IFERROR(FIND("@",G1459),-1)&lt;0</formula>
    </cfRule>
  </conditionalFormatting>
  <conditionalFormatting sqref="G1460">
    <cfRule type="expression" dxfId="449" priority="399" stopIfTrue="1">
      <formula>ISBLANK(G1460)</formula>
    </cfRule>
    <cfRule type="expression" dxfId="448" priority="400">
      <formula>IFERROR(FIND("@",G1460),-1)&lt;0</formula>
    </cfRule>
  </conditionalFormatting>
  <conditionalFormatting sqref="G1462">
    <cfRule type="expression" dxfId="447" priority="397" stopIfTrue="1">
      <formula>ISBLANK(G1462)</formula>
    </cfRule>
    <cfRule type="expression" dxfId="446" priority="398">
      <formula>IFERROR(FIND("@",G1462),-1)&lt;0</formula>
    </cfRule>
  </conditionalFormatting>
  <conditionalFormatting sqref="G1468">
    <cfRule type="expression" dxfId="445" priority="395" stopIfTrue="1">
      <formula>ISBLANK(G1468)</formula>
    </cfRule>
    <cfRule type="expression" dxfId="444" priority="396">
      <formula>IFERROR(FIND("@",G1468),-1)&lt;0</formula>
    </cfRule>
  </conditionalFormatting>
  <conditionalFormatting sqref="G1474">
    <cfRule type="expression" dxfId="443" priority="393" stopIfTrue="1">
      <formula>ISBLANK(G1474)</formula>
    </cfRule>
    <cfRule type="expression" dxfId="442" priority="394">
      <formula>IFERROR(FIND("@",G1474),-1)&lt;0</formula>
    </cfRule>
  </conditionalFormatting>
  <conditionalFormatting sqref="G1475">
    <cfRule type="expression" dxfId="441" priority="391" stopIfTrue="1">
      <formula>ISBLANK(G1475)</formula>
    </cfRule>
    <cfRule type="expression" dxfId="440" priority="392">
      <formula>IFERROR(FIND("@",G1475),-1)&lt;0</formula>
    </cfRule>
  </conditionalFormatting>
  <conditionalFormatting sqref="G1494">
    <cfRule type="expression" dxfId="439" priority="389" stopIfTrue="1">
      <formula>ISBLANK(G1494)</formula>
    </cfRule>
    <cfRule type="expression" dxfId="438" priority="390">
      <formula>IFERROR(FIND("@",G1494),-1)&lt;0</formula>
    </cfRule>
  </conditionalFormatting>
  <conditionalFormatting sqref="G1510:G1511">
    <cfRule type="expression" dxfId="437" priority="387" stopIfTrue="1">
      <formula>ISBLANK(G1510)</formula>
    </cfRule>
    <cfRule type="expression" dxfId="436" priority="388">
      <formula>IFERROR(FIND("@",G1510),-1)&lt;0</formula>
    </cfRule>
  </conditionalFormatting>
  <conditionalFormatting sqref="G1528:G1529">
    <cfRule type="expression" dxfId="435" priority="385" stopIfTrue="1">
      <formula>ISBLANK(G1528)</formula>
    </cfRule>
    <cfRule type="expression" dxfId="434" priority="386">
      <formula>IFERROR(FIND("@",G1528),-1)&lt;0</formula>
    </cfRule>
  </conditionalFormatting>
  <conditionalFormatting sqref="G1538:G1539">
    <cfRule type="expression" dxfId="433" priority="383" stopIfTrue="1">
      <formula>ISBLANK(G1538)</formula>
    </cfRule>
    <cfRule type="expression" dxfId="432" priority="384">
      <formula>IFERROR(FIND("@",G1538),-1)&lt;0</formula>
    </cfRule>
  </conditionalFormatting>
  <conditionalFormatting sqref="G1543:G1544">
    <cfRule type="expression" dxfId="431" priority="381" stopIfTrue="1">
      <formula>ISBLANK(G1543)</formula>
    </cfRule>
    <cfRule type="expression" dxfId="430" priority="382">
      <formula>IFERROR(FIND("@",G1543),-1)&lt;0</formula>
    </cfRule>
  </conditionalFormatting>
  <conditionalFormatting sqref="G1547">
    <cfRule type="expression" dxfId="429" priority="379" stopIfTrue="1">
      <formula>ISBLANK(G1547)</formula>
    </cfRule>
    <cfRule type="expression" dxfId="428" priority="380">
      <formula>IFERROR(FIND("@",G1547),-1)&lt;0</formula>
    </cfRule>
  </conditionalFormatting>
  <conditionalFormatting sqref="G1551">
    <cfRule type="expression" dxfId="427" priority="377" stopIfTrue="1">
      <formula>ISBLANK(G1551)</formula>
    </cfRule>
    <cfRule type="expression" dxfId="426" priority="378">
      <formula>IFERROR(FIND("@",G1551),-1)&lt;0</formula>
    </cfRule>
  </conditionalFormatting>
  <conditionalFormatting sqref="G1553">
    <cfRule type="expression" dxfId="425" priority="375" stopIfTrue="1">
      <formula>ISBLANK(G1553)</formula>
    </cfRule>
    <cfRule type="expression" dxfId="424" priority="376">
      <formula>IFERROR(FIND("@",G1553),-1)&lt;0</formula>
    </cfRule>
  </conditionalFormatting>
  <conditionalFormatting sqref="G1563">
    <cfRule type="expression" dxfId="423" priority="373" stopIfTrue="1">
      <formula>ISBLANK(G1563)</formula>
    </cfRule>
    <cfRule type="expression" dxfId="422" priority="374">
      <formula>IFERROR(FIND("@",G1563),-1)&lt;0</formula>
    </cfRule>
  </conditionalFormatting>
  <conditionalFormatting sqref="G1564">
    <cfRule type="expression" dxfId="421" priority="371" stopIfTrue="1">
      <formula>ISBLANK(G1564)</formula>
    </cfRule>
    <cfRule type="expression" dxfId="420" priority="372">
      <formula>IFERROR(FIND("@",G1564),-1)&lt;0</formula>
    </cfRule>
  </conditionalFormatting>
  <conditionalFormatting sqref="G1565">
    <cfRule type="expression" dxfId="419" priority="369" stopIfTrue="1">
      <formula>ISBLANK(G1565)</formula>
    </cfRule>
    <cfRule type="expression" dxfId="418" priority="370">
      <formula>IFERROR(FIND("@",G1565),-1)&lt;0</formula>
    </cfRule>
  </conditionalFormatting>
  <conditionalFormatting sqref="G1572">
    <cfRule type="expression" dxfId="417" priority="367" stopIfTrue="1">
      <formula>ISBLANK(G1572)</formula>
    </cfRule>
    <cfRule type="expression" dxfId="416" priority="368">
      <formula>IFERROR(FIND("@",G1572),-1)&lt;0</formula>
    </cfRule>
  </conditionalFormatting>
  <conditionalFormatting sqref="G1578">
    <cfRule type="expression" dxfId="415" priority="365" stopIfTrue="1">
      <formula>ISBLANK(G1578)</formula>
    </cfRule>
    <cfRule type="expression" dxfId="414" priority="366">
      <formula>IFERROR(FIND("@",G1578),-1)&lt;0</formula>
    </cfRule>
  </conditionalFormatting>
  <conditionalFormatting sqref="G1581">
    <cfRule type="expression" dxfId="413" priority="363" stopIfTrue="1">
      <formula>ISBLANK(G1581)</formula>
    </cfRule>
    <cfRule type="expression" dxfId="412" priority="364">
      <formula>IFERROR(FIND("@",G1581),-1)&lt;0</formula>
    </cfRule>
  </conditionalFormatting>
  <conditionalFormatting sqref="G1596">
    <cfRule type="expression" dxfId="411" priority="361" stopIfTrue="1">
      <formula>ISBLANK(G1596)</formula>
    </cfRule>
    <cfRule type="expression" dxfId="410" priority="362">
      <formula>IFERROR(FIND("@",G1596),-1)&lt;0</formula>
    </cfRule>
  </conditionalFormatting>
  <conditionalFormatting sqref="G1597">
    <cfRule type="expression" dxfId="409" priority="359" stopIfTrue="1">
      <formula>ISBLANK(G1597)</formula>
    </cfRule>
    <cfRule type="expression" dxfId="408" priority="360">
      <formula>IFERROR(FIND("@",G1597),-1)&lt;0</formula>
    </cfRule>
  </conditionalFormatting>
  <conditionalFormatting sqref="G1604">
    <cfRule type="expression" dxfId="407" priority="357" stopIfTrue="1">
      <formula>ISBLANK(G1604)</formula>
    </cfRule>
    <cfRule type="expression" dxfId="406" priority="358">
      <formula>IFERROR(FIND("@",G1604),-1)&lt;0</formula>
    </cfRule>
  </conditionalFormatting>
  <conditionalFormatting sqref="G1613">
    <cfRule type="expression" dxfId="405" priority="353" stopIfTrue="1">
      <formula>ISBLANK(G1613)</formula>
    </cfRule>
    <cfRule type="expression" dxfId="404" priority="354">
      <formula>IFERROR(FIND("@",G1613),-1)&lt;0</formula>
    </cfRule>
  </conditionalFormatting>
  <conditionalFormatting sqref="G1614">
    <cfRule type="expression" dxfId="403" priority="351" stopIfTrue="1">
      <formula>ISBLANK(G1614)</formula>
    </cfRule>
    <cfRule type="expression" dxfId="402" priority="352">
      <formula>IFERROR(FIND("@",G1614),-1)&lt;0</formula>
    </cfRule>
  </conditionalFormatting>
  <conditionalFormatting sqref="G1617">
    <cfRule type="expression" dxfId="401" priority="349" stopIfTrue="1">
      <formula>ISBLANK(G1617)</formula>
    </cfRule>
    <cfRule type="expression" dxfId="400" priority="350">
      <formula>IFERROR(FIND("@",G1617),-1)&lt;0</formula>
    </cfRule>
  </conditionalFormatting>
  <conditionalFormatting sqref="G1618">
    <cfRule type="expression" dxfId="399" priority="347" stopIfTrue="1">
      <formula>ISBLANK(G1618)</formula>
    </cfRule>
    <cfRule type="expression" dxfId="398" priority="348">
      <formula>IFERROR(FIND("@",G1618),-1)&lt;0</formula>
    </cfRule>
  </conditionalFormatting>
  <conditionalFormatting sqref="G1619">
    <cfRule type="expression" dxfId="397" priority="345" stopIfTrue="1">
      <formula>ISBLANK(G1619)</formula>
    </cfRule>
    <cfRule type="expression" dxfId="396" priority="346">
      <formula>IFERROR(FIND("@",G1619),-1)&lt;0</formula>
    </cfRule>
  </conditionalFormatting>
  <conditionalFormatting sqref="G1623">
    <cfRule type="expression" dxfId="395" priority="343" stopIfTrue="1">
      <formula>ISBLANK(G1623)</formula>
    </cfRule>
    <cfRule type="expression" dxfId="394" priority="344">
      <formula>IFERROR(FIND("@",G1623),-1)&lt;0</formula>
    </cfRule>
  </conditionalFormatting>
  <conditionalFormatting sqref="G1644">
    <cfRule type="expression" dxfId="393" priority="341" stopIfTrue="1">
      <formula>ISBLANK(G1644)</formula>
    </cfRule>
    <cfRule type="expression" dxfId="392" priority="342">
      <formula>IFERROR(FIND("@",G1644),-1)&lt;0</formula>
    </cfRule>
  </conditionalFormatting>
  <conditionalFormatting sqref="G1651">
    <cfRule type="expression" dxfId="391" priority="339" stopIfTrue="1">
      <formula>ISBLANK(G1651)</formula>
    </cfRule>
    <cfRule type="expression" dxfId="390" priority="340">
      <formula>IFERROR(FIND("@",G1651),-1)&lt;0</formula>
    </cfRule>
  </conditionalFormatting>
  <conditionalFormatting sqref="G1659">
    <cfRule type="expression" dxfId="389" priority="337" stopIfTrue="1">
      <formula>ISBLANK(G1659)</formula>
    </cfRule>
    <cfRule type="expression" dxfId="388" priority="338">
      <formula>IFERROR(FIND("@",G1659),-1)&lt;0</formula>
    </cfRule>
  </conditionalFormatting>
  <conditionalFormatting sqref="G1660">
    <cfRule type="expression" dxfId="387" priority="335" stopIfTrue="1">
      <formula>ISBLANK(G1660)</formula>
    </cfRule>
    <cfRule type="expression" dxfId="386" priority="336">
      <formula>IFERROR(FIND("@",G1660),-1)&lt;0</formula>
    </cfRule>
  </conditionalFormatting>
  <conditionalFormatting sqref="G1669">
    <cfRule type="expression" dxfId="385" priority="333" stopIfTrue="1">
      <formula>ISBLANK(G1669)</formula>
    </cfRule>
    <cfRule type="expression" dxfId="384" priority="334">
      <formula>IFERROR(FIND("@",G1669),-1)&lt;0</formula>
    </cfRule>
  </conditionalFormatting>
  <conditionalFormatting sqref="G1676">
    <cfRule type="expression" dxfId="383" priority="331" stopIfTrue="1">
      <formula>ISBLANK(G1676)</formula>
    </cfRule>
    <cfRule type="expression" dxfId="382" priority="332">
      <formula>IFERROR(FIND("@",G1676),-1)&lt;0</formula>
    </cfRule>
  </conditionalFormatting>
  <conditionalFormatting sqref="G1685">
    <cfRule type="expression" dxfId="381" priority="329" stopIfTrue="1">
      <formula>ISBLANK(G1685)</formula>
    </cfRule>
    <cfRule type="expression" dxfId="380" priority="330">
      <formula>IFERROR(FIND("@",G1685),-1)&lt;0</formula>
    </cfRule>
  </conditionalFormatting>
  <conditionalFormatting sqref="G1691">
    <cfRule type="expression" dxfId="379" priority="327" stopIfTrue="1">
      <formula>ISBLANK(G1691)</formula>
    </cfRule>
    <cfRule type="expression" dxfId="378" priority="328">
      <formula>IFERROR(FIND("@",G1691),-1)&lt;0</formula>
    </cfRule>
  </conditionalFormatting>
  <conditionalFormatting sqref="G1698:G1699">
    <cfRule type="expression" dxfId="377" priority="325" stopIfTrue="1">
      <formula>ISBLANK(G1698)</formula>
    </cfRule>
    <cfRule type="expression" dxfId="376" priority="326">
      <formula>IFERROR(FIND("@",G1698),-1)&lt;0</formula>
    </cfRule>
  </conditionalFormatting>
  <conditionalFormatting sqref="G1704">
    <cfRule type="expression" dxfId="375" priority="323" stopIfTrue="1">
      <formula>ISBLANK(G1704)</formula>
    </cfRule>
    <cfRule type="expression" dxfId="374" priority="324">
      <formula>IFERROR(FIND("@",G1704),-1)&lt;0</formula>
    </cfRule>
  </conditionalFormatting>
  <conditionalFormatting sqref="G1709">
    <cfRule type="expression" dxfId="373" priority="321" stopIfTrue="1">
      <formula>ISBLANK(G1709)</formula>
    </cfRule>
    <cfRule type="expression" dxfId="372" priority="322">
      <formula>IFERROR(FIND("@",G1709),-1)&lt;0</formula>
    </cfRule>
  </conditionalFormatting>
  <conditionalFormatting sqref="G1718">
    <cfRule type="expression" dxfId="371" priority="319" stopIfTrue="1">
      <formula>ISBLANK(G1718)</formula>
    </cfRule>
    <cfRule type="expression" dxfId="370" priority="320">
      <formula>IFERROR(FIND("@",G1718),-1)&lt;0</formula>
    </cfRule>
  </conditionalFormatting>
  <conditionalFormatting sqref="G1723">
    <cfRule type="expression" dxfId="369" priority="317" stopIfTrue="1">
      <formula>ISBLANK(G1723)</formula>
    </cfRule>
    <cfRule type="expression" dxfId="368" priority="318">
      <formula>IFERROR(FIND("@",G1723),-1)&lt;0</formula>
    </cfRule>
  </conditionalFormatting>
  <conditionalFormatting sqref="G1727">
    <cfRule type="expression" dxfId="367" priority="315" stopIfTrue="1">
      <formula>ISBLANK(G1727)</formula>
    </cfRule>
    <cfRule type="expression" dxfId="366" priority="316">
      <formula>IFERROR(FIND("@",G1727),-1)&lt;0</formula>
    </cfRule>
  </conditionalFormatting>
  <conditionalFormatting sqref="G1729">
    <cfRule type="expression" dxfId="365" priority="313" stopIfTrue="1">
      <formula>ISBLANK(G1729)</formula>
    </cfRule>
    <cfRule type="expression" dxfId="364" priority="314">
      <formula>IFERROR(FIND("@",G1729),-1)&lt;0</formula>
    </cfRule>
  </conditionalFormatting>
  <conditionalFormatting sqref="G1736">
    <cfRule type="expression" dxfId="363" priority="311" stopIfTrue="1">
      <formula>ISBLANK(G1736)</formula>
    </cfRule>
    <cfRule type="expression" dxfId="362" priority="312">
      <formula>IFERROR(FIND("@",G1736),-1)&lt;0</formula>
    </cfRule>
  </conditionalFormatting>
  <conditionalFormatting sqref="G1757">
    <cfRule type="expression" dxfId="361" priority="309" stopIfTrue="1">
      <formula>ISBLANK(G1757)</formula>
    </cfRule>
    <cfRule type="expression" dxfId="360" priority="310">
      <formula>IFERROR(FIND("@",G1757),-1)&lt;0</formula>
    </cfRule>
  </conditionalFormatting>
  <conditionalFormatting sqref="G1758">
    <cfRule type="expression" dxfId="359" priority="307" stopIfTrue="1">
      <formula>ISBLANK(G1758)</formula>
    </cfRule>
    <cfRule type="expression" dxfId="358" priority="308">
      <formula>IFERROR(FIND("@",G1758),-1)&lt;0</formula>
    </cfRule>
  </conditionalFormatting>
  <conditionalFormatting sqref="G1759">
    <cfRule type="expression" dxfId="357" priority="305" stopIfTrue="1">
      <formula>ISBLANK(G1759)</formula>
    </cfRule>
    <cfRule type="expression" dxfId="356" priority="306">
      <formula>IFERROR(FIND("@",G1759),-1)&lt;0</formula>
    </cfRule>
  </conditionalFormatting>
  <conditionalFormatting sqref="G1770">
    <cfRule type="expression" dxfId="355" priority="303" stopIfTrue="1">
      <formula>ISBLANK(G1770)</formula>
    </cfRule>
    <cfRule type="expression" dxfId="354" priority="304">
      <formula>IFERROR(FIND("@",G1770),-1)&lt;0</formula>
    </cfRule>
  </conditionalFormatting>
  <conditionalFormatting sqref="G1774">
    <cfRule type="expression" dxfId="353" priority="301" stopIfTrue="1">
      <formula>ISBLANK(G1774)</formula>
    </cfRule>
    <cfRule type="expression" dxfId="352" priority="302">
      <formula>IFERROR(FIND("@",G1774),-1)&lt;0</formula>
    </cfRule>
  </conditionalFormatting>
  <conditionalFormatting sqref="G1781">
    <cfRule type="expression" dxfId="351" priority="299" stopIfTrue="1">
      <formula>ISBLANK(G1781)</formula>
    </cfRule>
    <cfRule type="expression" dxfId="350" priority="300">
      <formula>IFERROR(FIND("@",G1781),-1)&lt;0</formula>
    </cfRule>
  </conditionalFormatting>
  <conditionalFormatting sqref="G1783">
    <cfRule type="expression" dxfId="349" priority="297" stopIfTrue="1">
      <formula>ISBLANK(G1783)</formula>
    </cfRule>
    <cfRule type="expression" dxfId="348" priority="298">
      <formula>IFERROR(FIND("@",G1783),-1)&lt;0</formula>
    </cfRule>
  </conditionalFormatting>
  <conditionalFormatting sqref="G1800">
    <cfRule type="expression" dxfId="347" priority="295" stopIfTrue="1">
      <formula>ISBLANK(G1800)</formula>
    </cfRule>
    <cfRule type="expression" dxfId="346" priority="296">
      <formula>IFERROR(FIND("@",G1800),-1)&lt;0</formula>
    </cfRule>
  </conditionalFormatting>
  <conditionalFormatting sqref="G1801">
    <cfRule type="expression" dxfId="345" priority="293" stopIfTrue="1">
      <formula>ISBLANK(G1801)</formula>
    </cfRule>
    <cfRule type="expression" dxfId="344" priority="294">
      <formula>IFERROR(FIND("@",G1801),-1)&lt;0</formula>
    </cfRule>
  </conditionalFormatting>
  <conditionalFormatting sqref="G1806">
    <cfRule type="expression" dxfId="343" priority="291" stopIfTrue="1">
      <formula>ISBLANK(G1806)</formula>
    </cfRule>
    <cfRule type="expression" dxfId="342" priority="292">
      <formula>IFERROR(FIND("@",G1806),-1)&lt;0</formula>
    </cfRule>
  </conditionalFormatting>
  <conditionalFormatting sqref="G1813">
    <cfRule type="expression" dxfId="341" priority="289" stopIfTrue="1">
      <formula>ISBLANK(G1813)</formula>
    </cfRule>
    <cfRule type="expression" dxfId="340" priority="290">
      <formula>IFERROR(FIND("@",G1813),-1)&lt;0</formula>
    </cfRule>
  </conditionalFormatting>
  <conditionalFormatting sqref="G1820">
    <cfRule type="expression" dxfId="339" priority="287" stopIfTrue="1">
      <formula>ISBLANK(G1820)</formula>
    </cfRule>
    <cfRule type="expression" dxfId="338" priority="288">
      <formula>IFERROR(FIND("@",G1820),-1)&lt;0</formula>
    </cfRule>
  </conditionalFormatting>
  <conditionalFormatting sqref="G1824">
    <cfRule type="expression" dxfId="337" priority="285" stopIfTrue="1">
      <formula>ISBLANK(G1824)</formula>
    </cfRule>
    <cfRule type="expression" dxfId="336" priority="286">
      <formula>IFERROR(FIND("@",G1824),-1)&lt;0</formula>
    </cfRule>
  </conditionalFormatting>
  <conditionalFormatting sqref="G1829">
    <cfRule type="expression" dxfId="335" priority="283" stopIfTrue="1">
      <formula>ISBLANK(G1829)</formula>
    </cfRule>
    <cfRule type="expression" dxfId="334" priority="284">
      <formula>IFERROR(FIND("@",G1829),-1)&lt;0</formula>
    </cfRule>
  </conditionalFormatting>
  <conditionalFormatting sqref="G1832">
    <cfRule type="expression" dxfId="333" priority="281" stopIfTrue="1">
      <formula>ISBLANK(G1832)</formula>
    </cfRule>
    <cfRule type="expression" dxfId="332" priority="282">
      <formula>IFERROR(FIND("@",G1832),-1)&lt;0</formula>
    </cfRule>
  </conditionalFormatting>
  <conditionalFormatting sqref="G1835">
    <cfRule type="expression" dxfId="331" priority="279" stopIfTrue="1">
      <formula>ISBLANK(G1835)</formula>
    </cfRule>
    <cfRule type="expression" dxfId="330" priority="280">
      <formula>IFERROR(FIND("@",G1835),-1)&lt;0</formula>
    </cfRule>
  </conditionalFormatting>
  <conditionalFormatting sqref="G1842">
    <cfRule type="expression" dxfId="329" priority="277" stopIfTrue="1">
      <formula>ISBLANK(G1842)</formula>
    </cfRule>
    <cfRule type="expression" dxfId="328" priority="278">
      <formula>IFERROR(FIND("@",G1842),-1)&lt;0</formula>
    </cfRule>
  </conditionalFormatting>
  <conditionalFormatting sqref="G1851">
    <cfRule type="expression" dxfId="327" priority="275" stopIfTrue="1">
      <formula>ISBLANK(G1851)</formula>
    </cfRule>
    <cfRule type="expression" dxfId="326" priority="276">
      <formula>IFERROR(FIND("@",G1851),-1)&lt;0</formula>
    </cfRule>
  </conditionalFormatting>
  <conditionalFormatting sqref="G1854">
    <cfRule type="expression" dxfId="325" priority="273" stopIfTrue="1">
      <formula>ISBLANK(G1854)</formula>
    </cfRule>
    <cfRule type="expression" dxfId="324" priority="274">
      <formula>IFERROR(FIND("@",G1854),-1)&lt;0</formula>
    </cfRule>
  </conditionalFormatting>
  <conditionalFormatting sqref="G1865">
    <cfRule type="expression" dxfId="323" priority="271" stopIfTrue="1">
      <formula>ISBLANK(G1865)</formula>
    </cfRule>
    <cfRule type="expression" dxfId="322" priority="272">
      <formula>IFERROR(FIND("@",G1865),-1)&lt;0</formula>
    </cfRule>
  </conditionalFormatting>
  <conditionalFormatting sqref="G1868">
    <cfRule type="expression" dxfId="321" priority="269" stopIfTrue="1">
      <formula>ISBLANK(G1868)</formula>
    </cfRule>
    <cfRule type="expression" dxfId="320" priority="270">
      <formula>IFERROR(FIND("@",G1868),-1)&lt;0</formula>
    </cfRule>
  </conditionalFormatting>
  <conditionalFormatting sqref="G1875">
    <cfRule type="expression" dxfId="319" priority="267" stopIfTrue="1">
      <formula>ISBLANK(G1875)</formula>
    </cfRule>
    <cfRule type="expression" dxfId="318" priority="268">
      <formula>IFERROR(FIND("@",G1875),-1)&lt;0</formula>
    </cfRule>
  </conditionalFormatting>
  <conditionalFormatting sqref="G1877">
    <cfRule type="expression" dxfId="317" priority="265" stopIfTrue="1">
      <formula>ISBLANK(G1877)</formula>
    </cfRule>
    <cfRule type="expression" dxfId="316" priority="266">
      <formula>IFERROR(FIND("@",G1877),-1)&lt;0</formula>
    </cfRule>
  </conditionalFormatting>
  <conditionalFormatting sqref="G1888">
    <cfRule type="expression" dxfId="315" priority="263" stopIfTrue="1">
      <formula>ISBLANK(G1888)</formula>
    </cfRule>
    <cfRule type="expression" dxfId="314" priority="264">
      <formula>IFERROR(FIND("@",G1888),-1)&lt;0</formula>
    </cfRule>
  </conditionalFormatting>
  <conditionalFormatting sqref="G1895">
    <cfRule type="expression" dxfId="313" priority="261" stopIfTrue="1">
      <formula>ISBLANK(G1895)</formula>
    </cfRule>
    <cfRule type="expression" dxfId="312" priority="262">
      <formula>IFERROR(FIND("@",G1895),-1)&lt;0</formula>
    </cfRule>
  </conditionalFormatting>
  <conditionalFormatting sqref="G1896">
    <cfRule type="expression" dxfId="311" priority="259" stopIfTrue="1">
      <formula>ISBLANK(G1896)</formula>
    </cfRule>
    <cfRule type="expression" dxfId="310" priority="260">
      <formula>IFERROR(FIND("@",G1896),-1)&lt;0</formula>
    </cfRule>
  </conditionalFormatting>
  <conditionalFormatting sqref="G1912">
    <cfRule type="expression" dxfId="309" priority="257" stopIfTrue="1">
      <formula>ISBLANK(G1912)</formula>
    </cfRule>
    <cfRule type="expression" dxfId="308" priority="258">
      <formula>IFERROR(FIND("@",G1912),-1)&lt;0</formula>
    </cfRule>
  </conditionalFormatting>
  <conditionalFormatting sqref="G1914">
    <cfRule type="expression" dxfId="307" priority="255" stopIfTrue="1">
      <formula>ISBLANK(G1914)</formula>
    </cfRule>
    <cfRule type="expression" dxfId="306" priority="256">
      <formula>IFERROR(FIND("@",G1914),-1)&lt;0</formula>
    </cfRule>
  </conditionalFormatting>
  <conditionalFormatting sqref="G1923">
    <cfRule type="expression" dxfId="305" priority="253" stopIfTrue="1">
      <formula>ISBLANK(G1923)</formula>
    </cfRule>
    <cfRule type="expression" dxfId="304" priority="254">
      <formula>IFERROR(FIND("@",G1923),-1)&lt;0</formula>
    </cfRule>
  </conditionalFormatting>
  <conditionalFormatting sqref="G1939">
    <cfRule type="expression" dxfId="303" priority="251" stopIfTrue="1">
      <formula>ISBLANK(G1939)</formula>
    </cfRule>
    <cfRule type="expression" dxfId="302" priority="252">
      <formula>IFERROR(FIND("@",G1939),-1)&lt;0</formula>
    </cfRule>
  </conditionalFormatting>
  <conditionalFormatting sqref="G1942">
    <cfRule type="expression" dxfId="301" priority="249" stopIfTrue="1">
      <formula>ISBLANK(G1942)</formula>
    </cfRule>
    <cfRule type="expression" dxfId="300" priority="250">
      <formula>IFERROR(FIND("@",G1942),-1)&lt;0</formula>
    </cfRule>
  </conditionalFormatting>
  <conditionalFormatting sqref="G1944">
    <cfRule type="expression" dxfId="299" priority="247" stopIfTrue="1">
      <formula>ISBLANK(G1944)</formula>
    </cfRule>
    <cfRule type="expression" dxfId="298" priority="248">
      <formula>IFERROR(FIND("@",G1944),-1)&lt;0</formula>
    </cfRule>
  </conditionalFormatting>
  <conditionalFormatting sqref="G1945">
    <cfRule type="expression" dxfId="297" priority="245" stopIfTrue="1">
      <formula>ISBLANK(G1945)</formula>
    </cfRule>
    <cfRule type="expression" dxfId="296" priority="246">
      <formula>IFERROR(FIND("@",G1945),-1)&lt;0</formula>
    </cfRule>
  </conditionalFormatting>
  <conditionalFormatting sqref="G1960">
    <cfRule type="expression" dxfId="295" priority="243" stopIfTrue="1">
      <formula>ISBLANK(G1960)</formula>
    </cfRule>
    <cfRule type="expression" dxfId="294" priority="244">
      <formula>IFERROR(FIND("@",G1960),-1)&lt;0</formula>
    </cfRule>
  </conditionalFormatting>
  <conditionalFormatting sqref="G1964">
    <cfRule type="expression" dxfId="293" priority="241" stopIfTrue="1">
      <formula>ISBLANK(G1964)</formula>
    </cfRule>
    <cfRule type="expression" dxfId="292" priority="242">
      <formula>IFERROR(FIND("@",G1964),-1)&lt;0</formula>
    </cfRule>
  </conditionalFormatting>
  <conditionalFormatting sqref="G1992">
    <cfRule type="expression" dxfId="291" priority="239" stopIfTrue="1">
      <formula>ISBLANK(G1992)</formula>
    </cfRule>
    <cfRule type="expression" dxfId="290" priority="240">
      <formula>IFERROR(FIND("@",G1992),-1)&lt;0</formula>
    </cfRule>
  </conditionalFormatting>
  <conditionalFormatting sqref="G1996">
    <cfRule type="expression" dxfId="289" priority="237" stopIfTrue="1">
      <formula>ISBLANK(G1996)</formula>
    </cfRule>
    <cfRule type="expression" dxfId="288" priority="238">
      <formula>IFERROR(FIND("@",G1996),-1)&lt;0</formula>
    </cfRule>
  </conditionalFormatting>
  <conditionalFormatting sqref="G1999">
    <cfRule type="expression" dxfId="287" priority="235" stopIfTrue="1">
      <formula>ISBLANK(G1999)</formula>
    </cfRule>
    <cfRule type="expression" dxfId="286" priority="236">
      <formula>IFERROR(FIND("@",G1999),-1)&lt;0</formula>
    </cfRule>
  </conditionalFormatting>
  <conditionalFormatting sqref="G2001">
    <cfRule type="expression" dxfId="285" priority="233" stopIfTrue="1">
      <formula>ISBLANK(G2001)</formula>
    </cfRule>
    <cfRule type="expression" dxfId="284" priority="234">
      <formula>IFERROR(FIND("@",G2001),-1)&lt;0</formula>
    </cfRule>
  </conditionalFormatting>
  <conditionalFormatting sqref="G2003">
    <cfRule type="expression" dxfId="283" priority="231" stopIfTrue="1">
      <formula>ISBLANK(G2003)</formula>
    </cfRule>
    <cfRule type="expression" dxfId="282" priority="232">
      <formula>IFERROR(FIND("@",G2003),-1)&lt;0</formula>
    </cfRule>
  </conditionalFormatting>
  <conditionalFormatting sqref="G2007">
    <cfRule type="expression" dxfId="281" priority="229" stopIfTrue="1">
      <formula>ISBLANK(G2007)</formula>
    </cfRule>
    <cfRule type="expression" dxfId="280" priority="230">
      <formula>IFERROR(FIND("@",G2007),-1)&lt;0</formula>
    </cfRule>
  </conditionalFormatting>
  <conditionalFormatting sqref="G2033">
    <cfRule type="expression" dxfId="279" priority="227" stopIfTrue="1">
      <formula>ISBLANK(G2033)</formula>
    </cfRule>
    <cfRule type="expression" dxfId="278" priority="228">
      <formula>IFERROR(FIND("@",G2033),-1)&lt;0</formula>
    </cfRule>
  </conditionalFormatting>
  <conditionalFormatting sqref="G2038">
    <cfRule type="expression" dxfId="277" priority="225" stopIfTrue="1">
      <formula>ISBLANK(G2038)</formula>
    </cfRule>
    <cfRule type="expression" dxfId="276" priority="226">
      <formula>IFERROR(FIND("@",G2038),-1)&lt;0</formula>
    </cfRule>
  </conditionalFormatting>
  <conditionalFormatting sqref="G2039">
    <cfRule type="expression" dxfId="275" priority="223" stopIfTrue="1">
      <formula>ISBLANK(G2039)</formula>
    </cfRule>
    <cfRule type="expression" dxfId="274" priority="224">
      <formula>IFERROR(FIND("@",G2039),-1)&lt;0</formula>
    </cfRule>
  </conditionalFormatting>
  <conditionalFormatting sqref="G2042">
    <cfRule type="expression" dxfId="273" priority="221" stopIfTrue="1">
      <formula>ISBLANK(G2042)</formula>
    </cfRule>
    <cfRule type="expression" dxfId="272" priority="222">
      <formula>IFERROR(FIND("@",G2042),-1)&lt;0</formula>
    </cfRule>
  </conditionalFormatting>
  <conditionalFormatting sqref="G2043">
    <cfRule type="expression" dxfId="271" priority="219" stopIfTrue="1">
      <formula>ISBLANK(G2043)</formula>
    </cfRule>
    <cfRule type="expression" dxfId="270" priority="220">
      <formula>IFERROR(FIND("@",G2043),-1)&lt;0</formula>
    </cfRule>
  </conditionalFormatting>
  <conditionalFormatting sqref="G2045">
    <cfRule type="expression" dxfId="269" priority="217" stopIfTrue="1">
      <formula>ISBLANK(G2045)</formula>
    </cfRule>
    <cfRule type="expression" dxfId="268" priority="218">
      <formula>IFERROR(FIND("@",G2045),-1)&lt;0</formula>
    </cfRule>
  </conditionalFormatting>
  <conditionalFormatting sqref="G2051">
    <cfRule type="expression" dxfId="267" priority="215" stopIfTrue="1">
      <formula>ISBLANK(G2051)</formula>
    </cfRule>
    <cfRule type="expression" dxfId="266" priority="216">
      <formula>IFERROR(FIND("@",G2051),-1)&lt;0</formula>
    </cfRule>
  </conditionalFormatting>
  <conditionalFormatting sqref="G2052">
    <cfRule type="expression" dxfId="265" priority="213" stopIfTrue="1">
      <formula>ISBLANK(G2052)</formula>
    </cfRule>
    <cfRule type="expression" dxfId="264" priority="214">
      <formula>IFERROR(FIND("@",G2052),-1)&lt;0</formula>
    </cfRule>
  </conditionalFormatting>
  <conditionalFormatting sqref="G2055">
    <cfRule type="expression" dxfId="263" priority="211" stopIfTrue="1">
      <formula>ISBLANK(G2055)</formula>
    </cfRule>
    <cfRule type="expression" dxfId="262" priority="212">
      <formula>IFERROR(FIND("@",G2055),-1)&lt;0</formula>
    </cfRule>
  </conditionalFormatting>
  <conditionalFormatting sqref="G2066">
    <cfRule type="expression" dxfId="261" priority="209" stopIfTrue="1">
      <formula>ISBLANK(G2066)</formula>
    </cfRule>
    <cfRule type="expression" dxfId="260" priority="210">
      <formula>IFERROR(FIND("@",G2066),-1)&lt;0</formula>
    </cfRule>
  </conditionalFormatting>
  <conditionalFormatting sqref="G2072">
    <cfRule type="expression" dxfId="259" priority="207" stopIfTrue="1">
      <formula>ISBLANK(G2072)</formula>
    </cfRule>
    <cfRule type="expression" dxfId="258" priority="208">
      <formula>IFERROR(FIND("@",G2072),-1)&lt;0</formula>
    </cfRule>
  </conditionalFormatting>
  <conditionalFormatting sqref="G2080">
    <cfRule type="expression" dxfId="257" priority="205" stopIfTrue="1">
      <formula>ISBLANK(G2080)</formula>
    </cfRule>
    <cfRule type="expression" dxfId="256" priority="206">
      <formula>IFERROR(FIND("@",G2080),-1)&lt;0</formula>
    </cfRule>
  </conditionalFormatting>
  <conditionalFormatting sqref="G2085">
    <cfRule type="expression" dxfId="255" priority="201" stopIfTrue="1">
      <formula>ISBLANK(G2085)</formula>
    </cfRule>
    <cfRule type="expression" dxfId="254" priority="202">
      <formula>IFERROR(FIND("@",G2085),-1)&lt;0</formula>
    </cfRule>
  </conditionalFormatting>
  <conditionalFormatting sqref="G2092">
    <cfRule type="expression" dxfId="253" priority="199" stopIfTrue="1">
      <formula>ISBLANK(G2092)</formula>
    </cfRule>
    <cfRule type="expression" dxfId="252" priority="200">
      <formula>IFERROR(FIND("@",G2092),-1)&lt;0</formula>
    </cfRule>
  </conditionalFormatting>
  <conditionalFormatting sqref="G2113">
    <cfRule type="expression" dxfId="251" priority="197" stopIfTrue="1">
      <formula>ISBLANK(G2113)</formula>
    </cfRule>
    <cfRule type="expression" dxfId="250" priority="198">
      <formula>IFERROR(FIND("@",G2113),-1)&lt;0</formula>
    </cfRule>
  </conditionalFormatting>
  <conditionalFormatting sqref="G2114">
    <cfRule type="expression" dxfId="249" priority="195" stopIfTrue="1">
      <formula>ISBLANK(G2114)</formula>
    </cfRule>
    <cfRule type="expression" dxfId="248" priority="196">
      <formula>IFERROR(FIND("@",G2114),-1)&lt;0</formula>
    </cfRule>
  </conditionalFormatting>
  <conditionalFormatting sqref="G2127">
    <cfRule type="expression" dxfId="247" priority="193" stopIfTrue="1">
      <formula>ISBLANK(G2127)</formula>
    </cfRule>
    <cfRule type="expression" dxfId="246" priority="194">
      <formula>IFERROR(FIND("@",G2127),-1)&lt;0</formula>
    </cfRule>
  </conditionalFormatting>
  <conditionalFormatting sqref="G2130">
    <cfRule type="expression" dxfId="245" priority="191" stopIfTrue="1">
      <formula>ISBLANK(G2130)</formula>
    </cfRule>
    <cfRule type="expression" dxfId="244" priority="192">
      <formula>IFERROR(FIND("@",G2130),-1)&lt;0</formula>
    </cfRule>
  </conditionalFormatting>
  <conditionalFormatting sqref="G2137">
    <cfRule type="expression" dxfId="243" priority="189" stopIfTrue="1">
      <formula>ISBLANK(G2137)</formula>
    </cfRule>
    <cfRule type="expression" dxfId="242" priority="190">
      <formula>IFERROR(FIND("@",G2137),-1)&lt;0</formula>
    </cfRule>
  </conditionalFormatting>
  <conditionalFormatting sqref="G2139">
    <cfRule type="expression" dxfId="241" priority="187" stopIfTrue="1">
      <formula>ISBLANK(G2139)</formula>
    </cfRule>
    <cfRule type="expression" dxfId="240" priority="188">
      <formula>IFERROR(FIND("@",G2139),-1)&lt;0</formula>
    </cfRule>
  </conditionalFormatting>
  <conditionalFormatting sqref="G2146">
    <cfRule type="expression" dxfId="239" priority="185" stopIfTrue="1">
      <formula>ISBLANK(G2146)</formula>
    </cfRule>
    <cfRule type="expression" dxfId="238" priority="186">
      <formula>IFERROR(FIND("@",G2146),-1)&lt;0</formula>
    </cfRule>
  </conditionalFormatting>
  <conditionalFormatting sqref="G2149">
    <cfRule type="expression" dxfId="237" priority="183" stopIfTrue="1">
      <formula>ISBLANK(G2149)</formula>
    </cfRule>
    <cfRule type="expression" dxfId="236" priority="184">
      <formula>IFERROR(FIND("@",G2149),-1)&lt;0</formula>
    </cfRule>
  </conditionalFormatting>
  <conditionalFormatting sqref="G2151">
    <cfRule type="expression" dxfId="235" priority="181" stopIfTrue="1">
      <formula>ISBLANK(G2151)</formula>
    </cfRule>
    <cfRule type="expression" dxfId="234" priority="182">
      <formula>IFERROR(FIND("@",G2151),-1)&lt;0</formula>
    </cfRule>
  </conditionalFormatting>
  <conditionalFormatting sqref="G2158">
    <cfRule type="expression" dxfId="233" priority="179" stopIfTrue="1">
      <formula>ISBLANK(G2158)</formula>
    </cfRule>
    <cfRule type="expression" dxfId="232" priority="180">
      <formula>IFERROR(FIND("@",G2158),-1)&lt;0</formula>
    </cfRule>
  </conditionalFormatting>
  <conditionalFormatting sqref="G2164">
    <cfRule type="expression" dxfId="231" priority="177" stopIfTrue="1">
      <formula>ISBLANK(G2164)</formula>
    </cfRule>
    <cfRule type="expression" dxfId="230" priority="178">
      <formula>IFERROR(FIND("@",G2164),-1)&lt;0</formula>
    </cfRule>
  </conditionalFormatting>
  <conditionalFormatting sqref="G2166">
    <cfRule type="expression" dxfId="229" priority="175" stopIfTrue="1">
      <formula>ISBLANK(G2166)</formula>
    </cfRule>
    <cfRule type="expression" dxfId="228" priority="176">
      <formula>IFERROR(FIND("@",G2166),-1)&lt;0</formula>
    </cfRule>
  </conditionalFormatting>
  <conditionalFormatting sqref="G2167">
    <cfRule type="expression" dxfId="227" priority="173" stopIfTrue="1">
      <formula>ISBLANK(G2167)</formula>
    </cfRule>
    <cfRule type="expression" dxfId="226" priority="174">
      <formula>IFERROR(FIND("@",G2167),-1)&lt;0</formula>
    </cfRule>
  </conditionalFormatting>
  <conditionalFormatting sqref="G2199">
    <cfRule type="expression" dxfId="225" priority="171" stopIfTrue="1">
      <formula>ISBLANK(G2199)</formula>
    </cfRule>
    <cfRule type="expression" dxfId="224" priority="172">
      <formula>IFERROR(FIND("@",G2199),-1)&lt;0</formula>
    </cfRule>
  </conditionalFormatting>
  <conditionalFormatting sqref="G2218">
    <cfRule type="expression" dxfId="223" priority="169" stopIfTrue="1">
      <formula>ISBLANK(G2218)</formula>
    </cfRule>
    <cfRule type="expression" dxfId="222" priority="170">
      <formula>IFERROR(FIND("@",G2218),-1)&lt;0</formula>
    </cfRule>
  </conditionalFormatting>
  <conditionalFormatting sqref="G2223">
    <cfRule type="expression" dxfId="221" priority="167" stopIfTrue="1">
      <formula>ISBLANK(G2223)</formula>
    </cfRule>
    <cfRule type="expression" dxfId="220" priority="168">
      <formula>IFERROR(FIND("@",G2223),-1)&lt;0</formula>
    </cfRule>
  </conditionalFormatting>
  <conditionalFormatting sqref="G2227">
    <cfRule type="expression" dxfId="219" priority="165" stopIfTrue="1">
      <formula>ISBLANK(G2227)</formula>
    </cfRule>
    <cfRule type="expression" dxfId="218" priority="166">
      <formula>IFERROR(FIND("@",G2227),-1)&lt;0</formula>
    </cfRule>
  </conditionalFormatting>
  <conditionalFormatting sqref="G2231">
    <cfRule type="expression" dxfId="217" priority="163" stopIfTrue="1">
      <formula>ISBLANK(G2231)</formula>
    </cfRule>
    <cfRule type="expression" dxfId="216" priority="164">
      <formula>IFERROR(FIND("@",G2231),-1)&lt;0</formula>
    </cfRule>
  </conditionalFormatting>
  <conditionalFormatting sqref="G2232">
    <cfRule type="expression" dxfId="215" priority="161" stopIfTrue="1">
      <formula>ISBLANK(G2232)</formula>
    </cfRule>
    <cfRule type="expression" dxfId="214" priority="162">
      <formula>IFERROR(FIND("@",G2232),-1)&lt;0</formula>
    </cfRule>
  </conditionalFormatting>
  <conditionalFormatting sqref="G2234">
    <cfRule type="expression" dxfId="213" priority="159" stopIfTrue="1">
      <formula>ISBLANK(G2234)</formula>
    </cfRule>
    <cfRule type="expression" dxfId="212" priority="160">
      <formula>IFERROR(FIND("@",G2234),-1)&lt;0</formula>
    </cfRule>
  </conditionalFormatting>
  <conditionalFormatting sqref="G2235">
    <cfRule type="expression" dxfId="211" priority="157" stopIfTrue="1">
      <formula>ISBLANK(G2235)</formula>
    </cfRule>
    <cfRule type="expression" dxfId="210" priority="158">
      <formula>IFERROR(FIND("@",G2235),-1)&lt;0</formula>
    </cfRule>
  </conditionalFormatting>
  <conditionalFormatting sqref="G2263">
    <cfRule type="expression" dxfId="209" priority="155" stopIfTrue="1">
      <formula>ISBLANK(G2263)</formula>
    </cfRule>
    <cfRule type="expression" dxfId="208" priority="156">
      <formula>IFERROR(FIND("@",G2263),-1)&lt;0</formula>
    </cfRule>
  </conditionalFormatting>
  <conditionalFormatting sqref="G2265">
    <cfRule type="expression" dxfId="207" priority="153" stopIfTrue="1">
      <formula>ISBLANK(G2265)</formula>
    </cfRule>
    <cfRule type="expression" dxfId="206" priority="154">
      <formula>IFERROR(FIND("@",G2265),-1)&lt;0</formula>
    </cfRule>
  </conditionalFormatting>
  <conditionalFormatting sqref="G2275">
    <cfRule type="expression" dxfId="205" priority="151" stopIfTrue="1">
      <formula>ISBLANK(G2275)</formula>
    </cfRule>
    <cfRule type="expression" dxfId="204" priority="152">
      <formula>IFERROR(FIND("@",G2275),-1)&lt;0</formula>
    </cfRule>
  </conditionalFormatting>
  <conditionalFormatting sqref="G2276">
    <cfRule type="expression" dxfId="203" priority="149" stopIfTrue="1">
      <formula>ISBLANK(G2276)</formula>
    </cfRule>
    <cfRule type="expression" dxfId="202" priority="150">
      <formula>IFERROR(FIND("@",G2276),-1)&lt;0</formula>
    </cfRule>
  </conditionalFormatting>
  <conditionalFormatting sqref="G2285">
    <cfRule type="expression" dxfId="201" priority="147" stopIfTrue="1">
      <formula>ISBLANK(G2285)</formula>
    </cfRule>
    <cfRule type="expression" dxfId="200" priority="148">
      <formula>IFERROR(FIND("@",G2285),-1)&lt;0</formula>
    </cfRule>
  </conditionalFormatting>
  <conditionalFormatting sqref="G2294">
    <cfRule type="expression" dxfId="199" priority="145" stopIfTrue="1">
      <formula>ISBLANK(G2294)</formula>
    </cfRule>
    <cfRule type="expression" dxfId="198" priority="146">
      <formula>IFERROR(FIND("@",G2294),-1)&lt;0</formula>
    </cfRule>
  </conditionalFormatting>
  <conditionalFormatting sqref="G2279">
    <cfRule type="expression" dxfId="197" priority="143" stopIfTrue="1">
      <formula>ISBLANK(G2279)</formula>
    </cfRule>
    <cfRule type="expression" dxfId="196" priority="144">
      <formula>IFERROR(FIND("@",G2279),-1)&lt;0</formula>
    </cfRule>
  </conditionalFormatting>
  <conditionalFormatting sqref="G2303">
    <cfRule type="expression" dxfId="195" priority="141" stopIfTrue="1">
      <formula>ISBLANK(G2303)</formula>
    </cfRule>
    <cfRule type="expression" dxfId="194" priority="142">
      <formula>IFERROR(FIND("@",G2303),-1)&lt;0</formula>
    </cfRule>
  </conditionalFormatting>
  <conditionalFormatting sqref="G2315">
    <cfRule type="expression" dxfId="193" priority="139" stopIfTrue="1">
      <formula>ISBLANK(G2315)</formula>
    </cfRule>
    <cfRule type="expression" dxfId="192" priority="140">
      <formula>IFERROR(FIND("@",G2315),-1)&lt;0</formula>
    </cfRule>
  </conditionalFormatting>
  <conditionalFormatting sqref="G2327">
    <cfRule type="expression" dxfId="191" priority="137" stopIfTrue="1">
      <formula>ISBLANK(G2327)</formula>
    </cfRule>
    <cfRule type="expression" dxfId="190" priority="138">
      <formula>IFERROR(FIND("@",G2327),-1)&lt;0</formula>
    </cfRule>
  </conditionalFormatting>
  <conditionalFormatting sqref="G2339">
    <cfRule type="expression" dxfId="189" priority="135" stopIfTrue="1">
      <formula>ISBLANK(G2339)</formula>
    </cfRule>
    <cfRule type="expression" dxfId="188" priority="136">
      <formula>IFERROR(FIND("@",G2339),-1)&lt;0</formula>
    </cfRule>
  </conditionalFormatting>
  <conditionalFormatting sqref="G2344:G2345">
    <cfRule type="expression" dxfId="187" priority="133" stopIfTrue="1">
      <formula>ISBLANK(G2344)</formula>
    </cfRule>
    <cfRule type="expression" dxfId="186" priority="134">
      <formula>IFERROR(FIND("@",G2344),-1)&lt;0</formula>
    </cfRule>
  </conditionalFormatting>
  <conditionalFormatting sqref="G2353">
    <cfRule type="expression" dxfId="185" priority="131" stopIfTrue="1">
      <formula>ISBLANK(G2353)</formula>
    </cfRule>
    <cfRule type="expression" dxfId="184" priority="132">
      <formula>IFERROR(FIND("@",G2353),-1)&lt;0</formula>
    </cfRule>
  </conditionalFormatting>
  <conditionalFormatting sqref="G2354">
    <cfRule type="expression" dxfId="183" priority="129" stopIfTrue="1">
      <formula>ISBLANK(G2354)</formula>
    </cfRule>
    <cfRule type="expression" dxfId="182" priority="130">
      <formula>IFERROR(FIND("@",G2354),-1)&lt;0</formula>
    </cfRule>
  </conditionalFormatting>
  <conditionalFormatting sqref="G2359">
    <cfRule type="expression" dxfId="181" priority="127" stopIfTrue="1">
      <formula>ISBLANK(G2359)</formula>
    </cfRule>
    <cfRule type="expression" dxfId="180" priority="128">
      <formula>IFERROR(FIND("@",G2359),-1)&lt;0</formula>
    </cfRule>
  </conditionalFormatting>
  <conditionalFormatting sqref="G2364">
    <cfRule type="expression" dxfId="179" priority="125" stopIfTrue="1">
      <formula>ISBLANK(G2364)</formula>
    </cfRule>
    <cfRule type="expression" dxfId="178" priority="126">
      <formula>IFERROR(FIND("@",G2364),-1)&lt;0</formula>
    </cfRule>
  </conditionalFormatting>
  <conditionalFormatting sqref="G2368">
    <cfRule type="expression" dxfId="177" priority="123" stopIfTrue="1">
      <formula>ISBLANK(G2368)</formula>
    </cfRule>
    <cfRule type="expression" dxfId="176" priority="124">
      <formula>IFERROR(FIND("@",G2368),-1)&lt;0</formula>
    </cfRule>
  </conditionalFormatting>
  <conditionalFormatting sqref="G2369">
    <cfRule type="expression" dxfId="175" priority="121" stopIfTrue="1">
      <formula>ISBLANK(G2369)</formula>
    </cfRule>
    <cfRule type="expression" dxfId="174" priority="122">
      <formula>IFERROR(FIND("@",G2369),-1)&lt;0</formula>
    </cfRule>
  </conditionalFormatting>
  <conditionalFormatting sqref="G2377">
    <cfRule type="expression" dxfId="173" priority="119" stopIfTrue="1">
      <formula>ISBLANK(G2377)</formula>
    </cfRule>
    <cfRule type="expression" dxfId="172" priority="120">
      <formula>IFERROR(FIND("@",G2377),-1)&lt;0</formula>
    </cfRule>
  </conditionalFormatting>
  <conditionalFormatting sqref="G2378">
    <cfRule type="expression" dxfId="171" priority="117" stopIfTrue="1">
      <formula>ISBLANK(G2378)</formula>
    </cfRule>
    <cfRule type="expression" dxfId="170" priority="118">
      <formula>IFERROR(FIND("@",G2378),-1)&lt;0</formula>
    </cfRule>
  </conditionalFormatting>
  <conditionalFormatting sqref="G2379">
    <cfRule type="expression" dxfId="169" priority="115" stopIfTrue="1">
      <formula>ISBLANK(G2379)</formula>
    </cfRule>
    <cfRule type="expression" dxfId="168" priority="116">
      <formula>IFERROR(FIND("@",G2379),-1)&lt;0</formula>
    </cfRule>
  </conditionalFormatting>
  <conditionalFormatting sqref="G2382">
    <cfRule type="expression" dxfId="167" priority="113" stopIfTrue="1">
      <formula>ISBLANK(G2382)</formula>
    </cfRule>
    <cfRule type="expression" dxfId="166" priority="114">
      <formula>IFERROR(FIND("@",G2382),-1)&lt;0</formula>
    </cfRule>
  </conditionalFormatting>
  <conditionalFormatting sqref="G2389">
    <cfRule type="expression" dxfId="165" priority="111" stopIfTrue="1">
      <formula>ISBLANK(G2389)</formula>
    </cfRule>
    <cfRule type="expression" dxfId="164" priority="112">
      <formula>IFERROR(FIND("@",G2389),-1)&lt;0</formula>
    </cfRule>
  </conditionalFormatting>
  <conditionalFormatting sqref="G2407">
    <cfRule type="expression" dxfId="163" priority="109" stopIfTrue="1">
      <formula>ISBLANK(G2407)</formula>
    </cfRule>
    <cfRule type="expression" dxfId="162" priority="110">
      <formula>IFERROR(FIND("@",G2407),-1)&lt;0</formula>
    </cfRule>
  </conditionalFormatting>
  <conditionalFormatting sqref="G2416">
    <cfRule type="expression" dxfId="161" priority="107" stopIfTrue="1">
      <formula>ISBLANK(G2416)</formula>
    </cfRule>
    <cfRule type="expression" dxfId="160" priority="108">
      <formula>IFERROR(FIND("@",G2416),-1)&lt;0</formula>
    </cfRule>
  </conditionalFormatting>
  <conditionalFormatting sqref="G2417">
    <cfRule type="expression" dxfId="159" priority="105" stopIfTrue="1">
      <formula>ISBLANK(G2417)</formula>
    </cfRule>
    <cfRule type="expression" dxfId="158" priority="106">
      <formula>IFERROR(FIND("@",G2417),-1)&lt;0</formula>
    </cfRule>
  </conditionalFormatting>
  <conditionalFormatting sqref="G2449">
    <cfRule type="expression" dxfId="157" priority="103" stopIfTrue="1">
      <formula>ISBLANK(G2449)</formula>
    </cfRule>
    <cfRule type="expression" dxfId="156" priority="104">
      <formula>IFERROR(FIND("@",G2449),-1)&lt;0</formula>
    </cfRule>
  </conditionalFormatting>
  <conditionalFormatting sqref="G2451">
    <cfRule type="expression" dxfId="155" priority="101" stopIfTrue="1">
      <formula>ISBLANK(G2451)</formula>
    </cfRule>
    <cfRule type="expression" dxfId="154" priority="102">
      <formula>IFERROR(FIND("@",G2451),-1)&lt;0</formula>
    </cfRule>
  </conditionalFormatting>
  <conditionalFormatting sqref="G2455">
    <cfRule type="expression" dxfId="153" priority="99" stopIfTrue="1">
      <formula>ISBLANK(G2455)</formula>
    </cfRule>
    <cfRule type="expression" dxfId="152" priority="100">
      <formula>IFERROR(FIND("@",G2455),-1)&lt;0</formula>
    </cfRule>
  </conditionalFormatting>
  <conditionalFormatting sqref="G2459">
    <cfRule type="expression" dxfId="151" priority="97" stopIfTrue="1">
      <formula>ISBLANK(G2459)</formula>
    </cfRule>
    <cfRule type="expression" dxfId="150" priority="98">
      <formula>IFERROR(FIND("@",G2459),-1)&lt;0</formula>
    </cfRule>
  </conditionalFormatting>
  <conditionalFormatting sqref="G2470">
    <cfRule type="expression" dxfId="149" priority="95" stopIfTrue="1">
      <formula>ISBLANK(G2470)</formula>
    </cfRule>
    <cfRule type="expression" dxfId="148" priority="96">
      <formula>IFERROR(FIND("@",G2470),-1)&lt;0</formula>
    </cfRule>
  </conditionalFormatting>
  <conditionalFormatting sqref="G2475">
    <cfRule type="expression" dxfId="147" priority="93" stopIfTrue="1">
      <formula>ISBLANK(G2475)</formula>
    </cfRule>
    <cfRule type="expression" dxfId="146" priority="94">
      <formula>IFERROR(FIND("@",G2475),-1)&lt;0</formula>
    </cfRule>
  </conditionalFormatting>
  <conditionalFormatting sqref="G2478:G2479">
    <cfRule type="expression" dxfId="145" priority="91" stopIfTrue="1">
      <formula>ISBLANK(G2478)</formula>
    </cfRule>
    <cfRule type="expression" dxfId="144" priority="92">
      <formula>IFERROR(FIND("@",G2478),-1)&lt;0</formula>
    </cfRule>
  </conditionalFormatting>
  <conditionalFormatting sqref="G2485">
    <cfRule type="expression" dxfId="143" priority="89" stopIfTrue="1">
      <formula>ISBLANK(G2485)</formula>
    </cfRule>
    <cfRule type="expression" dxfId="142" priority="90">
      <formula>IFERROR(FIND("@",G2485),-1)&lt;0</formula>
    </cfRule>
  </conditionalFormatting>
  <conditionalFormatting sqref="G2491">
    <cfRule type="expression" dxfId="141" priority="87" stopIfTrue="1">
      <formula>ISBLANK(G2491)</formula>
    </cfRule>
    <cfRule type="expression" dxfId="140" priority="88">
      <formula>IFERROR(FIND("@",G2491),-1)&lt;0</formula>
    </cfRule>
  </conditionalFormatting>
  <conditionalFormatting sqref="G2495">
    <cfRule type="expression" dxfId="139" priority="85" stopIfTrue="1">
      <formula>ISBLANK(G2495)</formula>
    </cfRule>
    <cfRule type="expression" dxfId="138" priority="86">
      <formula>IFERROR(FIND("@",G2495),-1)&lt;0</formula>
    </cfRule>
  </conditionalFormatting>
  <conditionalFormatting sqref="G2499">
    <cfRule type="expression" dxfId="137" priority="83" stopIfTrue="1">
      <formula>ISBLANK(G2499)</formula>
    </cfRule>
    <cfRule type="expression" dxfId="136" priority="84">
      <formula>IFERROR(FIND("@",G2499),-1)&lt;0</formula>
    </cfRule>
  </conditionalFormatting>
  <conditionalFormatting sqref="G2524">
    <cfRule type="expression" dxfId="135" priority="81" stopIfTrue="1">
      <formula>ISBLANK(G2524)</formula>
    </cfRule>
    <cfRule type="expression" dxfId="134" priority="82">
      <formula>IFERROR(FIND("@",G2524),-1)&lt;0</formula>
    </cfRule>
  </conditionalFormatting>
  <conditionalFormatting sqref="G2525">
    <cfRule type="expression" dxfId="133" priority="79" stopIfTrue="1">
      <formula>ISBLANK(G2525)</formula>
    </cfRule>
    <cfRule type="expression" dxfId="132" priority="80">
      <formula>IFERROR(FIND("@",G2525),-1)&lt;0</formula>
    </cfRule>
  </conditionalFormatting>
  <conditionalFormatting sqref="G2530">
    <cfRule type="expression" dxfId="131" priority="77" stopIfTrue="1">
      <formula>ISBLANK(G2530)</formula>
    </cfRule>
    <cfRule type="expression" dxfId="130" priority="78">
      <formula>IFERROR(FIND("@",G2530),-1)&lt;0</formula>
    </cfRule>
  </conditionalFormatting>
  <conditionalFormatting sqref="G2545">
    <cfRule type="expression" dxfId="129" priority="75" stopIfTrue="1">
      <formula>ISBLANK(G2545)</formula>
    </cfRule>
    <cfRule type="expression" dxfId="128" priority="76">
      <formula>IFERROR(FIND("@",G2545),-1)&lt;0</formula>
    </cfRule>
  </conditionalFormatting>
  <conditionalFormatting sqref="G2550">
    <cfRule type="expression" dxfId="127" priority="71" stopIfTrue="1">
      <formula>ISBLANK(G2550)</formula>
    </cfRule>
    <cfRule type="expression" dxfId="126" priority="72">
      <formula>IFERROR(FIND("@",G2550),-1)&lt;0</formula>
    </cfRule>
  </conditionalFormatting>
  <conditionalFormatting sqref="G2554">
    <cfRule type="expression" dxfId="125" priority="69" stopIfTrue="1">
      <formula>ISBLANK(G2554)</formula>
    </cfRule>
    <cfRule type="expression" dxfId="124" priority="70">
      <formula>IFERROR(FIND("@",G2554),-1)&lt;0</formula>
    </cfRule>
  </conditionalFormatting>
  <conditionalFormatting sqref="G2563">
    <cfRule type="expression" dxfId="123" priority="67" stopIfTrue="1">
      <formula>ISBLANK(G2563)</formula>
    </cfRule>
    <cfRule type="expression" dxfId="122" priority="68">
      <formula>IFERROR(FIND("@",G2563),-1)&lt;0</formula>
    </cfRule>
  </conditionalFormatting>
  <conditionalFormatting sqref="G2566">
    <cfRule type="expression" dxfId="121" priority="65" stopIfTrue="1">
      <formula>ISBLANK(G2566)</formula>
    </cfRule>
    <cfRule type="expression" dxfId="120" priority="66">
      <formula>IFERROR(FIND("@",G2566),-1)&lt;0</formula>
    </cfRule>
  </conditionalFormatting>
  <conditionalFormatting sqref="G2585">
    <cfRule type="expression" dxfId="119" priority="63" stopIfTrue="1">
      <formula>ISBLANK(G2585)</formula>
    </cfRule>
    <cfRule type="expression" dxfId="118" priority="64">
      <formula>IFERROR(FIND("@",G2585),-1)&lt;0</formula>
    </cfRule>
  </conditionalFormatting>
  <conditionalFormatting sqref="G2588">
    <cfRule type="expression" dxfId="117" priority="61" stopIfTrue="1">
      <formula>ISBLANK(G2588)</formula>
    </cfRule>
    <cfRule type="expression" dxfId="116" priority="62">
      <formula>IFERROR(FIND("@",G2588),-1)&lt;0</formula>
    </cfRule>
  </conditionalFormatting>
  <conditionalFormatting sqref="G2611">
    <cfRule type="expression" dxfId="115" priority="59" stopIfTrue="1">
      <formula>ISBLANK(G2611)</formula>
    </cfRule>
    <cfRule type="expression" dxfId="114" priority="60">
      <formula>IFERROR(FIND("@",G2611),-1)&lt;0</formula>
    </cfRule>
  </conditionalFormatting>
  <conditionalFormatting sqref="G2620">
    <cfRule type="expression" dxfId="113" priority="57" stopIfTrue="1">
      <formula>ISBLANK(G2620)</formula>
    </cfRule>
    <cfRule type="expression" dxfId="112" priority="58">
      <formula>IFERROR(FIND("@",G2620),-1)&lt;0</formula>
    </cfRule>
  </conditionalFormatting>
  <conditionalFormatting sqref="G2631">
    <cfRule type="expression" dxfId="111" priority="55" stopIfTrue="1">
      <formula>ISBLANK(G2631)</formula>
    </cfRule>
    <cfRule type="expression" dxfId="110" priority="56">
      <formula>IFERROR(FIND("@",G2631),-1)&lt;0</formula>
    </cfRule>
  </conditionalFormatting>
  <conditionalFormatting sqref="G2632">
    <cfRule type="expression" dxfId="109" priority="53" stopIfTrue="1">
      <formula>ISBLANK(G2632)</formula>
    </cfRule>
    <cfRule type="expression" dxfId="108" priority="54">
      <formula>IFERROR(FIND("@",G2632),-1)&lt;0</formula>
    </cfRule>
  </conditionalFormatting>
  <conditionalFormatting sqref="G2634">
    <cfRule type="expression" dxfId="107" priority="51" stopIfTrue="1">
      <formula>ISBLANK(G2634)</formula>
    </cfRule>
    <cfRule type="expression" dxfId="106" priority="52">
      <formula>IFERROR(FIND("@",G2634),-1)&lt;0</formula>
    </cfRule>
  </conditionalFormatting>
  <conditionalFormatting sqref="G2635">
    <cfRule type="expression" dxfId="105" priority="49" stopIfTrue="1">
      <formula>ISBLANK(G2635)</formula>
    </cfRule>
    <cfRule type="expression" dxfId="104" priority="50">
      <formula>IFERROR(FIND("@",G2635),-1)&lt;0</formula>
    </cfRule>
  </conditionalFormatting>
  <conditionalFormatting sqref="G2658">
    <cfRule type="expression" dxfId="103" priority="47" stopIfTrue="1">
      <formula>ISBLANK(G2658)</formula>
    </cfRule>
    <cfRule type="expression" dxfId="102" priority="48">
      <formula>IFERROR(FIND("@",G2658),-1)&lt;0</formula>
    </cfRule>
  </conditionalFormatting>
  <conditionalFormatting sqref="G2660">
    <cfRule type="expression" dxfId="101" priority="45" stopIfTrue="1">
      <formula>ISBLANK(G2660)</formula>
    </cfRule>
    <cfRule type="expression" dxfId="100" priority="46">
      <formula>IFERROR(FIND("@",G2660),-1)&lt;0</formula>
    </cfRule>
  </conditionalFormatting>
  <conditionalFormatting sqref="G2666">
    <cfRule type="expression" dxfId="99" priority="43" stopIfTrue="1">
      <formula>ISBLANK(G2666)</formula>
    </cfRule>
    <cfRule type="expression" dxfId="98" priority="44">
      <formula>IFERROR(FIND("@",G2666),-1)&lt;0</formula>
    </cfRule>
  </conditionalFormatting>
  <conditionalFormatting sqref="G2667">
    <cfRule type="expression" dxfId="97" priority="41" stopIfTrue="1">
      <formula>ISBLANK(G2667)</formula>
    </cfRule>
    <cfRule type="expression" dxfId="96" priority="42">
      <formula>IFERROR(FIND("@",G2667),-1)&lt;0</formula>
    </cfRule>
  </conditionalFormatting>
  <conditionalFormatting sqref="G2675">
    <cfRule type="expression" dxfId="95" priority="39" stopIfTrue="1">
      <formula>ISBLANK(G2675)</formula>
    </cfRule>
    <cfRule type="expression" dxfId="94" priority="40">
      <formula>IFERROR(FIND("@",G2675),-1)&lt;0</formula>
    </cfRule>
  </conditionalFormatting>
  <conditionalFormatting sqref="G2688">
    <cfRule type="expression" dxfId="93" priority="37" stopIfTrue="1">
      <formula>ISBLANK(G2688)</formula>
    </cfRule>
    <cfRule type="expression" dxfId="92" priority="38">
      <formula>IFERROR(FIND("@",G2688),-1)&lt;0</formula>
    </cfRule>
  </conditionalFormatting>
  <conditionalFormatting sqref="G2692">
    <cfRule type="expression" dxfId="91" priority="35" stopIfTrue="1">
      <formula>ISBLANK(G2692)</formula>
    </cfRule>
    <cfRule type="expression" dxfId="90" priority="36">
      <formula>IFERROR(FIND("@",G2692),-1)&lt;0</formula>
    </cfRule>
  </conditionalFormatting>
  <conditionalFormatting sqref="G2695">
    <cfRule type="expression" dxfId="89" priority="33" stopIfTrue="1">
      <formula>ISBLANK(G2695)</formula>
    </cfRule>
    <cfRule type="expression" dxfId="88" priority="34">
      <formula>IFERROR(FIND("@",G2695),-1)&lt;0</formula>
    </cfRule>
  </conditionalFormatting>
  <conditionalFormatting sqref="G2700">
    <cfRule type="expression" dxfId="87" priority="31" stopIfTrue="1">
      <formula>ISBLANK(G2700)</formula>
    </cfRule>
    <cfRule type="expression" dxfId="86" priority="32">
      <formula>IFERROR(FIND("@",G2700),-1)&lt;0</formula>
    </cfRule>
  </conditionalFormatting>
  <conditionalFormatting sqref="G2709">
    <cfRule type="expression" dxfId="85" priority="29" stopIfTrue="1">
      <formula>ISBLANK(G2709)</formula>
    </cfRule>
    <cfRule type="expression" dxfId="84" priority="30">
      <formula>IFERROR(FIND("@",G2709),-1)&lt;0</formula>
    </cfRule>
  </conditionalFormatting>
  <conditionalFormatting sqref="G2713">
    <cfRule type="expression" dxfId="83" priority="27" stopIfTrue="1">
      <formula>ISBLANK(G2713)</formula>
    </cfRule>
    <cfRule type="expression" dxfId="82" priority="28">
      <formula>IFERROR(FIND("@",G2713),-1)&lt;0</formula>
    </cfRule>
  </conditionalFormatting>
  <conditionalFormatting sqref="G2723">
    <cfRule type="expression" dxfId="81" priority="25" stopIfTrue="1">
      <formula>ISBLANK(G2723)</formula>
    </cfRule>
    <cfRule type="expression" dxfId="80" priority="26">
      <formula>IFERROR(FIND("@",G2723),-1)&lt;0</formula>
    </cfRule>
  </conditionalFormatting>
  <conditionalFormatting sqref="G2724">
    <cfRule type="expression" dxfId="79" priority="23" stopIfTrue="1">
      <formula>ISBLANK(G2724)</formula>
    </cfRule>
    <cfRule type="expression" dxfId="78" priority="24">
      <formula>IFERROR(FIND("@",G2724),-1)&lt;0</formula>
    </cfRule>
  </conditionalFormatting>
  <conditionalFormatting sqref="G2732">
    <cfRule type="expression" dxfId="77" priority="21" stopIfTrue="1">
      <formula>ISBLANK(G2732)</formula>
    </cfRule>
    <cfRule type="expression" dxfId="76" priority="22">
      <formula>IFERROR(FIND("@",G2732),-1)&lt;0</formula>
    </cfRule>
  </conditionalFormatting>
  <conditionalFormatting sqref="G2733">
    <cfRule type="expression" dxfId="75" priority="19" stopIfTrue="1">
      <formula>ISBLANK(G2733)</formula>
    </cfRule>
    <cfRule type="expression" dxfId="74" priority="20">
      <formula>IFERROR(FIND("@",G2733),-1)&lt;0</formula>
    </cfRule>
  </conditionalFormatting>
  <conditionalFormatting sqref="G2749">
    <cfRule type="expression" dxfId="73" priority="17" stopIfTrue="1">
      <formula>ISBLANK(G2749)</formula>
    </cfRule>
    <cfRule type="expression" dxfId="72" priority="18">
      <formula>IFERROR(FIND("@",G2749),-1)&lt;0</formula>
    </cfRule>
  </conditionalFormatting>
  <conditionalFormatting sqref="G2752">
    <cfRule type="expression" dxfId="71" priority="15" stopIfTrue="1">
      <formula>ISBLANK(G2752)</formula>
    </cfRule>
    <cfRule type="expression" dxfId="70" priority="16">
      <formula>IFERROR(FIND("@",G2752),-1)&lt;0</formula>
    </cfRule>
  </conditionalFormatting>
  <conditionalFormatting sqref="G2756">
    <cfRule type="expression" dxfId="69" priority="13" stopIfTrue="1">
      <formula>ISBLANK(G2756)</formula>
    </cfRule>
    <cfRule type="expression" dxfId="68" priority="14">
      <formula>IFERROR(FIND("@",G2756),-1)&lt;0</formula>
    </cfRule>
  </conditionalFormatting>
  <conditionalFormatting sqref="G2764">
    <cfRule type="expression" dxfId="67" priority="11" stopIfTrue="1">
      <formula>ISBLANK(G2764)</formula>
    </cfRule>
    <cfRule type="expression" dxfId="66" priority="12">
      <formula>IFERROR(FIND("@",G2764),-1)&lt;0</formula>
    </cfRule>
  </conditionalFormatting>
  <conditionalFormatting sqref="G2765">
    <cfRule type="expression" dxfId="65" priority="9" stopIfTrue="1">
      <formula>ISBLANK(G2765)</formula>
    </cfRule>
    <cfRule type="expression" dxfId="64" priority="10">
      <formula>IFERROR(FIND("@",G2765),-1)&lt;0</formula>
    </cfRule>
  </conditionalFormatting>
  <conditionalFormatting sqref="G2770">
    <cfRule type="expression" dxfId="63" priority="7" stopIfTrue="1">
      <formula>ISBLANK(G2770)</formula>
    </cfRule>
    <cfRule type="expression" dxfId="62" priority="8">
      <formula>IFERROR(FIND("@",G2770),-1)&lt;0</formula>
    </cfRule>
  </conditionalFormatting>
  <conditionalFormatting sqref="G2795">
    <cfRule type="expression" dxfId="61" priority="5" stopIfTrue="1">
      <formula>ISBLANK(G2795)</formula>
    </cfRule>
    <cfRule type="expression" dxfId="60" priority="6">
      <formula>IFERROR(FIND("@",G2795),-1)&lt;0</formula>
    </cfRule>
  </conditionalFormatting>
  <conditionalFormatting sqref="G2797">
    <cfRule type="expression" dxfId="59" priority="3" stopIfTrue="1">
      <formula>ISBLANK(G2797)</formula>
    </cfRule>
    <cfRule type="expression" dxfId="58" priority="4">
      <formula>IFERROR(FIND("@",G2797),-1)&lt;0</formula>
    </cfRule>
  </conditionalFormatting>
  <conditionalFormatting sqref="G2801">
    <cfRule type="expression" dxfId="57" priority="1" stopIfTrue="1">
      <formula>ISBLANK(G2801)</formula>
    </cfRule>
    <cfRule type="expression" dxfId="56" priority="2">
      <formula>IFERROR(FIND("@",G2801),-1)&lt;0</formula>
    </cfRule>
  </conditionalFormatting>
  <hyperlinks>
    <hyperlink ref="G1667" r:id="rId1"/>
    <hyperlink ref="G1870" r:id="rId2"/>
    <hyperlink ref="G1952" r:id="rId3"/>
    <hyperlink ref="G1958" r:id="rId4"/>
    <hyperlink ref="G2008" r:id="rId5"/>
    <hyperlink ref="G2069" r:id="rId6"/>
    <hyperlink ref="G2106" r:id="rId7"/>
    <hyperlink ref="G2144" r:id="rId8"/>
    <hyperlink ref="G2145" r:id="rId9"/>
    <hyperlink ref="G2185" r:id="rId10"/>
    <hyperlink ref="G2229" r:id="rId11"/>
    <hyperlink ref="G2244" r:id="rId12"/>
    <hyperlink ref="G2360" r:id="rId13"/>
    <hyperlink ref="G2366" r:id="rId14"/>
    <hyperlink ref="G2434" r:id="rId15"/>
    <hyperlink ref="G2506" r:id="rId16"/>
    <hyperlink ref="G2553" r:id="rId17"/>
    <hyperlink ref="G2607" r:id="rId18"/>
    <hyperlink ref="G2612" r:id="rId19"/>
    <hyperlink ref="G2683" r:id="rId20"/>
    <hyperlink ref="G2690" r:id="rId21"/>
    <hyperlink ref="G2714" r:id="rId22"/>
    <hyperlink ref="G2740" r:id="rId23"/>
    <hyperlink ref="G2766" r:id="rId24"/>
    <hyperlink ref="G2791" r:id="rId25"/>
    <hyperlink ref="G2779" r:id="rId26"/>
    <hyperlink ref="G2815" r:id="rId27"/>
  </hyperlinks>
  <pageMargins left="0.7" right="0.7" top="0.75" bottom="0.75" header="0.3" footer="0.3"/>
  <pageSetup orientation="portrait" r:id="rId28"/>
  <legacyDrawing r:id="rId29"/>
  <extLst>
    <ext xmlns:x14="http://schemas.microsoft.com/office/spreadsheetml/2009/9/main" uri="{78C0D931-6437-407d-A8EE-F0AAD7539E65}">
      <x14:conditionalFormattings>
        <x14:conditionalFormatting xmlns:xm="http://schemas.microsoft.com/office/excel/2006/main">
          <x14:cfRule type="expression" priority="565"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BB151"/>
  <sheetViews>
    <sheetView showGridLines="0" zoomScale="86" zoomScaleNormal="86" workbookViewId="0">
      <pane xSplit="3" ySplit="1" topLeftCell="AS2" activePane="bottomRight" state="frozen"/>
      <selection pane="topRight" activeCell="D2603" sqref="D2603"/>
      <selection pane="bottomLeft" activeCell="D2603" sqref="D2603"/>
      <selection pane="bottomRight" activeCell="AZ1" sqref="AZ1"/>
    </sheetView>
  </sheetViews>
  <sheetFormatPr baseColWidth="10" defaultColWidth="11.42578125" defaultRowHeight="12.75" x14ac:dyDescent="0.2"/>
  <cols>
    <col min="1" max="1" width="27.5703125" style="45" bestFit="1" customWidth="1"/>
    <col min="2" max="2" width="22" style="45" customWidth="1"/>
    <col min="3" max="3" width="3.85546875" style="46" bestFit="1" customWidth="1"/>
    <col min="4" max="28" width="11.7109375" style="27" hidden="1" customWidth="1"/>
    <col min="29" max="52" width="11.7109375" style="27" customWidth="1"/>
    <col min="53" max="53" width="11.42578125" style="437"/>
    <col min="54" max="54" width="6.140625" style="45" customWidth="1"/>
    <col min="55" max="16384" width="11.42578125" style="45"/>
  </cols>
  <sheetData>
    <row r="1" spans="1:53" s="29" customFormat="1" ht="20.100000000000001" customHeight="1" x14ac:dyDescent="0.25">
      <c r="A1" s="625" t="s">
        <v>5</v>
      </c>
      <c r="B1" s="625" t="s">
        <v>7</v>
      </c>
      <c r="C1" s="626" t="str">
        <f>IF(SUMIF(Vigilancia!$J:$J,"Vigilancia",Vigilancia!$E:$E)=BA142,"ü","û")</f>
        <v>ü</v>
      </c>
      <c r="D1" s="646">
        <v>2016</v>
      </c>
      <c r="E1" s="627">
        <v>42736</v>
      </c>
      <c r="F1" s="627">
        <f>EDATE(E1,1)</f>
        <v>42767</v>
      </c>
      <c r="G1" s="627">
        <f t="shared" ref="G1:AB1" si="0">EDATE(F1,1)</f>
        <v>42795</v>
      </c>
      <c r="H1" s="627">
        <f t="shared" si="0"/>
        <v>42826</v>
      </c>
      <c r="I1" s="627">
        <f t="shared" si="0"/>
        <v>42856</v>
      </c>
      <c r="J1" s="627">
        <f t="shared" si="0"/>
        <v>42887</v>
      </c>
      <c r="K1" s="627">
        <f t="shared" si="0"/>
        <v>42917</v>
      </c>
      <c r="L1" s="627">
        <f t="shared" si="0"/>
        <v>42948</v>
      </c>
      <c r="M1" s="627">
        <f t="shared" si="0"/>
        <v>42979</v>
      </c>
      <c r="N1" s="627">
        <f t="shared" si="0"/>
        <v>43009</v>
      </c>
      <c r="O1" s="627">
        <f t="shared" si="0"/>
        <v>43040</v>
      </c>
      <c r="P1" s="627">
        <f t="shared" si="0"/>
        <v>43070</v>
      </c>
      <c r="Q1" s="627">
        <f t="shared" si="0"/>
        <v>43101</v>
      </c>
      <c r="R1" s="627">
        <f t="shared" si="0"/>
        <v>43132</v>
      </c>
      <c r="S1" s="627">
        <f t="shared" si="0"/>
        <v>43160</v>
      </c>
      <c r="T1" s="627">
        <f t="shared" si="0"/>
        <v>43191</v>
      </c>
      <c r="U1" s="627">
        <f t="shared" si="0"/>
        <v>43221</v>
      </c>
      <c r="V1" s="627">
        <f t="shared" si="0"/>
        <v>43252</v>
      </c>
      <c r="W1" s="627">
        <f t="shared" si="0"/>
        <v>43282</v>
      </c>
      <c r="X1" s="627">
        <f t="shared" si="0"/>
        <v>43313</v>
      </c>
      <c r="Y1" s="627">
        <f t="shared" si="0"/>
        <v>43344</v>
      </c>
      <c r="Z1" s="627">
        <f t="shared" si="0"/>
        <v>43374</v>
      </c>
      <c r="AA1" s="627">
        <f t="shared" si="0"/>
        <v>43405</v>
      </c>
      <c r="AB1" s="627">
        <f t="shared" si="0"/>
        <v>43435</v>
      </c>
      <c r="AC1" s="667">
        <f t="shared" ref="AC1" si="1">EDATE(AB1,1)</f>
        <v>43466</v>
      </c>
      <c r="AD1" s="667">
        <f t="shared" ref="AD1" si="2">EDATE(AC1,1)</f>
        <v>43497</v>
      </c>
      <c r="AE1" s="667">
        <f t="shared" ref="AE1" si="3">EDATE(AD1,1)</f>
        <v>43525</v>
      </c>
      <c r="AF1" s="667">
        <f t="shared" ref="AF1" si="4">EDATE(AE1,1)</f>
        <v>43556</v>
      </c>
      <c r="AG1" s="667">
        <f t="shared" ref="AG1" si="5">EDATE(AF1,1)</f>
        <v>43586</v>
      </c>
      <c r="AH1" s="667">
        <f t="shared" ref="AH1" si="6">EDATE(AG1,1)</f>
        <v>43617</v>
      </c>
      <c r="AI1" s="667">
        <f t="shared" ref="AI1" si="7">EDATE(AH1,1)</f>
        <v>43647</v>
      </c>
      <c r="AJ1" s="667">
        <f t="shared" ref="AJ1" si="8">EDATE(AI1,1)</f>
        <v>43678</v>
      </c>
      <c r="AK1" s="667">
        <f t="shared" ref="AK1" si="9">EDATE(AJ1,1)</f>
        <v>43709</v>
      </c>
      <c r="AL1" s="667">
        <f t="shared" ref="AL1" si="10">EDATE(AK1,1)</f>
        <v>43739</v>
      </c>
      <c r="AM1" s="667">
        <f t="shared" ref="AM1" si="11">EDATE(AL1,1)</f>
        <v>43770</v>
      </c>
      <c r="AN1" s="667">
        <f t="shared" ref="AN1" si="12">EDATE(AM1,1)</f>
        <v>43800</v>
      </c>
      <c r="AO1" s="667">
        <f t="shared" ref="AO1" si="13">EDATE(AN1,1)</f>
        <v>43831</v>
      </c>
      <c r="AP1" s="667">
        <f t="shared" ref="AP1" si="14">EDATE(AO1,1)</f>
        <v>43862</v>
      </c>
      <c r="AQ1" s="667">
        <f t="shared" ref="AQ1" si="15">EDATE(AP1,1)</f>
        <v>43891</v>
      </c>
      <c r="AR1" s="667">
        <f t="shared" ref="AR1" si="16">EDATE(AQ1,1)</f>
        <v>43922</v>
      </c>
      <c r="AS1" s="667">
        <f t="shared" ref="AS1" si="17">EDATE(AR1,1)</f>
        <v>43952</v>
      </c>
      <c r="AT1" s="667">
        <f t="shared" ref="AT1" si="18">EDATE(AS1,1)</f>
        <v>43983</v>
      </c>
      <c r="AU1" s="667">
        <f t="shared" ref="AU1" si="19">EDATE(AT1,1)</f>
        <v>44013</v>
      </c>
      <c r="AV1" s="667">
        <f t="shared" ref="AV1" si="20">EDATE(AU1,1)</f>
        <v>44044</v>
      </c>
      <c r="AW1" s="667">
        <f t="shared" ref="AW1" si="21">EDATE(AV1,1)</f>
        <v>44075</v>
      </c>
      <c r="AX1" s="667">
        <f t="shared" ref="AX1" si="22">EDATE(AW1,1)</f>
        <v>44105</v>
      </c>
      <c r="AY1" s="667">
        <f t="shared" ref="AY1" si="23">EDATE(AX1,1)</f>
        <v>44136</v>
      </c>
      <c r="AZ1" s="667">
        <f t="shared" ref="AZ1" si="24">EDATE(AY1,1)</f>
        <v>44166</v>
      </c>
      <c r="BA1" s="627" t="s">
        <v>1175</v>
      </c>
    </row>
    <row r="2" spans="1:53" s="29" customFormat="1" ht="20.100000000000001" customHeight="1" x14ac:dyDescent="0.25">
      <c r="A2" s="30" t="str">
        <f>Vecinos!A2</f>
        <v>Familia Scabuzzo Gómez</v>
      </c>
      <c r="B2" s="31" t="str">
        <f>Vecinos!C2</f>
        <v>Av. "I" Nro. 146-20</v>
      </c>
      <c r="C2" s="32" t="str">
        <f>IF(SUMIFS(Vigilancia!$E:$E,Vigilancia!$F:$F,A2,Vigilancia!$J:$J,"Vigilancia")=BA2,"ü","û")</f>
        <v>ü</v>
      </c>
      <c r="D2" s="180"/>
      <c r="E2" s="181">
        <f>17000/100000</f>
        <v>0.17</v>
      </c>
      <c r="F2" s="182">
        <f>17000/100000</f>
        <v>0.17</v>
      </c>
      <c r="G2" s="182">
        <f>17000/100000</f>
        <v>0.17</v>
      </c>
      <c r="H2" s="182">
        <f>17000/100000</f>
        <v>0.17</v>
      </c>
      <c r="I2" s="183">
        <f>17000/100000</f>
        <v>0.17</v>
      </c>
      <c r="J2" s="182">
        <f>26000/100000</f>
        <v>0.26</v>
      </c>
      <c r="K2" s="182">
        <f>35000/100000</f>
        <v>0.35</v>
      </c>
      <c r="L2" s="182">
        <f>35000/100000</f>
        <v>0.35</v>
      </c>
      <c r="M2" s="182">
        <f>35000/100000</f>
        <v>0.35</v>
      </c>
      <c r="N2" s="182">
        <f>35000/100000</f>
        <v>0.35</v>
      </c>
      <c r="O2" s="182">
        <f>50000/100000</f>
        <v>0.5</v>
      </c>
      <c r="P2" s="180">
        <f>50000/100000</f>
        <v>0.5</v>
      </c>
      <c r="Q2" s="184">
        <f>80000/100000</f>
        <v>0.8</v>
      </c>
      <c r="R2" s="185">
        <f>80000/100000</f>
        <v>0.8</v>
      </c>
      <c r="S2" s="186">
        <f>140000/100000</f>
        <v>1.4</v>
      </c>
      <c r="T2" s="186">
        <f>140000/100000</f>
        <v>1.4</v>
      </c>
      <c r="U2" s="186">
        <f>400000/100000</f>
        <v>4</v>
      </c>
      <c r="V2" s="186">
        <f>400000/100000+225000/100000</f>
        <v>6.25</v>
      </c>
      <c r="W2" s="186">
        <f>1000000/100000</f>
        <v>10</v>
      </c>
      <c r="X2" s="186">
        <f>1200000/100000</f>
        <v>12</v>
      </c>
      <c r="Y2" s="186">
        <v>320</v>
      </c>
      <c r="Z2" s="352">
        <v>320</v>
      </c>
      <c r="AA2" s="352">
        <f>30+290+30</f>
        <v>350</v>
      </c>
      <c r="AB2" s="378">
        <f>30+770</f>
        <v>800</v>
      </c>
      <c r="AC2" s="392">
        <f>800+2200</f>
        <v>3000</v>
      </c>
      <c r="AD2" s="393">
        <v>3000</v>
      </c>
      <c r="AE2" s="394">
        <v>3000</v>
      </c>
      <c r="AF2" s="400">
        <f>3000+2000</f>
        <v>5000</v>
      </c>
      <c r="AG2" s="400">
        <v>8000</v>
      </c>
      <c r="AH2" s="394">
        <v>8000</v>
      </c>
      <c r="AI2" s="394">
        <v>10000</v>
      </c>
      <c r="AJ2" s="394">
        <v>10000</v>
      </c>
      <c r="AK2" s="394">
        <v>21100</v>
      </c>
      <c r="AL2" s="394">
        <f>(21100+30150)/1</f>
        <v>51250</v>
      </c>
      <c r="AM2" s="394">
        <v>73500</v>
      </c>
      <c r="AN2" s="395"/>
      <c r="AO2" s="392"/>
      <c r="AP2" s="393"/>
      <c r="AQ2" s="394"/>
      <c r="AR2" s="400"/>
      <c r="AS2" s="400"/>
      <c r="AT2" s="394"/>
      <c r="AU2" s="394"/>
      <c r="AV2" s="394"/>
      <c r="AW2" s="394"/>
      <c r="AX2" s="394"/>
      <c r="AY2" s="394"/>
      <c r="AZ2" s="395"/>
      <c r="BA2" s="424">
        <f>SUM(D2:AZ2)</f>
        <v>197680.16</v>
      </c>
    </row>
    <row r="3" spans="1:53" s="29" customFormat="1" ht="20.100000000000001" customHeight="1" x14ac:dyDescent="0.25">
      <c r="A3" s="33" t="str">
        <f>Vecinos!A3</f>
        <v>Familia Hoyte Rafmari</v>
      </c>
      <c r="B3" s="34" t="str">
        <f>Vecinos!C3</f>
        <v>Av. "I" Nro. 146-30</v>
      </c>
      <c r="C3" s="35" t="str">
        <f>IF(SUMIFS(Vigilancia!$E:$E,Vigilancia!$F:$F,A3,Vigilancia!$J:$J,"Vigilancia")=BA3,"ü","û")</f>
        <v>ü</v>
      </c>
      <c r="D3" s="187"/>
      <c r="E3" s="188">
        <f>10500/100000</f>
        <v>0.105</v>
      </c>
      <c r="F3" s="189">
        <f>10500/100000</f>
        <v>0.105</v>
      </c>
      <c r="G3" s="189">
        <f>10500/100000</f>
        <v>0.105</v>
      </c>
      <c r="H3" s="189"/>
      <c r="I3" s="189"/>
      <c r="J3" s="189"/>
      <c r="K3" s="189"/>
      <c r="L3" s="189"/>
      <c r="M3" s="189"/>
      <c r="N3" s="189"/>
      <c r="O3" s="189"/>
      <c r="P3" s="187"/>
      <c r="Q3" s="190"/>
      <c r="R3" s="191"/>
      <c r="S3" s="191"/>
      <c r="T3" s="191"/>
      <c r="U3" s="191"/>
      <c r="V3" s="191"/>
      <c r="W3" s="191"/>
      <c r="X3" s="191"/>
      <c r="Y3" s="191"/>
      <c r="Z3" s="191"/>
      <c r="AA3" s="191"/>
      <c r="AB3" s="187"/>
      <c r="AC3" s="396"/>
      <c r="AD3" s="397"/>
      <c r="AE3" s="397"/>
      <c r="AF3" s="397"/>
      <c r="AG3" s="397"/>
      <c r="AH3" s="397"/>
      <c r="AI3" s="397"/>
      <c r="AJ3" s="397"/>
      <c r="AK3" s="397"/>
      <c r="AL3" s="397"/>
      <c r="AM3" s="397"/>
      <c r="AN3" s="398"/>
      <c r="AO3" s="396"/>
      <c r="AP3" s="397"/>
      <c r="AQ3" s="397"/>
      <c r="AR3" s="397"/>
      <c r="AS3" s="397"/>
      <c r="AT3" s="397"/>
      <c r="AU3" s="397"/>
      <c r="AV3" s="397"/>
      <c r="AW3" s="397"/>
      <c r="AX3" s="397"/>
      <c r="AY3" s="397"/>
      <c r="AZ3" s="398"/>
      <c r="BA3" s="425">
        <f t="shared" ref="BA3:BA67" si="25">SUM(D3:AZ3)</f>
        <v>0.315</v>
      </c>
    </row>
    <row r="4" spans="1:53" s="29" customFormat="1" ht="20.100000000000001" customHeight="1" x14ac:dyDescent="0.25">
      <c r="A4" s="30" t="str">
        <f>Vecinos!A4</f>
        <v>Familia Il Grande Franceschi</v>
      </c>
      <c r="B4" s="31" t="str">
        <f>Vecinos!C4</f>
        <v>Av. "I" Nro. 146-40</v>
      </c>
      <c r="C4" s="36" t="str">
        <f>IF(SUMIFS(Vigilancia!$E:$E,Vigilancia!$F:$F,A4,Vigilancia!$J:$J,"Vigilancia")=BA4,"ü","û")</f>
        <v>ü</v>
      </c>
      <c r="D4" s="180"/>
      <c r="E4" s="181">
        <f t="shared" ref="E4:H6" si="26">17000/100000</f>
        <v>0.17</v>
      </c>
      <c r="F4" s="182">
        <f t="shared" si="26"/>
        <v>0.17</v>
      </c>
      <c r="G4" s="182">
        <f t="shared" si="26"/>
        <v>0.17</v>
      </c>
      <c r="H4" s="182">
        <f t="shared" si="26"/>
        <v>0.17</v>
      </c>
      <c r="I4" s="182">
        <f t="shared" ref="I4:J7" si="27">26000/100000</f>
        <v>0.26</v>
      </c>
      <c r="J4" s="182">
        <f t="shared" si="27"/>
        <v>0.26</v>
      </c>
      <c r="K4" s="182">
        <f>35000/100000</f>
        <v>0.35</v>
      </c>
      <c r="L4" s="182">
        <f>1000/100000+34000/100000</f>
        <v>0.35000000000000003</v>
      </c>
      <c r="M4" s="182">
        <f>1000/100000+34000/100000</f>
        <v>0.35000000000000003</v>
      </c>
      <c r="N4" s="182">
        <f>35000/100000</f>
        <v>0.35</v>
      </c>
      <c r="O4" s="182">
        <f>50000/100000</f>
        <v>0.5</v>
      </c>
      <c r="P4" s="180">
        <f>1000/100000+20000/100000+29000/100000</f>
        <v>0.5</v>
      </c>
      <c r="Q4" s="184">
        <f t="shared" ref="Q4:R8" si="28">80000/100000</f>
        <v>0.8</v>
      </c>
      <c r="R4" s="185">
        <f t="shared" si="28"/>
        <v>0.8</v>
      </c>
      <c r="S4" s="185">
        <f>21000/100000+119000/100000</f>
        <v>1.4</v>
      </c>
      <c r="T4" s="185">
        <f>140000/100000</f>
        <v>1.4</v>
      </c>
      <c r="U4" s="185">
        <f>400000/100000</f>
        <v>4</v>
      </c>
      <c r="V4" s="192">
        <f>400000/100000+225000/100000</f>
        <v>6.25</v>
      </c>
      <c r="W4" s="185">
        <f>1000000/100000</f>
        <v>10</v>
      </c>
      <c r="X4" s="185">
        <f>1200000/100000</f>
        <v>12</v>
      </c>
      <c r="Y4" s="192">
        <f>1000/100000+320</f>
        <v>320.01</v>
      </c>
      <c r="Z4" s="185">
        <v>320</v>
      </c>
      <c r="AA4" s="185">
        <v>320</v>
      </c>
      <c r="AB4" s="180">
        <v>800</v>
      </c>
      <c r="AC4" s="399">
        <v>3000</v>
      </c>
      <c r="AD4" s="400">
        <v>3000</v>
      </c>
      <c r="AE4" s="400">
        <v>3000</v>
      </c>
      <c r="AF4" s="400">
        <f>3000+2000</f>
        <v>5000</v>
      </c>
      <c r="AG4" s="400">
        <f>1000+4000+3000</f>
        <v>8000</v>
      </c>
      <c r="AH4" s="400">
        <v>8000</v>
      </c>
      <c r="AI4" s="400">
        <v>10000</v>
      </c>
      <c r="AJ4" s="400">
        <v>10000</v>
      </c>
      <c r="AK4" s="400">
        <v>20482.22</v>
      </c>
      <c r="AL4" s="400">
        <v>51250</v>
      </c>
      <c r="AM4" s="400">
        <v>105250</v>
      </c>
      <c r="AN4" s="401">
        <v>136250</v>
      </c>
      <c r="AO4" s="399">
        <v>136250</v>
      </c>
      <c r="AP4" s="400">
        <v>136250</v>
      </c>
      <c r="AQ4" s="400">
        <f>31000</f>
        <v>31000</v>
      </c>
      <c r="AR4" s="400"/>
      <c r="AS4" s="400"/>
      <c r="AT4" s="400"/>
      <c r="AU4" s="400"/>
      <c r="AV4" s="400"/>
      <c r="AW4" s="400"/>
      <c r="AX4" s="400"/>
      <c r="AY4" s="400"/>
      <c r="AZ4" s="401"/>
      <c r="BA4" s="426">
        <f t="shared" si="25"/>
        <v>668532.47999999998</v>
      </c>
    </row>
    <row r="5" spans="1:53" s="29" customFormat="1" ht="20.100000000000001" customHeight="1" x14ac:dyDescent="0.25">
      <c r="A5" s="30" t="str">
        <f>Vecinos!A5</f>
        <v>Jocsan Orta Correa</v>
      </c>
      <c r="B5" s="31" t="str">
        <f>Vecinos!C5</f>
        <v>Av. "L" anexo de Los Tronquitos</v>
      </c>
      <c r="C5" s="36" t="str">
        <f>IF(SUMIFS(Vigilancia!$E:$E,Vigilancia!$F:$F,A5,Vigilancia!$J:$J,"Vigilancia")=BA5,"ü","û")</f>
        <v>ü</v>
      </c>
      <c r="D5" s="215"/>
      <c r="E5" s="216"/>
      <c r="F5" s="217"/>
      <c r="G5" s="217"/>
      <c r="H5" s="217"/>
      <c r="I5" s="217"/>
      <c r="J5" s="217"/>
      <c r="K5" s="217"/>
      <c r="L5" s="217"/>
      <c r="M5" s="217"/>
      <c r="N5" s="217"/>
      <c r="O5" s="217"/>
      <c r="P5" s="215"/>
      <c r="Q5" s="211"/>
      <c r="R5" s="212"/>
      <c r="S5" s="212"/>
      <c r="T5" s="212"/>
      <c r="U5" s="212"/>
      <c r="V5" s="212"/>
      <c r="W5" s="212"/>
      <c r="X5" s="212"/>
      <c r="Y5" s="212"/>
      <c r="Z5" s="212"/>
      <c r="AA5" s="212"/>
      <c r="AB5" s="208"/>
      <c r="AC5" s="512"/>
      <c r="AD5" s="513"/>
      <c r="AE5" s="513"/>
      <c r="AF5" s="513"/>
      <c r="AG5" s="400">
        <v>8000</v>
      </c>
      <c r="AH5" s="400">
        <v>8000</v>
      </c>
      <c r="AI5" s="400">
        <v>10000</v>
      </c>
      <c r="AJ5" s="400">
        <v>10000</v>
      </c>
      <c r="AK5" s="400">
        <v>19800</v>
      </c>
      <c r="AL5" s="509">
        <f>19800+31500</f>
        <v>51300</v>
      </c>
      <c r="AM5" s="400">
        <v>73500</v>
      </c>
      <c r="AN5" s="401">
        <v>97500</v>
      </c>
      <c r="AO5" s="399">
        <f>97500+38750</f>
        <v>136250</v>
      </c>
      <c r="AP5" s="400">
        <v>136250</v>
      </c>
      <c r="AQ5" s="400"/>
      <c r="AR5" s="400"/>
      <c r="AS5" s="400"/>
      <c r="AT5" s="400"/>
      <c r="AU5" s="400"/>
      <c r="AV5" s="400"/>
      <c r="AW5" s="400"/>
      <c r="AX5" s="400"/>
      <c r="AY5" s="400"/>
      <c r="AZ5" s="401"/>
      <c r="BA5" s="426">
        <f t="shared" si="25"/>
        <v>550600</v>
      </c>
    </row>
    <row r="6" spans="1:53" s="29" customFormat="1" ht="20.100000000000001" customHeight="1" x14ac:dyDescent="0.25">
      <c r="A6" s="30" t="str">
        <f>Vecinos!A6</f>
        <v>Sra. Reina Meléndez</v>
      </c>
      <c r="B6" s="31" t="str">
        <f>Vecinos!C6</f>
        <v>Av. "M" Nro. 145-10</v>
      </c>
      <c r="C6" s="36" t="str">
        <f>IF(SUMIFS(Vigilancia!$E:$E,Vigilancia!$F:$F,A6,Vigilancia!$J:$J,"Vigilancia")=BA6,"ü","û")</f>
        <v>ü</v>
      </c>
      <c r="D6" s="180"/>
      <c r="E6" s="181">
        <f t="shared" si="26"/>
        <v>0.17</v>
      </c>
      <c r="F6" s="182">
        <f t="shared" si="26"/>
        <v>0.17</v>
      </c>
      <c r="G6" s="182">
        <f t="shared" si="26"/>
        <v>0.17</v>
      </c>
      <c r="H6" s="182">
        <f t="shared" si="26"/>
        <v>0.17</v>
      </c>
      <c r="I6" s="182">
        <f t="shared" si="27"/>
        <v>0.26</v>
      </c>
      <c r="J6" s="182">
        <f t="shared" si="27"/>
        <v>0.26</v>
      </c>
      <c r="K6" s="182">
        <f>13000/100000+22000/100000</f>
        <v>0.35</v>
      </c>
      <c r="L6" s="182">
        <f t="shared" ref="L6:N7" si="29">35000/100000</f>
        <v>0.35</v>
      </c>
      <c r="M6" s="182">
        <f t="shared" si="29"/>
        <v>0.35</v>
      </c>
      <c r="N6" s="182">
        <f t="shared" si="29"/>
        <v>0.35</v>
      </c>
      <c r="O6" s="182">
        <f>50000/100000</f>
        <v>0.5</v>
      </c>
      <c r="P6" s="180">
        <f>50000/100000</f>
        <v>0.5</v>
      </c>
      <c r="Q6" s="184">
        <f t="shared" si="28"/>
        <v>0.8</v>
      </c>
      <c r="R6" s="185">
        <f t="shared" si="28"/>
        <v>0.8</v>
      </c>
      <c r="S6" s="185">
        <f t="shared" ref="S6:T8" si="30">140000/100000</f>
        <v>1.4</v>
      </c>
      <c r="T6" s="185">
        <f t="shared" si="30"/>
        <v>1.4</v>
      </c>
      <c r="U6" s="185">
        <f>140000/100000+260000/100000</f>
        <v>4</v>
      </c>
      <c r="V6" s="185">
        <f>400000/100000+225000/100000</f>
        <v>6.25</v>
      </c>
      <c r="W6" s="185">
        <f>1000000/100000</f>
        <v>10</v>
      </c>
      <c r="X6" s="185">
        <f>1200000/100000</f>
        <v>12</v>
      </c>
      <c r="Y6" s="185">
        <v>320</v>
      </c>
      <c r="Z6" s="185">
        <v>320</v>
      </c>
      <c r="AA6" s="185">
        <v>320</v>
      </c>
      <c r="AB6" s="180">
        <v>800</v>
      </c>
      <c r="AC6" s="399">
        <v>3000</v>
      </c>
      <c r="AD6" s="400">
        <v>3000</v>
      </c>
      <c r="AE6" s="400">
        <v>3000</v>
      </c>
      <c r="AF6" s="400">
        <v>5000</v>
      </c>
      <c r="AG6" s="400">
        <f>5000+3000</f>
        <v>8000</v>
      </c>
      <c r="AH6" s="400">
        <v>8000</v>
      </c>
      <c r="AI6" s="400">
        <v>10000</v>
      </c>
      <c r="AJ6" s="400">
        <v>10000</v>
      </c>
      <c r="AK6" s="400">
        <v>22000</v>
      </c>
      <c r="AL6" s="400">
        <f>20000+27000</f>
        <v>47000</v>
      </c>
      <c r="AM6" s="405">
        <v>56250</v>
      </c>
      <c r="AN6" s="401">
        <v>97500</v>
      </c>
      <c r="AO6" s="399">
        <v>136250</v>
      </c>
      <c r="AP6" s="400">
        <v>136250</v>
      </c>
      <c r="AQ6" s="400">
        <v>185250</v>
      </c>
      <c r="AR6" s="400"/>
      <c r="AS6" s="400"/>
      <c r="AT6" s="400"/>
      <c r="AU6" s="400"/>
      <c r="AV6" s="400"/>
      <c r="AW6" s="400"/>
      <c r="AX6" s="400"/>
      <c r="AY6" s="400"/>
      <c r="AZ6" s="401"/>
      <c r="BA6" s="426">
        <f t="shared" si="25"/>
        <v>732300.25</v>
      </c>
    </row>
    <row r="7" spans="1:53" s="29" customFormat="1" ht="20.100000000000001" customHeight="1" x14ac:dyDescent="0.25">
      <c r="A7" s="30" t="str">
        <f>Vecinos!A7</f>
        <v>Familia Barreto Pérez</v>
      </c>
      <c r="B7" s="31" t="str">
        <f>Vecinos!C7</f>
        <v>Av. "M" Nro. 146-15</v>
      </c>
      <c r="C7" s="36" t="str">
        <f>IF(SUMIFS(Vigilancia!$E:$E,Vigilancia!$F:$F,A7,Vigilancia!$J:$J,"Vigilancia")=BA7,"ü","û")</f>
        <v>ü</v>
      </c>
      <c r="D7" s="180"/>
      <c r="E7" s="181">
        <f>10500/100000+6500/100000</f>
        <v>0.16999999999999998</v>
      </c>
      <c r="F7" s="182">
        <f>17000/100000</f>
        <v>0.17</v>
      </c>
      <c r="G7" s="182">
        <f>17000/100000</f>
        <v>0.17</v>
      </c>
      <c r="H7" s="182">
        <f>17000/100000</f>
        <v>0.17</v>
      </c>
      <c r="I7" s="182">
        <f t="shared" si="27"/>
        <v>0.26</v>
      </c>
      <c r="J7" s="182">
        <f t="shared" si="27"/>
        <v>0.26</v>
      </c>
      <c r="K7" s="182">
        <f>35000/100000</f>
        <v>0.35</v>
      </c>
      <c r="L7" s="182">
        <f t="shared" si="29"/>
        <v>0.35</v>
      </c>
      <c r="M7" s="182">
        <f t="shared" si="29"/>
        <v>0.35</v>
      </c>
      <c r="N7" s="182">
        <f t="shared" si="29"/>
        <v>0.35</v>
      </c>
      <c r="O7" s="182">
        <f>50000/100000</f>
        <v>0.5</v>
      </c>
      <c r="P7" s="180">
        <f>50000/100000</f>
        <v>0.5</v>
      </c>
      <c r="Q7" s="184">
        <f t="shared" si="28"/>
        <v>0.8</v>
      </c>
      <c r="R7" s="185">
        <f t="shared" si="28"/>
        <v>0.8</v>
      </c>
      <c r="S7" s="185">
        <f t="shared" si="30"/>
        <v>1.4</v>
      </c>
      <c r="T7" s="185">
        <f t="shared" si="30"/>
        <v>1.4</v>
      </c>
      <c r="U7" s="185">
        <f>400000/100000</f>
        <v>4</v>
      </c>
      <c r="V7" s="185">
        <f>400000/100000+225000/100000</f>
        <v>6.25</v>
      </c>
      <c r="W7" s="185">
        <f>1000000/100000</f>
        <v>10</v>
      </c>
      <c r="X7" s="185">
        <f>1200000/100000</f>
        <v>12</v>
      </c>
      <c r="Y7" s="185">
        <v>320</v>
      </c>
      <c r="Z7" s="185">
        <v>320</v>
      </c>
      <c r="AA7" s="185">
        <v>320</v>
      </c>
      <c r="AB7" s="180">
        <v>800</v>
      </c>
      <c r="AC7" s="399">
        <v>3000</v>
      </c>
      <c r="AD7" s="400">
        <v>3000</v>
      </c>
      <c r="AE7" s="400">
        <v>3000</v>
      </c>
      <c r="AF7" s="400">
        <v>5000</v>
      </c>
      <c r="AG7" s="400">
        <v>8000</v>
      </c>
      <c r="AH7" s="400">
        <v>8000</v>
      </c>
      <c r="AI7" s="400">
        <v>10000</v>
      </c>
      <c r="AJ7" s="400">
        <v>10000</v>
      </c>
      <c r="AK7" s="400">
        <v>22000</v>
      </c>
      <c r="AL7" s="400">
        <f>19800+27200</f>
        <v>47000</v>
      </c>
      <c r="AM7" s="400">
        <v>51250</v>
      </c>
      <c r="AN7" s="401">
        <v>81750</v>
      </c>
      <c r="AO7" s="399">
        <v>136250</v>
      </c>
      <c r="AP7" s="400">
        <v>136250</v>
      </c>
      <c r="AQ7" s="400"/>
      <c r="AR7" s="400"/>
      <c r="AS7" s="400"/>
      <c r="AT7" s="400"/>
      <c r="AU7" s="400"/>
      <c r="AV7" s="400"/>
      <c r="AW7" s="400"/>
      <c r="AX7" s="400"/>
      <c r="AY7" s="400"/>
      <c r="AZ7" s="401"/>
      <c r="BA7" s="426">
        <f t="shared" si="25"/>
        <v>526300.25</v>
      </c>
    </row>
    <row r="8" spans="1:53" s="29" customFormat="1" ht="20.100000000000001" customHeight="1" x14ac:dyDescent="0.25">
      <c r="A8" s="33" t="str">
        <f>Vecinos!A8</f>
        <v>Familia Flores Montagne</v>
      </c>
      <c r="B8" s="34" t="str">
        <f>Vecinos!C8</f>
        <v>Av. "M" Nro. 146-20</v>
      </c>
      <c r="C8" s="35" t="str">
        <f>IF(SUMIFS(Vigilancia!$E:$E,Vigilancia!$F:$F,A8,Vigilancia!$J:$J,"Vigilancia")=BA8,"ü","û")</f>
        <v>ü</v>
      </c>
      <c r="D8" s="187"/>
      <c r="E8" s="188">
        <f>2000/100000</f>
        <v>0.02</v>
      </c>
      <c r="F8" s="189">
        <f>2000/100000</f>
        <v>0.02</v>
      </c>
      <c r="G8" s="189">
        <f>3000/100000</f>
        <v>0.03</v>
      </c>
      <c r="H8" s="189">
        <f>3000/100000</f>
        <v>0.03</v>
      </c>
      <c r="I8" s="189">
        <f>4000/100000</f>
        <v>0.04</v>
      </c>
      <c r="J8" s="189">
        <f>4000/100000</f>
        <v>0.04</v>
      </c>
      <c r="K8" s="189">
        <f>4000/100000</f>
        <v>0.04</v>
      </c>
      <c r="L8" s="189">
        <f>4000/100000</f>
        <v>0.04</v>
      </c>
      <c r="M8" s="189">
        <f>3000/100000</f>
        <v>0.03</v>
      </c>
      <c r="N8" s="189">
        <f>5000/100000</f>
        <v>0.05</v>
      </c>
      <c r="O8" s="194" t="s">
        <v>490</v>
      </c>
      <c r="P8" s="195" t="s">
        <v>490</v>
      </c>
      <c r="Q8" s="184">
        <f t="shared" si="28"/>
        <v>0.8</v>
      </c>
      <c r="R8" s="185">
        <f t="shared" si="28"/>
        <v>0.8</v>
      </c>
      <c r="S8" s="185">
        <f t="shared" si="30"/>
        <v>1.4</v>
      </c>
      <c r="T8" s="185">
        <f t="shared" si="30"/>
        <v>1.4</v>
      </c>
      <c r="U8" s="185">
        <f>400000/100000</f>
        <v>4</v>
      </c>
      <c r="V8" s="185">
        <f>625000/100000</f>
        <v>6.25</v>
      </c>
      <c r="W8" s="185">
        <f>1000000/100000</f>
        <v>10</v>
      </c>
      <c r="X8" s="185">
        <f>1200000/100000</f>
        <v>12</v>
      </c>
      <c r="Y8" s="185">
        <v>320</v>
      </c>
      <c r="Z8" s="185">
        <v>320</v>
      </c>
      <c r="AA8" s="185">
        <v>320</v>
      </c>
      <c r="AB8" s="180">
        <v>800</v>
      </c>
      <c r="AC8" s="399">
        <f>2200+800</f>
        <v>3000</v>
      </c>
      <c r="AD8" s="400">
        <v>3000</v>
      </c>
      <c r="AE8" s="400">
        <v>3000</v>
      </c>
      <c r="AF8" s="400">
        <v>5000</v>
      </c>
      <c r="AG8" s="400">
        <v>8000</v>
      </c>
      <c r="AH8" s="400">
        <v>8000</v>
      </c>
      <c r="AI8" s="400">
        <v>10000</v>
      </c>
      <c r="AJ8" s="400">
        <v>10000</v>
      </c>
      <c r="AK8" s="400">
        <v>19800</v>
      </c>
      <c r="AL8" s="400">
        <v>51250</v>
      </c>
      <c r="AM8" s="400">
        <v>81750</v>
      </c>
      <c r="AN8" s="401">
        <v>105250</v>
      </c>
      <c r="AO8" s="399">
        <v>136250</v>
      </c>
      <c r="AP8" s="400"/>
      <c r="AQ8" s="400"/>
      <c r="AR8" s="400"/>
      <c r="AS8" s="400"/>
      <c r="AT8" s="400"/>
      <c r="AU8" s="400"/>
      <c r="AV8" s="400"/>
      <c r="AW8" s="400"/>
      <c r="AX8" s="400"/>
      <c r="AY8" s="400"/>
      <c r="AZ8" s="401"/>
      <c r="BA8" s="426">
        <f t="shared" si="25"/>
        <v>446096.99</v>
      </c>
    </row>
    <row r="9" spans="1:53" s="29" customFormat="1" ht="20.100000000000001" customHeight="1" x14ac:dyDescent="0.25">
      <c r="A9" s="30" t="str">
        <f>Vecinos!A9</f>
        <v>Judith Lazo</v>
      </c>
      <c r="B9" s="31" t="str">
        <f>Vecinos!C9</f>
        <v>Av. "M" Nro. 146-25</v>
      </c>
      <c r="C9" s="36" t="str">
        <f>IF(SUMIFS(Vigilancia!$E:$E,Vigilancia!$F:$F,A9,Vigilancia!$J:$J,"Vigilancia")=BA9,"ü","û")</f>
        <v>ü</v>
      </c>
      <c r="D9" s="180"/>
      <c r="E9" s="181"/>
      <c r="F9" s="182"/>
      <c r="G9" s="182"/>
      <c r="H9" s="182"/>
      <c r="I9" s="182"/>
      <c r="J9" s="182"/>
      <c r="K9" s="182"/>
      <c r="L9" s="182"/>
      <c r="M9" s="182"/>
      <c r="N9" s="182"/>
      <c r="O9" s="182"/>
      <c r="P9" s="180"/>
      <c r="Q9" s="184"/>
      <c r="R9" s="185"/>
      <c r="S9" s="185"/>
      <c r="T9" s="185"/>
      <c r="U9" s="185"/>
      <c r="V9" s="185"/>
      <c r="W9" s="185"/>
      <c r="X9" s="185"/>
      <c r="Y9" s="185"/>
      <c r="Z9" s="185"/>
      <c r="AA9" s="185"/>
      <c r="AB9" s="180"/>
      <c r="AC9" s="399"/>
      <c r="AD9" s="400"/>
      <c r="AE9" s="400"/>
      <c r="AF9" s="400"/>
      <c r="AG9" s="400"/>
      <c r="AH9" s="400"/>
      <c r="AI9" s="400"/>
      <c r="AJ9" s="400"/>
      <c r="AK9" s="400"/>
      <c r="AL9" s="400"/>
      <c r="AM9" s="400"/>
      <c r="AN9" s="401"/>
      <c r="AO9" s="399"/>
      <c r="AP9" s="400"/>
      <c r="AQ9" s="400"/>
      <c r="AR9" s="400"/>
      <c r="AS9" s="400"/>
      <c r="AT9" s="400"/>
      <c r="AU9" s="400"/>
      <c r="AV9" s="400"/>
      <c r="AW9" s="400"/>
      <c r="AX9" s="400"/>
      <c r="AY9" s="400"/>
      <c r="AZ9" s="401"/>
      <c r="BA9" s="426">
        <f t="shared" si="25"/>
        <v>0</v>
      </c>
    </row>
    <row r="10" spans="1:53" s="29" customFormat="1" ht="20.100000000000001" customHeight="1" x14ac:dyDescent="0.25">
      <c r="A10" s="59" t="str">
        <f>Vecinos!A10</f>
        <v>La Casita Encantada</v>
      </c>
      <c r="B10" s="60" t="str">
        <f>Vecinos!C10</f>
        <v>Av. "M" Nro. 146-30</v>
      </c>
      <c r="C10" s="36" t="str">
        <f>IF(SUMIFS(Vigilancia!$E:$E,Vigilancia!$F:$F,A10,Vigilancia!$J:$J,"Vigilancia")=BA10,"ü","û")</f>
        <v>ü</v>
      </c>
      <c r="D10" s="180"/>
      <c r="E10" s="196">
        <f>12000/100000</f>
        <v>0.12</v>
      </c>
      <c r="F10" s="182">
        <f>20000/100000</f>
        <v>0.2</v>
      </c>
      <c r="G10" s="182">
        <f>20000/100000</f>
        <v>0.2</v>
      </c>
      <c r="H10" s="182">
        <f>20000/100000</f>
        <v>0.2</v>
      </c>
      <c r="I10" s="182">
        <f>30000/100000</f>
        <v>0.3</v>
      </c>
      <c r="J10" s="182">
        <f>30000/100000</f>
        <v>0.3</v>
      </c>
      <c r="K10" s="182">
        <f>30000/100000+10000/100000</f>
        <v>0.4</v>
      </c>
      <c r="L10" s="182">
        <f>40000/100000</f>
        <v>0.4</v>
      </c>
      <c r="M10" s="182">
        <f>40000/100000</f>
        <v>0.4</v>
      </c>
      <c r="N10" s="182">
        <f>40000/100000</f>
        <v>0.4</v>
      </c>
      <c r="O10" s="182">
        <f>54000/100000</f>
        <v>0.54</v>
      </c>
      <c r="P10" s="180">
        <f>54000/100000</f>
        <v>0.54</v>
      </c>
      <c r="Q10" s="184">
        <f>86400/100000</f>
        <v>0.86399999999999999</v>
      </c>
      <c r="R10" s="185">
        <f>86400/100000</f>
        <v>0.86399999999999999</v>
      </c>
      <c r="S10" s="185">
        <f>155000/100000</f>
        <v>1.55</v>
      </c>
      <c r="T10" s="185">
        <f>155000/100000</f>
        <v>1.55</v>
      </c>
      <c r="U10" s="197">
        <f>400000/100000</f>
        <v>4</v>
      </c>
      <c r="V10" s="185">
        <f>690000/100000</f>
        <v>6.9</v>
      </c>
      <c r="W10" s="185">
        <f>1100000/100000</f>
        <v>11</v>
      </c>
      <c r="X10" s="192">
        <f>1100000/100000+2.2</f>
        <v>13.2</v>
      </c>
      <c r="Y10" s="185">
        <v>320</v>
      </c>
      <c r="Z10" s="185">
        <f>320+35</f>
        <v>355</v>
      </c>
      <c r="AA10" s="192">
        <f>35+320</f>
        <v>355</v>
      </c>
      <c r="AB10" s="180">
        <f>35+765</f>
        <v>800</v>
      </c>
      <c r="AC10" s="402" t="s">
        <v>1176</v>
      </c>
      <c r="AD10" s="403"/>
      <c r="AE10" s="403"/>
      <c r="AF10" s="403"/>
      <c r="AG10" s="403"/>
      <c r="AH10" s="403"/>
      <c r="AI10" s="403"/>
      <c r="AJ10" s="403"/>
      <c r="AK10" s="403"/>
      <c r="AL10" s="403"/>
      <c r="AM10" s="403"/>
      <c r="AN10" s="414"/>
      <c r="AO10" s="402"/>
      <c r="AP10" s="403"/>
      <c r="AQ10" s="403"/>
      <c r="AR10" s="403"/>
      <c r="AS10" s="403"/>
      <c r="AT10" s="403"/>
      <c r="AU10" s="403"/>
      <c r="AV10" s="403"/>
      <c r="AW10" s="403"/>
      <c r="AX10" s="403"/>
      <c r="AY10" s="403"/>
      <c r="AZ10" s="414"/>
      <c r="BA10" s="572">
        <f t="shared" si="25"/>
        <v>1873.9279999999999</v>
      </c>
    </row>
    <row r="11" spans="1:53" s="29" customFormat="1" ht="20.100000000000001" customHeight="1" x14ac:dyDescent="0.25">
      <c r="A11" s="30" t="str">
        <f>Vecinos!A11</f>
        <v>Familia Calzadilla Trujillo</v>
      </c>
      <c r="B11" s="31" t="str">
        <f>Vecinos!C11</f>
        <v>Av. "M" Nro. 146-30</v>
      </c>
      <c r="C11" s="36" t="str">
        <f>IF(SUMIFS(Vigilancia!$E:$E,Vigilancia!$F:$F,A11,Vigilancia!$J:$J,"Vigilancia")=BA11,"ü","û")</f>
        <v>ü</v>
      </c>
      <c r="D11" s="215"/>
      <c r="E11" s="216"/>
      <c r="F11" s="217"/>
      <c r="G11" s="217"/>
      <c r="H11" s="217"/>
      <c r="I11" s="217"/>
      <c r="J11" s="217"/>
      <c r="K11" s="217"/>
      <c r="L11" s="217"/>
      <c r="M11" s="217"/>
      <c r="N11" s="217"/>
      <c r="O11" s="217"/>
      <c r="P11" s="215"/>
      <c r="Q11" s="218"/>
      <c r="R11" s="219"/>
      <c r="S11" s="219"/>
      <c r="T11" s="219"/>
      <c r="U11" s="219"/>
      <c r="V11" s="219"/>
      <c r="W11" s="219"/>
      <c r="X11" s="219"/>
      <c r="Y11" s="219"/>
      <c r="Z11" s="219"/>
      <c r="AA11" s="219"/>
      <c r="AB11" s="215"/>
      <c r="AC11" s="404">
        <v>3000</v>
      </c>
      <c r="AD11" s="400">
        <v>3000</v>
      </c>
      <c r="AE11" s="400">
        <v>3000</v>
      </c>
      <c r="AF11" s="400">
        <v>5000</v>
      </c>
      <c r="AG11" s="400">
        <f>1000+7000</f>
        <v>8000</v>
      </c>
      <c r="AH11" s="400">
        <v>8000</v>
      </c>
      <c r="AI11" s="536" t="s">
        <v>1177</v>
      </c>
      <c r="AJ11" s="403"/>
      <c r="AK11" s="403"/>
      <c r="AL11" s="403"/>
      <c r="AM11" s="403"/>
      <c r="AN11" s="414"/>
      <c r="AO11" s="402"/>
      <c r="AP11" s="403"/>
      <c r="AQ11" s="403"/>
      <c r="AR11" s="403"/>
      <c r="AS11" s="403"/>
      <c r="AT11" s="403"/>
      <c r="AU11" s="536"/>
      <c r="AV11" s="403"/>
      <c r="AW11" s="403"/>
      <c r="AX11" s="403"/>
      <c r="AY11" s="403"/>
      <c r="AZ11" s="414"/>
      <c r="BA11" s="429">
        <f t="shared" si="25"/>
        <v>30000</v>
      </c>
    </row>
    <row r="12" spans="1:53" s="29" customFormat="1" ht="20.100000000000001" customHeight="1" x14ac:dyDescent="0.25">
      <c r="A12" s="30" t="str">
        <f>Vecinos!A12</f>
        <v>Santiago Varela</v>
      </c>
      <c r="B12" s="31" t="str">
        <f>Vecinos!C12</f>
        <v>Av. "M" Nro. 146-30</v>
      </c>
      <c r="C12" s="36" t="str">
        <f>IF(SUMIFS(Vigilancia!$E:$E,Vigilancia!$F:$F,A12,Vigilancia!$J:$J,"Vigilancia")=BA12,"ü","û")</f>
        <v>ü</v>
      </c>
      <c r="D12" s="215"/>
      <c r="E12" s="216"/>
      <c r="F12" s="217"/>
      <c r="G12" s="217"/>
      <c r="H12" s="217"/>
      <c r="I12" s="217"/>
      <c r="J12" s="217"/>
      <c r="K12" s="217"/>
      <c r="L12" s="217"/>
      <c r="M12" s="217"/>
      <c r="N12" s="217"/>
      <c r="O12" s="217"/>
      <c r="P12" s="215"/>
      <c r="Q12" s="218"/>
      <c r="R12" s="219"/>
      <c r="S12" s="219"/>
      <c r="T12" s="219"/>
      <c r="U12" s="219"/>
      <c r="V12" s="219"/>
      <c r="W12" s="219"/>
      <c r="X12" s="219"/>
      <c r="Y12" s="219"/>
      <c r="Z12" s="219"/>
      <c r="AA12" s="219"/>
      <c r="AB12" s="215"/>
      <c r="AC12" s="512"/>
      <c r="AD12" s="513"/>
      <c r="AE12" s="513"/>
      <c r="AF12" s="513"/>
      <c r="AG12" s="513"/>
      <c r="AH12" s="513"/>
      <c r="AI12" s="400">
        <v>10000</v>
      </c>
      <c r="AJ12" s="400">
        <v>10000</v>
      </c>
      <c r="AK12" s="400">
        <v>19800</v>
      </c>
      <c r="AL12" s="400">
        <v>51250</v>
      </c>
      <c r="AM12" s="400">
        <v>81750</v>
      </c>
      <c r="AN12" s="401">
        <v>81750</v>
      </c>
      <c r="AO12" s="404">
        <v>136250</v>
      </c>
      <c r="AP12" s="400">
        <v>136250</v>
      </c>
      <c r="AQ12" s="400"/>
      <c r="AR12" s="400"/>
      <c r="AS12" s="400"/>
      <c r="AT12" s="400"/>
      <c r="AU12" s="400"/>
      <c r="AV12" s="400"/>
      <c r="AW12" s="400"/>
      <c r="AX12" s="400"/>
      <c r="AY12" s="400"/>
      <c r="AZ12" s="401"/>
      <c r="BA12" s="426">
        <f t="shared" si="25"/>
        <v>527050</v>
      </c>
    </row>
    <row r="13" spans="1:53" s="29" customFormat="1" ht="20.100000000000001" customHeight="1" x14ac:dyDescent="0.25">
      <c r="A13" s="30" t="str">
        <f>Vecinos!A13</f>
        <v>Ely Saúl Rivero Gómez</v>
      </c>
      <c r="B13" s="31" t="str">
        <f>Vecinos!C13</f>
        <v>Av. "Ñ" Nro. 145-25</v>
      </c>
      <c r="C13" s="36" t="str">
        <f>IF(SUMIFS(Vigilancia!$E:$E,Vigilancia!$F:$F,A13,Vigilancia!$J:$J,"Vigilancia")=BA13,"ü","û")</f>
        <v>ü</v>
      </c>
      <c r="D13" s="180"/>
      <c r="E13" s="181">
        <f>17000/100000</f>
        <v>0.17</v>
      </c>
      <c r="F13" s="182">
        <f>17000/100000</f>
        <v>0.17</v>
      </c>
      <c r="G13" s="182">
        <f>17000/100000</f>
        <v>0.17</v>
      </c>
      <c r="H13" s="182">
        <f>17000/100000</f>
        <v>0.17</v>
      </c>
      <c r="I13" s="182">
        <f>26000/100000</f>
        <v>0.26</v>
      </c>
      <c r="J13" s="182">
        <f>26000/100000</f>
        <v>0.26</v>
      </c>
      <c r="K13" s="182">
        <f>26000/100000+9000/100000</f>
        <v>0.35</v>
      </c>
      <c r="L13" s="182">
        <f>35000/100000</f>
        <v>0.35</v>
      </c>
      <c r="M13" s="182">
        <f>35000/100000</f>
        <v>0.35</v>
      </c>
      <c r="N13" s="182">
        <f>35000/100000</f>
        <v>0.35</v>
      </c>
      <c r="O13" s="182">
        <f>50000/100000</f>
        <v>0.5</v>
      </c>
      <c r="P13" s="180">
        <f>50000/100000</f>
        <v>0.5</v>
      </c>
      <c r="Q13" s="184">
        <f>80000/100000</f>
        <v>0.8</v>
      </c>
      <c r="R13" s="185">
        <f>80000/100000</f>
        <v>0.8</v>
      </c>
      <c r="S13" s="185">
        <f>140000/100000</f>
        <v>1.4</v>
      </c>
      <c r="T13" s="185">
        <f>140000/100000</f>
        <v>1.4</v>
      </c>
      <c r="U13" s="185">
        <f>400000/100000</f>
        <v>4</v>
      </c>
      <c r="V13" s="185">
        <f>400000/100000+225000/100000</f>
        <v>6.25</v>
      </c>
      <c r="W13" s="185">
        <f>1000000/100000</f>
        <v>10</v>
      </c>
      <c r="X13" s="192">
        <f>990000/100000+210000/100000</f>
        <v>12</v>
      </c>
      <c r="Y13" s="185">
        <v>320</v>
      </c>
      <c r="Z13" s="185">
        <v>320</v>
      </c>
      <c r="AA13" s="185">
        <v>320</v>
      </c>
      <c r="AB13" s="180">
        <v>800</v>
      </c>
      <c r="AC13" s="404">
        <f>800+2200</f>
        <v>3000</v>
      </c>
      <c r="AD13" s="400">
        <v>3000</v>
      </c>
      <c r="AE13" s="400">
        <v>3000</v>
      </c>
      <c r="AF13" s="400">
        <v>5000</v>
      </c>
      <c r="AG13" s="400">
        <v>8000</v>
      </c>
      <c r="AH13" s="400">
        <v>8000</v>
      </c>
      <c r="AI13" s="400">
        <v>10000</v>
      </c>
      <c r="AJ13" s="400">
        <v>10000</v>
      </c>
      <c r="AK13" s="400">
        <v>23400</v>
      </c>
      <c r="AL13" s="400">
        <f>21100+25900</f>
        <v>47000</v>
      </c>
      <c r="AM13" s="400">
        <v>73500</v>
      </c>
      <c r="AN13" s="401">
        <v>105250</v>
      </c>
      <c r="AO13" s="404">
        <v>136250</v>
      </c>
      <c r="AP13" s="400">
        <v>136250</v>
      </c>
      <c r="AQ13" s="400">
        <v>185250</v>
      </c>
      <c r="AR13" s="400"/>
      <c r="AS13" s="400"/>
      <c r="AT13" s="400"/>
      <c r="AU13" s="400"/>
      <c r="AV13" s="400"/>
      <c r="AW13" s="400"/>
      <c r="AX13" s="400"/>
      <c r="AY13" s="400"/>
      <c r="AZ13" s="401"/>
      <c r="BA13" s="426">
        <f t="shared" si="25"/>
        <v>758700.25</v>
      </c>
    </row>
    <row r="14" spans="1:53" s="29" customFormat="1" ht="20.100000000000001" customHeight="1" x14ac:dyDescent="0.25">
      <c r="A14" s="30" t="str">
        <f>Vecinos!A14</f>
        <v>Familia González López</v>
      </c>
      <c r="B14" s="31" t="str">
        <f>Vecinos!C14</f>
        <v>Av. "Ñ" Nro. 145-27</v>
      </c>
      <c r="C14" s="36" t="str">
        <f>IF(SUMIFS(Vigilancia!$E:$E,Vigilancia!$F:$F,A14,Vigilancia!$J:$J,"Vigilancia")=BA14,"ü","û")</f>
        <v>ü</v>
      </c>
      <c r="D14" s="180"/>
      <c r="E14" s="181"/>
      <c r="F14" s="182"/>
      <c r="G14" s="182"/>
      <c r="H14" s="182"/>
      <c r="I14" s="182"/>
      <c r="J14" s="182"/>
      <c r="K14" s="182"/>
      <c r="L14" s="182"/>
      <c r="M14" s="182"/>
      <c r="N14" s="182"/>
      <c r="O14" s="182"/>
      <c r="P14" s="180"/>
      <c r="Q14" s="184"/>
      <c r="R14" s="185"/>
      <c r="S14" s="185"/>
      <c r="T14" s="185"/>
      <c r="U14" s="185"/>
      <c r="V14" s="185"/>
      <c r="W14" s="185"/>
      <c r="X14" s="185"/>
      <c r="Y14" s="185"/>
      <c r="Z14" s="185"/>
      <c r="AA14" s="185"/>
      <c r="AB14" s="180"/>
      <c r="AC14" s="399"/>
      <c r="AD14" s="400"/>
      <c r="AE14" s="400"/>
      <c r="AF14" s="400"/>
      <c r="AG14" s="400"/>
      <c r="AH14" s="400"/>
      <c r="AI14" s="400"/>
      <c r="AJ14" s="400"/>
      <c r="AK14" s="400"/>
      <c r="AL14" s="400"/>
      <c r="AM14" s="400"/>
      <c r="AN14" s="401"/>
      <c r="AO14" s="399"/>
      <c r="AP14" s="400"/>
      <c r="AQ14" s="400"/>
      <c r="AR14" s="400"/>
      <c r="AS14" s="400"/>
      <c r="AT14" s="400"/>
      <c r="AU14" s="400"/>
      <c r="AV14" s="400"/>
      <c r="AW14" s="400"/>
      <c r="AX14" s="400"/>
      <c r="AY14" s="400"/>
      <c r="AZ14" s="401"/>
      <c r="BA14" s="426">
        <f t="shared" si="25"/>
        <v>0</v>
      </c>
    </row>
    <row r="15" spans="1:53" s="29" customFormat="1" ht="20.100000000000001" customHeight="1" x14ac:dyDescent="0.25">
      <c r="A15" s="30" t="str">
        <f>Vecinos!A15</f>
        <v>Familia Coronel</v>
      </c>
      <c r="B15" s="31" t="str">
        <f>Vecinos!C15</f>
        <v>Av. "O" Nro. 146-10</v>
      </c>
      <c r="C15" s="36" t="str">
        <f>IF(SUMIFS(Vigilancia!$E:$E,Vigilancia!$F:$F,A15,Vigilancia!$J:$J,"Vigilancia")=BA15,"ü","û")</f>
        <v>ü</v>
      </c>
      <c r="D15" s="180"/>
      <c r="E15" s="181"/>
      <c r="F15" s="182"/>
      <c r="G15" s="182"/>
      <c r="H15" s="182"/>
      <c r="I15" s="182"/>
      <c r="J15" s="182"/>
      <c r="K15" s="182"/>
      <c r="L15" s="182"/>
      <c r="M15" s="182"/>
      <c r="N15" s="182"/>
      <c r="O15" s="182"/>
      <c r="P15" s="180"/>
      <c r="Q15" s="184"/>
      <c r="R15" s="185"/>
      <c r="S15" s="185"/>
      <c r="T15" s="185"/>
      <c r="U15" s="185"/>
      <c r="V15" s="185"/>
      <c r="W15" s="185"/>
      <c r="X15" s="185"/>
      <c r="Y15" s="185"/>
      <c r="Z15" s="185"/>
      <c r="AA15" s="185"/>
      <c r="AB15" s="180"/>
      <c r="AC15" s="399"/>
      <c r="AD15" s="400"/>
      <c r="AE15" s="400"/>
      <c r="AF15" s="400"/>
      <c r="AG15" s="400"/>
      <c r="AH15" s="400"/>
      <c r="AI15" s="400"/>
      <c r="AJ15" s="400"/>
      <c r="AK15" s="400"/>
      <c r="AL15" s="400"/>
      <c r="AM15" s="400"/>
      <c r="AN15" s="401"/>
      <c r="AO15" s="399"/>
      <c r="AP15" s="400"/>
      <c r="AQ15" s="400"/>
      <c r="AR15" s="400"/>
      <c r="AS15" s="400"/>
      <c r="AT15" s="400"/>
      <c r="AU15" s="400"/>
      <c r="AV15" s="400"/>
      <c r="AW15" s="400"/>
      <c r="AX15" s="400"/>
      <c r="AY15" s="400"/>
      <c r="AZ15" s="401"/>
      <c r="BA15" s="426">
        <f t="shared" si="25"/>
        <v>0</v>
      </c>
    </row>
    <row r="16" spans="1:53" s="29" customFormat="1" ht="20.100000000000001" customHeight="1" x14ac:dyDescent="0.25">
      <c r="A16" s="33" t="str">
        <f>Vecinos!A16</f>
        <v>Familia Hurtado</v>
      </c>
      <c r="B16" s="34" t="str">
        <f>Vecinos!C16</f>
        <v>Av. "O" Nro. 146-11</v>
      </c>
      <c r="C16" s="35" t="str">
        <f>IF(SUMIFS(Vigilancia!$E:$E,Vigilancia!$F:$F,A16,Vigilancia!$J:$J,"Vigilancia")=BA16,"ü","û")</f>
        <v>ü</v>
      </c>
      <c r="D16" s="187"/>
      <c r="E16" s="188">
        <f>10500/100000</f>
        <v>0.105</v>
      </c>
      <c r="F16" s="189">
        <f>10500/100000+6500/100000</f>
        <v>0.16999999999999998</v>
      </c>
      <c r="G16" s="189">
        <f>10500/100000</f>
        <v>0.105</v>
      </c>
      <c r="H16" s="182">
        <f>17000/100000</f>
        <v>0.17</v>
      </c>
      <c r="I16" s="182">
        <f>20000/100000+6000/100000</f>
        <v>0.26</v>
      </c>
      <c r="J16" s="182">
        <f>26000/100000</f>
        <v>0.26</v>
      </c>
      <c r="K16" s="182">
        <f>20000/100000+15000/100000</f>
        <v>0.35</v>
      </c>
      <c r="L16" s="182">
        <f t="shared" ref="L16:N17" si="31">35000/100000</f>
        <v>0.35</v>
      </c>
      <c r="M16" s="182">
        <f t="shared" si="31"/>
        <v>0.35</v>
      </c>
      <c r="N16" s="182">
        <f t="shared" si="31"/>
        <v>0.35</v>
      </c>
      <c r="O16" s="182">
        <f>30000/100000+20000/100000</f>
        <v>0.5</v>
      </c>
      <c r="P16" s="180">
        <f>50000/100000</f>
        <v>0.5</v>
      </c>
      <c r="Q16" s="184">
        <f>30000/100000+50000/100000</f>
        <v>0.8</v>
      </c>
      <c r="R16" s="185">
        <f>50000/100000+30000/100000</f>
        <v>0.8</v>
      </c>
      <c r="S16" s="185">
        <f>140000/100000</f>
        <v>1.4</v>
      </c>
      <c r="T16" s="185">
        <f>140000/100000</f>
        <v>1.4</v>
      </c>
      <c r="U16" s="185">
        <f>400000/100000</f>
        <v>4</v>
      </c>
      <c r="V16" s="185">
        <f>400000/100000+225000/100000</f>
        <v>6.25</v>
      </c>
      <c r="W16" s="185">
        <f>1000000/100000</f>
        <v>10</v>
      </c>
      <c r="X16" s="192">
        <f>1000000/100000+2</f>
        <v>12</v>
      </c>
      <c r="Y16" s="185">
        <v>320</v>
      </c>
      <c r="Z16" s="185">
        <v>320</v>
      </c>
      <c r="AA16" s="185">
        <v>320</v>
      </c>
      <c r="AB16" s="180">
        <v>800</v>
      </c>
      <c r="AC16" s="399">
        <v>3000</v>
      </c>
      <c r="AD16" s="400">
        <v>3000</v>
      </c>
      <c r="AE16" s="400">
        <v>3000</v>
      </c>
      <c r="AF16" s="400">
        <f>3000+2000</f>
        <v>5000</v>
      </c>
      <c r="AG16" s="400">
        <v>8000</v>
      </c>
      <c r="AH16" s="400">
        <v>8000</v>
      </c>
      <c r="AI16" s="400">
        <v>10000</v>
      </c>
      <c r="AJ16" s="400">
        <v>10000</v>
      </c>
      <c r="AK16" s="400">
        <v>20300</v>
      </c>
      <c r="AL16" s="400">
        <v>64500</v>
      </c>
      <c r="AM16" s="400">
        <v>105250</v>
      </c>
      <c r="AN16" s="401">
        <v>105250</v>
      </c>
      <c r="AO16" s="404">
        <v>136250</v>
      </c>
      <c r="AP16" s="400"/>
      <c r="AQ16" s="400"/>
      <c r="AR16" s="400"/>
      <c r="AS16" s="400"/>
      <c r="AT16" s="400"/>
      <c r="AU16" s="400"/>
      <c r="AV16" s="400"/>
      <c r="AW16" s="400"/>
      <c r="AX16" s="400"/>
      <c r="AY16" s="400"/>
      <c r="AZ16" s="401"/>
      <c r="BA16" s="426">
        <f t="shared" si="25"/>
        <v>483350.12</v>
      </c>
    </row>
    <row r="17" spans="1:53" s="29" customFormat="1" ht="20.100000000000001" customHeight="1" x14ac:dyDescent="0.25">
      <c r="A17" s="30" t="str">
        <f>Vecinos!A17</f>
        <v>Ana de González</v>
      </c>
      <c r="B17" s="31" t="str">
        <f>Vecinos!C17</f>
        <v>Av. "O" Nro. 146-17</v>
      </c>
      <c r="C17" s="36" t="str">
        <f>IF(SUMIFS(Vigilancia!$E:$E,Vigilancia!$F:$F,A17,Vigilancia!$J:$J,"Vigilancia")=BA17,"ü","û")</f>
        <v>ü</v>
      </c>
      <c r="D17" s="180"/>
      <c r="E17" s="181">
        <f>17000/100000</f>
        <v>0.17</v>
      </c>
      <c r="F17" s="182">
        <f>17000/100000</f>
        <v>0.17</v>
      </c>
      <c r="G17" s="182">
        <f>17000/100000</f>
        <v>0.17</v>
      </c>
      <c r="H17" s="182">
        <f>17000/100000</f>
        <v>0.17</v>
      </c>
      <c r="I17" s="182">
        <f>17000/100000+9000/100000</f>
        <v>0.26</v>
      </c>
      <c r="J17" s="182">
        <f>17000/100000+9000/100000</f>
        <v>0.26</v>
      </c>
      <c r="K17" s="182">
        <f>26000/100000+9000/100000</f>
        <v>0.35</v>
      </c>
      <c r="L17" s="182">
        <f t="shared" si="31"/>
        <v>0.35</v>
      </c>
      <c r="M17" s="182">
        <f t="shared" si="31"/>
        <v>0.35</v>
      </c>
      <c r="N17" s="182">
        <f t="shared" si="31"/>
        <v>0.35</v>
      </c>
      <c r="O17" s="182">
        <f>50000/100000</f>
        <v>0.5</v>
      </c>
      <c r="P17" s="180">
        <f>50000/100000</f>
        <v>0.5</v>
      </c>
      <c r="Q17" s="184">
        <f>80000/100000</f>
        <v>0.8</v>
      </c>
      <c r="R17" s="185">
        <f>80000/100000</f>
        <v>0.8</v>
      </c>
      <c r="S17" s="185">
        <f>140000/100000</f>
        <v>1.4</v>
      </c>
      <c r="T17" s="185">
        <f>140000/100000</f>
        <v>1.4</v>
      </c>
      <c r="U17" s="185">
        <f>400000/100000</f>
        <v>4</v>
      </c>
      <c r="V17" s="185">
        <f>625000/100000</f>
        <v>6.25</v>
      </c>
      <c r="W17" s="185">
        <f>1000000/100000</f>
        <v>10</v>
      </c>
      <c r="X17" s="185">
        <v>12</v>
      </c>
      <c r="Y17" s="185">
        <v>320</v>
      </c>
      <c r="Z17" s="185">
        <v>320</v>
      </c>
      <c r="AA17" s="185">
        <v>320</v>
      </c>
      <c r="AB17" s="180">
        <v>800</v>
      </c>
      <c r="AC17" s="399">
        <v>3000</v>
      </c>
      <c r="AD17" s="400">
        <v>3000</v>
      </c>
      <c r="AE17" s="400">
        <v>3000</v>
      </c>
      <c r="AF17" s="400">
        <f>3000+2000</f>
        <v>5000</v>
      </c>
      <c r="AG17" s="400">
        <v>8000</v>
      </c>
      <c r="AH17" s="411">
        <v>2000</v>
      </c>
      <c r="AI17" s="400">
        <v>10000</v>
      </c>
      <c r="AJ17" s="400">
        <v>10000</v>
      </c>
      <c r="AK17" s="509">
        <v>21600</v>
      </c>
      <c r="AL17" s="400">
        <v>51250</v>
      </c>
      <c r="AM17" s="400">
        <v>73500</v>
      </c>
      <c r="AN17" s="401">
        <v>136250</v>
      </c>
      <c r="AO17" s="404">
        <v>136250</v>
      </c>
      <c r="AP17" s="400">
        <v>136250</v>
      </c>
      <c r="AQ17" s="400"/>
      <c r="AR17" s="400"/>
      <c r="AS17" s="400"/>
      <c r="AT17" s="400"/>
      <c r="AU17" s="400"/>
      <c r="AV17" s="400"/>
      <c r="AW17" s="400"/>
      <c r="AX17" s="400"/>
      <c r="AY17" s="400"/>
      <c r="AZ17" s="401"/>
      <c r="BA17" s="426">
        <f t="shared" si="25"/>
        <v>600900.25</v>
      </c>
    </row>
    <row r="18" spans="1:53" s="29" customFormat="1" ht="20.100000000000001" customHeight="1" x14ac:dyDescent="0.25">
      <c r="A18" s="30" t="str">
        <f>Vecinos!A18</f>
        <v>María Luisa Gornés</v>
      </c>
      <c r="B18" s="31" t="str">
        <f>Vecinos!C18</f>
        <v>Calle Guacara Nro. 87-05</v>
      </c>
      <c r="C18" s="36" t="str">
        <f>IF(SUMIFS(Vigilancia!$E:$E,Vigilancia!$F:$F,A18,Vigilancia!$J:$J,"Vigilancia")=BA18,"ü","û")</f>
        <v>ü</v>
      </c>
      <c r="D18" s="180"/>
      <c r="E18" s="181"/>
      <c r="F18" s="182"/>
      <c r="G18" s="182"/>
      <c r="H18" s="182"/>
      <c r="I18" s="182"/>
      <c r="J18" s="182"/>
      <c r="K18" s="182"/>
      <c r="L18" s="182"/>
      <c r="M18" s="182"/>
      <c r="N18" s="182"/>
      <c r="O18" s="182"/>
      <c r="P18" s="180"/>
      <c r="Q18" s="184"/>
      <c r="R18" s="185"/>
      <c r="S18" s="185"/>
      <c r="T18" s="185"/>
      <c r="U18" s="185"/>
      <c r="V18" s="185"/>
      <c r="W18" s="185"/>
      <c r="X18" s="185"/>
      <c r="Y18" s="185"/>
      <c r="Z18" s="185"/>
      <c r="AA18" s="185"/>
      <c r="AB18" s="180"/>
      <c r="AC18" s="399"/>
      <c r="AD18" s="400"/>
      <c r="AE18" s="400"/>
      <c r="AF18" s="400"/>
      <c r="AG18" s="400"/>
      <c r="AH18" s="400"/>
      <c r="AI18" s="400"/>
      <c r="AJ18" s="400"/>
      <c r="AK18" s="400"/>
      <c r="AL18" s="400"/>
      <c r="AM18" s="400"/>
      <c r="AN18" s="401"/>
      <c r="AO18" s="399"/>
      <c r="AP18" s="400"/>
      <c r="AQ18" s="400"/>
      <c r="AR18" s="400"/>
      <c r="AS18" s="400"/>
      <c r="AT18" s="400"/>
      <c r="AU18" s="400"/>
      <c r="AV18" s="400"/>
      <c r="AW18" s="400"/>
      <c r="AX18" s="400"/>
      <c r="AY18" s="400"/>
      <c r="AZ18" s="401"/>
      <c r="BA18" s="426">
        <f t="shared" si="25"/>
        <v>0</v>
      </c>
    </row>
    <row r="19" spans="1:53" s="29" customFormat="1" ht="20.100000000000001" customHeight="1" x14ac:dyDescent="0.25">
      <c r="A19" s="30" t="str">
        <f>Vecinos!A19</f>
        <v>Familia Aponte . Anexo</v>
      </c>
      <c r="B19" s="31" t="str">
        <f>Vecinos!C19</f>
        <v>Calle Guacara Nro. 87-05</v>
      </c>
      <c r="C19" s="36" t="str">
        <f>IF(SUMIFS(Vigilancia!$E:$E,Vigilancia!$F:$F,A19,Vigilancia!$J:$J,"Vigilancia")=BA19,"ü","û")</f>
        <v>ü</v>
      </c>
      <c r="D19" s="180"/>
      <c r="E19" s="181"/>
      <c r="F19" s="182"/>
      <c r="G19" s="182"/>
      <c r="H19" s="182"/>
      <c r="I19" s="182"/>
      <c r="J19" s="182"/>
      <c r="K19" s="182"/>
      <c r="L19" s="182"/>
      <c r="M19" s="182"/>
      <c r="N19" s="182"/>
      <c r="O19" s="182"/>
      <c r="P19" s="180"/>
      <c r="Q19" s="184"/>
      <c r="R19" s="185"/>
      <c r="S19" s="185"/>
      <c r="T19" s="185"/>
      <c r="U19" s="185"/>
      <c r="V19" s="185"/>
      <c r="W19" s="185"/>
      <c r="X19" s="185"/>
      <c r="Y19" s="185"/>
      <c r="Z19" s="185"/>
      <c r="AA19" s="185"/>
      <c r="AB19" s="180"/>
      <c r="AC19" s="399"/>
      <c r="AD19" s="400"/>
      <c r="AE19" s="400"/>
      <c r="AF19" s="400"/>
      <c r="AG19" s="400"/>
      <c r="AH19" s="400"/>
      <c r="AI19" s="400"/>
      <c r="AJ19" s="400"/>
      <c r="AK19" s="400"/>
      <c r="AL19" s="400"/>
      <c r="AM19" s="400"/>
      <c r="AN19" s="401"/>
      <c r="AO19" s="399"/>
      <c r="AP19" s="400"/>
      <c r="AQ19" s="400"/>
      <c r="AR19" s="400"/>
      <c r="AS19" s="400"/>
      <c r="AT19" s="400"/>
      <c r="AU19" s="400"/>
      <c r="AV19" s="400"/>
      <c r="AW19" s="400"/>
      <c r="AX19" s="400"/>
      <c r="AY19" s="400"/>
      <c r="AZ19" s="401"/>
      <c r="BA19" s="426">
        <f t="shared" si="25"/>
        <v>0</v>
      </c>
    </row>
    <row r="20" spans="1:53" s="29" customFormat="1" ht="20.100000000000001" customHeight="1" x14ac:dyDescent="0.25">
      <c r="A20" s="33" t="str">
        <f>Vecinos!A20</f>
        <v>Familia Franco Gómez</v>
      </c>
      <c r="B20" s="34" t="str">
        <f>Vecinos!C20</f>
        <v>Calle Guacara Nro. 87-07</v>
      </c>
      <c r="C20" s="35" t="str">
        <f>IF(SUMIFS(Vigilancia!$E:$E,Vigilancia!$F:$F,A20,Vigilancia!$J:$J,"Vigilancia")=BA20,"ü","û")</f>
        <v>ü</v>
      </c>
      <c r="D20" s="187"/>
      <c r="E20" s="188">
        <f t="shared" ref="E20:K20" si="32">17000/100000</f>
        <v>0.17</v>
      </c>
      <c r="F20" s="189">
        <f t="shared" si="32"/>
        <v>0.17</v>
      </c>
      <c r="G20" s="189">
        <f t="shared" si="32"/>
        <v>0.17</v>
      </c>
      <c r="H20" s="189">
        <f t="shared" si="32"/>
        <v>0.17</v>
      </c>
      <c r="I20" s="189">
        <f t="shared" si="32"/>
        <v>0.17</v>
      </c>
      <c r="J20" s="189">
        <f t="shared" si="32"/>
        <v>0.17</v>
      </c>
      <c r="K20" s="189">
        <f t="shared" si="32"/>
        <v>0.17</v>
      </c>
      <c r="L20" s="189">
        <f>20000/100000</f>
        <v>0.2</v>
      </c>
      <c r="M20" s="189">
        <f>25000/100000</f>
        <v>0.25</v>
      </c>
      <c r="N20" s="189">
        <f>25000/100000</f>
        <v>0.25</v>
      </c>
      <c r="O20" s="189">
        <f>25000/100000</f>
        <v>0.25</v>
      </c>
      <c r="P20" s="187">
        <f>25000/100000</f>
        <v>0.25</v>
      </c>
      <c r="Q20" s="184">
        <f>80000/100000</f>
        <v>0.8</v>
      </c>
      <c r="R20" s="185">
        <f>80000/100000</f>
        <v>0.8</v>
      </c>
      <c r="S20" s="185">
        <f>140000/100000</f>
        <v>1.4</v>
      </c>
      <c r="T20" s="185">
        <f>140000/100000</f>
        <v>1.4</v>
      </c>
      <c r="U20" s="193">
        <f>10000/100000+190000/100000</f>
        <v>2</v>
      </c>
      <c r="V20" s="185">
        <f>400000/100000+225000/100000</f>
        <v>6.25</v>
      </c>
      <c r="W20" s="185">
        <f>1000000/100000</f>
        <v>10</v>
      </c>
      <c r="X20" s="185">
        <f>1200000/100000</f>
        <v>12</v>
      </c>
      <c r="Y20" s="185">
        <v>160</v>
      </c>
      <c r="Z20" s="185">
        <v>320</v>
      </c>
      <c r="AA20" s="185">
        <v>320</v>
      </c>
      <c r="AB20" s="180">
        <v>800</v>
      </c>
      <c r="AC20" s="404">
        <f>800+1600+600</f>
        <v>3000</v>
      </c>
      <c r="AD20" s="400">
        <v>3000</v>
      </c>
      <c r="AE20" s="400">
        <v>3000</v>
      </c>
      <c r="AF20" s="400">
        <f>3000+2000</f>
        <v>5000</v>
      </c>
      <c r="AG20" s="400">
        <f>5000+3000</f>
        <v>8000</v>
      </c>
      <c r="AH20" s="400">
        <v>8000</v>
      </c>
      <c r="AI20" s="400">
        <v>10000</v>
      </c>
      <c r="AJ20" s="400">
        <v>10000</v>
      </c>
      <c r="AK20" s="400">
        <f>10000+10500</f>
        <v>20500</v>
      </c>
      <c r="AL20" s="397">
        <f>21100</f>
        <v>21100</v>
      </c>
      <c r="AM20" s="397">
        <v>33750</v>
      </c>
      <c r="AN20" s="398">
        <v>32700</v>
      </c>
      <c r="AO20" s="396">
        <v>54500</v>
      </c>
      <c r="AP20" s="397">
        <v>60500</v>
      </c>
      <c r="AQ20" s="397">
        <f>260225-185250</f>
        <v>74975</v>
      </c>
      <c r="AR20" s="397"/>
      <c r="AS20" s="397"/>
      <c r="AT20" s="397"/>
      <c r="AU20" s="397"/>
      <c r="AV20" s="397"/>
      <c r="AW20" s="397"/>
      <c r="AX20" s="397"/>
      <c r="AY20" s="397"/>
      <c r="AZ20" s="398"/>
      <c r="BA20" s="426">
        <f t="shared" si="25"/>
        <v>349662.04000000004</v>
      </c>
    </row>
    <row r="21" spans="1:53" s="29" customFormat="1" ht="20.100000000000001" customHeight="1" x14ac:dyDescent="0.25">
      <c r="A21" s="37" t="str">
        <f>Vecinos!A21</f>
        <v>Doris Valderrama</v>
      </c>
      <c r="B21" s="38" t="str">
        <f>Vecinos!C21</f>
        <v>Calle Guacara Nro. 87-15</v>
      </c>
      <c r="C21" s="39" t="str">
        <f>IF(SUMIFS(Vigilancia!$E:$E,Vigilancia!$F:$F,A21,Vigilancia!$J:$J,"Vigilancia")=BA21,"ü","û")</f>
        <v>ü</v>
      </c>
      <c r="D21" s="198"/>
      <c r="E21" s="199"/>
      <c r="F21" s="200"/>
      <c r="G21" s="200"/>
      <c r="H21" s="200"/>
      <c r="I21" s="200"/>
      <c r="J21" s="200"/>
      <c r="K21" s="200"/>
      <c r="L21" s="200"/>
      <c r="M21" s="200"/>
      <c r="N21" s="200"/>
      <c r="O21" s="200"/>
      <c r="P21" s="198"/>
      <c r="Q21" s="201"/>
      <c r="R21" s="202"/>
      <c r="S21" s="202"/>
      <c r="T21" s="202"/>
      <c r="U21" s="202"/>
      <c r="V21" s="202"/>
      <c r="W21" s="202"/>
      <c r="X21" s="202"/>
      <c r="Y21" s="202"/>
      <c r="Z21" s="202"/>
      <c r="AA21" s="202"/>
      <c r="AB21" s="198"/>
      <c r="AC21" s="407"/>
      <c r="AD21" s="408"/>
      <c r="AE21" s="408"/>
      <c r="AF21" s="408"/>
      <c r="AG21" s="408"/>
      <c r="AH21" s="408"/>
      <c r="AI21" s="408"/>
      <c r="AJ21" s="408"/>
      <c r="AK21" s="408"/>
      <c r="AL21" s="408"/>
      <c r="AM21" s="408"/>
      <c r="AN21" s="409"/>
      <c r="AO21" s="407"/>
      <c r="AP21" s="408"/>
      <c r="AQ21" s="408"/>
      <c r="AR21" s="408"/>
      <c r="AS21" s="408"/>
      <c r="AT21" s="408"/>
      <c r="AU21" s="408"/>
      <c r="AV21" s="408"/>
      <c r="AW21" s="408"/>
      <c r="AX21" s="408"/>
      <c r="AY21" s="408"/>
      <c r="AZ21" s="409"/>
      <c r="BA21" s="427">
        <f t="shared" si="25"/>
        <v>0</v>
      </c>
    </row>
    <row r="22" spans="1:53" s="29" customFormat="1" ht="20.100000000000001" customHeight="1" x14ac:dyDescent="0.25">
      <c r="A22" s="37" t="str">
        <f>Vecinos!A22</f>
        <v>Familia Delgado</v>
      </c>
      <c r="B22" s="38" t="str">
        <f>Vecinos!C22</f>
        <v>Calle Guacara Nro. 87-19</v>
      </c>
      <c r="C22" s="39" t="str">
        <f>IF(SUMIFS(Vigilancia!$E:$E,Vigilancia!$F:$F,A22,Vigilancia!$J:$J,"Vigilancia")=BA22,"ü","û")</f>
        <v>ü</v>
      </c>
      <c r="D22" s="198"/>
      <c r="E22" s="199"/>
      <c r="F22" s="200"/>
      <c r="G22" s="200"/>
      <c r="H22" s="200"/>
      <c r="I22" s="200"/>
      <c r="J22" s="200"/>
      <c r="K22" s="200"/>
      <c r="L22" s="200"/>
      <c r="M22" s="200"/>
      <c r="N22" s="200"/>
      <c r="O22" s="200"/>
      <c r="P22" s="198"/>
      <c r="Q22" s="201"/>
      <c r="R22" s="202"/>
      <c r="S22" s="202"/>
      <c r="T22" s="202"/>
      <c r="U22" s="202"/>
      <c r="V22" s="202"/>
      <c r="W22" s="202"/>
      <c r="X22" s="202"/>
      <c r="Y22" s="202"/>
      <c r="Z22" s="202"/>
      <c r="AA22" s="202"/>
      <c r="AB22" s="198"/>
      <c r="AC22" s="407"/>
      <c r="AD22" s="408"/>
      <c r="AE22" s="408"/>
      <c r="AF22" s="408"/>
      <c r="AG22" s="408"/>
      <c r="AH22" s="408"/>
      <c r="AI22" s="408"/>
      <c r="AJ22" s="408"/>
      <c r="AK22" s="408"/>
      <c r="AL22" s="408"/>
      <c r="AM22" s="408"/>
      <c r="AN22" s="409"/>
      <c r="AO22" s="407"/>
      <c r="AP22" s="408"/>
      <c r="AQ22" s="408"/>
      <c r="AR22" s="408"/>
      <c r="AS22" s="408"/>
      <c r="AT22" s="408"/>
      <c r="AU22" s="408"/>
      <c r="AV22" s="408"/>
      <c r="AW22" s="408"/>
      <c r="AX22" s="408"/>
      <c r="AY22" s="408"/>
      <c r="AZ22" s="409"/>
      <c r="BA22" s="427">
        <f t="shared" si="25"/>
        <v>0</v>
      </c>
    </row>
    <row r="23" spans="1:53" s="29" customFormat="1" ht="20.100000000000001" customHeight="1" x14ac:dyDescent="0.25">
      <c r="A23" s="37" t="str">
        <f>Vecinos!A23</f>
        <v>Familia Pereira</v>
      </c>
      <c r="B23" s="38" t="str">
        <f>Vecinos!C23</f>
        <v>Calle Guacara Nro. 87-27</v>
      </c>
      <c r="C23" s="39" t="str">
        <f>IF(SUMIFS(Vigilancia!$E:$E,Vigilancia!$F:$F,A23,Vigilancia!$J:$J,"Vigilancia")=BA23,"ü","û")</f>
        <v>ü</v>
      </c>
      <c r="D23" s="198"/>
      <c r="E23" s="199"/>
      <c r="F23" s="200"/>
      <c r="G23" s="200"/>
      <c r="H23" s="200"/>
      <c r="I23" s="200"/>
      <c r="J23" s="200"/>
      <c r="K23" s="200"/>
      <c r="L23" s="200"/>
      <c r="M23" s="200"/>
      <c r="N23" s="200"/>
      <c r="O23" s="200"/>
      <c r="P23" s="198"/>
      <c r="Q23" s="201"/>
      <c r="R23" s="202"/>
      <c r="S23" s="202"/>
      <c r="T23" s="202"/>
      <c r="U23" s="202"/>
      <c r="V23" s="202"/>
      <c r="W23" s="202"/>
      <c r="X23" s="202"/>
      <c r="Y23" s="202"/>
      <c r="Z23" s="202"/>
      <c r="AA23" s="202"/>
      <c r="AB23" s="198"/>
      <c r="AC23" s="407"/>
      <c r="AD23" s="408"/>
      <c r="AE23" s="408"/>
      <c r="AF23" s="408"/>
      <c r="AG23" s="408"/>
      <c r="AH23" s="408"/>
      <c r="AI23" s="408"/>
      <c r="AJ23" s="408"/>
      <c r="AK23" s="408"/>
      <c r="AL23" s="408"/>
      <c r="AM23" s="408"/>
      <c r="AN23" s="409"/>
      <c r="AO23" s="407"/>
      <c r="AP23" s="408"/>
      <c r="AQ23" s="408"/>
      <c r="AR23" s="408"/>
      <c r="AS23" s="408"/>
      <c r="AT23" s="408"/>
      <c r="AU23" s="408"/>
      <c r="AV23" s="408"/>
      <c r="AW23" s="408"/>
      <c r="AX23" s="408"/>
      <c r="AY23" s="408"/>
      <c r="AZ23" s="409"/>
      <c r="BA23" s="427">
        <f t="shared" si="25"/>
        <v>0</v>
      </c>
    </row>
    <row r="24" spans="1:53" s="29" customFormat="1" ht="20.100000000000001" customHeight="1" x14ac:dyDescent="0.25">
      <c r="A24" s="37" t="str">
        <f>Vecinos!A24</f>
        <v>Familia Padrón C. Bollingher</v>
      </c>
      <c r="B24" s="38" t="str">
        <f>Vecinos!C24</f>
        <v>Calle Guacara Nro. 87-30</v>
      </c>
      <c r="C24" s="39" t="str">
        <f>IF(SUMIFS(Vigilancia!$E:$E,Vigilancia!$F:$F,A24,Vigilancia!$J:$J,"Vigilancia")=BA24,"ü","û")</f>
        <v>ü</v>
      </c>
      <c r="D24" s="198"/>
      <c r="E24" s="199"/>
      <c r="F24" s="200"/>
      <c r="G24" s="200"/>
      <c r="H24" s="200"/>
      <c r="I24" s="200"/>
      <c r="J24" s="200"/>
      <c r="K24" s="200"/>
      <c r="L24" s="200"/>
      <c r="M24" s="200"/>
      <c r="N24" s="200"/>
      <c r="O24" s="200"/>
      <c r="P24" s="198"/>
      <c r="Q24" s="201"/>
      <c r="R24" s="202"/>
      <c r="S24" s="202"/>
      <c r="T24" s="202"/>
      <c r="U24" s="202"/>
      <c r="V24" s="202"/>
      <c r="W24" s="202"/>
      <c r="X24" s="202"/>
      <c r="Y24" s="202"/>
      <c r="Z24" s="202"/>
      <c r="AA24" s="202"/>
      <c r="AB24" s="198"/>
      <c r="AC24" s="407"/>
      <c r="AD24" s="408"/>
      <c r="AE24" s="408"/>
      <c r="AF24" s="408"/>
      <c r="AG24" s="408"/>
      <c r="AH24" s="408"/>
      <c r="AI24" s="408"/>
      <c r="AJ24" s="408"/>
      <c r="AK24" s="408"/>
      <c r="AL24" s="408"/>
      <c r="AM24" s="408"/>
      <c r="AN24" s="409"/>
      <c r="AO24" s="407"/>
      <c r="AP24" s="408"/>
      <c r="AQ24" s="408"/>
      <c r="AR24" s="408"/>
      <c r="AS24" s="408"/>
      <c r="AT24" s="408"/>
      <c r="AU24" s="408"/>
      <c r="AV24" s="408"/>
      <c r="AW24" s="408"/>
      <c r="AX24" s="408"/>
      <c r="AY24" s="408"/>
      <c r="AZ24" s="409"/>
      <c r="BA24" s="427">
        <f t="shared" si="25"/>
        <v>0</v>
      </c>
    </row>
    <row r="25" spans="1:53" s="29" customFormat="1" ht="20.100000000000001" customHeight="1" x14ac:dyDescent="0.25">
      <c r="A25" s="37" t="str">
        <f>Vecinos!A25</f>
        <v>Familia Morillo</v>
      </c>
      <c r="B25" s="38" t="str">
        <f>Vecinos!C25</f>
        <v>Calle Guacara Nro. 87-35</v>
      </c>
      <c r="C25" s="39" t="str">
        <f>IF(SUMIFS(Vigilancia!$E:$E,Vigilancia!$F:$F,A25,Vigilancia!$J:$J,"Vigilancia")=BA25,"ü","û")</f>
        <v>ü</v>
      </c>
      <c r="D25" s="198"/>
      <c r="E25" s="199"/>
      <c r="F25" s="200"/>
      <c r="G25" s="200"/>
      <c r="H25" s="200"/>
      <c r="I25" s="200"/>
      <c r="J25" s="200"/>
      <c r="K25" s="200"/>
      <c r="L25" s="200"/>
      <c r="M25" s="200"/>
      <c r="N25" s="200"/>
      <c r="O25" s="200"/>
      <c r="P25" s="198"/>
      <c r="Q25" s="201"/>
      <c r="R25" s="202"/>
      <c r="S25" s="202"/>
      <c r="T25" s="202"/>
      <c r="U25" s="202"/>
      <c r="V25" s="202"/>
      <c r="W25" s="202"/>
      <c r="X25" s="202"/>
      <c r="Y25" s="202"/>
      <c r="Z25" s="202"/>
      <c r="AA25" s="202"/>
      <c r="AB25" s="198"/>
      <c r="AC25" s="407"/>
      <c r="AD25" s="408"/>
      <c r="AE25" s="408"/>
      <c r="AF25" s="408"/>
      <c r="AG25" s="408"/>
      <c r="AH25" s="408"/>
      <c r="AI25" s="408"/>
      <c r="AJ25" s="408"/>
      <c r="AK25" s="408"/>
      <c r="AL25" s="408"/>
      <c r="AM25" s="408"/>
      <c r="AN25" s="409"/>
      <c r="AO25" s="407"/>
      <c r="AP25" s="408"/>
      <c r="AQ25" s="408"/>
      <c r="AR25" s="408"/>
      <c r="AS25" s="408"/>
      <c r="AT25" s="408"/>
      <c r="AU25" s="408"/>
      <c r="AV25" s="408"/>
      <c r="AW25" s="408"/>
      <c r="AX25" s="408"/>
      <c r="AY25" s="408"/>
      <c r="AZ25" s="409"/>
      <c r="BA25" s="427">
        <f t="shared" si="25"/>
        <v>0</v>
      </c>
    </row>
    <row r="26" spans="1:53" s="29" customFormat="1" ht="20.100000000000001" customHeight="1" x14ac:dyDescent="0.25">
      <c r="A26" s="37" t="str">
        <f>Vecinos!A26</f>
        <v>Familia Gorrín Gianfrancesco</v>
      </c>
      <c r="B26" s="38" t="str">
        <f>Vecinos!C26</f>
        <v>Calle Guacara Nro. 87-40</v>
      </c>
      <c r="C26" s="39" t="str">
        <f>IF(SUMIFS(Vigilancia!$E:$E,Vigilancia!$F:$F,A26,Vigilancia!$J:$J,"Vigilancia")=BA26,"ü","û")</f>
        <v>ü</v>
      </c>
      <c r="D26" s="198"/>
      <c r="E26" s="199"/>
      <c r="F26" s="200"/>
      <c r="G26" s="200"/>
      <c r="H26" s="200"/>
      <c r="I26" s="200"/>
      <c r="J26" s="200"/>
      <c r="K26" s="200"/>
      <c r="L26" s="200"/>
      <c r="M26" s="200"/>
      <c r="N26" s="200"/>
      <c r="O26" s="200"/>
      <c r="P26" s="198"/>
      <c r="Q26" s="201"/>
      <c r="R26" s="202"/>
      <c r="S26" s="202"/>
      <c r="T26" s="202"/>
      <c r="U26" s="202"/>
      <c r="V26" s="202"/>
      <c r="W26" s="202"/>
      <c r="X26" s="202"/>
      <c r="Y26" s="202"/>
      <c r="Z26" s="202"/>
      <c r="AA26" s="202"/>
      <c r="AB26" s="198"/>
      <c r="AC26" s="407"/>
      <c r="AD26" s="408"/>
      <c r="AE26" s="408"/>
      <c r="AF26" s="408"/>
      <c r="AG26" s="408"/>
      <c r="AH26" s="408"/>
      <c r="AI26" s="408"/>
      <c r="AJ26" s="408"/>
      <c r="AK26" s="408"/>
      <c r="AL26" s="408"/>
      <c r="AM26" s="408"/>
      <c r="AN26" s="409"/>
      <c r="AO26" s="407"/>
      <c r="AP26" s="408"/>
      <c r="AQ26" s="408"/>
      <c r="AR26" s="408"/>
      <c r="AS26" s="408"/>
      <c r="AT26" s="408"/>
      <c r="AU26" s="408"/>
      <c r="AV26" s="408"/>
      <c r="AW26" s="408"/>
      <c r="AX26" s="408"/>
      <c r="AY26" s="408"/>
      <c r="AZ26" s="409"/>
      <c r="BA26" s="427">
        <f t="shared" si="25"/>
        <v>0</v>
      </c>
    </row>
    <row r="27" spans="1:53" s="29" customFormat="1" ht="20.100000000000001" customHeight="1" x14ac:dyDescent="0.25">
      <c r="A27" s="37" t="str">
        <f>Vecinos!A27</f>
        <v>Familia Moretti</v>
      </c>
      <c r="B27" s="38" t="str">
        <f>Vecinos!C27</f>
        <v>Calle Guacara Nro. 87-51</v>
      </c>
      <c r="C27" s="39" t="str">
        <f>IF(SUMIFS(Vigilancia!$E:$E,Vigilancia!$F:$F,A27,Vigilancia!$J:$J,"Vigilancia")=BA27,"ü","û")</f>
        <v>ü</v>
      </c>
      <c r="D27" s="198"/>
      <c r="E27" s="199"/>
      <c r="F27" s="200"/>
      <c r="G27" s="200"/>
      <c r="H27" s="200"/>
      <c r="I27" s="200"/>
      <c r="J27" s="200"/>
      <c r="K27" s="200"/>
      <c r="L27" s="200"/>
      <c r="M27" s="200"/>
      <c r="N27" s="200"/>
      <c r="O27" s="200"/>
      <c r="P27" s="198"/>
      <c r="Q27" s="201"/>
      <c r="R27" s="202"/>
      <c r="S27" s="202"/>
      <c r="T27" s="202"/>
      <c r="U27" s="202"/>
      <c r="V27" s="202"/>
      <c r="W27" s="202"/>
      <c r="X27" s="202"/>
      <c r="Y27" s="202"/>
      <c r="Z27" s="202"/>
      <c r="AA27" s="202"/>
      <c r="AB27" s="198"/>
      <c r="AC27" s="407"/>
      <c r="AD27" s="408"/>
      <c r="AE27" s="408"/>
      <c r="AF27" s="408"/>
      <c r="AG27" s="408"/>
      <c r="AH27" s="408"/>
      <c r="AI27" s="408"/>
      <c r="AJ27" s="408"/>
      <c r="AK27" s="408"/>
      <c r="AL27" s="408"/>
      <c r="AM27" s="408"/>
      <c r="AN27" s="409"/>
      <c r="AO27" s="407"/>
      <c r="AP27" s="408"/>
      <c r="AQ27" s="408"/>
      <c r="AR27" s="408"/>
      <c r="AS27" s="408"/>
      <c r="AT27" s="408"/>
      <c r="AU27" s="408"/>
      <c r="AV27" s="408"/>
      <c r="AW27" s="408"/>
      <c r="AX27" s="408"/>
      <c r="AY27" s="408"/>
      <c r="AZ27" s="409"/>
      <c r="BA27" s="427">
        <f t="shared" si="25"/>
        <v>0</v>
      </c>
    </row>
    <row r="28" spans="1:53" s="29" customFormat="1" ht="20.100000000000001" customHeight="1" x14ac:dyDescent="0.25">
      <c r="A28" s="37" t="str">
        <f>Vecinos!A28</f>
        <v>Familia Ramírez (Guacara)</v>
      </c>
      <c r="B28" s="38" t="str">
        <f>Vecinos!C28</f>
        <v>Calle Guacara Nro. 87-59</v>
      </c>
      <c r="C28" s="39" t="str">
        <f>IF(SUMIFS(Vigilancia!$E:$E,Vigilancia!$F:$F,A28,Vigilancia!$J:$J,"Vigilancia")=BA28,"ü","û")</f>
        <v>ü</v>
      </c>
      <c r="D28" s="198"/>
      <c r="E28" s="199"/>
      <c r="F28" s="200"/>
      <c r="G28" s="200"/>
      <c r="H28" s="200"/>
      <c r="I28" s="200"/>
      <c r="J28" s="200"/>
      <c r="K28" s="200"/>
      <c r="L28" s="200"/>
      <c r="M28" s="200"/>
      <c r="N28" s="200"/>
      <c r="O28" s="200"/>
      <c r="P28" s="198"/>
      <c r="Q28" s="201"/>
      <c r="R28" s="202"/>
      <c r="S28" s="202"/>
      <c r="T28" s="202"/>
      <c r="U28" s="202"/>
      <c r="V28" s="202"/>
      <c r="W28" s="202"/>
      <c r="X28" s="202"/>
      <c r="Y28" s="202"/>
      <c r="Z28" s="202"/>
      <c r="AA28" s="202"/>
      <c r="AB28" s="198"/>
      <c r="AC28" s="407"/>
      <c r="AD28" s="408"/>
      <c r="AE28" s="408"/>
      <c r="AF28" s="408"/>
      <c r="AG28" s="408"/>
      <c r="AH28" s="408"/>
      <c r="AI28" s="408"/>
      <c r="AJ28" s="408"/>
      <c r="AK28" s="408"/>
      <c r="AL28" s="408"/>
      <c r="AM28" s="408"/>
      <c r="AN28" s="409"/>
      <c r="AO28" s="407"/>
      <c r="AP28" s="408"/>
      <c r="AQ28" s="408"/>
      <c r="AR28" s="408"/>
      <c r="AS28" s="408"/>
      <c r="AT28" s="408"/>
      <c r="AU28" s="408"/>
      <c r="AV28" s="408"/>
      <c r="AW28" s="408"/>
      <c r="AX28" s="408"/>
      <c r="AY28" s="408"/>
      <c r="AZ28" s="409"/>
      <c r="BA28" s="427">
        <f t="shared" si="25"/>
        <v>0</v>
      </c>
    </row>
    <row r="29" spans="1:53" s="29" customFormat="1" ht="20.100000000000001" customHeight="1" x14ac:dyDescent="0.25">
      <c r="A29" s="37" t="str">
        <f>Vecinos!A29</f>
        <v>Familia De Sousa Pereira</v>
      </c>
      <c r="B29" s="38" t="str">
        <f>Vecinos!C29</f>
        <v>Calle Guacara Nro. 87-65</v>
      </c>
      <c r="C29" s="39" t="str">
        <f>IF(SUMIFS(Vigilancia!$E:$E,Vigilancia!$F:$F,A29,Vigilancia!$J:$J,"Vigilancia")=BA29,"ü","û")</f>
        <v>ü</v>
      </c>
      <c r="D29" s="198"/>
      <c r="E29" s="199"/>
      <c r="F29" s="200"/>
      <c r="G29" s="200"/>
      <c r="H29" s="200"/>
      <c r="I29" s="200"/>
      <c r="J29" s="200"/>
      <c r="K29" s="200"/>
      <c r="L29" s="200"/>
      <c r="M29" s="200"/>
      <c r="N29" s="200"/>
      <c r="O29" s="200"/>
      <c r="P29" s="198"/>
      <c r="Q29" s="201"/>
      <c r="R29" s="202"/>
      <c r="S29" s="202"/>
      <c r="T29" s="202"/>
      <c r="U29" s="202"/>
      <c r="V29" s="202"/>
      <c r="W29" s="202"/>
      <c r="X29" s="202"/>
      <c r="Y29" s="202"/>
      <c r="Z29" s="202"/>
      <c r="AA29" s="202"/>
      <c r="AB29" s="198"/>
      <c r="AC29" s="407"/>
      <c r="AD29" s="408"/>
      <c r="AE29" s="408"/>
      <c r="AF29" s="408"/>
      <c r="AG29" s="408"/>
      <c r="AH29" s="408"/>
      <c r="AI29" s="408"/>
      <c r="AJ29" s="408"/>
      <c r="AK29" s="408"/>
      <c r="AL29" s="408"/>
      <c r="AM29" s="408"/>
      <c r="AN29" s="409"/>
      <c r="AO29" s="407"/>
      <c r="AP29" s="408"/>
      <c r="AQ29" s="408"/>
      <c r="AR29" s="408"/>
      <c r="AS29" s="408"/>
      <c r="AT29" s="408"/>
      <c r="AU29" s="408"/>
      <c r="AV29" s="408"/>
      <c r="AW29" s="408"/>
      <c r="AX29" s="408"/>
      <c r="AY29" s="408"/>
      <c r="AZ29" s="409"/>
      <c r="BA29" s="427">
        <f t="shared" si="25"/>
        <v>0</v>
      </c>
    </row>
    <row r="30" spans="1:53" s="29" customFormat="1" ht="20.100000000000001" customHeight="1" x14ac:dyDescent="0.25">
      <c r="A30" s="37" t="str">
        <f>Vecinos!A30</f>
        <v>Familia De Libero Marinelli</v>
      </c>
      <c r="B30" s="38" t="str">
        <f>Vecinos!C30</f>
        <v>Calle Guacara Nro. 87-70</v>
      </c>
      <c r="C30" s="39" t="str">
        <f>IF(SUMIFS(Vigilancia!$E:$E,Vigilancia!$F:$F,A30,Vigilancia!$J:$J,"Vigilancia")=BA30,"ü","û")</f>
        <v>ü</v>
      </c>
      <c r="D30" s="198"/>
      <c r="E30" s="199"/>
      <c r="F30" s="200"/>
      <c r="G30" s="200"/>
      <c r="H30" s="200"/>
      <c r="I30" s="200"/>
      <c r="J30" s="200"/>
      <c r="K30" s="200"/>
      <c r="L30" s="200"/>
      <c r="M30" s="200"/>
      <c r="N30" s="200"/>
      <c r="O30" s="200"/>
      <c r="P30" s="198"/>
      <c r="Q30" s="201"/>
      <c r="R30" s="202"/>
      <c r="S30" s="202"/>
      <c r="T30" s="202"/>
      <c r="U30" s="202"/>
      <c r="V30" s="202"/>
      <c r="W30" s="202"/>
      <c r="X30" s="202"/>
      <c r="Y30" s="202"/>
      <c r="Z30" s="202"/>
      <c r="AA30" s="202"/>
      <c r="AB30" s="198"/>
      <c r="AC30" s="407"/>
      <c r="AD30" s="408"/>
      <c r="AE30" s="408"/>
      <c r="AF30" s="408"/>
      <c r="AG30" s="408"/>
      <c r="AH30" s="408"/>
      <c r="AI30" s="408"/>
      <c r="AJ30" s="408"/>
      <c r="AK30" s="408"/>
      <c r="AL30" s="408"/>
      <c r="AM30" s="408"/>
      <c r="AN30" s="409"/>
      <c r="AO30" s="407"/>
      <c r="AP30" s="408"/>
      <c r="AQ30" s="408"/>
      <c r="AR30" s="408"/>
      <c r="AS30" s="408"/>
      <c r="AT30" s="408"/>
      <c r="AU30" s="408"/>
      <c r="AV30" s="408"/>
      <c r="AW30" s="408"/>
      <c r="AX30" s="408"/>
      <c r="AY30" s="408"/>
      <c r="AZ30" s="409"/>
      <c r="BA30" s="427">
        <f t="shared" si="25"/>
        <v>0</v>
      </c>
    </row>
    <row r="31" spans="1:53" s="29" customFormat="1" ht="20.100000000000001" customHeight="1" x14ac:dyDescent="0.25">
      <c r="A31" s="37" t="str">
        <f>Vecinos!A31</f>
        <v>Familia Martínez</v>
      </c>
      <c r="B31" s="38" t="str">
        <f>Vecinos!C31</f>
        <v>Calle Guacara Nro. 87-80</v>
      </c>
      <c r="C31" s="39" t="str">
        <f>IF(SUMIFS(Vigilancia!$E:$E,Vigilancia!$F:$F,A31,Vigilancia!$J:$J,"Vigilancia")=BA31,"ü","û")</f>
        <v>ü</v>
      </c>
      <c r="D31" s="198"/>
      <c r="E31" s="199"/>
      <c r="F31" s="200"/>
      <c r="G31" s="200"/>
      <c r="H31" s="200"/>
      <c r="I31" s="200"/>
      <c r="J31" s="200"/>
      <c r="K31" s="200"/>
      <c r="L31" s="200"/>
      <c r="M31" s="200"/>
      <c r="N31" s="200"/>
      <c r="O31" s="200"/>
      <c r="P31" s="198"/>
      <c r="Q31" s="201"/>
      <c r="R31" s="202"/>
      <c r="S31" s="202"/>
      <c r="T31" s="202"/>
      <c r="U31" s="202"/>
      <c r="V31" s="202"/>
      <c r="W31" s="202"/>
      <c r="X31" s="202"/>
      <c r="Y31" s="202"/>
      <c r="Z31" s="202"/>
      <c r="AA31" s="202"/>
      <c r="AB31" s="198"/>
      <c r="AC31" s="407"/>
      <c r="AD31" s="408"/>
      <c r="AE31" s="408"/>
      <c r="AF31" s="408"/>
      <c r="AG31" s="408"/>
      <c r="AH31" s="408"/>
      <c r="AI31" s="408"/>
      <c r="AJ31" s="408"/>
      <c r="AK31" s="408"/>
      <c r="AL31" s="408"/>
      <c r="AM31" s="408"/>
      <c r="AN31" s="409"/>
      <c r="AO31" s="407"/>
      <c r="AP31" s="408"/>
      <c r="AQ31" s="408"/>
      <c r="AR31" s="408"/>
      <c r="AS31" s="408"/>
      <c r="AT31" s="408"/>
      <c r="AU31" s="408"/>
      <c r="AV31" s="408"/>
      <c r="AW31" s="408"/>
      <c r="AX31" s="408"/>
      <c r="AY31" s="408"/>
      <c r="AZ31" s="409"/>
      <c r="BA31" s="427">
        <f t="shared" si="25"/>
        <v>0</v>
      </c>
    </row>
    <row r="32" spans="1:53" s="29" customFormat="1" ht="20.100000000000001" customHeight="1" x14ac:dyDescent="0.25">
      <c r="A32" s="37" t="str">
        <f>Vecinos!A32</f>
        <v>Familia Suarez</v>
      </c>
      <c r="B32" s="38" t="str">
        <f>Vecinos!C32</f>
        <v>Calle Guacara Nro. 87-82</v>
      </c>
      <c r="C32" s="39" t="str">
        <f>IF(SUMIFS(Vigilancia!$E:$E,Vigilancia!$F:$F,A32,Vigilancia!$J:$J,"Vigilancia")=BA32,"ü","û")</f>
        <v>ü</v>
      </c>
      <c r="D32" s="198"/>
      <c r="E32" s="199"/>
      <c r="F32" s="200"/>
      <c r="G32" s="200"/>
      <c r="H32" s="200"/>
      <c r="I32" s="200"/>
      <c r="J32" s="200"/>
      <c r="K32" s="200"/>
      <c r="L32" s="200"/>
      <c r="M32" s="200"/>
      <c r="N32" s="200"/>
      <c r="O32" s="200"/>
      <c r="P32" s="198"/>
      <c r="Q32" s="201"/>
      <c r="R32" s="202"/>
      <c r="S32" s="202"/>
      <c r="T32" s="202"/>
      <c r="U32" s="202"/>
      <c r="V32" s="202"/>
      <c r="W32" s="202"/>
      <c r="X32" s="202"/>
      <c r="Y32" s="202"/>
      <c r="Z32" s="202"/>
      <c r="AA32" s="202"/>
      <c r="AB32" s="198"/>
      <c r="AC32" s="407"/>
      <c r="AD32" s="408"/>
      <c r="AE32" s="408"/>
      <c r="AF32" s="408"/>
      <c r="AG32" s="408"/>
      <c r="AH32" s="408"/>
      <c r="AI32" s="408"/>
      <c r="AJ32" s="408"/>
      <c r="AK32" s="408"/>
      <c r="AL32" s="408"/>
      <c r="AM32" s="408"/>
      <c r="AN32" s="409"/>
      <c r="AO32" s="407"/>
      <c r="AP32" s="408"/>
      <c r="AQ32" s="408"/>
      <c r="AR32" s="408"/>
      <c r="AS32" s="408"/>
      <c r="AT32" s="408"/>
      <c r="AU32" s="408"/>
      <c r="AV32" s="408"/>
      <c r="AW32" s="408"/>
      <c r="AX32" s="408"/>
      <c r="AY32" s="408"/>
      <c r="AZ32" s="409"/>
      <c r="BA32" s="427">
        <f t="shared" si="25"/>
        <v>0</v>
      </c>
    </row>
    <row r="33" spans="1:53" s="29" customFormat="1" ht="20.100000000000001" customHeight="1" x14ac:dyDescent="0.25">
      <c r="A33" s="380" t="str">
        <f>Vecinos!A33</f>
        <v>Chin Chun Ya (Goya)</v>
      </c>
      <c r="B33" s="381" t="str">
        <f>Vecinos!C33</f>
        <v>Calle Guacara Nro. 87-86</v>
      </c>
      <c r="C33" s="382" t="str">
        <f>IF(SUMIFS(Vigilancia!$E:$E,Vigilancia!$F:$F,A33,Vigilancia!$J:$J,"Vigilancia")=BA33,"ü","û")</f>
        <v>ü</v>
      </c>
      <c r="D33" s="187"/>
      <c r="E33" s="188">
        <f>5000/100000</f>
        <v>0.05</v>
      </c>
      <c r="F33" s="189">
        <f>5000/100000</f>
        <v>0.05</v>
      </c>
      <c r="G33" s="189">
        <f>7000/100000</f>
        <v>7.0000000000000007E-2</v>
      </c>
      <c r="H33" s="189">
        <f>7000/100000</f>
        <v>7.0000000000000007E-2</v>
      </c>
      <c r="I33" s="189">
        <f>7000/100000</f>
        <v>7.0000000000000007E-2</v>
      </c>
      <c r="J33" s="189">
        <f>10000/100000</f>
        <v>0.1</v>
      </c>
      <c r="K33" s="189">
        <f>10000/100000</f>
        <v>0.1</v>
      </c>
      <c r="L33" s="189">
        <f>15000/100000</f>
        <v>0.15</v>
      </c>
      <c r="M33" s="189">
        <f>15000/100000</f>
        <v>0.15</v>
      </c>
      <c r="N33" s="189">
        <f>15000/100000</f>
        <v>0.15</v>
      </c>
      <c r="O33" s="189">
        <f>35000/100000</f>
        <v>0.35</v>
      </c>
      <c r="P33" s="187">
        <f>35000/100000</f>
        <v>0.35</v>
      </c>
      <c r="Q33" s="190">
        <f>35000/100000</f>
        <v>0.35</v>
      </c>
      <c r="R33" s="191">
        <f>80000/100000</f>
        <v>0.8</v>
      </c>
      <c r="S33" s="191">
        <f>20000/100000+80000/100000</f>
        <v>1</v>
      </c>
      <c r="T33" s="191">
        <f>20000/100000+80000/100000</f>
        <v>1</v>
      </c>
      <c r="U33" s="191">
        <f>200000/100000</f>
        <v>2</v>
      </c>
      <c r="V33" s="192">
        <f>400000/100000+225000/100000</f>
        <v>6.25</v>
      </c>
      <c r="W33" s="192">
        <f>850000/100000+150000/100000</f>
        <v>10</v>
      </c>
      <c r="X33" s="192">
        <f>1200000/100000</f>
        <v>12</v>
      </c>
      <c r="Y33" s="192">
        <v>320</v>
      </c>
      <c r="Z33" s="192">
        <v>320</v>
      </c>
      <c r="AA33" s="192">
        <v>320</v>
      </c>
      <c r="AB33" s="366">
        <v>800</v>
      </c>
      <c r="AC33" s="404">
        <f>800+2200</f>
        <v>3000</v>
      </c>
      <c r="AD33" s="405">
        <v>3000</v>
      </c>
      <c r="AE33" s="400">
        <v>3000</v>
      </c>
      <c r="AF33" s="400">
        <f>3000+2000</f>
        <v>5000</v>
      </c>
      <c r="AG33" s="412">
        <v>5000</v>
      </c>
      <c r="AH33" s="405">
        <v>8000</v>
      </c>
      <c r="AI33" s="405">
        <v>10000</v>
      </c>
      <c r="AJ33" s="405">
        <v>10000</v>
      </c>
      <c r="AK33" s="400">
        <v>23400</v>
      </c>
      <c r="AL33" s="509">
        <f>21100+30000</f>
        <v>51100</v>
      </c>
      <c r="AM33" s="405">
        <v>56250</v>
      </c>
      <c r="AN33" s="410">
        <v>97500</v>
      </c>
      <c r="AO33" s="404">
        <v>136250</v>
      </c>
      <c r="AP33" s="405">
        <f>38750+97500</f>
        <v>136250</v>
      </c>
      <c r="AQ33" s="400">
        <f>38200+147050</f>
        <v>185250</v>
      </c>
      <c r="AR33" s="400">
        <f>38200</f>
        <v>38200</v>
      </c>
      <c r="AS33" s="400"/>
      <c r="AT33" s="400"/>
      <c r="AU33" s="405"/>
      <c r="AV33" s="405"/>
      <c r="AW33" s="405"/>
      <c r="AX33" s="405"/>
      <c r="AY33" s="405"/>
      <c r="AZ33" s="410"/>
      <c r="BA33" s="428">
        <f t="shared" si="25"/>
        <v>772995.06</v>
      </c>
    </row>
    <row r="34" spans="1:53" s="29" customFormat="1" ht="20.100000000000001" customHeight="1" x14ac:dyDescent="0.25">
      <c r="A34" s="30" t="str">
        <f>Vecinos!A34</f>
        <v>Teresita Román</v>
      </c>
      <c r="B34" s="31" t="str">
        <f>Vecinos!C34</f>
        <v>Calle Guacara Nro. 87-90</v>
      </c>
      <c r="C34" s="36" t="str">
        <f>IF(SUMIFS(Vigilancia!$E:$E,Vigilancia!$F:$F,A34,Vigilancia!$J:$J,"Vigilancia")=BA34,"ü","û")</f>
        <v>ü</v>
      </c>
      <c r="D34" s="180"/>
      <c r="E34" s="181"/>
      <c r="F34" s="182"/>
      <c r="G34" s="182"/>
      <c r="H34" s="182"/>
      <c r="I34" s="182"/>
      <c r="J34" s="182"/>
      <c r="K34" s="182"/>
      <c r="L34" s="182"/>
      <c r="M34" s="182"/>
      <c r="N34" s="182"/>
      <c r="O34" s="182"/>
      <c r="P34" s="180"/>
      <c r="Q34" s="184"/>
      <c r="R34" s="185"/>
      <c r="S34" s="185"/>
      <c r="T34" s="185"/>
      <c r="U34" s="185"/>
      <c r="V34" s="185"/>
      <c r="W34" s="185"/>
      <c r="X34" s="185"/>
      <c r="Y34" s="185"/>
      <c r="Z34" s="185"/>
      <c r="AA34" s="185"/>
      <c r="AB34" s="180"/>
      <c r="AC34" s="399"/>
      <c r="AD34" s="400"/>
      <c r="AE34" s="400"/>
      <c r="AF34" s="400"/>
      <c r="AG34" s="400"/>
      <c r="AH34" s="400"/>
      <c r="AI34" s="400"/>
      <c r="AJ34" s="400"/>
      <c r="AK34" s="400"/>
      <c r="AL34" s="400"/>
      <c r="AM34" s="400"/>
      <c r="AN34" s="401"/>
      <c r="AO34" s="399"/>
      <c r="AP34" s="400"/>
      <c r="AQ34" s="400"/>
      <c r="AR34" s="400"/>
      <c r="AS34" s="400"/>
      <c r="AT34" s="400"/>
      <c r="AU34" s="400"/>
      <c r="AV34" s="400"/>
      <c r="AW34" s="400"/>
      <c r="AX34" s="400"/>
      <c r="AY34" s="400"/>
      <c r="AZ34" s="401"/>
      <c r="BA34" s="426">
        <f t="shared" si="25"/>
        <v>0</v>
      </c>
    </row>
    <row r="35" spans="1:53" s="29" customFormat="1" x14ac:dyDescent="0.25">
      <c r="A35" s="30" t="str">
        <f>Vecinos!A35</f>
        <v>Familia Puerta Burguillos</v>
      </c>
      <c r="B35" s="31" t="str">
        <f>Vecinos!C35</f>
        <v>Calle Guacara Nro. 87-100</v>
      </c>
      <c r="C35" s="36" t="str">
        <f>IF(SUMIFS(Vigilancia!$E:$E,Vigilancia!$F:$F,A35,Vigilancia!$J:$J,"Vigilancia")=BA35,"ü","û")</f>
        <v>ü</v>
      </c>
      <c r="D35" s="180"/>
      <c r="E35" s="181">
        <f>17000/100000</f>
        <v>0.17</v>
      </c>
      <c r="F35" s="182">
        <f>17000/100000</f>
        <v>0.17</v>
      </c>
      <c r="G35" s="182">
        <f>14200/100000+2800/100000</f>
        <v>0.16999999999999998</v>
      </c>
      <c r="H35" s="182">
        <f>17000/100000</f>
        <v>0.17</v>
      </c>
      <c r="I35" s="182">
        <f>26000/100000</f>
        <v>0.26</v>
      </c>
      <c r="J35" s="182">
        <f>26000/100000</f>
        <v>0.26</v>
      </c>
      <c r="K35" s="182">
        <f>26000/100000+9000/100000</f>
        <v>0.35</v>
      </c>
      <c r="L35" s="182">
        <f>13000/100000-9000/100000+31000/100000</f>
        <v>0.35</v>
      </c>
      <c r="M35" s="182">
        <f>35000/100000</f>
        <v>0.35</v>
      </c>
      <c r="N35" s="182">
        <f>35000/100000</f>
        <v>0.35</v>
      </c>
      <c r="O35" s="182">
        <f>50000/100000</f>
        <v>0.5</v>
      </c>
      <c r="P35" s="180">
        <f>50000/100000</f>
        <v>0.5</v>
      </c>
      <c r="Q35" s="184">
        <f>80000/100000</f>
        <v>0.8</v>
      </c>
      <c r="R35" s="185">
        <f>80000/100000</f>
        <v>0.8</v>
      </c>
      <c r="S35" s="185">
        <f>80000/100000+60000/100000</f>
        <v>1.4</v>
      </c>
      <c r="T35" s="185">
        <f>140000/100000</f>
        <v>1.4</v>
      </c>
      <c r="U35" s="185">
        <f>250000/100000+150000/100000</f>
        <v>4</v>
      </c>
      <c r="V35" s="185">
        <f>400000/100000+225000/100000</f>
        <v>6.25</v>
      </c>
      <c r="W35" s="192">
        <f>850000/100000+150000/100000</f>
        <v>10</v>
      </c>
      <c r="X35" s="185">
        <v>12</v>
      </c>
      <c r="Y35" s="185">
        <v>320</v>
      </c>
      <c r="Z35" s="185">
        <v>320</v>
      </c>
      <c r="AA35" s="185">
        <v>320</v>
      </c>
      <c r="AB35" s="366">
        <f>300+500</f>
        <v>800</v>
      </c>
      <c r="AC35" s="399">
        <v>3000</v>
      </c>
      <c r="AD35" s="400">
        <v>3000</v>
      </c>
      <c r="AE35" s="400">
        <v>3000</v>
      </c>
      <c r="AF35" s="400">
        <f>3000+2000</f>
        <v>5000</v>
      </c>
      <c r="AG35" s="400">
        <f>5000+3000</f>
        <v>8000</v>
      </c>
      <c r="AH35" s="509">
        <v>10000</v>
      </c>
      <c r="AI35" s="400">
        <v>10000</v>
      </c>
      <c r="AJ35" s="405">
        <v>10000</v>
      </c>
      <c r="AK35" s="400">
        <v>20500</v>
      </c>
      <c r="AL35" s="400">
        <f>40000+7000</f>
        <v>47000</v>
      </c>
      <c r="AM35" s="400">
        <v>60000</v>
      </c>
      <c r="AN35" s="401">
        <v>210500</v>
      </c>
      <c r="AO35" s="399">
        <v>136250</v>
      </c>
      <c r="AP35" s="400">
        <v>136250</v>
      </c>
      <c r="AQ35" s="400">
        <v>186000</v>
      </c>
      <c r="AR35" s="400"/>
      <c r="AS35" s="400"/>
      <c r="AT35" s="400"/>
      <c r="AU35" s="400"/>
      <c r="AV35" s="405"/>
      <c r="AW35" s="400"/>
      <c r="AX35" s="400"/>
      <c r="AY35" s="400"/>
      <c r="AZ35" s="401"/>
      <c r="BA35" s="426">
        <f t="shared" si="25"/>
        <v>850300.25</v>
      </c>
    </row>
    <row r="36" spans="1:53" s="29" customFormat="1" ht="20.100000000000001" customHeight="1" x14ac:dyDescent="0.25">
      <c r="A36" s="33" t="str">
        <f>Vecinos!A36</f>
        <v>Familia Méndez Parra</v>
      </c>
      <c r="B36" s="34" t="str">
        <f>Vecinos!C36</f>
        <v>Calle Guacara Nro. 88-19</v>
      </c>
      <c r="C36" s="35" t="str">
        <f>IF(SUMIFS(Vigilancia!$E:$E,Vigilancia!$F:$F,A36,Vigilancia!$J:$J,"Vigilancia")=BA36,"ü","û")</f>
        <v>ü</v>
      </c>
      <c r="D36" s="187"/>
      <c r="E36" s="188">
        <f>4500/100000+10000/100000</f>
        <v>0.14500000000000002</v>
      </c>
      <c r="F36" s="189">
        <f>10500/100000</f>
        <v>0.105</v>
      </c>
      <c r="G36" s="189">
        <f>10500/100000</f>
        <v>0.105</v>
      </c>
      <c r="H36" s="189">
        <f>10500/100000</f>
        <v>0.105</v>
      </c>
      <c r="I36" s="189">
        <f>20000/100000</f>
        <v>0.2</v>
      </c>
      <c r="J36" s="189">
        <f>20000/100000</f>
        <v>0.2</v>
      </c>
      <c r="K36" s="189">
        <f>25000/100000</f>
        <v>0.25</v>
      </c>
      <c r="L36" s="189">
        <f t="shared" ref="L36:N37" si="33">20000/100000</f>
        <v>0.2</v>
      </c>
      <c r="M36" s="189">
        <f t="shared" si="33"/>
        <v>0.2</v>
      </c>
      <c r="N36" s="189">
        <f t="shared" si="33"/>
        <v>0.2</v>
      </c>
      <c r="O36" s="189">
        <f>32000/100000</f>
        <v>0.32</v>
      </c>
      <c r="P36" s="187">
        <f>30000/100000</f>
        <v>0.3</v>
      </c>
      <c r="Q36" s="190">
        <f>50000/100000</f>
        <v>0.5</v>
      </c>
      <c r="R36" s="191">
        <f>50000/100000</f>
        <v>0.5</v>
      </c>
      <c r="S36" s="191">
        <f>50000/100000+50000/100000</f>
        <v>1</v>
      </c>
      <c r="T36" s="191">
        <f>100000/100000</f>
        <v>1</v>
      </c>
      <c r="U36" s="191">
        <f>200000/100000</f>
        <v>2</v>
      </c>
      <c r="V36" s="191">
        <f>600000/100000</f>
        <v>6</v>
      </c>
      <c r="W36" s="191">
        <f>600000/100000</f>
        <v>6</v>
      </c>
      <c r="X36" s="191">
        <v>8</v>
      </c>
      <c r="Y36" s="191">
        <v>270</v>
      </c>
      <c r="Z36" s="191">
        <v>260</v>
      </c>
      <c r="AA36" s="191">
        <v>260</v>
      </c>
      <c r="AB36" s="456"/>
      <c r="AC36" s="396">
        <v>600</v>
      </c>
      <c r="AD36" s="397">
        <v>2300</v>
      </c>
      <c r="AE36" s="397">
        <v>2200</v>
      </c>
      <c r="AF36" s="397">
        <f>2200</f>
        <v>2200</v>
      </c>
      <c r="AG36" s="397">
        <v>5000</v>
      </c>
      <c r="AH36" s="397">
        <v>5000</v>
      </c>
      <c r="AI36" s="397">
        <v>6000</v>
      </c>
      <c r="AJ36" s="397">
        <v>6000</v>
      </c>
      <c r="AK36" s="397">
        <v>18018</v>
      </c>
      <c r="AL36" s="397">
        <v>15000</v>
      </c>
      <c r="AM36" s="397">
        <v>48000</v>
      </c>
      <c r="AN36" s="398">
        <v>35000</v>
      </c>
      <c r="AO36" s="396">
        <v>80000</v>
      </c>
      <c r="AP36" s="397">
        <v>80000</v>
      </c>
      <c r="AQ36" s="397">
        <v>90000</v>
      </c>
      <c r="AR36" s="397"/>
      <c r="AS36" s="397"/>
      <c r="AT36" s="397"/>
      <c r="AU36" s="397"/>
      <c r="AV36" s="397"/>
      <c r="AW36" s="397"/>
      <c r="AX36" s="397"/>
      <c r="AY36" s="397"/>
      <c r="AZ36" s="398"/>
      <c r="BA36" s="425">
        <f t="shared" si="25"/>
        <v>396135.33</v>
      </c>
    </row>
    <row r="37" spans="1:53" s="29" customFormat="1" ht="20.100000000000001" customHeight="1" x14ac:dyDescent="0.25">
      <c r="A37" s="33" t="str">
        <f>Vecinos!A37</f>
        <v>Victoria Francischiello</v>
      </c>
      <c r="B37" s="34" t="str">
        <f>Vecinos!C37</f>
        <v>Calle Guacara Nro. 88-25</v>
      </c>
      <c r="C37" s="35" t="str">
        <f>IF(SUMIFS(Vigilancia!$E:$E,Vigilancia!$F:$F,A37,Vigilancia!$J:$J,"Vigilancia")=BA37,"ü","û")</f>
        <v>ü</v>
      </c>
      <c r="D37" s="187"/>
      <c r="E37" s="188">
        <f>7960/100000+2040/100000</f>
        <v>0.1</v>
      </c>
      <c r="F37" s="189">
        <f>10000/100000</f>
        <v>0.1</v>
      </c>
      <c r="G37" s="189">
        <f>10000/100000</f>
        <v>0.1</v>
      </c>
      <c r="H37" s="189">
        <f>10000/100000</f>
        <v>0.1</v>
      </c>
      <c r="I37" s="189">
        <f>20000/100000</f>
        <v>0.2</v>
      </c>
      <c r="J37" s="189">
        <f>20000/100000</f>
        <v>0.2</v>
      </c>
      <c r="K37" s="189">
        <f>20000/100000</f>
        <v>0.2</v>
      </c>
      <c r="L37" s="189">
        <f t="shared" si="33"/>
        <v>0.2</v>
      </c>
      <c r="M37" s="189">
        <f t="shared" si="33"/>
        <v>0.2</v>
      </c>
      <c r="N37" s="189">
        <f t="shared" si="33"/>
        <v>0.2</v>
      </c>
      <c r="O37" s="189">
        <f>15000/100000</f>
        <v>0.15</v>
      </c>
      <c r="P37" s="187">
        <f>45000/100000</f>
        <v>0.45</v>
      </c>
      <c r="Q37" s="190">
        <f>50000/100000</f>
        <v>0.5</v>
      </c>
      <c r="R37" s="191">
        <f>80000/100000</f>
        <v>0.8</v>
      </c>
      <c r="S37" s="191">
        <f>100000/100000</f>
        <v>1</v>
      </c>
      <c r="T37" s="191">
        <f>100000/100000</f>
        <v>1</v>
      </c>
      <c r="U37" s="191">
        <f>250000/100000</f>
        <v>2.5</v>
      </c>
      <c r="V37" s="191">
        <f>400000/100000</f>
        <v>4</v>
      </c>
      <c r="W37" s="192">
        <f>1000000/100000</f>
        <v>10</v>
      </c>
      <c r="X37" s="192">
        <v>12</v>
      </c>
      <c r="Y37" s="192">
        <v>320</v>
      </c>
      <c r="Z37" s="192">
        <v>320</v>
      </c>
      <c r="AA37" s="192">
        <v>320</v>
      </c>
      <c r="AB37" s="366">
        <v>800</v>
      </c>
      <c r="AC37" s="404">
        <v>3000</v>
      </c>
      <c r="AD37" s="405">
        <v>3000</v>
      </c>
      <c r="AE37" s="405">
        <v>3000</v>
      </c>
      <c r="AF37" s="405">
        <v>5000</v>
      </c>
      <c r="AG37" s="405">
        <v>8000</v>
      </c>
      <c r="AH37" s="405">
        <v>8000</v>
      </c>
      <c r="AI37" s="400">
        <v>10000</v>
      </c>
      <c r="AJ37" s="405">
        <v>10000</v>
      </c>
      <c r="AK37" s="405">
        <v>19800</v>
      </c>
      <c r="AL37" s="405">
        <v>51250</v>
      </c>
      <c r="AM37" s="397">
        <v>40000</v>
      </c>
      <c r="AN37" s="398">
        <v>40000</v>
      </c>
      <c r="AO37" s="396">
        <v>136000</v>
      </c>
      <c r="AP37" s="397">
        <v>185250</v>
      </c>
      <c r="AQ37" s="397"/>
      <c r="AR37" s="397"/>
      <c r="AS37" s="397"/>
      <c r="AT37" s="397"/>
      <c r="AU37" s="397"/>
      <c r="AV37" s="397"/>
      <c r="AW37" s="397"/>
      <c r="AX37" s="397"/>
      <c r="AY37" s="397"/>
      <c r="AZ37" s="398"/>
      <c r="BA37" s="425">
        <f t="shared" si="25"/>
        <v>524094</v>
      </c>
    </row>
    <row r="38" spans="1:53" s="29" customFormat="1" ht="20.100000000000001" customHeight="1" x14ac:dyDescent="0.25">
      <c r="A38" s="30" t="str">
        <f>Vecinos!A38</f>
        <v>Familia Cegarra Villamizar</v>
      </c>
      <c r="B38" s="31" t="str">
        <f>Vecinos!C38</f>
        <v>Calle Guacara Nro. 88-35</v>
      </c>
      <c r="C38" s="36" t="str">
        <f>IF(SUMIFS(Vigilancia!$E:$E,Vigilancia!$F:$F,A38,Vigilancia!$J:$J,"Vigilancia")=BA38,"ü","û")</f>
        <v>ü</v>
      </c>
      <c r="D38" s="180"/>
      <c r="E38" s="181">
        <f>17000/100000</f>
        <v>0.17</v>
      </c>
      <c r="F38" s="182">
        <f>17000/100000</f>
        <v>0.17</v>
      </c>
      <c r="G38" s="182">
        <f>17000/100000</f>
        <v>0.17</v>
      </c>
      <c r="H38" s="182">
        <f>17000/100000</f>
        <v>0.17</v>
      </c>
      <c r="I38" s="182">
        <f t="shared" ref="I38:J40" si="34">26000/100000</f>
        <v>0.26</v>
      </c>
      <c r="J38" s="182">
        <f t="shared" si="34"/>
        <v>0.26</v>
      </c>
      <c r="K38" s="189">
        <f>30000/100000</f>
        <v>0.3</v>
      </c>
      <c r="L38" s="189">
        <f>30000/100000</f>
        <v>0.3</v>
      </c>
      <c r="M38" s="182">
        <f t="shared" ref="M38:N40" si="35">35000/100000</f>
        <v>0.35</v>
      </c>
      <c r="N38" s="182">
        <f t="shared" si="35"/>
        <v>0.35</v>
      </c>
      <c r="O38" s="182">
        <f>50000/100000</f>
        <v>0.5</v>
      </c>
      <c r="P38" s="180">
        <f>50000/100000</f>
        <v>0.5</v>
      </c>
      <c r="Q38" s="184">
        <f>80000/100000</f>
        <v>0.8</v>
      </c>
      <c r="R38" s="185">
        <f>80000/100000</f>
        <v>0.8</v>
      </c>
      <c r="S38" s="185">
        <f>80000/100000+60000/100000</f>
        <v>1.4</v>
      </c>
      <c r="T38" s="185">
        <f>80000/100000+60000/100000</f>
        <v>1.4</v>
      </c>
      <c r="U38" s="185">
        <f>400000/100000</f>
        <v>4</v>
      </c>
      <c r="V38" s="185">
        <f>625000/100000</f>
        <v>6.25</v>
      </c>
      <c r="W38" s="192">
        <f>850000/100000+1.5</f>
        <v>10</v>
      </c>
      <c r="X38" s="192">
        <f>850000/100000+3.5</f>
        <v>12</v>
      </c>
      <c r="Y38" s="185">
        <v>320</v>
      </c>
      <c r="Z38" s="185">
        <v>320</v>
      </c>
      <c r="AA38" s="185">
        <v>320</v>
      </c>
      <c r="AB38" s="180">
        <v>800</v>
      </c>
      <c r="AC38" s="399">
        <v>3000</v>
      </c>
      <c r="AD38" s="400">
        <v>3000</v>
      </c>
      <c r="AE38" s="400">
        <v>3000</v>
      </c>
      <c r="AF38" s="411">
        <f>3000+1880</f>
        <v>4880</v>
      </c>
      <c r="AG38" s="400">
        <v>8000</v>
      </c>
      <c r="AH38" s="400">
        <v>8000</v>
      </c>
      <c r="AI38" s="400">
        <f>8000+2000</f>
        <v>10000</v>
      </c>
      <c r="AJ38" s="400">
        <v>10000</v>
      </c>
      <c r="AK38" s="400">
        <v>81750</v>
      </c>
      <c r="AL38" s="400">
        <v>81750</v>
      </c>
      <c r="AM38" s="400">
        <v>81750</v>
      </c>
      <c r="AN38" s="401"/>
      <c r="AO38" s="399"/>
      <c r="AP38" s="400"/>
      <c r="AQ38" s="400"/>
      <c r="AR38" s="400"/>
      <c r="AS38" s="400"/>
      <c r="AT38" s="400"/>
      <c r="AU38" s="400"/>
      <c r="AV38" s="400"/>
      <c r="AW38" s="400"/>
      <c r="AX38" s="400"/>
      <c r="AY38" s="400"/>
      <c r="AZ38" s="401"/>
      <c r="BA38" s="426">
        <f t="shared" si="25"/>
        <v>296930.15000000002</v>
      </c>
    </row>
    <row r="39" spans="1:53" s="29" customFormat="1" ht="20.100000000000001" customHeight="1" x14ac:dyDescent="0.25">
      <c r="A39" s="30" t="str">
        <f>Vecinos!A39</f>
        <v>Familia Del Negro Palermo</v>
      </c>
      <c r="B39" s="31" t="str">
        <f>Vecinos!C39</f>
        <v>Calle Guacara Nro. 88-45</v>
      </c>
      <c r="C39" s="36" t="str">
        <f>IF(SUMIFS(Vigilancia!$E:$E,Vigilancia!$F:$F,A39,Vigilancia!$J:$J,"Vigilancia")=BA39,"ü","û")</f>
        <v>ü</v>
      </c>
      <c r="D39" s="180"/>
      <c r="E39" s="181">
        <f>10500/100000+6500/100000</f>
        <v>0.16999999999999998</v>
      </c>
      <c r="F39" s="182">
        <f>17000/100000</f>
        <v>0.17</v>
      </c>
      <c r="G39" s="182">
        <f>17000/100000</f>
        <v>0.17</v>
      </c>
      <c r="H39" s="182">
        <f>17000/100000</f>
        <v>0.17</v>
      </c>
      <c r="I39" s="182">
        <f t="shared" si="34"/>
        <v>0.26</v>
      </c>
      <c r="J39" s="182">
        <f t="shared" si="34"/>
        <v>0.26</v>
      </c>
      <c r="K39" s="182">
        <f>26000/100000+9000/100000</f>
        <v>0.35</v>
      </c>
      <c r="L39" s="182">
        <f>35000/100000</f>
        <v>0.35</v>
      </c>
      <c r="M39" s="182">
        <f t="shared" si="35"/>
        <v>0.35</v>
      </c>
      <c r="N39" s="182">
        <f t="shared" si="35"/>
        <v>0.35</v>
      </c>
      <c r="O39" s="182">
        <f>50000/100000</f>
        <v>0.5</v>
      </c>
      <c r="P39" s="180">
        <f>50000/100000</f>
        <v>0.5</v>
      </c>
      <c r="Q39" s="184">
        <f>80000/100000</f>
        <v>0.8</v>
      </c>
      <c r="R39" s="185">
        <f>80000/100000</f>
        <v>0.8</v>
      </c>
      <c r="S39" s="185">
        <f>140000/100000</f>
        <v>1.4</v>
      </c>
      <c r="T39" s="185">
        <f>140000/100000</f>
        <v>1.4</v>
      </c>
      <c r="U39" s="185">
        <f>400000/100000</f>
        <v>4</v>
      </c>
      <c r="V39" s="185">
        <f>400000/100000+225000/100000</f>
        <v>6.25</v>
      </c>
      <c r="W39" s="185">
        <f>1000000/100000</f>
        <v>10</v>
      </c>
      <c r="X39" s="185">
        <f>1200000/100000</f>
        <v>12</v>
      </c>
      <c r="Y39" s="185">
        <v>320</v>
      </c>
      <c r="Z39" s="185">
        <v>320</v>
      </c>
      <c r="AA39" s="185">
        <v>320</v>
      </c>
      <c r="AB39" s="366">
        <f>662.95+137.05</f>
        <v>800</v>
      </c>
      <c r="AC39" s="404">
        <f>800+2200</f>
        <v>3000</v>
      </c>
      <c r="AD39" s="400">
        <v>3000</v>
      </c>
      <c r="AE39" s="400">
        <v>3000</v>
      </c>
      <c r="AF39" s="400">
        <v>5000</v>
      </c>
      <c r="AG39" s="400">
        <v>8000</v>
      </c>
      <c r="AH39" s="400">
        <v>8000</v>
      </c>
      <c r="AI39" s="400">
        <v>10000</v>
      </c>
      <c r="AJ39" s="400">
        <v>10000</v>
      </c>
      <c r="AK39" s="400">
        <v>23400</v>
      </c>
      <c r="AL39" s="400">
        <f>21100+43400</f>
        <v>64500</v>
      </c>
      <c r="AM39" s="400">
        <v>64500</v>
      </c>
      <c r="AN39" s="401">
        <v>81750</v>
      </c>
      <c r="AO39" s="404">
        <v>136250</v>
      </c>
      <c r="AP39" s="400">
        <v>136250</v>
      </c>
      <c r="AQ39" s="400">
        <v>185250</v>
      </c>
      <c r="AR39" s="400"/>
      <c r="AS39" s="400"/>
      <c r="AT39" s="400"/>
      <c r="AU39" s="400"/>
      <c r="AV39" s="400"/>
      <c r="AW39" s="400"/>
      <c r="AX39" s="400"/>
      <c r="AY39" s="400"/>
      <c r="AZ39" s="401"/>
      <c r="BA39" s="426">
        <f t="shared" si="25"/>
        <v>743700.25</v>
      </c>
    </row>
    <row r="40" spans="1:53" s="29" customFormat="1" ht="20.100000000000001" customHeight="1" x14ac:dyDescent="0.25">
      <c r="A40" s="30" t="str">
        <f>Vecinos!A40</f>
        <v>Familia Hatem Medina</v>
      </c>
      <c r="B40" s="31" t="str">
        <f>Vecinos!C40</f>
        <v>Calle Guacara Nro. 88-51</v>
      </c>
      <c r="C40" s="36" t="str">
        <f>IF(SUMIFS(Vigilancia!$E:$E,Vigilancia!$F:$F,A40,Vigilancia!$J:$J,"Vigilancia")=BA40,"ü","û")</f>
        <v>ü</v>
      </c>
      <c r="D40" s="180"/>
      <c r="E40" s="196">
        <f>10500/100000</f>
        <v>0.105</v>
      </c>
      <c r="F40" s="183">
        <f>16000/100000</f>
        <v>0.16</v>
      </c>
      <c r="G40" s="183">
        <f>16000/100000</f>
        <v>0.16</v>
      </c>
      <c r="H40" s="183">
        <f>2000/100000+10000/100000+5100/100000</f>
        <v>0.17100000000000001</v>
      </c>
      <c r="I40" s="182">
        <f t="shared" si="34"/>
        <v>0.26</v>
      </c>
      <c r="J40" s="182">
        <f t="shared" si="34"/>
        <v>0.26</v>
      </c>
      <c r="K40" s="182">
        <f>30000/100000</f>
        <v>0.3</v>
      </c>
      <c r="L40" s="182">
        <f>30000/100000</f>
        <v>0.3</v>
      </c>
      <c r="M40" s="182">
        <f t="shared" si="35"/>
        <v>0.35</v>
      </c>
      <c r="N40" s="182">
        <f t="shared" si="35"/>
        <v>0.35</v>
      </c>
      <c r="O40" s="182">
        <f>1000/100000+4850/100000+44150/100000</f>
        <v>0.5</v>
      </c>
      <c r="P40" s="180">
        <f>50000/100000</f>
        <v>0.5</v>
      </c>
      <c r="Q40" s="184">
        <f>5850/100000+74150/100000</f>
        <v>0.8</v>
      </c>
      <c r="R40" s="185">
        <f>80000/100000</f>
        <v>0.8</v>
      </c>
      <c r="S40" s="185">
        <f>80000/100000+60000/100000</f>
        <v>1.4</v>
      </c>
      <c r="T40" s="185">
        <f>80000/100000+20000/100000+40000/100000</f>
        <v>1.4</v>
      </c>
      <c r="U40" s="185">
        <f>400000/100000</f>
        <v>4</v>
      </c>
      <c r="V40" s="185">
        <f>400000/100000+225000/100000</f>
        <v>6.25</v>
      </c>
      <c r="W40" s="185">
        <f>400000/100000+450000/100000+150000/100000</f>
        <v>10</v>
      </c>
      <c r="X40" s="185">
        <v>12</v>
      </c>
      <c r="Y40" s="192">
        <f>12+308</f>
        <v>320</v>
      </c>
      <c r="Z40" s="185">
        <v>320</v>
      </c>
      <c r="AA40" s="185">
        <v>320</v>
      </c>
      <c r="AB40" s="366">
        <f>320+480</f>
        <v>800</v>
      </c>
      <c r="AC40" s="404">
        <f>2000+500-480+980</f>
        <v>3000</v>
      </c>
      <c r="AD40" s="400">
        <f>1500-980+2480</f>
        <v>3000</v>
      </c>
      <c r="AE40" s="400">
        <v>3000</v>
      </c>
      <c r="AF40" s="400">
        <f>3000+520+3520-2040</f>
        <v>5000</v>
      </c>
      <c r="AG40" s="400">
        <v>8000</v>
      </c>
      <c r="AH40" s="509">
        <f>2040+10000</f>
        <v>12040</v>
      </c>
      <c r="AI40" s="400">
        <v>10000</v>
      </c>
      <c r="AJ40" s="405">
        <v>10000</v>
      </c>
      <c r="AK40" s="400">
        <v>19800</v>
      </c>
      <c r="AL40" s="400">
        <f>19800+27200</f>
        <v>47000</v>
      </c>
      <c r="AM40" s="400">
        <v>56250</v>
      </c>
      <c r="AN40" s="401">
        <v>81750</v>
      </c>
      <c r="AO40" s="404">
        <v>136250</v>
      </c>
      <c r="AP40" s="400">
        <v>136250</v>
      </c>
      <c r="AQ40" s="400"/>
      <c r="AR40" s="400"/>
      <c r="AS40" s="400"/>
      <c r="AT40" s="400"/>
      <c r="AU40" s="400"/>
      <c r="AV40" s="405"/>
      <c r="AW40" s="400"/>
      <c r="AX40" s="400"/>
      <c r="AY40" s="400"/>
      <c r="AZ40" s="401"/>
      <c r="BA40" s="426">
        <f t="shared" si="25"/>
        <v>533140.06599999999</v>
      </c>
    </row>
    <row r="41" spans="1:53" s="29" customFormat="1" ht="20.100000000000001" customHeight="1" x14ac:dyDescent="0.25">
      <c r="A41" s="30" t="str">
        <f>Vecinos!A41</f>
        <v>Familia Leung</v>
      </c>
      <c r="B41" s="31" t="str">
        <f>Vecinos!C41</f>
        <v>Calle Guacara Nro. 88-55</v>
      </c>
      <c r="C41" s="36" t="str">
        <f>IF(SUMIFS(Vigilancia!$E:$E,Vigilancia!$F:$F,A41,Vigilancia!$J:$J,"Vigilancia")=BA41,"ü","û")</f>
        <v>ü</v>
      </c>
      <c r="D41" s="180"/>
      <c r="E41" s="181">
        <f>17000/100000</f>
        <v>0.17</v>
      </c>
      <c r="F41" s="182">
        <f>17000/100000</f>
        <v>0.17</v>
      </c>
      <c r="G41" s="182">
        <f>17000/100000</f>
        <v>0.17</v>
      </c>
      <c r="H41" s="182">
        <f>17000/100000</f>
        <v>0.17</v>
      </c>
      <c r="I41" s="182">
        <f>26000/100000</f>
        <v>0.26</v>
      </c>
      <c r="J41" s="203" t="s">
        <v>490</v>
      </c>
      <c r="K41" s="203" t="s">
        <v>490</v>
      </c>
      <c r="L41" s="203" t="s">
        <v>490</v>
      </c>
      <c r="M41" s="203" t="s">
        <v>490</v>
      </c>
      <c r="N41" s="203" t="s">
        <v>490</v>
      </c>
      <c r="O41" s="203" t="s">
        <v>490</v>
      </c>
      <c r="P41" s="204" t="s">
        <v>490</v>
      </c>
      <c r="Q41" s="184">
        <f>80000/100000</f>
        <v>0.8</v>
      </c>
      <c r="R41" s="185">
        <f>80000/100000</f>
        <v>0.8</v>
      </c>
      <c r="S41" s="185">
        <f>140000/100000</f>
        <v>1.4</v>
      </c>
      <c r="T41" s="185">
        <f>140000/100000</f>
        <v>1.4</v>
      </c>
      <c r="U41" s="185">
        <f>400000/100000</f>
        <v>4</v>
      </c>
      <c r="V41" s="193">
        <f>400000/100000</f>
        <v>4</v>
      </c>
      <c r="W41" s="185">
        <v>10</v>
      </c>
      <c r="X41" s="185">
        <v>12</v>
      </c>
      <c r="Y41" s="185">
        <v>320</v>
      </c>
      <c r="Z41" s="185">
        <f>320+10</f>
        <v>330</v>
      </c>
      <c r="AA41" s="185">
        <v>320</v>
      </c>
      <c r="AB41" s="366">
        <f>10+790</f>
        <v>800</v>
      </c>
      <c r="AC41" s="399">
        <v>3000</v>
      </c>
      <c r="AD41" s="400">
        <v>3000</v>
      </c>
      <c r="AE41" s="400">
        <v>3000</v>
      </c>
      <c r="AF41" s="400">
        <v>5000</v>
      </c>
      <c r="AG41" s="403"/>
      <c r="AH41" s="403"/>
      <c r="AI41" s="403"/>
      <c r="AJ41" s="403"/>
      <c r="AK41" s="403"/>
      <c r="AL41" s="403"/>
      <c r="AM41" s="403"/>
      <c r="AN41" s="414"/>
      <c r="AO41" s="413"/>
      <c r="AP41" s="403"/>
      <c r="AQ41" s="403"/>
      <c r="AR41" s="403"/>
      <c r="AS41" s="403"/>
      <c r="AT41" s="403"/>
      <c r="AU41" s="403"/>
      <c r="AV41" s="403"/>
      <c r="AW41" s="403"/>
      <c r="AX41" s="403"/>
      <c r="AY41" s="403"/>
      <c r="AZ41" s="414"/>
      <c r="BA41" s="429">
        <f t="shared" si="25"/>
        <v>15805.34</v>
      </c>
    </row>
    <row r="42" spans="1:53" s="29" customFormat="1" ht="20.100000000000001" customHeight="1" x14ac:dyDescent="0.25">
      <c r="A42" s="30" t="str">
        <f>Vecinos!A42</f>
        <v>Familia Zhen</v>
      </c>
      <c r="B42" s="31" t="str">
        <f>Vecinos!C42</f>
        <v>Calle Guacara Nro. 88-55</v>
      </c>
      <c r="C42" s="36" t="str">
        <f>IF(SUMIFS(Vigilancia!$E:$E,Vigilancia!$F:$F,A42,Vigilancia!$J:$J,"Vigilancia")=BA42,"ü","û")</f>
        <v>ü</v>
      </c>
      <c r="D42" s="208"/>
      <c r="E42" s="209"/>
      <c r="F42" s="210"/>
      <c r="G42" s="210"/>
      <c r="H42" s="210"/>
      <c r="I42" s="210"/>
      <c r="J42" s="210"/>
      <c r="K42" s="210"/>
      <c r="L42" s="210"/>
      <c r="M42" s="210"/>
      <c r="N42" s="210"/>
      <c r="O42" s="210"/>
      <c r="P42" s="208"/>
      <c r="Q42" s="211"/>
      <c r="R42" s="212"/>
      <c r="S42" s="212"/>
      <c r="T42" s="212"/>
      <c r="U42" s="212"/>
      <c r="V42" s="212"/>
      <c r="W42" s="212"/>
      <c r="X42" s="212"/>
      <c r="Y42" s="212"/>
      <c r="Z42" s="212"/>
      <c r="AA42" s="212"/>
      <c r="AB42" s="477"/>
      <c r="AC42" s="478"/>
      <c r="AD42" s="212"/>
      <c r="AE42" s="212"/>
      <c r="AF42" s="212"/>
      <c r="AG42" s="400">
        <v>8000</v>
      </c>
      <c r="AH42" s="400">
        <v>8000</v>
      </c>
      <c r="AI42" s="400">
        <v>10000</v>
      </c>
      <c r="AJ42" s="400">
        <v>10000</v>
      </c>
      <c r="AK42" s="400">
        <v>20300</v>
      </c>
      <c r="AL42" s="400">
        <f>20300+13400</f>
        <v>33700</v>
      </c>
      <c r="AM42" s="400"/>
      <c r="AN42" s="401"/>
      <c r="AO42" s="399"/>
      <c r="AP42" s="400"/>
      <c r="AQ42" s="400"/>
      <c r="AR42" s="400"/>
      <c r="AS42" s="400"/>
      <c r="AT42" s="400"/>
      <c r="AU42" s="400"/>
      <c r="AV42" s="400"/>
      <c r="AW42" s="400"/>
      <c r="AX42" s="400"/>
      <c r="AY42" s="400"/>
      <c r="AZ42" s="401"/>
      <c r="BA42" s="426">
        <f t="shared" si="25"/>
        <v>90000</v>
      </c>
    </row>
    <row r="43" spans="1:53" s="29" customFormat="1" ht="20.100000000000001" customHeight="1" x14ac:dyDescent="0.25">
      <c r="A43" s="30" t="str">
        <f>Vecinos!A43</f>
        <v>Amparo Acosta</v>
      </c>
      <c r="B43" s="31" t="str">
        <f>Vecinos!C43</f>
        <v>Calle Guacara Nro. 88-65</v>
      </c>
      <c r="C43" s="36" t="str">
        <f>IF(SUMIFS(Vigilancia!$E:$E,Vigilancia!$F:$F,A43,Vigilancia!$J:$J,"Vigilancia")=BA43,"ü","û")</f>
        <v>ü</v>
      </c>
      <c r="D43" s="180"/>
      <c r="E43" s="181"/>
      <c r="F43" s="182"/>
      <c r="G43" s="182"/>
      <c r="H43" s="182"/>
      <c r="I43" s="182"/>
      <c r="J43" s="182"/>
      <c r="K43" s="182"/>
      <c r="L43" s="182"/>
      <c r="M43" s="182"/>
      <c r="N43" s="182"/>
      <c r="O43" s="182"/>
      <c r="P43" s="180"/>
      <c r="Q43" s="184"/>
      <c r="R43" s="185"/>
      <c r="S43" s="185"/>
      <c r="T43" s="185"/>
      <c r="U43" s="185"/>
      <c r="V43" s="185"/>
      <c r="W43" s="185">
        <f>1000000/100000</f>
        <v>10</v>
      </c>
      <c r="X43" s="185">
        <v>12</v>
      </c>
      <c r="Y43" s="185">
        <v>320</v>
      </c>
      <c r="Z43" s="185">
        <v>320</v>
      </c>
      <c r="AA43" s="185">
        <f>320+10</f>
        <v>330</v>
      </c>
      <c r="AB43" s="366">
        <f>10+790</f>
        <v>800</v>
      </c>
      <c r="AC43" s="404">
        <f>800+2200</f>
        <v>3000</v>
      </c>
      <c r="AD43" s="400">
        <v>3000</v>
      </c>
      <c r="AE43" s="400">
        <v>3000</v>
      </c>
      <c r="AF43" s="400">
        <f>3000+2000</f>
        <v>5000</v>
      </c>
      <c r="AG43" s="400">
        <f>5000+3000</f>
        <v>8000</v>
      </c>
      <c r="AH43" s="400">
        <v>8000</v>
      </c>
      <c r="AI43" s="400">
        <v>10000</v>
      </c>
      <c r="AJ43" s="400">
        <v>10000</v>
      </c>
      <c r="AK43" s="400">
        <v>20500</v>
      </c>
      <c r="AL43" s="400">
        <v>47000</v>
      </c>
      <c r="AM43" s="400">
        <v>56250</v>
      </c>
      <c r="AN43" s="401">
        <v>81750</v>
      </c>
      <c r="AO43" s="404">
        <v>136250</v>
      </c>
      <c r="AP43" s="400">
        <v>136250</v>
      </c>
      <c r="AQ43" s="400">
        <v>185250</v>
      </c>
      <c r="AR43" s="400"/>
      <c r="AS43" s="400"/>
      <c r="AT43" s="400"/>
      <c r="AU43" s="400"/>
      <c r="AV43" s="400"/>
      <c r="AW43" s="400"/>
      <c r="AX43" s="400"/>
      <c r="AY43" s="400"/>
      <c r="AZ43" s="401"/>
      <c r="BA43" s="426">
        <f t="shared" si="25"/>
        <v>715042</v>
      </c>
    </row>
    <row r="44" spans="1:53" s="29" customFormat="1" ht="20.100000000000001" customHeight="1" x14ac:dyDescent="0.25">
      <c r="A44" s="59" t="str">
        <f>Vecinos!A44</f>
        <v>Familia Fernández Parés</v>
      </c>
      <c r="B44" s="60" t="str">
        <f>Vecinos!C44</f>
        <v>Calle Guacara Nro. 88-75</v>
      </c>
      <c r="C44" s="36" t="str">
        <f>IF(SUMIFS(Vigilancia!$E:$E,Vigilancia!$F:$F,A44,Vigilancia!$J:$J,"Vigilancia")=BA44,"ü","û")</f>
        <v>ü</v>
      </c>
      <c r="D44" s="180"/>
      <c r="E44" s="181">
        <f>17000/100000</f>
        <v>0.17</v>
      </c>
      <c r="F44" s="182">
        <f>17000/100000</f>
        <v>0.17</v>
      </c>
      <c r="G44" s="182">
        <f>17000/100000</f>
        <v>0.17</v>
      </c>
      <c r="H44" s="182">
        <f>17000/100000</f>
        <v>0.17</v>
      </c>
      <c r="I44" s="182">
        <f>26000/100000</f>
        <v>0.26</v>
      </c>
      <c r="J44" s="182">
        <f>26000/100000</f>
        <v>0.26</v>
      </c>
      <c r="K44" s="182">
        <f>35000/100000</f>
        <v>0.35</v>
      </c>
      <c r="L44" s="182">
        <f>1000/100000+34000/100000</f>
        <v>0.35000000000000003</v>
      </c>
      <c r="M44" s="182">
        <f>1000/100000+34000/100000</f>
        <v>0.35000000000000003</v>
      </c>
      <c r="N44" s="182">
        <f>1000/100000+34000/100000</f>
        <v>0.35000000000000003</v>
      </c>
      <c r="O44" s="182">
        <f>50000/100000</f>
        <v>0.5</v>
      </c>
      <c r="P44" s="180">
        <f>50000/100000</f>
        <v>0.5</v>
      </c>
      <c r="Q44" s="184">
        <f>80000/100000</f>
        <v>0.8</v>
      </c>
      <c r="R44" s="185">
        <f>80000/100000</f>
        <v>0.8</v>
      </c>
      <c r="S44" s="193">
        <f>35000/100000</f>
        <v>0.35</v>
      </c>
      <c r="T44" s="193"/>
      <c r="U44" s="205" t="s">
        <v>1178</v>
      </c>
      <c r="V44" s="206"/>
      <c r="W44" s="206"/>
      <c r="X44" s="206"/>
      <c r="Y44" s="206"/>
      <c r="Z44" s="206"/>
      <c r="AA44" s="206"/>
      <c r="AB44" s="207"/>
      <c r="AC44" s="413"/>
      <c r="AD44" s="403"/>
      <c r="AE44" s="403"/>
      <c r="AF44" s="403"/>
      <c r="AG44" s="403"/>
      <c r="AH44" s="403"/>
      <c r="AI44" s="403"/>
      <c r="AJ44" s="403"/>
      <c r="AK44" s="403"/>
      <c r="AL44" s="403"/>
      <c r="AM44" s="403"/>
      <c r="AN44" s="414"/>
      <c r="AO44" s="413"/>
      <c r="AP44" s="403"/>
      <c r="AQ44" s="403"/>
      <c r="AR44" s="403"/>
      <c r="AS44" s="403"/>
      <c r="AT44" s="403"/>
      <c r="AU44" s="403"/>
      <c r="AV44" s="403"/>
      <c r="AW44" s="403"/>
      <c r="AX44" s="403"/>
      <c r="AY44" s="403"/>
      <c r="AZ44" s="414"/>
      <c r="BA44" s="429">
        <f t="shared" si="25"/>
        <v>5.55</v>
      </c>
    </row>
    <row r="45" spans="1:53" s="29" customFormat="1" ht="20.100000000000001" customHeight="1" x14ac:dyDescent="0.25">
      <c r="A45" s="59" t="str">
        <f>Vecinos!A45</f>
        <v>Isbeth Palacios</v>
      </c>
      <c r="B45" s="60" t="str">
        <f>Vecinos!C45</f>
        <v>Calle Guacara Nro. 88-75</v>
      </c>
      <c r="C45" s="36" t="str">
        <f>IF(SUMIFS(Vigilancia!$E:$E,Vigilancia!$F:$F,A45,Vigilancia!$J:$J,"Vigilancia")=BA45,"ü","û")</f>
        <v>ü</v>
      </c>
      <c r="D45" s="180"/>
      <c r="E45" s="181"/>
      <c r="F45" s="182"/>
      <c r="G45" s="182"/>
      <c r="H45" s="182"/>
      <c r="I45" s="182"/>
      <c r="J45" s="182"/>
      <c r="K45" s="182"/>
      <c r="L45" s="182"/>
      <c r="M45" s="182"/>
      <c r="N45" s="182"/>
      <c r="O45" s="182"/>
      <c r="P45" s="180"/>
      <c r="Q45" s="184"/>
      <c r="R45" s="185"/>
      <c r="S45" s="193"/>
      <c r="T45" s="193"/>
      <c r="U45" s="192">
        <f>400000/100000</f>
        <v>4</v>
      </c>
      <c r="V45" s="192">
        <f>400000/100000+225000/100000</f>
        <v>6.25</v>
      </c>
      <c r="W45" s="192">
        <f>850000/100000+150000/100000</f>
        <v>10</v>
      </c>
      <c r="X45" s="192">
        <f>1200000/100000</f>
        <v>12</v>
      </c>
      <c r="Y45" s="192"/>
      <c r="Z45" s="192"/>
      <c r="AA45" s="206"/>
      <c r="AB45" s="207"/>
      <c r="AC45" s="413"/>
      <c r="AD45" s="403"/>
      <c r="AE45" s="403"/>
      <c r="AF45" s="403"/>
      <c r="AG45" s="403"/>
      <c r="AH45" s="403"/>
      <c r="AI45" s="403"/>
      <c r="AJ45" s="403"/>
      <c r="AK45" s="403"/>
      <c r="AL45" s="403"/>
      <c r="AM45" s="403"/>
      <c r="AN45" s="414"/>
      <c r="AO45" s="413"/>
      <c r="AP45" s="403"/>
      <c r="AQ45" s="403"/>
      <c r="AR45" s="403"/>
      <c r="AS45" s="403"/>
      <c r="AT45" s="403"/>
      <c r="AU45" s="403"/>
      <c r="AV45" s="403"/>
      <c r="AW45" s="403"/>
      <c r="AX45" s="403"/>
      <c r="AY45" s="403"/>
      <c r="AZ45" s="414"/>
      <c r="BA45" s="429">
        <f t="shared" si="25"/>
        <v>32.25</v>
      </c>
    </row>
    <row r="46" spans="1:53" s="29" customFormat="1" ht="20.100000000000001" customHeight="1" x14ac:dyDescent="0.25">
      <c r="A46" s="30" t="str">
        <f>Vecinos!A46</f>
        <v>Andrea Valor</v>
      </c>
      <c r="B46" s="31" t="str">
        <f>Vecinos!C46</f>
        <v>Calle Guacara Nro. 88-75</v>
      </c>
      <c r="C46" s="36" t="str">
        <f>IF(SUMIFS(Vigilancia!$E:$E,Vigilancia!$F:$F,A46,Vigilancia!$J:$J,"Vigilancia")=BA46,"ü","û")</f>
        <v>ü</v>
      </c>
      <c r="D46" s="208"/>
      <c r="E46" s="209"/>
      <c r="F46" s="210"/>
      <c r="G46" s="210"/>
      <c r="H46" s="210"/>
      <c r="I46" s="210"/>
      <c r="J46" s="210"/>
      <c r="K46" s="210"/>
      <c r="L46" s="210"/>
      <c r="M46" s="210"/>
      <c r="N46" s="210"/>
      <c r="O46" s="210"/>
      <c r="P46" s="208"/>
      <c r="Q46" s="211"/>
      <c r="R46" s="212"/>
      <c r="S46" s="212"/>
      <c r="T46" s="212"/>
      <c r="U46" s="212"/>
      <c r="V46" s="212"/>
      <c r="W46" s="212"/>
      <c r="X46" s="212"/>
      <c r="Y46" s="212"/>
      <c r="Z46" s="212"/>
      <c r="AA46" s="212"/>
      <c r="AB46" s="477"/>
      <c r="AC46" s="478"/>
      <c r="AD46" s="212"/>
      <c r="AE46" s="400">
        <v>3000</v>
      </c>
      <c r="AF46" s="400">
        <f>3000+2000</f>
        <v>5000</v>
      </c>
      <c r="AG46" s="400">
        <v>8000</v>
      </c>
      <c r="AH46" s="400">
        <v>8000</v>
      </c>
      <c r="AI46" s="400">
        <v>10000</v>
      </c>
      <c r="AJ46" s="400">
        <v>10000</v>
      </c>
      <c r="AK46" s="400">
        <v>20500</v>
      </c>
      <c r="AL46" s="400">
        <f>19800+31450</f>
        <v>51250</v>
      </c>
      <c r="AM46" s="405">
        <v>64500</v>
      </c>
      <c r="AN46" s="401">
        <v>81750</v>
      </c>
      <c r="AO46" s="399">
        <v>136250</v>
      </c>
      <c r="AP46" s="400">
        <v>136250</v>
      </c>
      <c r="AQ46" s="400">
        <v>185250</v>
      </c>
      <c r="AR46" s="400"/>
      <c r="AS46" s="400"/>
      <c r="AT46" s="400"/>
      <c r="AU46" s="400"/>
      <c r="AV46" s="400"/>
      <c r="AW46" s="400"/>
      <c r="AX46" s="400"/>
      <c r="AY46" s="400"/>
      <c r="AZ46" s="401"/>
      <c r="BA46" s="426">
        <f t="shared" si="25"/>
        <v>719750</v>
      </c>
    </row>
    <row r="47" spans="1:53" s="29" customFormat="1" ht="20.100000000000001" customHeight="1" x14ac:dyDescent="0.25">
      <c r="A47" s="33" t="str">
        <f>Vecinos!A47</f>
        <v>Familia Machado Stoppa</v>
      </c>
      <c r="B47" s="34" t="str">
        <f>Vecinos!C47</f>
        <v>Calle Guacara Nro. 88-85</v>
      </c>
      <c r="C47" s="35" t="str">
        <f>IF(SUMIFS(Vigilancia!$E:$E,Vigilancia!$F:$F,A47,Vigilancia!$J:$J,"Vigilancia")=BA47,"ü","û")</f>
        <v>ü</v>
      </c>
      <c r="D47" s="187"/>
      <c r="E47" s="188">
        <f>15000/100000</f>
        <v>0.15</v>
      </c>
      <c r="F47" s="189">
        <f>15000/100000</f>
        <v>0.15</v>
      </c>
      <c r="G47" s="189">
        <f>15000/100000</f>
        <v>0.15</v>
      </c>
      <c r="H47" s="189">
        <f>22000/100000</f>
        <v>0.22</v>
      </c>
      <c r="I47" s="189">
        <f>22000/100000</f>
        <v>0.22</v>
      </c>
      <c r="J47" s="189">
        <f>22000/100000</f>
        <v>0.22</v>
      </c>
      <c r="K47" s="189">
        <f>25000/100000</f>
        <v>0.25</v>
      </c>
      <c r="L47" s="189">
        <f>30000/100000</f>
        <v>0.3</v>
      </c>
      <c r="M47" s="189">
        <f>30000/100000</f>
        <v>0.3</v>
      </c>
      <c r="N47" s="189">
        <f>30000/100000</f>
        <v>0.3</v>
      </c>
      <c r="O47" s="189">
        <f>40000/100000</f>
        <v>0.4</v>
      </c>
      <c r="P47" s="187">
        <f>40000/100000</f>
        <v>0.4</v>
      </c>
      <c r="Q47" s="190">
        <f>70000/100000</f>
        <v>0.7</v>
      </c>
      <c r="R47" s="191">
        <f>70000/100000</f>
        <v>0.7</v>
      </c>
      <c r="S47" s="191">
        <f>70000/100000</f>
        <v>0.7</v>
      </c>
      <c r="T47" s="191">
        <f>70000/100000</f>
        <v>0.7</v>
      </c>
      <c r="U47" s="185">
        <f>400000/100000</f>
        <v>4</v>
      </c>
      <c r="V47" s="185">
        <f>400000/100000+225000/100000</f>
        <v>6.25</v>
      </c>
      <c r="W47" s="185">
        <f>400000/100000+600000/100000</f>
        <v>10</v>
      </c>
      <c r="X47" s="192">
        <f>400000/100000+800000/100000</f>
        <v>12</v>
      </c>
      <c r="Y47" s="185">
        <v>320</v>
      </c>
      <c r="Z47" s="185">
        <v>350</v>
      </c>
      <c r="AA47" s="185">
        <v>320</v>
      </c>
      <c r="AB47" s="180">
        <v>800</v>
      </c>
      <c r="AC47" s="404">
        <f>800+2200</f>
        <v>3000</v>
      </c>
      <c r="AD47" s="400">
        <v>3000</v>
      </c>
      <c r="AE47" s="400">
        <v>3000</v>
      </c>
      <c r="AF47" s="400">
        <f>3000+2000</f>
        <v>5000</v>
      </c>
      <c r="AG47" s="400">
        <v>8000</v>
      </c>
      <c r="AH47" s="400">
        <v>8000</v>
      </c>
      <c r="AI47" s="400">
        <v>10000</v>
      </c>
      <c r="AJ47" s="400">
        <v>10000</v>
      </c>
      <c r="AK47" s="400">
        <v>20500</v>
      </c>
      <c r="AL47" s="400">
        <f>19800+27200</f>
        <v>47000</v>
      </c>
      <c r="AM47" s="400">
        <v>56250</v>
      </c>
      <c r="AN47" s="401">
        <v>105250</v>
      </c>
      <c r="AO47" s="404">
        <v>136250</v>
      </c>
      <c r="AP47" s="400">
        <v>136250</v>
      </c>
      <c r="AQ47" s="400">
        <v>185250</v>
      </c>
      <c r="AR47" s="400"/>
      <c r="AS47" s="400"/>
      <c r="AT47" s="400"/>
      <c r="AU47" s="400"/>
      <c r="AV47" s="400"/>
      <c r="AW47" s="400"/>
      <c r="AX47" s="400"/>
      <c r="AY47" s="400"/>
      <c r="AZ47" s="401"/>
      <c r="BA47" s="426">
        <f t="shared" si="25"/>
        <v>738578.11</v>
      </c>
    </row>
    <row r="48" spans="1:53" s="29" customFormat="1" ht="20.100000000000001" customHeight="1" x14ac:dyDescent="0.25">
      <c r="A48" s="33" t="str">
        <f>Vecinos!A48</f>
        <v>Familia Zavarce Barón</v>
      </c>
      <c r="B48" s="34" t="str">
        <f>Vecinos!C48</f>
        <v>Calle Guacara Nro. 88-91</v>
      </c>
      <c r="C48" s="35" t="str">
        <f>IF(SUMIFS(Vigilancia!$E:$E,Vigilancia!$F:$F,A48,Vigilancia!$J:$J,"Vigilancia")=BA48,"ü","û")</f>
        <v>ü</v>
      </c>
      <c r="D48" s="187"/>
      <c r="E48" s="188">
        <f>10000/100000</f>
        <v>0.1</v>
      </c>
      <c r="F48" s="189">
        <f>10000/100000</f>
        <v>0.1</v>
      </c>
      <c r="G48" s="189">
        <f>14000/100000</f>
        <v>0.14000000000000001</v>
      </c>
      <c r="H48" s="189">
        <f>17000/100000</f>
        <v>0.17</v>
      </c>
      <c r="I48" s="189">
        <f>10000/100000</f>
        <v>0.1</v>
      </c>
      <c r="J48" s="189">
        <f>10000/100000</f>
        <v>0.1</v>
      </c>
      <c r="K48" s="189">
        <f>10000/100000</f>
        <v>0.1</v>
      </c>
      <c r="L48" s="189">
        <f>10000/100000</f>
        <v>0.1</v>
      </c>
      <c r="M48" s="189"/>
      <c r="N48" s="189"/>
      <c r="O48" s="189"/>
      <c r="P48" s="187"/>
      <c r="Q48" s="184">
        <f>80000/100000</f>
        <v>0.8</v>
      </c>
      <c r="R48" s="185">
        <f>80000/100000</f>
        <v>0.8</v>
      </c>
      <c r="S48" s="185">
        <f>140000/100000</f>
        <v>1.4</v>
      </c>
      <c r="T48" s="185">
        <f>140000/100000</f>
        <v>1.4</v>
      </c>
      <c r="U48" s="185">
        <f>60000/100000+340000/100000</f>
        <v>4</v>
      </c>
      <c r="V48" s="185">
        <f>625000/100000</f>
        <v>6.25</v>
      </c>
      <c r="W48" s="192">
        <f>850000/100000+150000/100000</f>
        <v>10</v>
      </c>
      <c r="X48" s="185">
        <v>12</v>
      </c>
      <c r="Y48" s="185">
        <v>320</v>
      </c>
      <c r="Z48" s="185">
        <v>320</v>
      </c>
      <c r="AA48" s="185">
        <v>320</v>
      </c>
      <c r="AB48" s="180">
        <v>800</v>
      </c>
      <c r="AC48" s="399">
        <v>3000</v>
      </c>
      <c r="AD48" s="400">
        <v>3000</v>
      </c>
      <c r="AE48" s="400">
        <v>3000</v>
      </c>
      <c r="AF48" s="400">
        <v>5000</v>
      </c>
      <c r="AG48" s="400">
        <v>8000</v>
      </c>
      <c r="AH48" s="400">
        <v>8000</v>
      </c>
      <c r="AI48" s="400">
        <v>10000</v>
      </c>
      <c r="AJ48" s="400">
        <v>10000</v>
      </c>
      <c r="AK48" s="400">
        <v>19800</v>
      </c>
      <c r="AL48" s="400">
        <v>51250</v>
      </c>
      <c r="AM48" s="400">
        <v>97500</v>
      </c>
      <c r="AN48" s="401">
        <v>105250</v>
      </c>
      <c r="AO48" s="399">
        <f>122550+13700</f>
        <v>136250</v>
      </c>
      <c r="AP48" s="400">
        <v>136250</v>
      </c>
      <c r="AQ48" s="400"/>
      <c r="AR48" s="400"/>
      <c r="AS48" s="400"/>
      <c r="AT48" s="400"/>
      <c r="AU48" s="400"/>
      <c r="AV48" s="400"/>
      <c r="AW48" s="400"/>
      <c r="AX48" s="400"/>
      <c r="AY48" s="400"/>
      <c r="AZ48" s="401"/>
      <c r="BA48" s="426">
        <f t="shared" si="25"/>
        <v>598097.56000000006</v>
      </c>
    </row>
    <row r="49" spans="1:53" s="29" customFormat="1" ht="20.100000000000001" customHeight="1" x14ac:dyDescent="0.25">
      <c r="A49" s="30" t="str">
        <f>Vecinos!A49</f>
        <v>Familia Chávez Moncada</v>
      </c>
      <c r="B49" s="31" t="str">
        <f>Vecinos!C49</f>
        <v>Calle Guacara Nro. 88-95</v>
      </c>
      <c r="C49" s="36" t="str">
        <f>IF(SUMIFS(Vigilancia!$E:$E,Vigilancia!$F:$F,A49,Vigilancia!$J:$J,"Vigilancia")=BA49,"ü","û")</f>
        <v>ü</v>
      </c>
      <c r="D49" s="180"/>
      <c r="E49" s="181"/>
      <c r="F49" s="182"/>
      <c r="G49" s="182"/>
      <c r="H49" s="182"/>
      <c r="I49" s="182"/>
      <c r="J49" s="182"/>
      <c r="K49" s="182"/>
      <c r="L49" s="182"/>
      <c r="M49" s="182"/>
      <c r="N49" s="182"/>
      <c r="O49" s="182"/>
      <c r="P49" s="180"/>
      <c r="Q49" s="184"/>
      <c r="R49" s="185"/>
      <c r="S49" s="185"/>
      <c r="T49" s="185"/>
      <c r="U49" s="185"/>
      <c r="V49" s="185"/>
      <c r="W49" s="185"/>
      <c r="X49" s="185"/>
      <c r="Y49" s="185"/>
      <c r="Z49" s="185"/>
      <c r="AA49" s="185"/>
      <c r="AB49" s="180"/>
      <c r="AC49" s="399"/>
      <c r="AD49" s="400"/>
      <c r="AE49" s="400"/>
      <c r="AF49" s="400"/>
      <c r="AG49" s="400"/>
      <c r="AH49" s="400"/>
      <c r="AI49" s="400"/>
      <c r="AJ49" s="400"/>
      <c r="AK49" s="400"/>
      <c r="AL49" s="400"/>
      <c r="AM49" s="400">
        <v>2281750</v>
      </c>
      <c r="AN49" s="401">
        <v>105250</v>
      </c>
      <c r="AO49" s="537" t="s">
        <v>1177</v>
      </c>
      <c r="AP49" s="403"/>
      <c r="AQ49" s="403"/>
      <c r="AR49" s="403"/>
      <c r="AS49" s="403"/>
      <c r="AT49" s="403"/>
      <c r="AU49" s="403"/>
      <c r="AV49" s="403"/>
      <c r="AW49" s="403"/>
      <c r="AX49" s="403"/>
      <c r="AY49" s="403"/>
      <c r="AZ49" s="414"/>
      <c r="BA49" s="429">
        <f t="shared" si="25"/>
        <v>2387000</v>
      </c>
    </row>
    <row r="50" spans="1:53" s="29" customFormat="1" ht="20.100000000000001" customHeight="1" x14ac:dyDescent="0.25">
      <c r="A50" s="30" t="str">
        <f>Vecinos!A50</f>
        <v>Familia Brito Viana</v>
      </c>
      <c r="B50" s="31" t="str">
        <f>Vecinos!C50</f>
        <v>Calle Guacara Nro. 88-95</v>
      </c>
      <c r="C50" s="36" t="str">
        <f>IF(SUMIFS(Vigilancia!$E:$E,Vigilancia!$F:$F,A50,Vigilancia!$J:$J,"Vigilancia")=BA50,"ü","û")</f>
        <v>ü</v>
      </c>
      <c r="D50" s="215"/>
      <c r="E50" s="216"/>
      <c r="F50" s="217"/>
      <c r="G50" s="217"/>
      <c r="H50" s="217"/>
      <c r="I50" s="217"/>
      <c r="J50" s="217"/>
      <c r="K50" s="217"/>
      <c r="L50" s="217"/>
      <c r="M50" s="217"/>
      <c r="N50" s="217"/>
      <c r="O50" s="217"/>
      <c r="P50" s="215"/>
      <c r="Q50" s="218"/>
      <c r="R50" s="219"/>
      <c r="S50" s="219"/>
      <c r="T50" s="219"/>
      <c r="U50" s="219"/>
      <c r="V50" s="219"/>
      <c r="W50" s="219"/>
      <c r="X50" s="219"/>
      <c r="Y50" s="219"/>
      <c r="Z50" s="219"/>
      <c r="AA50" s="219"/>
      <c r="AB50" s="215"/>
      <c r="AC50" s="506"/>
      <c r="AD50" s="507"/>
      <c r="AE50" s="507"/>
      <c r="AF50" s="507"/>
      <c r="AG50" s="507"/>
      <c r="AH50" s="507"/>
      <c r="AI50" s="507"/>
      <c r="AJ50" s="507"/>
      <c r="AK50" s="507"/>
      <c r="AL50" s="507"/>
      <c r="AM50" s="507"/>
      <c r="AN50" s="658"/>
      <c r="AO50" s="404">
        <v>136250</v>
      </c>
      <c r="AP50" s="405">
        <v>136250</v>
      </c>
      <c r="AQ50" s="405"/>
      <c r="AR50" s="405"/>
      <c r="AS50" s="400"/>
      <c r="AT50" s="400"/>
      <c r="AU50" s="400"/>
      <c r="AV50" s="400"/>
      <c r="AW50" s="400"/>
      <c r="AX50" s="400"/>
      <c r="AY50" s="400"/>
      <c r="AZ50" s="401"/>
      <c r="BA50" s="426">
        <f t="shared" ref="BA50" si="36">SUM(D50:AZ50)</f>
        <v>272500</v>
      </c>
    </row>
    <row r="51" spans="1:53" s="29" customFormat="1" ht="20.100000000000001" customHeight="1" x14ac:dyDescent="0.25">
      <c r="A51" s="59" t="str">
        <f>Vecinos!A51</f>
        <v>Familia Zampini Scaccia</v>
      </c>
      <c r="B51" s="60" t="str">
        <f>Vecinos!C51</f>
        <v>Calle Guacara Nro. 88-A-10</v>
      </c>
      <c r="C51" s="36" t="str">
        <f>IF(SUMIFS(Vigilancia!$E:$E,Vigilancia!$F:$F,A51,Vigilancia!$J:$J,"Vigilancia")=BA51,"ü","û")</f>
        <v>ü</v>
      </c>
      <c r="D51" s="180"/>
      <c r="E51" s="181"/>
      <c r="F51" s="182"/>
      <c r="G51" s="182"/>
      <c r="H51" s="182"/>
      <c r="I51" s="182"/>
      <c r="J51" s="182"/>
      <c r="K51" s="182"/>
      <c r="L51" s="182"/>
      <c r="M51" s="182"/>
      <c r="N51" s="182"/>
      <c r="O51" s="182"/>
      <c r="P51" s="180"/>
      <c r="Q51" s="184"/>
      <c r="R51" s="185"/>
      <c r="S51" s="185"/>
      <c r="T51" s="185"/>
      <c r="U51" s="185"/>
      <c r="V51" s="185"/>
      <c r="W51" s="213" t="s">
        <v>1177</v>
      </c>
      <c r="X51" s="214"/>
      <c r="Y51" s="206"/>
      <c r="Z51" s="206"/>
      <c r="AA51" s="206"/>
      <c r="AB51" s="207"/>
      <c r="AC51" s="413"/>
      <c r="AD51" s="403"/>
      <c r="AE51" s="403"/>
      <c r="AF51" s="403"/>
      <c r="AG51" s="403"/>
      <c r="AH51" s="403"/>
      <c r="AI51" s="403"/>
      <c r="AJ51" s="403"/>
      <c r="AK51" s="403"/>
      <c r="AL51" s="403"/>
      <c r="AM51" s="403"/>
      <c r="AN51" s="414"/>
      <c r="AO51" s="413"/>
      <c r="AP51" s="403"/>
      <c r="AQ51" s="403"/>
      <c r="AR51" s="403"/>
      <c r="AS51" s="403"/>
      <c r="AT51" s="403"/>
      <c r="AU51" s="403"/>
      <c r="AV51" s="403"/>
      <c r="AW51" s="403"/>
      <c r="AX51" s="403"/>
      <c r="AY51" s="403"/>
      <c r="AZ51" s="414"/>
      <c r="BA51" s="429">
        <f t="shared" si="25"/>
        <v>0</v>
      </c>
    </row>
    <row r="52" spans="1:53" s="29" customFormat="1" ht="20.100000000000001" customHeight="1" x14ac:dyDescent="0.25">
      <c r="A52" s="30" t="str">
        <f>Vecinos!A52</f>
        <v>Familia Wu Acevedo</v>
      </c>
      <c r="B52" s="31" t="str">
        <f>Vecinos!C52</f>
        <v>Calle Guacara Nro. 88-A-10</v>
      </c>
      <c r="C52" s="36" t="str">
        <f>IF(SUMIFS(Vigilancia!$E:$E,Vigilancia!$F:$F,A52,Vigilancia!$J:$J,"Vigilancia")=BA52,"ü","û")</f>
        <v>ü</v>
      </c>
      <c r="D52" s="215"/>
      <c r="E52" s="216"/>
      <c r="F52" s="217"/>
      <c r="G52" s="217"/>
      <c r="H52" s="217"/>
      <c r="I52" s="217"/>
      <c r="J52" s="217"/>
      <c r="K52" s="217"/>
      <c r="L52" s="217"/>
      <c r="M52" s="217"/>
      <c r="N52" s="217"/>
      <c r="O52" s="217"/>
      <c r="P52" s="215"/>
      <c r="Q52" s="218"/>
      <c r="R52" s="219"/>
      <c r="S52" s="219"/>
      <c r="T52" s="219"/>
      <c r="U52" s="219"/>
      <c r="V52" s="219"/>
      <c r="W52" s="182">
        <f>1000000/100000</f>
        <v>10</v>
      </c>
      <c r="X52" s="182">
        <f>1200000/100000</f>
        <v>12</v>
      </c>
      <c r="Y52" s="185">
        <v>320</v>
      </c>
      <c r="Z52" s="185">
        <v>320</v>
      </c>
      <c r="AA52" s="185">
        <v>320</v>
      </c>
      <c r="AB52" s="180">
        <v>1000</v>
      </c>
      <c r="AC52" s="404">
        <f>800+2200</f>
        <v>3000</v>
      </c>
      <c r="AD52" s="400">
        <v>3000</v>
      </c>
      <c r="AE52" s="400">
        <v>3000</v>
      </c>
      <c r="AF52" s="400">
        <v>5000</v>
      </c>
      <c r="AG52" s="509">
        <v>10000</v>
      </c>
      <c r="AH52" s="509">
        <v>10000</v>
      </c>
      <c r="AI52" s="400">
        <v>10000</v>
      </c>
      <c r="AJ52" s="400">
        <v>10000</v>
      </c>
      <c r="AK52" s="400">
        <v>21600</v>
      </c>
      <c r="AL52" s="400">
        <f>21100+25900</f>
        <v>47000</v>
      </c>
      <c r="AM52" s="400">
        <v>51250</v>
      </c>
      <c r="AN52" s="401">
        <v>81750</v>
      </c>
      <c r="AO52" s="404">
        <v>136250</v>
      </c>
      <c r="AP52" s="400">
        <f>64405.8</f>
        <v>64405.8</v>
      </c>
      <c r="AQ52" s="400"/>
      <c r="AR52" s="400"/>
      <c r="AS52" s="400"/>
      <c r="AT52" s="400"/>
      <c r="AU52" s="400"/>
      <c r="AV52" s="400"/>
      <c r="AW52" s="400"/>
      <c r="AX52" s="400"/>
      <c r="AY52" s="400"/>
      <c r="AZ52" s="401"/>
      <c r="BA52" s="426">
        <f t="shared" si="25"/>
        <v>458237.8</v>
      </c>
    </row>
    <row r="53" spans="1:53" s="29" customFormat="1" ht="20.100000000000001" customHeight="1" x14ac:dyDescent="0.25">
      <c r="A53" s="30" t="str">
        <f>Vecinos!A53</f>
        <v>Familia Arcia Polanco</v>
      </c>
      <c r="B53" s="31" t="str">
        <f>Vecinos!C53</f>
        <v>Calle Guacara Nro. 89-20</v>
      </c>
      <c r="C53" s="36" t="str">
        <f>IF(SUMIFS(Vigilancia!$E:$E,Vigilancia!$F:$F,A53,Vigilancia!$J:$J,"Vigilancia")=BA53,"ü","û")</f>
        <v>ü</v>
      </c>
      <c r="D53" s="180"/>
      <c r="E53" s="181">
        <f>10500/100000+6500/100000</f>
        <v>0.16999999999999998</v>
      </c>
      <c r="F53" s="182">
        <f t="shared" ref="F53:H55" si="37">17000/100000</f>
        <v>0.17</v>
      </c>
      <c r="G53" s="182">
        <f t="shared" si="37"/>
        <v>0.17</v>
      </c>
      <c r="H53" s="182">
        <f t="shared" si="37"/>
        <v>0.17</v>
      </c>
      <c r="I53" s="182">
        <f t="shared" ref="I53:J55" si="38">26000/100000</f>
        <v>0.26</v>
      </c>
      <c r="J53" s="182">
        <f t="shared" si="38"/>
        <v>0.26</v>
      </c>
      <c r="K53" s="182">
        <f>26000/100000+9000/100000</f>
        <v>0.35</v>
      </c>
      <c r="L53" s="182">
        <f t="shared" ref="L53:N55" si="39">35000/100000</f>
        <v>0.35</v>
      </c>
      <c r="M53" s="182">
        <f t="shared" si="39"/>
        <v>0.35</v>
      </c>
      <c r="N53" s="182">
        <f t="shared" si="39"/>
        <v>0.35</v>
      </c>
      <c r="O53" s="182">
        <f>50000/100000</f>
        <v>0.5</v>
      </c>
      <c r="P53" s="180">
        <f>50000/100000</f>
        <v>0.5</v>
      </c>
      <c r="Q53" s="184">
        <f>50000/100000+30000/100000</f>
        <v>0.8</v>
      </c>
      <c r="R53" s="185">
        <f>80000/100000</f>
        <v>0.8</v>
      </c>
      <c r="S53" s="185">
        <f>140000/100000</f>
        <v>1.4</v>
      </c>
      <c r="T53" s="185">
        <f>140000/100000</f>
        <v>1.4</v>
      </c>
      <c r="U53" s="185">
        <f>400000/100000</f>
        <v>4</v>
      </c>
      <c r="V53" s="185">
        <f>400000/100000+225000/100000</f>
        <v>6.25</v>
      </c>
      <c r="W53" s="220">
        <f>1000000/100000</f>
        <v>10</v>
      </c>
      <c r="X53" s="182">
        <f>1200000/100000</f>
        <v>12</v>
      </c>
      <c r="Y53" s="185">
        <v>320</v>
      </c>
      <c r="Z53" s="185">
        <v>320</v>
      </c>
      <c r="AA53" s="185">
        <v>320</v>
      </c>
      <c r="AB53" s="180">
        <v>800</v>
      </c>
      <c r="AC53" s="404">
        <f>800+2200</f>
        <v>3000</v>
      </c>
      <c r="AD53" s="400">
        <v>3000</v>
      </c>
      <c r="AE53" s="400">
        <v>3000</v>
      </c>
      <c r="AF53" s="400">
        <f>3000+2000</f>
        <v>5000</v>
      </c>
      <c r="AG53" s="400">
        <f>5000+3000</f>
        <v>8000</v>
      </c>
      <c r="AH53" s="400">
        <f>5000+3000</f>
        <v>8000</v>
      </c>
      <c r="AI53" s="400">
        <v>10000</v>
      </c>
      <c r="AJ53" s="400">
        <v>10000</v>
      </c>
      <c r="AK53" s="400">
        <v>23400</v>
      </c>
      <c r="AL53" s="405">
        <f>800+20300+28200</f>
        <v>49300</v>
      </c>
      <c r="AM53" s="400">
        <v>56250</v>
      </c>
      <c r="AN53" s="401">
        <v>81750</v>
      </c>
      <c r="AO53" s="404">
        <v>136250</v>
      </c>
      <c r="AP53" s="400">
        <v>136250</v>
      </c>
      <c r="AQ53" s="400">
        <v>185250</v>
      </c>
      <c r="AR53" s="400"/>
      <c r="AS53" s="400"/>
      <c r="AT53" s="400"/>
      <c r="AU53" s="400"/>
      <c r="AV53" s="400"/>
      <c r="AW53" s="400"/>
      <c r="AX53" s="400"/>
      <c r="AY53" s="400"/>
      <c r="AZ53" s="401"/>
      <c r="BA53" s="426">
        <f t="shared" si="25"/>
        <v>720250.25</v>
      </c>
    </row>
    <row r="54" spans="1:53" s="29" customFormat="1" ht="20.100000000000001" customHeight="1" x14ac:dyDescent="0.25">
      <c r="A54" s="30" t="str">
        <f>Vecinos!A54</f>
        <v>Familia Lomeña Agudo</v>
      </c>
      <c r="B54" s="31" t="str">
        <f>Vecinos!C54</f>
        <v>Calle Guacara Nro. 89-30</v>
      </c>
      <c r="C54" s="36" t="str">
        <f>IF(SUMIFS(Vigilancia!$E:$E,Vigilancia!$F:$F,A54,Vigilancia!$J:$J,"Vigilancia")=BA54,"ü","û")</f>
        <v>ü</v>
      </c>
      <c r="D54" s="180"/>
      <c r="E54" s="181">
        <f>17000/100000</f>
        <v>0.17</v>
      </c>
      <c r="F54" s="182">
        <f t="shared" si="37"/>
        <v>0.17</v>
      </c>
      <c r="G54" s="182">
        <f t="shared" si="37"/>
        <v>0.17</v>
      </c>
      <c r="H54" s="182">
        <f t="shared" si="37"/>
        <v>0.17</v>
      </c>
      <c r="I54" s="182">
        <f t="shared" si="38"/>
        <v>0.26</v>
      </c>
      <c r="J54" s="182">
        <f t="shared" si="38"/>
        <v>0.26</v>
      </c>
      <c r="K54" s="182">
        <f>26000/100000+9000/100000</f>
        <v>0.35</v>
      </c>
      <c r="L54" s="182">
        <f t="shared" si="39"/>
        <v>0.35</v>
      </c>
      <c r="M54" s="182">
        <f t="shared" si="39"/>
        <v>0.35</v>
      </c>
      <c r="N54" s="182">
        <f t="shared" si="39"/>
        <v>0.35</v>
      </c>
      <c r="O54" s="182">
        <f>50000/100000</f>
        <v>0.5</v>
      </c>
      <c r="P54" s="180">
        <f>50000/100000</f>
        <v>0.5</v>
      </c>
      <c r="Q54" s="184">
        <f>80000/100000</f>
        <v>0.8</v>
      </c>
      <c r="R54" s="185">
        <f>80000/100000</f>
        <v>0.8</v>
      </c>
      <c r="S54" s="185">
        <f>130000/100000+10000/100000</f>
        <v>1.4000000000000001</v>
      </c>
      <c r="T54" s="185">
        <f>140000/100000</f>
        <v>1.4</v>
      </c>
      <c r="U54" s="185">
        <f>400000/100000</f>
        <v>4</v>
      </c>
      <c r="V54" s="185">
        <f>200000/100000+425000/100000</f>
        <v>6.25</v>
      </c>
      <c r="W54" s="182">
        <f>1000000/100000-425000/100000+650000/100000</f>
        <v>12.25</v>
      </c>
      <c r="X54" s="182">
        <f>1200000/100000</f>
        <v>12</v>
      </c>
      <c r="Y54" s="192">
        <f>0.2+350</f>
        <v>350.2</v>
      </c>
      <c r="Z54" s="185">
        <v>320</v>
      </c>
      <c r="AA54" s="185">
        <v>350</v>
      </c>
      <c r="AB54" s="180">
        <v>800</v>
      </c>
      <c r="AC54" s="404">
        <f>800+2200</f>
        <v>3000</v>
      </c>
      <c r="AD54" s="400">
        <v>3000</v>
      </c>
      <c r="AE54" s="400">
        <v>4500</v>
      </c>
      <c r="AF54" s="400">
        <f>4000-4000+5000</f>
        <v>5000</v>
      </c>
      <c r="AG54" s="400">
        <v>8000</v>
      </c>
      <c r="AH54" s="509">
        <v>10000</v>
      </c>
      <c r="AI54" s="400">
        <v>10000</v>
      </c>
      <c r="AJ54" s="509">
        <v>15000</v>
      </c>
      <c r="AK54" s="400">
        <f>15000+8400</f>
        <v>23400</v>
      </c>
      <c r="AL54" s="405">
        <f>25000+23000</f>
        <v>48000</v>
      </c>
      <c r="AM54" s="509">
        <v>67481</v>
      </c>
      <c r="AN54" s="619">
        <v>148000</v>
      </c>
      <c r="AO54" s="404">
        <v>136250</v>
      </c>
      <c r="AP54" s="400">
        <v>210000</v>
      </c>
      <c r="AQ54" s="400">
        <v>186000</v>
      </c>
      <c r="AR54" s="400"/>
      <c r="AS54" s="400"/>
      <c r="AT54" s="400"/>
      <c r="AU54" s="400"/>
      <c r="AV54" s="400"/>
      <c r="AW54" s="400"/>
      <c r="AX54" s="400"/>
      <c r="AY54" s="400"/>
      <c r="AZ54" s="401"/>
      <c r="BA54" s="426">
        <f t="shared" si="25"/>
        <v>879493.7</v>
      </c>
    </row>
    <row r="55" spans="1:53" s="29" customFormat="1" ht="20.100000000000001" customHeight="1" x14ac:dyDescent="0.25">
      <c r="A55" s="30" t="str">
        <f>Vecinos!A55</f>
        <v>Familia Manrique Riera</v>
      </c>
      <c r="B55" s="31" t="str">
        <f>Vecinos!C55</f>
        <v>Calle Guacara Nro. 89-40</v>
      </c>
      <c r="C55" s="36" t="str">
        <f>IF(SUMIFS(Vigilancia!$E:$E,Vigilancia!$F:$F,A55,Vigilancia!$J:$J,"Vigilancia")=BA55,"ü","û")</f>
        <v>ü</v>
      </c>
      <c r="D55" s="180"/>
      <c r="E55" s="181">
        <f>14000/100000+3000/100000</f>
        <v>0.17</v>
      </c>
      <c r="F55" s="182">
        <f t="shared" si="37"/>
        <v>0.17</v>
      </c>
      <c r="G55" s="182">
        <f t="shared" si="37"/>
        <v>0.17</v>
      </c>
      <c r="H55" s="182">
        <f t="shared" si="37"/>
        <v>0.17</v>
      </c>
      <c r="I55" s="182">
        <f t="shared" si="38"/>
        <v>0.26</v>
      </c>
      <c r="J55" s="182">
        <f t="shared" si="38"/>
        <v>0.26</v>
      </c>
      <c r="K55" s="182">
        <f>35000/100000</f>
        <v>0.35</v>
      </c>
      <c r="L55" s="182">
        <f t="shared" si="39"/>
        <v>0.35</v>
      </c>
      <c r="M55" s="182">
        <f t="shared" si="39"/>
        <v>0.35</v>
      </c>
      <c r="N55" s="182">
        <f t="shared" si="39"/>
        <v>0.35</v>
      </c>
      <c r="O55" s="182">
        <f>35000/100000+15000/100000</f>
        <v>0.5</v>
      </c>
      <c r="P55" s="180">
        <f>20000/100000</f>
        <v>0.2</v>
      </c>
      <c r="Q55" s="184">
        <f>80000/100000</f>
        <v>0.8</v>
      </c>
      <c r="R55" s="185">
        <f>80000/100000</f>
        <v>0.8</v>
      </c>
      <c r="S55" s="185">
        <f>140000/100000</f>
        <v>1.4</v>
      </c>
      <c r="T55" s="185">
        <f>140000/100000</f>
        <v>1.4</v>
      </c>
      <c r="U55" s="185">
        <f>400000/100000</f>
        <v>4</v>
      </c>
      <c r="V55" s="185">
        <f>650000/100000</f>
        <v>6.5</v>
      </c>
      <c r="W55" s="221">
        <f>1000000/100000</f>
        <v>10</v>
      </c>
      <c r="X55" s="182">
        <v>12</v>
      </c>
      <c r="Y55" s="185">
        <v>320</v>
      </c>
      <c r="Z55" s="185">
        <v>320</v>
      </c>
      <c r="AA55" s="185">
        <v>320</v>
      </c>
      <c r="AB55" s="180">
        <v>800</v>
      </c>
      <c r="AC55" s="404">
        <f>800+2200</f>
        <v>3000</v>
      </c>
      <c r="AD55" s="400">
        <v>3000</v>
      </c>
      <c r="AE55" s="400">
        <v>3000</v>
      </c>
      <c r="AF55" s="400">
        <v>5000</v>
      </c>
      <c r="AG55" s="400">
        <f>5000+3000</f>
        <v>8000</v>
      </c>
      <c r="AH55" s="400">
        <v>8000</v>
      </c>
      <c r="AI55" s="400">
        <f>8000+2000</f>
        <v>10000</v>
      </c>
      <c r="AJ55" s="400">
        <v>10000</v>
      </c>
      <c r="AK55" s="400">
        <v>23400</v>
      </c>
      <c r="AL55" s="400">
        <v>47000</v>
      </c>
      <c r="AM55" s="400">
        <v>64500</v>
      </c>
      <c r="AN55" s="401">
        <v>81750</v>
      </c>
      <c r="AO55" s="404">
        <v>136250</v>
      </c>
      <c r="AP55" s="400">
        <v>136250</v>
      </c>
      <c r="AQ55" s="400">
        <v>185250</v>
      </c>
      <c r="AR55" s="400"/>
      <c r="AS55" s="400"/>
      <c r="AT55" s="400"/>
      <c r="AU55" s="400"/>
      <c r="AV55" s="400"/>
      <c r="AW55" s="400"/>
      <c r="AX55" s="400"/>
      <c r="AY55" s="400"/>
      <c r="AZ55" s="401"/>
      <c r="BA55" s="426">
        <f t="shared" si="25"/>
        <v>726200.2</v>
      </c>
    </row>
    <row r="56" spans="1:53" s="29" customFormat="1" ht="20.100000000000001" customHeight="1" x14ac:dyDescent="0.25">
      <c r="A56" s="33" t="str">
        <f>Vecinos!A56</f>
        <v>Familia Romero</v>
      </c>
      <c r="B56" s="34" t="str">
        <f>Vecinos!C56</f>
        <v>Calle Guacara Nro. 89-50</v>
      </c>
      <c r="C56" s="35" t="str">
        <f>IF(SUMIFS(Vigilancia!$E:$E,Vigilancia!$F:$F,A56,Vigilancia!$J:$J,"Vigilancia")=BA56,"ü","û")</f>
        <v>ü</v>
      </c>
      <c r="D56" s="187"/>
      <c r="E56" s="188"/>
      <c r="F56" s="189"/>
      <c r="G56" s="189"/>
      <c r="H56" s="189"/>
      <c r="I56" s="189"/>
      <c r="J56" s="189"/>
      <c r="K56" s="189"/>
      <c r="L56" s="189"/>
      <c r="M56" s="189"/>
      <c r="N56" s="189"/>
      <c r="O56" s="189"/>
      <c r="P56" s="187">
        <f>50000/100000</f>
        <v>0.5</v>
      </c>
      <c r="Q56" s="190">
        <f>50000/100000</f>
        <v>0.5</v>
      </c>
      <c r="R56" s="191">
        <f>50000/100000</f>
        <v>0.5</v>
      </c>
      <c r="S56" s="191">
        <f>50000/100000</f>
        <v>0.5</v>
      </c>
      <c r="T56" s="191">
        <f>50000/100000</f>
        <v>0.5</v>
      </c>
      <c r="U56" s="191">
        <f>400000/100000</f>
        <v>4</v>
      </c>
      <c r="V56" s="191">
        <f>400000/100000</f>
        <v>4</v>
      </c>
      <c r="W56" s="191">
        <f>850000/100000+150000/100000</f>
        <v>10</v>
      </c>
      <c r="X56" s="191">
        <f>1000000/100000</f>
        <v>10</v>
      </c>
      <c r="Y56" s="191">
        <v>160</v>
      </c>
      <c r="Z56" s="191">
        <v>160</v>
      </c>
      <c r="AA56" s="377"/>
      <c r="AB56" s="187">
        <v>800</v>
      </c>
      <c r="AC56" s="396">
        <v>3000</v>
      </c>
      <c r="AD56" s="397">
        <v>3000</v>
      </c>
      <c r="AE56" s="397">
        <v>3000</v>
      </c>
      <c r="AF56" s="397">
        <f>3000+2000</f>
        <v>5000</v>
      </c>
      <c r="AG56" s="397">
        <v>8000</v>
      </c>
      <c r="AH56" s="397">
        <v>8000</v>
      </c>
      <c r="AI56" s="397">
        <v>10000</v>
      </c>
      <c r="AJ56" s="397">
        <v>10000</v>
      </c>
      <c r="AK56" s="397">
        <v>20500</v>
      </c>
      <c r="AL56" s="397">
        <f>4500+42500</f>
        <v>47000</v>
      </c>
      <c r="AM56" s="397">
        <v>56250</v>
      </c>
      <c r="AN56" s="398">
        <v>81750</v>
      </c>
      <c r="AO56" s="396">
        <v>136250</v>
      </c>
      <c r="AP56" s="397"/>
      <c r="AQ56" s="397"/>
      <c r="AR56" s="397"/>
      <c r="AS56" s="397"/>
      <c r="AT56" s="397"/>
      <c r="AU56" s="397"/>
      <c r="AV56" s="397"/>
      <c r="AW56" s="397"/>
      <c r="AX56" s="397"/>
      <c r="AY56" s="397"/>
      <c r="AZ56" s="398"/>
      <c r="BA56" s="425">
        <f t="shared" si="25"/>
        <v>392900.5</v>
      </c>
    </row>
    <row r="57" spans="1:53" s="29" customFormat="1" ht="20.100000000000001" customHeight="1" x14ac:dyDescent="0.25">
      <c r="A57" s="30" t="str">
        <f>Vecinos!A57</f>
        <v>Familia Durvelle Serrano</v>
      </c>
      <c r="B57" s="31" t="str">
        <f>Vecinos!C57</f>
        <v>Calle Guacara Nro. 89-60</v>
      </c>
      <c r="C57" s="36" t="str">
        <f>IF(SUMIFS(Vigilancia!$E:$E,Vigilancia!$F:$F,A57,Vigilancia!$J:$J,"Vigilancia")=BA57,"ü","û")</f>
        <v>ü</v>
      </c>
      <c r="D57" s="180"/>
      <c r="E57" s="196">
        <f>10000/100000</f>
        <v>0.1</v>
      </c>
      <c r="F57" s="182">
        <f t="shared" ref="F57:H59" si="40">17000/100000</f>
        <v>0.17</v>
      </c>
      <c r="G57" s="182">
        <f t="shared" si="40"/>
        <v>0.17</v>
      </c>
      <c r="H57" s="182">
        <f t="shared" si="40"/>
        <v>0.17</v>
      </c>
      <c r="I57" s="182">
        <f>26000/100000</f>
        <v>0.26</v>
      </c>
      <c r="J57" s="182">
        <f>27000/100000</f>
        <v>0.27</v>
      </c>
      <c r="K57" s="182">
        <f>27000/100000+9000/100000</f>
        <v>0.36</v>
      </c>
      <c r="L57" s="182">
        <f>35000/100000</f>
        <v>0.35</v>
      </c>
      <c r="M57" s="182">
        <f>35000/100000</f>
        <v>0.35</v>
      </c>
      <c r="N57" s="182">
        <f>35000/100000</f>
        <v>0.35</v>
      </c>
      <c r="O57" s="182">
        <f>35000/100000+15000/100000</f>
        <v>0.5</v>
      </c>
      <c r="P57" s="180">
        <f>50000/100000</f>
        <v>0.5</v>
      </c>
      <c r="Q57" s="184">
        <f>50000/100000+50000/100000</f>
        <v>1</v>
      </c>
      <c r="R57" s="185">
        <f>100000/100000</f>
        <v>1</v>
      </c>
      <c r="S57" s="185">
        <f>200000/100000</f>
        <v>2</v>
      </c>
      <c r="T57" s="185">
        <f>250000/100000</f>
        <v>2.5</v>
      </c>
      <c r="U57" s="185">
        <f>300000/100000+100000/100000</f>
        <v>4</v>
      </c>
      <c r="V57" s="185">
        <f>400000/100000+225000/100000</f>
        <v>6.25</v>
      </c>
      <c r="W57" s="185">
        <f>200000/100000+800000/100000</f>
        <v>10</v>
      </c>
      <c r="X57" s="192">
        <f>215000/100000+1500000/100000-515000/100000</f>
        <v>11.999999999999998</v>
      </c>
      <c r="Y57" s="192">
        <f>515000/100000+400</f>
        <v>405.15</v>
      </c>
      <c r="Z57" s="185">
        <v>500</v>
      </c>
      <c r="AA57" s="185">
        <v>500</v>
      </c>
      <c r="AB57" s="180">
        <v>1000</v>
      </c>
      <c r="AC57" s="404">
        <f>1000+3000</f>
        <v>4000</v>
      </c>
      <c r="AD57" s="400">
        <v>4000</v>
      </c>
      <c r="AE57" s="400">
        <v>6000</v>
      </c>
      <c r="AF57" s="400">
        <v>5000</v>
      </c>
      <c r="AG57" s="400">
        <f>5000+3000</f>
        <v>8000</v>
      </c>
      <c r="AH57" s="400">
        <v>8000</v>
      </c>
      <c r="AI57" s="400">
        <v>15000</v>
      </c>
      <c r="AJ57" s="400">
        <v>10000</v>
      </c>
      <c r="AK57" s="400">
        <v>24000</v>
      </c>
      <c r="AL57" s="405">
        <f>25000+22000</f>
        <v>47000</v>
      </c>
      <c r="AM57" s="400">
        <f>47000+10000</f>
        <v>57000</v>
      </c>
      <c r="AN57" s="613">
        <f>100000-1250</f>
        <v>98750</v>
      </c>
      <c r="AO57" s="661">
        <f>135000+1250</f>
        <v>136250</v>
      </c>
      <c r="AP57" s="400">
        <v>140000</v>
      </c>
      <c r="AQ57" s="400"/>
      <c r="AR57" s="400"/>
      <c r="AS57" s="400"/>
      <c r="AT57" s="400"/>
      <c r="AU57" s="400"/>
      <c r="AV57" s="400"/>
      <c r="AW57" s="400"/>
      <c r="AX57" s="400"/>
      <c r="AY57" s="400"/>
      <c r="AZ57" s="401"/>
      <c r="BA57" s="426">
        <f t="shared" si="25"/>
        <v>565447.44999999995</v>
      </c>
    </row>
    <row r="58" spans="1:53" s="29" customFormat="1" ht="20.100000000000001" customHeight="1" x14ac:dyDescent="0.25">
      <c r="A58" s="30" t="str">
        <f>Vecinos!A58</f>
        <v>Yuraima Rodríguez</v>
      </c>
      <c r="B58" s="31" t="str">
        <f>Vecinos!C58</f>
        <v>Calle Guacara Nro. 89-70</v>
      </c>
      <c r="C58" s="36" t="str">
        <f>IF(SUMIFS(Vigilancia!$E:$E,Vigilancia!$F:$F,A58,Vigilancia!$J:$J,"Vigilancia")=BA58,"ü","û")</f>
        <v>ü</v>
      </c>
      <c r="D58" s="180"/>
      <c r="E58" s="181">
        <f>17000/100000</f>
        <v>0.17</v>
      </c>
      <c r="F58" s="182">
        <f t="shared" si="40"/>
        <v>0.17</v>
      </c>
      <c r="G58" s="182">
        <f t="shared" si="40"/>
        <v>0.17</v>
      </c>
      <c r="H58" s="182">
        <f t="shared" si="40"/>
        <v>0.17</v>
      </c>
      <c r="I58" s="182"/>
      <c r="J58" s="182"/>
      <c r="K58" s="182"/>
      <c r="L58" s="182"/>
      <c r="M58" s="182"/>
      <c r="N58" s="182"/>
      <c r="O58" s="182"/>
      <c r="P58" s="180"/>
      <c r="Q58" s="184"/>
      <c r="R58" s="185"/>
      <c r="S58" s="185"/>
      <c r="T58" s="185"/>
      <c r="U58" s="185">
        <f>400000/100000</f>
        <v>4</v>
      </c>
      <c r="V58" s="193">
        <f>400000/100000</f>
        <v>4</v>
      </c>
      <c r="W58" s="185">
        <f>1000000/100000</f>
        <v>10</v>
      </c>
      <c r="X58" s="185">
        <f>1200000/100000</f>
        <v>12</v>
      </c>
      <c r="Y58" s="185">
        <v>320</v>
      </c>
      <c r="Z58" s="185">
        <v>320</v>
      </c>
      <c r="AA58" s="185">
        <v>320</v>
      </c>
      <c r="AB58" s="180">
        <v>800</v>
      </c>
      <c r="AC58" s="399">
        <v>3000</v>
      </c>
      <c r="AD58" s="400">
        <v>3000</v>
      </c>
      <c r="AE58" s="400">
        <v>3000</v>
      </c>
      <c r="AF58" s="400">
        <v>5000</v>
      </c>
      <c r="AG58" s="400">
        <v>8000</v>
      </c>
      <c r="AH58" s="400">
        <v>8000</v>
      </c>
      <c r="AI58" s="400"/>
      <c r="AJ58" s="400"/>
      <c r="AK58" s="400"/>
      <c r="AL58" s="400"/>
      <c r="AM58" s="400"/>
      <c r="AN58" s="401"/>
      <c r="AO58" s="399"/>
      <c r="AP58" s="400"/>
      <c r="AQ58" s="400"/>
      <c r="AR58" s="400"/>
      <c r="AS58" s="400"/>
      <c r="AT58" s="400"/>
      <c r="AU58" s="400"/>
      <c r="AV58" s="400"/>
      <c r="AW58" s="400"/>
      <c r="AX58" s="400"/>
      <c r="AY58" s="400"/>
      <c r="AZ58" s="401"/>
      <c r="BA58" s="426">
        <f t="shared" si="25"/>
        <v>31790.68</v>
      </c>
    </row>
    <row r="59" spans="1:53" s="29" customFormat="1" ht="20.100000000000001" customHeight="1" x14ac:dyDescent="0.25">
      <c r="A59" s="30" t="str">
        <f>Vecinos!A59</f>
        <v>Familia Nava Gordon</v>
      </c>
      <c r="B59" s="31" t="str">
        <f>Vecinos!C59</f>
        <v>Calle Guacara Nro. 89-78</v>
      </c>
      <c r="C59" s="36" t="str">
        <f>IF(SUMIFS(Vigilancia!$E:$E,Vigilancia!$F:$F,A59,Vigilancia!$J:$J,"Vigilancia")=BA59,"ü","û")</f>
        <v>ü</v>
      </c>
      <c r="D59" s="180"/>
      <c r="E59" s="181">
        <f>17000/100000</f>
        <v>0.17</v>
      </c>
      <c r="F59" s="182">
        <f t="shared" si="40"/>
        <v>0.17</v>
      </c>
      <c r="G59" s="182">
        <f t="shared" si="40"/>
        <v>0.17</v>
      </c>
      <c r="H59" s="182">
        <f t="shared" si="40"/>
        <v>0.17</v>
      </c>
      <c r="I59" s="182">
        <f>26000/100000</f>
        <v>0.26</v>
      </c>
      <c r="J59" s="182">
        <f>26000/100000</f>
        <v>0.26</v>
      </c>
      <c r="K59" s="182">
        <f>2000/100000+33000/100000</f>
        <v>0.35000000000000003</v>
      </c>
      <c r="L59" s="182">
        <f t="shared" ref="L59:N60" si="41">35000/100000</f>
        <v>0.35</v>
      </c>
      <c r="M59" s="182">
        <f t="shared" si="41"/>
        <v>0.35</v>
      </c>
      <c r="N59" s="182">
        <f t="shared" si="41"/>
        <v>0.35</v>
      </c>
      <c r="O59" s="182">
        <f>50000/100000</f>
        <v>0.5</v>
      </c>
      <c r="P59" s="180">
        <f>50000/100000</f>
        <v>0.5</v>
      </c>
      <c r="Q59" s="184">
        <f>80000/100000</f>
        <v>0.8</v>
      </c>
      <c r="R59" s="185">
        <f>80000/100000</f>
        <v>0.8</v>
      </c>
      <c r="S59" s="185">
        <f>140000/100000</f>
        <v>1.4</v>
      </c>
      <c r="T59" s="185">
        <f>140000/100000</f>
        <v>1.4</v>
      </c>
      <c r="U59" s="185">
        <f>400000/100000</f>
        <v>4</v>
      </c>
      <c r="V59" s="185">
        <f>400/100000+399600/100000+225000/100000</f>
        <v>6.25</v>
      </c>
      <c r="W59" s="185">
        <f>850000/100000+150000/100000</f>
        <v>10</v>
      </c>
      <c r="X59" s="185">
        <f>1200000/100000</f>
        <v>12</v>
      </c>
      <c r="Y59" s="185">
        <v>320</v>
      </c>
      <c r="Z59" s="185">
        <v>320</v>
      </c>
      <c r="AA59" s="192">
        <f>40+280</f>
        <v>320</v>
      </c>
      <c r="AB59" s="180">
        <f>40+760</f>
        <v>800</v>
      </c>
      <c r="AC59" s="399">
        <v>3000</v>
      </c>
      <c r="AD59" s="405">
        <f>40+3000</f>
        <v>3040</v>
      </c>
      <c r="AE59" s="400">
        <v>3000</v>
      </c>
      <c r="AF59" s="400">
        <v>5000</v>
      </c>
      <c r="AG59" s="400">
        <v>8000</v>
      </c>
      <c r="AH59" s="400">
        <v>8000</v>
      </c>
      <c r="AI59" s="400">
        <v>10000</v>
      </c>
      <c r="AJ59" s="509">
        <v>15000</v>
      </c>
      <c r="AK59" s="400">
        <v>23400</v>
      </c>
      <c r="AL59" s="400">
        <f>20255+845+25900</f>
        <v>47000</v>
      </c>
      <c r="AM59" s="400">
        <v>56250</v>
      </c>
      <c r="AN59" s="410">
        <f>2300+79450</f>
        <v>81750</v>
      </c>
      <c r="AO59" s="399">
        <f>2300+133950</f>
        <v>136250</v>
      </c>
      <c r="AP59" s="405">
        <f>2300+133950</f>
        <v>136250</v>
      </c>
      <c r="AQ59" s="400">
        <f>2300+182950</f>
        <v>185250</v>
      </c>
      <c r="AR59" s="400">
        <f>2300</f>
        <v>2300</v>
      </c>
      <c r="AS59" s="400"/>
      <c r="AT59" s="400"/>
      <c r="AU59" s="400"/>
      <c r="AV59" s="400"/>
      <c r="AW59" s="400"/>
      <c r="AX59" s="400"/>
      <c r="AY59" s="400"/>
      <c r="AZ59" s="401"/>
      <c r="BA59" s="426">
        <f t="shared" si="25"/>
        <v>725290.25</v>
      </c>
    </row>
    <row r="60" spans="1:53" s="29" customFormat="1" ht="20.100000000000001" customHeight="1" x14ac:dyDescent="0.25">
      <c r="A60" s="30" t="str">
        <f>Vecinos!A60</f>
        <v>Familia González Arévalo</v>
      </c>
      <c r="B60" s="31" t="str">
        <f>Vecinos!C60</f>
        <v>Calle Guacara Nro. 89-86</v>
      </c>
      <c r="C60" s="36" t="str">
        <f>IF(SUMIFS(Vigilancia!$E:$E,Vigilancia!$F:$F,A60,Vigilancia!$J:$J,"Vigilancia")=BA60,"ü","û")</f>
        <v>ü</v>
      </c>
      <c r="D60" s="180"/>
      <c r="E60" s="196">
        <f>10500/100000</f>
        <v>0.105</v>
      </c>
      <c r="F60" s="182">
        <f>17000/100000</f>
        <v>0.17</v>
      </c>
      <c r="G60" s="182">
        <f>22000/100000</f>
        <v>0.22</v>
      </c>
      <c r="H60" s="182">
        <f>22000/100000</f>
        <v>0.22</v>
      </c>
      <c r="I60" s="182">
        <f>22000/100000</f>
        <v>0.22</v>
      </c>
      <c r="J60" s="182">
        <f>26000/100000</f>
        <v>0.26</v>
      </c>
      <c r="K60" s="182">
        <f>26000/100000+9000/100000</f>
        <v>0.35</v>
      </c>
      <c r="L60" s="182">
        <f t="shared" si="41"/>
        <v>0.35</v>
      </c>
      <c r="M60" s="182">
        <f t="shared" si="41"/>
        <v>0.35</v>
      </c>
      <c r="N60" s="182">
        <f t="shared" si="41"/>
        <v>0.35</v>
      </c>
      <c r="O60" s="182">
        <f>50000/100000</f>
        <v>0.5</v>
      </c>
      <c r="P60" s="180">
        <f>50000/100000</f>
        <v>0.5</v>
      </c>
      <c r="Q60" s="184">
        <f>80000/100000</f>
        <v>0.8</v>
      </c>
      <c r="R60" s="185">
        <f>80000/100000</f>
        <v>0.8</v>
      </c>
      <c r="S60" s="185">
        <f>140000/100000</f>
        <v>1.4</v>
      </c>
      <c r="T60" s="185">
        <f>140000/100000</f>
        <v>1.4</v>
      </c>
      <c r="U60" s="185">
        <f>140000/100000+260000/100000</f>
        <v>4</v>
      </c>
      <c r="V60" s="185">
        <f>400000/100000+225000/100000</f>
        <v>6.25</v>
      </c>
      <c r="W60" s="192">
        <f>850000/100000+150000/100000</f>
        <v>10</v>
      </c>
      <c r="X60" s="185">
        <v>12</v>
      </c>
      <c r="Y60" s="185">
        <v>320</v>
      </c>
      <c r="Z60" s="185">
        <v>320</v>
      </c>
      <c r="AA60" s="192">
        <v>320</v>
      </c>
      <c r="AB60" s="354">
        <f>320+450</f>
        <v>770</v>
      </c>
      <c r="AC60" s="404">
        <f>800+2200</f>
        <v>3000</v>
      </c>
      <c r="AD60" s="400">
        <f>3000</f>
        <v>3000</v>
      </c>
      <c r="AE60" s="400">
        <v>3000</v>
      </c>
      <c r="AF60" s="400">
        <f>3000+2000</f>
        <v>5000</v>
      </c>
      <c r="AG60" s="400">
        <f>5000+3000</f>
        <v>8000</v>
      </c>
      <c r="AH60" s="400">
        <v>8000</v>
      </c>
      <c r="AI60" s="405">
        <v>10000</v>
      </c>
      <c r="AJ60" s="405">
        <f>5000+5000</f>
        <v>10000</v>
      </c>
      <c r="AK60" s="400">
        <f>10000+13400</f>
        <v>23400</v>
      </c>
      <c r="AL60" s="405">
        <f>10000+11100+25900</f>
        <v>47000</v>
      </c>
      <c r="AM60" s="405">
        <v>56250</v>
      </c>
      <c r="AN60" s="410">
        <f>100000+100000</f>
        <v>200000</v>
      </c>
      <c r="AO60" s="404">
        <v>136250</v>
      </c>
      <c r="AP60" s="400">
        <v>150000</v>
      </c>
      <c r="AQ60" s="400">
        <v>150000</v>
      </c>
      <c r="AR60" s="400"/>
      <c r="AS60" s="400"/>
      <c r="AT60" s="400"/>
      <c r="AU60" s="405"/>
      <c r="AV60" s="400"/>
      <c r="AW60" s="400"/>
      <c r="AX60" s="400"/>
      <c r="AY60" s="405"/>
      <c r="AZ60" s="410"/>
      <c r="BA60" s="426">
        <f t="shared" si="25"/>
        <v>814670.245</v>
      </c>
    </row>
    <row r="61" spans="1:53" s="29" customFormat="1" ht="20.100000000000001" customHeight="1" x14ac:dyDescent="0.25">
      <c r="A61" s="33" t="str">
        <f>Vecinos!A61</f>
        <v>Héctor Hernández</v>
      </c>
      <c r="B61" s="34" t="str">
        <f>Vecinos!C61</f>
        <v>Calle Guacara Nro. 89-94</v>
      </c>
      <c r="C61" s="35" t="str">
        <f>IF(SUMIFS(Vigilancia!$E:$E,Vigilancia!$F:$F,A61,Vigilancia!$J:$J,"Vigilancia")=BA61,"ü","û")</f>
        <v>ü</v>
      </c>
      <c r="D61" s="187"/>
      <c r="E61" s="188">
        <f>6000/100000+4000/100000</f>
        <v>0.1</v>
      </c>
      <c r="F61" s="189">
        <f>10000/100000</f>
        <v>0.1</v>
      </c>
      <c r="G61" s="189">
        <f>10000/100000</f>
        <v>0.1</v>
      </c>
      <c r="H61" s="189">
        <f>10000/100000</f>
        <v>0.1</v>
      </c>
      <c r="I61" s="189"/>
      <c r="J61" s="189"/>
      <c r="K61" s="189">
        <f>15000/100000</f>
        <v>0.15</v>
      </c>
      <c r="L61" s="189">
        <f>15000/100000</f>
        <v>0.15</v>
      </c>
      <c r="M61" s="189">
        <f>20000/100000</f>
        <v>0.2</v>
      </c>
      <c r="N61" s="189">
        <f>25000/100000</f>
        <v>0.25</v>
      </c>
      <c r="O61" s="189">
        <f>30000/100000</f>
        <v>0.3</v>
      </c>
      <c r="P61" s="187">
        <f>30000/100000</f>
        <v>0.3</v>
      </c>
      <c r="Q61" s="190">
        <f>30000/100000</f>
        <v>0.3</v>
      </c>
      <c r="R61" s="191">
        <f>30000/100000</f>
        <v>0.3</v>
      </c>
      <c r="S61" s="191">
        <f>70000/100000</f>
        <v>0.7</v>
      </c>
      <c r="T61" s="191">
        <f>80000/100000</f>
        <v>0.8</v>
      </c>
      <c r="U61" s="191">
        <f>200000/100000</f>
        <v>2</v>
      </c>
      <c r="V61" s="191">
        <f>400000/100000+225000/100000</f>
        <v>6.25</v>
      </c>
      <c r="W61" s="192">
        <f>1000000/100000</f>
        <v>10</v>
      </c>
      <c r="X61" s="192">
        <f>1200000/100000</f>
        <v>12</v>
      </c>
      <c r="Y61" s="192">
        <v>320</v>
      </c>
      <c r="Z61" s="192">
        <v>320</v>
      </c>
      <c r="AA61" s="192">
        <v>320</v>
      </c>
      <c r="AB61" s="366">
        <v>800</v>
      </c>
      <c r="AC61" s="404">
        <f>800+2200</f>
        <v>3000</v>
      </c>
      <c r="AD61" s="405">
        <v>3000</v>
      </c>
      <c r="AE61" s="400">
        <v>3000</v>
      </c>
      <c r="AF61" s="400">
        <f>3000+2000</f>
        <v>5000</v>
      </c>
      <c r="AG61" s="400">
        <f>5000+3000</f>
        <v>8000</v>
      </c>
      <c r="AH61" s="405">
        <v>8000</v>
      </c>
      <c r="AI61" s="400">
        <v>10000</v>
      </c>
      <c r="AJ61" s="405">
        <v>10000</v>
      </c>
      <c r="AK61" s="400">
        <f>10000+10500</f>
        <v>20500</v>
      </c>
      <c r="AL61" s="405">
        <f>21100+30150</f>
        <v>51250</v>
      </c>
      <c r="AM61" s="405">
        <v>51250</v>
      </c>
      <c r="AN61" s="410">
        <v>81750</v>
      </c>
      <c r="AO61" s="404">
        <v>136250</v>
      </c>
      <c r="AP61" s="405">
        <v>136250</v>
      </c>
      <c r="AQ61" s="400">
        <v>185250</v>
      </c>
      <c r="AR61" s="400"/>
      <c r="AS61" s="400"/>
      <c r="AT61" s="405"/>
      <c r="AU61" s="400"/>
      <c r="AV61" s="400"/>
      <c r="AW61" s="400"/>
      <c r="AX61" s="400"/>
      <c r="AY61" s="405"/>
      <c r="AZ61" s="410"/>
      <c r="BA61" s="428">
        <f t="shared" si="25"/>
        <v>714294.1</v>
      </c>
    </row>
    <row r="62" spans="1:53" s="29" customFormat="1" ht="20.100000000000001" customHeight="1" x14ac:dyDescent="0.25">
      <c r="A62" s="30" t="str">
        <f>Vecinos!A62</f>
        <v>Familia Soto Urdaneta</v>
      </c>
      <c r="B62" s="31" t="str">
        <f>Vecinos!C62</f>
        <v>Calle Guacara Nro. 89-102</v>
      </c>
      <c r="C62" s="36" t="str">
        <f>IF(SUMIFS(Vigilancia!$E:$E,Vigilancia!$F:$F,A62,Vigilancia!$J:$J,"Vigilancia")=BA62,"ü","û")</f>
        <v>ü</v>
      </c>
      <c r="D62" s="180"/>
      <c r="E62" s="181"/>
      <c r="F62" s="182"/>
      <c r="G62" s="182"/>
      <c r="H62" s="182"/>
      <c r="I62" s="182"/>
      <c r="J62" s="182"/>
      <c r="K62" s="182"/>
      <c r="L62" s="182"/>
      <c r="M62" s="182"/>
      <c r="N62" s="182"/>
      <c r="O62" s="182"/>
      <c r="P62" s="180"/>
      <c r="Q62" s="184"/>
      <c r="R62" s="185"/>
      <c r="S62" s="185"/>
      <c r="T62" s="185"/>
      <c r="U62" s="185"/>
      <c r="V62" s="185"/>
      <c r="W62" s="185"/>
      <c r="X62" s="185"/>
      <c r="Y62" s="185"/>
      <c r="Z62" s="185"/>
      <c r="AA62" s="185"/>
      <c r="AB62" s="180"/>
      <c r="AC62" s="399">
        <v>3000</v>
      </c>
      <c r="AD62" s="400">
        <v>3000</v>
      </c>
      <c r="AE62" s="400">
        <v>4000</v>
      </c>
      <c r="AF62" s="400">
        <v>5000</v>
      </c>
      <c r="AG62" s="400">
        <v>8000</v>
      </c>
      <c r="AH62" s="400">
        <v>8000</v>
      </c>
      <c r="AI62" s="400">
        <v>10000</v>
      </c>
      <c r="AJ62" s="400">
        <v>10000</v>
      </c>
      <c r="AK62" s="400">
        <v>23400</v>
      </c>
      <c r="AL62" s="400">
        <f>21100+25900</f>
        <v>47000</v>
      </c>
      <c r="AM62" s="400">
        <v>56250</v>
      </c>
      <c r="AN62" s="401">
        <v>81750</v>
      </c>
      <c r="AO62" s="399">
        <f>105250+31000</f>
        <v>136250</v>
      </c>
      <c r="AP62" s="400">
        <v>136250</v>
      </c>
      <c r="AQ62" s="400">
        <v>185250</v>
      </c>
      <c r="AR62" s="400"/>
      <c r="AS62" s="400"/>
      <c r="AT62" s="400"/>
      <c r="AU62" s="400"/>
      <c r="AV62" s="400"/>
      <c r="AW62" s="400"/>
      <c r="AX62" s="400"/>
      <c r="AY62" s="400"/>
      <c r="AZ62" s="401"/>
      <c r="BA62" s="426">
        <f t="shared" si="25"/>
        <v>717150</v>
      </c>
    </row>
    <row r="63" spans="1:53" s="29" customFormat="1" ht="20.100000000000001" customHeight="1" x14ac:dyDescent="0.25">
      <c r="A63" s="30" t="str">
        <f>Vecinos!A63</f>
        <v>Familia Aparicio. Anexo</v>
      </c>
      <c r="B63" s="31" t="str">
        <f>Vecinos!C63</f>
        <v>Calle Guacara Nro. 89-129</v>
      </c>
      <c r="C63" s="36" t="str">
        <f>IF(SUMIFS(Vigilancia!$E:$E,Vigilancia!$F:$F,A63,Vigilancia!$J:$J,"Vigilancia")=BA63,"ü","û")</f>
        <v>ü</v>
      </c>
      <c r="D63" s="180"/>
      <c r="E63" s="181"/>
      <c r="F63" s="182"/>
      <c r="G63" s="182"/>
      <c r="H63" s="182"/>
      <c r="I63" s="182"/>
      <c r="J63" s="182"/>
      <c r="K63" s="182"/>
      <c r="L63" s="182"/>
      <c r="M63" s="182"/>
      <c r="N63" s="182"/>
      <c r="O63" s="182"/>
      <c r="P63" s="180"/>
      <c r="Q63" s="184"/>
      <c r="R63" s="185"/>
      <c r="S63" s="185"/>
      <c r="T63" s="185"/>
      <c r="U63" s="185"/>
      <c r="V63" s="185"/>
      <c r="W63" s="185"/>
      <c r="X63" s="185"/>
      <c r="Y63" s="185"/>
      <c r="Z63" s="185"/>
      <c r="AA63" s="185"/>
      <c r="AB63" s="180"/>
      <c r="AC63" s="399"/>
      <c r="AD63" s="400"/>
      <c r="AE63" s="400"/>
      <c r="AF63" s="400"/>
      <c r="AG63" s="400"/>
      <c r="AH63" s="400"/>
      <c r="AI63" s="400"/>
      <c r="AJ63" s="400"/>
      <c r="AK63" s="400"/>
      <c r="AL63" s="400"/>
      <c r="AM63" s="400"/>
      <c r="AN63" s="401"/>
      <c r="AO63" s="399"/>
      <c r="AP63" s="400"/>
      <c r="AQ63" s="400"/>
      <c r="AR63" s="400"/>
      <c r="AS63" s="400"/>
      <c r="AT63" s="400"/>
      <c r="AU63" s="400"/>
      <c r="AV63" s="400"/>
      <c r="AW63" s="400"/>
      <c r="AX63" s="400"/>
      <c r="AY63" s="400"/>
      <c r="AZ63" s="401"/>
      <c r="BA63" s="426">
        <f t="shared" si="25"/>
        <v>0</v>
      </c>
    </row>
    <row r="64" spans="1:53" s="29" customFormat="1" ht="20.100000000000001" customHeight="1" x14ac:dyDescent="0.25">
      <c r="A64" s="30" t="str">
        <f>Vecinos!A64</f>
        <v>Beatriz Lara</v>
      </c>
      <c r="B64" s="31" t="str">
        <f>Vecinos!C64</f>
        <v>Calle Guacara Nro. 89-130</v>
      </c>
      <c r="C64" s="36" t="str">
        <f>IF(SUMIFS(Vigilancia!$E:$E,Vigilancia!$F:$F,A64,Vigilancia!$J:$J,"Vigilancia")=BA64,"ü","û")</f>
        <v>ü</v>
      </c>
      <c r="D64" s="180"/>
      <c r="E64" s="181">
        <f>17000/100000</f>
        <v>0.17</v>
      </c>
      <c r="F64" s="182">
        <f>17000/100000</f>
        <v>0.17</v>
      </c>
      <c r="G64" s="182">
        <f>17000/100000</f>
        <v>0.17</v>
      </c>
      <c r="H64" s="182">
        <f>17000/100000</f>
        <v>0.17</v>
      </c>
      <c r="I64" s="182">
        <f>26000/100000</f>
        <v>0.26</v>
      </c>
      <c r="J64" s="182">
        <f>26000/100000</f>
        <v>0.26</v>
      </c>
      <c r="K64" s="182">
        <f t="shared" ref="K64:N66" si="42">35000/100000</f>
        <v>0.35</v>
      </c>
      <c r="L64" s="182">
        <f t="shared" si="42"/>
        <v>0.35</v>
      </c>
      <c r="M64" s="182">
        <f t="shared" si="42"/>
        <v>0.35</v>
      </c>
      <c r="N64" s="182">
        <f t="shared" si="42"/>
        <v>0.35</v>
      </c>
      <c r="O64" s="182">
        <f t="shared" ref="O64:P66" si="43">50000/100000</f>
        <v>0.5</v>
      </c>
      <c r="P64" s="180">
        <f t="shared" si="43"/>
        <v>0.5</v>
      </c>
      <c r="Q64" s="184">
        <f t="shared" ref="Q64:R66" si="44">80000/100000</f>
        <v>0.8</v>
      </c>
      <c r="R64" s="185">
        <f t="shared" si="44"/>
        <v>0.8</v>
      </c>
      <c r="S64" s="185">
        <f>140000/100000</f>
        <v>1.4</v>
      </c>
      <c r="T64" s="185">
        <f>140000/100000</f>
        <v>1.4</v>
      </c>
      <c r="U64" s="185">
        <f>400000/100000</f>
        <v>4</v>
      </c>
      <c r="V64" s="185">
        <f>400000/100000+250000/100000</f>
        <v>6.5</v>
      </c>
      <c r="W64" s="185">
        <f>1000000/100000</f>
        <v>10</v>
      </c>
      <c r="X64" s="185">
        <f>1200000/100000</f>
        <v>12</v>
      </c>
      <c r="Y64" s="185">
        <v>320</v>
      </c>
      <c r="Z64" s="185">
        <v>320</v>
      </c>
      <c r="AA64" s="185">
        <v>320</v>
      </c>
      <c r="AB64" s="180">
        <v>800</v>
      </c>
      <c r="AC64" s="404">
        <f>800+2200</f>
        <v>3000</v>
      </c>
      <c r="AD64" s="400">
        <v>3000</v>
      </c>
      <c r="AE64" s="400">
        <v>3000</v>
      </c>
      <c r="AF64" s="400">
        <v>5000</v>
      </c>
      <c r="AG64" s="400">
        <f>5000+3000</f>
        <v>8000</v>
      </c>
      <c r="AH64" s="400">
        <v>8000</v>
      </c>
      <c r="AI64" s="400">
        <v>10000</v>
      </c>
      <c r="AJ64" s="400">
        <v>10000</v>
      </c>
      <c r="AK64" s="400">
        <v>20500</v>
      </c>
      <c r="AL64" s="400">
        <f>20300+26700</f>
        <v>47000</v>
      </c>
      <c r="AM64" s="400">
        <f>1.4*25800+1.1*25800</f>
        <v>64500</v>
      </c>
      <c r="AN64" s="401">
        <v>97500</v>
      </c>
      <c r="AO64" s="404">
        <v>136250</v>
      </c>
      <c r="AP64" s="400">
        <v>136250</v>
      </c>
      <c r="AQ64" s="400">
        <v>186000</v>
      </c>
      <c r="AR64" s="400"/>
      <c r="AS64" s="400"/>
      <c r="AT64" s="400"/>
      <c r="AU64" s="400"/>
      <c r="AV64" s="400"/>
      <c r="AW64" s="400"/>
      <c r="AX64" s="400"/>
      <c r="AY64" s="400"/>
      <c r="AZ64" s="401"/>
      <c r="BA64" s="426">
        <f t="shared" si="25"/>
        <v>739800.5</v>
      </c>
    </row>
    <row r="65" spans="1:53" s="29" customFormat="1" ht="20.100000000000001" customHeight="1" x14ac:dyDescent="0.25">
      <c r="A65" s="81" t="str">
        <f>Vecinos!A65</f>
        <v>Familia Zavarce Pérez</v>
      </c>
      <c r="B65" s="31" t="str">
        <f>Vecinos!C65</f>
        <v>Calle Guacara Nro. 90-35</v>
      </c>
      <c r="C65" s="36" t="str">
        <f>IF(SUMIFS(Vigilancia!$E:$E,Vigilancia!$F:$F,A65,Vigilancia!$J:$J,"Vigilancia")=BA65,"ü","û")</f>
        <v>ü</v>
      </c>
      <c r="D65" s="180"/>
      <c r="E65" s="181">
        <f>17000/100000</f>
        <v>0.17</v>
      </c>
      <c r="F65" s="182">
        <f>17000/100000</f>
        <v>0.17</v>
      </c>
      <c r="G65" s="182">
        <f>3000/100000+14000/100000</f>
        <v>0.17</v>
      </c>
      <c r="H65" s="182">
        <f>17000/100000</f>
        <v>0.17</v>
      </c>
      <c r="I65" s="182">
        <f>17000/100000+9000/100000</f>
        <v>0.26</v>
      </c>
      <c r="J65" s="182">
        <f>26000/100000</f>
        <v>0.26</v>
      </c>
      <c r="K65" s="182">
        <f t="shared" si="42"/>
        <v>0.35</v>
      </c>
      <c r="L65" s="182">
        <f t="shared" si="42"/>
        <v>0.35</v>
      </c>
      <c r="M65" s="182">
        <f t="shared" si="42"/>
        <v>0.35</v>
      </c>
      <c r="N65" s="182">
        <f t="shared" si="42"/>
        <v>0.35</v>
      </c>
      <c r="O65" s="182">
        <f t="shared" si="43"/>
        <v>0.5</v>
      </c>
      <c r="P65" s="180">
        <f t="shared" si="43"/>
        <v>0.5</v>
      </c>
      <c r="Q65" s="184">
        <f t="shared" si="44"/>
        <v>0.8</v>
      </c>
      <c r="R65" s="185">
        <f t="shared" si="44"/>
        <v>0.8</v>
      </c>
      <c r="S65" s="185">
        <f>140000/100000</f>
        <v>1.4</v>
      </c>
      <c r="T65" s="185">
        <f>40000/100000+100000/100000</f>
        <v>1.4</v>
      </c>
      <c r="U65" s="185">
        <f>400000/100000</f>
        <v>4</v>
      </c>
      <c r="V65" s="185">
        <f>625000/100000</f>
        <v>6.25</v>
      </c>
      <c r="W65" s="185">
        <f>1000000/100000</f>
        <v>10</v>
      </c>
      <c r="X65" s="185">
        <v>12</v>
      </c>
      <c r="Y65" s="185">
        <v>320</v>
      </c>
      <c r="Z65" s="185">
        <v>320</v>
      </c>
      <c r="AA65" s="185">
        <v>320</v>
      </c>
      <c r="AB65" s="180">
        <v>800</v>
      </c>
      <c r="AC65" s="404">
        <f>800+2200</f>
        <v>3000</v>
      </c>
      <c r="AD65" s="400">
        <v>3000</v>
      </c>
      <c r="AE65" s="400">
        <v>3000</v>
      </c>
      <c r="AF65" s="400">
        <v>5000</v>
      </c>
      <c r="AG65" s="400">
        <v>8000</v>
      </c>
      <c r="AH65" s="400">
        <v>8000</v>
      </c>
      <c r="AI65" s="400">
        <v>10000</v>
      </c>
      <c r="AJ65" s="400">
        <v>10000</v>
      </c>
      <c r="AK65" s="400">
        <v>23400</v>
      </c>
      <c r="AL65" s="400">
        <f>20000+1100</f>
        <v>21100</v>
      </c>
      <c r="AM65" s="400">
        <v>56250</v>
      </c>
      <c r="AN65" s="401">
        <f>104750+500</f>
        <v>105250</v>
      </c>
      <c r="AO65" s="404">
        <v>105250</v>
      </c>
      <c r="AP65" s="400">
        <v>136250</v>
      </c>
      <c r="AQ65" s="400">
        <v>200000</v>
      </c>
      <c r="AR65" s="400"/>
      <c r="AS65" s="400"/>
      <c r="AT65" s="400"/>
      <c r="AU65" s="400"/>
      <c r="AV65" s="400"/>
      <c r="AW65" s="400"/>
      <c r="AX65" s="400"/>
      <c r="AY65" s="400"/>
      <c r="AZ65" s="401"/>
      <c r="BA65" s="426">
        <f t="shared" si="25"/>
        <v>699300.25</v>
      </c>
    </row>
    <row r="66" spans="1:53" s="29" customFormat="1" ht="20.100000000000001" customHeight="1" x14ac:dyDescent="0.25">
      <c r="A66" s="81" t="str">
        <f>Vecinos!A66</f>
        <v>Familia Castro Jiménez</v>
      </c>
      <c r="B66" s="31" t="str">
        <f>Vecinos!C66</f>
        <v>Calle Guacara Nro. 90-51</v>
      </c>
      <c r="C66" s="36" t="str">
        <f>IF(SUMIFS(Vigilancia!$E:$E,Vigilancia!$F:$F,A66,Vigilancia!$J:$J,"Vigilancia")=BA66,"ü","û")</f>
        <v>ü</v>
      </c>
      <c r="D66" s="180"/>
      <c r="E66" s="181">
        <f>10500/100000+6500/100000</f>
        <v>0.16999999999999998</v>
      </c>
      <c r="F66" s="182">
        <f>17000/100000</f>
        <v>0.17</v>
      </c>
      <c r="G66" s="182">
        <f>17000/100000</f>
        <v>0.17</v>
      </c>
      <c r="H66" s="182">
        <f>17000/100000</f>
        <v>0.17</v>
      </c>
      <c r="I66" s="182">
        <f>26000/100000</f>
        <v>0.26</v>
      </c>
      <c r="J66" s="182">
        <f>26000/100000</f>
        <v>0.26</v>
      </c>
      <c r="K66" s="182">
        <f t="shared" si="42"/>
        <v>0.35</v>
      </c>
      <c r="L66" s="182">
        <f t="shared" si="42"/>
        <v>0.35</v>
      </c>
      <c r="M66" s="182">
        <f t="shared" si="42"/>
        <v>0.35</v>
      </c>
      <c r="N66" s="182">
        <f t="shared" si="42"/>
        <v>0.35</v>
      </c>
      <c r="O66" s="182">
        <f t="shared" si="43"/>
        <v>0.5</v>
      </c>
      <c r="P66" s="180">
        <f t="shared" si="43"/>
        <v>0.5</v>
      </c>
      <c r="Q66" s="184">
        <f t="shared" si="44"/>
        <v>0.8</v>
      </c>
      <c r="R66" s="185">
        <f t="shared" si="44"/>
        <v>0.8</v>
      </c>
      <c r="S66" s="185">
        <f>150000/100000</f>
        <v>1.5</v>
      </c>
      <c r="T66" s="185">
        <f>150000/100000</f>
        <v>1.5</v>
      </c>
      <c r="U66" s="185">
        <f>400000/100000</f>
        <v>4</v>
      </c>
      <c r="V66" s="185">
        <f>400000/100000+225000/100000</f>
        <v>6.25</v>
      </c>
      <c r="W66" s="185">
        <f>1000000/100000</f>
        <v>10</v>
      </c>
      <c r="X66" s="185">
        <v>12</v>
      </c>
      <c r="Y66" s="185">
        <v>320</v>
      </c>
      <c r="Z66" s="185">
        <v>320</v>
      </c>
      <c r="AA66" s="185">
        <v>320</v>
      </c>
      <c r="AB66" s="180">
        <v>800</v>
      </c>
      <c r="AC66" s="399">
        <f>1000+2000</f>
        <v>3000</v>
      </c>
      <c r="AD66" s="400">
        <v>3000</v>
      </c>
      <c r="AE66" s="400">
        <v>3000</v>
      </c>
      <c r="AF66" s="400">
        <v>5000</v>
      </c>
      <c r="AG66" s="400">
        <v>8000</v>
      </c>
      <c r="AH66" s="400">
        <v>8000</v>
      </c>
      <c r="AI66" s="400">
        <v>10000</v>
      </c>
      <c r="AJ66" s="400">
        <v>10000</v>
      </c>
      <c r="AK66" s="575">
        <f>10000+11000</f>
        <v>21000</v>
      </c>
      <c r="AL66" s="509">
        <f>20300+28065</f>
        <v>48365</v>
      </c>
      <c r="AM66" s="509">
        <v>75000</v>
      </c>
      <c r="AN66" s="401">
        <v>105250</v>
      </c>
      <c r="AO66" s="399">
        <v>150000</v>
      </c>
      <c r="AP66" s="400">
        <v>150000</v>
      </c>
      <c r="AQ66" s="400"/>
      <c r="AR66" s="400"/>
      <c r="AS66" s="400"/>
      <c r="AT66" s="400"/>
      <c r="AU66" s="400"/>
      <c r="AV66" s="400"/>
      <c r="AW66" s="400"/>
      <c r="AX66" s="400"/>
      <c r="AY66" s="400"/>
      <c r="AZ66" s="401"/>
      <c r="BA66" s="426">
        <f t="shared" si="25"/>
        <v>601415.44999999995</v>
      </c>
    </row>
    <row r="67" spans="1:53" s="29" customFormat="1" ht="20.100000000000001" customHeight="1" x14ac:dyDescent="0.25">
      <c r="A67" s="33" t="str">
        <f>Vecinos!A67</f>
        <v>Familia Triana González</v>
      </c>
      <c r="B67" s="34" t="str">
        <f>Vecinos!C67</f>
        <v>Calle Guacara Nro. 90-61</v>
      </c>
      <c r="C67" s="35" t="str">
        <f>IF(SUMIFS(Vigilancia!$E:$E,Vigilancia!$F:$F,A67,Vigilancia!$J:$J,"Vigilancia")=BA67,"ü","û")</f>
        <v>ü</v>
      </c>
      <c r="D67" s="187"/>
      <c r="E67" s="188">
        <f>2000/100000</f>
        <v>0.02</v>
      </c>
      <c r="F67" s="189">
        <f>2000/100000</f>
        <v>0.02</v>
      </c>
      <c r="G67" s="189">
        <f>2000/100000</f>
        <v>0.02</v>
      </c>
      <c r="H67" s="189">
        <f>2000/100000</f>
        <v>0.02</v>
      </c>
      <c r="I67" s="189">
        <f>2000/100000</f>
        <v>0.02</v>
      </c>
      <c r="J67" s="189"/>
      <c r="K67" s="189"/>
      <c r="L67" s="189"/>
      <c r="M67" s="189"/>
      <c r="N67" s="189"/>
      <c r="O67" s="189"/>
      <c r="P67" s="187"/>
      <c r="Q67" s="190"/>
      <c r="R67" s="191"/>
      <c r="S67" s="191"/>
      <c r="T67" s="191">
        <f>140000/100000</f>
        <v>1.4</v>
      </c>
      <c r="U67" s="191">
        <f>100000/100000</f>
        <v>1</v>
      </c>
      <c r="V67" s="191">
        <f>100000/100000</f>
        <v>1</v>
      </c>
      <c r="W67" s="191">
        <f>200000/100000</f>
        <v>2</v>
      </c>
      <c r="X67" s="191">
        <v>12</v>
      </c>
      <c r="Y67" s="191">
        <v>100</v>
      </c>
      <c r="Z67" s="191">
        <v>100</v>
      </c>
      <c r="AA67" s="191">
        <v>320</v>
      </c>
      <c r="AB67" s="187">
        <v>800</v>
      </c>
      <c r="AC67" s="396">
        <v>3000</v>
      </c>
      <c r="AD67" s="397">
        <v>3000</v>
      </c>
      <c r="AE67" s="397">
        <v>3000</v>
      </c>
      <c r="AF67" s="397">
        <v>5000</v>
      </c>
      <c r="AG67" s="397">
        <v>4880</v>
      </c>
      <c r="AH67" s="397">
        <v>8000</v>
      </c>
      <c r="AI67" s="397">
        <v>10000</v>
      </c>
      <c r="AJ67" s="397">
        <v>10000</v>
      </c>
      <c r="AK67" s="397">
        <v>23500</v>
      </c>
      <c r="AL67" s="397">
        <f>21100+27000</f>
        <v>48100</v>
      </c>
      <c r="AM67" s="397">
        <v>56300</v>
      </c>
      <c r="AN67" s="398">
        <v>81750</v>
      </c>
      <c r="AO67" s="396">
        <v>136250</v>
      </c>
      <c r="AP67" s="397">
        <v>136250</v>
      </c>
      <c r="AQ67" s="397">
        <v>185250</v>
      </c>
      <c r="AR67" s="397"/>
      <c r="AS67" s="397"/>
      <c r="AT67" s="397"/>
      <c r="AU67" s="397"/>
      <c r="AV67" s="397"/>
      <c r="AW67" s="397"/>
      <c r="AX67" s="397"/>
      <c r="AY67" s="397"/>
      <c r="AZ67" s="398"/>
      <c r="BA67" s="425">
        <f t="shared" si="25"/>
        <v>715617.5</v>
      </c>
    </row>
    <row r="68" spans="1:53" s="29" customFormat="1" ht="20.100000000000001" customHeight="1" x14ac:dyDescent="0.25">
      <c r="A68" s="30" t="str">
        <f>Vecinos!A68</f>
        <v>Neira Chacón</v>
      </c>
      <c r="B68" s="31" t="str">
        <f>Vecinos!C68</f>
        <v>Calle Guacara Nro. 90-71</v>
      </c>
      <c r="C68" s="36" t="str">
        <f>IF(SUMIFS(Vigilancia!$E:$E,Vigilancia!$F:$F,A68,Vigilancia!$J:$J,"Vigilancia")=BA68,"ü","û")</f>
        <v>ü</v>
      </c>
      <c r="D68" s="180"/>
      <c r="E68" s="181"/>
      <c r="F68" s="182"/>
      <c r="G68" s="182"/>
      <c r="H68" s="182"/>
      <c r="I68" s="182"/>
      <c r="J68" s="182"/>
      <c r="K68" s="182"/>
      <c r="L68" s="182"/>
      <c r="M68" s="182"/>
      <c r="N68" s="182"/>
      <c r="O68" s="182"/>
      <c r="P68" s="180"/>
      <c r="Q68" s="184"/>
      <c r="R68" s="185"/>
      <c r="S68" s="185"/>
      <c r="T68" s="185"/>
      <c r="U68" s="185"/>
      <c r="V68" s="185"/>
      <c r="W68" s="185"/>
      <c r="X68" s="185"/>
      <c r="Y68" s="185"/>
      <c r="Z68" s="185"/>
      <c r="AA68" s="185"/>
      <c r="AB68" s="180"/>
      <c r="AC68" s="399"/>
      <c r="AD68" s="400"/>
      <c r="AE68" s="400"/>
      <c r="AF68" s="400"/>
      <c r="AG68" s="400"/>
      <c r="AH68" s="400"/>
      <c r="AI68" s="400"/>
      <c r="AJ68" s="400"/>
      <c r="AK68" s="400"/>
      <c r="AL68" s="400"/>
      <c r="AM68" s="400"/>
      <c r="AN68" s="401"/>
      <c r="AO68" s="399"/>
      <c r="AP68" s="400"/>
      <c r="AQ68" s="400"/>
      <c r="AR68" s="400"/>
      <c r="AS68" s="400"/>
      <c r="AT68" s="400"/>
      <c r="AU68" s="400"/>
      <c r="AV68" s="400"/>
      <c r="AW68" s="400"/>
      <c r="AX68" s="400"/>
      <c r="AY68" s="400"/>
      <c r="AZ68" s="401"/>
      <c r="BA68" s="426">
        <f t="shared" ref="BA68:BA132" si="45">SUM(D68:AZ68)</f>
        <v>0</v>
      </c>
    </row>
    <row r="69" spans="1:53" s="29" customFormat="1" ht="20.100000000000001" customHeight="1" x14ac:dyDescent="0.25">
      <c r="A69" s="30" t="str">
        <f>Vecinos!A69</f>
        <v>Wu Hung Fung</v>
      </c>
      <c r="B69" s="31" t="str">
        <f>Vecinos!C69</f>
        <v>Calle Guacara Nro. 90-81</v>
      </c>
      <c r="C69" s="36" t="str">
        <f>IF(SUMIFS(Vigilancia!$E:$E,Vigilancia!$F:$F,A69,Vigilancia!$J:$J,"Vigilancia")=BA69,"ü","û")</f>
        <v>ü</v>
      </c>
      <c r="D69" s="180"/>
      <c r="E69" s="181">
        <f>17000/100000</f>
        <v>0.17</v>
      </c>
      <c r="F69" s="182">
        <f>17000/100000</f>
        <v>0.17</v>
      </c>
      <c r="G69" s="182">
        <f>19000/100000</f>
        <v>0.19</v>
      </c>
      <c r="H69" s="182">
        <f>17000/100000</f>
        <v>0.17</v>
      </c>
      <c r="I69" s="182">
        <f>17000/100000+9000/100000</f>
        <v>0.26</v>
      </c>
      <c r="J69" s="182">
        <f>26000/100000</f>
        <v>0.26</v>
      </c>
      <c r="K69" s="182">
        <f>26000/100000+9000/100000</f>
        <v>0.35</v>
      </c>
      <c r="L69" s="182">
        <f>35000/100000</f>
        <v>0.35</v>
      </c>
      <c r="M69" s="182">
        <f>35000/100000</f>
        <v>0.35</v>
      </c>
      <c r="N69" s="182">
        <f>35000/100000</f>
        <v>0.35</v>
      </c>
      <c r="O69" s="182">
        <f>50000/100000</f>
        <v>0.5</v>
      </c>
      <c r="P69" s="180">
        <f>50000/100000</f>
        <v>0.5</v>
      </c>
      <c r="Q69" s="184">
        <f>80000/100000</f>
        <v>0.8</v>
      </c>
      <c r="R69" s="185">
        <f>100000/100000</f>
        <v>1</v>
      </c>
      <c r="S69" s="185">
        <f>140000/100000</f>
        <v>1.4</v>
      </c>
      <c r="T69" s="185">
        <f>140000/100000</f>
        <v>1.4</v>
      </c>
      <c r="U69" s="185">
        <f>400000/100000</f>
        <v>4</v>
      </c>
      <c r="V69" s="185">
        <f>400000/100000+225000/100000</f>
        <v>6.25</v>
      </c>
      <c r="W69" s="185">
        <f>200000/100000+650000/100000+150000/100000</f>
        <v>10</v>
      </c>
      <c r="X69" s="192">
        <f>200000/100000-150000/100000+11.5</f>
        <v>12</v>
      </c>
      <c r="Y69" s="185">
        <v>320</v>
      </c>
      <c r="Z69" s="192">
        <f>500-320-11.5+152</f>
        <v>320.5</v>
      </c>
      <c r="AA69" s="192">
        <v>320</v>
      </c>
      <c r="AB69" s="180">
        <v>800</v>
      </c>
      <c r="AC69" s="404">
        <f>528+1500+972</f>
        <v>3000</v>
      </c>
      <c r="AD69" s="400">
        <v>5000</v>
      </c>
      <c r="AE69" s="400">
        <v>5000</v>
      </c>
      <c r="AF69" s="400">
        <v>5000</v>
      </c>
      <c r="AG69" s="400">
        <v>8000</v>
      </c>
      <c r="AH69" s="400">
        <f>7000+1000</f>
        <v>8000</v>
      </c>
      <c r="AI69" s="509">
        <v>15000</v>
      </c>
      <c r="AJ69" s="509">
        <v>15000</v>
      </c>
      <c r="AK69" s="400">
        <f>15000+4800</f>
        <v>19800</v>
      </c>
      <c r="AL69" s="400">
        <v>60000</v>
      </c>
      <c r="AM69" s="400">
        <v>100000</v>
      </c>
      <c r="AN69" s="401">
        <v>150000</v>
      </c>
      <c r="AO69" s="404">
        <v>150000</v>
      </c>
      <c r="AP69" s="400">
        <v>150000</v>
      </c>
      <c r="AQ69" s="400"/>
      <c r="AR69" s="400"/>
      <c r="AS69" s="400"/>
      <c r="AT69" s="400"/>
      <c r="AU69" s="400"/>
      <c r="AV69" s="400"/>
      <c r="AW69" s="400"/>
      <c r="AX69" s="400"/>
      <c r="AY69" s="400"/>
      <c r="AZ69" s="401"/>
      <c r="BA69" s="426">
        <f t="shared" si="45"/>
        <v>695600.97</v>
      </c>
    </row>
    <row r="70" spans="1:53" s="29" customFormat="1" ht="20.100000000000001" customHeight="1" x14ac:dyDescent="0.25">
      <c r="A70" s="33" t="str">
        <f>Vecinos!A70</f>
        <v>Familia Santos Carrillo</v>
      </c>
      <c r="B70" s="34" t="str">
        <f>Vecinos!C70</f>
        <v>Calle Guacara Nro. 90-93</v>
      </c>
      <c r="C70" s="35" t="str">
        <f>IF(SUMIFS(Vigilancia!$E:$E,Vigilancia!$F:$F,A70,Vigilancia!$J:$J,"Vigilancia")=BA70,"ü","û")</f>
        <v>ü</v>
      </c>
      <c r="D70" s="187">
        <f>4000/100000</f>
        <v>0.04</v>
      </c>
      <c r="E70" s="188">
        <f t="shared" ref="E70:J70" si="46">3000/100000</f>
        <v>0.03</v>
      </c>
      <c r="F70" s="189">
        <f t="shared" si="46"/>
        <v>0.03</v>
      </c>
      <c r="G70" s="189">
        <f t="shared" si="46"/>
        <v>0.03</v>
      </c>
      <c r="H70" s="189">
        <f t="shared" si="46"/>
        <v>0.03</v>
      </c>
      <c r="I70" s="189">
        <f t="shared" si="46"/>
        <v>0.03</v>
      </c>
      <c r="J70" s="189">
        <f t="shared" si="46"/>
        <v>0.03</v>
      </c>
      <c r="K70" s="189">
        <f>6000/100000</f>
        <v>0.06</v>
      </c>
      <c r="L70" s="189">
        <f>6500/100000</f>
        <v>6.5000000000000002E-2</v>
      </c>
      <c r="M70" s="189">
        <f>14900/100000</f>
        <v>0.14899999999999999</v>
      </c>
      <c r="N70" s="189">
        <f>20000/100000</f>
        <v>0.2</v>
      </c>
      <c r="O70" s="189">
        <f>18000/100000</f>
        <v>0.18</v>
      </c>
      <c r="P70" s="187">
        <f>20000/100000</f>
        <v>0.2</v>
      </c>
      <c r="Q70" s="190">
        <f>20000/100000</f>
        <v>0.2</v>
      </c>
      <c r="R70" s="191">
        <f>20000/100000</f>
        <v>0.2</v>
      </c>
      <c r="S70" s="191">
        <f>140000/100000</f>
        <v>1.4</v>
      </c>
      <c r="T70" s="191">
        <f>140000/100000</f>
        <v>1.4</v>
      </c>
      <c r="U70" s="191"/>
      <c r="V70" s="191"/>
      <c r="W70" s="191"/>
      <c r="X70" s="191"/>
      <c r="Y70" s="191"/>
      <c r="Z70" s="191"/>
      <c r="AA70" s="191"/>
      <c r="AB70" s="187"/>
      <c r="AC70" s="396"/>
      <c r="AD70" s="397"/>
      <c r="AE70" s="397"/>
      <c r="AF70" s="397"/>
      <c r="AG70" s="397"/>
      <c r="AH70" s="397"/>
      <c r="AI70" s="397"/>
      <c r="AJ70" s="397"/>
      <c r="AK70" s="397"/>
      <c r="AL70" s="397"/>
      <c r="AM70" s="397"/>
      <c r="AN70" s="398"/>
      <c r="AO70" s="396"/>
      <c r="AP70" s="397"/>
      <c r="AQ70" s="397"/>
      <c r="AR70" s="397"/>
      <c r="AS70" s="397"/>
      <c r="AT70" s="397"/>
      <c r="AU70" s="397"/>
      <c r="AV70" s="397"/>
      <c r="AW70" s="397"/>
      <c r="AX70" s="397"/>
      <c r="AY70" s="397"/>
      <c r="AZ70" s="398"/>
      <c r="BA70" s="425">
        <f t="shared" si="45"/>
        <v>4.2739999999999991</v>
      </c>
    </row>
    <row r="71" spans="1:53" s="29" customFormat="1" ht="20.100000000000001" customHeight="1" x14ac:dyDescent="0.25">
      <c r="A71" s="33" t="str">
        <f>Vecinos!A71</f>
        <v>Familia García Hurtado</v>
      </c>
      <c r="B71" s="34" t="str">
        <f>Vecinos!C71</f>
        <v>Calle Guacara Nro. 90-110</v>
      </c>
      <c r="C71" s="35" t="str">
        <f>IF(SUMIFS(Vigilancia!$E:$E,Vigilancia!$F:$F,A71,Vigilancia!$J:$J,"Vigilancia")=BA71,"ü","û")</f>
        <v>ü</v>
      </c>
      <c r="D71" s="187"/>
      <c r="E71" s="188">
        <f>10000/100000</f>
        <v>0.1</v>
      </c>
      <c r="F71" s="189">
        <f>10000/100000</f>
        <v>0.1</v>
      </c>
      <c r="G71" s="189"/>
      <c r="H71" s="189"/>
      <c r="I71" s="189"/>
      <c r="J71" s="189"/>
      <c r="K71" s="189"/>
      <c r="L71" s="189"/>
      <c r="M71" s="189"/>
      <c r="N71" s="189"/>
      <c r="O71" s="189"/>
      <c r="P71" s="187"/>
      <c r="Q71" s="190"/>
      <c r="R71" s="191"/>
      <c r="S71" s="191"/>
      <c r="T71" s="191"/>
      <c r="U71" s="191"/>
      <c r="V71" s="191"/>
      <c r="W71" s="191"/>
      <c r="X71" s="191"/>
      <c r="Y71" s="191"/>
      <c r="Z71" s="191"/>
      <c r="AA71" s="191"/>
      <c r="AB71" s="187"/>
      <c r="AC71" s="396"/>
      <c r="AD71" s="397"/>
      <c r="AE71" s="397"/>
      <c r="AF71" s="397"/>
      <c r="AG71" s="397"/>
      <c r="AH71" s="397"/>
      <c r="AI71" s="397"/>
      <c r="AJ71" s="397"/>
      <c r="AK71" s="397"/>
      <c r="AL71" s="397"/>
      <c r="AM71" s="397"/>
      <c r="AN71" s="398"/>
      <c r="AO71" s="396"/>
      <c r="AP71" s="397"/>
      <c r="AQ71" s="397"/>
      <c r="AR71" s="397"/>
      <c r="AS71" s="397"/>
      <c r="AT71" s="397"/>
      <c r="AU71" s="397"/>
      <c r="AV71" s="397"/>
      <c r="AW71" s="397"/>
      <c r="AX71" s="397"/>
      <c r="AY71" s="397"/>
      <c r="AZ71" s="398"/>
      <c r="BA71" s="425">
        <f t="shared" si="45"/>
        <v>0.2</v>
      </c>
    </row>
    <row r="72" spans="1:53" s="29" customFormat="1" ht="20.100000000000001" customHeight="1" x14ac:dyDescent="0.25">
      <c r="A72" s="30" t="str">
        <f>Vecinos!A72</f>
        <v>Familia Rodríguez Chiappeta</v>
      </c>
      <c r="B72" s="31" t="str">
        <f>Vecinos!C72</f>
        <v>Calle Guacara Nro. 90-120</v>
      </c>
      <c r="C72" s="36" t="str">
        <f>IF(SUMIFS(Vigilancia!$E:$E,Vigilancia!$F:$F,A72,Vigilancia!$J:$J,"Vigilancia")=BA72,"ü","û")</f>
        <v>ü</v>
      </c>
      <c r="D72" s="180"/>
      <c r="E72" s="181"/>
      <c r="F72" s="182"/>
      <c r="G72" s="182"/>
      <c r="H72" s="182"/>
      <c r="I72" s="182"/>
      <c r="J72" s="182"/>
      <c r="K72" s="182"/>
      <c r="L72" s="182"/>
      <c r="M72" s="182"/>
      <c r="N72" s="182"/>
      <c r="O72" s="182"/>
      <c r="P72" s="180"/>
      <c r="Q72" s="184"/>
      <c r="R72" s="185"/>
      <c r="S72" s="185"/>
      <c r="T72" s="185"/>
      <c r="U72" s="185"/>
      <c r="V72" s="185"/>
      <c r="W72" s="185"/>
      <c r="X72" s="185"/>
      <c r="Y72" s="185"/>
      <c r="Z72" s="185"/>
      <c r="AA72" s="185"/>
      <c r="AB72" s="180"/>
      <c r="AC72" s="399"/>
      <c r="AD72" s="400"/>
      <c r="AE72" s="400"/>
      <c r="AF72" s="400"/>
      <c r="AG72" s="400"/>
      <c r="AH72" s="400"/>
      <c r="AI72" s="400"/>
      <c r="AJ72" s="400"/>
      <c r="AK72" s="400"/>
      <c r="AL72" s="400"/>
      <c r="AM72" s="400"/>
      <c r="AN72" s="401"/>
      <c r="AO72" s="399"/>
      <c r="AP72" s="400"/>
      <c r="AQ72" s="400"/>
      <c r="AR72" s="400"/>
      <c r="AS72" s="400"/>
      <c r="AT72" s="400"/>
      <c r="AU72" s="400"/>
      <c r="AV72" s="400"/>
      <c r="AW72" s="400"/>
      <c r="AX72" s="400"/>
      <c r="AY72" s="400"/>
      <c r="AZ72" s="401"/>
      <c r="BA72" s="426">
        <f t="shared" si="45"/>
        <v>0</v>
      </c>
    </row>
    <row r="73" spans="1:53" s="29" customFormat="1" ht="20.100000000000001" customHeight="1" x14ac:dyDescent="0.25">
      <c r="A73" s="30" t="str">
        <f>Vecinos!A73</f>
        <v>Familia Ledezma Hernández</v>
      </c>
      <c r="B73" s="31" t="str">
        <f>Vecinos!C73</f>
        <v>Calle Guacara Nro. 145-30</v>
      </c>
      <c r="C73" s="36" t="str">
        <f>IF(SUMIFS(Vigilancia!$E:$E,Vigilancia!$F:$F,A73,Vigilancia!$J:$J,"Vigilancia")=BA73,"ü","û")</f>
        <v>ü</v>
      </c>
      <c r="D73" s="180"/>
      <c r="E73" s="181"/>
      <c r="F73" s="182"/>
      <c r="G73" s="182"/>
      <c r="H73" s="182"/>
      <c r="I73" s="182"/>
      <c r="J73" s="182"/>
      <c r="K73" s="182"/>
      <c r="L73" s="182"/>
      <c r="M73" s="182"/>
      <c r="N73" s="182"/>
      <c r="O73" s="182"/>
      <c r="P73" s="180"/>
      <c r="Q73" s="184"/>
      <c r="R73" s="185"/>
      <c r="S73" s="185"/>
      <c r="T73" s="185"/>
      <c r="U73" s="185"/>
      <c r="V73" s="185"/>
      <c r="W73" s="185"/>
      <c r="X73" s="185"/>
      <c r="Y73" s="185"/>
      <c r="Z73" s="185"/>
      <c r="AA73" s="185"/>
      <c r="AB73" s="180"/>
      <c r="AC73" s="399"/>
      <c r="AD73" s="400"/>
      <c r="AE73" s="400"/>
      <c r="AF73" s="400"/>
      <c r="AG73" s="400"/>
      <c r="AH73" s="400"/>
      <c r="AI73" s="400"/>
      <c r="AJ73" s="400"/>
      <c r="AK73" s="400"/>
      <c r="AL73" s="400"/>
      <c r="AM73" s="400"/>
      <c r="AN73" s="401"/>
      <c r="AO73" s="399"/>
      <c r="AP73" s="400"/>
      <c r="AQ73" s="400"/>
      <c r="AR73" s="400"/>
      <c r="AS73" s="400"/>
      <c r="AT73" s="400"/>
      <c r="AU73" s="400"/>
      <c r="AV73" s="400"/>
      <c r="AW73" s="400"/>
      <c r="AX73" s="400"/>
      <c r="AY73" s="400"/>
      <c r="AZ73" s="401"/>
      <c r="BA73" s="426">
        <f t="shared" si="45"/>
        <v>0</v>
      </c>
    </row>
    <row r="74" spans="1:53" s="29" customFormat="1" ht="20.100000000000001" customHeight="1" x14ac:dyDescent="0.25">
      <c r="A74" s="29" t="str">
        <f>Vecinos!A74</f>
        <v>Familia Narváez Caldera</v>
      </c>
      <c r="B74" s="31" t="str">
        <f>Vecinos!C74</f>
        <v>Calle Güigüe Nro. 87-A-11</v>
      </c>
      <c r="C74" s="36" t="str">
        <f>IF(SUMIFS(Vigilancia!$E:$E,Vigilancia!$F:$F,A74,Vigilancia!$J:$J,"Vigilancia")=BA74,"ü","û")</f>
        <v>ü</v>
      </c>
      <c r="D74" s="180"/>
      <c r="E74" s="181">
        <f>10000/100000+7000/100000</f>
        <v>0.17</v>
      </c>
      <c r="F74" s="182">
        <f>17000/100000</f>
        <v>0.17</v>
      </c>
      <c r="G74" s="182">
        <f>17000/100000</f>
        <v>0.17</v>
      </c>
      <c r="H74" s="182">
        <f>17000/100000</f>
        <v>0.17</v>
      </c>
      <c r="I74" s="182">
        <f>26000/100000</f>
        <v>0.26</v>
      </c>
      <c r="J74" s="182">
        <f>26000/100000</f>
        <v>0.26</v>
      </c>
      <c r="K74" s="182">
        <f>26000/100000+9000/100000</f>
        <v>0.35</v>
      </c>
      <c r="L74" s="182">
        <f>35000/100000</f>
        <v>0.35</v>
      </c>
      <c r="M74" s="182">
        <f>35000/100000</f>
        <v>0.35</v>
      </c>
      <c r="N74" s="182">
        <f>35000/100000</f>
        <v>0.35</v>
      </c>
      <c r="O74" s="182">
        <f>35000/100000+15000/100000</f>
        <v>0.5</v>
      </c>
      <c r="P74" s="180">
        <f>50000/100000</f>
        <v>0.5</v>
      </c>
      <c r="Q74" s="184">
        <f>80000/100000</f>
        <v>0.8</v>
      </c>
      <c r="R74" s="185">
        <f>80000/100000</f>
        <v>0.8</v>
      </c>
      <c r="S74" s="185">
        <f>140000/100000</f>
        <v>1.4</v>
      </c>
      <c r="T74" s="185">
        <f>140000/100000</f>
        <v>1.4</v>
      </c>
      <c r="U74" s="185">
        <f>400000/100000</f>
        <v>4</v>
      </c>
      <c r="V74" s="185">
        <f>225000/100000+400000/100000</f>
        <v>6.25</v>
      </c>
      <c r="W74" s="185">
        <f>850000/100000+150000/100000</f>
        <v>10</v>
      </c>
      <c r="X74" s="185">
        <f>1200000/100000</f>
        <v>12</v>
      </c>
      <c r="Y74" s="185">
        <v>320</v>
      </c>
      <c r="Z74" s="185">
        <v>320</v>
      </c>
      <c r="AA74" s="185">
        <v>320</v>
      </c>
      <c r="AB74" s="180">
        <v>800</v>
      </c>
      <c r="AC74" s="399">
        <v>3000</v>
      </c>
      <c r="AD74" s="400">
        <v>3000</v>
      </c>
      <c r="AE74" s="400">
        <v>3000</v>
      </c>
      <c r="AF74" s="400">
        <v>5000</v>
      </c>
      <c r="AG74" s="400">
        <v>8000</v>
      </c>
      <c r="AH74" s="400">
        <v>8000</v>
      </c>
      <c r="AI74" s="400">
        <v>10000</v>
      </c>
      <c r="AJ74" s="400">
        <v>10000</v>
      </c>
      <c r="AK74" s="400">
        <f>10000+13400</f>
        <v>23400</v>
      </c>
      <c r="AL74" s="400">
        <v>51250</v>
      </c>
      <c r="AM74" s="400">
        <v>56250</v>
      </c>
      <c r="AN74" s="401">
        <v>136250</v>
      </c>
      <c r="AO74" s="399">
        <v>136250</v>
      </c>
      <c r="AP74" s="400">
        <v>136250</v>
      </c>
      <c r="AQ74" s="400"/>
      <c r="AR74" s="400"/>
      <c r="AS74" s="400"/>
      <c r="AT74" s="400"/>
      <c r="AU74" s="400"/>
      <c r="AV74" s="400"/>
      <c r="AW74" s="400"/>
      <c r="AX74" s="400"/>
      <c r="AY74" s="400"/>
      <c r="AZ74" s="401"/>
      <c r="BA74" s="426">
        <f t="shared" si="45"/>
        <v>591450.25</v>
      </c>
    </row>
    <row r="75" spans="1:53" s="29" customFormat="1" ht="20.100000000000001" customHeight="1" x14ac:dyDescent="0.25">
      <c r="A75" s="68" t="str">
        <f>Vecinos!A75</f>
        <v>Claudia González</v>
      </c>
      <c r="B75" s="69" t="str">
        <f>Vecinos!C75</f>
        <v>Calle Güigüe Nro. 88-06</v>
      </c>
      <c r="C75" s="35" t="str">
        <f>IF(SUMIFS(Vigilancia!$E:$E,Vigilancia!$F:$F,A75,Vigilancia!$J:$J,"Vigilancia")=BA75,"ü","û")</f>
        <v>ü</v>
      </c>
      <c r="D75" s="187"/>
      <c r="E75" s="188"/>
      <c r="F75" s="189"/>
      <c r="G75" s="189"/>
      <c r="H75" s="189"/>
      <c r="I75" s="189"/>
      <c r="J75" s="189"/>
      <c r="K75" s="189"/>
      <c r="L75" s="189"/>
      <c r="M75" s="189"/>
      <c r="N75" s="189"/>
      <c r="O75" s="222" t="s">
        <v>1177</v>
      </c>
      <c r="P75" s="223"/>
      <c r="Q75" s="224"/>
      <c r="R75" s="225"/>
      <c r="S75" s="225"/>
      <c r="T75" s="225"/>
      <c r="U75" s="225"/>
      <c r="V75" s="225"/>
      <c r="W75" s="225"/>
      <c r="X75" s="225"/>
      <c r="Y75" s="225"/>
      <c r="Z75" s="225"/>
      <c r="AA75" s="225"/>
      <c r="AB75" s="223"/>
      <c r="AC75" s="415"/>
      <c r="AD75" s="416"/>
      <c r="AE75" s="416"/>
      <c r="AF75" s="416"/>
      <c r="AG75" s="416"/>
      <c r="AH75" s="416"/>
      <c r="AI75" s="416"/>
      <c r="AJ75" s="416"/>
      <c r="AK75" s="416"/>
      <c r="AL75" s="416"/>
      <c r="AM75" s="416"/>
      <c r="AN75" s="417"/>
      <c r="AO75" s="415"/>
      <c r="AP75" s="416"/>
      <c r="AQ75" s="416"/>
      <c r="AR75" s="416"/>
      <c r="AS75" s="416"/>
      <c r="AT75" s="416"/>
      <c r="AU75" s="416"/>
      <c r="AV75" s="416"/>
      <c r="AW75" s="416"/>
      <c r="AX75" s="416"/>
      <c r="AY75" s="416"/>
      <c r="AZ75" s="417"/>
      <c r="BA75" s="430">
        <f t="shared" si="45"/>
        <v>0</v>
      </c>
    </row>
    <row r="76" spans="1:53" s="29" customFormat="1" ht="20.100000000000001" customHeight="1" x14ac:dyDescent="0.25">
      <c r="A76" s="30" t="str">
        <f>Vecinos!A76</f>
        <v>Familia Ozar Rivero</v>
      </c>
      <c r="B76" s="31" t="str">
        <f>Vecinos!C76</f>
        <v>Calle Güigüe Nro. 88-06</v>
      </c>
      <c r="C76" s="36" t="str">
        <f>IF(SUMIFS(Vigilancia!$E:$E,Vigilancia!$F:$F,A76,Vigilancia!$J:$J,"Vigilancia")=BA76,"ü","û")</f>
        <v>ü</v>
      </c>
      <c r="D76" s="208"/>
      <c r="E76" s="209"/>
      <c r="F76" s="210"/>
      <c r="G76" s="210"/>
      <c r="H76" s="210"/>
      <c r="I76" s="210"/>
      <c r="J76" s="210"/>
      <c r="K76" s="210"/>
      <c r="L76" s="210"/>
      <c r="M76" s="210"/>
      <c r="N76" s="210">
        <f>35000/100000</f>
        <v>0.35</v>
      </c>
      <c r="O76" s="182">
        <f>50000/100000</f>
        <v>0.5</v>
      </c>
      <c r="P76" s="180">
        <f>50000/100000</f>
        <v>0.5</v>
      </c>
      <c r="Q76" s="184">
        <f>80000/100000</f>
        <v>0.8</v>
      </c>
      <c r="R76" s="193">
        <f>65000/100000</f>
        <v>0.65</v>
      </c>
      <c r="S76" s="185">
        <f t="shared" ref="S76:T78" si="47">140000/100000</f>
        <v>1.4</v>
      </c>
      <c r="T76" s="185">
        <f t="shared" si="47"/>
        <v>1.4</v>
      </c>
      <c r="U76" s="185">
        <f>400000/100000</f>
        <v>4</v>
      </c>
      <c r="V76" s="185">
        <f>400000/100000+225000/100000</f>
        <v>6.25</v>
      </c>
      <c r="W76" s="185">
        <f>200000/100000+650000/100000+150000/100000</f>
        <v>10</v>
      </c>
      <c r="X76" s="185">
        <f>1200000/100000</f>
        <v>12</v>
      </c>
      <c r="Y76" s="185">
        <v>320</v>
      </c>
      <c r="Z76" s="185">
        <v>320</v>
      </c>
      <c r="AA76" s="185">
        <v>320</v>
      </c>
      <c r="AB76" s="180">
        <v>800</v>
      </c>
      <c r="AC76" s="399">
        <f>800+760+1440</f>
        <v>3000</v>
      </c>
      <c r="AD76" s="400">
        <v>3000</v>
      </c>
      <c r="AE76" s="400">
        <f>1560+1440</f>
        <v>3000</v>
      </c>
      <c r="AF76" s="400">
        <v>5000</v>
      </c>
      <c r="AG76" s="400">
        <v>8000</v>
      </c>
      <c r="AH76" s="400">
        <v>8000</v>
      </c>
      <c r="AI76" s="405">
        <f>8000+2000</f>
        <v>10000</v>
      </c>
      <c r="AJ76" s="400">
        <v>10000</v>
      </c>
      <c r="AK76" s="400">
        <v>22000</v>
      </c>
      <c r="AL76" s="400">
        <f>22000+29250</f>
        <v>51250</v>
      </c>
      <c r="AM76" s="400">
        <v>73500</v>
      </c>
      <c r="AN76" s="401">
        <v>136250</v>
      </c>
      <c r="AO76" s="399">
        <v>136250</v>
      </c>
      <c r="AP76" s="400">
        <v>136250</v>
      </c>
      <c r="AQ76" s="400"/>
      <c r="AR76" s="400"/>
      <c r="AS76" s="400"/>
      <c r="AT76" s="400"/>
      <c r="AU76" s="405"/>
      <c r="AV76" s="400"/>
      <c r="AW76" s="400"/>
      <c r="AX76" s="400"/>
      <c r="AY76" s="400"/>
      <c r="AZ76" s="401"/>
      <c r="BA76" s="426">
        <f t="shared" si="45"/>
        <v>607297.85</v>
      </c>
    </row>
    <row r="77" spans="1:53" s="29" customFormat="1" ht="20.100000000000001" customHeight="1" x14ac:dyDescent="0.25">
      <c r="A77" s="30" t="str">
        <f>Vecinos!A77</f>
        <v>Familia Delgado Hidalgo</v>
      </c>
      <c r="B77" s="31" t="str">
        <f>Vecinos!C77</f>
        <v>Calle Güigüe Nro. 88-10</v>
      </c>
      <c r="C77" s="36" t="str">
        <f>IF(SUMIFS(Vigilancia!$E:$E,Vigilancia!$F:$F,A77,Vigilancia!$J:$J,"Vigilancia")=BA77,"ü","û")</f>
        <v>ü</v>
      </c>
      <c r="D77" s="180"/>
      <c r="E77" s="181">
        <f>17000/100000</f>
        <v>0.17</v>
      </c>
      <c r="F77" s="182">
        <f>17000/100000</f>
        <v>0.17</v>
      </c>
      <c r="G77" s="182">
        <f>17000/100000</f>
        <v>0.17</v>
      </c>
      <c r="H77" s="182">
        <f>17000/100000</f>
        <v>0.17</v>
      </c>
      <c r="I77" s="182">
        <f>26000/100000</f>
        <v>0.26</v>
      </c>
      <c r="J77" s="182">
        <f>26000/100000</f>
        <v>0.26</v>
      </c>
      <c r="K77" s="182">
        <f>35000/100000</f>
        <v>0.35</v>
      </c>
      <c r="L77" s="182">
        <f>35000/100000</f>
        <v>0.35</v>
      </c>
      <c r="M77" s="182">
        <f>35000/100000</f>
        <v>0.35</v>
      </c>
      <c r="N77" s="182">
        <f>35000/100000</f>
        <v>0.35</v>
      </c>
      <c r="O77" s="182">
        <f>50000/100000</f>
        <v>0.5</v>
      </c>
      <c r="P77" s="180">
        <f>50000/100000</f>
        <v>0.5</v>
      </c>
      <c r="Q77" s="184">
        <f>80000/100000</f>
        <v>0.8</v>
      </c>
      <c r="R77" s="185">
        <f>80000/100000</f>
        <v>0.8</v>
      </c>
      <c r="S77" s="185">
        <f t="shared" si="47"/>
        <v>1.4</v>
      </c>
      <c r="T77" s="185">
        <f t="shared" si="47"/>
        <v>1.4</v>
      </c>
      <c r="U77" s="185">
        <f>400000/100000</f>
        <v>4</v>
      </c>
      <c r="V77" s="185">
        <f>400000/100000+225000/100000</f>
        <v>6.25</v>
      </c>
      <c r="W77" s="185">
        <f>850000/100000+150000/100000</f>
        <v>10</v>
      </c>
      <c r="X77" s="185">
        <f>1200000/100000</f>
        <v>12</v>
      </c>
      <c r="Y77" s="185">
        <v>320</v>
      </c>
      <c r="Z77" s="185">
        <v>320</v>
      </c>
      <c r="AA77" s="185">
        <v>320</v>
      </c>
      <c r="AB77" s="180">
        <v>800</v>
      </c>
      <c r="AC77" s="399">
        <f>800+2200</f>
        <v>3000</v>
      </c>
      <c r="AD77" s="400">
        <v>3000</v>
      </c>
      <c r="AE77" s="400">
        <v>3000</v>
      </c>
      <c r="AF77" s="400">
        <v>5000</v>
      </c>
      <c r="AG77" s="400">
        <f>5000+3000</f>
        <v>8000</v>
      </c>
      <c r="AH77" s="400">
        <v>8000</v>
      </c>
      <c r="AI77" s="405">
        <f>8000+2000</f>
        <v>10000</v>
      </c>
      <c r="AJ77" s="400">
        <v>10000</v>
      </c>
      <c r="AK77" s="400">
        <v>20500</v>
      </c>
      <c r="AL77" s="400">
        <f>19800+36460</f>
        <v>56260</v>
      </c>
      <c r="AM77" s="400">
        <v>56250</v>
      </c>
      <c r="AN77" s="401">
        <v>81750</v>
      </c>
      <c r="AO77" s="399">
        <v>136250</v>
      </c>
      <c r="AP77" s="400">
        <f>131000+5250</f>
        <v>136250</v>
      </c>
      <c r="AQ77" s="400"/>
      <c r="AR77" s="400"/>
      <c r="AS77" s="400"/>
      <c r="AT77" s="400"/>
      <c r="AU77" s="405"/>
      <c r="AV77" s="400"/>
      <c r="AW77" s="400"/>
      <c r="AX77" s="400"/>
      <c r="AY77" s="400"/>
      <c r="AZ77" s="401"/>
      <c r="BA77" s="426">
        <f t="shared" si="45"/>
        <v>539060.25</v>
      </c>
    </row>
    <row r="78" spans="1:53" s="29" customFormat="1" ht="20.100000000000001" customHeight="1" x14ac:dyDescent="0.25">
      <c r="A78" s="30" t="str">
        <f>Vecinos!A78</f>
        <v>Familia Costermani Terrer</v>
      </c>
      <c r="B78" s="31" t="str">
        <f>Vecinos!C78</f>
        <v>Calle Güigüe Nro. 88-11</v>
      </c>
      <c r="C78" s="36" t="str">
        <f>IF(SUMIFS(Vigilancia!$E:$E,Vigilancia!$F:$F,A78,Vigilancia!$J:$J,"Vigilancia")=BA78,"ü","û")</f>
        <v>ü</v>
      </c>
      <c r="D78" s="180"/>
      <c r="E78" s="181"/>
      <c r="F78" s="182"/>
      <c r="G78" s="182"/>
      <c r="H78" s="182"/>
      <c r="I78" s="182"/>
      <c r="J78" s="182"/>
      <c r="K78" s="182"/>
      <c r="L78" s="182"/>
      <c r="M78" s="182"/>
      <c r="N78" s="182"/>
      <c r="O78" s="182"/>
      <c r="P78" s="180"/>
      <c r="Q78" s="184"/>
      <c r="R78" s="185">
        <f>80000/100000</f>
        <v>0.8</v>
      </c>
      <c r="S78" s="185">
        <f t="shared" si="47"/>
        <v>1.4</v>
      </c>
      <c r="T78" s="185">
        <f t="shared" si="47"/>
        <v>1.4</v>
      </c>
      <c r="U78" s="185">
        <f>400000/100000</f>
        <v>4</v>
      </c>
      <c r="V78" s="185">
        <f>400000/100000+250000/100000</f>
        <v>6.5</v>
      </c>
      <c r="W78" s="185">
        <f>1000000/100000</f>
        <v>10</v>
      </c>
      <c r="X78" s="185">
        <f>1200000/100000</f>
        <v>12</v>
      </c>
      <c r="Y78" s="185">
        <v>320</v>
      </c>
      <c r="Z78" s="185">
        <v>320</v>
      </c>
      <c r="AA78" s="185">
        <v>320</v>
      </c>
      <c r="AB78" s="180">
        <v>800</v>
      </c>
      <c r="AC78" s="399">
        <v>3000</v>
      </c>
      <c r="AD78" s="400">
        <v>3000</v>
      </c>
      <c r="AE78" s="400">
        <v>3000</v>
      </c>
      <c r="AF78" s="400">
        <v>5000</v>
      </c>
      <c r="AG78" s="400">
        <v>8000</v>
      </c>
      <c r="AH78" s="400">
        <v>8000</v>
      </c>
      <c r="AI78" s="400">
        <v>10000</v>
      </c>
      <c r="AJ78" s="400">
        <v>10000</v>
      </c>
      <c r="AK78" s="400">
        <v>20500</v>
      </c>
      <c r="AL78" s="400">
        <v>51250</v>
      </c>
      <c r="AM78" s="405">
        <v>64500</v>
      </c>
      <c r="AN78" s="401">
        <v>105250</v>
      </c>
      <c r="AO78" s="399">
        <v>136250</v>
      </c>
      <c r="AP78" s="400">
        <v>136250</v>
      </c>
      <c r="AQ78" s="400"/>
      <c r="AR78" s="400"/>
      <c r="AS78" s="400"/>
      <c r="AT78" s="400"/>
      <c r="AU78" s="400"/>
      <c r="AV78" s="400"/>
      <c r="AW78" s="400"/>
      <c r="AX78" s="400"/>
      <c r="AY78" s="400"/>
      <c r="AZ78" s="401"/>
      <c r="BA78" s="426">
        <f t="shared" si="45"/>
        <v>565796.1</v>
      </c>
    </row>
    <row r="79" spans="1:53" s="29" customFormat="1" ht="20.100000000000001" customHeight="1" x14ac:dyDescent="0.25">
      <c r="A79" s="33" t="str">
        <f>Vecinos!A79</f>
        <v>Familia Chávez Hernández</v>
      </c>
      <c r="B79" s="34" t="str">
        <f>Vecinos!C79</f>
        <v>Calle Güigüe Nro. 88-20</v>
      </c>
      <c r="C79" s="35" t="str">
        <f>IF(SUMIFS(Vigilancia!$E:$E,Vigilancia!$F:$F,A79,Vigilancia!$J:$J,"Vigilancia")=BA79,"ü","û")</f>
        <v>ü</v>
      </c>
      <c r="D79" s="187">
        <f>6000/100000</f>
        <v>0.06</v>
      </c>
      <c r="E79" s="188">
        <f t="shared" ref="E79:N79" si="48">3000/100000</f>
        <v>0.03</v>
      </c>
      <c r="F79" s="189">
        <f t="shared" si="48"/>
        <v>0.03</v>
      </c>
      <c r="G79" s="189">
        <f t="shared" si="48"/>
        <v>0.03</v>
      </c>
      <c r="H79" s="189">
        <f t="shared" si="48"/>
        <v>0.03</v>
      </c>
      <c r="I79" s="189">
        <f t="shared" si="48"/>
        <v>0.03</v>
      </c>
      <c r="J79" s="189">
        <f t="shared" si="48"/>
        <v>0.03</v>
      </c>
      <c r="K79" s="189">
        <f t="shared" si="48"/>
        <v>0.03</v>
      </c>
      <c r="L79" s="189">
        <f t="shared" si="48"/>
        <v>0.03</v>
      </c>
      <c r="M79" s="189">
        <f t="shared" si="48"/>
        <v>0.03</v>
      </c>
      <c r="N79" s="189">
        <f t="shared" si="48"/>
        <v>0.03</v>
      </c>
      <c r="O79" s="189">
        <f>10000/100000</f>
        <v>0.1</v>
      </c>
      <c r="P79" s="187">
        <f>10000/100000</f>
        <v>0.1</v>
      </c>
      <c r="Q79" s="190">
        <f>10000/100000</f>
        <v>0.1</v>
      </c>
      <c r="R79" s="191">
        <f>10000/100000</f>
        <v>0.1</v>
      </c>
      <c r="S79" s="191">
        <f>30000/100000</f>
        <v>0.3</v>
      </c>
      <c r="T79" s="191">
        <f>30000/100000</f>
        <v>0.3</v>
      </c>
      <c r="U79" s="191">
        <f>50000/100000</f>
        <v>0.5</v>
      </c>
      <c r="V79" s="191">
        <f>50000/100000</f>
        <v>0.5</v>
      </c>
      <c r="W79" s="191">
        <f>100000/100000</f>
        <v>1</v>
      </c>
      <c r="X79" s="191">
        <v>12</v>
      </c>
      <c r="Y79" s="191">
        <v>100</v>
      </c>
      <c r="Z79" s="191">
        <v>100</v>
      </c>
      <c r="AA79" s="191">
        <v>100</v>
      </c>
      <c r="AB79" s="187">
        <v>100</v>
      </c>
      <c r="AC79" s="396">
        <v>300</v>
      </c>
      <c r="AD79" s="397">
        <v>300</v>
      </c>
      <c r="AE79" s="397">
        <v>300</v>
      </c>
      <c r="AF79" s="397">
        <v>300</v>
      </c>
      <c r="AG79" s="397">
        <v>1000</v>
      </c>
      <c r="AH79" s="397">
        <v>3000</v>
      </c>
      <c r="AI79" s="397">
        <v>6000</v>
      </c>
      <c r="AJ79" s="397">
        <v>5000</v>
      </c>
      <c r="AK79" s="397">
        <v>10000</v>
      </c>
      <c r="AL79" s="397">
        <v>10000</v>
      </c>
      <c r="AM79" s="397">
        <v>20000</v>
      </c>
      <c r="AN79" s="398">
        <v>20000</v>
      </c>
      <c r="AO79" s="396">
        <v>30000</v>
      </c>
      <c r="AP79" s="397">
        <v>40000</v>
      </c>
      <c r="AQ79" s="397"/>
      <c r="AR79" s="397"/>
      <c r="AS79" s="397"/>
      <c r="AT79" s="397"/>
      <c r="AU79" s="397"/>
      <c r="AV79" s="397"/>
      <c r="AW79" s="397"/>
      <c r="AX79" s="397"/>
      <c r="AY79" s="397"/>
      <c r="AZ79" s="398"/>
      <c r="BA79" s="425">
        <f t="shared" si="45"/>
        <v>146615.35999999999</v>
      </c>
    </row>
    <row r="80" spans="1:53" s="29" customFormat="1" ht="20.100000000000001" customHeight="1" x14ac:dyDescent="0.25">
      <c r="A80" s="33" t="str">
        <f>Vecinos!A80</f>
        <v>Ma. de Jesus Alonso</v>
      </c>
      <c r="B80" s="34" t="str">
        <f>Vecinos!C80</f>
        <v>Calle Güigüe Nro. 88-30</v>
      </c>
      <c r="C80" s="35" t="str">
        <f>IF(SUMIFS(Vigilancia!$E:$E,Vigilancia!$F:$F,A80,Vigilancia!$J:$J,"Vigilancia")=BA80,"ü","û")</f>
        <v>ü</v>
      </c>
      <c r="D80" s="187"/>
      <c r="E80" s="188">
        <f>3000/100000</f>
        <v>0.03</v>
      </c>
      <c r="F80" s="189">
        <f>3000/100000</f>
        <v>0.03</v>
      </c>
      <c r="G80" s="189">
        <f>4000/100000</f>
        <v>0.04</v>
      </c>
      <c r="H80" s="189">
        <f>3000/100000</f>
        <v>0.03</v>
      </c>
      <c r="I80" s="189">
        <f>3000/100000</f>
        <v>0.03</v>
      </c>
      <c r="J80" s="189">
        <f>3000/100000</f>
        <v>0.03</v>
      </c>
      <c r="K80" s="189">
        <f>5000/100000</f>
        <v>0.05</v>
      </c>
      <c r="L80" s="189">
        <f>5000/100000</f>
        <v>0.05</v>
      </c>
      <c r="M80" s="189">
        <f>10000/100000</f>
        <v>0.1</v>
      </c>
      <c r="N80" s="189">
        <f>10000/100000</f>
        <v>0.1</v>
      </c>
      <c r="O80" s="189">
        <f>10000/100000</f>
        <v>0.1</v>
      </c>
      <c r="P80" s="187">
        <f>10000/100000</f>
        <v>0.1</v>
      </c>
      <c r="Q80" s="190">
        <f>10000/100000</f>
        <v>0.1</v>
      </c>
      <c r="R80" s="191">
        <f>10000/100000+20000/100000</f>
        <v>0.30000000000000004</v>
      </c>
      <c r="S80" s="191">
        <f>100000/100000+40000/100000</f>
        <v>1.4</v>
      </c>
      <c r="T80" s="191">
        <f>100000/100000+40000/100000</f>
        <v>1.4</v>
      </c>
      <c r="U80" s="191">
        <f>100000/100000+300000/100000</f>
        <v>4</v>
      </c>
      <c r="V80" s="191">
        <f>400000/100000+225000/100000</f>
        <v>6.25</v>
      </c>
      <c r="W80" s="192">
        <f>1000000/100000</f>
        <v>10</v>
      </c>
      <c r="X80" s="192">
        <v>12</v>
      </c>
      <c r="Y80" s="192">
        <v>320</v>
      </c>
      <c r="Z80" s="192">
        <v>320</v>
      </c>
      <c r="AA80" s="192">
        <v>400</v>
      </c>
      <c r="AB80" s="366">
        <v>800</v>
      </c>
      <c r="AC80" s="404">
        <v>3000</v>
      </c>
      <c r="AD80" s="405">
        <v>3000</v>
      </c>
      <c r="AE80" s="405">
        <v>3000</v>
      </c>
      <c r="AF80" s="405">
        <v>5000</v>
      </c>
      <c r="AG80" s="405">
        <f>5000+3000</f>
        <v>8000</v>
      </c>
      <c r="AH80" s="405">
        <v>8000</v>
      </c>
      <c r="AI80" s="405">
        <v>10000</v>
      </c>
      <c r="AJ80" s="405">
        <v>10000</v>
      </c>
      <c r="AK80" s="405"/>
      <c r="AL80" s="405"/>
      <c r="AM80" s="405"/>
      <c r="AN80" s="410"/>
      <c r="AO80" s="404"/>
      <c r="AP80" s="405"/>
      <c r="AQ80" s="405"/>
      <c r="AR80" s="405"/>
      <c r="AS80" s="405"/>
      <c r="AT80" s="405"/>
      <c r="AU80" s="405"/>
      <c r="AV80" s="405"/>
      <c r="AW80" s="405"/>
      <c r="AX80" s="405"/>
      <c r="AY80" s="405"/>
      <c r="AZ80" s="410"/>
      <c r="BA80" s="428">
        <f t="shared" si="45"/>
        <v>51876.14</v>
      </c>
    </row>
    <row r="81" spans="1:53" s="29" customFormat="1" ht="20.100000000000001" customHeight="1" x14ac:dyDescent="0.25">
      <c r="A81" s="33" t="str">
        <f>Vecinos!A81</f>
        <v>Familia Moyetones</v>
      </c>
      <c r="B81" s="34" t="str">
        <f>Vecinos!C81</f>
        <v>Calle Güigüe Nro. 88-36</v>
      </c>
      <c r="C81" s="35" t="str">
        <f>IF(SUMIFS(Vigilancia!$E:$E,Vigilancia!$F:$F,A81,Vigilancia!$J:$J,"Vigilancia")=BA81,"ü","û")</f>
        <v>ü</v>
      </c>
      <c r="D81" s="187"/>
      <c r="E81" s="188"/>
      <c r="F81" s="189"/>
      <c r="G81" s="189"/>
      <c r="H81" s="189"/>
      <c r="I81" s="189"/>
      <c r="J81" s="189"/>
      <c r="K81" s="189"/>
      <c r="L81" s="189"/>
      <c r="M81" s="189"/>
      <c r="N81" s="189"/>
      <c r="O81" s="189"/>
      <c r="P81" s="187"/>
      <c r="Q81" s="190"/>
      <c r="R81" s="191"/>
      <c r="S81" s="191"/>
      <c r="T81" s="191"/>
      <c r="U81" s="191"/>
      <c r="V81" s="191"/>
      <c r="W81" s="191"/>
      <c r="X81" s="191"/>
      <c r="Y81" s="191"/>
      <c r="Z81" s="191"/>
      <c r="AA81" s="191"/>
      <c r="AB81" s="187"/>
      <c r="AC81" s="396"/>
      <c r="AD81" s="397"/>
      <c r="AE81" s="397"/>
      <c r="AF81" s="397"/>
      <c r="AG81" s="397"/>
      <c r="AH81" s="397"/>
      <c r="AI81" s="397"/>
      <c r="AJ81" s="397"/>
      <c r="AK81" s="397"/>
      <c r="AL81" s="397"/>
      <c r="AM81" s="397"/>
      <c r="AN81" s="398"/>
      <c r="AO81" s="396"/>
      <c r="AP81" s="397"/>
      <c r="AQ81" s="397"/>
      <c r="AR81" s="397"/>
      <c r="AS81" s="397"/>
      <c r="AT81" s="397"/>
      <c r="AU81" s="397"/>
      <c r="AV81" s="397"/>
      <c r="AW81" s="397"/>
      <c r="AX81" s="397"/>
      <c r="AY81" s="397"/>
      <c r="AZ81" s="398"/>
      <c r="BA81" s="425">
        <f t="shared" si="45"/>
        <v>0</v>
      </c>
    </row>
    <row r="82" spans="1:53" s="29" customFormat="1" ht="20.100000000000001" customHeight="1" x14ac:dyDescent="0.25">
      <c r="A82" s="33" t="str">
        <f>Vecinos!A82</f>
        <v>Familia Rivero</v>
      </c>
      <c r="B82" s="34" t="str">
        <f>Vecinos!C82</f>
        <v>Calle Güigüe Nro. 88-40</v>
      </c>
      <c r="C82" s="35" t="str">
        <f>IF(SUMIFS(Vigilancia!$E:$E,Vigilancia!$F:$F,A82,Vigilancia!$J:$J,"Vigilancia")=BA82,"ü","û")</f>
        <v>ü</v>
      </c>
      <c r="D82" s="187"/>
      <c r="E82" s="188">
        <f>3000/100000</f>
        <v>0.03</v>
      </c>
      <c r="F82" s="189">
        <f>3000/100000</f>
        <v>0.03</v>
      </c>
      <c r="G82" s="189">
        <f>3000/100000</f>
        <v>0.03</v>
      </c>
      <c r="H82" s="189">
        <f>3000/100000</f>
        <v>0.03</v>
      </c>
      <c r="I82" s="189">
        <f>5000/100000</f>
        <v>0.05</v>
      </c>
      <c r="J82" s="189">
        <f>5000/100000</f>
        <v>0.05</v>
      </c>
      <c r="K82" s="189">
        <f>5000/100000</f>
        <v>0.05</v>
      </c>
      <c r="L82" s="189">
        <f>10000/100000</f>
        <v>0.1</v>
      </c>
      <c r="M82" s="189">
        <f>20000/100000</f>
        <v>0.2</v>
      </c>
      <c r="N82" s="189">
        <f>20000/100000</f>
        <v>0.2</v>
      </c>
      <c r="O82" s="189">
        <f>25000/100000</f>
        <v>0.25</v>
      </c>
      <c r="P82" s="187">
        <f t="shared" ref="P82:U82" si="49">30000/100000</f>
        <v>0.3</v>
      </c>
      <c r="Q82" s="190">
        <f t="shared" si="49"/>
        <v>0.3</v>
      </c>
      <c r="R82" s="191">
        <f t="shared" si="49"/>
        <v>0.3</v>
      </c>
      <c r="S82" s="191">
        <f t="shared" si="49"/>
        <v>0.3</v>
      </c>
      <c r="T82" s="191">
        <f t="shared" si="49"/>
        <v>0.3</v>
      </c>
      <c r="U82" s="191">
        <f t="shared" si="49"/>
        <v>0.3</v>
      </c>
      <c r="V82" s="191">
        <f>40000/100000</f>
        <v>0.4</v>
      </c>
      <c r="W82" s="191">
        <v>10</v>
      </c>
      <c r="X82" s="191">
        <v>12</v>
      </c>
      <c r="Y82" s="191">
        <f>100-22</f>
        <v>78</v>
      </c>
      <c r="Z82" s="191"/>
      <c r="AA82" s="191"/>
      <c r="AB82" s="187"/>
      <c r="AC82" s="396"/>
      <c r="AD82" s="397"/>
      <c r="AE82" s="397"/>
      <c r="AF82" s="397"/>
      <c r="AG82" s="397"/>
      <c r="AH82" s="397"/>
      <c r="AI82" s="397"/>
      <c r="AJ82" s="397"/>
      <c r="AK82" s="397"/>
      <c r="AL82" s="397"/>
      <c r="AM82" s="397">
        <v>20000</v>
      </c>
      <c r="AN82" s="398"/>
      <c r="AO82" s="396"/>
      <c r="AP82" s="397"/>
      <c r="AQ82" s="397"/>
      <c r="AR82" s="397"/>
      <c r="AS82" s="397"/>
      <c r="AT82" s="397"/>
      <c r="AU82" s="397"/>
      <c r="AV82" s="397"/>
      <c r="AW82" s="397"/>
      <c r="AX82" s="397"/>
      <c r="AY82" s="397"/>
      <c r="AZ82" s="398"/>
      <c r="BA82" s="425">
        <f t="shared" si="45"/>
        <v>20103.22</v>
      </c>
    </row>
    <row r="83" spans="1:53" s="29" customFormat="1" ht="20.100000000000001" customHeight="1" x14ac:dyDescent="0.25">
      <c r="A83" s="33" t="str">
        <f>Vecinos!A83</f>
        <v>Thanya Albornoz</v>
      </c>
      <c r="B83" s="34" t="str">
        <f>Vecinos!C83</f>
        <v>Calle Güigüe Nro. 88-42</v>
      </c>
      <c r="C83" s="35" t="str">
        <f>IF(SUMIFS(Vigilancia!$E:$E,Vigilancia!$F:$F,A83,Vigilancia!$J:$J,"Vigilancia")=BA83,"ü","û")</f>
        <v>ü</v>
      </c>
      <c r="D83" s="187"/>
      <c r="E83" s="188"/>
      <c r="F83" s="189"/>
      <c r="G83" s="189"/>
      <c r="H83" s="189"/>
      <c r="I83" s="189"/>
      <c r="J83" s="189"/>
      <c r="K83" s="189"/>
      <c r="L83" s="189"/>
      <c r="M83" s="189"/>
      <c r="N83" s="189"/>
      <c r="O83" s="189"/>
      <c r="P83" s="187"/>
      <c r="Q83" s="190"/>
      <c r="R83" s="191"/>
      <c r="S83" s="191"/>
      <c r="T83" s="191"/>
      <c r="U83" s="191"/>
      <c r="V83" s="191"/>
      <c r="W83" s="191"/>
      <c r="X83" s="191"/>
      <c r="Y83" s="191"/>
      <c r="Z83" s="191"/>
      <c r="AA83" s="191"/>
      <c r="AB83" s="187"/>
      <c r="AC83" s="396"/>
      <c r="AD83" s="397"/>
      <c r="AE83" s="397"/>
      <c r="AF83" s="397"/>
      <c r="AG83" s="397"/>
      <c r="AH83" s="397"/>
      <c r="AI83" s="397"/>
      <c r="AJ83" s="397"/>
      <c r="AK83" s="397"/>
      <c r="AL83" s="397"/>
      <c r="AM83" s="397"/>
      <c r="AN83" s="398"/>
      <c r="AO83" s="396"/>
      <c r="AP83" s="397"/>
      <c r="AQ83" s="397"/>
      <c r="AR83" s="397"/>
      <c r="AS83" s="397"/>
      <c r="AT83" s="397"/>
      <c r="AU83" s="397"/>
      <c r="AV83" s="397"/>
      <c r="AW83" s="397"/>
      <c r="AX83" s="397"/>
      <c r="AY83" s="397"/>
      <c r="AZ83" s="398"/>
      <c r="BA83" s="425">
        <f t="shared" si="45"/>
        <v>0</v>
      </c>
    </row>
    <row r="84" spans="1:53" s="29" customFormat="1" ht="20.100000000000001" customHeight="1" x14ac:dyDescent="0.25">
      <c r="A84" s="30" t="str">
        <f>Vecinos!A84</f>
        <v>Familia Colosso Delgado</v>
      </c>
      <c r="B84" s="31" t="str">
        <f>Vecinos!C84</f>
        <v>Calle Güigüe Nro. 88-44</v>
      </c>
      <c r="C84" s="36" t="str">
        <f>IF(SUMIFS(Vigilancia!$E:$E,Vigilancia!$F:$F,A84,Vigilancia!$J:$J,"Vigilancia")=BA84,"ü","û")</f>
        <v>ü</v>
      </c>
      <c r="D84" s="180"/>
      <c r="E84" s="181">
        <f>10500/100000+6500/100000</f>
        <v>0.16999999999999998</v>
      </c>
      <c r="F84" s="182">
        <f t="shared" ref="F84:H85" si="50">17000/100000</f>
        <v>0.17</v>
      </c>
      <c r="G84" s="182">
        <f t="shared" si="50"/>
        <v>0.17</v>
      </c>
      <c r="H84" s="182">
        <f t="shared" si="50"/>
        <v>0.17</v>
      </c>
      <c r="I84" s="182">
        <f>26000/100000</f>
        <v>0.26</v>
      </c>
      <c r="J84" s="182">
        <f>26000/100000</f>
        <v>0.26</v>
      </c>
      <c r="K84" s="182">
        <f>26000/100000+9000/100000</f>
        <v>0.35</v>
      </c>
      <c r="L84" s="182">
        <f t="shared" ref="L84:N87" si="51">35000/100000</f>
        <v>0.35</v>
      </c>
      <c r="M84" s="182">
        <f t="shared" si="51"/>
        <v>0.35</v>
      </c>
      <c r="N84" s="182">
        <f t="shared" si="51"/>
        <v>0.35</v>
      </c>
      <c r="O84" s="182">
        <f t="shared" ref="O84:P87" si="52">50000/100000</f>
        <v>0.5</v>
      </c>
      <c r="P84" s="180">
        <f t="shared" si="52"/>
        <v>0.5</v>
      </c>
      <c r="Q84" s="184">
        <f t="shared" ref="Q84:R87" si="53">80000/100000</f>
        <v>0.8</v>
      </c>
      <c r="R84" s="185">
        <f t="shared" si="53"/>
        <v>0.8</v>
      </c>
      <c r="S84" s="185">
        <f>140000/100000</f>
        <v>1.4</v>
      </c>
      <c r="T84" s="185">
        <f>140000/100000</f>
        <v>1.4</v>
      </c>
      <c r="U84" s="185">
        <f>400000/100000</f>
        <v>4</v>
      </c>
      <c r="V84" s="185">
        <f>400000/100000+225000/100000</f>
        <v>6.25</v>
      </c>
      <c r="W84" s="185">
        <f>850000/100000+150000/100000</f>
        <v>10</v>
      </c>
      <c r="X84" s="185">
        <f>1200000/100000</f>
        <v>12</v>
      </c>
      <c r="Y84" s="185">
        <v>320</v>
      </c>
      <c r="Z84" s="185">
        <v>320</v>
      </c>
      <c r="AA84" s="185">
        <v>320</v>
      </c>
      <c r="AB84" s="366">
        <f>320+480</f>
        <v>800</v>
      </c>
      <c r="AC84" s="404">
        <f>800+2200</f>
        <v>3000</v>
      </c>
      <c r="AD84" s="400">
        <v>3000</v>
      </c>
      <c r="AE84" s="400">
        <v>3000</v>
      </c>
      <c r="AF84" s="400">
        <f>3000+2000</f>
        <v>5000</v>
      </c>
      <c r="AG84" s="400">
        <v>8000</v>
      </c>
      <c r="AH84" s="400">
        <v>8000</v>
      </c>
      <c r="AI84" s="400">
        <v>10000</v>
      </c>
      <c r="AJ84" s="400">
        <v>10000</v>
      </c>
      <c r="AK84" s="400">
        <v>23400</v>
      </c>
      <c r="AL84" s="400">
        <f>21100+25900</f>
        <v>47000</v>
      </c>
      <c r="AM84" s="400">
        <v>51250</v>
      </c>
      <c r="AN84" s="401">
        <v>81750</v>
      </c>
      <c r="AO84" s="399">
        <v>136250</v>
      </c>
      <c r="AP84" s="400">
        <v>136250</v>
      </c>
      <c r="AQ84" s="400">
        <v>185250</v>
      </c>
      <c r="AR84" s="400"/>
      <c r="AS84" s="400"/>
      <c r="AT84" s="400"/>
      <c r="AU84" s="400"/>
      <c r="AV84" s="400"/>
      <c r="AW84" s="400"/>
      <c r="AX84" s="400"/>
      <c r="AY84" s="400"/>
      <c r="AZ84" s="401"/>
      <c r="BA84" s="426">
        <f t="shared" si="45"/>
        <v>712950.25</v>
      </c>
    </row>
    <row r="85" spans="1:53" s="29" customFormat="1" ht="20.100000000000001" customHeight="1" x14ac:dyDescent="0.25">
      <c r="A85" s="30" t="str">
        <f>Vecinos!A85</f>
        <v>Familia Jiménez Navarro</v>
      </c>
      <c r="B85" s="31" t="str">
        <f>Vecinos!C85</f>
        <v>Calle Güigüe Nro. 88-50</v>
      </c>
      <c r="C85" s="36" t="str">
        <f>IF(SUMIFS(Vigilancia!$E:$E,Vigilancia!$F:$F,A85,Vigilancia!$J:$J,"Vigilancia")=BA85,"ü","û")</f>
        <v>ü</v>
      </c>
      <c r="D85" s="180"/>
      <c r="E85" s="181">
        <f>17000/100000</f>
        <v>0.17</v>
      </c>
      <c r="F85" s="182">
        <f t="shared" si="50"/>
        <v>0.17</v>
      </c>
      <c r="G85" s="182">
        <f t="shared" si="50"/>
        <v>0.17</v>
      </c>
      <c r="H85" s="182">
        <f t="shared" si="50"/>
        <v>0.17</v>
      </c>
      <c r="I85" s="182">
        <f>26000/100000</f>
        <v>0.26</v>
      </c>
      <c r="J85" s="226"/>
      <c r="K85" s="182">
        <f>35000/100000</f>
        <v>0.35</v>
      </c>
      <c r="L85" s="182">
        <f t="shared" si="51"/>
        <v>0.35</v>
      </c>
      <c r="M85" s="182">
        <f t="shared" si="51"/>
        <v>0.35</v>
      </c>
      <c r="N85" s="182">
        <f t="shared" si="51"/>
        <v>0.35</v>
      </c>
      <c r="O85" s="182">
        <f t="shared" si="52"/>
        <v>0.5</v>
      </c>
      <c r="P85" s="180">
        <f t="shared" si="52"/>
        <v>0.5</v>
      </c>
      <c r="Q85" s="184">
        <f t="shared" si="53"/>
        <v>0.8</v>
      </c>
      <c r="R85" s="185">
        <f t="shared" si="53"/>
        <v>0.8</v>
      </c>
      <c r="S85" s="185">
        <f>140000/100000</f>
        <v>1.4</v>
      </c>
      <c r="T85" s="185">
        <f>300000/100000</f>
        <v>3</v>
      </c>
      <c r="U85" s="185">
        <f>400000/100000</f>
        <v>4</v>
      </c>
      <c r="V85" s="185">
        <f>1000000/100000</f>
        <v>10</v>
      </c>
      <c r="W85" s="185">
        <f>1000000/100000</f>
        <v>10</v>
      </c>
      <c r="X85" s="185">
        <v>12</v>
      </c>
      <c r="Y85" s="185">
        <v>320</v>
      </c>
      <c r="Z85" s="185">
        <v>320</v>
      </c>
      <c r="AA85" s="185">
        <v>320</v>
      </c>
      <c r="AB85" s="180">
        <v>800</v>
      </c>
      <c r="AC85" s="399">
        <v>3000</v>
      </c>
      <c r="AD85" s="400">
        <v>3000</v>
      </c>
      <c r="AE85" s="400">
        <v>3000</v>
      </c>
      <c r="AF85" s="400">
        <v>5000</v>
      </c>
      <c r="AG85" s="400">
        <f>5000+3000</f>
        <v>8000</v>
      </c>
      <c r="AH85" s="400">
        <v>8000</v>
      </c>
      <c r="AI85" s="400">
        <v>10000</v>
      </c>
      <c r="AJ85" s="400">
        <v>10000</v>
      </c>
      <c r="AK85" s="400">
        <v>24000</v>
      </c>
      <c r="AL85" s="400">
        <f>20000+27000</f>
        <v>47000</v>
      </c>
      <c r="AM85" s="400">
        <v>81750</v>
      </c>
      <c r="AN85" s="401">
        <v>136500</v>
      </c>
      <c r="AO85" s="399">
        <v>136500</v>
      </c>
      <c r="AP85" s="400">
        <v>190000</v>
      </c>
      <c r="AQ85" s="400"/>
      <c r="AR85" s="400"/>
      <c r="AS85" s="400"/>
      <c r="AT85" s="400"/>
      <c r="AU85" s="400"/>
      <c r="AV85" s="400"/>
      <c r="AW85" s="400"/>
      <c r="AX85" s="400"/>
      <c r="AY85" s="400"/>
      <c r="AZ85" s="401"/>
      <c r="BA85" s="426">
        <f t="shared" si="45"/>
        <v>667555.34</v>
      </c>
    </row>
    <row r="86" spans="1:53" s="29" customFormat="1" ht="20.100000000000001" customHeight="1" x14ac:dyDescent="0.25">
      <c r="A86" s="33" t="str">
        <f>Vecinos!A86</f>
        <v>Dra. Lilia Magallanes</v>
      </c>
      <c r="B86" s="34" t="str">
        <f>Vecinos!C86</f>
        <v>Calle Güigüe Nro. 88-51</v>
      </c>
      <c r="C86" s="35" t="str">
        <f>IF(SUMIFS(Vigilancia!$E:$E,Vigilancia!$F:$F,A86,Vigilancia!$J:$J,"Vigilancia")=BA86,"ü","û")</f>
        <v>ü</v>
      </c>
      <c r="D86" s="187"/>
      <c r="E86" s="188">
        <f>5000/100000</f>
        <v>0.05</v>
      </c>
      <c r="F86" s="189">
        <f>5000/100000</f>
        <v>0.05</v>
      </c>
      <c r="G86" s="189">
        <f>7000/100000</f>
        <v>7.0000000000000007E-2</v>
      </c>
      <c r="H86" s="189">
        <f>10000/100000</f>
        <v>0.1</v>
      </c>
      <c r="I86" s="189">
        <f>20000/100000</f>
        <v>0.2</v>
      </c>
      <c r="J86" s="189">
        <f>20000/100000</f>
        <v>0.2</v>
      </c>
      <c r="K86" s="189">
        <f>30000/100000</f>
        <v>0.3</v>
      </c>
      <c r="L86" s="182">
        <f t="shared" si="51"/>
        <v>0.35</v>
      </c>
      <c r="M86" s="182">
        <f t="shared" si="51"/>
        <v>0.35</v>
      </c>
      <c r="N86" s="182">
        <f t="shared" si="51"/>
        <v>0.35</v>
      </c>
      <c r="O86" s="182">
        <f t="shared" si="52"/>
        <v>0.5</v>
      </c>
      <c r="P86" s="180">
        <f t="shared" si="52"/>
        <v>0.5</v>
      </c>
      <c r="Q86" s="184">
        <f t="shared" si="53"/>
        <v>0.8</v>
      </c>
      <c r="R86" s="185">
        <f t="shared" si="53"/>
        <v>0.8</v>
      </c>
      <c r="S86" s="185">
        <f>40000/100000+100000/100000</f>
        <v>1.4</v>
      </c>
      <c r="T86" s="185">
        <f>140000/100000</f>
        <v>1.4</v>
      </c>
      <c r="U86" s="185">
        <f>400000/100000</f>
        <v>4</v>
      </c>
      <c r="V86" s="185">
        <f>625000/100000</f>
        <v>6.25</v>
      </c>
      <c r="W86" s="192">
        <f>1000000/100000</f>
        <v>10</v>
      </c>
      <c r="X86" s="192">
        <v>12</v>
      </c>
      <c r="Y86" s="192">
        <f>0.05+320</f>
        <v>320.05</v>
      </c>
      <c r="Z86" s="185">
        <v>320</v>
      </c>
      <c r="AA86" s="185">
        <v>320</v>
      </c>
      <c r="AB86" s="180">
        <v>800</v>
      </c>
      <c r="AC86" s="399">
        <v>3000</v>
      </c>
      <c r="AD86" s="400">
        <v>3000</v>
      </c>
      <c r="AE86" s="400">
        <v>3000</v>
      </c>
      <c r="AF86" s="400">
        <v>5000</v>
      </c>
      <c r="AG86" s="400">
        <v>8000</v>
      </c>
      <c r="AH86" s="400">
        <v>8000</v>
      </c>
      <c r="AI86" s="400">
        <v>10000</v>
      </c>
      <c r="AJ86" s="400">
        <v>10000</v>
      </c>
      <c r="AK86" s="400">
        <v>23400</v>
      </c>
      <c r="AL86" s="509">
        <f>20300+3000+27965</f>
        <v>51265</v>
      </c>
      <c r="AM86" s="400">
        <v>56250</v>
      </c>
      <c r="AN86" s="401">
        <v>97500</v>
      </c>
      <c r="AO86" s="399">
        <v>136250</v>
      </c>
      <c r="AP86" s="400">
        <v>136250</v>
      </c>
      <c r="AQ86" s="400">
        <v>185250</v>
      </c>
      <c r="AR86" s="400"/>
      <c r="AS86" s="400"/>
      <c r="AT86" s="400"/>
      <c r="AU86" s="400"/>
      <c r="AV86" s="400"/>
      <c r="AW86" s="400"/>
      <c r="AX86" s="400"/>
      <c r="AY86" s="400"/>
      <c r="AZ86" s="401"/>
      <c r="BA86" s="426">
        <f t="shared" si="45"/>
        <v>737964.72</v>
      </c>
    </row>
    <row r="87" spans="1:53" s="29" customFormat="1" ht="20.100000000000001" customHeight="1" x14ac:dyDescent="0.25">
      <c r="A87" s="30" t="str">
        <f>Vecinos!A87</f>
        <v>Familia Navarro Assing</v>
      </c>
      <c r="B87" s="31" t="str">
        <f>Vecinos!C87</f>
        <v>Calle Güigüe Nro. 88-54</v>
      </c>
      <c r="C87" s="36" t="str">
        <f>IF(SUMIFS(Vigilancia!$E:$E,Vigilancia!$F:$F,A87,Vigilancia!$J:$J,"Vigilancia")=BA87,"ü","û")</f>
        <v>ü</v>
      </c>
      <c r="D87" s="180"/>
      <c r="E87" s="181">
        <f>17000/100000</f>
        <v>0.17</v>
      </c>
      <c r="F87" s="182">
        <f>17000/100000</f>
        <v>0.17</v>
      </c>
      <c r="G87" s="182">
        <f>17000/100000</f>
        <v>0.17</v>
      </c>
      <c r="H87" s="182">
        <f>17000/100000</f>
        <v>0.17</v>
      </c>
      <c r="I87" s="182">
        <f>22000/100000+4000/100000</f>
        <v>0.26</v>
      </c>
      <c r="J87" s="182">
        <f>26000/100000</f>
        <v>0.26</v>
      </c>
      <c r="K87" s="182">
        <f>35000/100000</f>
        <v>0.35</v>
      </c>
      <c r="L87" s="182">
        <f t="shared" si="51"/>
        <v>0.35</v>
      </c>
      <c r="M87" s="182">
        <f t="shared" si="51"/>
        <v>0.35</v>
      </c>
      <c r="N87" s="182">
        <f t="shared" si="51"/>
        <v>0.35</v>
      </c>
      <c r="O87" s="182">
        <f t="shared" si="52"/>
        <v>0.5</v>
      </c>
      <c r="P87" s="180">
        <f t="shared" si="52"/>
        <v>0.5</v>
      </c>
      <c r="Q87" s="184">
        <f t="shared" si="53"/>
        <v>0.8</v>
      </c>
      <c r="R87" s="185">
        <f t="shared" si="53"/>
        <v>0.8</v>
      </c>
      <c r="S87" s="185">
        <f>140000/100000</f>
        <v>1.4</v>
      </c>
      <c r="T87" s="185">
        <f>140000/100000</f>
        <v>1.4</v>
      </c>
      <c r="U87" s="185">
        <f>400000/100000</f>
        <v>4</v>
      </c>
      <c r="V87" s="185">
        <f>400000/100000+250000/100000</f>
        <v>6.5</v>
      </c>
      <c r="W87" s="185">
        <f>1000000/100000</f>
        <v>10</v>
      </c>
      <c r="X87" s="185">
        <v>12</v>
      </c>
      <c r="Y87" s="185">
        <v>320</v>
      </c>
      <c r="Z87" s="185">
        <v>320</v>
      </c>
      <c r="AA87" s="185">
        <v>320</v>
      </c>
      <c r="AB87" s="180">
        <v>800</v>
      </c>
      <c r="AC87" s="404">
        <f>800+2200</f>
        <v>3000</v>
      </c>
      <c r="AD87" s="400">
        <v>3000</v>
      </c>
      <c r="AE87" s="400">
        <v>3000</v>
      </c>
      <c r="AF87" s="400">
        <f>500+4500</f>
        <v>5000</v>
      </c>
      <c r="AG87" s="405">
        <v>8000</v>
      </c>
      <c r="AH87" s="405">
        <f>500+3000+4500</f>
        <v>8000</v>
      </c>
      <c r="AI87" s="400">
        <v>10000</v>
      </c>
      <c r="AJ87" s="400">
        <v>10000</v>
      </c>
      <c r="AK87" s="400">
        <v>21600</v>
      </c>
      <c r="AL87" s="400">
        <f>19800+31450</f>
        <v>51250</v>
      </c>
      <c r="AM87" s="509">
        <f>8550+56000</f>
        <v>64550</v>
      </c>
      <c r="AN87" s="401">
        <v>105500</v>
      </c>
      <c r="AO87" s="404">
        <v>136250</v>
      </c>
      <c r="AP87" s="405">
        <f>7950+73500+50000+5000</f>
        <v>136450</v>
      </c>
      <c r="AQ87" s="400">
        <v>185250</v>
      </c>
      <c r="AR87" s="400"/>
      <c r="AS87" s="405"/>
      <c r="AT87" s="405"/>
      <c r="AU87" s="400"/>
      <c r="AV87" s="400"/>
      <c r="AW87" s="400"/>
      <c r="AX87" s="400"/>
      <c r="AY87" s="400"/>
      <c r="AZ87" s="401"/>
      <c r="BA87" s="426">
        <f t="shared" si="45"/>
        <v>752650.5</v>
      </c>
    </row>
    <row r="88" spans="1:53" s="29" customFormat="1" ht="20.100000000000001" customHeight="1" x14ac:dyDescent="0.25">
      <c r="A88" s="33" t="str">
        <f>Vecinos!A88</f>
        <v>Familia Rodríguez Aular</v>
      </c>
      <c r="B88" s="34" t="str">
        <f>Vecinos!C88</f>
        <v>Calle Güigüe Nro. 88-58</v>
      </c>
      <c r="C88" s="35" t="str">
        <f>IF(SUMIFS(Vigilancia!$E:$E,Vigilancia!$F:$F,A88,Vigilancia!$J:$J,"Vigilancia")=BA88,"ü","û")</f>
        <v>ü</v>
      </c>
      <c r="D88" s="187"/>
      <c r="E88" s="188">
        <f>10500/100000</f>
        <v>0.105</v>
      </c>
      <c r="F88" s="189">
        <f>12000/100000</f>
        <v>0.12</v>
      </c>
      <c r="G88" s="189">
        <f>12000/100000</f>
        <v>0.12</v>
      </c>
      <c r="H88" s="189">
        <f>12000/100000</f>
        <v>0.12</v>
      </c>
      <c r="I88" s="189">
        <f>12000/100000</f>
        <v>0.12</v>
      </c>
      <c r="J88" s="189">
        <f>15000/100000</f>
        <v>0.15</v>
      </c>
      <c r="K88" s="189">
        <f>15000/100000</f>
        <v>0.15</v>
      </c>
      <c r="L88" s="189">
        <f>18000/100000</f>
        <v>0.18</v>
      </c>
      <c r="M88" s="189">
        <f>20000/100000</f>
        <v>0.2</v>
      </c>
      <c r="N88" s="189">
        <f>20000/100000</f>
        <v>0.2</v>
      </c>
      <c r="O88" s="189">
        <f>30000/100000</f>
        <v>0.3</v>
      </c>
      <c r="P88" s="187">
        <f>40000/100000</f>
        <v>0.4</v>
      </c>
      <c r="Q88" s="190">
        <f>40000/100000</f>
        <v>0.4</v>
      </c>
      <c r="R88" s="191">
        <f>80000/100000</f>
        <v>0.8</v>
      </c>
      <c r="S88" s="191">
        <f>120000/100000</f>
        <v>1.2</v>
      </c>
      <c r="T88" s="191">
        <f>140000/100000</f>
        <v>1.4</v>
      </c>
      <c r="U88" s="191">
        <f>200000/100000</f>
        <v>2</v>
      </c>
      <c r="V88" s="191">
        <f>400000/100000</f>
        <v>4</v>
      </c>
      <c r="W88" s="191">
        <f>1000000/100000</f>
        <v>10</v>
      </c>
      <c r="X88" s="191">
        <v>12</v>
      </c>
      <c r="Y88" s="377"/>
      <c r="Z88" s="192">
        <v>320</v>
      </c>
      <c r="AA88" s="192">
        <v>320</v>
      </c>
      <c r="AB88" s="366">
        <v>800</v>
      </c>
      <c r="AC88" s="404">
        <f>800+2200</f>
        <v>3000</v>
      </c>
      <c r="AD88" s="405">
        <v>3000</v>
      </c>
      <c r="AE88" s="405">
        <v>3000</v>
      </c>
      <c r="AF88" s="405">
        <v>5000</v>
      </c>
      <c r="AG88" s="405">
        <v>8000</v>
      </c>
      <c r="AH88" s="405">
        <v>8000</v>
      </c>
      <c r="AI88" s="405">
        <v>10000</v>
      </c>
      <c r="AJ88" s="400">
        <v>10000</v>
      </c>
      <c r="AK88" s="400">
        <v>19800</v>
      </c>
      <c r="AL88" s="405">
        <v>51250</v>
      </c>
      <c r="AM88" s="405">
        <v>64500</v>
      </c>
      <c r="AN88" s="410">
        <v>136250</v>
      </c>
      <c r="AO88" s="404">
        <v>136250</v>
      </c>
      <c r="AP88" s="663">
        <f>136250</f>
        <v>136250</v>
      </c>
      <c r="AQ88" s="405"/>
      <c r="AR88" s="405"/>
      <c r="AS88" s="405"/>
      <c r="AT88" s="405"/>
      <c r="AU88" s="405"/>
      <c r="AV88" s="400"/>
      <c r="AW88" s="405"/>
      <c r="AX88" s="405"/>
      <c r="AY88" s="405"/>
      <c r="AZ88" s="410"/>
      <c r="BA88" s="428">
        <f t="shared" si="45"/>
        <v>595773.96499999997</v>
      </c>
    </row>
    <row r="89" spans="1:53" s="29" customFormat="1" ht="20.100000000000001" customHeight="1" x14ac:dyDescent="0.25">
      <c r="A89" s="30" t="str">
        <f>Vecinos!A89</f>
        <v>Familia Ramírez</v>
      </c>
      <c r="B89" s="31" t="str">
        <f>Vecinos!C89</f>
        <v>Calle Güigüe Nro. 88-61</v>
      </c>
      <c r="C89" s="36" t="str">
        <f>IF(SUMIFS(Vigilancia!$E:$E,Vigilancia!$F:$F,A89,Vigilancia!$J:$J,"Vigilancia")=BA89,"ü","û")</f>
        <v>ü</v>
      </c>
      <c r="D89" s="180"/>
      <c r="E89" s="181"/>
      <c r="F89" s="182"/>
      <c r="G89" s="182"/>
      <c r="H89" s="182"/>
      <c r="I89" s="182"/>
      <c r="J89" s="182"/>
      <c r="K89" s="182"/>
      <c r="L89" s="182"/>
      <c r="M89" s="182"/>
      <c r="N89" s="182"/>
      <c r="O89" s="182"/>
      <c r="P89" s="180"/>
      <c r="Q89" s="184"/>
      <c r="R89" s="185"/>
      <c r="S89" s="185"/>
      <c r="T89" s="185"/>
      <c r="U89" s="185"/>
      <c r="V89" s="185"/>
      <c r="W89" s="185"/>
      <c r="X89" s="185"/>
      <c r="Y89" s="185"/>
      <c r="Z89" s="185"/>
      <c r="AA89" s="185"/>
      <c r="AB89" s="180"/>
      <c r="AC89" s="399"/>
      <c r="AD89" s="400"/>
      <c r="AE89" s="400"/>
      <c r="AF89" s="400"/>
      <c r="AG89" s="400"/>
      <c r="AH89" s="400"/>
      <c r="AI89" s="400"/>
      <c r="AJ89" s="400"/>
      <c r="AK89" s="400"/>
      <c r="AL89" s="400"/>
      <c r="AM89" s="400"/>
      <c r="AN89" s="401"/>
      <c r="AO89" s="399"/>
      <c r="AP89" s="400"/>
      <c r="AQ89" s="400"/>
      <c r="AR89" s="400"/>
      <c r="AS89" s="400"/>
      <c r="AT89" s="400"/>
      <c r="AU89" s="400"/>
      <c r="AV89" s="400"/>
      <c r="AW89" s="400"/>
      <c r="AX89" s="400"/>
      <c r="AY89" s="400"/>
      <c r="AZ89" s="401"/>
      <c r="BA89" s="426">
        <f t="shared" si="45"/>
        <v>0</v>
      </c>
    </row>
    <row r="90" spans="1:53" s="29" customFormat="1" ht="20.100000000000001" customHeight="1" x14ac:dyDescent="0.25">
      <c r="A90" s="33" t="str">
        <f>Vecinos!A90</f>
        <v>Familia Martínez Boada</v>
      </c>
      <c r="B90" s="34" t="str">
        <f>Vecinos!C90</f>
        <v>Calle Güigüe Nro. 88-62</v>
      </c>
      <c r="C90" s="35" t="str">
        <f>IF(SUMIFS(Vigilancia!$E:$E,Vigilancia!$F:$F,A90,Vigilancia!$J:$J,"Vigilancia")=BA90,"ü","û")</f>
        <v>ü</v>
      </c>
      <c r="D90" s="187"/>
      <c r="E90" s="188">
        <f>10500/100000+6500/100000</f>
        <v>0.16999999999999998</v>
      </c>
      <c r="F90" s="189">
        <f>13613/100000+3387/100000</f>
        <v>0.16999999999999998</v>
      </c>
      <c r="G90" s="189">
        <f>17000/100000</f>
        <v>0.17</v>
      </c>
      <c r="H90" s="189">
        <f>17000/100000</f>
        <v>0.17</v>
      </c>
      <c r="I90" s="189">
        <f>26000/100000</f>
        <v>0.26</v>
      </c>
      <c r="J90" s="189">
        <f>26000/100000</f>
        <v>0.26</v>
      </c>
      <c r="K90" s="189">
        <f>35000/100000</f>
        <v>0.35</v>
      </c>
      <c r="L90" s="189">
        <f>35000/100000</f>
        <v>0.35</v>
      </c>
      <c r="M90" s="194" t="s">
        <v>490</v>
      </c>
      <c r="N90" s="194" t="s">
        <v>490</v>
      </c>
      <c r="O90" s="194" t="s">
        <v>490</v>
      </c>
      <c r="P90" s="476" t="s">
        <v>490</v>
      </c>
      <c r="Q90" s="190">
        <f>75000/100000</f>
        <v>0.75</v>
      </c>
      <c r="R90" s="191">
        <f>75000/100000</f>
        <v>0.75</v>
      </c>
      <c r="S90" s="191">
        <f>100000/100000</f>
        <v>1</v>
      </c>
      <c r="T90" s="191">
        <f>100000/100000</f>
        <v>1</v>
      </c>
      <c r="U90" s="191">
        <f>100000/100000</f>
        <v>1</v>
      </c>
      <c r="V90" s="191">
        <f>600000/100000</f>
        <v>6</v>
      </c>
      <c r="W90" s="191">
        <f>600000/100000</f>
        <v>6</v>
      </c>
      <c r="X90" s="191">
        <v>12</v>
      </c>
      <c r="Y90" s="191">
        <v>320</v>
      </c>
      <c r="Z90" s="191">
        <f>350-320-12+250</f>
        <v>268</v>
      </c>
      <c r="AA90" s="191">
        <v>320</v>
      </c>
      <c r="AB90" s="187">
        <v>680</v>
      </c>
      <c r="AC90" s="396">
        <v>2000</v>
      </c>
      <c r="AD90" s="397">
        <v>2000</v>
      </c>
      <c r="AE90" s="397">
        <v>3000</v>
      </c>
      <c r="AF90" s="397">
        <v>3000</v>
      </c>
      <c r="AG90" s="397">
        <v>8000</v>
      </c>
      <c r="AH90" s="397">
        <v>8000</v>
      </c>
      <c r="AI90" s="397">
        <v>10000</v>
      </c>
      <c r="AJ90" s="397">
        <v>10000</v>
      </c>
      <c r="AK90" s="397">
        <v>21100</v>
      </c>
      <c r="AL90" s="397">
        <v>32500</v>
      </c>
      <c r="AM90" s="397">
        <v>32500</v>
      </c>
      <c r="AN90" s="398">
        <v>32500</v>
      </c>
      <c r="AO90" s="396">
        <v>136250</v>
      </c>
      <c r="AP90" s="397">
        <f>8750</f>
        <v>8750</v>
      </c>
      <c r="AQ90" s="397"/>
      <c r="AR90" s="397"/>
      <c r="AS90" s="397"/>
      <c r="AT90" s="397"/>
      <c r="AU90" s="397"/>
      <c r="AV90" s="397"/>
      <c r="AW90" s="397"/>
      <c r="AX90" s="397"/>
      <c r="AY90" s="397"/>
      <c r="AZ90" s="398"/>
      <c r="BA90" s="425">
        <f t="shared" si="45"/>
        <v>311218.40000000002</v>
      </c>
    </row>
    <row r="91" spans="1:53" s="29" customFormat="1" ht="20.100000000000001" customHeight="1" x14ac:dyDescent="0.25">
      <c r="A91" s="30" t="str">
        <f>Vecinos!A91</f>
        <v>Familia Gascón Domínguez</v>
      </c>
      <c r="B91" s="31" t="str">
        <f>Vecinos!C91</f>
        <v>Calle Güigüe Nro. 88-70</v>
      </c>
      <c r="C91" s="36" t="str">
        <f>IF(SUMIFS(Vigilancia!$E:$E,Vigilancia!$F:$F,A91,Vigilancia!$J:$J,"Vigilancia")=BA91,"ü","û")</f>
        <v>ü</v>
      </c>
      <c r="D91" s="187"/>
      <c r="E91" s="188">
        <f>10000/100000</f>
        <v>0.1</v>
      </c>
      <c r="F91" s="189">
        <f>10000/100000</f>
        <v>0.1</v>
      </c>
      <c r="G91" s="189">
        <f>10000/100000</f>
        <v>0.1</v>
      </c>
      <c r="H91" s="182">
        <f>17000/100000</f>
        <v>0.17</v>
      </c>
      <c r="I91" s="182">
        <f>26000/100000</f>
        <v>0.26</v>
      </c>
      <c r="J91" s="182">
        <f>26000/100000</f>
        <v>0.26</v>
      </c>
      <c r="K91" s="182">
        <f>35000/100000</f>
        <v>0.35</v>
      </c>
      <c r="L91" s="182">
        <f>35000/100000</f>
        <v>0.35</v>
      </c>
      <c r="M91" s="182">
        <f>35000/100000</f>
        <v>0.35</v>
      </c>
      <c r="N91" s="182">
        <f>35000/100000</f>
        <v>0.35</v>
      </c>
      <c r="O91" s="182">
        <f>50000/100000</f>
        <v>0.5</v>
      </c>
      <c r="P91" s="180">
        <f>50000/100000</f>
        <v>0.5</v>
      </c>
      <c r="Q91" s="184">
        <f>80000/100000</f>
        <v>0.8</v>
      </c>
      <c r="R91" s="185">
        <f>80000/100000</f>
        <v>0.8</v>
      </c>
      <c r="S91" s="185">
        <f>140000/100000</f>
        <v>1.4</v>
      </c>
      <c r="T91" s="185">
        <f>140000/100000</f>
        <v>1.4</v>
      </c>
      <c r="U91" s="185">
        <f>400000/100000</f>
        <v>4</v>
      </c>
      <c r="V91" s="185">
        <f>625000/100000</f>
        <v>6.25</v>
      </c>
      <c r="W91" s="185">
        <f>1000000/100000</f>
        <v>10</v>
      </c>
      <c r="X91" s="185">
        <v>12</v>
      </c>
      <c r="Y91" s="185">
        <v>320</v>
      </c>
      <c r="Z91" s="185">
        <v>320</v>
      </c>
      <c r="AA91" s="185">
        <v>320</v>
      </c>
      <c r="AB91" s="180">
        <v>800</v>
      </c>
      <c r="AC91" s="399">
        <v>3000</v>
      </c>
      <c r="AD91" s="400">
        <v>3000</v>
      </c>
      <c r="AE91" s="405">
        <v>3000</v>
      </c>
      <c r="AF91" s="400">
        <v>5000</v>
      </c>
      <c r="AG91" s="400">
        <v>8000</v>
      </c>
      <c r="AH91" s="400">
        <v>8000</v>
      </c>
      <c r="AI91" s="400">
        <f>8000+2000</f>
        <v>10000</v>
      </c>
      <c r="AJ91" s="400">
        <v>10000</v>
      </c>
      <c r="AK91" s="400">
        <v>21600</v>
      </c>
      <c r="AL91" s="400">
        <f>19800+31450</f>
        <v>51250</v>
      </c>
      <c r="AM91" s="405">
        <v>64500</v>
      </c>
      <c r="AN91" s="401">
        <v>105250</v>
      </c>
      <c r="AO91" s="399">
        <v>136250</v>
      </c>
      <c r="AP91" s="400">
        <v>136250</v>
      </c>
      <c r="AQ91" s="405">
        <v>185250</v>
      </c>
      <c r="AR91" s="400"/>
      <c r="AS91" s="400"/>
      <c r="AT91" s="400"/>
      <c r="AU91" s="400"/>
      <c r="AV91" s="400"/>
      <c r="AW91" s="400"/>
      <c r="AX91" s="400"/>
      <c r="AY91" s="400"/>
      <c r="AZ91" s="401"/>
      <c r="BA91" s="426">
        <f t="shared" si="45"/>
        <v>752150.04</v>
      </c>
    </row>
    <row r="92" spans="1:53" s="29" customFormat="1" ht="20.100000000000001" customHeight="1" x14ac:dyDescent="0.25">
      <c r="A92" s="30" t="str">
        <f>Vecinos!A92</f>
        <v>Colegio El Trigal</v>
      </c>
      <c r="B92" s="31" t="str">
        <f>Vecinos!C92</f>
        <v>Calle Güigüe Nros. 88-71 y 88-81</v>
      </c>
      <c r="C92" s="36" t="str">
        <f>IF(SUMIFS(Vigilancia!$E:$E,Vigilancia!$F:$F,A92,Vigilancia!$J:$J,"Vigilancia")=BA92,"ü","û")</f>
        <v>ü</v>
      </c>
      <c r="D92" s="180"/>
      <c r="E92" s="181">
        <f>10000/100000+20000/100000</f>
        <v>0.30000000000000004</v>
      </c>
      <c r="F92" s="182">
        <f>30000/100000</f>
        <v>0.3</v>
      </c>
      <c r="G92" s="182">
        <f>30000/100000</f>
        <v>0.3</v>
      </c>
      <c r="H92" s="182">
        <f>30000/100000</f>
        <v>0.3</v>
      </c>
      <c r="I92" s="182">
        <f>40000/100000</f>
        <v>0.4</v>
      </c>
      <c r="J92" s="182">
        <f>40000/100000</f>
        <v>0.4</v>
      </c>
      <c r="K92" s="182">
        <f>54000/100000</f>
        <v>0.54</v>
      </c>
      <c r="L92" s="182">
        <f>54000/100000</f>
        <v>0.54</v>
      </c>
      <c r="M92" s="182">
        <f>54000/100000</f>
        <v>0.54</v>
      </c>
      <c r="N92" s="182">
        <f>54000/100000</f>
        <v>0.54</v>
      </c>
      <c r="O92" s="182">
        <f>71000/100000</f>
        <v>0.71</v>
      </c>
      <c r="P92" s="180">
        <f>71000/100000</f>
        <v>0.71</v>
      </c>
      <c r="Q92" s="184">
        <f>113600/100000</f>
        <v>1.1359999999999999</v>
      </c>
      <c r="R92" s="185">
        <f>113600/100000</f>
        <v>1.1359999999999999</v>
      </c>
      <c r="S92" s="185">
        <f>200000/100000</f>
        <v>2</v>
      </c>
      <c r="T92" s="185">
        <f>200000/100000</f>
        <v>2</v>
      </c>
      <c r="U92" s="185">
        <f>580000/100000</f>
        <v>5.8</v>
      </c>
      <c r="V92" s="185">
        <f>905000/100000</f>
        <v>9.0500000000000007</v>
      </c>
      <c r="W92" s="185">
        <f>1450000/100000</f>
        <v>14.5</v>
      </c>
      <c r="X92" s="185">
        <f>1740000/100000</f>
        <v>17.399999999999999</v>
      </c>
      <c r="Y92" s="185">
        <v>465</v>
      </c>
      <c r="Z92" s="185">
        <v>465</v>
      </c>
      <c r="AA92" s="185">
        <v>465</v>
      </c>
      <c r="AB92" s="180">
        <v>1160</v>
      </c>
      <c r="AC92" s="399">
        <f>1160+3190</f>
        <v>4350</v>
      </c>
      <c r="AD92" s="400">
        <v>4350</v>
      </c>
      <c r="AE92" s="400">
        <v>4350</v>
      </c>
      <c r="AF92" s="400">
        <f>4350+2900</f>
        <v>7250</v>
      </c>
      <c r="AG92" s="400">
        <v>11600</v>
      </c>
      <c r="AH92" s="400">
        <v>11600</v>
      </c>
      <c r="AI92" s="400">
        <v>14500</v>
      </c>
      <c r="AJ92" s="405">
        <v>14500</v>
      </c>
      <c r="AK92" s="400">
        <v>29725</v>
      </c>
      <c r="AL92" s="400">
        <f>29435+38715</f>
        <v>68150</v>
      </c>
      <c r="AM92" s="400">
        <v>118540</v>
      </c>
      <c r="AN92" s="401">
        <v>141375</v>
      </c>
      <c r="AO92" s="399">
        <v>197575</v>
      </c>
      <c r="AP92" s="400">
        <v>197575</v>
      </c>
      <c r="AQ92" s="400">
        <v>265615</v>
      </c>
      <c r="AR92" s="400"/>
      <c r="AS92" s="400"/>
      <c r="AT92" s="400"/>
      <c r="AU92" s="400"/>
      <c r="AV92" s="405"/>
      <c r="AW92" s="400"/>
      <c r="AX92" s="400"/>
      <c r="AY92" s="400"/>
      <c r="AZ92" s="401"/>
      <c r="BA92" s="426">
        <f t="shared" si="45"/>
        <v>1093668.602</v>
      </c>
    </row>
    <row r="93" spans="1:53" s="29" customFormat="1" ht="20.100000000000001" customHeight="1" x14ac:dyDescent="0.25">
      <c r="A93" s="33" t="str">
        <f>Vecinos!A93</f>
        <v>Zoraida Khair</v>
      </c>
      <c r="B93" s="34" t="str">
        <f>Vecinos!C93</f>
        <v>Calle Güigüe Nro. 88-80</v>
      </c>
      <c r="C93" s="35" t="str">
        <f>IF(SUMIFS(Vigilancia!$E:$E,Vigilancia!$F:$F,A93,Vigilancia!$J:$J,"Vigilancia")=BA93,"ü","û")</f>
        <v>ü</v>
      </c>
      <c r="D93" s="187"/>
      <c r="E93" s="188"/>
      <c r="F93" s="189">
        <f>6000/100000</f>
        <v>0.06</v>
      </c>
      <c r="G93" s="189"/>
      <c r="H93" s="189"/>
      <c r="I93" s="189">
        <f>10000/100000</f>
        <v>0.1</v>
      </c>
      <c r="J93" s="189">
        <f>25000/100000</f>
        <v>0.25</v>
      </c>
      <c r="K93" s="189">
        <f>25000/100000</f>
        <v>0.25</v>
      </c>
      <c r="L93" s="189">
        <f>25000/100000</f>
        <v>0.25</v>
      </c>
      <c r="M93" s="189">
        <f>25000/100000</f>
        <v>0.25</v>
      </c>
      <c r="N93" s="189">
        <f>40000/100000</f>
        <v>0.4</v>
      </c>
      <c r="O93" s="189">
        <f>40000/100000</f>
        <v>0.4</v>
      </c>
      <c r="P93" s="187">
        <f>40000/100000</f>
        <v>0.4</v>
      </c>
      <c r="Q93" s="190">
        <f>100000/100000</f>
        <v>1</v>
      </c>
      <c r="R93" s="191">
        <f>100000/100000</f>
        <v>1</v>
      </c>
      <c r="S93" s="191">
        <f>100000/100000</f>
        <v>1</v>
      </c>
      <c r="T93" s="191">
        <f>100000/100000</f>
        <v>1</v>
      </c>
      <c r="U93" s="191">
        <f>400000/100000</f>
        <v>4</v>
      </c>
      <c r="V93" s="191">
        <f>625000/100000</f>
        <v>6.25</v>
      </c>
      <c r="W93" s="191">
        <f>1000000/100000</f>
        <v>10</v>
      </c>
      <c r="X93" s="191">
        <f>400000/100000+800000/100000</f>
        <v>12</v>
      </c>
      <c r="Y93" s="191">
        <f>400000/100000+316</f>
        <v>320</v>
      </c>
      <c r="Z93" s="191">
        <v>320</v>
      </c>
      <c r="AA93" s="191">
        <v>320</v>
      </c>
      <c r="AB93" s="187">
        <v>800</v>
      </c>
      <c r="AC93" s="396">
        <v>3000</v>
      </c>
      <c r="AD93" s="397">
        <v>3000</v>
      </c>
      <c r="AE93" s="397">
        <f>345.55+2020</f>
        <v>2365.5500000000002</v>
      </c>
      <c r="AF93" s="397">
        <v>5000</v>
      </c>
      <c r="AG93" s="397">
        <f>4000+4000</f>
        <v>8000</v>
      </c>
      <c r="AH93" s="397">
        <v>8000</v>
      </c>
      <c r="AI93" s="397">
        <v>8000</v>
      </c>
      <c r="AJ93" s="397">
        <v>10000</v>
      </c>
      <c r="AK93" s="397">
        <f>10000+13000</f>
        <v>23000</v>
      </c>
      <c r="AL93" s="397">
        <f>10000+11000+23000+7250</f>
        <v>51250</v>
      </c>
      <c r="AM93" s="397">
        <f>13000+18000+21000</f>
        <v>52000</v>
      </c>
      <c r="AN93" s="398">
        <f>20000+20000</f>
        <v>40000</v>
      </c>
      <c r="AO93" s="396">
        <f>30000+107000</f>
        <v>137000</v>
      </c>
      <c r="AP93" s="397">
        <f>100000+80000+5250</f>
        <v>185250</v>
      </c>
      <c r="AQ93" s="397"/>
      <c r="AR93" s="397"/>
      <c r="AS93" s="397"/>
      <c r="AT93" s="397"/>
      <c r="AU93" s="397"/>
      <c r="AV93" s="397"/>
      <c r="AW93" s="397"/>
      <c r="AX93" s="397"/>
      <c r="AY93" s="397"/>
      <c r="AZ93" s="398"/>
      <c r="BA93" s="425">
        <f t="shared" si="45"/>
        <v>537664.16</v>
      </c>
    </row>
    <row r="94" spans="1:53" s="29" customFormat="1" ht="20.100000000000001" customHeight="1" x14ac:dyDescent="0.25">
      <c r="A94" s="30" t="str">
        <f>Vecinos!A94</f>
        <v>Familia Matta Palomino</v>
      </c>
      <c r="B94" s="31" t="str">
        <f>Vecinos!C94</f>
        <v>Calle Güigüe Nro. 88-90</v>
      </c>
      <c r="C94" s="36" t="str">
        <f>IF(SUMIFS(Vigilancia!$E:$E,Vigilancia!$F:$F,A94,Vigilancia!$J:$J,"Vigilancia")=BA94,"ü","û")</f>
        <v>ü</v>
      </c>
      <c r="D94" s="180"/>
      <c r="E94" s="181">
        <f>17000/100000</f>
        <v>0.17</v>
      </c>
      <c r="F94" s="182">
        <f>17000/100000</f>
        <v>0.17</v>
      </c>
      <c r="G94" s="183">
        <f>16000/100000</f>
        <v>0.16</v>
      </c>
      <c r="H94" s="183">
        <f>16000/100000</f>
        <v>0.16</v>
      </c>
      <c r="I94" s="182">
        <f>26000/100000</f>
        <v>0.26</v>
      </c>
      <c r="J94" s="182">
        <f>26000/100000</f>
        <v>0.26</v>
      </c>
      <c r="K94" s="182">
        <f>35000/100000</f>
        <v>0.35</v>
      </c>
      <c r="L94" s="182">
        <f>35000/100000</f>
        <v>0.35</v>
      </c>
      <c r="M94" s="182">
        <f>2000/100000+33000/100000</f>
        <v>0.35000000000000003</v>
      </c>
      <c r="N94" s="182">
        <f>35000/100000</f>
        <v>0.35</v>
      </c>
      <c r="O94" s="182">
        <f>50000/100000</f>
        <v>0.5</v>
      </c>
      <c r="P94" s="180">
        <f>50000/100000</f>
        <v>0.5</v>
      </c>
      <c r="Q94" s="184">
        <f>80000/100000</f>
        <v>0.8</v>
      </c>
      <c r="R94" s="185">
        <f>80000/100000</f>
        <v>0.8</v>
      </c>
      <c r="S94" s="185">
        <f>140000/100000</f>
        <v>1.4</v>
      </c>
      <c r="T94" s="185">
        <f>140000/100000</f>
        <v>1.4</v>
      </c>
      <c r="U94" s="185">
        <f>400000/100000</f>
        <v>4</v>
      </c>
      <c r="V94" s="185">
        <f>625000/100000</f>
        <v>6.25</v>
      </c>
      <c r="W94" s="185">
        <f>850000/100000+150000/100000</f>
        <v>10</v>
      </c>
      <c r="X94" s="185">
        <f>1200000/100000</f>
        <v>12</v>
      </c>
      <c r="Y94" s="185">
        <v>320</v>
      </c>
      <c r="Z94" s="185">
        <v>320</v>
      </c>
      <c r="AA94" s="185">
        <v>320</v>
      </c>
      <c r="AB94" s="180">
        <v>800</v>
      </c>
      <c r="AC94" s="399">
        <v>3000</v>
      </c>
      <c r="AD94" s="400">
        <v>3000</v>
      </c>
      <c r="AE94" s="400">
        <v>3000</v>
      </c>
      <c r="AF94" s="400">
        <v>5000</v>
      </c>
      <c r="AG94" s="400">
        <v>8000</v>
      </c>
      <c r="AH94" s="400">
        <v>8000</v>
      </c>
      <c r="AI94" s="400">
        <v>10000</v>
      </c>
      <c r="AJ94" s="400">
        <v>10000</v>
      </c>
      <c r="AK94" s="400">
        <v>21100</v>
      </c>
      <c r="AL94" s="400">
        <f>19800+36450+3550</f>
        <v>59800</v>
      </c>
      <c r="AM94" s="400">
        <v>97500</v>
      </c>
      <c r="AN94" s="401">
        <v>136250</v>
      </c>
      <c r="AO94" s="399">
        <v>136250</v>
      </c>
      <c r="AP94" s="400">
        <v>185250</v>
      </c>
      <c r="AQ94" s="400"/>
      <c r="AR94" s="400"/>
      <c r="AS94" s="400"/>
      <c r="AT94" s="400"/>
      <c r="AU94" s="400"/>
      <c r="AV94" s="400"/>
      <c r="AW94" s="400"/>
      <c r="AX94" s="400"/>
      <c r="AY94" s="400"/>
      <c r="AZ94" s="401"/>
      <c r="BA94" s="426">
        <f t="shared" si="45"/>
        <v>687950.23</v>
      </c>
    </row>
    <row r="95" spans="1:53" s="29" customFormat="1" ht="20.100000000000001" customHeight="1" x14ac:dyDescent="0.25">
      <c r="A95" s="30" t="str">
        <f>Vecinos!A95</f>
        <v>Familia Castillo Rodríguez</v>
      </c>
      <c r="B95" s="31" t="str">
        <f>Vecinos!C95</f>
        <v>Calle Güigüe Nro. 88-91</v>
      </c>
      <c r="C95" s="36" t="str">
        <f>IF(SUMIFS(Vigilancia!$E:$E,Vigilancia!$F:$F,A95,Vigilancia!$J:$J,"Vigilancia")=BA95,"ü","û")</f>
        <v>ü</v>
      </c>
      <c r="D95" s="180"/>
      <c r="E95" s="181">
        <f>17000/100000</f>
        <v>0.17</v>
      </c>
      <c r="F95" s="182">
        <f>17000/100000</f>
        <v>0.17</v>
      </c>
      <c r="G95" s="226"/>
      <c r="H95" s="226"/>
      <c r="I95" s="182">
        <f>26000/100000</f>
        <v>0.26</v>
      </c>
      <c r="J95" s="182">
        <f>26000/100000</f>
        <v>0.26</v>
      </c>
      <c r="K95" s="227">
        <f>26000/100000</f>
        <v>0.26</v>
      </c>
      <c r="L95" s="182"/>
      <c r="M95" s="182"/>
      <c r="N95" s="182"/>
      <c r="O95" s="182"/>
      <c r="P95" s="180"/>
      <c r="Q95" s="184"/>
      <c r="R95" s="185"/>
      <c r="S95" s="185"/>
      <c r="T95" s="185"/>
      <c r="U95" s="185"/>
      <c r="V95" s="185"/>
      <c r="W95" s="185"/>
      <c r="X95" s="185"/>
      <c r="Y95" s="185"/>
      <c r="Z95" s="185"/>
      <c r="AA95" s="185"/>
      <c r="AB95" s="180"/>
      <c r="AC95" s="399"/>
      <c r="AD95" s="400"/>
      <c r="AE95" s="400"/>
      <c r="AF95" s="400"/>
      <c r="AG95" s="400"/>
      <c r="AH95" s="400"/>
      <c r="AI95" s="400"/>
      <c r="AJ95" s="400"/>
      <c r="AK95" s="400"/>
      <c r="AL95" s="400">
        <v>159299</v>
      </c>
      <c r="AM95" s="400">
        <v>81750</v>
      </c>
      <c r="AN95" s="401"/>
      <c r="AO95" s="399"/>
      <c r="AP95" s="400"/>
      <c r="AQ95" s="400"/>
      <c r="AR95" s="400"/>
      <c r="AS95" s="400"/>
      <c r="AT95" s="400"/>
      <c r="AU95" s="400"/>
      <c r="AV95" s="400"/>
      <c r="AW95" s="400"/>
      <c r="AX95" s="400"/>
      <c r="AY95" s="400"/>
      <c r="AZ95" s="401"/>
      <c r="BA95" s="426">
        <f t="shared" si="45"/>
        <v>241050.12</v>
      </c>
    </row>
    <row r="96" spans="1:53" s="29" customFormat="1" ht="20.100000000000001" customHeight="1" x14ac:dyDescent="0.25">
      <c r="A96" s="30" t="str">
        <f>Vecinos!A96</f>
        <v>Familia Hernández Castillo</v>
      </c>
      <c r="B96" s="31" t="str">
        <f>Vecinos!C96</f>
        <v>Calle Güigüe Nro. 88-94</v>
      </c>
      <c r="C96" s="36" t="str">
        <f>IF(SUMIFS(Vigilancia!$E:$E,Vigilancia!$F:$F,A96,Vigilancia!$J:$J,"Vigilancia")=BA96,"ü","û")</f>
        <v>ü</v>
      </c>
      <c r="D96" s="180"/>
      <c r="E96" s="181"/>
      <c r="F96" s="182"/>
      <c r="G96" s="182"/>
      <c r="H96" s="182"/>
      <c r="I96" s="182"/>
      <c r="J96" s="182"/>
      <c r="K96" s="182"/>
      <c r="L96" s="182"/>
      <c r="M96" s="182"/>
      <c r="N96" s="182"/>
      <c r="O96" s="182"/>
      <c r="P96" s="180"/>
      <c r="Q96" s="184"/>
      <c r="R96" s="185"/>
      <c r="S96" s="185"/>
      <c r="T96" s="185"/>
      <c r="U96" s="185"/>
      <c r="V96" s="185"/>
      <c r="W96" s="185"/>
      <c r="X96" s="185"/>
      <c r="Y96" s="185"/>
      <c r="Z96" s="185"/>
      <c r="AA96" s="185"/>
      <c r="AB96" s="180"/>
      <c r="AC96" s="399"/>
      <c r="AD96" s="400"/>
      <c r="AE96" s="400"/>
      <c r="AF96" s="400"/>
      <c r="AG96" s="400"/>
      <c r="AH96" s="400"/>
      <c r="AI96" s="400"/>
      <c r="AJ96" s="400"/>
      <c r="AK96" s="400"/>
      <c r="AL96" s="400"/>
      <c r="AM96" s="400"/>
      <c r="AN96" s="401"/>
      <c r="AO96" s="399"/>
      <c r="AP96" s="400"/>
      <c r="AQ96" s="400"/>
      <c r="AR96" s="400"/>
      <c r="AS96" s="400"/>
      <c r="AT96" s="400"/>
      <c r="AU96" s="400"/>
      <c r="AV96" s="400"/>
      <c r="AW96" s="400"/>
      <c r="AX96" s="400"/>
      <c r="AY96" s="400"/>
      <c r="AZ96" s="401"/>
      <c r="BA96" s="426">
        <f t="shared" si="45"/>
        <v>0</v>
      </c>
    </row>
    <row r="97" spans="1:53" s="29" customFormat="1" ht="20.100000000000001" customHeight="1" x14ac:dyDescent="0.25">
      <c r="A97" s="30" t="str">
        <f>Vecinos!A97</f>
        <v>Familia Castillo Mena</v>
      </c>
      <c r="B97" s="31" t="str">
        <f>Vecinos!C97</f>
        <v>Calle Güigüe Nro. 88-101</v>
      </c>
      <c r="C97" s="36" t="str">
        <f>IF(SUMIFS(Vigilancia!$E:$E,Vigilancia!$F:$F,A97,Vigilancia!$J:$J,"Vigilancia")=BA97,"ü","û")</f>
        <v>ü</v>
      </c>
      <c r="D97" s="180"/>
      <c r="E97" s="181">
        <f>17000/100000</f>
        <v>0.17</v>
      </c>
      <c r="F97" s="182">
        <f>17000/100000</f>
        <v>0.17</v>
      </c>
      <c r="G97" s="182">
        <f>17000/100000</f>
        <v>0.17</v>
      </c>
      <c r="H97" s="182">
        <f>17000/100000</f>
        <v>0.17</v>
      </c>
      <c r="I97" s="182">
        <f>26000/100000</f>
        <v>0.26</v>
      </c>
      <c r="J97" s="182">
        <f>26000/100000</f>
        <v>0.26</v>
      </c>
      <c r="K97" s="182">
        <f>35000/100000</f>
        <v>0.35</v>
      </c>
      <c r="L97" s="182">
        <f>35000/100000</f>
        <v>0.35</v>
      </c>
      <c r="M97" s="182">
        <f>35000/100000</f>
        <v>0.35</v>
      </c>
      <c r="N97" s="182">
        <f>35000/100000</f>
        <v>0.35</v>
      </c>
      <c r="O97" s="182">
        <f>50000/100000</f>
        <v>0.5</v>
      </c>
      <c r="P97" s="180">
        <f>50000/100000</f>
        <v>0.5</v>
      </c>
      <c r="Q97" s="184">
        <f>80000/100000</f>
        <v>0.8</v>
      </c>
      <c r="R97" s="185">
        <f>80000/100000</f>
        <v>0.8</v>
      </c>
      <c r="S97" s="185">
        <f>140000/100000</f>
        <v>1.4</v>
      </c>
      <c r="T97" s="185">
        <f>140000/100000</f>
        <v>1.4</v>
      </c>
      <c r="U97" s="185">
        <f>400000/100000</f>
        <v>4</v>
      </c>
      <c r="V97" s="185">
        <f>625000/100000</f>
        <v>6.25</v>
      </c>
      <c r="W97" s="192">
        <f>1075000/100000-625000/100000+550000/100000</f>
        <v>10</v>
      </c>
      <c r="X97" s="185">
        <v>12</v>
      </c>
      <c r="Y97" s="185">
        <v>320</v>
      </c>
      <c r="Z97" s="185">
        <v>320</v>
      </c>
      <c r="AA97" s="185">
        <v>320</v>
      </c>
      <c r="AB97" s="180">
        <v>800</v>
      </c>
      <c r="AC97" s="404">
        <f>800+2200</f>
        <v>3000</v>
      </c>
      <c r="AD97" s="400">
        <v>3000</v>
      </c>
      <c r="AE97" s="400">
        <v>3000</v>
      </c>
      <c r="AF97" s="400">
        <v>5000</v>
      </c>
      <c r="AG97" s="400">
        <v>8000</v>
      </c>
      <c r="AH97" s="400">
        <v>8000</v>
      </c>
      <c r="AI97" s="400">
        <v>10000</v>
      </c>
      <c r="AJ97" s="400">
        <v>10000</v>
      </c>
      <c r="AK97" s="400">
        <v>21100</v>
      </c>
      <c r="AL97" s="400">
        <v>51250</v>
      </c>
      <c r="AM97" s="400">
        <v>81750</v>
      </c>
      <c r="AN97" s="401">
        <v>105250</v>
      </c>
      <c r="AO97" s="404">
        <v>136250</v>
      </c>
      <c r="AP97" s="400">
        <v>136250</v>
      </c>
      <c r="AQ97" s="400"/>
      <c r="AR97" s="400"/>
      <c r="AS97" s="400"/>
      <c r="AT97" s="400"/>
      <c r="AU97" s="400"/>
      <c r="AV97" s="400"/>
      <c r="AW97" s="400"/>
      <c r="AX97" s="400"/>
      <c r="AY97" s="400"/>
      <c r="AZ97" s="401"/>
      <c r="BA97" s="426">
        <f t="shared" si="45"/>
        <v>583650.25</v>
      </c>
    </row>
    <row r="98" spans="1:53" s="29" customFormat="1" ht="20.100000000000001" customHeight="1" x14ac:dyDescent="0.25">
      <c r="A98" s="30" t="str">
        <f>Vecinos!A98</f>
        <v>Familia Centeno Rizzo</v>
      </c>
      <c r="B98" s="31" t="str">
        <f>Vecinos!C98</f>
        <v>Calle Güigüe Nro. 88-102</v>
      </c>
      <c r="C98" s="36" t="str">
        <f>IF(SUMIFS(Vigilancia!$E:$E,Vigilancia!$F:$F,A98,Vigilancia!$J:$J,"Vigilancia")=BA98,"ü","û")</f>
        <v>ü</v>
      </c>
      <c r="D98" s="180"/>
      <c r="E98" s="181"/>
      <c r="F98" s="182"/>
      <c r="G98" s="182"/>
      <c r="H98" s="182"/>
      <c r="I98" s="182"/>
      <c r="J98" s="182"/>
      <c r="K98" s="182"/>
      <c r="L98" s="182"/>
      <c r="M98" s="182"/>
      <c r="N98" s="182"/>
      <c r="O98" s="182"/>
      <c r="P98" s="180"/>
      <c r="Q98" s="184"/>
      <c r="R98" s="185"/>
      <c r="S98" s="185"/>
      <c r="T98" s="185"/>
      <c r="U98" s="185"/>
      <c r="V98" s="185"/>
      <c r="W98" s="185"/>
      <c r="X98" s="185"/>
      <c r="Y98" s="185"/>
      <c r="Z98" s="185"/>
      <c r="AA98" s="185"/>
      <c r="AB98" s="180"/>
      <c r="AC98" s="399"/>
      <c r="AD98" s="400"/>
      <c r="AE98" s="400"/>
      <c r="AF98" s="400"/>
      <c r="AG98" s="400"/>
      <c r="AH98" s="400"/>
      <c r="AI98" s="400"/>
      <c r="AJ98" s="400"/>
      <c r="AK98" s="400"/>
      <c r="AL98" s="400"/>
      <c r="AM98" s="400"/>
      <c r="AN98" s="401"/>
      <c r="AO98" s="399"/>
      <c r="AP98" s="400"/>
      <c r="AQ98" s="400"/>
      <c r="AR98" s="400"/>
      <c r="AS98" s="400"/>
      <c r="AT98" s="400"/>
      <c r="AU98" s="400"/>
      <c r="AV98" s="400"/>
      <c r="AW98" s="400"/>
      <c r="AX98" s="400"/>
      <c r="AY98" s="400"/>
      <c r="AZ98" s="401"/>
      <c r="BA98" s="426">
        <f t="shared" si="45"/>
        <v>0</v>
      </c>
    </row>
    <row r="99" spans="1:53" s="29" customFormat="1" ht="20.100000000000001" customHeight="1" x14ac:dyDescent="0.25">
      <c r="A99" s="33" t="str">
        <f>Vecinos!A99</f>
        <v>Familia Pérez Malpica</v>
      </c>
      <c r="B99" s="34" t="str">
        <f>Vecinos!C99</f>
        <v>Calle Güigüe Nro. 88-110</v>
      </c>
      <c r="C99" s="35" t="str">
        <f>IF(SUMIFS(Vigilancia!$E:$E,Vigilancia!$F:$F,A99,Vigilancia!$J:$J,"Vigilancia")=BA99,"ü","û")</f>
        <v>ü</v>
      </c>
      <c r="D99" s="187"/>
      <c r="E99" s="188">
        <f>2000/100000</f>
        <v>0.02</v>
      </c>
      <c r="F99" s="189"/>
      <c r="G99" s="189"/>
      <c r="H99" s="189"/>
      <c r="I99" s="189"/>
      <c r="J99" s="189"/>
      <c r="K99" s="189"/>
      <c r="L99" s="189"/>
      <c r="M99" s="189"/>
      <c r="N99" s="189"/>
      <c r="O99" s="189"/>
      <c r="P99" s="187"/>
      <c r="Q99" s="190"/>
      <c r="R99" s="191"/>
      <c r="S99" s="191"/>
      <c r="T99" s="191"/>
      <c r="U99" s="191"/>
      <c r="V99" s="191"/>
      <c r="W99" s="191"/>
      <c r="X99" s="191"/>
      <c r="Y99" s="191"/>
      <c r="Z99" s="191"/>
      <c r="AA99" s="191"/>
      <c r="AB99" s="187"/>
      <c r="AC99" s="396"/>
      <c r="AD99" s="397"/>
      <c r="AE99" s="397"/>
      <c r="AF99" s="397"/>
      <c r="AG99" s="397"/>
      <c r="AH99" s="397"/>
      <c r="AI99" s="397"/>
      <c r="AJ99" s="397"/>
      <c r="AK99" s="397"/>
      <c r="AL99" s="397"/>
      <c r="AM99" s="397"/>
      <c r="AN99" s="398"/>
      <c r="AO99" s="396"/>
      <c r="AP99" s="397"/>
      <c r="AQ99" s="397"/>
      <c r="AR99" s="397"/>
      <c r="AS99" s="397"/>
      <c r="AT99" s="397"/>
      <c r="AU99" s="397"/>
      <c r="AV99" s="397"/>
      <c r="AW99" s="397"/>
      <c r="AX99" s="397"/>
      <c r="AY99" s="397"/>
      <c r="AZ99" s="398"/>
      <c r="BA99" s="425">
        <f t="shared" si="45"/>
        <v>0.02</v>
      </c>
    </row>
    <row r="100" spans="1:53" s="29" customFormat="1" ht="20.100000000000001" customHeight="1" x14ac:dyDescent="0.25">
      <c r="A100" s="30" t="str">
        <f>Vecinos!A100</f>
        <v>Familia Astor Zamora</v>
      </c>
      <c r="B100" s="31" t="str">
        <f>Vecinos!C100</f>
        <v>Calle Güigüe Nro. 88-111</v>
      </c>
      <c r="C100" s="36" t="str">
        <f>IF(SUMIFS(Vigilancia!$E:$E,Vigilancia!$F:$F,A100,Vigilancia!$J:$J,"Vigilancia")=BA100,"ü","û")</f>
        <v>ü</v>
      </c>
      <c r="D100" s="180"/>
      <c r="E100" s="181">
        <f t="shared" ref="E100:H103" si="54">17000/100000</f>
        <v>0.17</v>
      </c>
      <c r="F100" s="182">
        <f t="shared" si="54"/>
        <v>0.17</v>
      </c>
      <c r="G100" s="182">
        <f t="shared" si="54"/>
        <v>0.17</v>
      </c>
      <c r="H100" s="182">
        <f t="shared" si="54"/>
        <v>0.17</v>
      </c>
      <c r="I100" s="182">
        <f t="shared" ref="I100:J103" si="55">26000/100000</f>
        <v>0.26</v>
      </c>
      <c r="J100" s="182">
        <f t="shared" si="55"/>
        <v>0.26</v>
      </c>
      <c r="K100" s="182">
        <f>35000/100000</f>
        <v>0.35</v>
      </c>
      <c r="L100" s="182">
        <f>35000/100000</f>
        <v>0.35</v>
      </c>
      <c r="M100" s="182"/>
      <c r="N100" s="182"/>
      <c r="O100" s="182"/>
      <c r="P100" s="180"/>
      <c r="Q100" s="184">
        <f>80000/100000</f>
        <v>0.8</v>
      </c>
      <c r="R100" s="185">
        <f>80000/100000</f>
        <v>0.8</v>
      </c>
      <c r="S100" s="185">
        <f t="shared" ref="S100:T103" si="56">140000/100000</f>
        <v>1.4</v>
      </c>
      <c r="T100" s="185">
        <f t="shared" si="56"/>
        <v>1.4</v>
      </c>
      <c r="U100" s="185">
        <f>400000/100000</f>
        <v>4</v>
      </c>
      <c r="V100" s="193">
        <v>3.25</v>
      </c>
      <c r="W100" s="185">
        <v>10</v>
      </c>
      <c r="X100" s="185">
        <v>12</v>
      </c>
      <c r="Y100" s="185">
        <v>320</v>
      </c>
      <c r="Z100" s="185">
        <v>320</v>
      </c>
      <c r="AA100" s="185">
        <v>320</v>
      </c>
      <c r="AB100" s="180">
        <v>800</v>
      </c>
      <c r="AC100" s="399">
        <v>3000</v>
      </c>
      <c r="AD100" s="400">
        <v>3000</v>
      </c>
      <c r="AE100" s="400">
        <v>3000</v>
      </c>
      <c r="AF100" s="400">
        <v>5000</v>
      </c>
      <c r="AG100" s="400">
        <f>5000+3000</f>
        <v>8000</v>
      </c>
      <c r="AH100" s="400">
        <v>8000</v>
      </c>
      <c r="AI100" s="400">
        <v>10000</v>
      </c>
      <c r="AJ100" s="400">
        <v>10000</v>
      </c>
      <c r="AK100" s="400">
        <v>19800</v>
      </c>
      <c r="AL100" s="400">
        <v>56250</v>
      </c>
      <c r="AM100" s="400"/>
      <c r="AN100" s="401"/>
      <c r="AO100" s="399"/>
      <c r="AP100" s="400"/>
      <c r="AQ100" s="400"/>
      <c r="AR100" s="400"/>
      <c r="AS100" s="400"/>
      <c r="AT100" s="400"/>
      <c r="AU100" s="400"/>
      <c r="AV100" s="400"/>
      <c r="AW100" s="400"/>
      <c r="AX100" s="400"/>
      <c r="AY100" s="400"/>
      <c r="AZ100" s="401"/>
      <c r="BA100" s="426">
        <f t="shared" si="45"/>
        <v>127845.55</v>
      </c>
    </row>
    <row r="101" spans="1:53" s="29" customFormat="1" ht="20.100000000000001" customHeight="1" x14ac:dyDescent="0.25">
      <c r="A101" s="30" t="str">
        <f>Vecinos!A101</f>
        <v>Familia Díaz González</v>
      </c>
      <c r="B101" s="31" t="str">
        <f>Vecinos!C101</f>
        <v>Calle Güigüe Nro. 88-116</v>
      </c>
      <c r="C101" s="36" t="str">
        <f>IF(SUMIFS(Vigilancia!$E:$E,Vigilancia!$F:$F,A101,Vigilancia!$J:$J,"Vigilancia")=BA101,"ü","û")</f>
        <v>ü</v>
      </c>
      <c r="D101" s="180"/>
      <c r="E101" s="181">
        <f t="shared" si="54"/>
        <v>0.17</v>
      </c>
      <c r="F101" s="182">
        <f t="shared" si="54"/>
        <v>0.17</v>
      </c>
      <c r="G101" s="182">
        <f t="shared" si="54"/>
        <v>0.17</v>
      </c>
      <c r="H101" s="182">
        <f t="shared" si="54"/>
        <v>0.17</v>
      </c>
      <c r="I101" s="182">
        <f t="shared" si="55"/>
        <v>0.26</v>
      </c>
      <c r="J101" s="182">
        <f t="shared" si="55"/>
        <v>0.26</v>
      </c>
      <c r="K101" s="182">
        <f>26000/100000+9000/100000</f>
        <v>0.35</v>
      </c>
      <c r="L101" s="182">
        <f t="shared" ref="L101:N103" si="57">35000/100000</f>
        <v>0.35</v>
      </c>
      <c r="M101" s="182">
        <f t="shared" si="57"/>
        <v>0.35</v>
      </c>
      <c r="N101" s="182">
        <f t="shared" si="57"/>
        <v>0.35</v>
      </c>
      <c r="O101" s="182">
        <f>50000/100000</f>
        <v>0.5</v>
      </c>
      <c r="P101" s="180">
        <f>50000/100000</f>
        <v>0.5</v>
      </c>
      <c r="Q101" s="184">
        <f>80000/100000</f>
        <v>0.8</v>
      </c>
      <c r="R101" s="185">
        <f>80000/100000</f>
        <v>0.8</v>
      </c>
      <c r="S101" s="185">
        <f t="shared" si="56"/>
        <v>1.4</v>
      </c>
      <c r="T101" s="185">
        <f t="shared" si="56"/>
        <v>1.4</v>
      </c>
      <c r="U101" s="185">
        <f>400000/100000</f>
        <v>4</v>
      </c>
      <c r="V101" s="185">
        <f>625000/100000</f>
        <v>6.25</v>
      </c>
      <c r="W101" s="185">
        <f>1000000/100000</f>
        <v>10</v>
      </c>
      <c r="X101" s="185">
        <f>1200000/100000</f>
        <v>12</v>
      </c>
      <c r="Y101" s="185">
        <v>320</v>
      </c>
      <c r="Z101" s="185">
        <v>320</v>
      </c>
      <c r="AA101" s="185">
        <v>320</v>
      </c>
      <c r="AB101" s="180">
        <v>800</v>
      </c>
      <c r="AC101" s="399">
        <v>3000</v>
      </c>
      <c r="AD101" s="400">
        <v>3000</v>
      </c>
      <c r="AE101" s="400">
        <v>3000</v>
      </c>
      <c r="AF101" s="400">
        <v>5000</v>
      </c>
      <c r="AG101" s="400">
        <v>8000</v>
      </c>
      <c r="AH101" s="400">
        <v>8000</v>
      </c>
      <c r="AI101" s="400">
        <v>10000</v>
      </c>
      <c r="AJ101" s="400">
        <v>10000</v>
      </c>
      <c r="AK101" s="400">
        <v>19800</v>
      </c>
      <c r="AL101" s="400">
        <v>47000</v>
      </c>
      <c r="AM101" s="400">
        <v>64500</v>
      </c>
      <c r="AN101" s="401">
        <v>64500</v>
      </c>
      <c r="AO101" s="399">
        <v>136250</v>
      </c>
      <c r="AP101" s="400">
        <v>136250</v>
      </c>
      <c r="AQ101" s="400"/>
      <c r="AR101" s="400"/>
      <c r="AS101" s="400"/>
      <c r="AT101" s="400"/>
      <c r="AU101" s="400"/>
      <c r="AV101" s="400"/>
      <c r="AW101" s="400"/>
      <c r="AX101" s="400"/>
      <c r="AY101" s="400"/>
      <c r="AZ101" s="401"/>
      <c r="BA101" s="426">
        <f t="shared" si="45"/>
        <v>520100.25</v>
      </c>
    </row>
    <row r="102" spans="1:53" s="29" customFormat="1" ht="20.100000000000001" customHeight="1" x14ac:dyDescent="0.25">
      <c r="A102" s="30" t="str">
        <f>Vecinos!A102</f>
        <v>Familia Loponte Arteaga</v>
      </c>
      <c r="B102" s="31" t="str">
        <f>Vecinos!C102</f>
        <v>Calle Güigüe Nro. 88-120</v>
      </c>
      <c r="C102" s="36" t="str">
        <f>IF(SUMIFS(Vigilancia!$E:$E,Vigilancia!$F:$F,A102,Vigilancia!$J:$J,"Vigilancia")=BA102,"ü","û")</f>
        <v>ü</v>
      </c>
      <c r="D102" s="180"/>
      <c r="E102" s="196">
        <f>10500/100000</f>
        <v>0.105</v>
      </c>
      <c r="F102" s="182">
        <f t="shared" si="54"/>
        <v>0.17</v>
      </c>
      <c r="G102" s="182">
        <f t="shared" si="54"/>
        <v>0.17</v>
      </c>
      <c r="H102" s="182">
        <f t="shared" si="54"/>
        <v>0.17</v>
      </c>
      <c r="I102" s="182">
        <f t="shared" si="55"/>
        <v>0.26</v>
      </c>
      <c r="J102" s="182">
        <f t="shared" si="55"/>
        <v>0.26</v>
      </c>
      <c r="K102" s="227">
        <f>26000/100000</f>
        <v>0.26</v>
      </c>
      <c r="L102" s="182">
        <f t="shared" si="57"/>
        <v>0.35</v>
      </c>
      <c r="M102" s="182">
        <f t="shared" si="57"/>
        <v>0.35</v>
      </c>
      <c r="N102" s="182">
        <f t="shared" si="57"/>
        <v>0.35</v>
      </c>
      <c r="O102" s="182">
        <f>35000/100000+15000/100000</f>
        <v>0.5</v>
      </c>
      <c r="P102" s="180">
        <f>50000/100000</f>
        <v>0.5</v>
      </c>
      <c r="Q102" s="184">
        <f>50000/100000+30000/100000</f>
        <v>0.8</v>
      </c>
      <c r="R102" s="185">
        <f>80000/100000</f>
        <v>0.8</v>
      </c>
      <c r="S102" s="185">
        <f t="shared" si="56"/>
        <v>1.4</v>
      </c>
      <c r="T102" s="185">
        <f t="shared" si="56"/>
        <v>1.4</v>
      </c>
      <c r="U102" s="185">
        <f>400000/100000</f>
        <v>4</v>
      </c>
      <c r="V102" s="185">
        <f>400000/100000+225000/100000</f>
        <v>6.25</v>
      </c>
      <c r="W102" s="185">
        <f>400000/100000+600000/100000</f>
        <v>10</v>
      </c>
      <c r="X102" s="185">
        <f>1000000/100000+200000/100000</f>
        <v>12</v>
      </c>
      <c r="Y102" s="192">
        <f>1200000/100000+27+281</f>
        <v>320</v>
      </c>
      <c r="Z102" s="192">
        <v>320</v>
      </c>
      <c r="AA102" s="185">
        <v>320</v>
      </c>
      <c r="AB102" s="370">
        <f>320+180</f>
        <v>500</v>
      </c>
      <c r="AC102" s="404">
        <f>800+2200</f>
        <v>3000</v>
      </c>
      <c r="AD102" s="400">
        <f>300+2700</f>
        <v>3000</v>
      </c>
      <c r="AE102" s="400">
        <f>800+2200</f>
        <v>3000</v>
      </c>
      <c r="AF102" s="400">
        <f>3000+2000</f>
        <v>5000</v>
      </c>
      <c r="AG102" s="400">
        <f>3000+2000+3000</f>
        <v>8000</v>
      </c>
      <c r="AH102" s="400">
        <f>5000-3000+6000</f>
        <v>8000</v>
      </c>
      <c r="AI102" s="400">
        <v>10000</v>
      </c>
      <c r="AJ102" s="400">
        <v>10000</v>
      </c>
      <c r="AK102" s="575">
        <f>10000+10000</f>
        <v>20000</v>
      </c>
      <c r="AL102" s="400">
        <v>47000</v>
      </c>
      <c r="AM102" s="400">
        <v>56250</v>
      </c>
      <c r="AN102" s="401">
        <v>97500</v>
      </c>
      <c r="AO102" s="404">
        <v>136250</v>
      </c>
      <c r="AP102" s="400">
        <v>136250</v>
      </c>
      <c r="AQ102" s="400">
        <v>185250</v>
      </c>
      <c r="AR102" s="400"/>
      <c r="AS102" s="400"/>
      <c r="AT102" s="400"/>
      <c r="AU102" s="400"/>
      <c r="AV102" s="400"/>
      <c r="AW102" s="400"/>
      <c r="AX102" s="400"/>
      <c r="AY102" s="400"/>
      <c r="AZ102" s="401"/>
      <c r="BA102" s="426">
        <f t="shared" si="45"/>
        <v>730000.09499999997</v>
      </c>
    </row>
    <row r="103" spans="1:53" s="29" customFormat="1" ht="20.100000000000001" customHeight="1" x14ac:dyDescent="0.25">
      <c r="A103" s="59" t="str">
        <f>Vecinos!A103</f>
        <v>Familia Sayago Peñaranda</v>
      </c>
      <c r="B103" s="60" t="str">
        <f>Vecinos!C103</f>
        <v>Calle Güigüe Nro. 89-04</v>
      </c>
      <c r="C103" s="36" t="str">
        <f>IF(SUMIFS(Vigilancia!$E:$E,Vigilancia!$F:$F,A103,Vigilancia!$J:$J,"Vigilancia")=BA103,"ü","û")</f>
        <v>ü</v>
      </c>
      <c r="D103" s="180"/>
      <c r="E103" s="181">
        <f>17000/100000</f>
        <v>0.17</v>
      </c>
      <c r="F103" s="182">
        <f t="shared" si="54"/>
        <v>0.17</v>
      </c>
      <c r="G103" s="182">
        <f t="shared" si="54"/>
        <v>0.17</v>
      </c>
      <c r="H103" s="182">
        <f t="shared" si="54"/>
        <v>0.17</v>
      </c>
      <c r="I103" s="182">
        <f t="shared" si="55"/>
        <v>0.26</v>
      </c>
      <c r="J103" s="182">
        <f t="shared" si="55"/>
        <v>0.26</v>
      </c>
      <c r="K103" s="182">
        <f>35000/100000</f>
        <v>0.35</v>
      </c>
      <c r="L103" s="182">
        <f t="shared" si="57"/>
        <v>0.35</v>
      </c>
      <c r="M103" s="182">
        <f t="shared" si="57"/>
        <v>0.35</v>
      </c>
      <c r="N103" s="182">
        <f t="shared" si="57"/>
        <v>0.35</v>
      </c>
      <c r="O103" s="182">
        <f>35600/100000+14400/100000</f>
        <v>0.5</v>
      </c>
      <c r="P103" s="180">
        <f>34800/100000+15200/100000</f>
        <v>0.5</v>
      </c>
      <c r="Q103" s="184">
        <f>80000/100000</f>
        <v>0.8</v>
      </c>
      <c r="R103" s="185">
        <f>80000/100000</f>
        <v>0.8</v>
      </c>
      <c r="S103" s="185">
        <f t="shared" si="56"/>
        <v>1.4</v>
      </c>
      <c r="T103" s="185">
        <f t="shared" si="56"/>
        <v>1.4</v>
      </c>
      <c r="U103" s="225"/>
      <c r="V103" s="225"/>
      <c r="W103" s="225"/>
      <c r="X103" s="225"/>
      <c r="Y103" s="225"/>
      <c r="Z103" s="225"/>
      <c r="AA103" s="225"/>
      <c r="AB103" s="223"/>
      <c r="AC103" s="415"/>
      <c r="AD103" s="416"/>
      <c r="AE103" s="416"/>
      <c r="AF103" s="416"/>
      <c r="AG103" s="416"/>
      <c r="AH103" s="416"/>
      <c r="AI103" s="416"/>
      <c r="AJ103" s="416"/>
      <c r="AK103" s="416"/>
      <c r="AL103" s="416"/>
      <c r="AM103" s="416"/>
      <c r="AN103" s="417"/>
      <c r="AO103" s="415"/>
      <c r="AP103" s="416"/>
      <c r="AQ103" s="416"/>
      <c r="AR103" s="416"/>
      <c r="AS103" s="416"/>
      <c r="AT103" s="416"/>
      <c r="AU103" s="416"/>
      <c r="AV103" s="416"/>
      <c r="AW103" s="416"/>
      <c r="AX103" s="416"/>
      <c r="AY103" s="416"/>
      <c r="AZ103" s="417"/>
      <c r="BA103" s="430">
        <f t="shared" si="45"/>
        <v>8</v>
      </c>
    </row>
    <row r="104" spans="1:53" s="29" customFormat="1" ht="20.100000000000001" customHeight="1" x14ac:dyDescent="0.25">
      <c r="A104" s="30" t="str">
        <f>Vecinos!A104</f>
        <v>Carmen Moreno</v>
      </c>
      <c r="B104" s="31" t="str">
        <f>Vecinos!C104</f>
        <v>Calle Güigüe Nro. 89-04</v>
      </c>
      <c r="C104" s="36" t="str">
        <f>IF(SUMIFS(Vigilancia!$E:$E,Vigilancia!$F:$F,A104,Vigilancia!$J:$J,"Vigilancia")=BA104,"ü","û")</f>
        <v>ü</v>
      </c>
      <c r="D104" s="208"/>
      <c r="E104" s="209"/>
      <c r="F104" s="210"/>
      <c r="G104" s="210"/>
      <c r="H104" s="210"/>
      <c r="I104" s="210"/>
      <c r="J104" s="210"/>
      <c r="K104" s="210"/>
      <c r="L104" s="210"/>
      <c r="M104" s="210"/>
      <c r="N104" s="210"/>
      <c r="O104" s="210"/>
      <c r="P104" s="208"/>
      <c r="Q104" s="211"/>
      <c r="R104" s="212"/>
      <c r="S104" s="212"/>
      <c r="T104" s="212"/>
      <c r="U104" s="185">
        <f>400000/100000</f>
        <v>4</v>
      </c>
      <c r="V104" s="185">
        <f>400000/100000+225000/100000</f>
        <v>6.25</v>
      </c>
      <c r="W104" s="185">
        <f>850000/100000+150000/100000</f>
        <v>10</v>
      </c>
      <c r="X104" s="185">
        <f>1200000/100000</f>
        <v>12</v>
      </c>
      <c r="Y104" s="185">
        <v>320</v>
      </c>
      <c r="Z104" s="192">
        <v>320</v>
      </c>
      <c r="AA104" s="185">
        <v>320</v>
      </c>
      <c r="AB104" s="180">
        <v>800</v>
      </c>
      <c r="AC104" s="404">
        <f>800+2200</f>
        <v>3000</v>
      </c>
      <c r="AD104" s="400">
        <v>3000</v>
      </c>
      <c r="AE104" s="400">
        <v>3000</v>
      </c>
      <c r="AF104" s="400">
        <f>3000+2000</f>
        <v>5000</v>
      </c>
      <c r="AG104" s="400">
        <v>8000</v>
      </c>
      <c r="AH104" s="400">
        <v>8000</v>
      </c>
      <c r="AI104" s="400">
        <v>10000</v>
      </c>
      <c r="AJ104" s="400">
        <v>10000</v>
      </c>
      <c r="AK104" s="400">
        <v>23400</v>
      </c>
      <c r="AL104" s="400">
        <f>21100+25900</f>
        <v>47000</v>
      </c>
      <c r="AM104" s="400">
        <v>73500</v>
      </c>
      <c r="AN104" s="401">
        <v>97500</v>
      </c>
      <c r="AO104" s="404">
        <v>136250</v>
      </c>
      <c r="AP104" s="400">
        <v>136250</v>
      </c>
      <c r="AQ104" s="400">
        <v>185250</v>
      </c>
      <c r="AR104" s="400"/>
      <c r="AS104" s="400"/>
      <c r="AT104" s="400"/>
      <c r="AU104" s="400"/>
      <c r="AV104" s="400"/>
      <c r="AW104" s="400"/>
      <c r="AX104" s="400"/>
      <c r="AY104" s="400"/>
      <c r="AZ104" s="401"/>
      <c r="BA104" s="426">
        <f t="shared" si="45"/>
        <v>750942.25</v>
      </c>
    </row>
    <row r="105" spans="1:53" s="29" customFormat="1" ht="20.100000000000001" customHeight="1" x14ac:dyDescent="0.25">
      <c r="A105" s="30" t="str">
        <f>Vecinos!A105</f>
        <v>Familia Acosta Carpio</v>
      </c>
      <c r="B105" s="31" t="str">
        <f>Vecinos!C105</f>
        <v>Calle Güigüe Nro. 89-10</v>
      </c>
      <c r="C105" s="36" t="str">
        <f>IF(SUMIFS(Vigilancia!$E:$E,Vigilancia!$F:$F,A105,Vigilancia!$J:$J,"Vigilancia")=BA105,"ü","û")</f>
        <v>ü</v>
      </c>
      <c r="D105" s="180"/>
      <c r="E105" s="181">
        <f>17000/100000</f>
        <v>0.17</v>
      </c>
      <c r="F105" s="182">
        <f>17000/100000</f>
        <v>0.17</v>
      </c>
      <c r="G105" s="182">
        <f>17000/100000</f>
        <v>0.17</v>
      </c>
      <c r="H105" s="182">
        <f>17000/100000</f>
        <v>0.17</v>
      </c>
      <c r="I105" s="182">
        <f>26000/100000</f>
        <v>0.26</v>
      </c>
      <c r="J105" s="182">
        <f>13000/100000+13000/100000</f>
        <v>0.26</v>
      </c>
      <c r="K105" s="182">
        <f>35000/100000</f>
        <v>0.35</v>
      </c>
      <c r="L105" s="182">
        <f>35000/100000</f>
        <v>0.35</v>
      </c>
      <c r="M105" s="182">
        <f>35000/100000</f>
        <v>0.35</v>
      </c>
      <c r="N105" s="182">
        <f>35000/100000</f>
        <v>0.35</v>
      </c>
      <c r="O105" s="182">
        <f>50000/100000</f>
        <v>0.5</v>
      </c>
      <c r="P105" s="180">
        <f>50000/100000</f>
        <v>0.5</v>
      </c>
      <c r="Q105" s="184">
        <f>80000/100000</f>
        <v>0.8</v>
      </c>
      <c r="R105" s="185">
        <f>80000/100000</f>
        <v>0.8</v>
      </c>
      <c r="S105" s="185">
        <f>140000/100000</f>
        <v>1.4</v>
      </c>
      <c r="T105" s="185">
        <f>140000/100000</f>
        <v>1.4</v>
      </c>
      <c r="U105" s="185">
        <f>400000/100000</f>
        <v>4</v>
      </c>
      <c r="V105" s="185">
        <f>625000/100000</f>
        <v>6.25</v>
      </c>
      <c r="W105" s="192">
        <f>375000/100000+625000/100000</f>
        <v>10</v>
      </c>
      <c r="X105" s="185">
        <f>1200000/100000</f>
        <v>12</v>
      </c>
      <c r="Y105" s="185">
        <v>320</v>
      </c>
      <c r="Z105" s="185">
        <v>320</v>
      </c>
      <c r="AA105" s="376"/>
      <c r="AB105" s="180">
        <v>800</v>
      </c>
      <c r="AC105" s="399">
        <v>3000</v>
      </c>
      <c r="AD105" s="400">
        <v>3000</v>
      </c>
      <c r="AE105" s="400">
        <v>3000</v>
      </c>
      <c r="AF105" s="400">
        <v>5000</v>
      </c>
      <c r="AG105" s="400">
        <v>8000</v>
      </c>
      <c r="AH105" s="400">
        <v>8000</v>
      </c>
      <c r="AI105" s="400">
        <v>10000</v>
      </c>
      <c r="AJ105" s="400">
        <v>10000</v>
      </c>
      <c r="AK105" s="400">
        <v>19800</v>
      </c>
      <c r="AL105" s="400">
        <v>52000</v>
      </c>
      <c r="AM105" s="400">
        <v>64500</v>
      </c>
      <c r="AN105" s="401">
        <v>105250</v>
      </c>
      <c r="AO105" s="399"/>
      <c r="AP105" s="400"/>
      <c r="AQ105" s="400"/>
      <c r="AR105" s="400"/>
      <c r="AS105" s="400"/>
      <c r="AT105" s="400"/>
      <c r="AU105" s="400"/>
      <c r="AV105" s="400"/>
      <c r="AW105" s="400"/>
      <c r="AX105" s="400"/>
      <c r="AY105" s="400"/>
      <c r="AZ105" s="401"/>
      <c r="BA105" s="426">
        <f t="shared" si="45"/>
        <v>293030.25</v>
      </c>
    </row>
    <row r="106" spans="1:53" s="29" customFormat="1" ht="20.100000000000001" customHeight="1" x14ac:dyDescent="0.25">
      <c r="A106" s="30" t="str">
        <f>Vecinos!A106</f>
        <v>Familia Acosta Saravia</v>
      </c>
      <c r="B106" s="31" t="str">
        <f>Vecinos!C106</f>
        <v>Calle Güigüe Nro. 89-10</v>
      </c>
      <c r="C106" s="36" t="str">
        <f>IF(SUMIFS(Vigilancia!$E:$E,Vigilancia!$F:$F,A106,Vigilancia!$J:$J,"Vigilancia")=BA106,"ü","û")</f>
        <v>ü</v>
      </c>
      <c r="D106" s="180"/>
      <c r="E106" s="181"/>
      <c r="F106" s="182"/>
      <c r="G106" s="182"/>
      <c r="H106" s="182"/>
      <c r="I106" s="182"/>
      <c r="J106" s="182"/>
      <c r="K106" s="182"/>
      <c r="L106" s="182"/>
      <c r="M106" s="182"/>
      <c r="N106" s="182"/>
      <c r="O106" s="182"/>
      <c r="P106" s="180"/>
      <c r="Q106" s="184"/>
      <c r="R106" s="185"/>
      <c r="S106" s="185"/>
      <c r="T106" s="185"/>
      <c r="U106" s="185"/>
      <c r="V106" s="185"/>
      <c r="W106" s="192"/>
      <c r="X106" s="185"/>
      <c r="Y106" s="185"/>
      <c r="Z106" s="185"/>
      <c r="AA106" s="376"/>
      <c r="AB106" s="180"/>
      <c r="AC106" s="399"/>
      <c r="AD106" s="400"/>
      <c r="AE106" s="400"/>
      <c r="AF106" s="400"/>
      <c r="AG106" s="400"/>
      <c r="AH106" s="400"/>
      <c r="AI106" s="400"/>
      <c r="AJ106" s="400"/>
      <c r="AK106" s="400"/>
      <c r="AL106" s="400"/>
      <c r="AM106" s="400"/>
      <c r="AN106" s="401"/>
      <c r="AO106" s="399"/>
      <c r="AP106" s="400">
        <v>186000</v>
      </c>
      <c r="AQ106" s="400">
        <v>186000</v>
      </c>
      <c r="AR106" s="400"/>
      <c r="AS106" s="400"/>
      <c r="AT106" s="400"/>
      <c r="AU106" s="400"/>
      <c r="AV106" s="400"/>
      <c r="AW106" s="400"/>
      <c r="AX106" s="400"/>
      <c r="AY106" s="400"/>
      <c r="AZ106" s="401"/>
      <c r="BA106" s="426">
        <f t="shared" ref="BA106" si="58">SUM(D106:AZ106)</f>
        <v>372000</v>
      </c>
    </row>
    <row r="107" spans="1:53" s="29" customFormat="1" ht="20.100000000000001" customHeight="1" x14ac:dyDescent="0.25">
      <c r="A107" s="33" t="str">
        <f>Vecinos!A107</f>
        <v>Silvia Power</v>
      </c>
      <c r="B107" s="34" t="str">
        <f>Vecinos!C107</f>
        <v>Calle Güigüe Nro. 89-16</v>
      </c>
      <c r="C107" s="35" t="str">
        <f>IF(SUMIFS(Vigilancia!$E:$E,Vigilancia!$F:$F,A107,Vigilancia!$J:$J,"Vigilancia")=BA107,"ü","û")</f>
        <v>ü</v>
      </c>
      <c r="D107" s="187"/>
      <c r="E107" s="188">
        <f>1500/100000</f>
        <v>1.4999999999999999E-2</v>
      </c>
      <c r="F107" s="189">
        <f>1500/100000</f>
        <v>1.4999999999999999E-2</v>
      </c>
      <c r="G107" s="228" t="s">
        <v>17</v>
      </c>
      <c r="H107" s="228" t="s">
        <v>17</v>
      </c>
      <c r="I107" s="228" t="s">
        <v>17</v>
      </c>
      <c r="J107" s="228" t="s">
        <v>17</v>
      </c>
      <c r="K107" s="228" t="s">
        <v>17</v>
      </c>
      <c r="L107" s="228" t="s">
        <v>17</v>
      </c>
      <c r="M107" s="228" t="s">
        <v>17</v>
      </c>
      <c r="N107" s="228" t="s">
        <v>17</v>
      </c>
      <c r="O107" s="228" t="s">
        <v>17</v>
      </c>
      <c r="P107" s="229" t="s">
        <v>17</v>
      </c>
      <c r="Q107" s="230" t="s">
        <v>17</v>
      </c>
      <c r="R107" s="191">
        <f>80000/100000</f>
        <v>0.8</v>
      </c>
      <c r="S107" s="191">
        <f>140000/100000</f>
        <v>1.4</v>
      </c>
      <c r="T107" s="191">
        <f>140000/100000</f>
        <v>1.4</v>
      </c>
      <c r="U107" s="191">
        <f>400000/100000-200000/100000</f>
        <v>2</v>
      </c>
      <c r="V107" s="191">
        <f>625000/100000-200000/100000</f>
        <v>4.25</v>
      </c>
      <c r="W107" s="191">
        <f>1000000/100000</f>
        <v>10</v>
      </c>
      <c r="X107" s="191"/>
      <c r="Y107" s="191"/>
      <c r="Z107" s="191"/>
      <c r="AA107" s="191"/>
      <c r="AB107" s="187"/>
      <c r="AC107" s="396"/>
      <c r="AD107" s="397"/>
      <c r="AE107" s="397"/>
      <c r="AF107" s="397">
        <v>5000</v>
      </c>
      <c r="AG107" s="397">
        <v>5000</v>
      </c>
      <c r="AH107" s="397">
        <v>5000</v>
      </c>
      <c r="AI107" s="397">
        <f>3500+1500</f>
        <v>5000</v>
      </c>
      <c r="AJ107" s="397">
        <v>5000</v>
      </c>
      <c r="AK107" s="397">
        <f>3500</f>
        <v>3500</v>
      </c>
      <c r="AL107" s="397">
        <v>16000</v>
      </c>
      <c r="AM107" s="397">
        <v>17000</v>
      </c>
      <c r="AN107" s="398">
        <v>17000</v>
      </c>
      <c r="AO107" s="396">
        <f>182800/2</f>
        <v>91400</v>
      </c>
      <c r="AP107" s="397">
        <f>182800/2</f>
        <v>91400</v>
      </c>
      <c r="AQ107" s="397"/>
      <c r="AR107" s="397"/>
      <c r="AS107" s="397"/>
      <c r="AT107" s="397"/>
      <c r="AU107" s="397"/>
      <c r="AV107" s="397"/>
      <c r="AW107" s="397"/>
      <c r="AX107" s="397"/>
      <c r="AY107" s="397"/>
      <c r="AZ107" s="398"/>
      <c r="BA107" s="425">
        <f t="shared" si="45"/>
        <v>261319.88</v>
      </c>
    </row>
    <row r="108" spans="1:53" s="29" customFormat="1" ht="20.100000000000001" customHeight="1" x14ac:dyDescent="0.25">
      <c r="A108" s="33" t="str">
        <f>Vecinos!A108</f>
        <v>Mibzar Cárdenas</v>
      </c>
      <c r="B108" s="34" t="str">
        <f>Vecinos!C108</f>
        <v>Calle Güigüe Nro. 89-16</v>
      </c>
      <c r="C108" s="35" t="str">
        <f>IF(SUMIFS(Vigilancia!$E:$E,Vigilancia!$F:$F,A108,Vigilancia!$J:$J,"Vigilancia")=BA108,"ü","û")</f>
        <v>ü</v>
      </c>
      <c r="D108" s="187"/>
      <c r="E108" s="188"/>
      <c r="F108" s="189"/>
      <c r="G108" s="228"/>
      <c r="H108" s="228"/>
      <c r="I108" s="228"/>
      <c r="J108" s="228"/>
      <c r="K108" s="228"/>
      <c r="L108" s="228"/>
      <c r="M108" s="228"/>
      <c r="N108" s="228"/>
      <c r="O108" s="228"/>
      <c r="P108" s="229"/>
      <c r="Q108" s="230"/>
      <c r="R108" s="191"/>
      <c r="S108" s="191"/>
      <c r="T108" s="191"/>
      <c r="U108" s="191"/>
      <c r="V108" s="191"/>
      <c r="W108" s="191"/>
      <c r="X108" s="191"/>
      <c r="Y108" s="191"/>
      <c r="Z108" s="191"/>
      <c r="AA108" s="191"/>
      <c r="AB108" s="187"/>
      <c r="AC108" s="396"/>
      <c r="AD108" s="397"/>
      <c r="AE108" s="397"/>
      <c r="AF108" s="397"/>
      <c r="AG108" s="397"/>
      <c r="AH108" s="397"/>
      <c r="AI108" s="397"/>
      <c r="AJ108" s="397"/>
      <c r="AK108" s="397"/>
      <c r="AL108" s="397"/>
      <c r="AM108" s="397"/>
      <c r="AN108" s="398"/>
      <c r="AO108" s="396"/>
      <c r="AP108" s="397"/>
      <c r="AQ108" s="397"/>
      <c r="AR108" s="397"/>
      <c r="AS108" s="397"/>
      <c r="AT108" s="397"/>
      <c r="AU108" s="397"/>
      <c r="AV108" s="397"/>
      <c r="AW108" s="397"/>
      <c r="AX108" s="397"/>
      <c r="AY108" s="397"/>
      <c r="AZ108" s="398"/>
      <c r="BA108" s="425">
        <f t="shared" si="45"/>
        <v>0</v>
      </c>
    </row>
    <row r="109" spans="1:53" s="29" customFormat="1" ht="20.100000000000001" customHeight="1" x14ac:dyDescent="0.25">
      <c r="A109" s="30" t="str">
        <f>Vecinos!A109</f>
        <v>Familia Piñero Padilla</v>
      </c>
      <c r="B109" s="31" t="str">
        <f>Vecinos!C109</f>
        <v>Calle Güigüe Nro. 89-21</v>
      </c>
      <c r="C109" s="36" t="str">
        <f>IF(SUMIFS(Vigilancia!$E:$E,Vigilancia!$F:$F,A109,Vigilancia!$J:$J,"Vigilancia")=BA109,"ü","û")</f>
        <v>ü</v>
      </c>
      <c r="D109" s="180"/>
      <c r="E109" s="181">
        <f>17000/100000</f>
        <v>0.17</v>
      </c>
      <c r="F109" s="182">
        <f>17000/100000</f>
        <v>0.17</v>
      </c>
      <c r="G109" s="182">
        <f>17000/100000</f>
        <v>0.17</v>
      </c>
      <c r="H109" s="182">
        <f>17000/100000</f>
        <v>0.17</v>
      </c>
      <c r="I109" s="182">
        <f>26000/100000</f>
        <v>0.26</v>
      </c>
      <c r="J109" s="182">
        <f>26000/100000</f>
        <v>0.26</v>
      </c>
      <c r="K109" s="182">
        <f t="shared" ref="K109:N110" si="59">35000/100000</f>
        <v>0.35</v>
      </c>
      <c r="L109" s="182">
        <f t="shared" si="59"/>
        <v>0.35</v>
      </c>
      <c r="M109" s="182">
        <f t="shared" si="59"/>
        <v>0.35</v>
      </c>
      <c r="N109" s="182">
        <f t="shared" si="59"/>
        <v>0.35</v>
      </c>
      <c r="O109" s="182">
        <f>50000/100000</f>
        <v>0.5</v>
      </c>
      <c r="P109" s="180">
        <f>50000/100000</f>
        <v>0.5</v>
      </c>
      <c r="Q109" s="184">
        <f>50000/100000+12450/100000+17550/100000</f>
        <v>0.8</v>
      </c>
      <c r="R109" s="185">
        <f>80000/100000</f>
        <v>0.8</v>
      </c>
      <c r="S109" s="185">
        <f>100000/100000-80000/100000-17550/100000+97550/100000+40000/100000</f>
        <v>1.4</v>
      </c>
      <c r="T109" s="185">
        <f>140000/100000</f>
        <v>1.4</v>
      </c>
      <c r="U109" s="185">
        <f>400000/100000</f>
        <v>4</v>
      </c>
      <c r="V109" s="185">
        <f>625000/100000</f>
        <v>6.25</v>
      </c>
      <c r="W109" s="185">
        <f>1000000/100000</f>
        <v>10</v>
      </c>
      <c r="X109" s="185">
        <v>12</v>
      </c>
      <c r="Y109" s="185">
        <v>320</v>
      </c>
      <c r="Z109" s="185">
        <v>320</v>
      </c>
      <c r="AA109" s="185">
        <v>320</v>
      </c>
      <c r="AB109" s="180">
        <v>800</v>
      </c>
      <c r="AC109" s="404">
        <f>800+2200</f>
        <v>3000</v>
      </c>
      <c r="AD109" s="400">
        <v>3000</v>
      </c>
      <c r="AE109" s="400">
        <v>3000</v>
      </c>
      <c r="AF109" s="400">
        <v>5000</v>
      </c>
      <c r="AG109" s="400">
        <v>8000</v>
      </c>
      <c r="AH109" s="400">
        <v>8000</v>
      </c>
      <c r="AI109" s="400">
        <v>10000</v>
      </c>
      <c r="AJ109" s="400">
        <v>10000</v>
      </c>
      <c r="AK109" s="405">
        <v>20500</v>
      </c>
      <c r="AL109" s="400">
        <v>73500</v>
      </c>
      <c r="AM109" s="400">
        <v>73500</v>
      </c>
      <c r="AN109" s="401">
        <f>105250+31000</f>
        <v>136250</v>
      </c>
      <c r="AO109" s="404">
        <v>185250</v>
      </c>
      <c r="AP109" s="400">
        <v>185250</v>
      </c>
      <c r="AQ109" s="400">
        <v>185250</v>
      </c>
      <c r="AR109" s="400"/>
      <c r="AS109" s="400"/>
      <c r="AT109" s="400"/>
      <c r="AU109" s="400"/>
      <c r="AV109" s="400"/>
      <c r="AW109" s="400"/>
      <c r="AX109" s="400"/>
      <c r="AY109" s="400"/>
      <c r="AZ109" s="401"/>
      <c r="BA109" s="426">
        <f t="shared" si="45"/>
        <v>911300.25</v>
      </c>
    </row>
    <row r="110" spans="1:53" s="29" customFormat="1" ht="20.100000000000001" customHeight="1" x14ac:dyDescent="0.25">
      <c r="A110" s="59" t="str">
        <f>Vecinos!A110</f>
        <v>Familia Navarrete Medina</v>
      </c>
      <c r="B110" s="60" t="str">
        <f>Vecinos!C110</f>
        <v>Calle Güigüe Nro. 89-22</v>
      </c>
      <c r="C110" s="36" t="str">
        <f>IF(SUMIFS(Vigilancia!$E:$E,Vigilancia!$F:$F,A110,Vigilancia!$J:$J,"Vigilancia")=BA110,"ü","û")</f>
        <v>ü</v>
      </c>
      <c r="D110" s="180"/>
      <c r="E110" s="181"/>
      <c r="F110" s="182"/>
      <c r="G110" s="182"/>
      <c r="H110" s="182"/>
      <c r="I110" s="182"/>
      <c r="J110" s="182"/>
      <c r="K110" s="182">
        <f t="shared" si="59"/>
        <v>0.35</v>
      </c>
      <c r="L110" s="182">
        <f t="shared" si="59"/>
        <v>0.35</v>
      </c>
      <c r="M110" s="182">
        <f t="shared" si="59"/>
        <v>0.35</v>
      </c>
      <c r="N110" s="182">
        <f t="shared" si="59"/>
        <v>0.35</v>
      </c>
      <c r="O110" s="182">
        <f>50000/100000</f>
        <v>0.5</v>
      </c>
      <c r="P110" s="180">
        <f>50000/100000</f>
        <v>0.5</v>
      </c>
      <c r="Q110" s="184">
        <f>80000/100000</f>
        <v>0.8</v>
      </c>
      <c r="R110" s="185">
        <f>80000/100000</f>
        <v>0.8</v>
      </c>
      <c r="S110" s="185">
        <f>140000/100000</f>
        <v>1.4</v>
      </c>
      <c r="T110" s="185">
        <f>140000/100000</f>
        <v>1.4</v>
      </c>
      <c r="U110" s="185">
        <f>400000/100000</f>
        <v>4</v>
      </c>
      <c r="V110" s="185">
        <f>625000/100000</f>
        <v>6.25</v>
      </c>
      <c r="W110" s="185">
        <f>800000/100000-625000/100000+825000/100000</f>
        <v>10</v>
      </c>
      <c r="X110" s="192">
        <f>50000/100000+11.5</f>
        <v>12</v>
      </c>
      <c r="Y110" s="185">
        <v>320</v>
      </c>
      <c r="Z110" s="185">
        <v>320</v>
      </c>
      <c r="AA110" s="185">
        <v>320</v>
      </c>
      <c r="AB110" s="180">
        <v>800</v>
      </c>
      <c r="AC110" s="399">
        <v>3000</v>
      </c>
      <c r="AD110" s="400">
        <v>3000</v>
      </c>
      <c r="AE110" s="400">
        <v>3000</v>
      </c>
      <c r="AF110" s="400">
        <v>5000</v>
      </c>
      <c r="AG110" s="400">
        <v>8000</v>
      </c>
      <c r="AH110" s="537" t="s">
        <v>1177</v>
      </c>
      <c r="AI110" s="403"/>
      <c r="AJ110" s="403"/>
      <c r="AK110" s="403"/>
      <c r="AL110" s="403"/>
      <c r="AM110" s="403"/>
      <c r="AN110" s="414"/>
      <c r="AO110" s="413"/>
      <c r="AP110" s="403"/>
      <c r="AQ110" s="403"/>
      <c r="AR110" s="403"/>
      <c r="AS110" s="403"/>
      <c r="AT110" s="537"/>
      <c r="AU110" s="403"/>
      <c r="AV110" s="403"/>
      <c r="AW110" s="403"/>
      <c r="AX110" s="403"/>
      <c r="AY110" s="403"/>
      <c r="AZ110" s="414"/>
      <c r="BA110" s="429">
        <f t="shared" si="45"/>
        <v>23799.05</v>
      </c>
    </row>
    <row r="111" spans="1:53" s="29" customFormat="1" ht="20.100000000000001" customHeight="1" x14ac:dyDescent="0.25">
      <c r="A111" s="30" t="str">
        <f>Vecinos!A111</f>
        <v>Familia Rodríguez Girón</v>
      </c>
      <c r="B111" s="31" t="str">
        <f>Vecinos!C111</f>
        <v>Calle Güigüe Nro. 89-22</v>
      </c>
      <c r="C111" s="36" t="str">
        <f>IF(SUMIFS(Vigilancia!$E:$E,Vigilancia!$F:$F,A111,Vigilancia!$J:$J,"Vigilancia")=BA111,"ü","û")</f>
        <v>ü</v>
      </c>
      <c r="D111" s="523"/>
      <c r="E111" s="524"/>
      <c r="F111" s="525"/>
      <c r="G111" s="525"/>
      <c r="H111" s="525"/>
      <c r="I111" s="525"/>
      <c r="J111" s="525"/>
      <c r="K111" s="525"/>
      <c r="L111" s="525"/>
      <c r="M111" s="525"/>
      <c r="N111" s="525"/>
      <c r="O111" s="525"/>
      <c r="P111" s="523"/>
      <c r="Q111" s="526"/>
      <c r="R111" s="527"/>
      <c r="S111" s="527"/>
      <c r="T111" s="527"/>
      <c r="U111" s="527"/>
      <c r="V111" s="527"/>
      <c r="W111" s="527"/>
      <c r="X111" s="527"/>
      <c r="Y111" s="527"/>
      <c r="Z111" s="527"/>
      <c r="AA111" s="527"/>
      <c r="AB111" s="523"/>
      <c r="AC111" s="528"/>
      <c r="AD111" s="529"/>
      <c r="AE111" s="529"/>
      <c r="AF111" s="529"/>
      <c r="AG111" s="529"/>
      <c r="AH111" s="400">
        <v>8000</v>
      </c>
      <c r="AI111" s="400">
        <v>10000</v>
      </c>
      <c r="AJ111" s="400">
        <v>10000</v>
      </c>
      <c r="AK111" s="509">
        <v>21100</v>
      </c>
      <c r="AL111" s="400">
        <f>19800+28800</f>
        <v>48600</v>
      </c>
      <c r="AM111" s="509">
        <v>60000</v>
      </c>
      <c r="AN111" s="401">
        <v>81750</v>
      </c>
      <c r="AO111" s="404">
        <v>136250</v>
      </c>
      <c r="AP111" s="400">
        <v>136250</v>
      </c>
      <c r="AQ111" s="400">
        <v>185250</v>
      </c>
      <c r="AR111" s="400"/>
      <c r="AS111" s="400"/>
      <c r="AT111" s="400"/>
      <c r="AU111" s="400"/>
      <c r="AV111" s="400"/>
      <c r="AW111" s="400"/>
      <c r="AX111" s="400"/>
      <c r="AY111" s="400"/>
      <c r="AZ111" s="401"/>
      <c r="BA111" s="426">
        <f t="shared" si="45"/>
        <v>697200</v>
      </c>
    </row>
    <row r="112" spans="1:53" s="29" customFormat="1" ht="20.100000000000001" customHeight="1" x14ac:dyDescent="0.25">
      <c r="A112" s="33" t="str">
        <f>Vecinos!A112</f>
        <v>Familia Rodríguez Landaeta</v>
      </c>
      <c r="B112" s="34" t="str">
        <f>Vecinos!C112</f>
        <v>Calle Güigüe Nro. 89-29</v>
      </c>
      <c r="C112" s="35" t="str">
        <f>IF(SUMIFS(Vigilancia!$E:$E,Vigilancia!$F:$F,A112,Vigilancia!$J:$J,"Vigilancia")=BA112,"ü","û")</f>
        <v>ü</v>
      </c>
      <c r="D112" s="187"/>
      <c r="E112" s="188"/>
      <c r="F112" s="189"/>
      <c r="G112" s="189"/>
      <c r="H112" s="189">
        <f>10000/100000</f>
        <v>0.1</v>
      </c>
      <c r="I112" s="189">
        <f>10000/100000</f>
        <v>0.1</v>
      </c>
      <c r="J112" s="189">
        <f>13000/100000</f>
        <v>0.13</v>
      </c>
      <c r="K112" s="189">
        <f>15000/100000</f>
        <v>0.15</v>
      </c>
      <c r="L112" s="189">
        <f>15000/100000</f>
        <v>0.15</v>
      </c>
      <c r="M112" s="189">
        <f>17000/100000</f>
        <v>0.17</v>
      </c>
      <c r="N112" s="189">
        <f>15000/100000</f>
        <v>0.15</v>
      </c>
      <c r="O112" s="189">
        <f>15000/100000</f>
        <v>0.15</v>
      </c>
      <c r="P112" s="187">
        <f>17000/100000</f>
        <v>0.17</v>
      </c>
      <c r="Q112" s="190">
        <f>40000/100000</f>
        <v>0.4</v>
      </c>
      <c r="R112" s="191">
        <f>40000/100000</f>
        <v>0.4</v>
      </c>
      <c r="S112" s="191">
        <f>80000/100000</f>
        <v>0.8</v>
      </c>
      <c r="T112" s="191">
        <f>80000/100000</f>
        <v>0.8</v>
      </c>
      <c r="U112" s="191">
        <f>200000/100000</f>
        <v>2</v>
      </c>
      <c r="V112" s="191">
        <f>200000/100000+100000/100000</f>
        <v>3</v>
      </c>
      <c r="W112" s="191">
        <f>500000/100000</f>
        <v>5</v>
      </c>
      <c r="X112" s="191">
        <v>12</v>
      </c>
      <c r="Y112" s="191">
        <v>320</v>
      </c>
      <c r="Z112" s="191">
        <v>250</v>
      </c>
      <c r="AA112" s="191">
        <v>250</v>
      </c>
      <c r="AB112" s="187">
        <v>400</v>
      </c>
      <c r="AC112" s="396">
        <v>600</v>
      </c>
      <c r="AD112" s="397">
        <v>1500</v>
      </c>
      <c r="AE112" s="397">
        <v>2000</v>
      </c>
      <c r="AF112" s="397">
        <v>2500</v>
      </c>
      <c r="AG112" s="397">
        <f>2500</f>
        <v>2500</v>
      </c>
      <c r="AH112" s="397">
        <v>5000</v>
      </c>
      <c r="AI112" s="397">
        <v>5000</v>
      </c>
      <c r="AJ112" s="397">
        <v>5000</v>
      </c>
      <c r="AK112" s="397">
        <v>10000</v>
      </c>
      <c r="AL112" s="397">
        <v>10000</v>
      </c>
      <c r="AM112" s="397">
        <v>25000</v>
      </c>
      <c r="AN112" s="398">
        <v>55600</v>
      </c>
      <c r="AO112" s="396">
        <v>55600</v>
      </c>
      <c r="AP112" s="397">
        <v>55600</v>
      </c>
      <c r="AQ112" s="397"/>
      <c r="AR112" s="397"/>
      <c r="AS112" s="397"/>
      <c r="AT112" s="397"/>
      <c r="AU112" s="397"/>
      <c r="AV112" s="397"/>
      <c r="AW112" s="397"/>
      <c r="AX112" s="397"/>
      <c r="AY112" s="397"/>
      <c r="AZ112" s="398"/>
      <c r="BA112" s="425">
        <f t="shared" si="45"/>
        <v>237145.66999999998</v>
      </c>
    </row>
    <row r="113" spans="1:53" s="29" customFormat="1" ht="20.100000000000001" customHeight="1" x14ac:dyDescent="0.25">
      <c r="A113" s="30" t="str">
        <f>Vecinos!A113</f>
        <v>Familia Molina Estopiñán</v>
      </c>
      <c r="B113" s="31" t="str">
        <f>Vecinos!C113</f>
        <v>Calle Güigüe Nro. 89-30</v>
      </c>
      <c r="C113" s="36" t="str">
        <f>IF(SUMIFS(Vigilancia!$E:$E,Vigilancia!$F:$F,A113,Vigilancia!$J:$J,"Vigilancia")=BA113,"ü","û")</f>
        <v>ü</v>
      </c>
      <c r="D113" s="180"/>
      <c r="E113" s="181"/>
      <c r="F113" s="182"/>
      <c r="G113" s="182"/>
      <c r="H113" s="182"/>
      <c r="I113" s="182"/>
      <c r="J113" s="182"/>
      <c r="K113" s="182"/>
      <c r="L113" s="182"/>
      <c r="M113" s="182"/>
      <c r="N113" s="182"/>
      <c r="O113" s="182"/>
      <c r="P113" s="180"/>
      <c r="Q113" s="184"/>
      <c r="R113" s="185"/>
      <c r="S113" s="185"/>
      <c r="T113" s="185"/>
      <c r="U113" s="185"/>
      <c r="V113" s="185"/>
      <c r="W113" s="185"/>
      <c r="X113" s="185"/>
      <c r="Y113" s="185"/>
      <c r="Z113" s="185"/>
      <c r="AA113" s="185"/>
      <c r="AB113" s="180"/>
      <c r="AC113" s="399"/>
      <c r="AD113" s="400"/>
      <c r="AE113" s="400"/>
      <c r="AF113" s="400"/>
      <c r="AG113" s="400"/>
      <c r="AH113" s="400"/>
      <c r="AI113" s="400"/>
      <c r="AJ113" s="400"/>
      <c r="AK113" s="400"/>
      <c r="AL113" s="400"/>
      <c r="AM113" s="400"/>
      <c r="AN113" s="401"/>
      <c r="AO113" s="399"/>
      <c r="AP113" s="400"/>
      <c r="AQ113" s="400"/>
      <c r="AR113" s="400"/>
      <c r="AS113" s="400"/>
      <c r="AT113" s="400"/>
      <c r="AU113" s="400"/>
      <c r="AV113" s="400"/>
      <c r="AW113" s="400"/>
      <c r="AX113" s="400"/>
      <c r="AY113" s="400"/>
      <c r="AZ113" s="401"/>
      <c r="BA113" s="426">
        <f t="shared" si="45"/>
        <v>0</v>
      </c>
    </row>
    <row r="114" spans="1:53" s="29" customFormat="1" ht="20.100000000000001" customHeight="1" x14ac:dyDescent="0.25">
      <c r="A114" s="33" t="str">
        <f>Vecinos!A114</f>
        <v>Familia Sirit Palencia</v>
      </c>
      <c r="B114" s="34" t="str">
        <f>Vecinos!C114</f>
        <v>Calle Güigüe Nro. 89-35</v>
      </c>
      <c r="C114" s="35" t="str">
        <f>IF(SUMIFS(Vigilancia!$E:$E,Vigilancia!$F:$F,A114,Vigilancia!$J:$J,"Vigilancia")=BA114,"ü","û")</f>
        <v>ü</v>
      </c>
      <c r="D114" s="187"/>
      <c r="E114" s="188"/>
      <c r="F114" s="189"/>
      <c r="G114" s="189"/>
      <c r="H114" s="189">
        <f>5000/100000</f>
        <v>0.05</v>
      </c>
      <c r="I114" s="189"/>
      <c r="J114" s="189"/>
      <c r="K114" s="189"/>
      <c r="L114" s="189">
        <f>10000/100000</f>
        <v>0.1</v>
      </c>
      <c r="M114" s="189">
        <f>10000/100000</f>
        <v>0.1</v>
      </c>
      <c r="N114" s="189"/>
      <c r="O114" s="189"/>
      <c r="P114" s="187"/>
      <c r="Q114" s="190"/>
      <c r="R114" s="191"/>
      <c r="S114" s="191"/>
      <c r="T114" s="191"/>
      <c r="U114" s="191"/>
      <c r="V114" s="191"/>
      <c r="W114" s="191">
        <f>500000/100000</f>
        <v>5</v>
      </c>
      <c r="X114" s="191"/>
      <c r="Y114" s="191"/>
      <c r="Z114" s="191">
        <v>320</v>
      </c>
      <c r="AA114" s="191">
        <v>320</v>
      </c>
      <c r="AB114" s="187">
        <v>800</v>
      </c>
      <c r="AC114" s="396">
        <f>160+640+160</f>
        <v>960</v>
      </c>
      <c r="AD114" s="397">
        <v>1500</v>
      </c>
      <c r="AE114" s="397">
        <v>3000</v>
      </c>
      <c r="AF114" s="397">
        <f>3000+2000</f>
        <v>5000</v>
      </c>
      <c r="AG114" s="397">
        <v>8000</v>
      </c>
      <c r="AH114" s="397">
        <v>8000</v>
      </c>
      <c r="AI114" s="397">
        <v>10000</v>
      </c>
      <c r="AJ114" s="397">
        <v>10000</v>
      </c>
      <c r="AK114" s="397">
        <v>21600</v>
      </c>
      <c r="AL114" s="397">
        <f>21100</f>
        <v>21100</v>
      </c>
      <c r="AM114" s="397">
        <v>100000</v>
      </c>
      <c r="AN114" s="398">
        <v>100000</v>
      </c>
      <c r="AO114" s="396"/>
      <c r="AP114" s="397"/>
      <c r="AQ114" s="397"/>
      <c r="AR114" s="397"/>
      <c r="AS114" s="397"/>
      <c r="AT114" s="397"/>
      <c r="AU114" s="397"/>
      <c r="AV114" s="397"/>
      <c r="AW114" s="397"/>
      <c r="AX114" s="397"/>
      <c r="AY114" s="397"/>
      <c r="AZ114" s="398"/>
      <c r="BA114" s="425">
        <f t="shared" si="45"/>
        <v>290605.25</v>
      </c>
    </row>
    <row r="115" spans="1:53" s="29" customFormat="1" ht="20.100000000000001" customHeight="1" x14ac:dyDescent="0.25">
      <c r="A115" s="30" t="str">
        <f>Vecinos!A115</f>
        <v>Familia Guerra Miret</v>
      </c>
      <c r="B115" s="31" t="str">
        <f>Vecinos!C115</f>
        <v>Calle Güigüe Nro. 89-40</v>
      </c>
      <c r="C115" s="36" t="str">
        <f>IF(SUMIFS(Vigilancia!$E:$E,Vigilancia!$F:$F,A115,Vigilancia!$J:$J,"Vigilancia")=BA115,"ü","û")</f>
        <v>ü</v>
      </c>
      <c r="D115" s="180"/>
      <c r="E115" s="196">
        <f>12000/100000</f>
        <v>0.12</v>
      </c>
      <c r="F115" s="183">
        <f>12000/100000</f>
        <v>0.12</v>
      </c>
      <c r="G115" s="183">
        <f>12000/100000</f>
        <v>0.12</v>
      </c>
      <c r="H115" s="182">
        <f>17000/100000</f>
        <v>0.17</v>
      </c>
      <c r="I115" s="226"/>
      <c r="J115" s="182">
        <f>26000/100000</f>
        <v>0.26</v>
      </c>
      <c r="K115" s="182">
        <f>1000/100000+34000/100000</f>
        <v>0.35000000000000003</v>
      </c>
      <c r="L115" s="182">
        <f>1000/100000+34000/100000</f>
        <v>0.35000000000000003</v>
      </c>
      <c r="M115" s="182">
        <f>1000/100000+34000/100000</f>
        <v>0.35000000000000003</v>
      </c>
      <c r="N115" s="182">
        <f>1000/100000+34000/100000</f>
        <v>0.35000000000000003</v>
      </c>
      <c r="O115" s="182">
        <f>50000/100000</f>
        <v>0.5</v>
      </c>
      <c r="P115" s="180">
        <f>50000/100000</f>
        <v>0.5</v>
      </c>
      <c r="Q115" s="184">
        <f>50000/100000+30000/100000</f>
        <v>0.8</v>
      </c>
      <c r="R115" s="185">
        <f>80000/100000</f>
        <v>0.8</v>
      </c>
      <c r="S115" s="185">
        <f>80000/100000+60000/100000</f>
        <v>1.4</v>
      </c>
      <c r="T115" s="185">
        <f>80000/100000+60000/100000</f>
        <v>1.4</v>
      </c>
      <c r="U115" s="185">
        <f>400000/100000</f>
        <v>4</v>
      </c>
      <c r="V115" s="185">
        <f>400000/100000+225000/100000</f>
        <v>6.25</v>
      </c>
      <c r="W115" s="185">
        <f>1000000/100000</f>
        <v>10</v>
      </c>
      <c r="X115" s="185">
        <f>1200000/100000</f>
        <v>12</v>
      </c>
      <c r="Y115" s="185">
        <v>320</v>
      </c>
      <c r="Z115" s="185">
        <v>320</v>
      </c>
      <c r="AA115" s="185">
        <v>320</v>
      </c>
      <c r="AB115" s="366">
        <v>800</v>
      </c>
      <c r="AC115" s="399">
        <f>800+2200</f>
        <v>3000</v>
      </c>
      <c r="AD115" s="400">
        <v>3000</v>
      </c>
      <c r="AE115" s="400">
        <v>3000</v>
      </c>
      <c r="AF115" s="400">
        <f>3000+2000</f>
        <v>5000</v>
      </c>
      <c r="AG115" s="400">
        <f>5000+3000</f>
        <v>8000</v>
      </c>
      <c r="AH115" s="400">
        <v>8000</v>
      </c>
      <c r="AI115" s="400">
        <v>10000</v>
      </c>
      <c r="AJ115" s="400">
        <v>10000</v>
      </c>
      <c r="AK115" s="400">
        <v>23400</v>
      </c>
      <c r="AL115" s="400">
        <f>21100+25900+4250</f>
        <v>51250</v>
      </c>
      <c r="AM115" s="400">
        <v>51250</v>
      </c>
      <c r="AN115" s="401">
        <v>81750</v>
      </c>
      <c r="AO115" s="399">
        <v>105250</v>
      </c>
      <c r="AP115" s="400">
        <v>136250</v>
      </c>
      <c r="AQ115" s="400">
        <v>185250</v>
      </c>
      <c r="AR115" s="400"/>
      <c r="AS115" s="400"/>
      <c r="AT115" s="400"/>
      <c r="AU115" s="400"/>
      <c r="AV115" s="400"/>
      <c r="AW115" s="400"/>
      <c r="AX115" s="400"/>
      <c r="AY115" s="400"/>
      <c r="AZ115" s="401"/>
      <c r="BA115" s="426">
        <f t="shared" si="45"/>
        <v>686199.84</v>
      </c>
    </row>
    <row r="116" spans="1:53" s="29" customFormat="1" ht="20.100000000000001" customHeight="1" x14ac:dyDescent="0.25">
      <c r="A116" s="30" t="str">
        <f>Vecinos!A116</f>
        <v>Familia Jiménez Salvatierra</v>
      </c>
      <c r="B116" s="31" t="str">
        <f>Vecinos!C116</f>
        <v>Calle Güigüe Nro. 89-45</v>
      </c>
      <c r="C116" s="36" t="str">
        <f>IF(SUMIFS(Vigilancia!$E:$E,Vigilancia!$F:$F,A116,Vigilancia!$J:$J,"Vigilancia")=BA116,"ü","û")</f>
        <v>ü</v>
      </c>
      <c r="D116" s="180"/>
      <c r="E116" s="181">
        <f>16000/100000+1000/100000</f>
        <v>0.17</v>
      </c>
      <c r="F116" s="182">
        <f>17000/100000</f>
        <v>0.17</v>
      </c>
      <c r="G116" s="182">
        <f>17000/100000</f>
        <v>0.17</v>
      </c>
      <c r="H116" s="182">
        <f>17000/100000</f>
        <v>0.17</v>
      </c>
      <c r="I116" s="182">
        <f>26000/100000</f>
        <v>0.26</v>
      </c>
      <c r="J116" s="182">
        <f>26000/100000</f>
        <v>0.26</v>
      </c>
      <c r="K116" s="182">
        <f>35000/100000</f>
        <v>0.35</v>
      </c>
      <c r="L116" s="182">
        <f>35000/100000</f>
        <v>0.35</v>
      </c>
      <c r="M116" s="182">
        <f>35000/100000</f>
        <v>0.35</v>
      </c>
      <c r="N116" s="182">
        <f>35000/100000</f>
        <v>0.35</v>
      </c>
      <c r="O116" s="182">
        <f>35000/100000+15000/100000</f>
        <v>0.5</v>
      </c>
      <c r="P116" s="180">
        <f>25000/100000+25000/100000</f>
        <v>0.5</v>
      </c>
      <c r="Q116" s="184">
        <f>80000/100000</f>
        <v>0.8</v>
      </c>
      <c r="R116" s="185">
        <f>20000/100000+60000/100000</f>
        <v>0.8</v>
      </c>
      <c r="S116" s="185">
        <f>80000/100000+60000/100000</f>
        <v>1.4</v>
      </c>
      <c r="T116" s="185">
        <f>20000/100000+120000/100000</f>
        <v>1.4</v>
      </c>
      <c r="U116" s="185">
        <f>400000/100000</f>
        <v>4</v>
      </c>
      <c r="V116" s="185">
        <f>400000/100000+225000/100000</f>
        <v>6.25</v>
      </c>
      <c r="W116" s="185">
        <f>1000000/100000</f>
        <v>10</v>
      </c>
      <c r="X116" s="185">
        <f>1200000/100000</f>
        <v>12</v>
      </c>
      <c r="Y116" s="185"/>
      <c r="Z116" s="185"/>
      <c r="AA116" s="185"/>
      <c r="AB116" s="180"/>
      <c r="AC116" s="399"/>
      <c r="AD116" s="400"/>
      <c r="AE116" s="400"/>
      <c r="AF116" s="400"/>
      <c r="AG116" s="400"/>
      <c r="AH116" s="400"/>
      <c r="AI116" s="400"/>
      <c r="AJ116" s="400"/>
      <c r="AK116" s="400"/>
      <c r="AL116" s="400"/>
      <c r="AM116" s="400"/>
      <c r="AN116" s="401"/>
      <c r="AO116" s="399"/>
      <c r="AP116" s="400"/>
      <c r="AQ116" s="400"/>
      <c r="AR116" s="400"/>
      <c r="AS116" s="400"/>
      <c r="AT116" s="400"/>
      <c r="AU116" s="400"/>
      <c r="AV116" s="400"/>
      <c r="AW116" s="400"/>
      <c r="AX116" s="400"/>
      <c r="AY116" s="400"/>
      <c r="AZ116" s="401"/>
      <c r="BA116" s="426">
        <f t="shared" si="45"/>
        <v>40.25</v>
      </c>
    </row>
    <row r="117" spans="1:53" s="29" customFormat="1" ht="20.100000000000001" customHeight="1" x14ac:dyDescent="0.25">
      <c r="A117" s="30" t="str">
        <f>Vecinos!A117</f>
        <v>Familia Alonso Rojas</v>
      </c>
      <c r="B117" s="31" t="str">
        <f>Vecinos!C117</f>
        <v>Calle Güigüe Nro. 89-54</v>
      </c>
      <c r="C117" s="36" t="str">
        <f>IF(SUMIFS(Vigilancia!$E:$E,Vigilancia!$F:$F,A117,Vigilancia!$J:$J,"Vigilancia")=BA117,"ü","û")</f>
        <v>ü</v>
      </c>
      <c r="D117" s="180"/>
      <c r="E117" s="181"/>
      <c r="F117" s="182"/>
      <c r="G117" s="182"/>
      <c r="H117" s="182"/>
      <c r="I117" s="182"/>
      <c r="J117" s="182"/>
      <c r="K117" s="182"/>
      <c r="L117" s="182"/>
      <c r="M117" s="182"/>
      <c r="N117" s="182"/>
      <c r="O117" s="182">
        <f>50000/100000</f>
        <v>0.5</v>
      </c>
      <c r="P117" s="180">
        <f>50000/100000</f>
        <v>0.5</v>
      </c>
      <c r="Q117" s="184">
        <f>50000/100000+30000/100000</f>
        <v>0.8</v>
      </c>
      <c r="R117" s="185">
        <f>80000/100000</f>
        <v>0.8</v>
      </c>
      <c r="S117" s="185">
        <f>140000/100000</f>
        <v>1.4</v>
      </c>
      <c r="T117" s="185">
        <f>20000/100000+120000/100000</f>
        <v>1.4</v>
      </c>
      <c r="U117" s="185">
        <f>140000/100000+260000/100000</f>
        <v>4</v>
      </c>
      <c r="V117" s="185">
        <f>400000/100000+225000/100000</f>
        <v>6.25</v>
      </c>
      <c r="W117" s="185">
        <f>850000/100000+150000/100000</f>
        <v>10</v>
      </c>
      <c r="X117" s="185">
        <v>15</v>
      </c>
      <c r="Y117" s="185">
        <v>320</v>
      </c>
      <c r="Z117" s="185">
        <v>320</v>
      </c>
      <c r="AA117" s="185">
        <v>320</v>
      </c>
      <c r="AB117" s="370">
        <v>500</v>
      </c>
      <c r="AC117" s="404">
        <f>850+2150</f>
        <v>3000</v>
      </c>
      <c r="AD117" s="400">
        <f>2850+150</f>
        <v>3000</v>
      </c>
      <c r="AE117" s="400">
        <v>3000</v>
      </c>
      <c r="AF117" s="400">
        <v>5000</v>
      </c>
      <c r="AG117" s="400">
        <v>8000</v>
      </c>
      <c r="AH117" s="400">
        <v>8000</v>
      </c>
      <c r="AI117" s="400">
        <v>10000</v>
      </c>
      <c r="AJ117" s="405">
        <f>666+9334</f>
        <v>10000</v>
      </c>
      <c r="AK117" s="509">
        <v>20000</v>
      </c>
      <c r="AL117" s="400">
        <v>56250</v>
      </c>
      <c r="AM117" s="400">
        <v>56250</v>
      </c>
      <c r="AN117" s="401">
        <v>105250</v>
      </c>
      <c r="AO117" s="404">
        <v>136250</v>
      </c>
      <c r="AP117" s="400">
        <v>140000</v>
      </c>
      <c r="AQ117" s="400">
        <v>200000</v>
      </c>
      <c r="AR117" s="400"/>
      <c r="AS117" s="400"/>
      <c r="AT117" s="400"/>
      <c r="AU117" s="400"/>
      <c r="AV117" s="405"/>
      <c r="AW117" s="400"/>
      <c r="AX117" s="400"/>
      <c r="AY117" s="400"/>
      <c r="AZ117" s="401"/>
      <c r="BA117" s="426">
        <f t="shared" si="45"/>
        <v>765500.65</v>
      </c>
    </row>
    <row r="118" spans="1:53" s="29" customFormat="1" ht="20.100000000000001" customHeight="1" x14ac:dyDescent="0.25">
      <c r="A118" s="30" t="str">
        <f>Vecinos!A118</f>
        <v>Familia Fermín Rivas</v>
      </c>
      <c r="B118" s="31" t="str">
        <f>Vecinos!C118</f>
        <v>Calle Güigüe Nro. 89-55</v>
      </c>
      <c r="C118" s="36" t="str">
        <f>IF(SUMIFS(Vigilancia!$E:$E,Vigilancia!$F:$F,A118,Vigilancia!$J:$J,"Vigilancia")=BA118,"ü","û")</f>
        <v>ü</v>
      </c>
      <c r="D118" s="180"/>
      <c r="E118" s="181">
        <f>10500/100000+6500/100000</f>
        <v>0.16999999999999998</v>
      </c>
      <c r="F118" s="182">
        <f>7488/100000+9512/100000</f>
        <v>0.16999999999999998</v>
      </c>
      <c r="G118" s="182">
        <f>17000/100000</f>
        <v>0.17</v>
      </c>
      <c r="H118" s="182">
        <f>17000/100000</f>
        <v>0.17</v>
      </c>
      <c r="I118" s="182">
        <f>26000/100000</f>
        <v>0.26</v>
      </c>
      <c r="J118" s="182">
        <f>26000/100000</f>
        <v>0.26</v>
      </c>
      <c r="K118" s="182">
        <f>25000/100000+10000/100000</f>
        <v>0.35</v>
      </c>
      <c r="L118" s="182">
        <f>30000/100000+5000/100000</f>
        <v>0.35</v>
      </c>
      <c r="M118" s="182">
        <f>35000/100000</f>
        <v>0.35</v>
      </c>
      <c r="N118" s="182">
        <f>35000/100000</f>
        <v>0.35</v>
      </c>
      <c r="O118" s="182">
        <f>50000/100000</f>
        <v>0.5</v>
      </c>
      <c r="P118" s="180">
        <f>50000/100000</f>
        <v>0.5</v>
      </c>
      <c r="Q118" s="184">
        <f>80000/100000</f>
        <v>0.8</v>
      </c>
      <c r="R118" s="185">
        <f>80000/100000</f>
        <v>0.8</v>
      </c>
      <c r="S118" s="185">
        <f>140000/100000</f>
        <v>1.4</v>
      </c>
      <c r="T118" s="185">
        <f>20000/100000+120000/100000</f>
        <v>1.4</v>
      </c>
      <c r="U118" s="185">
        <f>400000/100000</f>
        <v>4</v>
      </c>
      <c r="V118" s="185">
        <f>400000/100000+225000/100000</f>
        <v>6.25</v>
      </c>
      <c r="W118" s="185">
        <f>1000000/100000</f>
        <v>10</v>
      </c>
      <c r="X118" s="185">
        <f>1200000/100000</f>
        <v>12</v>
      </c>
      <c r="Y118" s="185">
        <v>320</v>
      </c>
      <c r="Z118" s="185">
        <v>320</v>
      </c>
      <c r="AA118" s="185">
        <v>320</v>
      </c>
      <c r="AB118" s="366">
        <v>800</v>
      </c>
      <c r="AC118" s="404">
        <f>1800+1200</f>
        <v>3000</v>
      </c>
      <c r="AD118" s="400">
        <f>1425+1575</f>
        <v>3000</v>
      </c>
      <c r="AE118" s="400">
        <v>3000</v>
      </c>
      <c r="AF118" s="400">
        <f>3000+5000</f>
        <v>8000</v>
      </c>
      <c r="AG118" s="400">
        <v>8000</v>
      </c>
      <c r="AH118" s="400">
        <f>3666+4334</f>
        <v>8000</v>
      </c>
      <c r="AI118" s="400">
        <f>8000+2000</f>
        <v>10000</v>
      </c>
      <c r="AJ118" s="405">
        <f>666+9334</f>
        <v>10000</v>
      </c>
      <c r="AK118" s="400">
        <f>4966+18435</f>
        <v>23401</v>
      </c>
      <c r="AL118" s="400">
        <f>21100+25900</f>
        <v>47000</v>
      </c>
      <c r="AM118" s="400">
        <v>51250</v>
      </c>
      <c r="AN118" s="401">
        <v>81750</v>
      </c>
      <c r="AO118" s="399">
        <v>136250</v>
      </c>
      <c r="AP118" s="400">
        <v>136250</v>
      </c>
      <c r="AQ118" s="400">
        <v>185250</v>
      </c>
      <c r="AR118" s="400"/>
      <c r="AS118" s="400"/>
      <c r="AT118" s="400"/>
      <c r="AU118" s="400"/>
      <c r="AV118" s="400"/>
      <c r="AW118" s="400"/>
      <c r="AX118" s="400"/>
      <c r="AY118" s="400"/>
      <c r="AZ118" s="401"/>
      <c r="BA118" s="426">
        <f t="shared" si="45"/>
        <v>715951.25</v>
      </c>
    </row>
    <row r="119" spans="1:53" s="29" customFormat="1" ht="20.100000000000001" customHeight="1" x14ac:dyDescent="0.25">
      <c r="A119" s="30" t="str">
        <f>Vecinos!A119</f>
        <v>Familia Blonval Hernández</v>
      </c>
      <c r="B119" s="31" t="str">
        <f>Vecinos!C119</f>
        <v>Calle Güigüe Nro. 89-64</v>
      </c>
      <c r="C119" s="36" t="str">
        <f>IF(SUMIFS(Vigilancia!$E:$E,Vigilancia!$F:$F,A119,Vigilancia!$J:$J,"Vigilancia")=BA119,"ü","û")</f>
        <v>ü</v>
      </c>
      <c r="D119" s="180"/>
      <c r="E119" s="181"/>
      <c r="F119" s="182"/>
      <c r="G119" s="182"/>
      <c r="H119" s="182"/>
      <c r="I119" s="182"/>
      <c r="J119" s="182"/>
      <c r="K119" s="182"/>
      <c r="L119" s="182"/>
      <c r="M119" s="182"/>
      <c r="N119" s="182"/>
      <c r="O119" s="182"/>
      <c r="P119" s="180"/>
      <c r="Q119" s="184"/>
      <c r="R119" s="185"/>
      <c r="S119" s="185"/>
      <c r="T119" s="185"/>
      <c r="U119" s="185"/>
      <c r="V119" s="185"/>
      <c r="W119" s="185"/>
      <c r="X119" s="185"/>
      <c r="Y119" s="185"/>
      <c r="Z119" s="185"/>
      <c r="AA119" s="185"/>
      <c r="AB119" s="180"/>
      <c r="AC119" s="399"/>
      <c r="AD119" s="400"/>
      <c r="AE119" s="400"/>
      <c r="AF119" s="400"/>
      <c r="AG119" s="400"/>
      <c r="AH119" s="400"/>
      <c r="AI119" s="400"/>
      <c r="AJ119" s="400"/>
      <c r="AK119" s="400"/>
      <c r="AL119" s="400"/>
      <c r="AM119" s="400"/>
      <c r="AN119" s="401"/>
      <c r="AO119" s="399"/>
      <c r="AP119" s="400"/>
      <c r="AQ119" s="400"/>
      <c r="AR119" s="400"/>
      <c r="AS119" s="400"/>
      <c r="AT119" s="400"/>
      <c r="AU119" s="400"/>
      <c r="AV119" s="400"/>
      <c r="AW119" s="400"/>
      <c r="AX119" s="400"/>
      <c r="AY119" s="400"/>
      <c r="AZ119" s="401"/>
      <c r="BA119" s="426">
        <f t="shared" si="45"/>
        <v>0</v>
      </c>
    </row>
    <row r="120" spans="1:53" s="29" customFormat="1" ht="20.100000000000001" customHeight="1" x14ac:dyDescent="0.25">
      <c r="A120" s="30" t="str">
        <f>Vecinos!A120</f>
        <v>Familia Milanés Carmona</v>
      </c>
      <c r="B120" s="31" t="str">
        <f>Vecinos!C120</f>
        <v>Calle Güigüe Nro. 89-65</v>
      </c>
      <c r="C120" s="36" t="str">
        <f>IF(SUMIFS(Vigilancia!$E:$E,Vigilancia!$F:$F,A120,Vigilancia!$J:$J,"Vigilancia")=BA120,"ü","û")</f>
        <v>ü</v>
      </c>
      <c r="D120" s="180"/>
      <c r="E120" s="196"/>
      <c r="F120" s="183"/>
      <c r="G120" s="183"/>
      <c r="H120" s="183"/>
      <c r="I120" s="183"/>
      <c r="J120" s="182">
        <f>26000/100000</f>
        <v>0.26</v>
      </c>
      <c r="K120" s="182">
        <f>35000/100000</f>
        <v>0.35</v>
      </c>
      <c r="L120" s="182">
        <f>35000/100000</f>
        <v>0.35</v>
      </c>
      <c r="M120" s="182">
        <f>35000/100000</f>
        <v>0.35</v>
      </c>
      <c r="N120" s="182">
        <f>35000/100000</f>
        <v>0.35</v>
      </c>
      <c r="O120" s="182">
        <f>50000/100000</f>
        <v>0.5</v>
      </c>
      <c r="P120" s="180">
        <f>50000/100000</f>
        <v>0.5</v>
      </c>
      <c r="Q120" s="184">
        <f>80000/100000</f>
        <v>0.8</v>
      </c>
      <c r="R120" s="185">
        <f>80000/100000</f>
        <v>0.8</v>
      </c>
      <c r="S120" s="185">
        <f>80000/100000+60000/100000</f>
        <v>1.4</v>
      </c>
      <c r="T120" s="185">
        <f>140000/100000</f>
        <v>1.4</v>
      </c>
      <c r="U120" s="185">
        <f>400000/100000</f>
        <v>4</v>
      </c>
      <c r="V120" s="185">
        <f>400000/100000+225000/100000</f>
        <v>6.25</v>
      </c>
      <c r="W120" s="185">
        <f>850000/100000+150000/100000</f>
        <v>10</v>
      </c>
      <c r="X120" s="185">
        <f>1200000/100000</f>
        <v>12</v>
      </c>
      <c r="Y120" s="192">
        <f>1300000/100000+320</f>
        <v>333</v>
      </c>
      <c r="Z120" s="192">
        <f>13+307</f>
        <v>320</v>
      </c>
      <c r="AA120" s="185">
        <v>320</v>
      </c>
      <c r="AB120" s="366">
        <f>320+480</f>
        <v>800</v>
      </c>
      <c r="AC120" s="404">
        <f>13+787+2200</f>
        <v>3000</v>
      </c>
      <c r="AD120" s="400">
        <v>3000</v>
      </c>
      <c r="AE120" s="400">
        <v>3000</v>
      </c>
      <c r="AF120" s="400">
        <v>5000</v>
      </c>
      <c r="AG120" s="400">
        <v>8000</v>
      </c>
      <c r="AH120" s="400">
        <v>8000</v>
      </c>
      <c r="AI120" s="400">
        <v>10000</v>
      </c>
      <c r="AJ120" s="400">
        <v>10000</v>
      </c>
      <c r="AK120" s="400">
        <v>19800</v>
      </c>
      <c r="AL120" s="575">
        <f>20000+30000</f>
        <v>50000</v>
      </c>
      <c r="AM120" s="575">
        <v>60000</v>
      </c>
      <c r="AN120" s="401">
        <v>105250</v>
      </c>
      <c r="AO120" s="404">
        <v>136250</v>
      </c>
      <c r="AP120" s="400">
        <v>136250</v>
      </c>
      <c r="AQ120" s="400"/>
      <c r="AR120" s="400"/>
      <c r="AS120" s="400"/>
      <c r="AT120" s="400"/>
      <c r="AU120" s="400"/>
      <c r="AV120" s="400"/>
      <c r="AW120" s="400"/>
      <c r="AX120" s="400"/>
      <c r="AY120" s="400"/>
      <c r="AZ120" s="401"/>
      <c r="BA120" s="426">
        <f t="shared" si="45"/>
        <v>559362.31000000006</v>
      </c>
    </row>
    <row r="121" spans="1:53" s="29" customFormat="1" ht="20.100000000000001" customHeight="1" x14ac:dyDescent="0.25">
      <c r="A121" s="30" t="str">
        <f>Vecinos!A121</f>
        <v>Familia Medina Colina</v>
      </c>
      <c r="B121" s="31" t="str">
        <f>Vecinos!C121</f>
        <v>Calle Güigüe Nro. 89-70</v>
      </c>
      <c r="C121" s="36" t="str">
        <f>IF(SUMIFS(Vigilancia!$E:$E,Vigilancia!$F:$F,A121,Vigilancia!$J:$J,"Vigilancia")=BA121,"ü","û")</f>
        <v>ü</v>
      </c>
      <c r="D121" s="180"/>
      <c r="E121" s="181">
        <f>17000/100000</f>
        <v>0.17</v>
      </c>
      <c r="F121" s="182">
        <f>17000/100000</f>
        <v>0.17</v>
      </c>
      <c r="G121" s="182"/>
      <c r="H121" s="182"/>
      <c r="I121" s="182"/>
      <c r="J121" s="182"/>
      <c r="K121" s="182"/>
      <c r="L121" s="182"/>
      <c r="M121" s="182"/>
      <c r="N121" s="182"/>
      <c r="O121" s="182"/>
      <c r="P121" s="180"/>
      <c r="Q121" s="231" t="s">
        <v>17</v>
      </c>
      <c r="R121" s="232" t="s">
        <v>17</v>
      </c>
      <c r="S121" s="232" t="s">
        <v>17</v>
      </c>
      <c r="T121" s="232" t="s">
        <v>17</v>
      </c>
      <c r="U121" s="232" t="s">
        <v>17</v>
      </c>
      <c r="V121" s="232" t="s">
        <v>17</v>
      </c>
      <c r="W121" s="232" t="s">
        <v>17</v>
      </c>
      <c r="X121" s="232" t="s">
        <v>17</v>
      </c>
      <c r="Y121" s="232" t="s">
        <v>17</v>
      </c>
      <c r="Z121" s="232" t="s">
        <v>17</v>
      </c>
      <c r="AA121" s="232" t="s">
        <v>17</v>
      </c>
      <c r="AB121" s="233" t="s">
        <v>17</v>
      </c>
      <c r="AC121" s="399"/>
      <c r="AD121" s="400"/>
      <c r="AE121" s="400"/>
      <c r="AF121" s="400"/>
      <c r="AG121" s="400"/>
      <c r="AH121" s="400"/>
      <c r="AI121" s="400"/>
      <c r="AJ121" s="400"/>
      <c r="AK121" s="400"/>
      <c r="AL121" s="400"/>
      <c r="AM121" s="400"/>
      <c r="AN121" s="401"/>
      <c r="AO121" s="399"/>
      <c r="AP121" s="400"/>
      <c r="AQ121" s="400"/>
      <c r="AR121" s="400"/>
      <c r="AS121" s="400"/>
      <c r="AT121" s="400"/>
      <c r="AU121" s="400"/>
      <c r="AV121" s="400"/>
      <c r="AW121" s="400"/>
      <c r="AX121" s="400"/>
      <c r="AY121" s="400"/>
      <c r="AZ121" s="401"/>
      <c r="BA121" s="426">
        <f t="shared" si="45"/>
        <v>0.34</v>
      </c>
    </row>
    <row r="122" spans="1:53" s="29" customFormat="1" ht="20.100000000000001" customHeight="1" x14ac:dyDescent="0.25">
      <c r="A122" s="33" t="str">
        <f>Vecinos!A122</f>
        <v>Gloria Molina</v>
      </c>
      <c r="B122" s="34" t="str">
        <f>Vecinos!C122</f>
        <v>Calle Güigüe Nro. 89-71</v>
      </c>
      <c r="C122" s="35" t="str">
        <f>IF(SUMIFS(Vigilancia!$E:$E,Vigilancia!$F:$F,A122,Vigilancia!$J:$J,"Vigilancia")=BA122,"ü","û")</f>
        <v>ü</v>
      </c>
      <c r="D122" s="187"/>
      <c r="E122" s="188">
        <f>10000/100000</f>
        <v>0.1</v>
      </c>
      <c r="F122" s="189">
        <f>10000/100000</f>
        <v>0.1</v>
      </c>
      <c r="G122" s="189">
        <f>10000/100000</f>
        <v>0.1</v>
      </c>
      <c r="H122" s="189">
        <f t="shared" ref="H122:M122" si="60">15000/100000</f>
        <v>0.15</v>
      </c>
      <c r="I122" s="189">
        <f t="shared" si="60"/>
        <v>0.15</v>
      </c>
      <c r="J122" s="189">
        <f t="shared" si="60"/>
        <v>0.15</v>
      </c>
      <c r="K122" s="189">
        <f t="shared" si="60"/>
        <v>0.15</v>
      </c>
      <c r="L122" s="189">
        <f t="shared" si="60"/>
        <v>0.15</v>
      </c>
      <c r="M122" s="189">
        <f t="shared" si="60"/>
        <v>0.15</v>
      </c>
      <c r="N122" s="189">
        <f>20000/100000</f>
        <v>0.2</v>
      </c>
      <c r="O122" s="189">
        <f>20000/100000</f>
        <v>0.2</v>
      </c>
      <c r="P122" s="187">
        <f>20000/100000</f>
        <v>0.2</v>
      </c>
      <c r="Q122" s="190">
        <f>50000/100000</f>
        <v>0.5</v>
      </c>
      <c r="R122" s="191">
        <f>50000/100000</f>
        <v>0.5</v>
      </c>
      <c r="S122" s="191">
        <f>100000/100000</f>
        <v>1</v>
      </c>
      <c r="T122" s="191">
        <f>100000/100000</f>
        <v>1</v>
      </c>
      <c r="U122" s="191">
        <f>200000/100000</f>
        <v>2</v>
      </c>
      <c r="V122" s="191">
        <f>400000/100000</f>
        <v>4</v>
      </c>
      <c r="W122" s="191">
        <f>500000/100000</f>
        <v>5</v>
      </c>
      <c r="X122" s="191">
        <v>10</v>
      </c>
      <c r="Y122" s="191">
        <v>300</v>
      </c>
      <c r="Z122" s="191">
        <v>200</v>
      </c>
      <c r="AA122" s="191">
        <v>200</v>
      </c>
      <c r="AB122" s="187">
        <v>500</v>
      </c>
      <c r="AC122" s="396">
        <v>1500</v>
      </c>
      <c r="AD122" s="397">
        <v>1500</v>
      </c>
      <c r="AE122" s="397">
        <v>3000</v>
      </c>
      <c r="AF122" s="397">
        <f>3000</f>
        <v>3000</v>
      </c>
      <c r="AG122" s="397">
        <v>8000</v>
      </c>
      <c r="AH122" s="397">
        <v>8000</v>
      </c>
      <c r="AI122" s="397">
        <v>10000</v>
      </c>
      <c r="AJ122" s="397">
        <v>10000</v>
      </c>
      <c r="AK122" s="397">
        <v>19800</v>
      </c>
      <c r="AL122" s="397">
        <v>47000</v>
      </c>
      <c r="AM122" s="397">
        <v>60000</v>
      </c>
      <c r="AN122" s="398">
        <v>60000</v>
      </c>
      <c r="AO122" s="396">
        <v>100000</v>
      </c>
      <c r="AP122" s="397"/>
      <c r="AQ122" s="397"/>
      <c r="AR122" s="397"/>
      <c r="AS122" s="397"/>
      <c r="AT122" s="397"/>
      <c r="AU122" s="397"/>
      <c r="AV122" s="397"/>
      <c r="AW122" s="397"/>
      <c r="AX122" s="397"/>
      <c r="AY122" s="397"/>
      <c r="AZ122" s="398"/>
      <c r="BA122" s="425">
        <f t="shared" si="45"/>
        <v>333025.8</v>
      </c>
    </row>
    <row r="123" spans="1:53" s="29" customFormat="1" ht="20.100000000000001" customHeight="1" x14ac:dyDescent="0.25">
      <c r="A123" s="30" t="str">
        <f>Vecinos!A123</f>
        <v>Familia Gurmeitte</v>
      </c>
      <c r="B123" s="31" t="str">
        <f>Vecinos!C123</f>
        <v>Calle Güigüe Nro. 89-74</v>
      </c>
      <c r="C123" s="36" t="str">
        <f>IF(SUMIFS(Vigilancia!$E:$E,Vigilancia!$F:$F,A123,Vigilancia!$J:$J,"Vigilancia")=BA123,"ü","û")</f>
        <v>ü</v>
      </c>
      <c r="D123" s="180"/>
      <c r="E123" s="181"/>
      <c r="F123" s="182"/>
      <c r="G123" s="182"/>
      <c r="H123" s="182"/>
      <c r="I123" s="182"/>
      <c r="J123" s="182"/>
      <c r="K123" s="182"/>
      <c r="L123" s="182"/>
      <c r="M123" s="182"/>
      <c r="N123" s="182"/>
      <c r="O123" s="182"/>
      <c r="P123" s="180"/>
      <c r="Q123" s="184"/>
      <c r="R123" s="185"/>
      <c r="S123" s="185"/>
      <c r="T123" s="185"/>
      <c r="U123" s="185"/>
      <c r="V123" s="185"/>
      <c r="W123" s="185"/>
      <c r="X123" s="185"/>
      <c r="Y123" s="185"/>
      <c r="Z123" s="185"/>
      <c r="AA123" s="185"/>
      <c r="AB123" s="180"/>
      <c r="AC123" s="399"/>
      <c r="AD123" s="400"/>
      <c r="AE123" s="400"/>
      <c r="AF123" s="400"/>
      <c r="AG123" s="400"/>
      <c r="AH123" s="400"/>
      <c r="AI123" s="400"/>
      <c r="AJ123" s="400"/>
      <c r="AK123" s="400"/>
      <c r="AL123" s="400"/>
      <c r="AM123" s="400"/>
      <c r="AN123" s="401"/>
      <c r="AO123" s="399"/>
      <c r="AP123" s="400"/>
      <c r="AQ123" s="400"/>
      <c r="AR123" s="400"/>
      <c r="AS123" s="400"/>
      <c r="AT123" s="400"/>
      <c r="AU123" s="400"/>
      <c r="AV123" s="400"/>
      <c r="AW123" s="400"/>
      <c r="AX123" s="400"/>
      <c r="AY123" s="400"/>
      <c r="AZ123" s="401"/>
      <c r="BA123" s="426">
        <f t="shared" si="45"/>
        <v>0</v>
      </c>
    </row>
    <row r="124" spans="1:53" s="29" customFormat="1" ht="20.100000000000001" customHeight="1" x14ac:dyDescent="0.25">
      <c r="A124" s="30" t="str">
        <f>Vecinos!A124</f>
        <v>Familia López Hermoso</v>
      </c>
      <c r="B124" s="31" t="str">
        <f>Vecinos!C124</f>
        <v>Calle Güigüe Nro. 89-79</v>
      </c>
      <c r="C124" s="36" t="str">
        <f>IF(SUMIFS(Vigilancia!$E:$E,Vigilancia!$F:$F,A124,Vigilancia!$J:$J,"Vigilancia")=BA124,"ü","û")</f>
        <v>ü</v>
      </c>
      <c r="D124" s="180"/>
      <c r="E124" s="181">
        <f>17000/100000</f>
        <v>0.17</v>
      </c>
      <c r="F124" s="182">
        <f>17000/100000</f>
        <v>0.17</v>
      </c>
      <c r="G124" s="182">
        <f>17000/100000</f>
        <v>0.17</v>
      </c>
      <c r="H124" s="182">
        <f>17000/100000</f>
        <v>0.17</v>
      </c>
      <c r="I124" s="182">
        <f>26000/100000</f>
        <v>0.26</v>
      </c>
      <c r="J124" s="182">
        <f>17000/100000+9000/100000</f>
        <v>0.26</v>
      </c>
      <c r="K124" s="182">
        <f>35000/100000</f>
        <v>0.35</v>
      </c>
      <c r="L124" s="182">
        <f>35000/100000</f>
        <v>0.35</v>
      </c>
      <c r="M124" s="182">
        <f>35000/100000</f>
        <v>0.35</v>
      </c>
      <c r="N124" s="182">
        <f>35000/100000</f>
        <v>0.35</v>
      </c>
      <c r="O124" s="182">
        <f>50000/100000</f>
        <v>0.5</v>
      </c>
      <c r="P124" s="180">
        <f>50000/100000</f>
        <v>0.5</v>
      </c>
      <c r="Q124" s="184">
        <f>80000/100000</f>
        <v>0.8</v>
      </c>
      <c r="R124" s="185">
        <f>80000/100000</f>
        <v>0.8</v>
      </c>
      <c r="S124" s="185">
        <f t="shared" ref="S124:T126" si="61">140000/100000</f>
        <v>1.4</v>
      </c>
      <c r="T124" s="185">
        <f t="shared" si="61"/>
        <v>1.4</v>
      </c>
      <c r="U124" s="185">
        <f>400000/100000</f>
        <v>4</v>
      </c>
      <c r="V124" s="185">
        <f>625000/100000</f>
        <v>6.25</v>
      </c>
      <c r="W124" s="185">
        <f>1000000/100000</f>
        <v>10</v>
      </c>
      <c r="X124" s="185">
        <f>1200000/100000</f>
        <v>12</v>
      </c>
      <c r="Y124" s="185">
        <v>320</v>
      </c>
      <c r="Z124" s="185">
        <v>320</v>
      </c>
      <c r="AA124" s="185">
        <v>320</v>
      </c>
      <c r="AB124" s="180">
        <f>800+11.15</f>
        <v>811.15</v>
      </c>
      <c r="AC124" s="399">
        <v>3000</v>
      </c>
      <c r="AD124" s="400">
        <v>3000</v>
      </c>
      <c r="AE124" s="400">
        <v>3000</v>
      </c>
      <c r="AF124" s="400">
        <v>5000</v>
      </c>
      <c r="AG124" s="400">
        <v>8000</v>
      </c>
      <c r="AH124" s="400">
        <v>8000</v>
      </c>
      <c r="AI124" s="400">
        <v>10000</v>
      </c>
      <c r="AJ124" s="400">
        <v>10000</v>
      </c>
      <c r="AK124" s="400">
        <v>19800</v>
      </c>
      <c r="AL124" s="400">
        <v>47000</v>
      </c>
      <c r="AM124" s="400">
        <v>73500</v>
      </c>
      <c r="AN124" s="401">
        <v>105250</v>
      </c>
      <c r="AO124" s="399">
        <v>137000</v>
      </c>
      <c r="AP124" s="400">
        <v>137000</v>
      </c>
      <c r="AQ124" s="400"/>
      <c r="AR124" s="400"/>
      <c r="AS124" s="400"/>
      <c r="AT124" s="400"/>
      <c r="AU124" s="400"/>
      <c r="AV124" s="400"/>
      <c r="AW124" s="400"/>
      <c r="AX124" s="400"/>
      <c r="AY124" s="400"/>
      <c r="AZ124" s="401"/>
      <c r="BA124" s="426">
        <f t="shared" si="45"/>
        <v>571361.4</v>
      </c>
    </row>
    <row r="125" spans="1:53" s="29" customFormat="1" ht="20.100000000000001" customHeight="1" x14ac:dyDescent="0.25">
      <c r="A125" s="33" t="str">
        <f>Vecinos!A125</f>
        <v>Familia Kablan Sarmiento</v>
      </c>
      <c r="B125" s="34" t="str">
        <f>Vecinos!C125</f>
        <v>Calle Güigüe Nro. 89-80</v>
      </c>
      <c r="C125" s="35" t="str">
        <f>IF(SUMIFS(Vigilancia!$E:$E,Vigilancia!$F:$F,A125,Vigilancia!$J:$J,"Vigilancia")=BA125,"ü","û")</f>
        <v>ü</v>
      </c>
      <c r="D125" s="187"/>
      <c r="E125" s="188">
        <f>10000/100000</f>
        <v>0.1</v>
      </c>
      <c r="F125" s="189">
        <f>10000/100000</f>
        <v>0.1</v>
      </c>
      <c r="G125" s="189">
        <f>10000/100000</f>
        <v>0.1</v>
      </c>
      <c r="H125" s="189">
        <f>10000/100000</f>
        <v>0.1</v>
      </c>
      <c r="I125" s="189">
        <f>15000/100000</f>
        <v>0.15</v>
      </c>
      <c r="J125" s="189">
        <f>15000/100000</f>
        <v>0.15</v>
      </c>
      <c r="K125" s="189">
        <f>20000/100000</f>
        <v>0.2</v>
      </c>
      <c r="L125" s="189">
        <f>20000/100000</f>
        <v>0.2</v>
      </c>
      <c r="M125" s="189">
        <f>20000/100000</f>
        <v>0.2</v>
      </c>
      <c r="N125" s="189">
        <f>20000/100000</f>
        <v>0.2</v>
      </c>
      <c r="O125" s="189">
        <f>40000/100000</f>
        <v>0.4</v>
      </c>
      <c r="P125" s="187">
        <f>40000/100000</f>
        <v>0.4</v>
      </c>
      <c r="Q125" s="184">
        <f>80000/100000</f>
        <v>0.8</v>
      </c>
      <c r="R125" s="185">
        <f>80000/100000</f>
        <v>0.8</v>
      </c>
      <c r="S125" s="185">
        <f t="shared" si="61"/>
        <v>1.4</v>
      </c>
      <c r="T125" s="185">
        <f t="shared" si="61"/>
        <v>1.4</v>
      </c>
      <c r="U125" s="185">
        <f>400000/100000</f>
        <v>4</v>
      </c>
      <c r="V125" s="185">
        <f>400000/100000+225000/100000</f>
        <v>6.25</v>
      </c>
      <c r="W125" s="185">
        <f>1000000/100000</f>
        <v>10</v>
      </c>
      <c r="X125" s="185">
        <f>1200000/100000</f>
        <v>12</v>
      </c>
      <c r="Y125" s="185">
        <v>320</v>
      </c>
      <c r="Z125" s="185">
        <v>320</v>
      </c>
      <c r="AA125" s="185">
        <v>320</v>
      </c>
      <c r="AB125" s="180">
        <v>800</v>
      </c>
      <c r="AC125" s="399">
        <v>3000</v>
      </c>
      <c r="AD125" s="400">
        <v>3000</v>
      </c>
      <c r="AE125" s="400">
        <v>3000</v>
      </c>
      <c r="AF125" s="400">
        <v>5000</v>
      </c>
      <c r="AG125" s="400">
        <v>8000</v>
      </c>
      <c r="AH125" s="400">
        <v>8000</v>
      </c>
      <c r="AI125" s="400">
        <v>10000</v>
      </c>
      <c r="AJ125" s="400">
        <v>10000</v>
      </c>
      <c r="AK125" s="509">
        <v>20000</v>
      </c>
      <c r="AL125" s="575">
        <f>20000+31000</f>
        <v>51000</v>
      </c>
      <c r="AM125" s="400">
        <f>47000+4250</f>
        <v>51250</v>
      </c>
      <c r="AN125" s="401">
        <v>97500</v>
      </c>
      <c r="AO125" s="399">
        <v>136250</v>
      </c>
      <c r="AP125" s="400">
        <v>136250</v>
      </c>
      <c r="AQ125" s="400">
        <v>185250</v>
      </c>
      <c r="AR125" s="400"/>
      <c r="AS125" s="400"/>
      <c r="AT125" s="400"/>
      <c r="AU125" s="400"/>
      <c r="AV125" s="400"/>
      <c r="AW125" s="400"/>
      <c r="AX125" s="400"/>
      <c r="AY125" s="400"/>
      <c r="AZ125" s="401"/>
      <c r="BA125" s="426">
        <f t="shared" si="45"/>
        <v>729298.95</v>
      </c>
    </row>
    <row r="126" spans="1:53" s="29" customFormat="1" ht="20.100000000000001" customHeight="1" x14ac:dyDescent="0.25">
      <c r="A126" s="30" t="str">
        <f>Vecinos!A126</f>
        <v>Familia Ferrer Bahri</v>
      </c>
      <c r="B126" s="31" t="str">
        <f>Vecinos!C126</f>
        <v>Calle Güigüe Nro. 89-83</v>
      </c>
      <c r="C126" s="36" t="str">
        <f>IF(SUMIFS(Vigilancia!$E:$E,Vigilancia!$F:$F,A126,Vigilancia!$J:$J,"Vigilancia")=BA126,"ü","û")</f>
        <v>ü</v>
      </c>
      <c r="D126" s="180"/>
      <c r="E126" s="181">
        <f>17000/100000</f>
        <v>0.17</v>
      </c>
      <c r="F126" s="182">
        <f>17000/100000</f>
        <v>0.17</v>
      </c>
      <c r="G126" s="182">
        <f>17000/100000</f>
        <v>0.17</v>
      </c>
      <c r="H126" s="182">
        <f>17000/100000</f>
        <v>0.17</v>
      </c>
      <c r="I126" s="182">
        <f>26000/100000</f>
        <v>0.26</v>
      </c>
      <c r="J126" s="182">
        <f>26000/100000</f>
        <v>0.26</v>
      </c>
      <c r="K126" s="182">
        <f>26000/100000+9000/100000</f>
        <v>0.35</v>
      </c>
      <c r="L126" s="182">
        <f>35000/100000</f>
        <v>0.35</v>
      </c>
      <c r="M126" s="182">
        <f>35000/100000</f>
        <v>0.35</v>
      </c>
      <c r="N126" s="182">
        <f>35000/100000</f>
        <v>0.35</v>
      </c>
      <c r="O126" s="182">
        <f>35000/100000+15000/100000</f>
        <v>0.5</v>
      </c>
      <c r="P126" s="180">
        <f>50000/100000</f>
        <v>0.5</v>
      </c>
      <c r="Q126" s="184">
        <f>50000/100000+30000/100000</f>
        <v>0.8</v>
      </c>
      <c r="R126" s="185">
        <f>80000/100000</f>
        <v>0.8</v>
      </c>
      <c r="S126" s="185">
        <f t="shared" si="61"/>
        <v>1.4</v>
      </c>
      <c r="T126" s="185">
        <f t="shared" si="61"/>
        <v>1.4</v>
      </c>
      <c r="U126" s="185">
        <f>400000/100000</f>
        <v>4</v>
      </c>
      <c r="V126" s="185">
        <f>400000/100000+225000/100000</f>
        <v>6.25</v>
      </c>
      <c r="W126" s="185">
        <f>850000/100000+150000/100000</f>
        <v>10</v>
      </c>
      <c r="X126" s="185">
        <f>1200000/100000</f>
        <v>12</v>
      </c>
      <c r="Y126" s="185">
        <v>320</v>
      </c>
      <c r="Z126" s="185">
        <v>320</v>
      </c>
      <c r="AA126" s="192">
        <v>320</v>
      </c>
      <c r="AB126" s="366">
        <f t="shared" ref="AB126" si="62">320+480</f>
        <v>800</v>
      </c>
      <c r="AC126" s="404">
        <f>320+480+2200</f>
        <v>3000</v>
      </c>
      <c r="AD126" s="400">
        <v>3000</v>
      </c>
      <c r="AE126" s="400">
        <v>6000</v>
      </c>
      <c r="AF126" s="400">
        <v>6000</v>
      </c>
      <c r="AG126" s="400">
        <v>12000</v>
      </c>
      <c r="AH126" s="509">
        <v>12000</v>
      </c>
      <c r="AI126" s="509">
        <v>20000</v>
      </c>
      <c r="AJ126" s="509">
        <v>20000</v>
      </c>
      <c r="AK126" s="400">
        <f>20000+3400</f>
        <v>23400</v>
      </c>
      <c r="AL126" s="400">
        <f>30000+17000</f>
        <v>47000</v>
      </c>
      <c r="AM126" s="575">
        <v>60000</v>
      </c>
      <c r="AN126" s="401">
        <v>150000</v>
      </c>
      <c r="AO126" s="399">
        <v>150000</v>
      </c>
      <c r="AP126" s="400">
        <v>150000</v>
      </c>
      <c r="AQ126" s="400">
        <v>200000</v>
      </c>
      <c r="AR126" s="400"/>
      <c r="AS126" s="400"/>
      <c r="AT126" s="400"/>
      <c r="AU126" s="400"/>
      <c r="AV126" s="400"/>
      <c r="AW126" s="400"/>
      <c r="AX126" s="400"/>
      <c r="AY126" s="400"/>
      <c r="AZ126" s="401"/>
      <c r="BA126" s="426">
        <f t="shared" si="45"/>
        <v>864200.25</v>
      </c>
    </row>
    <row r="127" spans="1:53" s="29" customFormat="1" ht="20.100000000000001" customHeight="1" x14ac:dyDescent="0.25">
      <c r="A127" s="68" t="str">
        <f>Vecinos!A127</f>
        <v>Familia Amirante</v>
      </c>
      <c r="B127" s="69" t="str">
        <f>Vecinos!C127</f>
        <v>Calle Güigüe Nro. 89-89</v>
      </c>
      <c r="C127" s="36" t="str">
        <f>IF(SUMIFS(Vigilancia!$E:$E,Vigilancia!$F:$F,A127,Vigilancia!$J:$J,"Vigilancia")=BA127,"ü","û")</f>
        <v>ü</v>
      </c>
      <c r="D127" s="180"/>
      <c r="E127" s="181"/>
      <c r="F127" s="182"/>
      <c r="G127" s="182"/>
      <c r="H127" s="182"/>
      <c r="I127" s="182"/>
      <c r="J127" s="182"/>
      <c r="K127" s="182"/>
      <c r="L127" s="182"/>
      <c r="M127" s="182"/>
      <c r="N127" s="182"/>
      <c r="O127" s="182"/>
      <c r="P127" s="180"/>
      <c r="Q127" s="184"/>
      <c r="R127" s="185"/>
      <c r="S127" s="185"/>
      <c r="T127" s="205" t="s">
        <v>1177</v>
      </c>
      <c r="U127" s="206"/>
      <c r="V127" s="206"/>
      <c r="W127" s="206"/>
      <c r="X127" s="206"/>
      <c r="Y127" s="206"/>
      <c r="Z127" s="206"/>
      <c r="AA127" s="206"/>
      <c r="AB127" s="207"/>
      <c r="AC127" s="413"/>
      <c r="AD127" s="403"/>
      <c r="AE127" s="403"/>
      <c r="AF127" s="403"/>
      <c r="AG127" s="403"/>
      <c r="AH127" s="403"/>
      <c r="AI127" s="403"/>
      <c r="AJ127" s="403"/>
      <c r="AK127" s="403"/>
      <c r="AL127" s="403"/>
      <c r="AM127" s="403"/>
      <c r="AN127" s="414"/>
      <c r="AO127" s="413"/>
      <c r="AP127" s="403"/>
      <c r="AQ127" s="403"/>
      <c r="AR127" s="403"/>
      <c r="AS127" s="403"/>
      <c r="AT127" s="403"/>
      <c r="AU127" s="403"/>
      <c r="AV127" s="403"/>
      <c r="AW127" s="403"/>
      <c r="AX127" s="403"/>
      <c r="AY127" s="403"/>
      <c r="AZ127" s="414"/>
      <c r="BA127" s="429">
        <f t="shared" si="45"/>
        <v>0</v>
      </c>
    </row>
    <row r="128" spans="1:53" s="29" customFormat="1" ht="20.100000000000001" customHeight="1" x14ac:dyDescent="0.25">
      <c r="A128" s="68" t="str">
        <f>Vecinos!A128</f>
        <v>Familia Civitico Rueda</v>
      </c>
      <c r="B128" s="69" t="str">
        <f>Vecinos!C128</f>
        <v>Calle Güigüe Nro. 89-89</v>
      </c>
      <c r="C128" s="36" t="str">
        <f>IF(SUMIFS(Vigilancia!$E:$E,Vigilancia!$F:$F,A128,Vigilancia!$J:$J,"Vigilancia")=BA128,"ü","û")</f>
        <v>ü</v>
      </c>
      <c r="D128" s="215"/>
      <c r="E128" s="216"/>
      <c r="F128" s="217"/>
      <c r="G128" s="217"/>
      <c r="H128" s="217"/>
      <c r="I128" s="217"/>
      <c r="J128" s="217"/>
      <c r="K128" s="217"/>
      <c r="L128" s="217"/>
      <c r="M128" s="217"/>
      <c r="N128" s="217"/>
      <c r="O128" s="217"/>
      <c r="P128" s="215"/>
      <c r="Q128" s="218"/>
      <c r="R128" s="219"/>
      <c r="S128" s="219"/>
      <c r="T128" s="185">
        <f>20000/100000+120000/100000</f>
        <v>1.4</v>
      </c>
      <c r="U128" s="185">
        <f>140000/100000+260000/100000</f>
        <v>4</v>
      </c>
      <c r="V128" s="193">
        <f>400000/100000</f>
        <v>4</v>
      </c>
      <c r="W128" s="205" t="s">
        <v>1179</v>
      </c>
      <c r="X128" s="206"/>
      <c r="Y128" s="206"/>
      <c r="Z128" s="206"/>
      <c r="AA128" s="206"/>
      <c r="AB128" s="207"/>
      <c r="AC128" s="413"/>
      <c r="AD128" s="403"/>
      <c r="AE128" s="403"/>
      <c r="AF128" s="403"/>
      <c r="AG128" s="403"/>
      <c r="AH128" s="403"/>
      <c r="AI128" s="403"/>
      <c r="AJ128" s="403"/>
      <c r="AK128" s="403"/>
      <c r="AL128" s="403"/>
      <c r="AM128" s="403"/>
      <c r="AN128" s="414"/>
      <c r="AO128" s="413"/>
      <c r="AP128" s="403"/>
      <c r="AQ128" s="403"/>
      <c r="AR128" s="403"/>
      <c r="AS128" s="403"/>
      <c r="AT128" s="403"/>
      <c r="AU128" s="403"/>
      <c r="AV128" s="403"/>
      <c r="AW128" s="403"/>
      <c r="AX128" s="403"/>
      <c r="AY128" s="403"/>
      <c r="AZ128" s="414"/>
      <c r="BA128" s="429">
        <f t="shared" si="45"/>
        <v>9.4</v>
      </c>
    </row>
    <row r="129" spans="1:54" s="29" customFormat="1" ht="20.100000000000001" customHeight="1" x14ac:dyDescent="0.25">
      <c r="A129" s="30" t="str">
        <f>Vecinos!A129</f>
        <v>Wilson Escamilla</v>
      </c>
      <c r="B129" s="31" t="str">
        <f>Vecinos!C129</f>
        <v>Calle Güigüe Nro. 89-89</v>
      </c>
      <c r="C129" s="36" t="str">
        <f>IF(SUMIFS(Vigilancia!$E:$E,Vigilancia!$F:$F,A129,Vigilancia!$J:$J,"Vigilancia")=BA129,"ü","û")</f>
        <v>ü</v>
      </c>
      <c r="D129" s="215"/>
      <c r="E129" s="216"/>
      <c r="F129" s="217"/>
      <c r="G129" s="217"/>
      <c r="H129" s="217"/>
      <c r="I129" s="217"/>
      <c r="J129" s="217"/>
      <c r="K129" s="217"/>
      <c r="L129" s="217"/>
      <c r="M129" s="217"/>
      <c r="N129" s="217"/>
      <c r="O129" s="217"/>
      <c r="P129" s="215"/>
      <c r="Q129" s="218"/>
      <c r="R129" s="219"/>
      <c r="S129" s="219"/>
      <c r="T129" s="219"/>
      <c r="U129" s="219"/>
      <c r="V129" s="219">
        <f>225000/100000</f>
        <v>2.25</v>
      </c>
      <c r="W129" s="185">
        <f>1000000/100000</f>
        <v>10</v>
      </c>
      <c r="X129" s="185">
        <v>12</v>
      </c>
      <c r="Y129" s="185">
        <v>320</v>
      </c>
      <c r="Z129" s="185">
        <v>320</v>
      </c>
      <c r="AA129" s="192">
        <v>320</v>
      </c>
      <c r="AB129" s="366">
        <v>800</v>
      </c>
      <c r="AC129" s="406">
        <f>44.2+755.8+2000</f>
        <v>2800</v>
      </c>
      <c r="AD129" s="400">
        <v>3000</v>
      </c>
      <c r="AE129" s="405">
        <v>3000</v>
      </c>
      <c r="AF129" s="400">
        <v>5000</v>
      </c>
      <c r="AG129" s="400">
        <f>3000+5000</f>
        <v>8000</v>
      </c>
      <c r="AH129" s="400">
        <v>8000</v>
      </c>
      <c r="AI129" s="400">
        <v>10000</v>
      </c>
      <c r="AJ129" s="400">
        <v>10000</v>
      </c>
      <c r="AK129" s="400">
        <v>20500</v>
      </c>
      <c r="AL129" s="400">
        <v>56250</v>
      </c>
      <c r="AM129" s="400">
        <v>56250</v>
      </c>
      <c r="AN129" s="401">
        <v>183500</v>
      </c>
      <c r="AO129" s="399">
        <v>183500</v>
      </c>
      <c r="AP129" s="400">
        <v>183500</v>
      </c>
      <c r="AQ129" s="400">
        <v>183500</v>
      </c>
      <c r="AR129" s="400"/>
      <c r="AS129" s="400"/>
      <c r="AT129" s="400"/>
      <c r="AU129" s="400"/>
      <c r="AV129" s="400"/>
      <c r="AW129" s="400"/>
      <c r="AX129" s="400"/>
      <c r="AY129" s="400"/>
      <c r="AZ129" s="401"/>
      <c r="BA129" s="426">
        <f t="shared" si="45"/>
        <v>918584.25</v>
      </c>
    </row>
    <row r="130" spans="1:54" s="29" customFormat="1" ht="20.100000000000001" customHeight="1" x14ac:dyDescent="0.25">
      <c r="A130" s="68" t="str">
        <f>Vecinos!A130</f>
        <v>Familia Herrera Guada</v>
      </c>
      <c r="B130" s="69" t="str">
        <f>Vecinos!C130</f>
        <v>Calle Güigüe Nro. 89-90</v>
      </c>
      <c r="C130" s="36" t="str">
        <f>IF(SUMIFS(Vigilancia!$E:$E,Vigilancia!$F:$F,A130,Vigilancia!$J:$J,"Vigilancia")=BA130,"ü","û")</f>
        <v>ü</v>
      </c>
      <c r="D130" s="187"/>
      <c r="E130" s="188">
        <f>4500/100000</f>
        <v>4.4999999999999998E-2</v>
      </c>
      <c r="F130" s="189">
        <f>4500/100000</f>
        <v>4.4999999999999998E-2</v>
      </c>
      <c r="G130" s="189">
        <f>5000/100000</f>
        <v>0.05</v>
      </c>
      <c r="H130" s="189">
        <f>5000/100000</f>
        <v>0.05</v>
      </c>
      <c r="I130" s="189">
        <f>5000/100000</f>
        <v>0.05</v>
      </c>
      <c r="J130" s="222" t="s">
        <v>1177</v>
      </c>
      <c r="K130" s="234"/>
      <c r="L130" s="234"/>
      <c r="M130" s="234"/>
      <c r="N130" s="234"/>
      <c r="O130" s="234"/>
      <c r="P130" s="223"/>
      <c r="Q130" s="224"/>
      <c r="R130" s="225"/>
      <c r="S130" s="225"/>
      <c r="T130" s="225"/>
      <c r="U130" s="225"/>
      <c r="V130" s="225"/>
      <c r="W130" s="225"/>
      <c r="X130" s="225"/>
      <c r="Y130" s="225"/>
      <c r="Z130" s="225"/>
      <c r="AA130" s="225"/>
      <c r="AB130" s="223"/>
      <c r="AC130" s="415"/>
      <c r="AD130" s="416"/>
      <c r="AE130" s="416"/>
      <c r="AF130" s="416"/>
      <c r="AG130" s="416"/>
      <c r="AH130" s="416"/>
      <c r="AI130" s="416"/>
      <c r="AJ130" s="416"/>
      <c r="AK130" s="416"/>
      <c r="AL130" s="416"/>
      <c r="AM130" s="416"/>
      <c r="AN130" s="417"/>
      <c r="AO130" s="415"/>
      <c r="AP130" s="416"/>
      <c r="AQ130" s="416"/>
      <c r="AR130" s="416"/>
      <c r="AS130" s="416"/>
      <c r="AT130" s="416"/>
      <c r="AU130" s="416"/>
      <c r="AV130" s="416"/>
      <c r="AW130" s="416"/>
      <c r="AX130" s="416"/>
      <c r="AY130" s="416"/>
      <c r="AZ130" s="417"/>
      <c r="BA130" s="430">
        <f t="shared" si="45"/>
        <v>0.24</v>
      </c>
    </row>
    <row r="131" spans="1:54" s="29" customFormat="1" ht="20.100000000000001" customHeight="1" x14ac:dyDescent="0.25">
      <c r="A131" s="30" t="str">
        <f>Vecinos!A131</f>
        <v>Familia Montilla García</v>
      </c>
      <c r="B131" s="31" t="str">
        <f>Vecinos!C131</f>
        <v>Calle Güigüe Nro. 89-90</v>
      </c>
      <c r="C131" s="36" t="str">
        <f>IF(SUMIFS(Vigilancia!$E:$E,Vigilancia!$F:$F,A131,Vigilancia!$J:$J,"Vigilancia")=BA131,"ü","û")</f>
        <v>ü</v>
      </c>
      <c r="D131" s="215"/>
      <c r="E131" s="216"/>
      <c r="F131" s="217"/>
      <c r="G131" s="217"/>
      <c r="H131" s="217"/>
      <c r="I131" s="217"/>
      <c r="J131" s="182">
        <f>26000/100000</f>
        <v>0.26</v>
      </c>
      <c r="K131" s="227">
        <f>26000/100000</f>
        <v>0.26</v>
      </c>
      <c r="L131" s="182">
        <f t="shared" ref="L131:N135" si="63">35000/100000</f>
        <v>0.35</v>
      </c>
      <c r="M131" s="182">
        <f t="shared" si="63"/>
        <v>0.35</v>
      </c>
      <c r="N131" s="182">
        <f t="shared" si="63"/>
        <v>0.35</v>
      </c>
      <c r="O131" s="182">
        <f t="shared" ref="O131:P135" si="64">50000/100000</f>
        <v>0.5</v>
      </c>
      <c r="P131" s="180">
        <f t="shared" si="64"/>
        <v>0.5</v>
      </c>
      <c r="Q131" s="184">
        <f t="shared" ref="Q131:R135" si="65">80000/100000</f>
        <v>0.8</v>
      </c>
      <c r="R131" s="185">
        <f t="shared" si="65"/>
        <v>0.8</v>
      </c>
      <c r="S131" s="185">
        <f>140000/100000</f>
        <v>1.4</v>
      </c>
      <c r="T131" s="185">
        <f>140000/100000</f>
        <v>1.4</v>
      </c>
      <c r="U131" s="185">
        <f>400000/100000</f>
        <v>4</v>
      </c>
      <c r="V131" s="185">
        <f>400000/100000+225000/100000</f>
        <v>6.25</v>
      </c>
      <c r="W131" s="185">
        <f>1030000/100000-225000/100000+195000/100000</f>
        <v>10</v>
      </c>
      <c r="X131" s="185">
        <f>1200000/100000</f>
        <v>12</v>
      </c>
      <c r="Y131" s="185">
        <v>320</v>
      </c>
      <c r="Z131" s="185">
        <v>320</v>
      </c>
      <c r="AA131" s="185">
        <v>320</v>
      </c>
      <c r="AB131" s="180">
        <v>800</v>
      </c>
      <c r="AC131" s="399">
        <v>3000</v>
      </c>
      <c r="AD131" s="400">
        <v>3000</v>
      </c>
      <c r="AE131" s="405">
        <v>3000</v>
      </c>
      <c r="AF131" s="405">
        <f>3000+2000</f>
        <v>5000</v>
      </c>
      <c r="AG131" s="400">
        <v>8000</v>
      </c>
      <c r="AH131" s="400">
        <v>8000</v>
      </c>
      <c r="AI131" s="400">
        <v>10000</v>
      </c>
      <c r="AJ131" s="405">
        <v>10000</v>
      </c>
      <c r="AK131" s="400">
        <v>20500</v>
      </c>
      <c r="AL131" s="400">
        <f>19800+36450</f>
        <v>56250</v>
      </c>
      <c r="AM131" s="400">
        <v>56250</v>
      </c>
      <c r="AN131" s="410">
        <f>7300+98700</f>
        <v>106000</v>
      </c>
      <c r="AO131" s="399">
        <f>7300+129700</f>
        <v>137000</v>
      </c>
      <c r="AP131" s="400">
        <f>7300+129000-250</f>
        <v>136050</v>
      </c>
      <c r="AQ131" s="405">
        <f>185000+250</f>
        <v>185250</v>
      </c>
      <c r="AR131" s="405"/>
      <c r="AS131" s="400"/>
      <c r="AT131" s="400"/>
      <c r="AU131" s="400"/>
      <c r="AV131" s="405"/>
      <c r="AW131" s="400"/>
      <c r="AX131" s="400"/>
      <c r="AY131" s="400"/>
      <c r="AZ131" s="401"/>
      <c r="BA131" s="426">
        <f t="shared" si="45"/>
        <v>749099.22</v>
      </c>
    </row>
    <row r="132" spans="1:54" s="29" customFormat="1" ht="20.100000000000001" customHeight="1" x14ac:dyDescent="0.25">
      <c r="A132" s="30" t="str">
        <f>Vecinos!A132</f>
        <v>Familia Kattar González</v>
      </c>
      <c r="B132" s="31" t="str">
        <f>Vecinos!C132</f>
        <v>Calle Güigüe Nro. 89-95</v>
      </c>
      <c r="C132" s="36" t="str">
        <f>IF(SUMIFS(Vigilancia!$E:$E,Vigilancia!$F:$F,A132,Vigilancia!$J:$J,"Vigilancia")=BA132,"ü","û")</f>
        <v>ü</v>
      </c>
      <c r="D132" s="180"/>
      <c r="E132" s="181">
        <f>17000/100000</f>
        <v>0.17</v>
      </c>
      <c r="F132" s="183">
        <f>12000/100000</f>
        <v>0.12</v>
      </c>
      <c r="G132" s="183"/>
      <c r="H132" s="183"/>
      <c r="I132" s="182">
        <f>26000/100000</f>
        <v>0.26</v>
      </c>
      <c r="J132" s="182">
        <f>26000/100000</f>
        <v>0.26</v>
      </c>
      <c r="K132" s="182">
        <f>35000/100000</f>
        <v>0.35</v>
      </c>
      <c r="L132" s="182">
        <f t="shared" si="63"/>
        <v>0.35</v>
      </c>
      <c r="M132" s="182">
        <f t="shared" si="63"/>
        <v>0.35</v>
      </c>
      <c r="N132" s="182">
        <f t="shared" si="63"/>
        <v>0.35</v>
      </c>
      <c r="O132" s="182">
        <f t="shared" si="64"/>
        <v>0.5</v>
      </c>
      <c r="P132" s="180">
        <f t="shared" si="64"/>
        <v>0.5</v>
      </c>
      <c r="Q132" s="184">
        <f t="shared" si="65"/>
        <v>0.8</v>
      </c>
      <c r="R132" s="185">
        <f t="shared" si="65"/>
        <v>0.8</v>
      </c>
      <c r="S132" s="182">
        <f>50000/100000+90000/100000</f>
        <v>1.4</v>
      </c>
      <c r="T132" s="185">
        <f>140000/100000</f>
        <v>1.4</v>
      </c>
      <c r="U132" s="185">
        <f>20000/100000+380000/100000</f>
        <v>4</v>
      </c>
      <c r="V132" s="185">
        <f>400000/100000+225000/100000</f>
        <v>6.25</v>
      </c>
      <c r="W132" s="192">
        <f>400000/100000+450000/100000+150000/100000</f>
        <v>10</v>
      </c>
      <c r="X132" s="192">
        <f>400000/100000+800000/100000</f>
        <v>12</v>
      </c>
      <c r="Y132" s="192">
        <f>400000/100000+316</f>
        <v>320</v>
      </c>
      <c r="Z132" s="192">
        <f>20000/100000+319.8</f>
        <v>320</v>
      </c>
      <c r="AA132" s="185">
        <v>320</v>
      </c>
      <c r="AB132" s="366">
        <v>800</v>
      </c>
      <c r="AC132" s="404">
        <f>44.2+755.8+2200+44.2</f>
        <v>3044.2</v>
      </c>
      <c r="AD132" s="400">
        <v>3000</v>
      </c>
      <c r="AE132" s="405">
        <v>3000</v>
      </c>
      <c r="AF132" s="405">
        <v>5000</v>
      </c>
      <c r="AG132" s="405">
        <v>8000</v>
      </c>
      <c r="AH132" s="405">
        <v>8000</v>
      </c>
      <c r="AI132" s="405">
        <v>10000</v>
      </c>
      <c r="AJ132" s="575">
        <f>3900</f>
        <v>3900</v>
      </c>
      <c r="AK132" s="405">
        <v>20500</v>
      </c>
      <c r="AL132" s="405">
        <v>48000</v>
      </c>
      <c r="AM132" s="405">
        <v>81750</v>
      </c>
      <c r="AN132" s="410">
        <v>137000</v>
      </c>
      <c r="AO132" s="404">
        <v>136250</v>
      </c>
      <c r="AP132" s="400">
        <v>136000</v>
      </c>
      <c r="AQ132" s="405">
        <v>185250</v>
      </c>
      <c r="AR132" s="405"/>
      <c r="AS132" s="405"/>
      <c r="AT132" s="405"/>
      <c r="AU132" s="405"/>
      <c r="AV132" s="405"/>
      <c r="AW132" s="405"/>
      <c r="AX132" s="405"/>
      <c r="AY132" s="405"/>
      <c r="AZ132" s="410"/>
      <c r="BA132" s="426">
        <f t="shared" si="45"/>
        <v>790494.06</v>
      </c>
    </row>
    <row r="133" spans="1:54" s="29" customFormat="1" ht="20.100000000000001" customHeight="1" x14ac:dyDescent="0.25">
      <c r="A133" s="30" t="str">
        <f>Vecinos!A133</f>
        <v>Amarilis Guerra</v>
      </c>
      <c r="B133" s="31" t="str">
        <f>Vecinos!C133</f>
        <v>Calle Güigüe Nro. 89-96</v>
      </c>
      <c r="C133" s="36" t="str">
        <f>IF(SUMIFS(Vigilancia!$E:$E,Vigilancia!$F:$F,A133,Vigilancia!$J:$J,"Vigilancia")=BA133,"ü","û")</f>
        <v>ü</v>
      </c>
      <c r="D133" s="180"/>
      <c r="E133" s="181">
        <f>17000/100000</f>
        <v>0.17</v>
      </c>
      <c r="F133" s="182">
        <f t="shared" ref="F133:H135" si="66">17000/100000</f>
        <v>0.17</v>
      </c>
      <c r="G133" s="182">
        <f t="shared" si="66"/>
        <v>0.17</v>
      </c>
      <c r="H133" s="182">
        <f t="shared" si="66"/>
        <v>0.17</v>
      </c>
      <c r="I133" s="182">
        <f>26000/100000</f>
        <v>0.26</v>
      </c>
      <c r="J133" s="182">
        <f>1000/100000+25000/100000</f>
        <v>0.26</v>
      </c>
      <c r="K133" s="182">
        <f>35000/100000</f>
        <v>0.35</v>
      </c>
      <c r="L133" s="182">
        <f t="shared" si="63"/>
        <v>0.35</v>
      </c>
      <c r="M133" s="182">
        <f t="shared" si="63"/>
        <v>0.35</v>
      </c>
      <c r="N133" s="182">
        <f t="shared" si="63"/>
        <v>0.35</v>
      </c>
      <c r="O133" s="182">
        <f t="shared" si="64"/>
        <v>0.5</v>
      </c>
      <c r="P133" s="180">
        <f t="shared" si="64"/>
        <v>0.5</v>
      </c>
      <c r="Q133" s="184">
        <f t="shared" si="65"/>
        <v>0.8</v>
      </c>
      <c r="R133" s="185">
        <f t="shared" si="65"/>
        <v>0.8</v>
      </c>
      <c r="S133" s="185">
        <f>140000/100000</f>
        <v>1.4</v>
      </c>
      <c r="T133" s="185">
        <f>140000/100000</f>
        <v>1.4</v>
      </c>
      <c r="U133" s="185">
        <f>400000/100000</f>
        <v>4</v>
      </c>
      <c r="V133" s="185">
        <f>400000/100000+225000/100000</f>
        <v>6.25</v>
      </c>
      <c r="W133" s="185">
        <f>1000000/100000</f>
        <v>10</v>
      </c>
      <c r="X133" s="185">
        <f>1200000/100000</f>
        <v>12</v>
      </c>
      <c r="Y133" s="185">
        <v>320</v>
      </c>
      <c r="Z133" s="185">
        <v>320</v>
      </c>
      <c r="AA133" s="185">
        <v>320</v>
      </c>
      <c r="AB133" s="366">
        <v>800</v>
      </c>
      <c r="AC133" s="404">
        <f>800+2200</f>
        <v>3000</v>
      </c>
      <c r="AD133" s="405">
        <v>3000</v>
      </c>
      <c r="AE133" s="405">
        <v>3000</v>
      </c>
      <c r="AF133" s="405">
        <f>3000+2000</f>
        <v>5000</v>
      </c>
      <c r="AG133" s="405">
        <f>5000+3000</f>
        <v>8000</v>
      </c>
      <c r="AH133" s="405">
        <f>5000+3000</f>
        <v>8000</v>
      </c>
      <c r="AI133" s="400">
        <v>10000</v>
      </c>
      <c r="AJ133" s="405">
        <v>10000</v>
      </c>
      <c r="AK133" s="405">
        <v>23400</v>
      </c>
      <c r="AL133" s="405">
        <f>21100+25900</f>
        <v>47000</v>
      </c>
      <c r="AM133" s="400">
        <v>73500</v>
      </c>
      <c r="AN133" s="410">
        <v>81750</v>
      </c>
      <c r="AO133" s="404">
        <v>136250</v>
      </c>
      <c r="AP133" s="405">
        <v>136250</v>
      </c>
      <c r="AQ133" s="405">
        <f>136250+50000</f>
        <v>186250</v>
      </c>
      <c r="AR133" s="405"/>
      <c r="AS133" s="405"/>
      <c r="AT133" s="405"/>
      <c r="AU133" s="400"/>
      <c r="AV133" s="405"/>
      <c r="AW133" s="405"/>
      <c r="AX133" s="405"/>
      <c r="AY133" s="405"/>
      <c r="AZ133" s="410"/>
      <c r="BA133" s="426">
        <f t="shared" ref="BA133:BA141" si="67">SUM(D133:AZ133)</f>
        <v>736200.25</v>
      </c>
    </row>
    <row r="134" spans="1:54" s="29" customFormat="1" ht="20.100000000000001" customHeight="1" x14ac:dyDescent="0.25">
      <c r="A134" s="30" t="str">
        <f>Vecinos!A134</f>
        <v>Familia Ochoa Mendoza</v>
      </c>
      <c r="B134" s="31" t="str">
        <f>Vecinos!C134</f>
        <v>Calle Güigüe Nro. 89-105</v>
      </c>
      <c r="C134" s="36" t="str">
        <f>IF(SUMIFS(Vigilancia!$E:$E,Vigilancia!$F:$F,A134,Vigilancia!$J:$J,"Vigilancia")=BA134,"ü","û")</f>
        <v>ü</v>
      </c>
      <c r="D134" s="180"/>
      <c r="E134" s="181">
        <f>17000/100000</f>
        <v>0.17</v>
      </c>
      <c r="F134" s="182">
        <f t="shared" si="66"/>
        <v>0.17</v>
      </c>
      <c r="G134" s="182">
        <f t="shared" si="66"/>
        <v>0.17</v>
      </c>
      <c r="H134" s="182">
        <f t="shared" si="66"/>
        <v>0.17</v>
      </c>
      <c r="I134" s="182">
        <f>26000/100000</f>
        <v>0.26</v>
      </c>
      <c r="J134" s="182">
        <f>26000/100000</f>
        <v>0.26</v>
      </c>
      <c r="K134" s="182">
        <f>26000/100000+9000/100000</f>
        <v>0.35</v>
      </c>
      <c r="L134" s="182">
        <f t="shared" si="63"/>
        <v>0.35</v>
      </c>
      <c r="M134" s="182">
        <f t="shared" si="63"/>
        <v>0.35</v>
      </c>
      <c r="N134" s="182">
        <f t="shared" si="63"/>
        <v>0.35</v>
      </c>
      <c r="O134" s="182">
        <f t="shared" si="64"/>
        <v>0.5</v>
      </c>
      <c r="P134" s="180">
        <f t="shared" si="64"/>
        <v>0.5</v>
      </c>
      <c r="Q134" s="184">
        <f t="shared" si="65"/>
        <v>0.8</v>
      </c>
      <c r="R134" s="185">
        <f t="shared" si="65"/>
        <v>0.8</v>
      </c>
      <c r="S134" s="185">
        <f>140000/100000</f>
        <v>1.4</v>
      </c>
      <c r="T134" s="185">
        <f>150000/100000</f>
        <v>1.5</v>
      </c>
      <c r="U134" s="185">
        <f>400000/100000</f>
        <v>4</v>
      </c>
      <c r="V134" s="185">
        <f>400000/100000+225000/100000</f>
        <v>6.25</v>
      </c>
      <c r="W134" s="185">
        <f>850000/100000+150000/100000</f>
        <v>10</v>
      </c>
      <c r="X134" s="193">
        <f>850000/100000+75000/100000+2</f>
        <v>11.25</v>
      </c>
      <c r="Y134" s="185">
        <v>320</v>
      </c>
      <c r="Z134" s="185">
        <v>320</v>
      </c>
      <c r="AA134" s="185">
        <v>350</v>
      </c>
      <c r="AB134" s="180">
        <v>800</v>
      </c>
      <c r="AC134" s="404">
        <f>800+2200</f>
        <v>3000</v>
      </c>
      <c r="AD134" s="400">
        <v>3000</v>
      </c>
      <c r="AE134" s="405">
        <v>3000</v>
      </c>
      <c r="AF134" s="405">
        <v>5000</v>
      </c>
      <c r="AG134" s="405">
        <f>5000+3000</f>
        <v>8000</v>
      </c>
      <c r="AH134" s="405">
        <f>5000+3000</f>
        <v>8000</v>
      </c>
      <c r="AI134" s="400">
        <v>10000</v>
      </c>
      <c r="AJ134" s="405">
        <v>10000</v>
      </c>
      <c r="AK134" s="405">
        <v>20500</v>
      </c>
      <c r="AL134" s="400">
        <f>19800+27200</f>
        <v>47000</v>
      </c>
      <c r="AM134" s="405">
        <v>56250</v>
      </c>
      <c r="AN134" s="401">
        <v>81750</v>
      </c>
      <c r="AO134" s="404">
        <v>136250</v>
      </c>
      <c r="AP134" s="400">
        <v>136250</v>
      </c>
      <c r="AQ134" s="405">
        <v>185250</v>
      </c>
      <c r="AR134" s="405"/>
      <c r="AS134" s="405"/>
      <c r="AT134" s="405"/>
      <c r="AU134" s="400"/>
      <c r="AV134" s="405"/>
      <c r="AW134" s="405"/>
      <c r="AX134" s="405"/>
      <c r="AY134" s="405"/>
      <c r="AZ134" s="410"/>
      <c r="BA134" s="426">
        <f t="shared" si="67"/>
        <v>715079.6</v>
      </c>
    </row>
    <row r="135" spans="1:54" s="29" customFormat="1" ht="20.100000000000001" customHeight="1" x14ac:dyDescent="0.25">
      <c r="A135" s="59" t="str">
        <f>Vecinos!A135</f>
        <v>Anahiz Seijas</v>
      </c>
      <c r="B135" s="60" t="str">
        <f>Vecinos!C135</f>
        <v>Calle Güigüe Nro. 89-106</v>
      </c>
      <c r="C135" s="36" t="str">
        <f>IF(SUMIFS(Vigilancia!$E:$E,Vigilancia!$F:$F,A135,Vigilancia!$J:$J,"Vigilancia")=BA135,"ü","û")</f>
        <v>ü</v>
      </c>
      <c r="D135" s="180"/>
      <c r="E135" s="181">
        <f>17000/100000</f>
        <v>0.17</v>
      </c>
      <c r="F135" s="182">
        <f t="shared" si="66"/>
        <v>0.17</v>
      </c>
      <c r="G135" s="182">
        <f t="shared" si="66"/>
        <v>0.17</v>
      </c>
      <c r="H135" s="182">
        <f t="shared" si="66"/>
        <v>0.17</v>
      </c>
      <c r="I135" s="182">
        <f>26000/100000</f>
        <v>0.26</v>
      </c>
      <c r="J135" s="182">
        <f>26000/100000</f>
        <v>0.26</v>
      </c>
      <c r="K135" s="182">
        <f>35000/100000</f>
        <v>0.35</v>
      </c>
      <c r="L135" s="182">
        <f t="shared" si="63"/>
        <v>0.35</v>
      </c>
      <c r="M135" s="182">
        <f t="shared" si="63"/>
        <v>0.35</v>
      </c>
      <c r="N135" s="182">
        <f t="shared" si="63"/>
        <v>0.35</v>
      </c>
      <c r="O135" s="182">
        <f t="shared" si="64"/>
        <v>0.5</v>
      </c>
      <c r="P135" s="180">
        <f t="shared" si="64"/>
        <v>0.5</v>
      </c>
      <c r="Q135" s="184">
        <f t="shared" si="65"/>
        <v>0.8</v>
      </c>
      <c r="R135" s="185">
        <f t="shared" si="65"/>
        <v>0.8</v>
      </c>
      <c r="S135" s="185">
        <f>140000/100000</f>
        <v>1.4</v>
      </c>
      <c r="T135" s="185">
        <f>140000/100000</f>
        <v>1.4</v>
      </c>
      <c r="U135" s="185">
        <f>400000/100000</f>
        <v>4</v>
      </c>
      <c r="V135" s="185">
        <f>400000/100000+225000/100000</f>
        <v>6.25</v>
      </c>
      <c r="W135" s="185">
        <f>1000000/100000</f>
        <v>10</v>
      </c>
      <c r="X135" s="193">
        <f>1000000/100000</f>
        <v>10</v>
      </c>
      <c r="Y135" s="185">
        <v>320</v>
      </c>
      <c r="Z135" s="185">
        <v>320</v>
      </c>
      <c r="AA135" s="192">
        <v>320</v>
      </c>
      <c r="AB135" s="366">
        <f>320+480</f>
        <v>800</v>
      </c>
      <c r="AC135" s="404">
        <v>3000</v>
      </c>
      <c r="AD135" s="405">
        <v>3000</v>
      </c>
      <c r="AE135" s="400">
        <v>3000</v>
      </c>
      <c r="AF135" s="405">
        <f>3000+2000</f>
        <v>5000</v>
      </c>
      <c r="AG135" s="405">
        <f>5000+3000</f>
        <v>8000</v>
      </c>
      <c r="AH135" s="205" t="s">
        <v>1180</v>
      </c>
      <c r="AI135" s="206"/>
      <c r="AJ135" s="403"/>
      <c r="AK135" s="403"/>
      <c r="AL135" s="403"/>
      <c r="AM135" s="403"/>
      <c r="AN135" s="414"/>
      <c r="AO135" s="413"/>
      <c r="AP135" s="403"/>
      <c r="AQ135" s="403"/>
      <c r="AR135" s="403"/>
      <c r="AS135" s="403"/>
      <c r="AT135" s="205"/>
      <c r="AU135" s="206"/>
      <c r="AV135" s="403"/>
      <c r="AW135" s="403"/>
      <c r="AX135" s="403"/>
      <c r="AY135" s="403"/>
      <c r="AZ135" s="414"/>
      <c r="BA135" s="429">
        <f t="shared" si="67"/>
        <v>23798.25</v>
      </c>
    </row>
    <row r="136" spans="1:54" s="29" customFormat="1" ht="20.100000000000001" customHeight="1" x14ac:dyDescent="0.25">
      <c r="A136" s="30" t="str">
        <f>Vecinos!A136</f>
        <v>Familia Chan García</v>
      </c>
      <c r="B136" s="31" t="str">
        <f>Vecinos!C136</f>
        <v>Calle Güigüe Nro. 89-106</v>
      </c>
      <c r="C136" s="36" t="str">
        <f>IF(SUMIFS(Vigilancia!$E:$E,Vigilancia!$F:$F,A136,Vigilancia!$J:$J,"Vigilancia")=BA136,"ü","û")</f>
        <v>ü</v>
      </c>
      <c r="D136" s="523"/>
      <c r="E136" s="524"/>
      <c r="F136" s="525"/>
      <c r="G136" s="525"/>
      <c r="H136" s="525"/>
      <c r="I136" s="525"/>
      <c r="J136" s="525"/>
      <c r="K136" s="525"/>
      <c r="L136" s="525"/>
      <c r="M136" s="525"/>
      <c r="N136" s="525"/>
      <c r="O136" s="525"/>
      <c r="P136" s="523"/>
      <c r="Q136" s="526"/>
      <c r="R136" s="527"/>
      <c r="S136" s="527"/>
      <c r="T136" s="527"/>
      <c r="U136" s="527"/>
      <c r="V136" s="527"/>
      <c r="W136" s="527"/>
      <c r="X136" s="527"/>
      <c r="Y136" s="527"/>
      <c r="Z136" s="527"/>
      <c r="AA136" s="527"/>
      <c r="AB136" s="523"/>
      <c r="AC136" s="528"/>
      <c r="AD136" s="529"/>
      <c r="AE136" s="529"/>
      <c r="AF136" s="529"/>
      <c r="AG136" s="529"/>
      <c r="AH136" s="405">
        <v>8000</v>
      </c>
      <c r="AI136" s="405">
        <v>10000</v>
      </c>
      <c r="AJ136" s="405">
        <v>10000</v>
      </c>
      <c r="AK136" s="405">
        <v>21600</v>
      </c>
      <c r="AL136" s="405">
        <v>47000</v>
      </c>
      <c r="AM136" s="400">
        <v>73500</v>
      </c>
      <c r="AN136" s="410">
        <v>105250</v>
      </c>
      <c r="AO136" s="404">
        <v>136250</v>
      </c>
      <c r="AP136" s="405">
        <v>136250</v>
      </c>
      <c r="AQ136" s="405"/>
      <c r="AR136" s="405"/>
      <c r="AS136" s="405"/>
      <c r="AT136" s="405"/>
      <c r="AU136" s="405"/>
      <c r="AV136" s="405"/>
      <c r="AW136" s="405"/>
      <c r="AX136" s="405"/>
      <c r="AY136" s="405"/>
      <c r="AZ136" s="410"/>
      <c r="BA136" s="426">
        <f t="shared" si="67"/>
        <v>547850</v>
      </c>
    </row>
    <row r="137" spans="1:54" s="29" customFormat="1" ht="20.100000000000001" customHeight="1" x14ac:dyDescent="0.25">
      <c r="A137" s="33" t="str">
        <f>Vecinos!A137</f>
        <v>Familia Jiménez de Avila</v>
      </c>
      <c r="B137" s="34" t="str">
        <f>Vecinos!C137</f>
        <v>Calle Güigüe Nro. 89-116</v>
      </c>
      <c r="C137" s="35" t="str">
        <f>IF(SUMIFS(Vigilancia!$E:$E,Vigilancia!$F:$F,A137,Vigilancia!$J:$J,"Vigilancia")=BA137,"ü","û")</f>
        <v>ü</v>
      </c>
      <c r="D137" s="187"/>
      <c r="E137" s="188"/>
      <c r="F137" s="189"/>
      <c r="G137" s="189"/>
      <c r="H137" s="189"/>
      <c r="I137" s="189"/>
      <c r="J137" s="189"/>
      <c r="K137" s="189"/>
      <c r="L137" s="189"/>
      <c r="M137" s="189"/>
      <c r="N137" s="189"/>
      <c r="O137" s="189">
        <f>30000/100000</f>
        <v>0.3</v>
      </c>
      <c r="P137" s="187" t="s">
        <v>17</v>
      </c>
      <c r="Q137" s="544" t="s">
        <v>17</v>
      </c>
      <c r="R137" s="545" t="s">
        <v>17</v>
      </c>
      <c r="S137" s="545" t="s">
        <v>17</v>
      </c>
      <c r="T137" s="545" t="s">
        <v>17</v>
      </c>
      <c r="U137" s="545" t="s">
        <v>17</v>
      </c>
      <c r="V137" s="545" t="s">
        <v>17</v>
      </c>
      <c r="W137" s="545" t="s">
        <v>17</v>
      </c>
      <c r="X137" s="545" t="s">
        <v>17</v>
      </c>
      <c r="Y137" s="545" t="s">
        <v>17</v>
      </c>
      <c r="Z137" s="545" t="s">
        <v>17</v>
      </c>
      <c r="AA137" s="191">
        <v>1350</v>
      </c>
      <c r="AB137" s="546" t="s">
        <v>17</v>
      </c>
      <c r="AC137" s="542" t="s">
        <v>17</v>
      </c>
      <c r="AD137" s="543" t="s">
        <v>17</v>
      </c>
      <c r="AE137" s="543" t="s">
        <v>17</v>
      </c>
      <c r="AF137" s="543" t="s">
        <v>17</v>
      </c>
      <c r="AG137" s="543" t="s">
        <v>17</v>
      </c>
      <c r="AH137" s="543" t="s">
        <v>17</v>
      </c>
      <c r="AI137" s="397">
        <v>5000</v>
      </c>
      <c r="AJ137" s="397">
        <v>5000</v>
      </c>
      <c r="AK137" s="397">
        <v>5000</v>
      </c>
      <c r="AL137" s="397">
        <v>5000</v>
      </c>
      <c r="AM137" s="397">
        <v>5000</v>
      </c>
      <c r="AN137" s="398">
        <v>5000</v>
      </c>
      <c r="AO137" s="396">
        <v>70000</v>
      </c>
      <c r="AP137" s="397">
        <v>70000</v>
      </c>
      <c r="AQ137" s="397">
        <v>70000</v>
      </c>
      <c r="AR137" s="397"/>
      <c r="AS137" s="397"/>
      <c r="AT137" s="397"/>
      <c r="AU137" s="397"/>
      <c r="AV137" s="397"/>
      <c r="AW137" s="397"/>
      <c r="AX137" s="397"/>
      <c r="AY137" s="397"/>
      <c r="AZ137" s="398"/>
      <c r="BA137" s="425">
        <f t="shared" si="67"/>
        <v>241350.3</v>
      </c>
    </row>
    <row r="138" spans="1:54" s="29" customFormat="1" ht="20.100000000000001" customHeight="1" x14ac:dyDescent="0.25">
      <c r="A138" s="59" t="str">
        <f>Vecinos!A138</f>
        <v>Familia Morales Sesar</v>
      </c>
      <c r="B138" s="60" t="str">
        <f>Vecinos!C138</f>
        <v>Calle Güigüe Nro. 89-120</v>
      </c>
      <c r="C138" s="36" t="str">
        <f>IF(SUMIFS(Vigilancia!$E:$E,Vigilancia!$F:$F,A138,Vigilancia!$J:$J,"Vigilancia")=BA138,"ü","û")</f>
        <v>ü</v>
      </c>
      <c r="D138" s="180"/>
      <c r="E138" s="181">
        <f>17000/100000</f>
        <v>0.17</v>
      </c>
      <c r="F138" s="182">
        <f>17000/100000</f>
        <v>0.17</v>
      </c>
      <c r="G138" s="182">
        <f>17000/100000</f>
        <v>0.17</v>
      </c>
      <c r="H138" s="182">
        <f>17000/100000</f>
        <v>0.17</v>
      </c>
      <c r="I138" s="182">
        <f>17000/100000+9000/100000</f>
        <v>0.26</v>
      </c>
      <c r="J138" s="182">
        <f>26000/100000</f>
        <v>0.26</v>
      </c>
      <c r="K138" s="227">
        <f>18000/100000</f>
        <v>0.18</v>
      </c>
      <c r="L138" s="182">
        <f>15000/100000</f>
        <v>0.15</v>
      </c>
      <c r="M138" s="182">
        <f>15000/100000</f>
        <v>0.15</v>
      </c>
      <c r="N138" s="182">
        <f>25000/100000</f>
        <v>0.25</v>
      </c>
      <c r="O138" s="235" t="s">
        <v>490</v>
      </c>
      <c r="P138" s="204" t="s">
        <v>490</v>
      </c>
      <c r="Q138" s="184">
        <f>40000/100000</f>
        <v>0.4</v>
      </c>
      <c r="R138" s="185">
        <f>40000/100000</f>
        <v>0.4</v>
      </c>
      <c r="S138" s="185">
        <f>50000/100000</f>
        <v>0.5</v>
      </c>
      <c r="T138" s="185">
        <f>50000/100000</f>
        <v>0.5</v>
      </c>
      <c r="U138" s="185">
        <f>100000/100000</f>
        <v>1</v>
      </c>
      <c r="V138" s="185">
        <f>100000/100000</f>
        <v>1</v>
      </c>
      <c r="W138" s="185"/>
      <c r="X138" s="185"/>
      <c r="Y138" s="185"/>
      <c r="Z138" s="205" t="s">
        <v>1177</v>
      </c>
      <c r="AA138" s="206"/>
      <c r="AB138" s="207"/>
      <c r="AC138" s="413"/>
      <c r="AD138" s="403"/>
      <c r="AE138" s="403"/>
      <c r="AF138" s="403"/>
      <c r="AG138" s="403"/>
      <c r="AH138" s="403"/>
      <c r="AI138" s="403"/>
      <c r="AJ138" s="403"/>
      <c r="AK138" s="403"/>
      <c r="AL138" s="403"/>
      <c r="AM138" s="403"/>
      <c r="AN138" s="414"/>
      <c r="AO138" s="413"/>
      <c r="AP138" s="403"/>
      <c r="AQ138" s="403"/>
      <c r="AR138" s="403"/>
      <c r="AS138" s="403"/>
      <c r="AT138" s="403"/>
      <c r="AU138" s="403"/>
      <c r="AV138" s="403"/>
      <c r="AW138" s="403"/>
      <c r="AX138" s="403"/>
      <c r="AY138" s="403"/>
      <c r="AZ138" s="414"/>
      <c r="BA138" s="429">
        <f t="shared" si="67"/>
        <v>5.73</v>
      </c>
    </row>
    <row r="139" spans="1:54" s="29" customFormat="1" ht="20.100000000000001" customHeight="1" x14ac:dyDescent="0.25">
      <c r="A139" s="30" t="str">
        <f>Vecinos!A139</f>
        <v>Familia Abbinante Pinto</v>
      </c>
      <c r="B139" s="31" t="str">
        <f>Vecinos!C139</f>
        <v>Calle Güigüe Nro. 89-120</v>
      </c>
      <c r="C139" s="36" t="str">
        <f>IF(SUMIFS(Vigilancia!$E:$E,Vigilancia!$F:$F,A139,Vigilancia!$J:$J,"Vigilancia")=BA139,"ü","û")</f>
        <v>ü</v>
      </c>
      <c r="D139" s="207"/>
      <c r="E139" s="306"/>
      <c r="F139" s="214"/>
      <c r="G139" s="214"/>
      <c r="H139" s="214"/>
      <c r="I139" s="214"/>
      <c r="J139" s="214"/>
      <c r="K139" s="234"/>
      <c r="L139" s="214"/>
      <c r="M139" s="214"/>
      <c r="N139" s="214"/>
      <c r="O139" s="350"/>
      <c r="P139" s="351"/>
      <c r="Q139" s="349"/>
      <c r="R139" s="206"/>
      <c r="S139" s="206"/>
      <c r="T139" s="206"/>
      <c r="U139" s="206"/>
      <c r="V139" s="206"/>
      <c r="W139" s="206"/>
      <c r="X139" s="206"/>
      <c r="Y139" s="206"/>
      <c r="Z139" s="185">
        <v>320</v>
      </c>
      <c r="AA139" s="185">
        <v>320</v>
      </c>
      <c r="AB139" s="180">
        <v>800</v>
      </c>
      <c r="AC139" s="399">
        <v>3000</v>
      </c>
      <c r="AD139" s="400">
        <v>3000</v>
      </c>
      <c r="AE139" s="400">
        <v>3000</v>
      </c>
      <c r="AF139" s="400">
        <v>5000</v>
      </c>
      <c r="AG139" s="400">
        <v>8000</v>
      </c>
      <c r="AH139" s="400">
        <v>8000</v>
      </c>
      <c r="AI139" s="400">
        <f>8000+2000</f>
        <v>10000</v>
      </c>
      <c r="AJ139" s="400">
        <v>10000</v>
      </c>
      <c r="AK139" s="400">
        <v>21600</v>
      </c>
      <c r="AL139" s="400">
        <v>51250</v>
      </c>
      <c r="AM139" s="400">
        <v>73500</v>
      </c>
      <c r="AN139" s="401">
        <v>105250</v>
      </c>
      <c r="AO139" s="399">
        <v>136250</v>
      </c>
      <c r="AP139" s="400">
        <v>185250</v>
      </c>
      <c r="AQ139" s="400">
        <v>185250</v>
      </c>
      <c r="AR139" s="400"/>
      <c r="AS139" s="400"/>
      <c r="AT139" s="400"/>
      <c r="AU139" s="400"/>
      <c r="AV139" s="400"/>
      <c r="AW139" s="400"/>
      <c r="AX139" s="400"/>
      <c r="AY139" s="400"/>
      <c r="AZ139" s="401"/>
      <c r="BA139" s="426">
        <f t="shared" si="67"/>
        <v>809790</v>
      </c>
    </row>
    <row r="140" spans="1:54" s="29" customFormat="1" ht="20.100000000000001" customHeight="1" x14ac:dyDescent="0.25">
      <c r="A140" s="30" t="str">
        <f>Vecinos!A140</f>
        <v>Alexander Pena</v>
      </c>
      <c r="B140" s="31" t="str">
        <f>Vecinos!C140</f>
        <v>Calle Güigüe Nro. 89-126</v>
      </c>
      <c r="C140" s="36" t="str">
        <f>IF(SUMIFS(Vigilancia!$E:$E,Vigilancia!$F:$F,A140,Vigilancia!$J:$J,"Vigilancia")=BA140,"ü","û")</f>
        <v>ü</v>
      </c>
      <c r="D140" s="180"/>
      <c r="E140" s="181"/>
      <c r="F140" s="182"/>
      <c r="G140" s="182"/>
      <c r="H140" s="182"/>
      <c r="I140" s="182"/>
      <c r="J140" s="182"/>
      <c r="K140" s="182"/>
      <c r="L140" s="182"/>
      <c r="M140" s="182"/>
      <c r="N140" s="182"/>
      <c r="O140" s="182"/>
      <c r="P140" s="180"/>
      <c r="Q140" s="184"/>
      <c r="R140" s="185"/>
      <c r="S140" s="185"/>
      <c r="T140" s="185"/>
      <c r="U140" s="185"/>
      <c r="V140" s="185"/>
      <c r="W140" s="185"/>
      <c r="X140" s="185"/>
      <c r="Y140" s="185"/>
      <c r="Z140" s="185"/>
      <c r="AA140" s="185"/>
      <c r="AB140" s="180"/>
      <c r="AC140" s="399"/>
      <c r="AD140" s="400"/>
      <c r="AE140" s="400"/>
      <c r="AF140" s="400"/>
      <c r="AG140" s="400"/>
      <c r="AH140" s="400"/>
      <c r="AI140" s="400"/>
      <c r="AJ140" s="400"/>
      <c r="AK140" s="400"/>
      <c r="AL140" s="400"/>
      <c r="AM140" s="400"/>
      <c r="AN140" s="401"/>
      <c r="AO140" s="399"/>
      <c r="AP140" s="400"/>
      <c r="AQ140" s="400"/>
      <c r="AR140" s="400"/>
      <c r="AS140" s="400"/>
      <c r="AT140" s="400"/>
      <c r="AU140" s="400"/>
      <c r="AV140" s="400"/>
      <c r="AW140" s="400"/>
      <c r="AX140" s="400"/>
      <c r="AY140" s="400"/>
      <c r="AZ140" s="401"/>
      <c r="BA140" s="426">
        <f t="shared" si="67"/>
        <v>0</v>
      </c>
    </row>
    <row r="141" spans="1:54" s="29" customFormat="1" ht="20.100000000000001" customHeight="1" x14ac:dyDescent="0.25">
      <c r="A141" s="40" t="str">
        <f>Vecinos!A141</f>
        <v>Familia Pena Wierman</v>
      </c>
      <c r="B141" s="41" t="str">
        <f>Vecinos!C141</f>
        <v>Calle Güigüe Nro. 89-126</v>
      </c>
      <c r="C141" s="42" t="str">
        <f>IF(SUMIFS(Vigilancia!$E:$E,Vigilancia!$F:$F,A141,Vigilancia!$J:$J,"Vigilancia")=BA141,"ü","û")</f>
        <v>ü</v>
      </c>
      <c r="D141" s="236"/>
      <c r="E141" s="237"/>
      <c r="F141" s="238"/>
      <c r="G141" s="238"/>
      <c r="H141" s="238"/>
      <c r="I141" s="238"/>
      <c r="J141" s="238"/>
      <c r="K141" s="238"/>
      <c r="L141" s="238"/>
      <c r="M141" s="238"/>
      <c r="N141" s="238"/>
      <c r="O141" s="238"/>
      <c r="P141" s="236"/>
      <c r="Q141" s="239"/>
      <c r="R141" s="240"/>
      <c r="S141" s="240"/>
      <c r="T141" s="240"/>
      <c r="U141" s="240"/>
      <c r="V141" s="240"/>
      <c r="W141" s="240"/>
      <c r="X141" s="240"/>
      <c r="Y141" s="240"/>
      <c r="Z141" s="240"/>
      <c r="AA141" s="240"/>
      <c r="AB141" s="236"/>
      <c r="AC141" s="421"/>
      <c r="AD141" s="422"/>
      <c r="AE141" s="422"/>
      <c r="AF141" s="422"/>
      <c r="AG141" s="422"/>
      <c r="AH141" s="422"/>
      <c r="AI141" s="422"/>
      <c r="AJ141" s="422"/>
      <c r="AK141" s="422"/>
      <c r="AL141" s="422"/>
      <c r="AM141" s="422"/>
      <c r="AN141" s="423"/>
      <c r="AO141" s="421"/>
      <c r="AP141" s="422"/>
      <c r="AQ141" s="422"/>
      <c r="AR141" s="422"/>
      <c r="AS141" s="422"/>
      <c r="AT141" s="422"/>
      <c r="AU141" s="422"/>
      <c r="AV141" s="422"/>
      <c r="AW141" s="422"/>
      <c r="AX141" s="422"/>
      <c r="AY141" s="422"/>
      <c r="AZ141" s="423"/>
      <c r="BA141" s="431">
        <f t="shared" si="67"/>
        <v>0</v>
      </c>
    </row>
    <row r="142" spans="1:54" s="29" customFormat="1" ht="20.100000000000001" customHeight="1" thickBot="1" x14ac:dyDescent="0.3">
      <c r="A142" s="557"/>
      <c r="B142" s="565" t="s">
        <v>1175</v>
      </c>
      <c r="C142" s="558" t="str">
        <f>C1</f>
        <v>ü</v>
      </c>
      <c r="D142" s="559">
        <f>SUM(D2:D141)</f>
        <v>0.1</v>
      </c>
      <c r="E142" s="560">
        <f>SUM(E2:E141)</f>
        <v>10.254999999999997</v>
      </c>
      <c r="F142" s="561">
        <f t="shared" ref="F142:AB142" si="68">SUM(F2:F141)</f>
        <v>10.619999999999996</v>
      </c>
      <c r="G142" s="561">
        <f t="shared" si="68"/>
        <v>10.084999999999997</v>
      </c>
      <c r="H142" s="561">
        <f t="shared" si="68"/>
        <v>10.475999999999999</v>
      </c>
      <c r="I142" s="561">
        <f t="shared" si="68"/>
        <v>15.079999999999991</v>
      </c>
      <c r="J142" s="561">
        <f t="shared" si="68"/>
        <v>15.649999999999993</v>
      </c>
      <c r="K142" s="561">
        <f t="shared" si="68"/>
        <v>20.910000000000011</v>
      </c>
      <c r="L142" s="561">
        <f t="shared" si="68"/>
        <v>21.105000000000004</v>
      </c>
      <c r="M142" s="561">
        <f t="shared" si="68"/>
        <v>20.769000000000002</v>
      </c>
      <c r="N142" s="561">
        <f t="shared" si="68"/>
        <v>21.420000000000005</v>
      </c>
      <c r="O142" s="561">
        <f t="shared" si="68"/>
        <v>30.399999999999995</v>
      </c>
      <c r="P142" s="562">
        <f t="shared" si="68"/>
        <v>30.769999999999996</v>
      </c>
      <c r="Q142" s="563">
        <f t="shared" si="68"/>
        <v>53.99999999999995</v>
      </c>
      <c r="R142" s="564">
        <f t="shared" si="68"/>
        <v>56.999999999999943</v>
      </c>
      <c r="S142" s="564">
        <f t="shared" si="68"/>
        <v>98.200000000000088</v>
      </c>
      <c r="T142" s="564">
        <f t="shared" si="68"/>
        <v>103.15000000000009</v>
      </c>
      <c r="U142" s="564">
        <f t="shared" si="68"/>
        <v>280.10000000000002</v>
      </c>
      <c r="V142" s="564">
        <f t="shared" si="68"/>
        <v>451.35</v>
      </c>
      <c r="W142" s="566">
        <f t="shared" si="68"/>
        <v>767.75</v>
      </c>
      <c r="X142" s="566">
        <f t="shared" si="68"/>
        <v>934.85</v>
      </c>
      <c r="Y142" s="566">
        <f t="shared" si="68"/>
        <v>23201.41</v>
      </c>
      <c r="Z142" s="566">
        <f t="shared" si="68"/>
        <v>24138.5</v>
      </c>
      <c r="AA142" s="566">
        <f t="shared" si="68"/>
        <v>25420</v>
      </c>
      <c r="AB142" s="567">
        <f t="shared" si="68"/>
        <v>59421.15</v>
      </c>
      <c r="AC142" s="568">
        <f t="shared" ref="AC142:AN142" si="69">SUM(AC2:AC141)</f>
        <v>224154.2</v>
      </c>
      <c r="AD142" s="569">
        <f t="shared" si="69"/>
        <v>229490</v>
      </c>
      <c r="AE142" s="569">
        <f t="shared" si="69"/>
        <v>243715.55</v>
      </c>
      <c r="AF142" s="569">
        <f t="shared" si="69"/>
        <v>392130</v>
      </c>
      <c r="AG142" s="569">
        <f t="shared" si="69"/>
        <v>632980</v>
      </c>
      <c r="AH142" s="569">
        <f t="shared" si="69"/>
        <v>645640</v>
      </c>
      <c r="AI142" s="569">
        <f t="shared" si="69"/>
        <v>809500</v>
      </c>
      <c r="AJ142" s="569">
        <f t="shared" si="69"/>
        <v>809400</v>
      </c>
      <c r="AK142" s="569">
        <f t="shared" si="69"/>
        <v>1723176.22</v>
      </c>
      <c r="AL142" s="569">
        <f t="shared" si="69"/>
        <v>3938039</v>
      </c>
      <c r="AM142" s="569">
        <f t="shared" si="69"/>
        <v>7308121</v>
      </c>
      <c r="AN142" s="570">
        <f t="shared" si="69"/>
        <v>7509175</v>
      </c>
      <c r="AO142" s="568">
        <f t="shared" ref="AO142:AZ142" si="70">SUM(AO2:AO141)</f>
        <v>9885575</v>
      </c>
      <c r="AP142" s="569">
        <f t="shared" si="70"/>
        <v>9784480.8000000007</v>
      </c>
      <c r="AQ142" s="569">
        <f t="shared" si="70"/>
        <v>7582340</v>
      </c>
      <c r="AR142" s="569">
        <f t="shared" si="70"/>
        <v>40500</v>
      </c>
      <c r="AS142" s="569">
        <f t="shared" si="70"/>
        <v>0</v>
      </c>
      <c r="AT142" s="569">
        <f t="shared" si="70"/>
        <v>0</v>
      </c>
      <c r="AU142" s="569">
        <f t="shared" si="70"/>
        <v>0</v>
      </c>
      <c r="AV142" s="569">
        <f t="shared" si="70"/>
        <v>0</v>
      </c>
      <c r="AW142" s="569">
        <f t="shared" si="70"/>
        <v>0</v>
      </c>
      <c r="AX142" s="569">
        <f t="shared" si="70"/>
        <v>0</v>
      </c>
      <c r="AY142" s="569">
        <f t="shared" si="70"/>
        <v>0</v>
      </c>
      <c r="AZ142" s="570">
        <f t="shared" si="70"/>
        <v>0</v>
      </c>
      <c r="BA142" s="571">
        <f>SUM(D142:AZ142)</f>
        <v>51893561.870000005</v>
      </c>
    </row>
    <row r="143" spans="1:54" x14ac:dyDescent="0.2">
      <c r="A143" s="169"/>
      <c r="B143" s="170" t="s">
        <v>1181</v>
      </c>
      <c r="C143" s="333"/>
      <c r="D143" s="334">
        <f>COUNT(D2:D141)</f>
        <v>2</v>
      </c>
      <c r="E143" s="337">
        <f t="shared" ref="E143:AB143" si="71">COUNT(E2:E141)</f>
        <v>75</v>
      </c>
      <c r="F143" s="338">
        <f t="shared" si="71"/>
        <v>75</v>
      </c>
      <c r="G143" s="338">
        <f t="shared" si="71"/>
        <v>69</v>
      </c>
      <c r="H143" s="338">
        <f t="shared" si="71"/>
        <v>70</v>
      </c>
      <c r="I143" s="338">
        <f t="shared" si="71"/>
        <v>69</v>
      </c>
      <c r="J143" s="338">
        <f t="shared" si="71"/>
        <v>68</v>
      </c>
      <c r="K143" s="338">
        <f t="shared" si="71"/>
        <v>71</v>
      </c>
      <c r="L143" s="338">
        <f t="shared" si="71"/>
        <v>71</v>
      </c>
      <c r="M143" s="338">
        <f t="shared" si="71"/>
        <v>68</v>
      </c>
      <c r="N143" s="338">
        <f t="shared" si="71"/>
        <v>68</v>
      </c>
      <c r="O143" s="338">
        <f t="shared" si="71"/>
        <v>68</v>
      </c>
      <c r="P143" s="339">
        <f t="shared" si="71"/>
        <v>68</v>
      </c>
      <c r="Q143" s="317">
        <f t="shared" si="71"/>
        <v>74</v>
      </c>
      <c r="R143" s="172">
        <f t="shared" si="71"/>
        <v>76</v>
      </c>
      <c r="S143" s="172">
        <f t="shared" si="71"/>
        <v>76</v>
      </c>
      <c r="T143" s="172">
        <f t="shared" si="71"/>
        <v>77</v>
      </c>
      <c r="U143" s="172">
        <f>COUNT(U2:U141)</f>
        <v>78</v>
      </c>
      <c r="V143" s="172">
        <f t="shared" si="71"/>
        <v>79</v>
      </c>
      <c r="W143" s="172">
        <f t="shared" si="71"/>
        <v>80</v>
      </c>
      <c r="X143" s="172">
        <f t="shared" si="71"/>
        <v>78</v>
      </c>
      <c r="Y143" s="172">
        <f t="shared" si="71"/>
        <v>75</v>
      </c>
      <c r="Z143" s="172">
        <f t="shared" si="71"/>
        <v>77</v>
      </c>
      <c r="AA143" s="172">
        <f t="shared" si="71"/>
        <v>76</v>
      </c>
      <c r="AB143" s="171">
        <f t="shared" si="71"/>
        <v>76</v>
      </c>
      <c r="AC143" s="337">
        <f t="shared" ref="AC143:AN143" si="72">COUNT(AC2:AC141)</f>
        <v>78</v>
      </c>
      <c r="AD143" s="338">
        <f t="shared" si="72"/>
        <v>78</v>
      </c>
      <c r="AE143" s="338">
        <f t="shared" si="72"/>
        <v>79</v>
      </c>
      <c r="AF143" s="338">
        <f t="shared" si="72"/>
        <v>80</v>
      </c>
      <c r="AG143" s="338">
        <f t="shared" si="72"/>
        <v>81</v>
      </c>
      <c r="AH143" s="338">
        <f t="shared" si="72"/>
        <v>81</v>
      </c>
      <c r="AI143" s="338">
        <f t="shared" si="72"/>
        <v>81</v>
      </c>
      <c r="AJ143" s="338">
        <f t="shared" si="72"/>
        <v>81</v>
      </c>
      <c r="AK143" s="338">
        <f t="shared" si="72"/>
        <v>80</v>
      </c>
      <c r="AL143" s="338">
        <f t="shared" si="72"/>
        <v>81</v>
      </c>
      <c r="AM143" s="338">
        <f t="shared" si="72"/>
        <v>81</v>
      </c>
      <c r="AN143" s="371">
        <f t="shared" si="72"/>
        <v>77</v>
      </c>
      <c r="AO143" s="337">
        <f t="shared" ref="AO143:AZ143" si="73">COUNT(AO2:AO141)</f>
        <v>75</v>
      </c>
      <c r="AP143" s="338">
        <f t="shared" si="73"/>
        <v>72</v>
      </c>
      <c r="AQ143" s="338">
        <f t="shared" si="73"/>
        <v>43</v>
      </c>
      <c r="AR143" s="338">
        <f t="shared" si="73"/>
        <v>2</v>
      </c>
      <c r="AS143" s="338">
        <f t="shared" si="73"/>
        <v>0</v>
      </c>
      <c r="AT143" s="338">
        <f t="shared" si="73"/>
        <v>0</v>
      </c>
      <c r="AU143" s="338">
        <f t="shared" si="73"/>
        <v>0</v>
      </c>
      <c r="AV143" s="338">
        <f t="shared" si="73"/>
        <v>0</v>
      </c>
      <c r="AW143" s="338">
        <f t="shared" si="73"/>
        <v>0</v>
      </c>
      <c r="AX143" s="338">
        <f t="shared" si="73"/>
        <v>0</v>
      </c>
      <c r="AY143" s="338">
        <f t="shared" si="73"/>
        <v>0</v>
      </c>
      <c r="AZ143" s="371">
        <f t="shared" si="73"/>
        <v>0</v>
      </c>
      <c r="BA143" s="432">
        <f t="shared" ref="BA143:BA145" si="74">SUM(D143:AZ143)</f>
        <v>2914</v>
      </c>
    </row>
    <row r="144" spans="1:54" ht="15" x14ac:dyDescent="0.25">
      <c r="A144" s="75"/>
      <c r="B144" s="76" t="s">
        <v>1182</v>
      </c>
      <c r="C144" s="335"/>
      <c r="D144" s="336">
        <f>COUNTIF(D2:D141,"&gt;="&amp;D146)</f>
        <v>0</v>
      </c>
      <c r="E144" s="340">
        <f t="shared" ref="E144:AB144" si="75">COUNTIF(E2:E141,"&gt;="&amp;E146)</f>
        <v>46</v>
      </c>
      <c r="F144" s="341">
        <f t="shared" si="75"/>
        <v>50</v>
      </c>
      <c r="G144" s="341">
        <f t="shared" si="75"/>
        <v>46</v>
      </c>
      <c r="H144" s="341">
        <f t="shared" si="75"/>
        <v>52</v>
      </c>
      <c r="I144" s="341">
        <f t="shared" si="75"/>
        <v>48</v>
      </c>
      <c r="J144" s="341">
        <f t="shared" si="75"/>
        <v>51</v>
      </c>
      <c r="K144" s="341">
        <f t="shared" si="75"/>
        <v>47</v>
      </c>
      <c r="L144" s="341">
        <f t="shared" si="75"/>
        <v>50</v>
      </c>
      <c r="M144" s="341">
        <f t="shared" si="75"/>
        <v>50</v>
      </c>
      <c r="N144" s="341">
        <f t="shared" si="75"/>
        <v>52</v>
      </c>
      <c r="O144" s="341">
        <f t="shared" si="75"/>
        <v>52</v>
      </c>
      <c r="P144" s="342">
        <f t="shared" si="75"/>
        <v>52</v>
      </c>
      <c r="Q144" s="318">
        <f t="shared" si="75"/>
        <v>59</v>
      </c>
      <c r="R144" s="79">
        <f t="shared" si="75"/>
        <v>63</v>
      </c>
      <c r="S144" s="79">
        <f t="shared" si="75"/>
        <v>61</v>
      </c>
      <c r="T144" s="79">
        <f t="shared" si="75"/>
        <v>64</v>
      </c>
      <c r="U144" s="79">
        <f t="shared" si="75"/>
        <v>64</v>
      </c>
      <c r="V144" s="79">
        <f t="shared" si="75"/>
        <v>62</v>
      </c>
      <c r="W144" s="79">
        <f t="shared" si="75"/>
        <v>73</v>
      </c>
      <c r="X144" s="79">
        <f t="shared" si="75"/>
        <v>73</v>
      </c>
      <c r="Y144" s="79">
        <f t="shared" si="75"/>
        <v>68</v>
      </c>
      <c r="Z144" s="79">
        <f t="shared" si="75"/>
        <v>70</v>
      </c>
      <c r="AA144" s="79">
        <f t="shared" si="75"/>
        <v>72</v>
      </c>
      <c r="AB144" s="77">
        <f t="shared" si="75"/>
        <v>69</v>
      </c>
      <c r="AC144" s="340">
        <f t="shared" ref="AC144:AN144" si="76">COUNTIF(AC2:AC141,"&gt;="&amp;AC146)</f>
        <v>71</v>
      </c>
      <c r="AD144" s="341">
        <f t="shared" si="76"/>
        <v>72</v>
      </c>
      <c r="AE144" s="341">
        <f t="shared" si="76"/>
        <v>75</v>
      </c>
      <c r="AF144" s="341">
        <f t="shared" si="76"/>
        <v>74</v>
      </c>
      <c r="AG144" s="341">
        <f t="shared" si="76"/>
        <v>75</v>
      </c>
      <c r="AH144" s="341">
        <f t="shared" si="76"/>
        <v>76</v>
      </c>
      <c r="AI144" s="341">
        <f t="shared" si="76"/>
        <v>75</v>
      </c>
      <c r="AJ144" s="341">
        <f t="shared" si="76"/>
        <v>75</v>
      </c>
      <c r="AK144" s="341">
        <f t="shared" si="76"/>
        <v>40</v>
      </c>
      <c r="AL144" s="341">
        <f t="shared" si="76"/>
        <v>37</v>
      </c>
      <c r="AM144" s="341">
        <f t="shared" si="76"/>
        <v>28</v>
      </c>
      <c r="AN144" s="372">
        <f t="shared" si="76"/>
        <v>35</v>
      </c>
      <c r="AO144" s="340">
        <f t="shared" ref="AO144:AZ144" si="77">COUNTIF(AO2:AO141,"&gt;="&amp;AO146)</f>
        <v>66</v>
      </c>
      <c r="AP144" s="341">
        <f t="shared" si="77"/>
        <v>62</v>
      </c>
      <c r="AQ144" s="341">
        <f t="shared" si="77"/>
        <v>37</v>
      </c>
      <c r="AR144" s="341">
        <f t="shared" si="77"/>
        <v>2</v>
      </c>
      <c r="AS144" s="341">
        <f t="shared" si="77"/>
        <v>0</v>
      </c>
      <c r="AT144" s="341">
        <f t="shared" si="77"/>
        <v>0</v>
      </c>
      <c r="AU144" s="341">
        <f t="shared" si="77"/>
        <v>0</v>
      </c>
      <c r="AV144" s="341">
        <f t="shared" si="77"/>
        <v>0</v>
      </c>
      <c r="AW144" s="341">
        <f t="shared" si="77"/>
        <v>0</v>
      </c>
      <c r="AX144" s="341">
        <f t="shared" si="77"/>
        <v>0</v>
      </c>
      <c r="AY144" s="341">
        <f t="shared" si="77"/>
        <v>0</v>
      </c>
      <c r="AZ144" s="372">
        <f t="shared" si="77"/>
        <v>0</v>
      </c>
      <c r="BA144" s="433">
        <f t="shared" si="74"/>
        <v>2294</v>
      </c>
      <c r="BB144">
        <f>BA144/BA143</f>
        <v>0.78723404255319152</v>
      </c>
    </row>
    <row r="145" spans="1:54" ht="15" x14ac:dyDescent="0.25">
      <c r="A145" s="164"/>
      <c r="B145" s="165" t="s">
        <v>1183</v>
      </c>
      <c r="C145" s="331"/>
      <c r="D145" s="332"/>
      <c r="E145" s="173">
        <f t="shared" ref="E145:V145" si="78">IFERROR(E142/E146,"")</f>
        <v>60.323529411764689</v>
      </c>
      <c r="F145" s="174">
        <f t="shared" si="78"/>
        <v>62.470588235294088</v>
      </c>
      <c r="G145" s="174">
        <f t="shared" si="78"/>
        <v>59.323529411764689</v>
      </c>
      <c r="H145" s="174">
        <f t="shared" si="78"/>
        <v>61.623529411764693</v>
      </c>
      <c r="I145" s="174">
        <f t="shared" si="78"/>
        <v>57.999999999999964</v>
      </c>
      <c r="J145" s="174">
        <f t="shared" si="78"/>
        <v>60.192307692307665</v>
      </c>
      <c r="K145" s="174">
        <f t="shared" si="78"/>
        <v>59.742857142857176</v>
      </c>
      <c r="L145" s="174">
        <f t="shared" si="78"/>
        <v>60.300000000000018</v>
      </c>
      <c r="M145" s="174">
        <f t="shared" si="78"/>
        <v>59.340000000000011</v>
      </c>
      <c r="N145" s="174">
        <f t="shared" si="78"/>
        <v>61.200000000000017</v>
      </c>
      <c r="O145" s="174">
        <f t="shared" si="78"/>
        <v>60.79999999999999</v>
      </c>
      <c r="P145" s="176">
        <f t="shared" si="78"/>
        <v>61.539999999999992</v>
      </c>
      <c r="Q145" s="177">
        <f t="shared" si="78"/>
        <v>67.499999999999929</v>
      </c>
      <c r="R145" s="174">
        <f t="shared" si="78"/>
        <v>71.249999999999929</v>
      </c>
      <c r="S145" s="174">
        <f t="shared" si="78"/>
        <v>70.14285714285721</v>
      </c>
      <c r="T145" s="174">
        <f t="shared" si="78"/>
        <v>73.678571428571502</v>
      </c>
      <c r="U145" s="174">
        <f t="shared" si="78"/>
        <v>70.025000000000006</v>
      </c>
      <c r="V145" s="174">
        <f t="shared" si="78"/>
        <v>72.216000000000008</v>
      </c>
      <c r="W145" s="174">
        <f>IFERROR(W142/W146,"")</f>
        <v>76.775000000000006</v>
      </c>
      <c r="X145" s="174">
        <f t="shared" ref="X145:AB145" si="79">IFERROR(X142/X146,"")</f>
        <v>77.904166666666669</v>
      </c>
      <c r="Y145" s="174">
        <f t="shared" si="79"/>
        <v>72.504406250000002</v>
      </c>
      <c r="Z145" s="174">
        <f t="shared" si="79"/>
        <v>75.432812499999997</v>
      </c>
      <c r="AA145" s="174">
        <f t="shared" si="79"/>
        <v>79.4375</v>
      </c>
      <c r="AB145" s="175">
        <f t="shared" si="79"/>
        <v>74.2764375</v>
      </c>
      <c r="AC145" s="373">
        <f t="shared" ref="AC145:AN145" si="80">IFERROR(AC142/AC146,"")</f>
        <v>74.718066666666672</v>
      </c>
      <c r="AD145" s="374">
        <f t="shared" si="80"/>
        <v>76.49666666666667</v>
      </c>
      <c r="AE145" s="374">
        <f t="shared" si="80"/>
        <v>81.238516666666669</v>
      </c>
      <c r="AF145" s="374">
        <f t="shared" si="80"/>
        <v>78.426000000000002</v>
      </c>
      <c r="AG145" s="374">
        <f t="shared" si="80"/>
        <v>79.122500000000002</v>
      </c>
      <c r="AH145" s="374">
        <f t="shared" si="80"/>
        <v>80.704999999999998</v>
      </c>
      <c r="AI145" s="374">
        <f t="shared" si="80"/>
        <v>80.95</v>
      </c>
      <c r="AJ145" s="374">
        <f t="shared" si="80"/>
        <v>80.94</v>
      </c>
      <c r="AK145" s="374">
        <f t="shared" si="80"/>
        <v>83.164875482625476</v>
      </c>
      <c r="AL145" s="374">
        <f t="shared" si="80"/>
        <v>78.368935323383084</v>
      </c>
      <c r="AM145" s="374">
        <f t="shared" si="80"/>
        <v>111.65960275019098</v>
      </c>
      <c r="AN145" s="375">
        <f t="shared" si="80"/>
        <v>75.060474802165757</v>
      </c>
      <c r="AO145" s="373">
        <f t="shared" ref="AO145:AZ145" si="81">IFERROR(AO142/AO146,"")</f>
        <v>76.013648596693585</v>
      </c>
      <c r="AP145" s="374">
        <f t="shared" si="81"/>
        <v>71.812703119266061</v>
      </c>
      <c r="AQ145" s="374">
        <f t="shared" si="81"/>
        <v>40.930310391363022</v>
      </c>
      <c r="AR145" s="374" t="str">
        <f t="shared" si="81"/>
        <v/>
      </c>
      <c r="AS145" s="374" t="str">
        <f t="shared" si="81"/>
        <v/>
      </c>
      <c r="AT145" s="374" t="str">
        <f t="shared" si="81"/>
        <v/>
      </c>
      <c r="AU145" s="374" t="str">
        <f t="shared" si="81"/>
        <v/>
      </c>
      <c r="AV145" s="374" t="str">
        <f t="shared" si="81"/>
        <v/>
      </c>
      <c r="AW145" s="374" t="str">
        <f t="shared" si="81"/>
        <v/>
      </c>
      <c r="AX145" s="374" t="str">
        <f t="shared" si="81"/>
        <v/>
      </c>
      <c r="AY145" s="374" t="str">
        <f t="shared" si="81"/>
        <v/>
      </c>
      <c r="AZ145" s="375" t="str">
        <f t="shared" si="81"/>
        <v/>
      </c>
      <c r="BA145" s="434">
        <f t="shared" si="74"/>
        <v>2775.6063932595362</v>
      </c>
      <c r="BB145"/>
    </row>
    <row r="146" spans="1:54" x14ac:dyDescent="0.2">
      <c r="A146" s="166" t="s">
        <v>1184</v>
      </c>
      <c r="B146" s="167"/>
      <c r="C146" s="168"/>
      <c r="D146" s="248"/>
      <c r="E146" s="249">
        <v>0.17</v>
      </c>
      <c r="F146" s="250">
        <v>0.17</v>
      </c>
      <c r="G146" s="250">
        <v>0.17</v>
      </c>
      <c r="H146" s="250">
        <v>0.17</v>
      </c>
      <c r="I146" s="250">
        <v>0.26</v>
      </c>
      <c r="J146" s="250">
        <v>0.26</v>
      </c>
      <c r="K146" s="250">
        <v>0.35</v>
      </c>
      <c r="L146" s="250">
        <v>0.35</v>
      </c>
      <c r="M146" s="250">
        <v>0.35</v>
      </c>
      <c r="N146" s="250">
        <v>0.35</v>
      </c>
      <c r="O146" s="250">
        <v>0.5</v>
      </c>
      <c r="P146" s="251">
        <v>0.5</v>
      </c>
      <c r="Q146" s="252">
        <v>0.8</v>
      </c>
      <c r="R146" s="253">
        <v>0.8</v>
      </c>
      <c r="S146" s="253">
        <v>1.4</v>
      </c>
      <c r="T146" s="253">
        <v>1.4</v>
      </c>
      <c r="U146" s="253">
        <v>4</v>
      </c>
      <c r="V146" s="253">
        <v>6.25</v>
      </c>
      <c r="W146" s="253">
        <v>10</v>
      </c>
      <c r="X146" s="253">
        <v>12</v>
      </c>
      <c r="Y146" s="253">
        <v>320</v>
      </c>
      <c r="Z146" s="253">
        <v>320</v>
      </c>
      <c r="AA146" s="253">
        <v>320</v>
      </c>
      <c r="AB146" s="254">
        <v>800</v>
      </c>
      <c r="AC146" s="386">
        <f>IFERROR(AVERAGEIF(CUOTAS!$F:$F,'RESUMEN VIGILANCIA'!AC$1,CUOTAS!$H:$H),0)</f>
        <v>3000</v>
      </c>
      <c r="AD146" s="387">
        <f>IFERROR(AVERAGEIF(CUOTAS!$F:$F,'RESUMEN VIGILANCIA'!AD$1,CUOTAS!$H:$H),0)</f>
        <v>3000</v>
      </c>
      <c r="AE146" s="387">
        <f>IFERROR(AVERAGEIF(CUOTAS!$F:$F,'RESUMEN VIGILANCIA'!AE$1,CUOTAS!$H:$H),0)</f>
        <v>3000</v>
      </c>
      <c r="AF146" s="387">
        <f>IFERROR(AVERAGEIF(CUOTAS!$F:$F,'RESUMEN VIGILANCIA'!AF$1,CUOTAS!$H:$H),0)</f>
        <v>5000</v>
      </c>
      <c r="AG146" s="387">
        <f>IFERROR(AVERAGEIF(CUOTAS!$F:$F,'RESUMEN VIGILANCIA'!AG$1,CUOTAS!$H:$H),0)</f>
        <v>8000</v>
      </c>
      <c r="AH146" s="556">
        <f>IFERROR(AVERAGEIF(CUOTAS!$F:$F,'RESUMEN VIGILANCIA'!AH$1,CUOTAS!$H:$H),0)</f>
        <v>8000</v>
      </c>
      <c r="AI146" s="387">
        <f>IFERROR(AVERAGEIF(CUOTAS!$F:$F,'RESUMEN VIGILANCIA'!AI$1,CUOTAS!$H:$H),0)</f>
        <v>10000</v>
      </c>
      <c r="AJ146" s="387">
        <f>IFERROR(AVERAGEIF(CUOTAS!$F:$F,'RESUMEN VIGILANCIA'!AJ$1,CUOTAS!$H:$H),0)</f>
        <v>10000</v>
      </c>
      <c r="AK146" s="387">
        <f>IFERROR(AVERAGEIF(CUOTAS!$F:$F,'RESUMEN VIGILANCIA'!AK$1,CUOTAS!$H:$H),0)</f>
        <v>20720</v>
      </c>
      <c r="AL146" s="387">
        <f>IFERROR(AVERAGEIF(CUOTAS!$F:$F,'RESUMEN VIGILANCIA'!AL$1,CUOTAS!$H:$H),0)</f>
        <v>50250</v>
      </c>
      <c r="AM146" s="387">
        <f>IFERROR(AVERAGEIF(CUOTAS!$F:$F,'RESUMEN VIGILANCIA'!AM$1,CUOTAS!$H:$H),0)</f>
        <v>65450</v>
      </c>
      <c r="AN146" s="388">
        <f>IFERROR(AVERAGEIF(CUOTAS!$F:$F,'RESUMEN VIGILANCIA'!AN$1,CUOTAS!$H:$H),0)</f>
        <v>100041.66666666667</v>
      </c>
      <c r="AO146" s="386">
        <f>IFERROR(AVERAGEIF(CUOTAS!$F:$F,'RESUMEN VIGILANCIA'!AO$1,CUOTAS!$H:$H),0)</f>
        <v>130050</v>
      </c>
      <c r="AP146" s="387">
        <f>IFERROR(AVERAGEIF(CUOTAS!$F:$F,'RESUMEN VIGILANCIA'!AP$1,CUOTAS!$H:$H),0)</f>
        <v>136250</v>
      </c>
      <c r="AQ146" s="387">
        <f>IFERROR(AVERAGEIF(CUOTAS!$F:$F,'RESUMEN VIGILANCIA'!AQ$1,CUOTAS!$H:$H),0)</f>
        <v>185250</v>
      </c>
      <c r="AR146" s="387">
        <f>IFERROR(AVERAGEIF(CUOTAS!$F:$F,'RESUMEN VIGILANCIA'!AR$1,CUOTAS!$H:$H),0)</f>
        <v>0</v>
      </c>
      <c r="AS146" s="387">
        <f>IFERROR(AVERAGEIF(CUOTAS!$F:$F,'RESUMEN VIGILANCIA'!AS$1,CUOTAS!$H:$H),0)</f>
        <v>0</v>
      </c>
      <c r="AT146" s="556">
        <f>IFERROR(AVERAGEIF(CUOTAS!$F:$F,'RESUMEN VIGILANCIA'!AT$1,CUOTAS!$H:$H),0)</f>
        <v>0</v>
      </c>
      <c r="AU146" s="387">
        <f>IFERROR(AVERAGEIF(CUOTAS!$F:$F,'RESUMEN VIGILANCIA'!AU$1,CUOTAS!$H:$H),0)</f>
        <v>0</v>
      </c>
      <c r="AV146" s="387">
        <f>IFERROR(AVERAGEIF(CUOTAS!$F:$F,'RESUMEN VIGILANCIA'!AV$1,CUOTAS!$H:$H),0)</f>
        <v>0</v>
      </c>
      <c r="AW146" s="387">
        <f>IFERROR(AVERAGEIF(CUOTAS!$F:$F,'RESUMEN VIGILANCIA'!AW$1,CUOTAS!$H:$H),0)</f>
        <v>0</v>
      </c>
      <c r="AX146" s="387">
        <f>IFERROR(AVERAGEIF(CUOTAS!$F:$F,'RESUMEN VIGILANCIA'!AX$1,CUOTAS!$H:$H),0)</f>
        <v>0</v>
      </c>
      <c r="AY146" s="387">
        <f>IFERROR(AVERAGEIF(CUOTAS!$F:$F,'RESUMEN VIGILANCIA'!AY$1,CUOTAS!$H:$H),0)</f>
        <v>0</v>
      </c>
      <c r="AZ146" s="388">
        <f>IFERROR(AVERAGEIF(CUOTAS!$F:$F,'RESUMEN VIGILANCIA'!AZ$1,CUOTAS!$H:$H),0)</f>
        <v>0</v>
      </c>
      <c r="BA146" s="435"/>
    </row>
    <row r="147" spans="1:54" x14ac:dyDescent="0.2">
      <c r="A147" s="82" t="s">
        <v>1185</v>
      </c>
      <c r="B147" s="83"/>
      <c r="C147" s="84"/>
      <c r="D147" s="255"/>
      <c r="E147" s="256">
        <v>0.12</v>
      </c>
      <c r="F147" s="257">
        <v>0.2</v>
      </c>
      <c r="G147" s="257">
        <v>0.2</v>
      </c>
      <c r="H147" s="257">
        <v>0.2</v>
      </c>
      <c r="I147" s="257">
        <v>0.3</v>
      </c>
      <c r="J147" s="257">
        <v>0.3</v>
      </c>
      <c r="K147" s="257">
        <v>0.4</v>
      </c>
      <c r="L147" s="257">
        <v>0.4</v>
      </c>
      <c r="M147" s="257">
        <v>0.4</v>
      </c>
      <c r="N147" s="257">
        <v>0.4</v>
      </c>
      <c r="O147" s="257">
        <v>0.54</v>
      </c>
      <c r="P147" s="258">
        <v>0.54</v>
      </c>
      <c r="Q147" s="259">
        <v>0.86399999999999999</v>
      </c>
      <c r="R147" s="257">
        <v>0.86399999999999999</v>
      </c>
      <c r="S147" s="257">
        <v>1.55</v>
      </c>
      <c r="T147" s="257">
        <v>1.55</v>
      </c>
      <c r="U147" s="257">
        <f>IF(ISBLANK(U146),"",ROUNDUP(U146*110%*2,2)/2)</f>
        <v>4.4000000000000004</v>
      </c>
      <c r="V147" s="257">
        <f t="shared" ref="V147:X147" si="82">IF(ISBLANK(V146),"",ROUNDUP(V146*110%*2,2)/2)</f>
        <v>6.875</v>
      </c>
      <c r="W147" s="257">
        <f t="shared" si="82"/>
        <v>11</v>
      </c>
      <c r="X147" s="257">
        <f t="shared" si="82"/>
        <v>13.2</v>
      </c>
      <c r="Y147" s="257">
        <f>IF(ISBLANK(Y146),"",ROUNDUP(Y146*110%*2,-1)/2)</f>
        <v>355</v>
      </c>
      <c r="Z147" s="257">
        <f t="shared" ref="Z147:AA147" si="83">IF(ISBLANK(Z146),"",ROUNDUP(Z146*110%*2,-1)/2)</f>
        <v>355</v>
      </c>
      <c r="AA147" s="257">
        <f t="shared" si="83"/>
        <v>355</v>
      </c>
      <c r="AB147" s="255">
        <f>IF(ISBLANK(AB146),"",ROUNDUP(AB146*110%*2,-1)/2)</f>
        <v>880</v>
      </c>
      <c r="AC147" s="389">
        <f t="shared" ref="AC147:AN147" si="84">IF(ISBLANK(AC146),"",ROUNDUP(AC146*110%*2,-1)/2)</f>
        <v>3300</v>
      </c>
      <c r="AD147" s="390">
        <f t="shared" si="84"/>
        <v>3300</v>
      </c>
      <c r="AE147" s="390">
        <f t="shared" si="84"/>
        <v>3300</v>
      </c>
      <c r="AF147" s="390">
        <f t="shared" si="84"/>
        <v>5500</v>
      </c>
      <c r="AG147" s="390">
        <f t="shared" si="84"/>
        <v>8800</v>
      </c>
      <c r="AH147" s="390">
        <f t="shared" si="84"/>
        <v>8800</v>
      </c>
      <c r="AI147" s="390">
        <f t="shared" si="84"/>
        <v>11000</v>
      </c>
      <c r="AJ147" s="390">
        <f t="shared" si="84"/>
        <v>11000</v>
      </c>
      <c r="AK147" s="390">
        <f t="shared" si="84"/>
        <v>22795</v>
      </c>
      <c r="AL147" s="390">
        <f t="shared" si="84"/>
        <v>55275</v>
      </c>
      <c r="AM147" s="390">
        <f t="shared" si="84"/>
        <v>71995</v>
      </c>
      <c r="AN147" s="391">
        <f t="shared" si="84"/>
        <v>110050</v>
      </c>
      <c r="AO147" s="389">
        <f t="shared" ref="AO147:AZ147" si="85">IF(ISBLANK(AO146),"",ROUNDUP(AO146*110%*2,-1)/2)</f>
        <v>143055</v>
      </c>
      <c r="AP147" s="390">
        <f t="shared" si="85"/>
        <v>149875</v>
      </c>
      <c r="AQ147" s="390">
        <f t="shared" si="85"/>
        <v>203775</v>
      </c>
      <c r="AR147" s="390">
        <f t="shared" si="85"/>
        <v>0</v>
      </c>
      <c r="AS147" s="390">
        <f t="shared" si="85"/>
        <v>0</v>
      </c>
      <c r="AT147" s="390">
        <f t="shared" si="85"/>
        <v>0</v>
      </c>
      <c r="AU147" s="390">
        <f t="shared" si="85"/>
        <v>0</v>
      </c>
      <c r="AV147" s="390">
        <f t="shared" si="85"/>
        <v>0</v>
      </c>
      <c r="AW147" s="390">
        <f t="shared" si="85"/>
        <v>0</v>
      </c>
      <c r="AX147" s="390">
        <f t="shared" si="85"/>
        <v>0</v>
      </c>
      <c r="AY147" s="390">
        <f t="shared" si="85"/>
        <v>0</v>
      </c>
      <c r="AZ147" s="391">
        <f t="shared" si="85"/>
        <v>0</v>
      </c>
      <c r="BA147" s="436"/>
    </row>
    <row r="148" spans="1:54" x14ac:dyDescent="0.2">
      <c r="A148" s="82" t="s">
        <v>1186</v>
      </c>
      <c r="B148" s="83"/>
      <c r="C148" s="84"/>
      <c r="D148" s="255"/>
      <c r="E148" s="256">
        <v>0.3</v>
      </c>
      <c r="F148" s="257">
        <v>0.3</v>
      </c>
      <c r="G148" s="257">
        <v>0.3</v>
      </c>
      <c r="H148" s="257">
        <v>0.3</v>
      </c>
      <c r="I148" s="257">
        <v>0.4</v>
      </c>
      <c r="J148" s="257">
        <v>0.4</v>
      </c>
      <c r="K148" s="257">
        <v>0.54</v>
      </c>
      <c r="L148" s="257">
        <v>0.54</v>
      </c>
      <c r="M148" s="257">
        <v>0.54</v>
      </c>
      <c r="N148" s="257">
        <v>0.54</v>
      </c>
      <c r="O148" s="257">
        <v>0.71</v>
      </c>
      <c r="P148" s="258">
        <v>0.71</v>
      </c>
      <c r="Q148" s="259">
        <v>1.1359999999999999</v>
      </c>
      <c r="R148" s="257">
        <v>1.1359999999999999</v>
      </c>
      <c r="S148" s="257">
        <v>2</v>
      </c>
      <c r="T148" s="257">
        <v>2</v>
      </c>
      <c r="U148" s="257">
        <f>IF(ISBLANK(U146),"",ROUND(U146*145%*2,2)/2)</f>
        <v>5.8</v>
      </c>
      <c r="V148" s="257">
        <f t="shared" ref="V148:X148" si="86">IF(ISBLANK(V146),"",ROUND(V146*145%*2,2)/2)</f>
        <v>9.0649999999999995</v>
      </c>
      <c r="W148" s="257">
        <f t="shared" si="86"/>
        <v>14.5</v>
      </c>
      <c r="X148" s="257">
        <f t="shared" si="86"/>
        <v>17.399999999999999</v>
      </c>
      <c r="Y148" s="257">
        <f>IF(ISBLANK(Y146),"",ROUND(Y146*145%*2,-1)/2)</f>
        <v>465</v>
      </c>
      <c r="Z148" s="257">
        <f t="shared" ref="Z148:AB148" si="87">IF(ISBLANK(Z146),"",ROUND(Z146*145%*2,-1)/2)</f>
        <v>465</v>
      </c>
      <c r="AA148" s="257">
        <f t="shared" si="87"/>
        <v>465</v>
      </c>
      <c r="AB148" s="255">
        <f t="shared" si="87"/>
        <v>1160</v>
      </c>
      <c r="AC148" s="389">
        <f t="shared" ref="AC148:AN148" si="88">IF(ISBLANK(AC146),"",ROUND(AC146*145%*2,-1)/2)</f>
        <v>4350</v>
      </c>
      <c r="AD148" s="390">
        <f t="shared" si="88"/>
        <v>4350</v>
      </c>
      <c r="AE148" s="390">
        <f t="shared" si="88"/>
        <v>4350</v>
      </c>
      <c r="AF148" s="390">
        <f t="shared" si="88"/>
        <v>7250</v>
      </c>
      <c r="AG148" s="390">
        <f t="shared" si="88"/>
        <v>11600</v>
      </c>
      <c r="AH148" s="390">
        <f t="shared" si="88"/>
        <v>11600</v>
      </c>
      <c r="AI148" s="390">
        <f t="shared" si="88"/>
        <v>14500</v>
      </c>
      <c r="AJ148" s="390">
        <f t="shared" si="88"/>
        <v>14500</v>
      </c>
      <c r="AK148" s="390">
        <f t="shared" si="88"/>
        <v>30045</v>
      </c>
      <c r="AL148" s="390">
        <f t="shared" si="88"/>
        <v>72865</v>
      </c>
      <c r="AM148" s="390">
        <f t="shared" si="88"/>
        <v>94905</v>
      </c>
      <c r="AN148" s="391">
        <f t="shared" si="88"/>
        <v>145060</v>
      </c>
      <c r="AO148" s="389">
        <f t="shared" ref="AO148:AZ148" si="89">IF(ISBLANK(AO146),"",ROUND(AO146*145%*2,-1)/2)</f>
        <v>188575</v>
      </c>
      <c r="AP148" s="390">
        <f t="shared" si="89"/>
        <v>197565</v>
      </c>
      <c r="AQ148" s="390">
        <f t="shared" si="89"/>
        <v>268615</v>
      </c>
      <c r="AR148" s="390">
        <f t="shared" si="89"/>
        <v>0</v>
      </c>
      <c r="AS148" s="390">
        <f t="shared" si="89"/>
        <v>0</v>
      </c>
      <c r="AT148" s="390">
        <f t="shared" si="89"/>
        <v>0</v>
      </c>
      <c r="AU148" s="390">
        <f t="shared" si="89"/>
        <v>0</v>
      </c>
      <c r="AV148" s="390">
        <f t="shared" si="89"/>
        <v>0</v>
      </c>
      <c r="AW148" s="390">
        <f t="shared" si="89"/>
        <v>0</v>
      </c>
      <c r="AX148" s="390">
        <f t="shared" si="89"/>
        <v>0</v>
      </c>
      <c r="AY148" s="390">
        <f t="shared" si="89"/>
        <v>0</v>
      </c>
      <c r="AZ148" s="391">
        <f t="shared" si="89"/>
        <v>0</v>
      </c>
      <c r="BA148" s="436"/>
    </row>
    <row r="149" spans="1:54" x14ac:dyDescent="0.2">
      <c r="A149" s="166" t="s">
        <v>1187</v>
      </c>
      <c r="B149" s="167"/>
      <c r="C149" s="168"/>
      <c r="D149" s="248"/>
      <c r="E149" s="249"/>
      <c r="F149" s="250"/>
      <c r="G149" s="250"/>
      <c r="H149" s="250"/>
      <c r="I149" s="250"/>
      <c r="J149" s="250"/>
      <c r="K149" s="250"/>
      <c r="L149" s="250"/>
      <c r="M149" s="250"/>
      <c r="N149" s="250"/>
      <c r="O149" s="250"/>
      <c r="P149" s="251"/>
      <c r="Q149" s="252"/>
      <c r="R149" s="253"/>
      <c r="S149" s="253"/>
      <c r="T149" s="253">
        <v>57.409950000000002</v>
      </c>
      <c r="U149" s="253">
        <v>177.54</v>
      </c>
      <c r="V149" s="253">
        <v>445.77249999999998</v>
      </c>
      <c r="W149" s="253">
        <v>539.77250000000004</v>
      </c>
      <c r="X149" s="253">
        <v>539.77250000000004</v>
      </c>
      <c r="Y149" s="253">
        <v>14254.74</v>
      </c>
      <c r="Z149" s="253">
        <v>14254.74</v>
      </c>
      <c r="AA149" s="253">
        <v>14254.74</v>
      </c>
      <c r="AB149" s="254">
        <v>35483</v>
      </c>
      <c r="AC149" s="386">
        <f>ROUND(AB149*1.75,-2)*1.7</f>
        <v>105570</v>
      </c>
      <c r="AD149" s="387">
        <v>131820</v>
      </c>
      <c r="AE149" s="386">
        <f>ROUND(AD149*1.25,-2)</f>
        <v>164800</v>
      </c>
      <c r="AF149" s="387">
        <f>ROUND(AE149*1.25,-2)</f>
        <v>206000</v>
      </c>
      <c r="AG149" s="387">
        <f>ROUND(AF149*1.25,-2)</f>
        <v>257500</v>
      </c>
      <c r="AH149" s="387">
        <f>ROUND(AG149*1.25,-2)</f>
        <v>321900</v>
      </c>
      <c r="AI149" s="387">
        <f>IF(ISBLANK(AI146),"",ROUND(AH149*1.25,-2))</f>
        <v>402400</v>
      </c>
      <c r="AJ149" s="387">
        <f t="shared" ref="AJ149:AN149" si="90">IF(ISBLANK(AJ146),"",ROUND(AI149*1.25,-2))</f>
        <v>503000</v>
      </c>
      <c r="AK149" s="387">
        <f>IF(ISBLANK(AK146),"",ROUND(AJ149*2.25,-2))</f>
        <v>1131800</v>
      </c>
      <c r="AL149" s="387">
        <f>IF(ISBLANK(AL146),"",ROUND(3000000*1.1,-2))</f>
        <v>3300000</v>
      </c>
      <c r="AM149" s="387">
        <f t="shared" si="90"/>
        <v>4125000</v>
      </c>
      <c r="AN149" s="388">
        <f t="shared" si="90"/>
        <v>5156300</v>
      </c>
      <c r="AO149" s="386">
        <f t="shared" ref="AO149" si="91">IF(ISBLANK(AO146),"",ROUND(AN149*1.25,-2))</f>
        <v>6445400</v>
      </c>
      <c r="AP149" s="387">
        <f t="shared" ref="AP149" si="92">IF(ISBLANK(AP146),"",ROUND(AO149*1.25,-2))</f>
        <v>8056800</v>
      </c>
      <c r="AQ149" s="387">
        <f t="shared" ref="AQ149" si="93">IF(ISBLANK(AQ146),"",ROUND(AP149*1.25,-2))</f>
        <v>10071000</v>
      </c>
      <c r="AR149" s="387">
        <f t="shared" ref="AR149" si="94">IF(ISBLANK(AR146),"",ROUND(AQ149*1.25,-2))</f>
        <v>12588800</v>
      </c>
      <c r="AS149" s="387">
        <f t="shared" ref="AS149" si="95">IF(ISBLANK(AS146),"",ROUND(AR149*1.25,-2))</f>
        <v>15736000</v>
      </c>
      <c r="AT149" s="387">
        <f t="shared" ref="AT149" si="96">IF(ISBLANK(AT146),"",ROUND(AS149*1.25,-2))</f>
        <v>19670000</v>
      </c>
      <c r="AU149" s="387">
        <f t="shared" ref="AU149" si="97">IF(ISBLANK(AU146),"",ROUND(AT149*1.25,-2))</f>
        <v>24587500</v>
      </c>
      <c r="AV149" s="387">
        <f t="shared" ref="AV149" si="98">IF(ISBLANK(AV146),"",ROUND(AU149*1.25,-2))</f>
        <v>30734400</v>
      </c>
      <c r="AW149" s="387">
        <f t="shared" ref="AW149" si="99">IF(ISBLANK(AW146),"",ROUND(AV149*1.25,-2))</f>
        <v>38418000</v>
      </c>
      <c r="AX149" s="387">
        <f t="shared" ref="AX149" si="100">IF(ISBLANK(AX146),"",ROUND(AW149*1.25,-2))</f>
        <v>48022500</v>
      </c>
      <c r="AY149" s="387">
        <f t="shared" ref="AY149" si="101">IF(ISBLANK(AY146),"",ROUND(AX149*1.25,-2))</f>
        <v>60028100</v>
      </c>
      <c r="AZ149" s="388">
        <f t="shared" ref="AZ149" si="102">IF(ISBLANK(AZ146),"",ROUND(AY149*1.25,-2))</f>
        <v>75035100</v>
      </c>
      <c r="BA149" s="435"/>
    </row>
    <row r="151" spans="1:54" x14ac:dyDescent="0.2">
      <c r="AP151" s="27">
        <f>IFERROR(AVERAGEIF(CUOTAS!$F:$F,'RESUMEN VIGILANCIA'!AP$1,CUOTAS!$H:$H),"")</f>
        <v>136250</v>
      </c>
      <c r="AQ151" s="27">
        <f>IFERROR(AVERAGEIF(CUOTAS!$F:$F,'RESUMEN VIGILANCIA'!AQ$1,CUOTAS!$H:$H),"")</f>
        <v>185250</v>
      </c>
      <c r="AR151" s="27" t="str">
        <f>IFERROR(AVERAGEIF(CUOTAS!$F:$F,'RESUMEN VIGILANCIA'!AR$1,CUOTAS!$H:$H),"")</f>
        <v/>
      </c>
      <c r="AS151" s="27" t="str">
        <f>IFERROR(AVERAGEIF(CUOTAS!$F:$F,'RESUMEN VIGILANCIA'!AS$1,CUOTAS!$H:$H),"")</f>
        <v/>
      </c>
      <c r="AT151" s="27" t="str">
        <f>IFERROR(AVERAGEIF(CUOTAS!$F:$F,'RESUMEN VIGILANCIA'!AT$1,CUOTAS!$H:$H),"")</f>
        <v/>
      </c>
      <c r="AU151" s="27" t="str">
        <f>IFERROR(AVERAGEIF(CUOTAS!$F:$F,'RESUMEN VIGILANCIA'!AU$1,CUOTAS!$H:$H),"")</f>
        <v/>
      </c>
      <c r="AV151" s="27" t="str">
        <f>IFERROR(AVERAGEIF(CUOTAS!$F:$F,'RESUMEN VIGILANCIA'!AV$1,CUOTAS!$H:$H),"")</f>
        <v/>
      </c>
      <c r="AW151" s="27" t="str">
        <f>IFERROR(AVERAGEIF(CUOTAS!$F:$F,'RESUMEN VIGILANCIA'!AW$1,CUOTAS!$H:$H),"")</f>
        <v/>
      </c>
      <c r="AX151" s="27" t="str">
        <f>IFERROR(AVERAGEIF(CUOTAS!$F:$F,'RESUMEN VIGILANCIA'!AX$1,CUOTAS!$H:$H),"")</f>
        <v/>
      </c>
      <c r="AY151" s="27" t="str">
        <f>IFERROR(AVERAGEIF(CUOTAS!$F:$F,'RESUMEN VIGILANCIA'!AY$1,CUOTAS!$H:$H),"")</f>
        <v/>
      </c>
      <c r="AZ151" s="27" t="str">
        <f>IFERROR(AVERAGEIF(CUOTAS!$F:$F,'RESUMEN VIGILANCIA'!AZ$1,CUOTAS!$H:$H),"")</f>
        <v/>
      </c>
    </row>
  </sheetData>
  <conditionalFormatting sqref="C1:C105 C107:C142">
    <cfRule type="cellIs" dxfId="54" priority="3" operator="equal">
      <formula>"û"</formula>
    </cfRule>
  </conditionalFormatting>
  <conditionalFormatting sqref="C106">
    <cfRule type="cellIs" dxfId="53"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73"/>
  <sheetViews>
    <sheetView showGridLines="0" workbookViewId="0">
      <pane ySplit="3" topLeftCell="A71" activePane="bottomLeft" state="frozen"/>
      <selection activeCell="AL85" sqref="AL85"/>
      <selection pane="bottomLeft" activeCell="A71" sqref="A71"/>
    </sheetView>
  </sheetViews>
  <sheetFormatPr baseColWidth="10" defaultColWidth="10.7109375" defaultRowHeight="15" x14ac:dyDescent="0.25"/>
  <cols>
    <col min="1" max="1" width="11.42578125" style="2"/>
    <col min="2" max="3" width="10.7109375" style="604"/>
    <col min="4" max="4" width="11.7109375" style="596" customWidth="1"/>
    <col min="5" max="5" width="18.42578125" style="596" customWidth="1"/>
    <col min="6" max="6" width="10.5703125" style="636" bestFit="1" customWidth="1"/>
    <col min="7" max="13" width="11.7109375" style="596" customWidth="1"/>
  </cols>
  <sheetData>
    <row r="1" spans="1:13" x14ac:dyDescent="0.25">
      <c r="A1" s="623" t="s">
        <v>1188</v>
      </c>
      <c r="B1" s="614"/>
      <c r="C1" s="614"/>
      <c r="D1" s="615"/>
      <c r="E1" s="615"/>
      <c r="F1" s="633"/>
      <c r="G1" s="615"/>
      <c r="H1" s="616" t="s">
        <v>1189</v>
      </c>
      <c r="I1" s="617">
        <f>LOOKUP(100000000000000000000,1/(E:E&lt;&gt;""),E:E)</f>
        <v>10711919274.4</v>
      </c>
      <c r="J1" s="615"/>
      <c r="K1" s="615"/>
      <c r="L1" s="616" t="s">
        <v>1190</v>
      </c>
      <c r="M1" s="618" cm="1">
        <f t="array" ref="M1">LOOKUP(100000000000000000000,1/(G:G&lt;&gt;""),G:G)</f>
        <v>70800</v>
      </c>
    </row>
    <row r="3" spans="1:13" ht="45" x14ac:dyDescent="0.25">
      <c r="A3" s="632" t="s">
        <v>3</v>
      </c>
      <c r="B3" s="631" t="s">
        <v>1191</v>
      </c>
      <c r="C3" s="631" t="s">
        <v>1192</v>
      </c>
      <c r="D3" s="630" t="s">
        <v>1193</v>
      </c>
      <c r="E3" s="631" t="s">
        <v>1194</v>
      </c>
      <c r="F3" s="631" t="s">
        <v>14</v>
      </c>
      <c r="G3" s="631" t="s">
        <v>1195</v>
      </c>
      <c r="H3" s="631" t="s">
        <v>1196</v>
      </c>
      <c r="I3" s="631" t="s">
        <v>1197</v>
      </c>
      <c r="J3" s="631" t="s">
        <v>1185</v>
      </c>
      <c r="K3" s="631" t="s">
        <v>1198</v>
      </c>
      <c r="L3" s="631" t="s">
        <v>1186</v>
      </c>
      <c r="M3" s="631" t="s">
        <v>1199</v>
      </c>
    </row>
    <row r="4" spans="1:13" x14ac:dyDescent="0.25">
      <c r="A4" s="637">
        <v>42370</v>
      </c>
      <c r="B4" s="605">
        <v>0</v>
      </c>
      <c r="C4" s="638" t="s">
        <v>1200</v>
      </c>
      <c r="D4" s="606" t="s">
        <v>1201</v>
      </c>
      <c r="E4" s="606">
        <v>8826.9</v>
      </c>
      <c r="F4" s="634">
        <f>DATE(YEAR(A4),MONTH(A4),1)</f>
        <v>42370</v>
      </c>
      <c r="G4" s="609"/>
      <c r="H4" s="610">
        <f t="shared" ref="H4:H36" si="0">IF(C4="VEB",B4,G4*B4)</f>
        <v>0</v>
      </c>
      <c r="I4" s="609">
        <f t="shared" ref="I4:I36" si="1">(1+($I$1-E4)/E4)*B4</f>
        <v>0</v>
      </c>
      <c r="J4" s="609">
        <v>0</v>
      </c>
      <c r="K4" s="609"/>
      <c r="L4" s="609">
        <v>0</v>
      </c>
      <c r="M4" s="609"/>
    </row>
    <row r="5" spans="1:13" x14ac:dyDescent="0.25">
      <c r="A5" s="637">
        <v>42736</v>
      </c>
      <c r="B5" s="605">
        <f>17000/100000</f>
        <v>0.17</v>
      </c>
      <c r="C5" s="638" t="s">
        <v>1200</v>
      </c>
      <c r="D5" s="606" t="s">
        <v>1201</v>
      </c>
      <c r="E5" s="606">
        <v>10378.1</v>
      </c>
      <c r="F5" s="634">
        <f t="shared" ref="F5:F46" si="2">DATE(YEAR(A5),MONTH(A5),1)</f>
        <v>42736</v>
      </c>
      <c r="G5" s="609"/>
      <c r="H5" s="610">
        <f t="shared" si="0"/>
        <v>0.17</v>
      </c>
      <c r="I5" s="609">
        <f t="shared" si="1"/>
        <v>175468.17593278154</v>
      </c>
      <c r="J5" s="609">
        <f>12000/100000</f>
        <v>0.12</v>
      </c>
      <c r="K5" s="609"/>
      <c r="L5" s="609">
        <f>30000/100000</f>
        <v>0.3</v>
      </c>
      <c r="M5" s="609"/>
    </row>
    <row r="6" spans="1:13" x14ac:dyDescent="0.25">
      <c r="A6" s="637">
        <f t="shared" ref="A6:A36" si="3">EDATE(A5,1)</f>
        <v>42767</v>
      </c>
      <c r="B6" s="605">
        <f t="shared" ref="B6:B8" si="4">17000/100000</f>
        <v>0.17</v>
      </c>
      <c r="C6" s="638" t="s">
        <v>1200</v>
      </c>
      <c r="D6" s="606" t="s">
        <v>1201</v>
      </c>
      <c r="E6" s="606">
        <v>11697.2</v>
      </c>
      <c r="F6" s="634">
        <f t="shared" si="2"/>
        <v>42767</v>
      </c>
      <c r="G6" s="609"/>
      <c r="H6" s="610">
        <f t="shared" si="0"/>
        <v>0.17</v>
      </c>
      <c r="I6" s="609">
        <f t="shared" si="1"/>
        <v>155680.52838696438</v>
      </c>
      <c r="J6" s="609">
        <f>12000/100000</f>
        <v>0.12</v>
      </c>
      <c r="K6" s="609"/>
      <c r="L6" s="609">
        <f>30000/100000</f>
        <v>0.3</v>
      </c>
      <c r="M6" s="609"/>
    </row>
    <row r="7" spans="1:13" x14ac:dyDescent="0.25">
      <c r="A7" s="637">
        <f t="shared" si="3"/>
        <v>42795</v>
      </c>
      <c r="B7" s="605">
        <f t="shared" si="4"/>
        <v>0.17</v>
      </c>
      <c r="C7" s="638" t="s">
        <v>1200</v>
      </c>
      <c r="D7" s="606" t="s">
        <v>1201</v>
      </c>
      <c r="E7" s="606">
        <v>12910.1</v>
      </c>
      <c r="F7" s="634">
        <f t="shared" si="2"/>
        <v>42795</v>
      </c>
      <c r="G7" s="609"/>
      <c r="H7" s="610">
        <f t="shared" si="0"/>
        <v>0.17</v>
      </c>
      <c r="I7" s="609">
        <f t="shared" si="1"/>
        <v>141054.38971409979</v>
      </c>
      <c r="J7" s="609">
        <f>20000/100000</f>
        <v>0.2</v>
      </c>
      <c r="K7" s="609"/>
      <c r="L7" s="609">
        <f>30000/100000</f>
        <v>0.3</v>
      </c>
      <c r="M7" s="609"/>
    </row>
    <row r="8" spans="1:13" x14ac:dyDescent="0.25">
      <c r="A8" s="637">
        <f t="shared" si="3"/>
        <v>42826</v>
      </c>
      <c r="B8" s="605">
        <f t="shared" si="4"/>
        <v>0.17</v>
      </c>
      <c r="C8" s="638" t="s">
        <v>1200</v>
      </c>
      <c r="D8" s="606" t="s">
        <v>1201</v>
      </c>
      <c r="E8" s="606">
        <v>13975.9</v>
      </c>
      <c r="F8" s="634">
        <f t="shared" si="2"/>
        <v>42826</v>
      </c>
      <c r="G8" s="609"/>
      <c r="H8" s="610">
        <f t="shared" si="0"/>
        <v>0.17</v>
      </c>
      <c r="I8" s="609">
        <f t="shared" si="1"/>
        <v>130297.60349229748</v>
      </c>
      <c r="J8" s="609">
        <f>20000/100000</f>
        <v>0.2</v>
      </c>
      <c r="K8" s="609"/>
      <c r="L8" s="609">
        <f>30000/100000</f>
        <v>0.3</v>
      </c>
      <c r="M8" s="609"/>
    </row>
    <row r="9" spans="1:13" x14ac:dyDescent="0.25">
      <c r="A9" s="637">
        <f t="shared" si="3"/>
        <v>42856</v>
      </c>
      <c r="B9" s="605">
        <f>26000/100000</f>
        <v>0.26</v>
      </c>
      <c r="C9" s="638" t="s">
        <v>1200</v>
      </c>
      <c r="D9" s="606" t="s">
        <v>1201</v>
      </c>
      <c r="E9" s="606">
        <v>15610.4</v>
      </c>
      <c r="F9" s="634">
        <f t="shared" si="2"/>
        <v>42856</v>
      </c>
      <c r="G9" s="609"/>
      <c r="H9" s="610">
        <f t="shared" si="0"/>
        <v>0.26</v>
      </c>
      <c r="I9" s="609">
        <f t="shared" si="1"/>
        <v>178413.04587608261</v>
      </c>
      <c r="J9" s="609">
        <f>20000/100000</f>
        <v>0.2</v>
      </c>
      <c r="K9" s="609"/>
      <c r="L9" s="609">
        <f>30000/100000</f>
        <v>0.3</v>
      </c>
      <c r="M9" s="609"/>
    </row>
    <row r="10" spans="1:13" x14ac:dyDescent="0.25">
      <c r="A10" s="637">
        <f t="shared" si="3"/>
        <v>42887</v>
      </c>
      <c r="B10" s="605">
        <f>26000/100000</f>
        <v>0.26</v>
      </c>
      <c r="C10" s="638" t="s">
        <v>1200</v>
      </c>
      <c r="D10" s="606" t="s">
        <v>1201</v>
      </c>
      <c r="E10" s="606">
        <v>17537.8</v>
      </c>
      <c r="F10" s="634">
        <f t="shared" si="2"/>
        <v>42887</v>
      </c>
      <c r="G10" s="609"/>
      <c r="H10" s="610">
        <f t="shared" si="0"/>
        <v>0.26</v>
      </c>
      <c r="I10" s="609">
        <f t="shared" si="1"/>
        <v>158805.49506460331</v>
      </c>
      <c r="J10" s="609">
        <f>30000/100000</f>
        <v>0.3</v>
      </c>
      <c r="K10" s="609"/>
      <c r="L10" s="609">
        <f>40000/100000</f>
        <v>0.4</v>
      </c>
      <c r="M10" s="609"/>
    </row>
    <row r="11" spans="1:13" x14ac:dyDescent="0.25">
      <c r="A11" s="637">
        <f t="shared" si="3"/>
        <v>42917</v>
      </c>
      <c r="B11" s="605">
        <f>35000/100000</f>
        <v>0.35</v>
      </c>
      <c r="C11" s="638" t="s">
        <v>1200</v>
      </c>
      <c r="D11" s="606" t="s">
        <v>1201</v>
      </c>
      <c r="E11" s="606">
        <v>19938.2</v>
      </c>
      <c r="F11" s="634">
        <f t="shared" si="2"/>
        <v>42917</v>
      </c>
      <c r="G11" s="609"/>
      <c r="H11" s="610">
        <f t="shared" si="0"/>
        <v>0.35</v>
      </c>
      <c r="I11" s="609">
        <f t="shared" si="1"/>
        <v>188039.62975795203</v>
      </c>
      <c r="J11" s="609">
        <f>30000/100000</f>
        <v>0.3</v>
      </c>
      <c r="K11" s="609"/>
      <c r="L11" s="609">
        <f>40000/100000</f>
        <v>0.4</v>
      </c>
      <c r="M11" s="609"/>
    </row>
    <row r="12" spans="1:13" x14ac:dyDescent="0.25">
      <c r="A12" s="637">
        <f t="shared" si="3"/>
        <v>42948</v>
      </c>
      <c r="B12" s="605">
        <f t="shared" ref="B12:B14" si="5">35000/100000</f>
        <v>0.35</v>
      </c>
      <c r="C12" s="638" t="s">
        <v>1200</v>
      </c>
      <c r="D12" s="606" t="s">
        <v>1201</v>
      </c>
      <c r="E12" s="606">
        <v>23736.3</v>
      </c>
      <c r="F12" s="634">
        <f t="shared" si="2"/>
        <v>42948</v>
      </c>
      <c r="G12" s="609"/>
      <c r="H12" s="610">
        <f t="shared" si="0"/>
        <v>0.35</v>
      </c>
      <c r="I12" s="609">
        <f t="shared" si="1"/>
        <v>157950.97576454628</v>
      </c>
      <c r="J12" s="609">
        <f>40000/100000</f>
        <v>0.4</v>
      </c>
      <c r="K12" s="609"/>
      <c r="L12" s="609">
        <f>54000/100000</f>
        <v>0.54</v>
      </c>
      <c r="M12" s="609"/>
    </row>
    <row r="13" spans="1:13" x14ac:dyDescent="0.25">
      <c r="A13" s="637">
        <f t="shared" si="3"/>
        <v>42979</v>
      </c>
      <c r="B13" s="605">
        <f t="shared" si="5"/>
        <v>0.35</v>
      </c>
      <c r="C13" s="638" t="s">
        <v>1200</v>
      </c>
      <c r="D13" s="606" t="s">
        <v>1201</v>
      </c>
      <c r="E13" s="606">
        <v>29921.9</v>
      </c>
      <c r="F13" s="634">
        <f t="shared" si="2"/>
        <v>42979</v>
      </c>
      <c r="G13" s="609"/>
      <c r="H13" s="610">
        <f t="shared" si="0"/>
        <v>0.35</v>
      </c>
      <c r="I13" s="609">
        <f t="shared" si="1"/>
        <v>125298.58551896771</v>
      </c>
      <c r="J13" s="609">
        <f>40000/100000</f>
        <v>0.4</v>
      </c>
      <c r="K13" s="609"/>
      <c r="L13" s="609">
        <f>54000/100000</f>
        <v>0.54</v>
      </c>
      <c r="M13" s="609"/>
    </row>
    <row r="14" spans="1:13" x14ac:dyDescent="0.25">
      <c r="A14" s="637">
        <f t="shared" si="3"/>
        <v>43009</v>
      </c>
      <c r="B14" s="605">
        <f t="shared" si="5"/>
        <v>0.35</v>
      </c>
      <c r="C14" s="638" t="s">
        <v>1200</v>
      </c>
      <c r="D14" s="606" t="s">
        <v>1201</v>
      </c>
      <c r="E14" s="606">
        <v>39473.9</v>
      </c>
      <c r="F14" s="634">
        <f t="shared" si="2"/>
        <v>43009</v>
      </c>
      <c r="G14" s="609"/>
      <c r="H14" s="610">
        <f t="shared" si="0"/>
        <v>0.35</v>
      </c>
      <c r="I14" s="609">
        <f t="shared" si="1"/>
        <v>94978.498350555674</v>
      </c>
      <c r="J14" s="609">
        <f>40000/100000</f>
        <v>0.4</v>
      </c>
      <c r="K14" s="609"/>
      <c r="L14" s="609">
        <f>54000/100000</f>
        <v>0.54</v>
      </c>
      <c r="M14" s="609"/>
    </row>
    <row r="15" spans="1:13" x14ac:dyDescent="0.25">
      <c r="A15" s="637">
        <f t="shared" si="3"/>
        <v>43040</v>
      </c>
      <c r="B15" s="605">
        <f>50000/100000</f>
        <v>0.5</v>
      </c>
      <c r="C15" s="638" t="s">
        <v>1200</v>
      </c>
      <c r="D15" s="606" t="s">
        <v>1201</v>
      </c>
      <c r="E15" s="606">
        <v>54611</v>
      </c>
      <c r="F15" s="634">
        <f t="shared" si="2"/>
        <v>43040</v>
      </c>
      <c r="G15" s="609"/>
      <c r="H15" s="610">
        <f t="shared" si="0"/>
        <v>0.5</v>
      </c>
      <c r="I15" s="609">
        <f t="shared" si="1"/>
        <v>98074.740202523302</v>
      </c>
      <c r="J15" s="609">
        <f>40000/100000</f>
        <v>0.4</v>
      </c>
      <c r="K15" s="609"/>
      <c r="L15" s="609">
        <f>54000/100000</f>
        <v>0.54</v>
      </c>
      <c r="M15" s="609"/>
    </row>
    <row r="16" spans="1:13" x14ac:dyDescent="0.25">
      <c r="A16" s="637">
        <f t="shared" si="3"/>
        <v>43070</v>
      </c>
      <c r="B16" s="605">
        <f>50000/100000</f>
        <v>0.5</v>
      </c>
      <c r="C16" s="638" t="s">
        <v>1200</v>
      </c>
      <c r="D16" s="606" t="s">
        <v>1201</v>
      </c>
      <c r="E16" s="606">
        <v>84970.3</v>
      </c>
      <c r="F16" s="634">
        <f t="shared" si="2"/>
        <v>43070</v>
      </c>
      <c r="G16" s="609"/>
      <c r="H16" s="610">
        <f t="shared" si="0"/>
        <v>0.5</v>
      </c>
      <c r="I16" s="609">
        <f t="shared" si="1"/>
        <v>63033.314431042374</v>
      </c>
      <c r="J16" s="609">
        <f>54000/100000</f>
        <v>0.54</v>
      </c>
      <c r="K16" s="609"/>
      <c r="L16" s="609">
        <f>71000/100000</f>
        <v>0.71</v>
      </c>
      <c r="M16" s="609"/>
    </row>
    <row r="17" spans="1:13" x14ac:dyDescent="0.25">
      <c r="A17" s="637">
        <f t="shared" si="3"/>
        <v>43101</v>
      </c>
      <c r="B17" s="605">
        <f>80000/100000</f>
        <v>0.8</v>
      </c>
      <c r="C17" s="638" t="s">
        <v>1200</v>
      </c>
      <c r="D17" s="606" t="s">
        <v>1201</v>
      </c>
      <c r="E17" s="606">
        <v>141060.9</v>
      </c>
      <c r="F17" s="634">
        <f t="shared" si="2"/>
        <v>43101</v>
      </c>
      <c r="G17" s="609"/>
      <c r="H17" s="610">
        <f t="shared" si="0"/>
        <v>0.8</v>
      </c>
      <c r="I17" s="609">
        <f t="shared" si="1"/>
        <v>60750.607854621659</v>
      </c>
      <c r="J17" s="609">
        <f>54000/100000</f>
        <v>0.54</v>
      </c>
      <c r="K17" s="609"/>
      <c r="L17" s="609">
        <f>71000/100000</f>
        <v>0.71</v>
      </c>
      <c r="M17" s="609"/>
    </row>
    <row r="18" spans="1:13" x14ac:dyDescent="0.25">
      <c r="A18" s="637">
        <f t="shared" si="3"/>
        <v>43132</v>
      </c>
      <c r="B18" s="605">
        <f>80000/100000</f>
        <v>0.8</v>
      </c>
      <c r="C18" s="638" t="s">
        <v>1200</v>
      </c>
      <c r="D18" s="606" t="s">
        <v>1201</v>
      </c>
      <c r="E18" s="606">
        <v>204074.2</v>
      </c>
      <c r="F18" s="634">
        <f t="shared" si="2"/>
        <v>43132</v>
      </c>
      <c r="G18" s="609"/>
      <c r="H18" s="610">
        <f t="shared" si="0"/>
        <v>0.8</v>
      </c>
      <c r="I18" s="609">
        <f t="shared" si="1"/>
        <v>41992.252913499105</v>
      </c>
      <c r="J18" s="609">
        <f>86400/100000</f>
        <v>0.86399999999999999</v>
      </c>
      <c r="K18" s="609"/>
      <c r="L18" s="609">
        <f>113600/100000</f>
        <v>1.1359999999999999</v>
      </c>
      <c r="M18" s="609"/>
    </row>
    <row r="19" spans="1:13" x14ac:dyDescent="0.25">
      <c r="A19" s="637">
        <f t="shared" si="3"/>
        <v>43160</v>
      </c>
      <c r="B19" s="605">
        <f>140000/100000</f>
        <v>1.4</v>
      </c>
      <c r="C19" s="638" t="s">
        <v>1200</v>
      </c>
      <c r="D19" s="606" t="s">
        <v>1201</v>
      </c>
      <c r="E19" s="606">
        <v>287622.2</v>
      </c>
      <c r="F19" s="634">
        <f t="shared" si="2"/>
        <v>43160</v>
      </c>
      <c r="G19" s="609"/>
      <c r="H19" s="610">
        <f t="shared" si="0"/>
        <v>1.4</v>
      </c>
      <c r="I19" s="609">
        <f t="shared" si="1"/>
        <v>52140.227646405583</v>
      </c>
      <c r="J19" s="609">
        <f>86400/100000</f>
        <v>0.86399999999999999</v>
      </c>
      <c r="K19" s="609"/>
      <c r="L19" s="609">
        <f>113600/100000</f>
        <v>1.1359999999999999</v>
      </c>
      <c r="M19" s="609"/>
    </row>
    <row r="20" spans="1:13" x14ac:dyDescent="0.25">
      <c r="A20" s="637">
        <f t="shared" si="3"/>
        <v>43191</v>
      </c>
      <c r="B20" s="605">
        <f>140000/100000</f>
        <v>1.4</v>
      </c>
      <c r="C20" s="638" t="s">
        <v>1200</v>
      </c>
      <c r="D20" s="606" t="s">
        <v>1201</v>
      </c>
      <c r="E20" s="606">
        <v>448124</v>
      </c>
      <c r="F20" s="634">
        <f t="shared" si="2"/>
        <v>43191</v>
      </c>
      <c r="G20" s="609"/>
      <c r="H20" s="610">
        <f t="shared" si="0"/>
        <v>1.4</v>
      </c>
      <c r="I20" s="609">
        <f t="shared" si="1"/>
        <v>33465.484964340227</v>
      </c>
      <c r="J20" s="609">
        <f>155000/100000</f>
        <v>1.55</v>
      </c>
      <c r="K20" s="609"/>
      <c r="L20" s="609">
        <f>200000/100000</f>
        <v>2</v>
      </c>
      <c r="M20" s="609"/>
    </row>
    <row r="21" spans="1:13" x14ac:dyDescent="0.25">
      <c r="A21" s="637">
        <f t="shared" si="3"/>
        <v>43221</v>
      </c>
      <c r="B21" s="605">
        <f>400000/100000</f>
        <v>4</v>
      </c>
      <c r="C21" s="638" t="s">
        <v>1200</v>
      </c>
      <c r="D21" s="606" t="s">
        <v>1201</v>
      </c>
      <c r="E21" s="606">
        <v>942481</v>
      </c>
      <c r="F21" s="634">
        <f t="shared" si="2"/>
        <v>43221</v>
      </c>
      <c r="G21" s="609"/>
      <c r="H21" s="610">
        <f t="shared" si="0"/>
        <v>4</v>
      </c>
      <c r="I21" s="609">
        <f t="shared" si="1"/>
        <v>45462.64285179224</v>
      </c>
      <c r="J21" s="609">
        <f>155000/100000</f>
        <v>1.55</v>
      </c>
      <c r="K21" s="609"/>
      <c r="L21" s="609">
        <f>200000/100000</f>
        <v>2</v>
      </c>
      <c r="M21" s="609"/>
    </row>
    <row r="22" spans="1:13" x14ac:dyDescent="0.25">
      <c r="A22" s="637">
        <f t="shared" si="3"/>
        <v>43252</v>
      </c>
      <c r="B22" s="605">
        <f>625000/100000</f>
        <v>6.25</v>
      </c>
      <c r="C22" s="638" t="s">
        <v>1200</v>
      </c>
      <c r="D22" s="606" t="s">
        <v>1201</v>
      </c>
      <c r="E22" s="606">
        <v>1853869.6</v>
      </c>
      <c r="F22" s="634">
        <f t="shared" si="2"/>
        <v>43252</v>
      </c>
      <c r="G22" s="609"/>
      <c r="H22" s="610">
        <f t="shared" si="0"/>
        <v>6.25</v>
      </c>
      <c r="I22" s="609">
        <f t="shared" si="1"/>
        <v>36113.378991165286</v>
      </c>
      <c r="J22" s="609">
        <f>IF(ISBLANK(H22),"",ROUNDUP(H22*110%*2,2)/2)</f>
        <v>6.875</v>
      </c>
      <c r="K22" s="609"/>
      <c r="L22" s="609">
        <f>IF(ISBLANK(H22),"",ROUND(H22*145%*2,2)/2)</f>
        <v>9.0649999999999995</v>
      </c>
      <c r="M22" s="609"/>
    </row>
    <row r="23" spans="1:13" x14ac:dyDescent="0.25">
      <c r="A23" s="637">
        <f t="shared" si="3"/>
        <v>43282</v>
      </c>
      <c r="B23" s="605">
        <f>1000000/100000</f>
        <v>10</v>
      </c>
      <c r="C23" s="638" t="s">
        <v>1200</v>
      </c>
      <c r="D23" s="606" t="s">
        <v>1201</v>
      </c>
      <c r="E23" s="606">
        <v>3362789.7</v>
      </c>
      <c r="F23" s="634">
        <f t="shared" si="2"/>
        <v>43282</v>
      </c>
      <c r="G23" s="609"/>
      <c r="H23" s="610">
        <f t="shared" si="0"/>
        <v>10</v>
      </c>
      <c r="I23" s="609">
        <f t="shared" si="1"/>
        <v>31854.264554218178</v>
      </c>
      <c r="J23" s="609">
        <f>IF(ISBLANK(H23),"",ROUNDUP(H23*110%*2,2)/2)</f>
        <v>11</v>
      </c>
      <c r="K23" s="609"/>
      <c r="L23" s="609">
        <f>IF(ISBLANK(H23),"",ROUND(H23*145%*2,2)/2)</f>
        <v>14.5</v>
      </c>
      <c r="M23" s="609"/>
    </row>
    <row r="24" spans="1:13" x14ac:dyDescent="0.25">
      <c r="A24" s="637">
        <f t="shared" si="3"/>
        <v>43313</v>
      </c>
      <c r="B24" s="605">
        <f>1200000/100000</f>
        <v>12</v>
      </c>
      <c r="C24" s="638" t="s">
        <v>1200</v>
      </c>
      <c r="D24" s="606" t="s">
        <v>1201</v>
      </c>
      <c r="E24" s="606">
        <v>5919047.9000000004</v>
      </c>
      <c r="F24" s="634">
        <f t="shared" si="2"/>
        <v>43313</v>
      </c>
      <c r="G24" s="609"/>
      <c r="H24" s="610">
        <f t="shared" si="0"/>
        <v>12</v>
      </c>
      <c r="I24" s="609">
        <f t="shared" si="1"/>
        <v>21716.842550437883</v>
      </c>
      <c r="J24" s="609">
        <f>IF(ISBLANK(H24),"",ROUNDUP(H24*110%*2,2)/2)</f>
        <v>13.2</v>
      </c>
      <c r="K24" s="609"/>
      <c r="L24" s="609">
        <f>IF(ISBLANK(H24),"",ROUND(H24*145%*2,2)/2)</f>
        <v>17.399999999999999</v>
      </c>
      <c r="M24" s="609"/>
    </row>
    <row r="25" spans="1:13" x14ac:dyDescent="0.25">
      <c r="A25" s="637">
        <f t="shared" si="3"/>
        <v>43344</v>
      </c>
      <c r="B25" s="605">
        <v>320</v>
      </c>
      <c r="C25" s="638" t="s">
        <v>1200</v>
      </c>
      <c r="D25" s="606" t="s">
        <v>1201</v>
      </c>
      <c r="E25" s="606">
        <v>13479980.5</v>
      </c>
      <c r="F25" s="634">
        <f t="shared" si="2"/>
        <v>43344</v>
      </c>
      <c r="G25" s="609"/>
      <c r="H25" s="610">
        <f t="shared" si="0"/>
        <v>320</v>
      </c>
      <c r="I25" s="609">
        <f t="shared" si="1"/>
        <v>254289.25270388927</v>
      </c>
      <c r="J25" s="609">
        <f t="shared" ref="J25:J28" si="6">IF(ISBLANK(H25),"",ROUNDUP(H25*110%*2,-1)/2)</f>
        <v>355</v>
      </c>
      <c r="K25" s="609"/>
      <c r="L25" s="609">
        <f t="shared" ref="L25:L36" si="7">IF(ISBLANK(H25),"",ROUND(H25*145%*2,-1)/2)</f>
        <v>465</v>
      </c>
      <c r="M25" s="609"/>
    </row>
    <row r="26" spans="1:13" x14ac:dyDescent="0.25">
      <c r="A26" s="637">
        <f t="shared" si="3"/>
        <v>43374</v>
      </c>
      <c r="B26" s="605">
        <v>320</v>
      </c>
      <c r="C26" s="638" t="s">
        <v>1200</v>
      </c>
      <c r="D26" s="606" t="s">
        <v>1201</v>
      </c>
      <c r="E26" s="606">
        <v>25355573.699999999</v>
      </c>
      <c r="F26" s="634">
        <f t="shared" si="2"/>
        <v>43374</v>
      </c>
      <c r="G26" s="609"/>
      <c r="H26" s="610">
        <f t="shared" si="0"/>
        <v>320</v>
      </c>
      <c r="I26" s="609">
        <f t="shared" si="1"/>
        <v>135189.7696484777</v>
      </c>
      <c r="J26" s="609">
        <f t="shared" si="6"/>
        <v>355</v>
      </c>
      <c r="K26" s="609"/>
      <c r="L26" s="609">
        <f t="shared" si="7"/>
        <v>465</v>
      </c>
      <c r="M26" s="609"/>
    </row>
    <row r="27" spans="1:13" x14ac:dyDescent="0.25">
      <c r="A27" s="637">
        <f t="shared" si="3"/>
        <v>43405</v>
      </c>
      <c r="B27" s="605">
        <v>320</v>
      </c>
      <c r="C27" s="638" t="s">
        <v>1200</v>
      </c>
      <c r="D27" s="606" t="s">
        <v>1201</v>
      </c>
      <c r="E27" s="606">
        <v>56589583.5</v>
      </c>
      <c r="F27" s="634">
        <f t="shared" si="2"/>
        <v>43405</v>
      </c>
      <c r="G27" s="609"/>
      <c r="H27" s="610">
        <f t="shared" si="0"/>
        <v>320</v>
      </c>
      <c r="I27" s="609">
        <f t="shared" si="1"/>
        <v>60573.235493206972</v>
      </c>
      <c r="J27" s="609">
        <f t="shared" si="6"/>
        <v>355</v>
      </c>
      <c r="K27" s="609"/>
      <c r="L27" s="609">
        <f t="shared" si="7"/>
        <v>465</v>
      </c>
      <c r="M27" s="609"/>
    </row>
    <row r="28" spans="1:13" x14ac:dyDescent="0.25">
      <c r="A28" s="637">
        <f t="shared" si="3"/>
        <v>43435</v>
      </c>
      <c r="B28" s="605">
        <v>800</v>
      </c>
      <c r="C28" s="638" t="s">
        <v>1200</v>
      </c>
      <c r="D28" s="606" t="s">
        <v>1201</v>
      </c>
      <c r="E28" s="606">
        <v>110597550.2</v>
      </c>
      <c r="F28" s="634">
        <f t="shared" si="2"/>
        <v>43435</v>
      </c>
      <c r="G28" s="609"/>
      <c r="H28" s="610">
        <f t="shared" si="0"/>
        <v>800</v>
      </c>
      <c r="I28" s="609">
        <f t="shared" si="1"/>
        <v>77483.953342756766</v>
      </c>
      <c r="J28" s="609">
        <f t="shared" si="6"/>
        <v>880</v>
      </c>
      <c r="K28" s="609"/>
      <c r="L28" s="609">
        <f t="shared" si="7"/>
        <v>1160</v>
      </c>
      <c r="M28" s="609"/>
    </row>
    <row r="29" spans="1:13" x14ac:dyDescent="0.25">
      <c r="A29" s="637">
        <f t="shared" si="3"/>
        <v>43466</v>
      </c>
      <c r="B29" s="605">
        <v>3000</v>
      </c>
      <c r="C29" s="638" t="s">
        <v>1200</v>
      </c>
      <c r="D29" s="606" t="s">
        <v>1201</v>
      </c>
      <c r="E29" s="606">
        <v>328067725.10000002</v>
      </c>
      <c r="F29" s="634">
        <f t="shared" si="2"/>
        <v>43466</v>
      </c>
      <c r="G29" s="609"/>
      <c r="H29" s="610">
        <f t="shared" si="0"/>
        <v>3000</v>
      </c>
      <c r="I29" s="609">
        <f t="shared" si="1"/>
        <v>97954.645838460754</v>
      </c>
      <c r="J29" s="609"/>
      <c r="K29" s="609"/>
      <c r="L29" s="609">
        <f t="shared" si="7"/>
        <v>4350</v>
      </c>
      <c r="M29" s="609"/>
    </row>
    <row r="30" spans="1:13" x14ac:dyDescent="0.25">
      <c r="A30" s="637">
        <f t="shared" si="3"/>
        <v>43497</v>
      </c>
      <c r="B30" s="605">
        <v>3000</v>
      </c>
      <c r="C30" s="638" t="s">
        <v>1200</v>
      </c>
      <c r="D30" s="606" t="s">
        <v>1201</v>
      </c>
      <c r="E30" s="606">
        <v>703259098.20000005</v>
      </c>
      <c r="F30" s="634">
        <f t="shared" si="2"/>
        <v>43497</v>
      </c>
      <c r="G30" s="609"/>
      <c r="H30" s="610">
        <f t="shared" si="0"/>
        <v>3000</v>
      </c>
      <c r="I30" s="609">
        <f t="shared" si="1"/>
        <v>45695.473980289549</v>
      </c>
      <c r="J30" s="609"/>
      <c r="K30" s="609"/>
      <c r="L30" s="609">
        <f t="shared" si="7"/>
        <v>4350</v>
      </c>
      <c r="M30" s="609"/>
    </row>
    <row r="31" spans="1:13" x14ac:dyDescent="0.25">
      <c r="A31" s="637">
        <f t="shared" si="3"/>
        <v>43525</v>
      </c>
      <c r="B31" s="605">
        <v>3000</v>
      </c>
      <c r="C31" s="638" t="s">
        <v>1200</v>
      </c>
      <c r="D31" s="606" t="s">
        <v>1201</v>
      </c>
      <c r="E31" s="606">
        <v>948197209.5</v>
      </c>
      <c r="F31" s="634">
        <f t="shared" si="2"/>
        <v>43525</v>
      </c>
      <c r="G31" s="609"/>
      <c r="H31" s="610">
        <f t="shared" si="0"/>
        <v>3000</v>
      </c>
      <c r="I31" s="609">
        <f t="shared" si="1"/>
        <v>33891.428387714528</v>
      </c>
      <c r="J31" s="609"/>
      <c r="K31" s="609"/>
      <c r="L31" s="609">
        <f t="shared" si="7"/>
        <v>4350</v>
      </c>
      <c r="M31" s="609"/>
    </row>
    <row r="32" spans="1:13" x14ac:dyDescent="0.25">
      <c r="A32" s="637">
        <f t="shared" si="3"/>
        <v>43556</v>
      </c>
      <c r="B32" s="605">
        <v>5000</v>
      </c>
      <c r="C32" s="638" t="s">
        <v>1200</v>
      </c>
      <c r="D32" s="606" t="s">
        <v>1201</v>
      </c>
      <c r="E32" s="606">
        <v>1268517190.9000001</v>
      </c>
      <c r="F32" s="634">
        <f t="shared" si="2"/>
        <v>43556</v>
      </c>
      <c r="G32" s="609"/>
      <c r="H32" s="610">
        <f t="shared" si="0"/>
        <v>5000</v>
      </c>
      <c r="I32" s="609">
        <f t="shared" si="1"/>
        <v>42222.207752659633</v>
      </c>
      <c r="J32" s="609"/>
      <c r="K32" s="609"/>
      <c r="L32" s="609">
        <f t="shared" si="7"/>
        <v>7250</v>
      </c>
      <c r="M32" s="609"/>
    </row>
    <row r="33" spans="1:13" x14ac:dyDescent="0.25">
      <c r="A33" s="637">
        <f t="shared" si="3"/>
        <v>43586</v>
      </c>
      <c r="B33" s="605">
        <v>8000</v>
      </c>
      <c r="C33" s="638" t="s">
        <v>1200</v>
      </c>
      <c r="D33" s="606" t="s">
        <v>1201</v>
      </c>
      <c r="E33" s="606">
        <v>1769365833.3</v>
      </c>
      <c r="F33" s="634">
        <f t="shared" si="2"/>
        <v>43586</v>
      </c>
      <c r="G33" s="609"/>
      <c r="H33" s="610">
        <f t="shared" si="0"/>
        <v>8000</v>
      </c>
      <c r="I33" s="609">
        <f t="shared" si="1"/>
        <v>48432.807157450159</v>
      </c>
      <c r="J33" s="609"/>
      <c r="K33" s="609"/>
      <c r="L33" s="609">
        <f t="shared" si="7"/>
        <v>11600</v>
      </c>
      <c r="M33" s="609"/>
    </row>
    <row r="34" spans="1:13" x14ac:dyDescent="0.25">
      <c r="A34" s="637">
        <f t="shared" si="3"/>
        <v>43617</v>
      </c>
      <c r="B34" s="605">
        <v>8000</v>
      </c>
      <c r="C34" s="638" t="s">
        <v>1200</v>
      </c>
      <c r="D34" s="606" t="s">
        <v>1201</v>
      </c>
      <c r="E34" s="606">
        <v>2160431069.8000002</v>
      </c>
      <c r="F34" s="634">
        <f t="shared" si="2"/>
        <v>43617</v>
      </c>
      <c r="G34" s="609"/>
      <c r="H34" s="610">
        <f t="shared" si="0"/>
        <v>8000</v>
      </c>
      <c r="I34" s="609">
        <f t="shared" si="1"/>
        <v>39665.859000598968</v>
      </c>
      <c r="J34" s="609"/>
      <c r="K34" s="609"/>
      <c r="L34" s="609">
        <f t="shared" si="7"/>
        <v>11600</v>
      </c>
      <c r="M34" s="609"/>
    </row>
    <row r="35" spans="1:13" x14ac:dyDescent="0.25">
      <c r="A35" s="637">
        <f t="shared" si="3"/>
        <v>43647</v>
      </c>
      <c r="B35" s="605">
        <v>10000</v>
      </c>
      <c r="C35" s="638" t="s">
        <v>1200</v>
      </c>
      <c r="D35" s="606" t="s">
        <v>1201</v>
      </c>
      <c r="E35" s="606">
        <v>2579165819.6999998</v>
      </c>
      <c r="F35" s="634">
        <f t="shared" si="2"/>
        <v>43647</v>
      </c>
      <c r="G35" s="609"/>
      <c r="H35" s="610">
        <f t="shared" si="0"/>
        <v>10000</v>
      </c>
      <c r="I35" s="609">
        <f t="shared" si="1"/>
        <v>41532.495478115379</v>
      </c>
      <c r="J35" s="609"/>
      <c r="K35" s="609"/>
      <c r="L35" s="609">
        <f t="shared" si="7"/>
        <v>14500</v>
      </c>
      <c r="M35" s="609"/>
    </row>
    <row r="36" spans="1:13" x14ac:dyDescent="0.25">
      <c r="A36" s="637">
        <f t="shared" si="3"/>
        <v>43678</v>
      </c>
      <c r="B36" s="605">
        <v>10000</v>
      </c>
      <c r="C36" s="638" t="s">
        <v>1200</v>
      </c>
      <c r="D36" s="606" t="s">
        <v>1201</v>
      </c>
      <c r="E36" s="606">
        <v>3472176193.1999998</v>
      </c>
      <c r="F36" s="634">
        <f t="shared" si="2"/>
        <v>43678</v>
      </c>
      <c r="G36" s="609"/>
      <c r="H36" s="610">
        <f t="shared" si="0"/>
        <v>10000</v>
      </c>
      <c r="I36" s="609">
        <f t="shared" si="1"/>
        <v>30850.736478691666</v>
      </c>
      <c r="J36" s="609"/>
      <c r="K36" s="609"/>
      <c r="L36" s="609">
        <f t="shared" si="7"/>
        <v>14500</v>
      </c>
      <c r="M36" s="609"/>
    </row>
    <row r="37" spans="1:13" x14ac:dyDescent="0.25">
      <c r="A37" s="637">
        <v>43709</v>
      </c>
      <c r="B37" s="638">
        <v>1</v>
      </c>
      <c r="C37" s="638" t="s">
        <v>1202</v>
      </c>
      <c r="D37" s="607">
        <v>20511.45</v>
      </c>
      <c r="E37" s="606">
        <v>5286006314.6999998</v>
      </c>
      <c r="F37" s="634">
        <f t="shared" si="2"/>
        <v>43709</v>
      </c>
      <c r="G37" s="610">
        <f t="shared" ref="G37:G44" si="8">ROUNDUP(D37,-2)</f>
        <v>20600</v>
      </c>
      <c r="H37" s="610">
        <f>IF(C37="VEB",B37,G37*B37)</f>
        <v>20600</v>
      </c>
      <c r="I37" s="610">
        <f t="shared" ref="I37:I53" si="9">$M$1*B37</f>
        <v>70800</v>
      </c>
      <c r="J37" s="609"/>
      <c r="K37" s="609"/>
      <c r="L37" s="609">
        <f t="shared" ref="L37:L73" si="10">IF(ISBLANK(H37),"",ROUND(H37*145%*2,-1)/2)</f>
        <v>29870</v>
      </c>
      <c r="M37" s="610">
        <f>B37*145%</f>
        <v>1.45</v>
      </c>
    </row>
    <row r="38" spans="1:13" x14ac:dyDescent="0.25">
      <c r="A38" s="637">
        <v>43717</v>
      </c>
      <c r="B38" s="638">
        <v>1</v>
      </c>
      <c r="C38" s="638" t="s">
        <v>1202</v>
      </c>
      <c r="D38" s="607">
        <v>20430.11</v>
      </c>
      <c r="E38" s="606">
        <v>5286006314.6999998</v>
      </c>
      <c r="F38" s="634">
        <f t="shared" si="2"/>
        <v>43709</v>
      </c>
      <c r="G38" s="610">
        <f t="shared" si="8"/>
        <v>20500</v>
      </c>
      <c r="H38" s="610">
        <f t="shared" ref="H38:H45" si="11">IF(C38="VEB",B38,G38*B38)</f>
        <v>20500</v>
      </c>
      <c r="I38" s="610">
        <f t="shared" si="9"/>
        <v>70800</v>
      </c>
      <c r="J38" s="609"/>
      <c r="K38" s="609"/>
      <c r="L38" s="609">
        <f t="shared" si="10"/>
        <v>29725</v>
      </c>
      <c r="M38" s="610">
        <f t="shared" ref="M38:M44" si="12">B38*145%</f>
        <v>1.45</v>
      </c>
    </row>
    <row r="39" spans="1:13" x14ac:dyDescent="0.25">
      <c r="A39" s="637">
        <v>43724</v>
      </c>
      <c r="B39" s="638">
        <v>1</v>
      </c>
      <c r="C39" s="638" t="s">
        <v>1202</v>
      </c>
      <c r="D39" s="607">
        <v>21555.41</v>
      </c>
      <c r="E39" s="606">
        <v>5286006314.6999998</v>
      </c>
      <c r="F39" s="634">
        <f t="shared" si="2"/>
        <v>43709</v>
      </c>
      <c r="G39" s="610">
        <f t="shared" si="8"/>
        <v>21600</v>
      </c>
      <c r="H39" s="610">
        <f t="shared" si="11"/>
        <v>21600</v>
      </c>
      <c r="I39" s="610">
        <f t="shared" si="9"/>
        <v>70800</v>
      </c>
      <c r="J39" s="609"/>
      <c r="K39" s="609"/>
      <c r="L39" s="609">
        <f t="shared" si="10"/>
        <v>31320</v>
      </c>
      <c r="M39" s="610">
        <f t="shared" si="12"/>
        <v>1.45</v>
      </c>
    </row>
    <row r="40" spans="1:13" x14ac:dyDescent="0.25">
      <c r="A40" s="637">
        <v>43731</v>
      </c>
      <c r="B40" s="638">
        <v>1</v>
      </c>
      <c r="C40" s="638" t="s">
        <v>1202</v>
      </c>
      <c r="D40" s="607">
        <v>19715.310000000001</v>
      </c>
      <c r="E40" s="606">
        <v>5286006314.6999998</v>
      </c>
      <c r="F40" s="634">
        <f t="shared" si="2"/>
        <v>43709</v>
      </c>
      <c r="G40" s="610">
        <f t="shared" si="8"/>
        <v>19800</v>
      </c>
      <c r="H40" s="610">
        <f t="shared" si="11"/>
        <v>19800</v>
      </c>
      <c r="I40" s="610">
        <f t="shared" si="9"/>
        <v>70800</v>
      </c>
      <c r="J40" s="609"/>
      <c r="K40" s="609"/>
      <c r="L40" s="609">
        <f t="shared" si="10"/>
        <v>28710</v>
      </c>
      <c r="M40" s="610">
        <f t="shared" si="12"/>
        <v>1.45</v>
      </c>
    </row>
    <row r="41" spans="1:13" x14ac:dyDescent="0.25">
      <c r="A41" s="637">
        <v>43738</v>
      </c>
      <c r="B41" s="638">
        <v>1</v>
      </c>
      <c r="C41" s="638" t="s">
        <v>1202</v>
      </c>
      <c r="D41" s="607">
        <v>21028.080000000002</v>
      </c>
      <c r="E41" s="606">
        <v>5286006314.6999998</v>
      </c>
      <c r="F41" s="634">
        <f t="shared" si="2"/>
        <v>43709</v>
      </c>
      <c r="G41" s="610">
        <f t="shared" si="8"/>
        <v>21100</v>
      </c>
      <c r="H41" s="610">
        <f t="shared" si="11"/>
        <v>21100</v>
      </c>
      <c r="I41" s="610">
        <f t="shared" si="9"/>
        <v>70800</v>
      </c>
      <c r="J41" s="609"/>
      <c r="K41" s="609"/>
      <c r="L41" s="609">
        <f t="shared" ref="L41" si="13">IF(ISBLANK(H41),"",ROUND(H41*145%*2,-1)/2)</f>
        <v>30595</v>
      </c>
      <c r="M41" s="610">
        <f t="shared" si="12"/>
        <v>1.45</v>
      </c>
    </row>
    <row r="42" spans="1:13" x14ac:dyDescent="0.25">
      <c r="A42" s="637">
        <v>43739</v>
      </c>
      <c r="B42" s="638">
        <v>2.5</v>
      </c>
      <c r="C42" s="638" t="s">
        <v>1202</v>
      </c>
      <c r="D42" s="607">
        <v>21028.080000000002</v>
      </c>
      <c r="E42" s="606">
        <v>6478423619.1999998</v>
      </c>
      <c r="F42" s="634">
        <f t="shared" si="2"/>
        <v>43739</v>
      </c>
      <c r="G42" s="610">
        <f t="shared" si="8"/>
        <v>21100</v>
      </c>
      <c r="H42" s="610">
        <f t="shared" si="11"/>
        <v>52750</v>
      </c>
      <c r="I42" s="610">
        <f t="shared" si="9"/>
        <v>177000</v>
      </c>
      <c r="J42" s="609"/>
      <c r="K42" s="609"/>
      <c r="L42" s="609">
        <f t="shared" ref="L42" si="14">IF(ISBLANK(H42),"",ROUND(H42*145%*2,-1)/2)</f>
        <v>76490</v>
      </c>
      <c r="M42" s="610">
        <f t="shared" si="12"/>
        <v>3.625</v>
      </c>
    </row>
    <row r="43" spans="1:13" x14ac:dyDescent="0.25">
      <c r="A43" s="637">
        <v>43745</v>
      </c>
      <c r="B43" s="638">
        <v>2.5</v>
      </c>
      <c r="C43" s="638" t="s">
        <v>1202</v>
      </c>
      <c r="D43" s="607">
        <v>20218.03</v>
      </c>
      <c r="E43" s="606">
        <v>6478423619.1999998</v>
      </c>
      <c r="F43" s="634">
        <f t="shared" si="2"/>
        <v>43739</v>
      </c>
      <c r="G43" s="610">
        <f t="shared" si="8"/>
        <v>20300</v>
      </c>
      <c r="H43" s="610">
        <f t="shared" si="11"/>
        <v>50750</v>
      </c>
      <c r="I43" s="610">
        <f t="shared" si="9"/>
        <v>177000</v>
      </c>
      <c r="J43" s="609"/>
      <c r="K43" s="609"/>
      <c r="L43" s="609">
        <f t="shared" si="10"/>
        <v>73590</v>
      </c>
      <c r="M43" s="610">
        <f t="shared" si="12"/>
        <v>3.625</v>
      </c>
    </row>
    <row r="44" spans="1:13" x14ac:dyDescent="0.25">
      <c r="A44" s="637">
        <v>43752</v>
      </c>
      <c r="B44" s="638">
        <v>2.5</v>
      </c>
      <c r="C44" s="638" t="s">
        <v>1202</v>
      </c>
      <c r="D44" s="607">
        <v>19733.41</v>
      </c>
      <c r="E44" s="606">
        <v>6478423619.1999998</v>
      </c>
      <c r="F44" s="634">
        <f t="shared" si="2"/>
        <v>43739</v>
      </c>
      <c r="G44" s="610">
        <f t="shared" si="8"/>
        <v>19800</v>
      </c>
      <c r="H44" s="610">
        <f t="shared" si="11"/>
        <v>49500</v>
      </c>
      <c r="I44" s="610">
        <f t="shared" si="9"/>
        <v>177000</v>
      </c>
      <c r="J44" s="609"/>
      <c r="K44" s="609"/>
      <c r="L44" s="609">
        <f t="shared" si="10"/>
        <v>71775</v>
      </c>
      <c r="M44" s="610">
        <f t="shared" si="12"/>
        <v>3.625</v>
      </c>
    </row>
    <row r="45" spans="1:13" x14ac:dyDescent="0.25">
      <c r="A45" s="637">
        <v>43758</v>
      </c>
      <c r="B45" s="638">
        <v>2.5</v>
      </c>
      <c r="C45" s="638" t="s">
        <v>1202</v>
      </c>
      <c r="D45" s="607">
        <v>18710.560000000001</v>
      </c>
      <c r="E45" s="606">
        <v>6478423619.1999998</v>
      </c>
      <c r="F45" s="634">
        <f t="shared" si="2"/>
        <v>43739</v>
      </c>
      <c r="G45" s="610">
        <f t="shared" ref="G45:G52" si="15">ROUNDUP(D45,-2)</f>
        <v>18800</v>
      </c>
      <c r="H45" s="610">
        <f t="shared" si="11"/>
        <v>47000</v>
      </c>
      <c r="I45" s="610">
        <f t="shared" si="9"/>
        <v>177000</v>
      </c>
      <c r="J45" s="609"/>
      <c r="K45" s="609"/>
      <c r="L45" s="609">
        <f t="shared" ref="L45" si="16">IF(ISBLANK(H45),"",ROUND(H45*145%*2,-1)/2)</f>
        <v>68150</v>
      </c>
      <c r="M45" s="610">
        <f t="shared" ref="M45" si="17">B45*145%</f>
        <v>3.625</v>
      </c>
    </row>
    <row r="46" spans="1:13" x14ac:dyDescent="0.25">
      <c r="A46" s="637">
        <v>43766</v>
      </c>
      <c r="B46" s="638">
        <v>2.5</v>
      </c>
      <c r="C46" s="638" t="s">
        <v>1202</v>
      </c>
      <c r="D46" s="607">
        <v>20454.310000000001</v>
      </c>
      <c r="E46" s="606">
        <v>6478423619.1999998</v>
      </c>
      <c r="F46" s="634">
        <f t="shared" si="2"/>
        <v>43739</v>
      </c>
      <c r="G46" s="610">
        <f t="shared" si="15"/>
        <v>20500</v>
      </c>
      <c r="H46" s="610">
        <f t="shared" ref="H46" si="18">IF(C46="VEB",B46,G46*B46)</f>
        <v>51250</v>
      </c>
      <c r="I46" s="610">
        <f t="shared" si="9"/>
        <v>177000</v>
      </c>
      <c r="J46" s="609"/>
      <c r="K46" s="609"/>
      <c r="L46" s="609">
        <f t="shared" ref="L46" si="19">IF(ISBLANK(H46),"",ROUND(H46*145%*2,-1)/2)</f>
        <v>74315</v>
      </c>
      <c r="M46" s="610">
        <f t="shared" ref="M46" si="20">B46*145%</f>
        <v>3.625</v>
      </c>
    </row>
    <row r="47" spans="1:13" x14ac:dyDescent="0.25">
      <c r="A47" s="637">
        <v>43770</v>
      </c>
      <c r="B47" s="638">
        <v>2.5</v>
      </c>
      <c r="C47" s="638" t="s">
        <v>1202</v>
      </c>
      <c r="D47" s="607">
        <v>20454.310000000001</v>
      </c>
      <c r="E47" s="606">
        <v>8144026331.6999998</v>
      </c>
      <c r="F47" s="634">
        <f t="shared" ref="F47" si="21">DATE(YEAR(A47),MONTH(A47),1)</f>
        <v>43770</v>
      </c>
      <c r="G47" s="610">
        <f t="shared" si="15"/>
        <v>20500</v>
      </c>
      <c r="H47" s="610">
        <f t="shared" ref="H47" si="22">IF(C47="VEB",B47,G47*B47)</f>
        <v>51250</v>
      </c>
      <c r="I47" s="610">
        <f t="shared" si="9"/>
        <v>177000</v>
      </c>
      <c r="J47" s="609"/>
      <c r="K47" s="609"/>
      <c r="L47" s="609">
        <f t="shared" ref="L47" si="23">IF(ISBLANK(H47),"",ROUND(H47*145%*2,-1)/2)</f>
        <v>74315</v>
      </c>
      <c r="M47" s="610">
        <f t="shared" ref="M47" si="24">B47*145%</f>
        <v>3.625</v>
      </c>
    </row>
    <row r="48" spans="1:13" x14ac:dyDescent="0.25">
      <c r="A48" s="637">
        <v>43773</v>
      </c>
      <c r="B48" s="638">
        <v>2.5</v>
      </c>
      <c r="C48" s="638" t="s">
        <v>1202</v>
      </c>
      <c r="D48" s="607">
        <v>22493.91</v>
      </c>
      <c r="E48" s="606">
        <v>8144026331.6999998</v>
      </c>
      <c r="F48" s="634">
        <f t="shared" ref="F48" si="25">DATE(YEAR(A48),MONTH(A48),1)</f>
        <v>43770</v>
      </c>
      <c r="G48" s="610">
        <f t="shared" si="15"/>
        <v>22500</v>
      </c>
      <c r="H48" s="610">
        <f t="shared" ref="H48" si="26">IF(C48="VEB",B48,G48*B48)</f>
        <v>56250</v>
      </c>
      <c r="I48" s="610">
        <f t="shared" si="9"/>
        <v>177000</v>
      </c>
      <c r="J48" s="609"/>
      <c r="K48" s="609"/>
      <c r="L48" s="609">
        <f t="shared" ref="L48" si="27">IF(ISBLANK(H48),"",ROUND(H48*145%*2,-1)/2)</f>
        <v>81565</v>
      </c>
      <c r="M48" s="610">
        <f t="shared" ref="M48" si="28">B48*145%</f>
        <v>3.625</v>
      </c>
    </row>
    <row r="49" spans="1:13" x14ac:dyDescent="0.25">
      <c r="A49" s="637">
        <v>43780</v>
      </c>
      <c r="B49" s="638">
        <v>2.5</v>
      </c>
      <c r="C49" s="638" t="s">
        <v>1202</v>
      </c>
      <c r="D49" s="607">
        <v>25734.28</v>
      </c>
      <c r="E49" s="606">
        <v>8144026331.6999998</v>
      </c>
      <c r="F49" s="634">
        <f t="shared" ref="F49" si="29">DATE(YEAR(A49),MONTH(A49),1)</f>
        <v>43770</v>
      </c>
      <c r="G49" s="610">
        <f t="shared" si="15"/>
        <v>25800</v>
      </c>
      <c r="H49" s="610">
        <f t="shared" ref="H49" si="30">IF(C49="VEB",B49,G49*B49)</f>
        <v>64500</v>
      </c>
      <c r="I49" s="610">
        <f t="shared" si="9"/>
        <v>177000</v>
      </c>
      <c r="J49" s="609"/>
      <c r="K49" s="609"/>
      <c r="L49" s="609">
        <f t="shared" ref="L49" si="31">IF(ISBLANK(H49),"",ROUND(H49*145%*2,-1)/2)</f>
        <v>93525</v>
      </c>
      <c r="M49" s="610">
        <f t="shared" ref="M49" si="32">B49*145%</f>
        <v>3.625</v>
      </c>
    </row>
    <row r="50" spans="1:13" x14ac:dyDescent="0.25">
      <c r="A50" s="637">
        <v>43787</v>
      </c>
      <c r="B50" s="638">
        <v>2.5</v>
      </c>
      <c r="C50" s="638" t="s">
        <v>1202</v>
      </c>
      <c r="D50" s="607">
        <v>29383.24</v>
      </c>
      <c r="E50" s="606">
        <v>8144026331.6999998</v>
      </c>
      <c r="F50" s="634">
        <f t="shared" ref="F50" si="33">DATE(YEAR(A50),MONTH(A50),1)</f>
        <v>43770</v>
      </c>
      <c r="G50" s="610">
        <f t="shared" si="15"/>
        <v>29400</v>
      </c>
      <c r="H50" s="610">
        <f t="shared" ref="H50" si="34">IF(C50="VEB",B50,G50*B50)</f>
        <v>73500</v>
      </c>
      <c r="I50" s="610">
        <f t="shared" si="9"/>
        <v>177000</v>
      </c>
      <c r="J50" s="609"/>
      <c r="K50" s="609"/>
      <c r="L50" s="609">
        <f t="shared" ref="L50" si="35">IF(ISBLANK(H50),"",ROUND(H50*145%*2,-1)/2)</f>
        <v>106575</v>
      </c>
      <c r="M50" s="610">
        <f t="shared" ref="M50" si="36">B50*145%</f>
        <v>3.625</v>
      </c>
    </row>
    <row r="51" spans="1:13" x14ac:dyDescent="0.25">
      <c r="A51" s="637">
        <v>43794</v>
      </c>
      <c r="B51" s="638">
        <v>2.5</v>
      </c>
      <c r="C51" s="638" t="s">
        <v>1202</v>
      </c>
      <c r="D51" s="607">
        <v>32638.74</v>
      </c>
      <c r="E51" s="606">
        <v>8144026331.6999998</v>
      </c>
      <c r="F51" s="634">
        <f t="shared" ref="F51" si="37">DATE(YEAR(A51),MONTH(A51),1)</f>
        <v>43770</v>
      </c>
      <c r="G51" s="610">
        <f t="shared" si="15"/>
        <v>32700</v>
      </c>
      <c r="H51" s="610">
        <f t="shared" ref="H51" si="38">IF(C51="VEB",B51,G51*B51)</f>
        <v>81750</v>
      </c>
      <c r="I51" s="610">
        <f t="shared" si="9"/>
        <v>177000</v>
      </c>
      <c r="J51" s="609"/>
      <c r="K51" s="609"/>
      <c r="L51" s="609">
        <f t="shared" ref="L51" si="39">IF(ISBLANK(H51),"",ROUND(H51*145%*2,-1)/2)</f>
        <v>118540</v>
      </c>
      <c r="M51" s="610">
        <f t="shared" ref="M51" si="40">B51*145%</f>
        <v>3.625</v>
      </c>
    </row>
    <row r="52" spans="1:13" x14ac:dyDescent="0.25">
      <c r="A52" s="637">
        <v>43800</v>
      </c>
      <c r="B52" s="638">
        <v>2.5</v>
      </c>
      <c r="C52" s="638" t="s">
        <v>1202</v>
      </c>
      <c r="D52" s="607">
        <v>32638.74</v>
      </c>
      <c r="E52" s="606">
        <v>10711919274.4</v>
      </c>
      <c r="F52" s="634">
        <f t="shared" ref="F52" si="41">DATE(YEAR(A52),MONTH(A52),1)</f>
        <v>43800</v>
      </c>
      <c r="G52" s="610">
        <f t="shared" si="15"/>
        <v>32700</v>
      </c>
      <c r="H52" s="610">
        <f t="shared" ref="H52" si="42">IF(C52="VEB",B52,G52*B52)</f>
        <v>81750</v>
      </c>
      <c r="I52" s="610">
        <f t="shared" si="9"/>
        <v>177000</v>
      </c>
      <c r="J52" s="609"/>
      <c r="K52" s="609"/>
      <c r="L52" s="609">
        <f t="shared" ref="L52" si="43">IF(ISBLANK(H52),"",ROUND(H52*145%*2,-1)/2)</f>
        <v>118540</v>
      </c>
      <c r="M52" s="610">
        <f t="shared" ref="M52" si="44">B52*145%</f>
        <v>3.625</v>
      </c>
    </row>
    <row r="53" spans="1:13" x14ac:dyDescent="0.25">
      <c r="A53" s="637">
        <v>43801</v>
      </c>
      <c r="B53" s="638">
        <v>2.5</v>
      </c>
      <c r="C53" s="638" t="s">
        <v>1202</v>
      </c>
      <c r="D53" s="607">
        <v>38980.83</v>
      </c>
      <c r="E53" s="606">
        <v>10711919274.4</v>
      </c>
      <c r="F53" s="634">
        <f t="shared" ref="F53" si="45">DATE(YEAR(A53),MONTH(A53),1)</f>
        <v>43800</v>
      </c>
      <c r="G53" s="610">
        <f t="shared" ref="G53" si="46">ROUNDUP(D53,-2)</f>
        <v>39000</v>
      </c>
      <c r="H53" s="610">
        <f t="shared" ref="H53" si="47">IF(C53="VEB",B53,G53*B53)</f>
        <v>97500</v>
      </c>
      <c r="I53" s="610">
        <f t="shared" si="9"/>
        <v>177000</v>
      </c>
      <c r="J53" s="609"/>
      <c r="K53" s="609"/>
      <c r="L53" s="609">
        <f t="shared" ref="L53" si="48">IF(ISBLANK(H53),"",ROUND(H53*145%*2,-1)/2)</f>
        <v>141375</v>
      </c>
      <c r="M53" s="610">
        <f t="shared" ref="M53" si="49">B53*145%</f>
        <v>3.625</v>
      </c>
    </row>
    <row r="54" spans="1:13" x14ac:dyDescent="0.25">
      <c r="A54" s="637">
        <v>43808</v>
      </c>
      <c r="B54" s="638">
        <v>2.5</v>
      </c>
      <c r="C54" s="638" t="s">
        <v>1202</v>
      </c>
      <c r="D54" s="607">
        <v>42087.68</v>
      </c>
      <c r="E54" s="606">
        <v>10711919274.4</v>
      </c>
      <c r="F54" s="634">
        <f t="shared" ref="F54" si="50">DATE(YEAR(A54),MONTH(A54),1)</f>
        <v>43800</v>
      </c>
      <c r="G54" s="610">
        <f t="shared" ref="G54" si="51">ROUNDUP(D54,-2)</f>
        <v>42100</v>
      </c>
      <c r="H54" s="610">
        <f t="shared" ref="H54" si="52">IF(C54="VEB",B54,G54*B54)</f>
        <v>105250</v>
      </c>
      <c r="I54" s="610">
        <f t="shared" ref="I54" si="53">$M$1*B54</f>
        <v>177000</v>
      </c>
      <c r="J54" s="609"/>
      <c r="K54" s="609"/>
      <c r="L54" s="609">
        <f t="shared" ref="L54" si="54">IF(ISBLANK(H54),"",ROUND(H54*145%*2,-1)/2)</f>
        <v>152615</v>
      </c>
      <c r="M54" s="610">
        <f t="shared" ref="M54" si="55">B54*145%</f>
        <v>3.625</v>
      </c>
    </row>
    <row r="55" spans="1:13" x14ac:dyDescent="0.25">
      <c r="A55" s="637">
        <v>43815</v>
      </c>
      <c r="B55" s="638">
        <v>2.5</v>
      </c>
      <c r="C55" s="638" t="s">
        <v>1202</v>
      </c>
      <c r="D55" s="607">
        <v>46304.26</v>
      </c>
      <c r="E55" s="606">
        <v>10711919274.4</v>
      </c>
      <c r="F55" s="634">
        <f t="shared" ref="F55" si="56">DATE(YEAR(A55),MONTH(A55),1)</f>
        <v>43800</v>
      </c>
      <c r="G55" s="610">
        <f t="shared" ref="G55" si="57">ROUNDUP(D55,-2)</f>
        <v>46400</v>
      </c>
      <c r="H55" s="610">
        <f>H54</f>
        <v>105250</v>
      </c>
      <c r="I55" s="610">
        <f t="shared" ref="I55" si="58">$M$1*B55</f>
        <v>177000</v>
      </c>
      <c r="J55" s="609"/>
      <c r="K55" s="609"/>
      <c r="L55" s="609">
        <f t="shared" ref="L55" si="59">IF(ISBLANK(H55),"",ROUND(H55*145%*2,-1)/2)</f>
        <v>152615</v>
      </c>
      <c r="M55" s="610">
        <f t="shared" ref="M55" si="60">B55*145%</f>
        <v>3.625</v>
      </c>
    </row>
    <row r="56" spans="1:13" x14ac:dyDescent="0.25">
      <c r="A56" s="637">
        <v>43822</v>
      </c>
      <c r="B56" s="638">
        <v>2.5</v>
      </c>
      <c r="C56" s="638" t="s">
        <v>1202</v>
      </c>
      <c r="D56" s="607">
        <v>46677.2</v>
      </c>
      <c r="E56" s="606">
        <v>10711919274.4</v>
      </c>
      <c r="F56" s="634">
        <f t="shared" ref="F56" si="61">DATE(YEAR(A56),MONTH(A56),1)</f>
        <v>43800</v>
      </c>
      <c r="G56" s="610">
        <f t="shared" ref="G56" si="62">ROUNDUP(D56,-2)</f>
        <v>46700</v>
      </c>
      <c r="H56" s="610">
        <f>H55</f>
        <v>105250</v>
      </c>
      <c r="I56" s="610">
        <f t="shared" ref="I56" si="63">$M$1*B56</f>
        <v>177000</v>
      </c>
      <c r="J56" s="609"/>
      <c r="K56" s="609"/>
      <c r="L56" s="609">
        <f t="shared" ref="L56" si="64">IF(ISBLANK(H56),"",ROUND(H56*145%*2,-1)/2)</f>
        <v>152615</v>
      </c>
      <c r="M56" s="610">
        <f t="shared" ref="M56" si="65">B56*145%</f>
        <v>3.625</v>
      </c>
    </row>
    <row r="57" spans="1:13" x14ac:dyDescent="0.25">
      <c r="A57" s="637">
        <v>43829</v>
      </c>
      <c r="B57" s="638">
        <v>2.5</v>
      </c>
      <c r="C57" s="638" t="s">
        <v>1202</v>
      </c>
      <c r="D57" s="607">
        <v>45874.81</v>
      </c>
      <c r="E57" s="606">
        <v>10711919274.4</v>
      </c>
      <c r="F57" s="634">
        <f t="shared" ref="F57:F58" si="66">DATE(YEAR(A57),MONTH(A57),1)</f>
        <v>43800</v>
      </c>
      <c r="G57" s="610">
        <f t="shared" ref="G57:G58" si="67">ROUNDUP(D57,-2)</f>
        <v>45900</v>
      </c>
      <c r="H57" s="610">
        <f t="shared" ref="H57:H58" si="68">H56</f>
        <v>105250</v>
      </c>
      <c r="I57" s="610">
        <f t="shared" ref="I57:I58" si="69">$M$1*B57</f>
        <v>177000</v>
      </c>
      <c r="J57" s="609"/>
      <c r="K57" s="609"/>
      <c r="L57" s="609">
        <f t="shared" ref="L57:L58" si="70">IF(ISBLANK(H57),"",ROUND(H57*145%*2,-1)/2)</f>
        <v>152615</v>
      </c>
      <c r="M57" s="610">
        <f t="shared" ref="M57:M58" si="71">B57*145%</f>
        <v>3.625</v>
      </c>
    </row>
    <row r="58" spans="1:13" x14ac:dyDescent="0.25">
      <c r="A58" s="637">
        <v>43831</v>
      </c>
      <c r="B58" s="638">
        <v>2.5</v>
      </c>
      <c r="C58" s="638" t="s">
        <v>1202</v>
      </c>
      <c r="D58" s="607">
        <v>45874.81</v>
      </c>
      <c r="E58" s="606"/>
      <c r="F58" s="634">
        <f t="shared" si="66"/>
        <v>43831</v>
      </c>
      <c r="G58" s="610">
        <f t="shared" si="67"/>
        <v>45900</v>
      </c>
      <c r="H58" s="610">
        <f t="shared" si="68"/>
        <v>105250</v>
      </c>
      <c r="I58" s="610">
        <f t="shared" si="69"/>
        <v>177000</v>
      </c>
      <c r="J58" s="609"/>
      <c r="K58" s="609"/>
      <c r="L58" s="609">
        <f t="shared" si="70"/>
        <v>152615</v>
      </c>
      <c r="M58" s="610">
        <f t="shared" si="71"/>
        <v>3.625</v>
      </c>
    </row>
    <row r="59" spans="1:13" x14ac:dyDescent="0.25">
      <c r="A59" s="637">
        <v>43833</v>
      </c>
      <c r="B59" s="638">
        <v>2.5</v>
      </c>
      <c r="C59" s="638" t="s">
        <v>1202</v>
      </c>
      <c r="D59" s="607">
        <v>54441.93</v>
      </c>
      <c r="E59" s="606"/>
      <c r="F59" s="634">
        <f t="shared" ref="F59" si="72">DATE(YEAR(A59),MONTH(A59),1)</f>
        <v>43831</v>
      </c>
      <c r="G59" s="610">
        <f t="shared" ref="G59" si="73">ROUNDUP(D59,-2)</f>
        <v>54500</v>
      </c>
      <c r="H59" s="610">
        <f t="shared" ref="H59" si="74">IF(C59="VEB",B59,G59*B59)</f>
        <v>136250</v>
      </c>
      <c r="I59" s="610">
        <f t="shared" ref="I59" si="75">$M$1*B59</f>
        <v>177000</v>
      </c>
      <c r="J59" s="609"/>
      <c r="K59" s="609"/>
      <c r="L59" s="609">
        <f t="shared" ref="L59" si="76">IF(ISBLANK(H59),"",ROUND(H59*145%*2,-1)/2)</f>
        <v>197565</v>
      </c>
      <c r="M59" s="610">
        <f t="shared" ref="M59" si="77">B59*145%</f>
        <v>3.625</v>
      </c>
    </row>
    <row r="60" spans="1:13" x14ac:dyDescent="0.25">
      <c r="A60" s="637">
        <v>43843</v>
      </c>
      <c r="B60" s="638">
        <v>2.5</v>
      </c>
      <c r="C60" s="638" t="s">
        <v>1202</v>
      </c>
      <c r="D60" s="607">
        <v>67213.990000000005</v>
      </c>
      <c r="E60" s="606"/>
      <c r="F60" s="634">
        <f t="shared" ref="F60" si="78">DATE(YEAR(A60),MONTH(A60),1)</f>
        <v>43831</v>
      </c>
      <c r="G60" s="610">
        <f t="shared" ref="G60" si="79">ROUNDUP(D60,-2)</f>
        <v>67300</v>
      </c>
      <c r="H60" s="610">
        <f t="shared" ref="H60:H65" si="80">H59</f>
        <v>136250</v>
      </c>
      <c r="I60" s="610">
        <f t="shared" ref="I60" si="81">$M$1*B60</f>
        <v>177000</v>
      </c>
      <c r="J60" s="609"/>
      <c r="K60" s="609"/>
      <c r="L60" s="609">
        <f t="shared" ref="L60" si="82">IF(ISBLANK(H60),"",ROUND(H60*145%*2,-1)/2)</f>
        <v>197565</v>
      </c>
      <c r="M60" s="610">
        <f t="shared" ref="M60" si="83">B60*145%</f>
        <v>3.625</v>
      </c>
    </row>
    <row r="61" spans="1:13" x14ac:dyDescent="0.25">
      <c r="A61" s="637">
        <v>43850</v>
      </c>
      <c r="B61" s="638">
        <v>2.5</v>
      </c>
      <c r="C61" s="638" t="s">
        <v>1202</v>
      </c>
      <c r="D61" s="607">
        <v>74139.47</v>
      </c>
      <c r="E61" s="606"/>
      <c r="F61" s="634">
        <f t="shared" ref="F61" si="84">DATE(YEAR(A61),MONTH(A61),1)</f>
        <v>43831</v>
      </c>
      <c r="G61" s="610">
        <f t="shared" ref="G61" si="85">ROUNDUP(D61,-2)</f>
        <v>74200</v>
      </c>
      <c r="H61" s="610">
        <f t="shared" si="80"/>
        <v>136250</v>
      </c>
      <c r="I61" s="610">
        <f t="shared" ref="I61" si="86">$M$1*B61</f>
        <v>177000</v>
      </c>
      <c r="J61" s="609"/>
      <c r="K61" s="609"/>
      <c r="L61" s="609">
        <f t="shared" ref="L61" si="87">IF(ISBLANK(H61),"",ROUND(H61*145%*2,-1)/2)</f>
        <v>197565</v>
      </c>
      <c r="M61" s="610">
        <f t="shared" ref="M61" si="88">B61*145%</f>
        <v>3.625</v>
      </c>
    </row>
    <row r="62" spans="1:13" x14ac:dyDescent="0.25">
      <c r="A62" s="637">
        <v>43857</v>
      </c>
      <c r="B62" s="638">
        <v>2.5</v>
      </c>
      <c r="C62" s="638" t="s">
        <v>1202</v>
      </c>
      <c r="D62" s="607">
        <v>74673.81</v>
      </c>
      <c r="E62" s="606"/>
      <c r="F62" s="634">
        <f t="shared" ref="F62" si="89">DATE(YEAR(A62),MONTH(A62),1)</f>
        <v>43831</v>
      </c>
      <c r="G62" s="610">
        <f t="shared" ref="G62" si="90">ROUNDUP(D62,-2)</f>
        <v>74700</v>
      </c>
      <c r="H62" s="610">
        <f t="shared" si="80"/>
        <v>136250</v>
      </c>
      <c r="I62" s="610">
        <f t="shared" ref="I62" si="91">$M$1*B62</f>
        <v>177000</v>
      </c>
      <c r="J62" s="609"/>
      <c r="K62" s="609"/>
      <c r="L62" s="609">
        <f t="shared" ref="L62" si="92">IF(ISBLANK(H62),"",ROUND(H62*145%*2,-1)/2)</f>
        <v>197565</v>
      </c>
      <c r="M62" s="610">
        <f t="shared" ref="M62" si="93">B62*145%</f>
        <v>3.625</v>
      </c>
    </row>
    <row r="63" spans="1:13" x14ac:dyDescent="0.25">
      <c r="A63" s="637">
        <v>43864</v>
      </c>
      <c r="B63" s="638">
        <v>2.5</v>
      </c>
      <c r="C63" s="638" t="s">
        <v>1202</v>
      </c>
      <c r="D63" s="607">
        <v>74026.61</v>
      </c>
      <c r="E63" s="606"/>
      <c r="F63" s="634">
        <f t="shared" ref="F63" si="94">DATE(YEAR(A63),MONTH(A63),1)</f>
        <v>43862</v>
      </c>
      <c r="G63" s="610">
        <f t="shared" ref="G63" si="95">ROUNDUP(D63,-2)</f>
        <v>74100</v>
      </c>
      <c r="H63" s="610">
        <f t="shared" si="80"/>
        <v>136250</v>
      </c>
      <c r="I63" s="610">
        <f t="shared" ref="I63" si="96">$M$1*B63</f>
        <v>177000</v>
      </c>
      <c r="J63" s="609"/>
      <c r="K63" s="609"/>
      <c r="L63" s="609">
        <f t="shared" ref="L63" si="97">IF(ISBLANK(H63),"",ROUND(H63*145%*2,-1)/2)</f>
        <v>197565</v>
      </c>
      <c r="M63" s="610">
        <f t="shared" ref="M63" si="98">B63*145%</f>
        <v>3.625</v>
      </c>
    </row>
    <row r="64" spans="1:13" x14ac:dyDescent="0.25">
      <c r="A64" s="637">
        <v>43871</v>
      </c>
      <c r="B64" s="638">
        <v>2.5</v>
      </c>
      <c r="C64" s="638" t="s">
        <v>1202</v>
      </c>
      <c r="D64" s="607">
        <v>73430.55</v>
      </c>
      <c r="E64" s="606"/>
      <c r="F64" s="634">
        <f t="shared" ref="F64" si="99">DATE(YEAR(A64),MONTH(A64),1)</f>
        <v>43862</v>
      </c>
      <c r="G64" s="610">
        <f t="shared" ref="G64" si="100">ROUNDUP(D64,-2)</f>
        <v>73500</v>
      </c>
      <c r="H64" s="610">
        <f t="shared" si="80"/>
        <v>136250</v>
      </c>
      <c r="I64" s="610">
        <f t="shared" ref="I64" si="101">$M$1*B64</f>
        <v>177000</v>
      </c>
      <c r="J64" s="609"/>
      <c r="K64" s="609"/>
      <c r="L64" s="609">
        <f t="shared" ref="L64" si="102">IF(ISBLANK(H64),"",ROUND(H64*145%*2,-1)/2)</f>
        <v>197565</v>
      </c>
      <c r="M64" s="610">
        <f t="shared" ref="M64" si="103">B64*145%</f>
        <v>3.625</v>
      </c>
    </row>
    <row r="65" spans="1:13" x14ac:dyDescent="0.25">
      <c r="A65" s="637">
        <v>43878</v>
      </c>
      <c r="B65" s="638">
        <v>2.5</v>
      </c>
      <c r="C65" s="638" t="s">
        <v>1202</v>
      </c>
      <c r="D65" s="607">
        <v>73393.289999999994</v>
      </c>
      <c r="E65" s="606"/>
      <c r="F65" s="634">
        <f t="shared" ref="F65" si="104">DATE(YEAR(A65),MONTH(A65),1)</f>
        <v>43862</v>
      </c>
      <c r="G65" s="610">
        <f t="shared" ref="G65" si="105">ROUNDUP(D65,-2)</f>
        <v>73400</v>
      </c>
      <c r="H65" s="610">
        <f t="shared" si="80"/>
        <v>136250</v>
      </c>
      <c r="I65" s="610">
        <f t="shared" ref="I65" si="106">$M$1*B65</f>
        <v>177000</v>
      </c>
      <c r="J65" s="609"/>
      <c r="K65" s="609"/>
      <c r="L65" s="609">
        <f t="shared" ref="L65" si="107">IF(ISBLANK(H65),"",ROUND(H65*145%*2,-1)/2)</f>
        <v>197565</v>
      </c>
      <c r="M65" s="610">
        <f t="shared" ref="M65" si="108">B65*145%</f>
        <v>3.625</v>
      </c>
    </row>
    <row r="66" spans="1:13" x14ac:dyDescent="0.25">
      <c r="A66" s="637">
        <v>43885</v>
      </c>
      <c r="B66" s="638">
        <v>2.5</v>
      </c>
      <c r="C66" s="638" t="s">
        <v>1202</v>
      </c>
      <c r="D66" s="607">
        <v>73787.06</v>
      </c>
      <c r="E66" s="606"/>
      <c r="F66" s="634">
        <f t="shared" ref="F66:F67" si="109">DATE(YEAR(A66),MONTH(A66),1)</f>
        <v>43862</v>
      </c>
      <c r="G66" s="610">
        <f t="shared" ref="G66:G67" si="110">ROUNDUP(D66,-2)</f>
        <v>73800</v>
      </c>
      <c r="H66" s="610">
        <f t="shared" ref="H66:H70" si="111">H65</f>
        <v>136250</v>
      </c>
      <c r="I66" s="610">
        <f t="shared" ref="I66:I67" si="112">$M$1*B66</f>
        <v>177000</v>
      </c>
      <c r="J66" s="609"/>
      <c r="K66" s="609"/>
      <c r="L66" s="609">
        <f t="shared" ref="L66:L67" si="113">IF(ISBLANK(H66),"",ROUND(H66*145%*2,-1)/2)</f>
        <v>197565</v>
      </c>
      <c r="M66" s="610">
        <f t="shared" ref="M66:M67" si="114">B66*145%</f>
        <v>3.625</v>
      </c>
    </row>
    <row r="67" spans="1:13" x14ac:dyDescent="0.25">
      <c r="A67" s="637">
        <v>43891</v>
      </c>
      <c r="B67" s="638">
        <v>2.5</v>
      </c>
      <c r="C67" s="638" t="s">
        <v>1202</v>
      </c>
      <c r="D67" s="607">
        <v>74093.570000000007</v>
      </c>
      <c r="E67" s="606"/>
      <c r="F67" s="634">
        <f t="shared" si="109"/>
        <v>43891</v>
      </c>
      <c r="G67" s="610">
        <f t="shared" si="110"/>
        <v>74100</v>
      </c>
      <c r="H67" s="610">
        <f t="shared" ref="H67" si="115">IF(C67="VEB",B67,G67*B67)</f>
        <v>185250</v>
      </c>
      <c r="I67" s="610">
        <f t="shared" si="112"/>
        <v>177000</v>
      </c>
      <c r="J67" s="609"/>
      <c r="K67" s="609"/>
      <c r="L67" s="609">
        <f t="shared" si="113"/>
        <v>268615</v>
      </c>
      <c r="M67" s="610">
        <f t="shared" si="114"/>
        <v>3.625</v>
      </c>
    </row>
    <row r="68" spans="1:13" x14ac:dyDescent="0.25">
      <c r="A68" s="637">
        <v>43899</v>
      </c>
      <c r="B68" s="638">
        <v>2.5</v>
      </c>
      <c r="C68" s="638" t="s">
        <v>1202</v>
      </c>
      <c r="D68" s="607">
        <v>73224.149999999994</v>
      </c>
      <c r="E68" s="606"/>
      <c r="F68" s="634">
        <f t="shared" ref="F68:F69" si="116">DATE(YEAR(A68),MONTH(A68),1)</f>
        <v>43891</v>
      </c>
      <c r="G68" s="610">
        <f t="shared" ref="G68:G69" si="117">ROUNDUP(D68,-2)</f>
        <v>73300</v>
      </c>
      <c r="H68" s="610">
        <f>H67</f>
        <v>185250</v>
      </c>
      <c r="I68" s="610">
        <f t="shared" ref="I68:I69" si="118">$M$1*B68</f>
        <v>177000</v>
      </c>
      <c r="J68" s="609"/>
      <c r="K68" s="609"/>
      <c r="L68" s="609">
        <f t="shared" ref="L68:L69" si="119">IF(ISBLANK(H68),"",ROUND(H68*145%*2,-1)/2)</f>
        <v>268615</v>
      </c>
      <c r="M68" s="610">
        <f t="shared" ref="M68:M69" si="120">B68*145%</f>
        <v>3.625</v>
      </c>
    </row>
    <row r="69" spans="1:13" x14ac:dyDescent="0.25">
      <c r="A69" s="637">
        <v>43906</v>
      </c>
      <c r="B69" s="638">
        <v>2.5</v>
      </c>
      <c r="C69" s="638" t="s">
        <v>1202</v>
      </c>
      <c r="D69" s="607">
        <v>74081.87</v>
      </c>
      <c r="E69" s="606"/>
      <c r="F69" s="634">
        <f t="shared" si="116"/>
        <v>43891</v>
      </c>
      <c r="G69" s="610">
        <f t="shared" si="117"/>
        <v>74100</v>
      </c>
      <c r="H69" s="610">
        <f t="shared" si="111"/>
        <v>185250</v>
      </c>
      <c r="I69" s="610">
        <f t="shared" si="118"/>
        <v>177000</v>
      </c>
      <c r="J69" s="609"/>
      <c r="K69" s="609"/>
      <c r="L69" s="609">
        <f t="shared" si="119"/>
        <v>268615</v>
      </c>
      <c r="M69" s="610">
        <f t="shared" si="120"/>
        <v>3.625</v>
      </c>
    </row>
    <row r="70" spans="1:13" x14ac:dyDescent="0.25">
      <c r="A70" s="637">
        <v>43913</v>
      </c>
      <c r="B70" s="638">
        <v>2.5</v>
      </c>
      <c r="C70" s="638" t="s">
        <v>1202</v>
      </c>
      <c r="D70" s="607">
        <v>70718.58</v>
      </c>
      <c r="E70" s="606"/>
      <c r="F70" s="634">
        <f t="shared" ref="F70" si="121">DATE(YEAR(A70),MONTH(A70),1)</f>
        <v>43891</v>
      </c>
      <c r="G70" s="610">
        <f t="shared" ref="G70" si="122">ROUNDUP(D70,-2)</f>
        <v>70800</v>
      </c>
      <c r="H70" s="610">
        <f t="shared" si="111"/>
        <v>185250</v>
      </c>
      <c r="I70" s="610">
        <f t="shared" ref="I70" si="123">$M$1*B70</f>
        <v>177000</v>
      </c>
      <c r="J70" s="609"/>
      <c r="K70" s="609"/>
      <c r="L70" s="609">
        <f t="shared" ref="L70" si="124">IF(ISBLANK(H70),"",ROUND(H70*145%*2,-1)/2)</f>
        <v>268615</v>
      </c>
      <c r="M70" s="610">
        <f t="shared" ref="M70" si="125">B70*145%</f>
        <v>3.625</v>
      </c>
    </row>
    <row r="71" spans="1:13" x14ac:dyDescent="0.25">
      <c r="A71" s="637"/>
      <c r="B71" s="638"/>
      <c r="C71" s="638"/>
      <c r="D71" s="607"/>
      <c r="E71" s="606"/>
      <c r="F71" s="635"/>
      <c r="G71" s="607"/>
      <c r="H71" s="607"/>
      <c r="I71" s="607"/>
      <c r="J71" s="608"/>
      <c r="K71" s="608"/>
      <c r="L71" s="608" t="str">
        <f t="shared" si="10"/>
        <v/>
      </c>
      <c r="M71" s="607"/>
    </row>
    <row r="72" spans="1:13" x14ac:dyDescent="0.25">
      <c r="A72" s="637"/>
      <c r="B72" s="638"/>
      <c r="C72" s="638"/>
      <c r="D72" s="607"/>
      <c r="E72" s="606"/>
      <c r="F72" s="635"/>
      <c r="G72" s="607"/>
      <c r="H72" s="607"/>
      <c r="I72" s="607"/>
      <c r="J72" s="608"/>
      <c r="K72" s="608"/>
      <c r="L72" s="608" t="str">
        <f t="shared" si="10"/>
        <v/>
      </c>
      <c r="M72" s="607"/>
    </row>
    <row r="73" spans="1:13" x14ac:dyDescent="0.25">
      <c r="A73" s="637"/>
      <c r="B73" s="638"/>
      <c r="C73" s="638"/>
      <c r="D73" s="607"/>
      <c r="E73" s="606"/>
      <c r="F73" s="635"/>
      <c r="G73" s="607"/>
      <c r="H73" s="607"/>
      <c r="I73" s="607"/>
      <c r="J73" s="608"/>
      <c r="K73" s="608"/>
      <c r="L73" s="608" t="str">
        <f t="shared" si="10"/>
        <v/>
      </c>
      <c r="M73" s="607"/>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AW76"/>
  <sheetViews>
    <sheetView showGridLines="0" workbookViewId="0">
      <pane ySplit="3" topLeftCell="A4" activePane="bottomLeft" state="frozen"/>
      <selection activeCell="C44" sqref="C44"/>
      <selection pane="bottomLeft" activeCell="D5" sqref="D5"/>
    </sheetView>
  </sheetViews>
  <sheetFormatPr baseColWidth="10" defaultColWidth="10.7109375" defaultRowHeight="15" x14ac:dyDescent="0.25"/>
  <cols>
    <col min="1" max="1" width="25.28515625" bestFit="1" customWidth="1"/>
    <col min="2" max="2" width="24.5703125" bestFit="1" customWidth="1"/>
    <col min="3" max="3" width="32.140625" hidden="1" customWidth="1"/>
    <col min="4" max="4" width="12.85546875" customWidth="1"/>
    <col min="5" max="5" width="10.7109375" style="580"/>
    <col min="6" max="6" width="10.85546875" style="2" bestFit="1" customWidth="1"/>
    <col min="7" max="7" width="38.28515625" bestFit="1" customWidth="1"/>
    <col min="8" max="9" width="12.28515625" style="313" bestFit="1" customWidth="1"/>
    <col min="10" max="10" width="10.7109375" style="580"/>
    <col min="11" max="11" width="10.85546875" style="2" bestFit="1" customWidth="1"/>
    <col min="12" max="12" width="38.28515625" bestFit="1" customWidth="1"/>
    <col min="13" max="13" width="11.42578125" style="313" bestFit="1" customWidth="1"/>
    <col min="14" max="14" width="10.7109375" style="313"/>
    <col min="15" max="15" width="10.7109375" style="580"/>
    <col min="16" max="16" width="10.7109375" style="2"/>
    <col min="17" max="17" width="38.28515625" bestFit="1" customWidth="1"/>
    <col min="18" max="19" width="10.7109375" style="313"/>
    <col min="20" max="20" width="10.7109375" style="580"/>
    <col min="21" max="21" width="10.85546875" style="2" bestFit="1" customWidth="1"/>
    <col min="22" max="22" width="38.28515625" bestFit="1" customWidth="1"/>
    <col min="23" max="24" width="10.7109375" style="313"/>
    <col min="25" max="25" width="10.7109375" style="580"/>
    <col min="26" max="26" width="10.7109375" style="2"/>
    <col min="27" max="27" width="38.28515625" bestFit="1" customWidth="1"/>
    <col min="28" max="29" width="10.7109375" style="313"/>
    <col min="30" max="30" width="10.7109375" style="580"/>
    <col min="31" max="31" width="10.7109375" style="2"/>
    <col min="32" max="32" width="38.28515625" bestFit="1" customWidth="1"/>
    <col min="33" max="34" width="10.7109375" style="313"/>
    <col min="35" max="35" width="10.7109375" style="580"/>
    <col min="36" max="36" width="10.7109375" style="2"/>
    <col min="37" max="37" width="38.28515625" bestFit="1" customWidth="1"/>
    <col min="38" max="39" width="10.7109375" style="313"/>
    <col min="40" max="40" width="10.7109375" style="580"/>
    <col min="41" max="41" width="10.7109375" style="2"/>
    <col min="42" max="42" width="38.28515625" bestFit="1" customWidth="1"/>
    <col min="43" max="44" width="10.7109375" style="313"/>
    <col min="45" max="45" width="10.7109375" style="580"/>
    <col min="46" max="46" width="10.7109375" style="2"/>
    <col min="47" max="47" width="38.28515625" bestFit="1" customWidth="1"/>
    <col min="48" max="49" width="10.7109375" style="313"/>
  </cols>
  <sheetData>
    <row r="1" spans="1:49" ht="21" x14ac:dyDescent="0.35">
      <c r="A1" s="379" t="s">
        <v>1203</v>
      </c>
      <c r="D1" s="80">
        <f>MAX(LOOKUP(100000000000000000000,1/(F:F&lt;&gt;""),F:F),LOOKUP(100000000000000000000,1/(K:K&lt;&gt;""),K:K),LOOKUP(100000000000000000000,1/(P:P&lt;&gt;""),P:P),LOOKUP(100000000000000000000,1/(U:U&lt;&gt;""),U:U),LOOKUP(100000000000000000000,1/(Z:Z&lt;&gt;""),Z:Z),LOOKUP(100000000000000000000,1/(AE:AE&lt;&gt;""),AE:AE),LOOKUP(100000000000000000000,1/(AJ:AJ&lt;&gt;""),AJ:AJ),LOOKUP(100000000000000000000,1/(AT:AT&lt;&gt;""),AT:AT))</f>
        <v>43900</v>
      </c>
      <c r="F1" s="642" t="s">
        <v>1204</v>
      </c>
      <c r="K1" s="19" t="s">
        <v>1205</v>
      </c>
      <c r="P1" s="52" t="s">
        <v>1206</v>
      </c>
      <c r="U1" s="52" t="s">
        <v>1207</v>
      </c>
      <c r="Z1" s="52" t="s">
        <v>1208</v>
      </c>
      <c r="AE1" s="52" t="s">
        <v>1209</v>
      </c>
      <c r="AJ1" s="52" t="s">
        <v>1210</v>
      </c>
      <c r="AO1" s="52" t="s">
        <v>1211</v>
      </c>
      <c r="AT1" s="52" t="s">
        <v>1212</v>
      </c>
    </row>
    <row r="3" spans="1:49" x14ac:dyDescent="0.25">
      <c r="A3" s="628" t="s">
        <v>5</v>
      </c>
      <c r="B3" s="628" t="s">
        <v>7</v>
      </c>
      <c r="C3" s="628" t="s">
        <v>6</v>
      </c>
      <c r="D3" s="639" t="s">
        <v>1213</v>
      </c>
      <c r="F3" s="641" t="s">
        <v>3</v>
      </c>
      <c r="G3" s="640" t="s">
        <v>8</v>
      </c>
      <c r="H3" s="641" t="s">
        <v>4</v>
      </c>
      <c r="I3" s="641" t="s">
        <v>1213</v>
      </c>
      <c r="K3" s="641" t="s">
        <v>3</v>
      </c>
      <c r="L3" s="640" t="s">
        <v>8</v>
      </c>
      <c r="M3" s="641" t="s">
        <v>4</v>
      </c>
      <c r="N3" s="641" t="s">
        <v>1213</v>
      </c>
      <c r="P3" s="641" t="s">
        <v>3</v>
      </c>
      <c r="Q3" s="640" t="s">
        <v>8</v>
      </c>
      <c r="R3" s="641" t="s">
        <v>4</v>
      </c>
      <c r="S3" s="641" t="s">
        <v>1213</v>
      </c>
      <c r="U3" s="641" t="s">
        <v>3</v>
      </c>
      <c r="V3" s="640" t="s">
        <v>8</v>
      </c>
      <c r="W3" s="641" t="s">
        <v>4</v>
      </c>
      <c r="X3" s="641" t="s">
        <v>1213</v>
      </c>
      <c r="Z3" s="641" t="s">
        <v>3</v>
      </c>
      <c r="AA3" s="640" t="s">
        <v>8</v>
      </c>
      <c r="AB3" s="641" t="s">
        <v>4</v>
      </c>
      <c r="AC3" s="641" t="s">
        <v>1213</v>
      </c>
      <c r="AE3" s="641" t="s">
        <v>3</v>
      </c>
      <c r="AF3" s="640" t="s">
        <v>8</v>
      </c>
      <c r="AG3" s="641" t="s">
        <v>4</v>
      </c>
      <c r="AH3" s="641" t="s">
        <v>1213</v>
      </c>
      <c r="AJ3" s="641" t="s">
        <v>3</v>
      </c>
      <c r="AK3" s="640" t="s">
        <v>8</v>
      </c>
      <c r="AL3" s="641" t="s">
        <v>4</v>
      </c>
      <c r="AM3" s="641" t="s">
        <v>1213</v>
      </c>
      <c r="AO3" s="641" t="s">
        <v>3</v>
      </c>
      <c r="AP3" s="640" t="s">
        <v>8</v>
      </c>
      <c r="AQ3" s="641" t="s">
        <v>4</v>
      </c>
      <c r="AR3" s="641" t="s">
        <v>1213</v>
      </c>
      <c r="AT3" s="641" t="s">
        <v>3</v>
      </c>
      <c r="AU3" s="640" t="s">
        <v>8</v>
      </c>
      <c r="AV3" s="641" t="s">
        <v>4</v>
      </c>
      <c r="AW3" s="641" t="s">
        <v>1213</v>
      </c>
    </row>
    <row r="4" spans="1:49" x14ac:dyDescent="0.25">
      <c r="A4" s="314" t="s">
        <v>438</v>
      </c>
      <c r="B4" t="s">
        <v>440</v>
      </c>
      <c r="C4" t="s">
        <v>439</v>
      </c>
      <c r="D4" s="313">
        <f>LOOKUP(100000000000000000000,1/(N:N&lt;&gt;""),N:N)</f>
        <v>220452</v>
      </c>
      <c r="E4" s="581">
        <f>DATE(YEAR(F4),MONTH(F4),1)</f>
        <v>42767</v>
      </c>
      <c r="F4" s="2">
        <v>42782</v>
      </c>
      <c r="G4" s="6" t="s">
        <v>226</v>
      </c>
      <c r="H4" s="313">
        <f>170000/100000</f>
        <v>1.7</v>
      </c>
      <c r="I4" s="313">
        <f>ROUND(H4,2)</f>
        <v>1.7</v>
      </c>
      <c r="J4" s="581">
        <f>DATE(YEAR(K4),MONTH(K4),1)</f>
        <v>42887</v>
      </c>
      <c r="K4" s="2">
        <v>42887</v>
      </c>
      <c r="L4" s="6" t="s">
        <v>1214</v>
      </c>
      <c r="M4" s="313">
        <f>338000/100000</f>
        <v>3.38</v>
      </c>
      <c r="N4" s="313">
        <f>ROUND(M4,2)</f>
        <v>3.38</v>
      </c>
      <c r="O4" s="581">
        <f>DATE(YEAR(P4),MONTH(P4),1)</f>
        <v>43252</v>
      </c>
      <c r="P4" s="2">
        <v>43281</v>
      </c>
      <c r="Q4" t="s">
        <v>1215</v>
      </c>
      <c r="R4" s="313">
        <f>975000/100000</f>
        <v>9.75</v>
      </c>
      <c r="S4" s="313">
        <f>ROUND(R4,2)</f>
        <v>9.75</v>
      </c>
      <c r="T4" s="581">
        <f>DATE(YEAR(U4),MONTH(U4),1)</f>
        <v>43282</v>
      </c>
      <c r="U4" s="2">
        <v>43293</v>
      </c>
      <c r="V4" t="s">
        <v>1215</v>
      </c>
      <c r="W4" s="313">
        <f>4000000/100000</f>
        <v>40</v>
      </c>
      <c r="X4" s="313">
        <f>ROUND(W4,2)</f>
        <v>40</v>
      </c>
      <c r="Y4" s="581">
        <f>DATE(YEAR(Z4),MONTH(Z4),1)</f>
        <v>43160</v>
      </c>
      <c r="Z4" s="2">
        <v>43161</v>
      </c>
      <c r="AA4" t="s">
        <v>1216</v>
      </c>
      <c r="AB4" s="313">
        <f>573000/100000</f>
        <v>5.73</v>
      </c>
      <c r="AC4" s="313">
        <f>ROUND(AB4,2)</f>
        <v>5.73</v>
      </c>
      <c r="AD4" s="581">
        <f>DATE(YEAR(AE4),MONTH(AE4),1)</f>
        <v>43191</v>
      </c>
      <c r="AE4" s="2">
        <v>43220</v>
      </c>
      <c r="AF4" t="s">
        <v>1217</v>
      </c>
      <c r="AG4" s="313">
        <f>250000/100000</f>
        <v>2.5</v>
      </c>
      <c r="AH4" s="313">
        <f>AG4</f>
        <v>2.5</v>
      </c>
      <c r="AI4" s="581">
        <f>DATE(YEAR(AJ4),MONTH(AJ4),1)</f>
        <v>43160</v>
      </c>
      <c r="AJ4" s="2">
        <v>43189</v>
      </c>
      <c r="AK4" t="s">
        <v>1216</v>
      </c>
      <c r="AL4" s="313">
        <f>840000/100000</f>
        <v>8.4</v>
      </c>
      <c r="AM4" s="313">
        <f>ROUND(AL4,2)</f>
        <v>8.4</v>
      </c>
      <c r="AN4" s="581">
        <f>DATE(YEAR(AO4),MONTH(AO4),1)</f>
        <v>43282</v>
      </c>
      <c r="AO4" s="2">
        <v>43304</v>
      </c>
      <c r="AP4" t="s">
        <v>1215</v>
      </c>
      <c r="AQ4" s="313">
        <f>3000000/100000</f>
        <v>30</v>
      </c>
      <c r="AR4" s="313">
        <f>ROUND(AQ4,2)</f>
        <v>30</v>
      </c>
      <c r="AS4" s="581">
        <f>DATE(YEAR(AT4),MONTH(AT4),1)</f>
        <v>42917</v>
      </c>
      <c r="AT4" s="2">
        <v>42919</v>
      </c>
      <c r="AU4" t="s">
        <v>1218</v>
      </c>
      <c r="AV4" s="313">
        <f>126000/100000</f>
        <v>1.26</v>
      </c>
      <c r="AW4" s="313">
        <f>ROUND(AV4,2)</f>
        <v>1.26</v>
      </c>
    </row>
    <row r="5" spans="1:49" x14ac:dyDescent="0.25">
      <c r="A5" s="6" t="s">
        <v>18</v>
      </c>
      <c r="B5" t="s">
        <v>20</v>
      </c>
      <c r="C5" t="s">
        <v>19</v>
      </c>
      <c r="D5" s="313">
        <f>LOOKUP(100000000000000000000,1/(I:I&lt;&gt;""),I:I)</f>
        <v>867962.95</v>
      </c>
      <c r="E5" s="581">
        <f t="shared" ref="E5:E75" si="0">DATE(YEAR(F5),MONTH(F5),1)</f>
        <v>42826</v>
      </c>
      <c r="F5" s="2">
        <v>42831</v>
      </c>
      <c r="G5" s="6" t="s">
        <v>395</v>
      </c>
      <c r="H5" s="313">
        <f>-17000/100000</f>
        <v>-0.17</v>
      </c>
      <c r="I5" s="313">
        <f>IF(ISBLANK(H5),"",I4+ROUND(H5,2))</f>
        <v>1.53</v>
      </c>
      <c r="J5" s="581">
        <f t="shared" ref="J5:J75" si="1">DATE(YEAR(K5),MONTH(K5),1)</f>
        <v>42887</v>
      </c>
      <c r="K5" s="2">
        <v>42887</v>
      </c>
      <c r="L5" s="6" t="s">
        <v>1219</v>
      </c>
      <c r="M5" s="313">
        <f>-2*31000/100000</f>
        <v>-0.62</v>
      </c>
      <c r="N5" s="313">
        <f t="shared" ref="N5:N30" si="2">IF(ISBLANK(M5),"",N4+ROUND(M5,2))</f>
        <v>2.76</v>
      </c>
      <c r="O5" s="581">
        <f t="shared" ref="O5:O75" si="3">DATE(YEAR(P5),MONTH(P5),1)</f>
        <v>43282</v>
      </c>
      <c r="P5" s="2">
        <v>43293</v>
      </c>
      <c r="Q5" t="s">
        <v>1215</v>
      </c>
      <c r="R5" s="313">
        <f>3500000/100000</f>
        <v>35</v>
      </c>
      <c r="S5" s="313">
        <f t="shared" ref="S5:S75" si="4">IF(ISBLANK(R5),"",ROUND(S4+R5,2))</f>
        <v>44.75</v>
      </c>
      <c r="T5" s="581">
        <f t="shared" ref="T5:T75" si="5">DATE(YEAR(U5),MONTH(U5),1)</f>
        <v>43282</v>
      </c>
      <c r="U5" s="2">
        <v>43293</v>
      </c>
      <c r="V5" t="s">
        <v>750</v>
      </c>
      <c r="W5" s="313">
        <f>-1000000/100000</f>
        <v>-10</v>
      </c>
      <c r="X5" s="313">
        <f t="shared" ref="X5:X75" si="6">IF(ISBLANK(W5),"",ROUND(X4+W5,2))</f>
        <v>30</v>
      </c>
      <c r="Y5" s="581">
        <f t="shared" ref="Y5:Y75" si="7">DATE(YEAR(Z5),MONTH(Z5),1)</f>
        <v>43160</v>
      </c>
      <c r="Z5" s="2">
        <v>43161</v>
      </c>
      <c r="AA5" s="6" t="s">
        <v>1220</v>
      </c>
      <c r="AB5" s="313">
        <f>-60000/100000-120000/100000</f>
        <v>-1.7999999999999998</v>
      </c>
      <c r="AC5" s="313">
        <f t="shared" ref="AC5:AC75" si="8">IF(ISBLANK(AB5),"",ROUND(AC4+AB5,2))</f>
        <v>3.93</v>
      </c>
      <c r="AD5" s="581">
        <f t="shared" ref="AD5:AD75" si="9">DATE(YEAR(AE5),MONTH(AE5),1)</f>
        <v>43191</v>
      </c>
      <c r="AE5" s="2">
        <v>43220</v>
      </c>
      <c r="AF5" t="s">
        <v>1221</v>
      </c>
      <c r="AG5" s="313">
        <f>510000/100000</f>
        <v>5.0999999999999996</v>
      </c>
      <c r="AH5" s="313">
        <f t="shared" ref="AH5:AH75" si="10">IF(ISBLANK(AG5),"",ROUND(AH4+AG5,2))</f>
        <v>7.6</v>
      </c>
      <c r="AI5" s="581">
        <f t="shared" ref="AI5:AI75" si="11">DATE(YEAR(AJ5),MONTH(AJ5),1)</f>
        <v>43160</v>
      </c>
      <c r="AJ5" s="2">
        <v>43189</v>
      </c>
      <c r="AK5" s="6" t="s">
        <v>630</v>
      </c>
      <c r="AL5" s="313">
        <f>-140000/100000</f>
        <v>-1.4</v>
      </c>
      <c r="AM5" s="313">
        <f t="shared" ref="AM5:AM75" si="12">IF(ISBLANK(AL5),"",ROUND(AM4+AL5,2))</f>
        <v>7</v>
      </c>
      <c r="AN5" s="581">
        <f t="shared" ref="AN5:AN75" si="13">DATE(YEAR(AO5),MONTH(AO5),1)</f>
        <v>43282</v>
      </c>
      <c r="AO5" s="2">
        <v>43304</v>
      </c>
      <c r="AP5" t="s">
        <v>742</v>
      </c>
      <c r="AQ5" s="313">
        <f>-225000/100000</f>
        <v>-2.25</v>
      </c>
      <c r="AR5" s="313">
        <f t="shared" ref="AR5:AR75" si="14">IF(ISBLANK(AQ5),"",ROUND(AR4+AQ5,2))</f>
        <v>27.75</v>
      </c>
      <c r="AS5" s="581">
        <f t="shared" ref="AS5:AS75" si="15">DATE(YEAR(AT5),MONTH(AT5),1)</f>
        <v>42917</v>
      </c>
      <c r="AT5" s="2">
        <v>42919</v>
      </c>
      <c r="AU5" t="s">
        <v>1222</v>
      </c>
      <c r="AV5" s="313">
        <f>-3387/100000-17000/100000-17000/100000-26000/100000-26000/100000</f>
        <v>-0.89387000000000005</v>
      </c>
      <c r="AW5" s="313">
        <f t="shared" ref="AW5:AW75" si="16">IF(ISBLANK(AV5),"",ROUND(AW4+AV5,2))</f>
        <v>0.37</v>
      </c>
    </row>
    <row r="6" spans="1:49" x14ac:dyDescent="0.25">
      <c r="A6" s="6" t="s">
        <v>771</v>
      </c>
      <c r="B6" t="s">
        <v>773</v>
      </c>
      <c r="C6" t="s">
        <v>772</v>
      </c>
      <c r="D6" s="313">
        <f>LOOKUP(100000000000000000000,1/(X:X&lt;&gt;""),X:X)</f>
        <v>0</v>
      </c>
      <c r="E6" s="581">
        <f t="shared" si="0"/>
        <v>42826</v>
      </c>
      <c r="F6" s="2">
        <v>42840</v>
      </c>
      <c r="G6" s="6" t="s">
        <v>1215</v>
      </c>
      <c r="H6" s="313">
        <f>87500/100000</f>
        <v>0.875</v>
      </c>
      <c r="I6" s="313">
        <f t="shared" ref="I6:I30" si="17">IF(ISBLANK(H6),"",I5+ROUND(H6,2))</f>
        <v>2.41</v>
      </c>
      <c r="J6" s="581">
        <f t="shared" si="1"/>
        <v>42887</v>
      </c>
      <c r="K6" s="2">
        <v>42887</v>
      </c>
      <c r="L6" s="6" t="s">
        <v>1223</v>
      </c>
      <c r="M6" s="313">
        <f>-(4*17000+2*26000)/100000</f>
        <v>-1.2</v>
      </c>
      <c r="N6" s="313">
        <f t="shared" si="2"/>
        <v>1.5599999999999998</v>
      </c>
      <c r="O6" s="581">
        <f t="shared" si="3"/>
        <v>43282</v>
      </c>
      <c r="P6" s="2">
        <v>43293</v>
      </c>
      <c r="Q6" s="6" t="s">
        <v>744</v>
      </c>
      <c r="R6" s="313">
        <f>-1220000/100000</f>
        <v>-12.2</v>
      </c>
      <c r="S6" s="313">
        <f t="shared" si="4"/>
        <v>32.549999999999997</v>
      </c>
      <c r="T6" s="581">
        <f t="shared" si="5"/>
        <v>43282</v>
      </c>
      <c r="U6" s="2">
        <v>43293</v>
      </c>
      <c r="V6" s="6" t="s">
        <v>744</v>
      </c>
      <c r="W6" s="313">
        <f>-1220000/100000</f>
        <v>-12.2</v>
      </c>
      <c r="X6" s="313">
        <f t="shared" si="6"/>
        <v>17.8</v>
      </c>
      <c r="Y6" s="581">
        <f t="shared" si="7"/>
        <v>43160</v>
      </c>
      <c r="Z6" s="2">
        <v>43175</v>
      </c>
      <c r="AA6" t="s">
        <v>1215</v>
      </c>
      <c r="AB6" s="313">
        <f>200000/100000</f>
        <v>2</v>
      </c>
      <c r="AC6" s="313">
        <f t="shared" si="8"/>
        <v>5.93</v>
      </c>
      <c r="AD6" s="581">
        <f t="shared" si="9"/>
        <v>43221</v>
      </c>
      <c r="AE6" s="2">
        <v>43223</v>
      </c>
      <c r="AF6" t="s">
        <v>684</v>
      </c>
      <c r="AG6" s="313">
        <f>-400000/100000</f>
        <v>-4</v>
      </c>
      <c r="AH6" s="313">
        <f t="shared" si="10"/>
        <v>3.6</v>
      </c>
      <c r="AI6" s="581">
        <f t="shared" si="11"/>
        <v>43191</v>
      </c>
      <c r="AJ6" s="2">
        <v>43195</v>
      </c>
      <c r="AK6" t="s">
        <v>668</v>
      </c>
      <c r="AL6" s="313">
        <f>-140000/100000</f>
        <v>-1.4</v>
      </c>
      <c r="AM6" s="313">
        <f t="shared" si="12"/>
        <v>5.6</v>
      </c>
      <c r="AN6" s="581">
        <f t="shared" si="13"/>
        <v>43282</v>
      </c>
      <c r="AO6" s="2">
        <v>43304</v>
      </c>
      <c r="AP6" t="s">
        <v>746</v>
      </c>
      <c r="AQ6" s="313">
        <f>-600000/100000</f>
        <v>-6</v>
      </c>
      <c r="AR6" s="313">
        <f t="shared" si="14"/>
        <v>21.75</v>
      </c>
      <c r="AS6" s="581">
        <f t="shared" si="15"/>
        <v>42948</v>
      </c>
      <c r="AT6" s="2">
        <v>42951</v>
      </c>
      <c r="AU6" t="s">
        <v>514</v>
      </c>
      <c r="AV6" s="313">
        <f>-35000/100000</f>
        <v>-0.35</v>
      </c>
      <c r="AW6" s="313">
        <f t="shared" si="16"/>
        <v>0.02</v>
      </c>
    </row>
    <row r="7" spans="1:49" x14ac:dyDescent="0.25">
      <c r="A7" s="6" t="s">
        <v>612</v>
      </c>
      <c r="B7" t="s">
        <v>614</v>
      </c>
      <c r="C7" t="s">
        <v>613</v>
      </c>
      <c r="D7" s="313">
        <f>LOOKUP(100000000000000000000,1/(S:S&lt;&gt;""),S:S)</f>
        <v>0</v>
      </c>
      <c r="E7" s="581">
        <f t="shared" si="0"/>
        <v>42826</v>
      </c>
      <c r="F7" s="2">
        <v>42840</v>
      </c>
      <c r="G7" t="s">
        <v>1224</v>
      </c>
      <c r="H7" s="313">
        <f>-23500/100000</f>
        <v>-0.23499999999999999</v>
      </c>
      <c r="I7" s="313">
        <f t="shared" si="17"/>
        <v>2.17</v>
      </c>
      <c r="J7" s="581">
        <f t="shared" si="1"/>
        <v>42917</v>
      </c>
      <c r="K7" s="2">
        <v>42917</v>
      </c>
      <c r="L7" s="6" t="s">
        <v>473</v>
      </c>
      <c r="M7" s="313">
        <f>-26000/100000</f>
        <v>-0.26</v>
      </c>
      <c r="N7" s="313">
        <f t="shared" si="2"/>
        <v>1.2999999999999998</v>
      </c>
      <c r="O7" s="581">
        <f t="shared" si="3"/>
        <v>43313</v>
      </c>
      <c r="P7" s="2">
        <v>43313</v>
      </c>
      <c r="Q7" t="s">
        <v>1225</v>
      </c>
      <c r="R7" s="313">
        <f>-1200000/100000</f>
        <v>-12</v>
      </c>
      <c r="S7" s="313">
        <f t="shared" si="4"/>
        <v>20.55</v>
      </c>
      <c r="T7" s="581">
        <f t="shared" si="5"/>
        <v>43313</v>
      </c>
      <c r="U7" s="2">
        <v>43313</v>
      </c>
      <c r="V7" t="s">
        <v>1225</v>
      </c>
      <c r="W7" s="313">
        <f>-1200000/100000</f>
        <v>-12</v>
      </c>
      <c r="X7" s="313">
        <f t="shared" si="6"/>
        <v>5.8</v>
      </c>
      <c r="Y7" s="581">
        <f t="shared" si="7"/>
        <v>43191</v>
      </c>
      <c r="Z7" s="2">
        <v>43192</v>
      </c>
      <c r="AA7" t="s">
        <v>1215</v>
      </c>
      <c r="AB7" s="313">
        <f>250000/100000</f>
        <v>2.5</v>
      </c>
      <c r="AC7" s="313">
        <f t="shared" si="8"/>
        <v>8.43</v>
      </c>
      <c r="AD7" s="581">
        <f t="shared" si="9"/>
        <v>43221</v>
      </c>
      <c r="AE7" s="2">
        <v>43224</v>
      </c>
      <c r="AF7" t="s">
        <v>1226</v>
      </c>
      <c r="AG7" s="313">
        <f>60000/100000</f>
        <v>0.6</v>
      </c>
      <c r="AH7" s="313">
        <f t="shared" si="10"/>
        <v>4.2</v>
      </c>
      <c r="AI7" s="581">
        <f t="shared" si="11"/>
        <v>43221</v>
      </c>
      <c r="AJ7" s="2">
        <v>43223</v>
      </c>
      <c r="AK7" t="s">
        <v>684</v>
      </c>
      <c r="AL7" s="313">
        <f>-400000/100000</f>
        <v>-4</v>
      </c>
      <c r="AM7" s="313">
        <f t="shared" si="12"/>
        <v>1.6</v>
      </c>
      <c r="AN7" s="581">
        <f t="shared" si="13"/>
        <v>43282</v>
      </c>
      <c r="AO7" s="2">
        <v>43304</v>
      </c>
      <c r="AP7" s="6" t="s">
        <v>744</v>
      </c>
      <c r="AQ7" s="313">
        <f>-1220000/100000</f>
        <v>-12.2</v>
      </c>
      <c r="AR7" s="313">
        <f t="shared" si="14"/>
        <v>9.5500000000000007</v>
      </c>
      <c r="AS7" s="581">
        <f t="shared" si="15"/>
        <v>43770</v>
      </c>
      <c r="AT7" s="2">
        <v>43773</v>
      </c>
      <c r="AU7" t="s">
        <v>1227</v>
      </c>
      <c r="AV7" s="313">
        <v>-0.02</v>
      </c>
      <c r="AW7" s="313">
        <f t="shared" si="16"/>
        <v>0</v>
      </c>
    </row>
    <row r="8" spans="1:49" x14ac:dyDescent="0.25">
      <c r="A8" s="6" t="s">
        <v>32</v>
      </c>
      <c r="B8" t="s">
        <v>34</v>
      </c>
      <c r="C8" t="s">
        <v>33</v>
      </c>
      <c r="D8" s="313">
        <f>LOOKUP(100000000000000000000,1/(AW:AW&lt;&gt;""),AW:AW)</f>
        <v>0</v>
      </c>
      <c r="E8" s="581">
        <f t="shared" si="0"/>
        <v>42856</v>
      </c>
      <c r="F8" s="2">
        <v>42863</v>
      </c>
      <c r="G8" s="6" t="s">
        <v>420</v>
      </c>
      <c r="H8" s="313">
        <f>-26000/100000</f>
        <v>-0.26</v>
      </c>
      <c r="I8" s="313">
        <f t="shared" si="17"/>
        <v>1.91</v>
      </c>
      <c r="J8" s="581">
        <f t="shared" si="1"/>
        <v>42917</v>
      </c>
      <c r="K8" s="2">
        <v>42934</v>
      </c>
      <c r="L8" t="s">
        <v>499</v>
      </c>
      <c r="M8" s="313">
        <f>-9000/100000</f>
        <v>-0.09</v>
      </c>
      <c r="N8" s="313">
        <f t="shared" si="2"/>
        <v>1.2099999999999997</v>
      </c>
      <c r="O8" s="581">
        <f t="shared" si="3"/>
        <v>43344</v>
      </c>
      <c r="P8" s="2">
        <v>43355</v>
      </c>
      <c r="Q8" t="s">
        <v>1228</v>
      </c>
      <c r="R8" s="313">
        <v>-20.55</v>
      </c>
      <c r="S8" s="313">
        <f t="shared" si="4"/>
        <v>0</v>
      </c>
      <c r="T8" s="581">
        <f t="shared" si="5"/>
        <v>43466</v>
      </c>
      <c r="U8" s="2">
        <v>43490</v>
      </c>
      <c r="V8" t="s">
        <v>1215</v>
      </c>
      <c r="W8" s="313">
        <v>20000</v>
      </c>
      <c r="X8" s="313">
        <f t="shared" si="6"/>
        <v>20005.8</v>
      </c>
      <c r="Y8" s="581">
        <f t="shared" si="7"/>
        <v>43221</v>
      </c>
      <c r="Z8" s="2">
        <v>43222</v>
      </c>
      <c r="AA8" t="s">
        <v>1215</v>
      </c>
      <c r="AB8" s="313">
        <f>950000/100000</f>
        <v>9.5</v>
      </c>
      <c r="AC8" s="313">
        <f t="shared" si="8"/>
        <v>17.93</v>
      </c>
      <c r="AD8" s="581">
        <f t="shared" si="9"/>
        <v>43221</v>
      </c>
      <c r="AE8" s="2">
        <v>43241</v>
      </c>
      <c r="AF8" t="s">
        <v>1229</v>
      </c>
      <c r="AG8" s="313">
        <f>420000/100000</f>
        <v>4.2</v>
      </c>
      <c r="AH8" s="313">
        <f t="shared" si="10"/>
        <v>8.4</v>
      </c>
      <c r="AI8" s="581">
        <f t="shared" si="11"/>
        <v>43282</v>
      </c>
      <c r="AJ8" s="2">
        <v>43284</v>
      </c>
      <c r="AK8" t="s">
        <v>1216</v>
      </c>
      <c r="AL8" s="313">
        <f>5000000/100000</f>
        <v>50</v>
      </c>
      <c r="AM8" s="313">
        <f t="shared" si="12"/>
        <v>51.6</v>
      </c>
      <c r="AN8" s="581">
        <f t="shared" si="13"/>
        <v>43313</v>
      </c>
      <c r="AO8" s="2">
        <v>43319</v>
      </c>
      <c r="AP8" t="s">
        <v>1230</v>
      </c>
      <c r="AQ8" s="313">
        <f>10000000/100000</f>
        <v>100</v>
      </c>
      <c r="AR8" s="313">
        <f t="shared" si="14"/>
        <v>109.55</v>
      </c>
      <c r="AS8" s="581">
        <f t="shared" si="15"/>
        <v>1</v>
      </c>
      <c r="AW8" s="313" t="str">
        <f t="shared" si="16"/>
        <v/>
      </c>
    </row>
    <row r="9" spans="1:49" x14ac:dyDescent="0.25">
      <c r="A9" t="s">
        <v>252</v>
      </c>
      <c r="B9" t="s">
        <v>254</v>
      </c>
      <c r="C9" t="s">
        <v>253</v>
      </c>
      <c r="D9" s="313">
        <f>LOOKUP(100000000000000000000,1/(AR:AR&lt;&gt;""),AR:AR)</f>
        <v>0</v>
      </c>
      <c r="E9" s="581">
        <f t="shared" si="0"/>
        <v>42887</v>
      </c>
      <c r="F9" s="2">
        <v>42887</v>
      </c>
      <c r="G9" s="6" t="s">
        <v>445</v>
      </c>
      <c r="H9" s="313">
        <f>-26000/100000</f>
        <v>-0.26</v>
      </c>
      <c r="I9" s="313">
        <f t="shared" si="17"/>
        <v>1.65</v>
      </c>
      <c r="J9" s="581">
        <f t="shared" si="1"/>
        <v>42917</v>
      </c>
      <c r="K9" s="2">
        <v>42945</v>
      </c>
      <c r="L9" s="6" t="s">
        <v>451</v>
      </c>
      <c r="M9" s="313">
        <f>-7000/100000</f>
        <v>-7.0000000000000007E-2</v>
      </c>
      <c r="N9" s="313">
        <f t="shared" si="2"/>
        <v>1.1399999999999997</v>
      </c>
      <c r="O9" s="581">
        <f t="shared" si="3"/>
        <v>1</v>
      </c>
      <c r="S9" s="313" t="str">
        <f t="shared" si="4"/>
        <v/>
      </c>
      <c r="T9" s="581">
        <f t="shared" si="5"/>
        <v>43466</v>
      </c>
      <c r="U9" s="2">
        <v>43490</v>
      </c>
      <c r="V9" t="s">
        <v>887</v>
      </c>
      <c r="W9" s="313">
        <v>-3000</v>
      </c>
      <c r="X9" s="313">
        <f t="shared" si="6"/>
        <v>17005.8</v>
      </c>
      <c r="Y9" s="581">
        <f t="shared" si="7"/>
        <v>43221</v>
      </c>
      <c r="Z9" s="2">
        <v>43223</v>
      </c>
      <c r="AA9" t="s">
        <v>684</v>
      </c>
      <c r="AB9" s="313">
        <f>-400000/100000</f>
        <v>-4</v>
      </c>
      <c r="AC9" s="313">
        <f t="shared" si="8"/>
        <v>13.93</v>
      </c>
      <c r="AD9" s="581">
        <f t="shared" si="9"/>
        <v>43221</v>
      </c>
      <c r="AE9" s="2">
        <v>43242</v>
      </c>
      <c r="AF9" t="s">
        <v>672</v>
      </c>
      <c r="AG9" s="313">
        <f>-350000/100000</f>
        <v>-3.5</v>
      </c>
      <c r="AH9" s="313">
        <f t="shared" si="10"/>
        <v>4.9000000000000004</v>
      </c>
      <c r="AI9" s="581">
        <f t="shared" si="11"/>
        <v>43282</v>
      </c>
      <c r="AJ9" s="2">
        <v>43284</v>
      </c>
      <c r="AK9" t="s">
        <v>707</v>
      </c>
      <c r="AL9" s="313">
        <f>-625000/100000</f>
        <v>-6.25</v>
      </c>
      <c r="AM9" s="313">
        <f t="shared" si="12"/>
        <v>45.35</v>
      </c>
      <c r="AN9" s="581">
        <f t="shared" si="13"/>
        <v>43313</v>
      </c>
      <c r="AO9" s="2">
        <v>43319</v>
      </c>
      <c r="AP9" t="s">
        <v>788</v>
      </c>
      <c r="AQ9" s="313">
        <f>-800000/100000</f>
        <v>-8</v>
      </c>
      <c r="AR9" s="313">
        <f t="shared" si="14"/>
        <v>101.55</v>
      </c>
      <c r="AS9" s="581">
        <f t="shared" si="15"/>
        <v>1</v>
      </c>
      <c r="AW9" s="313" t="str">
        <f t="shared" si="16"/>
        <v/>
      </c>
    </row>
    <row r="10" spans="1:49" x14ac:dyDescent="0.25">
      <c r="A10" s="6" t="s">
        <v>280</v>
      </c>
      <c r="B10" t="s">
        <v>282</v>
      </c>
      <c r="C10" t="s">
        <v>58</v>
      </c>
      <c r="D10" s="313">
        <f>LOOKUP(100000000000000000000,1/(AC:AC&lt;&gt;""),AC:AC)</f>
        <v>35.979999999999997</v>
      </c>
      <c r="E10" s="581">
        <f t="shared" si="0"/>
        <v>42917</v>
      </c>
      <c r="F10" s="2">
        <v>42917</v>
      </c>
      <c r="G10" s="6" t="s">
        <v>473</v>
      </c>
      <c r="H10" s="313">
        <f>-26000/100000</f>
        <v>-0.26</v>
      </c>
      <c r="I10" s="313">
        <f t="shared" si="17"/>
        <v>1.39</v>
      </c>
      <c r="J10" s="581">
        <f t="shared" si="1"/>
        <v>42948</v>
      </c>
      <c r="K10" s="2">
        <v>42953</v>
      </c>
      <c r="L10" s="6" t="s">
        <v>514</v>
      </c>
      <c r="M10" s="313">
        <f>-35000/100000</f>
        <v>-0.35</v>
      </c>
      <c r="N10" s="313">
        <f t="shared" si="2"/>
        <v>0.7899999999999997</v>
      </c>
      <c r="O10" s="581">
        <f t="shared" si="3"/>
        <v>1</v>
      </c>
      <c r="S10" s="313" t="str">
        <f t="shared" si="4"/>
        <v/>
      </c>
      <c r="T10" s="581">
        <f t="shared" si="5"/>
        <v>43497</v>
      </c>
      <c r="U10" s="2">
        <v>43510</v>
      </c>
      <c r="V10" t="s">
        <v>897</v>
      </c>
      <c r="W10" s="313">
        <v>-3000</v>
      </c>
      <c r="X10" s="313">
        <f t="shared" si="6"/>
        <v>14005.8</v>
      </c>
      <c r="Y10" s="581">
        <f t="shared" si="7"/>
        <v>43221</v>
      </c>
      <c r="Z10" s="2">
        <v>43237</v>
      </c>
      <c r="AA10" t="s">
        <v>1215</v>
      </c>
      <c r="AB10" s="313">
        <f>450000/100000</f>
        <v>4.5</v>
      </c>
      <c r="AC10" s="313">
        <f t="shared" si="8"/>
        <v>18.43</v>
      </c>
      <c r="AD10" s="581">
        <f t="shared" si="9"/>
        <v>43221</v>
      </c>
      <c r="AE10" s="2">
        <v>43250</v>
      </c>
      <c r="AF10" t="s">
        <v>1231</v>
      </c>
      <c r="AG10" s="313">
        <f>570000/100000</f>
        <v>5.7</v>
      </c>
      <c r="AH10" s="313">
        <f t="shared" si="10"/>
        <v>10.6</v>
      </c>
      <c r="AI10" s="581">
        <f t="shared" si="11"/>
        <v>43282</v>
      </c>
      <c r="AJ10" s="2">
        <v>43284</v>
      </c>
      <c r="AK10" t="s">
        <v>750</v>
      </c>
      <c r="AL10" s="313">
        <f>-1000000/100000</f>
        <v>-10</v>
      </c>
      <c r="AM10" s="313">
        <f t="shared" si="12"/>
        <v>35.35</v>
      </c>
      <c r="AN10" s="581">
        <f t="shared" si="13"/>
        <v>43525</v>
      </c>
      <c r="AO10" s="2">
        <v>43538</v>
      </c>
      <c r="AP10" t="s">
        <v>1232</v>
      </c>
      <c r="AQ10" s="313">
        <v>6000</v>
      </c>
      <c r="AR10" s="313">
        <f t="shared" si="14"/>
        <v>6101.55</v>
      </c>
      <c r="AS10" s="581">
        <f t="shared" si="15"/>
        <v>1</v>
      </c>
      <c r="AW10" s="313" t="str">
        <f t="shared" si="16"/>
        <v/>
      </c>
    </row>
    <row r="11" spans="1:49" x14ac:dyDescent="0.25">
      <c r="A11" t="s">
        <v>36</v>
      </c>
      <c r="B11" t="s">
        <v>38</v>
      </c>
      <c r="C11" t="s">
        <v>37</v>
      </c>
      <c r="D11" s="313">
        <f>LOOKUP(100000000000000000000,1/(AH:AH&lt;&gt;""),AH:AH)</f>
        <v>0</v>
      </c>
      <c r="E11" s="581">
        <f t="shared" si="0"/>
        <v>42917</v>
      </c>
      <c r="F11" s="2">
        <v>42934</v>
      </c>
      <c r="G11" t="s">
        <v>499</v>
      </c>
      <c r="H11" s="313">
        <f>-9000/100000</f>
        <v>-0.09</v>
      </c>
      <c r="I11" s="313">
        <f t="shared" si="17"/>
        <v>1.2999999999999998</v>
      </c>
      <c r="J11" s="581">
        <f t="shared" si="1"/>
        <v>42979</v>
      </c>
      <c r="K11" s="2">
        <v>42979</v>
      </c>
      <c r="L11" s="6" t="s">
        <v>528</v>
      </c>
      <c r="M11" s="313">
        <f>-35000/100000</f>
        <v>-0.35</v>
      </c>
      <c r="N11" s="313">
        <f t="shared" si="2"/>
        <v>0.43999999999999972</v>
      </c>
      <c r="O11" s="581">
        <f t="shared" si="3"/>
        <v>1</v>
      </c>
      <c r="S11" s="313" t="str">
        <f t="shared" si="4"/>
        <v/>
      </c>
      <c r="T11" s="581">
        <f t="shared" si="5"/>
        <v>43525</v>
      </c>
      <c r="U11" s="2">
        <v>43536</v>
      </c>
      <c r="V11" t="s">
        <v>909</v>
      </c>
      <c r="W11" s="313">
        <v>-3000</v>
      </c>
      <c r="X11" s="313">
        <f t="shared" si="6"/>
        <v>11005.8</v>
      </c>
      <c r="Y11" s="581">
        <f t="shared" si="7"/>
        <v>43221</v>
      </c>
      <c r="Z11" s="2">
        <v>43242</v>
      </c>
      <c r="AA11" t="s">
        <v>672</v>
      </c>
      <c r="AB11" s="313">
        <f>-350000/100000</f>
        <v>-3.5</v>
      </c>
      <c r="AC11" s="313">
        <f t="shared" si="8"/>
        <v>14.93</v>
      </c>
      <c r="AD11" s="581">
        <f t="shared" si="9"/>
        <v>43252</v>
      </c>
      <c r="AE11" s="2">
        <v>43257</v>
      </c>
      <c r="AF11" t="s">
        <v>707</v>
      </c>
      <c r="AG11" s="313">
        <f>-400000/100000</f>
        <v>-4</v>
      </c>
      <c r="AH11" s="313">
        <f t="shared" si="10"/>
        <v>6.6</v>
      </c>
      <c r="AI11" s="581">
        <f t="shared" si="11"/>
        <v>43282</v>
      </c>
      <c r="AJ11" s="2">
        <v>43291</v>
      </c>
      <c r="AK11" s="6" t="s">
        <v>744</v>
      </c>
      <c r="AL11" s="313">
        <f>-1220000/100000</f>
        <v>-12.2</v>
      </c>
      <c r="AM11" s="313">
        <f t="shared" si="12"/>
        <v>23.15</v>
      </c>
      <c r="AN11" s="581">
        <f t="shared" si="13"/>
        <v>43525</v>
      </c>
      <c r="AO11" s="2">
        <v>43539</v>
      </c>
      <c r="AP11" t="s">
        <v>1233</v>
      </c>
      <c r="AQ11" s="313">
        <v>4</v>
      </c>
      <c r="AR11" s="313">
        <f t="shared" si="14"/>
        <v>6105.55</v>
      </c>
      <c r="AS11" s="581">
        <f t="shared" si="15"/>
        <v>1</v>
      </c>
      <c r="AW11" s="313" t="str">
        <f t="shared" si="16"/>
        <v/>
      </c>
    </row>
    <row r="12" spans="1:49" x14ac:dyDescent="0.25">
      <c r="A12" s="6" t="s">
        <v>219</v>
      </c>
      <c r="B12" t="s">
        <v>221</v>
      </c>
      <c r="C12" t="s">
        <v>220</v>
      </c>
      <c r="D12" s="313">
        <f>LOOKUP(100000000000000000000,1/(AM:AM&lt;&gt;""),AM:AM)</f>
        <v>200</v>
      </c>
      <c r="E12" s="581">
        <f t="shared" si="0"/>
        <v>42948</v>
      </c>
      <c r="F12" s="2">
        <v>42953</v>
      </c>
      <c r="G12" s="6" t="s">
        <v>514</v>
      </c>
      <c r="H12" s="313">
        <f>-35000/100000</f>
        <v>-0.35</v>
      </c>
      <c r="I12" s="313">
        <f t="shared" si="17"/>
        <v>0.94999999999999984</v>
      </c>
      <c r="J12" s="581">
        <f t="shared" si="1"/>
        <v>43009</v>
      </c>
      <c r="K12" s="2">
        <v>43013</v>
      </c>
      <c r="L12" s="6" t="s">
        <v>545</v>
      </c>
      <c r="M12" s="313">
        <f>-35000/100000</f>
        <v>-0.35</v>
      </c>
      <c r="N12" s="313">
        <f t="shared" si="2"/>
        <v>8.9999999999999747E-2</v>
      </c>
      <c r="O12" s="581">
        <f t="shared" si="3"/>
        <v>1</v>
      </c>
      <c r="S12" s="313" t="str">
        <f t="shared" si="4"/>
        <v/>
      </c>
      <c r="T12" s="581">
        <f t="shared" si="5"/>
        <v>43556</v>
      </c>
      <c r="U12" s="2">
        <v>43571</v>
      </c>
      <c r="V12" t="s">
        <v>917</v>
      </c>
      <c r="W12" s="313">
        <v>-5000</v>
      </c>
      <c r="X12" s="313">
        <f t="shared" si="6"/>
        <v>6005.8</v>
      </c>
      <c r="Y12" s="581">
        <f t="shared" si="7"/>
        <v>43221</v>
      </c>
      <c r="Z12" s="2">
        <v>43245</v>
      </c>
      <c r="AA12" t="s">
        <v>1215</v>
      </c>
      <c r="AB12" s="313">
        <f>500000/100000</f>
        <v>5</v>
      </c>
      <c r="AC12" s="313">
        <f t="shared" si="8"/>
        <v>19.93</v>
      </c>
      <c r="AD12" s="581">
        <f t="shared" si="9"/>
        <v>43252</v>
      </c>
      <c r="AE12" s="2">
        <v>43279</v>
      </c>
      <c r="AF12" t="s">
        <v>742</v>
      </c>
      <c r="AG12" s="313">
        <f>-225000/100000</f>
        <v>-2.25</v>
      </c>
      <c r="AH12" s="313">
        <f t="shared" si="10"/>
        <v>4.3499999999999996</v>
      </c>
      <c r="AI12" s="581">
        <f t="shared" si="11"/>
        <v>43313</v>
      </c>
      <c r="AJ12" s="2">
        <v>43313</v>
      </c>
      <c r="AK12" t="s">
        <v>1225</v>
      </c>
      <c r="AL12" s="313">
        <f>-1200000/100000</f>
        <v>-12</v>
      </c>
      <c r="AM12" s="313">
        <f t="shared" si="12"/>
        <v>11.15</v>
      </c>
      <c r="AN12" s="581">
        <f t="shared" si="13"/>
        <v>43525</v>
      </c>
      <c r="AO12" s="2">
        <v>43539</v>
      </c>
      <c r="AP12" t="s">
        <v>1234</v>
      </c>
      <c r="AQ12" s="313">
        <f>-(320*3+800+3000)</f>
        <v>-4760</v>
      </c>
      <c r="AR12" s="313">
        <f t="shared" si="14"/>
        <v>1345.55</v>
      </c>
      <c r="AS12" s="581">
        <f t="shared" si="15"/>
        <v>1</v>
      </c>
      <c r="AW12" s="313" t="str">
        <f t="shared" si="16"/>
        <v/>
      </c>
    </row>
    <row r="13" spans="1:49" x14ac:dyDescent="0.25">
      <c r="D13" s="313"/>
      <c r="E13" s="581">
        <f t="shared" si="0"/>
        <v>42979</v>
      </c>
      <c r="F13" s="2">
        <v>42979</v>
      </c>
      <c r="G13" s="6" t="s">
        <v>528</v>
      </c>
      <c r="H13" s="313">
        <f>-35000/100000</f>
        <v>-0.35</v>
      </c>
      <c r="I13" s="313">
        <f t="shared" si="17"/>
        <v>0.59999999999999987</v>
      </c>
      <c r="J13" s="581">
        <f t="shared" si="1"/>
        <v>43009</v>
      </c>
      <c r="K13" s="2">
        <v>43017</v>
      </c>
      <c r="L13" t="s">
        <v>1215</v>
      </c>
      <c r="M13" s="313">
        <f>156000/100000</f>
        <v>1.56</v>
      </c>
      <c r="N13" s="313">
        <f t="shared" si="2"/>
        <v>1.65</v>
      </c>
      <c r="O13" s="581">
        <f t="shared" si="3"/>
        <v>1</v>
      </c>
      <c r="S13" s="313" t="str">
        <f t="shared" si="4"/>
        <v/>
      </c>
      <c r="T13" s="581">
        <f t="shared" si="5"/>
        <v>43586</v>
      </c>
      <c r="U13" s="2">
        <v>43610</v>
      </c>
      <c r="V13" t="s">
        <v>1235</v>
      </c>
      <c r="W13" s="313">
        <v>50000</v>
      </c>
      <c r="X13" s="313">
        <f t="shared" si="6"/>
        <v>56005.8</v>
      </c>
      <c r="Y13" s="581">
        <f t="shared" si="7"/>
        <v>43252</v>
      </c>
      <c r="Z13" s="2">
        <v>43257</v>
      </c>
      <c r="AA13" t="s">
        <v>707</v>
      </c>
      <c r="AB13" s="313">
        <f>-400000/100000</f>
        <v>-4</v>
      </c>
      <c r="AC13" s="313">
        <f t="shared" si="8"/>
        <v>15.93</v>
      </c>
      <c r="AD13" s="581">
        <f t="shared" si="9"/>
        <v>43282</v>
      </c>
      <c r="AE13" s="2">
        <v>43284</v>
      </c>
      <c r="AF13" t="s">
        <v>1236</v>
      </c>
      <c r="AG13" s="313">
        <f>400000/100000</f>
        <v>4</v>
      </c>
      <c r="AH13" s="313">
        <f t="shared" si="10"/>
        <v>8.35</v>
      </c>
      <c r="AI13" s="581">
        <f t="shared" si="11"/>
        <v>43344</v>
      </c>
      <c r="AJ13" s="2">
        <v>43368</v>
      </c>
      <c r="AK13" t="s">
        <v>1215</v>
      </c>
      <c r="AL13" s="313">
        <v>320</v>
      </c>
      <c r="AM13" s="313">
        <f t="shared" si="12"/>
        <v>331.15</v>
      </c>
      <c r="AN13" s="581">
        <f t="shared" si="13"/>
        <v>43556</v>
      </c>
      <c r="AO13" s="2">
        <v>43570</v>
      </c>
      <c r="AP13" t="s">
        <v>1237</v>
      </c>
      <c r="AQ13" s="313">
        <v>2000</v>
      </c>
      <c r="AR13" s="313">
        <f t="shared" si="14"/>
        <v>3345.55</v>
      </c>
      <c r="AS13" s="581">
        <f t="shared" si="15"/>
        <v>1</v>
      </c>
      <c r="AW13" s="313" t="str">
        <f t="shared" si="16"/>
        <v/>
      </c>
    </row>
    <row r="14" spans="1:49" x14ac:dyDescent="0.25">
      <c r="D14" s="313"/>
      <c r="E14" s="581">
        <f t="shared" si="0"/>
        <v>42979</v>
      </c>
      <c r="F14" s="2">
        <v>42999</v>
      </c>
      <c r="G14" s="6" t="s">
        <v>1215</v>
      </c>
      <c r="H14" s="313">
        <f>45000/100000</f>
        <v>0.45</v>
      </c>
      <c r="I14" s="313">
        <f t="shared" si="17"/>
        <v>1.0499999999999998</v>
      </c>
      <c r="J14" s="581">
        <f t="shared" si="1"/>
        <v>43040</v>
      </c>
      <c r="K14" s="2">
        <v>43046</v>
      </c>
      <c r="L14" s="6" t="s">
        <v>561</v>
      </c>
      <c r="M14" s="313">
        <f>-50000/100000</f>
        <v>-0.5</v>
      </c>
      <c r="N14" s="313">
        <f t="shared" si="2"/>
        <v>1.1499999999999999</v>
      </c>
      <c r="O14" s="581">
        <f t="shared" si="3"/>
        <v>1</v>
      </c>
      <c r="S14" s="313" t="str">
        <f t="shared" si="4"/>
        <v/>
      </c>
      <c r="T14" s="581">
        <f t="shared" si="5"/>
        <v>43586</v>
      </c>
      <c r="U14" s="2">
        <v>43610</v>
      </c>
      <c r="V14" t="s">
        <v>970</v>
      </c>
      <c r="W14" s="313">
        <v>-10000</v>
      </c>
      <c r="X14" s="313">
        <f t="shared" si="6"/>
        <v>46005.8</v>
      </c>
      <c r="Y14" s="581">
        <f t="shared" si="7"/>
        <v>43252</v>
      </c>
      <c r="Z14" s="2">
        <v>43279</v>
      </c>
      <c r="AA14" t="s">
        <v>742</v>
      </c>
      <c r="AB14" s="313">
        <f>-225000/100000</f>
        <v>-2.25</v>
      </c>
      <c r="AC14" s="313">
        <f t="shared" si="8"/>
        <v>13.68</v>
      </c>
      <c r="AD14" s="581">
        <f t="shared" si="9"/>
        <v>43282</v>
      </c>
      <c r="AE14" s="2">
        <v>43291</v>
      </c>
      <c r="AF14" t="s">
        <v>1238</v>
      </c>
      <c r="AG14" s="313">
        <f>-835000/100000</f>
        <v>-8.35</v>
      </c>
      <c r="AH14" s="313">
        <f t="shared" si="10"/>
        <v>0</v>
      </c>
      <c r="AI14" s="581">
        <f t="shared" si="11"/>
        <v>43344</v>
      </c>
      <c r="AJ14" s="2">
        <v>43368</v>
      </c>
      <c r="AK14" t="s">
        <v>810</v>
      </c>
      <c r="AL14" s="313">
        <v>-320</v>
      </c>
      <c r="AM14" s="313">
        <f t="shared" si="12"/>
        <v>11.15</v>
      </c>
      <c r="AN14" s="581">
        <f t="shared" si="13"/>
        <v>43556</v>
      </c>
      <c r="AO14" s="2">
        <v>43573</v>
      </c>
      <c r="AP14" t="s">
        <v>897</v>
      </c>
      <c r="AQ14" s="313">
        <v>-3000</v>
      </c>
      <c r="AR14" s="313">
        <f t="shared" si="14"/>
        <v>345.55</v>
      </c>
      <c r="AS14" s="581">
        <f t="shared" si="15"/>
        <v>1</v>
      </c>
      <c r="AW14" s="313" t="str">
        <f t="shared" si="16"/>
        <v/>
      </c>
    </row>
    <row r="15" spans="1:49" x14ac:dyDescent="0.25">
      <c r="D15" s="313"/>
      <c r="E15" s="581">
        <f t="shared" si="0"/>
        <v>43009</v>
      </c>
      <c r="F15" s="2">
        <v>43013</v>
      </c>
      <c r="G15" s="6" t="s">
        <v>545</v>
      </c>
      <c r="H15" s="313">
        <f>-35000/100000</f>
        <v>-0.35</v>
      </c>
      <c r="I15" s="313">
        <f t="shared" si="17"/>
        <v>0.69999999999999984</v>
      </c>
      <c r="J15" s="581">
        <f t="shared" si="1"/>
        <v>43070</v>
      </c>
      <c r="K15" s="2">
        <v>43074</v>
      </c>
      <c r="L15" s="6" t="s">
        <v>575</v>
      </c>
      <c r="M15" s="313">
        <f>-50000/100000</f>
        <v>-0.5</v>
      </c>
      <c r="N15" s="313">
        <f t="shared" si="2"/>
        <v>0.64999999999999991</v>
      </c>
      <c r="O15" s="581">
        <f t="shared" si="3"/>
        <v>1</v>
      </c>
      <c r="S15" s="313" t="str">
        <f t="shared" si="4"/>
        <v/>
      </c>
      <c r="T15" s="581">
        <f t="shared" si="5"/>
        <v>43617</v>
      </c>
      <c r="U15" s="2">
        <v>43623</v>
      </c>
      <c r="V15" t="s">
        <v>986</v>
      </c>
      <c r="W15" s="313">
        <v>-10000</v>
      </c>
      <c r="X15" s="313">
        <f t="shared" si="6"/>
        <v>36005.800000000003</v>
      </c>
      <c r="Y15" s="581">
        <f t="shared" si="7"/>
        <v>43252</v>
      </c>
      <c r="Z15" s="2">
        <v>43280</v>
      </c>
      <c r="AA15" t="s">
        <v>1215</v>
      </c>
      <c r="AB15" s="313">
        <f>1150000/100000</f>
        <v>11.5</v>
      </c>
      <c r="AC15" s="313">
        <f t="shared" si="8"/>
        <v>25.18</v>
      </c>
      <c r="AD15" s="581">
        <f t="shared" si="9"/>
        <v>43282</v>
      </c>
      <c r="AE15" s="2">
        <v>43302</v>
      </c>
      <c r="AF15" t="s">
        <v>1239</v>
      </c>
      <c r="AG15" s="313">
        <f>960000/100000</f>
        <v>9.6</v>
      </c>
      <c r="AH15" s="313">
        <f t="shared" si="10"/>
        <v>9.6</v>
      </c>
      <c r="AI15" s="581">
        <f t="shared" si="11"/>
        <v>43405</v>
      </c>
      <c r="AJ15" s="2">
        <v>43406</v>
      </c>
      <c r="AK15" t="s">
        <v>1215</v>
      </c>
      <c r="AL15" s="313">
        <v>320</v>
      </c>
      <c r="AM15" s="313">
        <f t="shared" si="12"/>
        <v>331.15</v>
      </c>
      <c r="AN15" s="581">
        <f t="shared" si="13"/>
        <v>43556</v>
      </c>
      <c r="AO15" s="2">
        <v>43577</v>
      </c>
      <c r="AP15" t="s">
        <v>1240</v>
      </c>
      <c r="AQ15" s="313">
        <v>2020</v>
      </c>
      <c r="AR15" s="313">
        <f t="shared" si="14"/>
        <v>2365.5500000000002</v>
      </c>
      <c r="AS15" s="581">
        <f t="shared" si="15"/>
        <v>1</v>
      </c>
      <c r="AW15" s="313" t="str">
        <f t="shared" si="16"/>
        <v/>
      </c>
    </row>
    <row r="16" spans="1:49" x14ac:dyDescent="0.25">
      <c r="D16" s="313"/>
      <c r="E16" s="581">
        <f t="shared" si="0"/>
        <v>43040</v>
      </c>
      <c r="F16" s="2">
        <v>43046</v>
      </c>
      <c r="G16" s="6" t="s">
        <v>561</v>
      </c>
      <c r="H16" s="313">
        <f>-50000/100000</f>
        <v>-0.5</v>
      </c>
      <c r="I16" s="313">
        <f t="shared" si="17"/>
        <v>0.19999999999999984</v>
      </c>
      <c r="J16" s="581">
        <f t="shared" si="1"/>
        <v>43101</v>
      </c>
      <c r="K16" s="2">
        <v>43118</v>
      </c>
      <c r="L16" t="s">
        <v>1215</v>
      </c>
      <c r="M16" s="313">
        <f>960000/100000</f>
        <v>9.6</v>
      </c>
      <c r="N16" s="313">
        <f t="shared" si="2"/>
        <v>10.25</v>
      </c>
      <c r="O16" s="581">
        <f t="shared" si="3"/>
        <v>1</v>
      </c>
      <c r="S16" s="313" t="str">
        <f t="shared" si="4"/>
        <v/>
      </c>
      <c r="T16" s="581">
        <f t="shared" si="5"/>
        <v>43647</v>
      </c>
      <c r="U16" s="2">
        <v>43656</v>
      </c>
      <c r="V16" t="s">
        <v>1007</v>
      </c>
      <c r="W16" s="313">
        <v>-10000</v>
      </c>
      <c r="X16" s="313">
        <f t="shared" si="6"/>
        <v>26005.8</v>
      </c>
      <c r="Y16" s="581">
        <f t="shared" si="7"/>
        <v>43282</v>
      </c>
      <c r="Z16" s="2">
        <v>43285</v>
      </c>
      <c r="AA16" t="s">
        <v>750</v>
      </c>
      <c r="AB16" s="313">
        <f>-1000000/100000</f>
        <v>-10</v>
      </c>
      <c r="AC16" s="313">
        <f t="shared" si="8"/>
        <v>15.18</v>
      </c>
      <c r="AD16" s="581">
        <f t="shared" si="9"/>
        <v>43313</v>
      </c>
      <c r="AE16" s="2">
        <v>43319</v>
      </c>
      <c r="AF16" t="s">
        <v>1241</v>
      </c>
      <c r="AG16" s="313">
        <f>1400000/100000</f>
        <v>14</v>
      </c>
      <c r="AH16" s="313">
        <f t="shared" si="10"/>
        <v>23.6</v>
      </c>
      <c r="AI16" s="581">
        <f t="shared" si="11"/>
        <v>43405</v>
      </c>
      <c r="AJ16" s="2">
        <v>43406</v>
      </c>
      <c r="AK16" t="s">
        <v>823</v>
      </c>
      <c r="AL16" s="313">
        <v>-320</v>
      </c>
      <c r="AM16" s="313">
        <f t="shared" si="12"/>
        <v>11.15</v>
      </c>
      <c r="AN16" s="581">
        <f t="shared" si="13"/>
        <v>43556</v>
      </c>
      <c r="AO16" s="2">
        <v>43577</v>
      </c>
      <c r="AP16" t="s">
        <v>928</v>
      </c>
      <c r="AQ16" s="313">
        <v>-2365.5500000000002</v>
      </c>
      <c r="AR16" s="313">
        <f t="shared" si="14"/>
        <v>0</v>
      </c>
      <c r="AS16" s="581">
        <f t="shared" si="15"/>
        <v>1</v>
      </c>
      <c r="AW16" s="313" t="str">
        <f t="shared" si="16"/>
        <v/>
      </c>
    </row>
    <row r="17" spans="4:49" x14ac:dyDescent="0.25">
      <c r="D17" s="313"/>
      <c r="E17" s="581">
        <f t="shared" si="0"/>
        <v>43070</v>
      </c>
      <c r="F17" s="2">
        <v>43074</v>
      </c>
      <c r="G17" s="6" t="s">
        <v>1215</v>
      </c>
      <c r="H17" s="313">
        <f>80000/100000</f>
        <v>0.8</v>
      </c>
      <c r="I17" s="313">
        <f t="shared" si="17"/>
        <v>0.99999999999999989</v>
      </c>
      <c r="J17" s="581">
        <f t="shared" si="1"/>
        <v>43101</v>
      </c>
      <c r="K17" s="2">
        <v>43118</v>
      </c>
      <c r="L17" s="6" t="s">
        <v>600</v>
      </c>
      <c r="M17" s="313">
        <f>-80000/100000</f>
        <v>-0.8</v>
      </c>
      <c r="N17" s="313">
        <f t="shared" si="2"/>
        <v>9.4499999999999993</v>
      </c>
      <c r="O17" s="581">
        <f t="shared" si="3"/>
        <v>1</v>
      </c>
      <c r="S17" s="313" t="str">
        <f t="shared" si="4"/>
        <v/>
      </c>
      <c r="T17" s="581">
        <f t="shared" si="5"/>
        <v>43678</v>
      </c>
      <c r="U17" s="2">
        <v>43682</v>
      </c>
      <c r="V17" t="s">
        <v>1026</v>
      </c>
      <c r="W17" s="313">
        <v>-10000</v>
      </c>
      <c r="X17" s="313">
        <f t="shared" si="6"/>
        <v>16005.8</v>
      </c>
      <c r="Y17" s="581">
        <f t="shared" si="7"/>
        <v>43282</v>
      </c>
      <c r="Z17" s="2">
        <v>43288</v>
      </c>
      <c r="AA17" t="s">
        <v>1215</v>
      </c>
      <c r="AB17" s="313">
        <f>2000000/100000</f>
        <v>20</v>
      </c>
      <c r="AC17" s="313">
        <f t="shared" si="8"/>
        <v>35.18</v>
      </c>
      <c r="AD17" s="581">
        <f t="shared" si="9"/>
        <v>43313</v>
      </c>
      <c r="AE17" s="2">
        <v>43324</v>
      </c>
      <c r="AF17" t="s">
        <v>1225</v>
      </c>
      <c r="AG17" s="313">
        <f>-1200000/100000</f>
        <v>-12</v>
      </c>
      <c r="AH17" s="313">
        <f t="shared" si="10"/>
        <v>11.6</v>
      </c>
      <c r="AI17" s="581">
        <f t="shared" si="11"/>
        <v>43435</v>
      </c>
      <c r="AJ17" s="2">
        <v>43447</v>
      </c>
      <c r="AK17" t="s">
        <v>1215</v>
      </c>
      <c r="AL17" s="313">
        <v>1120</v>
      </c>
      <c r="AM17" s="313">
        <f t="shared" si="12"/>
        <v>1131.1500000000001</v>
      </c>
      <c r="AN17" s="581">
        <f t="shared" si="13"/>
        <v>1</v>
      </c>
      <c r="AR17" s="313" t="str">
        <f t="shared" si="14"/>
        <v/>
      </c>
      <c r="AS17" s="581">
        <f t="shared" si="15"/>
        <v>1</v>
      </c>
      <c r="AW17" s="313" t="str">
        <f t="shared" si="16"/>
        <v/>
      </c>
    </row>
    <row r="18" spans="4:49" x14ac:dyDescent="0.25">
      <c r="D18" s="313"/>
      <c r="E18" s="581">
        <f t="shared" si="0"/>
        <v>43070</v>
      </c>
      <c r="F18" s="2">
        <v>43074</v>
      </c>
      <c r="G18" s="6" t="s">
        <v>1215</v>
      </c>
      <c r="H18" s="313">
        <f>550000/100000</f>
        <v>5.5</v>
      </c>
      <c r="I18" s="313">
        <f t="shared" si="17"/>
        <v>6.5</v>
      </c>
      <c r="J18" s="581">
        <f t="shared" si="1"/>
        <v>43132</v>
      </c>
      <c r="K18" s="2">
        <v>43136</v>
      </c>
      <c r="L18" t="s">
        <v>616</v>
      </c>
      <c r="M18" s="313">
        <f>-80000/100000</f>
        <v>-0.8</v>
      </c>
      <c r="N18" s="313">
        <f t="shared" si="2"/>
        <v>8.6499999999999986</v>
      </c>
      <c r="O18" s="581">
        <f t="shared" si="3"/>
        <v>1</v>
      </c>
      <c r="Q18" s="6"/>
      <c r="S18" s="313" t="str">
        <f t="shared" si="4"/>
        <v/>
      </c>
      <c r="T18" s="581">
        <f t="shared" si="5"/>
        <v>43709</v>
      </c>
      <c r="U18" s="2">
        <v>43726</v>
      </c>
      <c r="V18" t="s">
        <v>1242</v>
      </c>
      <c r="W18" s="313">
        <v>50000</v>
      </c>
      <c r="X18" s="313">
        <f t="shared" si="6"/>
        <v>66005.8</v>
      </c>
      <c r="Y18" s="581">
        <f t="shared" si="7"/>
        <v>43282</v>
      </c>
      <c r="Z18" s="2">
        <v>43290</v>
      </c>
      <c r="AA18" s="6" t="s">
        <v>744</v>
      </c>
      <c r="AB18" s="313">
        <f>-1220000/100000</f>
        <v>-12.2</v>
      </c>
      <c r="AC18" s="313">
        <f t="shared" si="8"/>
        <v>22.98</v>
      </c>
      <c r="AD18" s="581">
        <f t="shared" si="9"/>
        <v>43344</v>
      </c>
      <c r="AE18" s="2">
        <v>43348</v>
      </c>
      <c r="AF18" t="s">
        <v>1228</v>
      </c>
      <c r="AG18" s="313">
        <v>-11.6</v>
      </c>
      <c r="AH18" s="313">
        <f t="shared" si="10"/>
        <v>0</v>
      </c>
      <c r="AI18" s="581">
        <f t="shared" si="11"/>
        <v>43435</v>
      </c>
      <c r="AJ18" s="2">
        <v>43447</v>
      </c>
      <c r="AK18" t="s">
        <v>851</v>
      </c>
      <c r="AL18" s="313">
        <f>-1120-11.15</f>
        <v>-1131.1500000000001</v>
      </c>
      <c r="AM18" s="313">
        <f t="shared" si="12"/>
        <v>0</v>
      </c>
      <c r="AN18" s="581">
        <f t="shared" si="13"/>
        <v>1</v>
      </c>
      <c r="AR18" s="313" t="str">
        <f t="shared" si="14"/>
        <v/>
      </c>
      <c r="AS18" s="581">
        <f t="shared" si="15"/>
        <v>1</v>
      </c>
      <c r="AW18" s="313" t="str">
        <f t="shared" si="16"/>
        <v/>
      </c>
    </row>
    <row r="19" spans="4:49" x14ac:dyDescent="0.25">
      <c r="D19" s="313"/>
      <c r="E19" s="581">
        <f t="shared" si="0"/>
        <v>43070</v>
      </c>
      <c r="F19" s="2">
        <v>43074</v>
      </c>
      <c r="G19" s="6" t="s">
        <v>575</v>
      </c>
      <c r="H19" s="313">
        <f>-50000/100000</f>
        <v>-0.5</v>
      </c>
      <c r="I19" s="313">
        <f t="shared" si="17"/>
        <v>6</v>
      </c>
      <c r="J19" s="581">
        <f t="shared" si="1"/>
        <v>43160</v>
      </c>
      <c r="K19" s="2">
        <v>43168</v>
      </c>
      <c r="L19" t="s">
        <v>630</v>
      </c>
      <c r="M19" s="313">
        <f>-140000/100000</f>
        <v>-1.4</v>
      </c>
      <c r="N19" s="313">
        <f t="shared" si="2"/>
        <v>7.2499999999999982</v>
      </c>
      <c r="O19" s="581">
        <f t="shared" si="3"/>
        <v>1</v>
      </c>
      <c r="S19" s="313" t="str">
        <f t="shared" si="4"/>
        <v/>
      </c>
      <c r="T19" s="581">
        <f t="shared" si="5"/>
        <v>43709</v>
      </c>
      <c r="U19" s="2">
        <v>43726</v>
      </c>
      <c r="V19" t="s">
        <v>1035</v>
      </c>
      <c r="W19" s="313">
        <v>-21600</v>
      </c>
      <c r="X19" s="313">
        <f t="shared" si="6"/>
        <v>44405.8</v>
      </c>
      <c r="Y19" s="581">
        <f t="shared" si="7"/>
        <v>43313</v>
      </c>
      <c r="Z19" s="2">
        <v>43313</v>
      </c>
      <c r="AA19" t="s">
        <v>1215</v>
      </c>
      <c r="AB19" s="313">
        <f>2500000/100000</f>
        <v>25</v>
      </c>
      <c r="AC19" s="313">
        <f t="shared" si="8"/>
        <v>47.98</v>
      </c>
      <c r="AD19" s="581">
        <f t="shared" si="9"/>
        <v>1</v>
      </c>
      <c r="AH19" s="313" t="str">
        <f t="shared" si="10"/>
        <v/>
      </c>
      <c r="AI19" s="581">
        <f t="shared" si="11"/>
        <v>43525</v>
      </c>
      <c r="AJ19" s="2">
        <v>43536</v>
      </c>
      <c r="AK19" t="s">
        <v>1243</v>
      </c>
      <c r="AL19" s="313">
        <v>20000</v>
      </c>
      <c r="AM19" s="313">
        <f t="shared" si="12"/>
        <v>20000</v>
      </c>
      <c r="AN19" s="581">
        <f t="shared" si="13"/>
        <v>1</v>
      </c>
      <c r="AR19" s="313" t="str">
        <f t="shared" si="14"/>
        <v/>
      </c>
      <c r="AS19" s="581">
        <f t="shared" si="15"/>
        <v>1</v>
      </c>
      <c r="AW19" s="313" t="str">
        <f t="shared" si="16"/>
        <v/>
      </c>
    </row>
    <row r="20" spans="4:49" x14ac:dyDescent="0.25">
      <c r="D20" s="313"/>
      <c r="E20" s="581">
        <f t="shared" si="0"/>
        <v>43101</v>
      </c>
      <c r="F20" s="2">
        <v>43103</v>
      </c>
      <c r="G20" s="6" t="s">
        <v>1215</v>
      </c>
      <c r="H20" s="313">
        <f>360000/100000</f>
        <v>3.6</v>
      </c>
      <c r="I20" s="313">
        <f t="shared" si="17"/>
        <v>9.6</v>
      </c>
      <c r="J20" s="581">
        <f t="shared" si="1"/>
        <v>43191</v>
      </c>
      <c r="K20" s="2">
        <v>43195</v>
      </c>
      <c r="L20" t="s">
        <v>668</v>
      </c>
      <c r="M20" s="313">
        <f>-140000/100000</f>
        <v>-1.4</v>
      </c>
      <c r="N20" s="313">
        <f t="shared" si="2"/>
        <v>5.8499999999999979</v>
      </c>
      <c r="O20" s="581">
        <f t="shared" si="3"/>
        <v>1</v>
      </c>
      <c r="S20" s="313" t="str">
        <f t="shared" si="4"/>
        <v/>
      </c>
      <c r="T20" s="581">
        <f t="shared" si="5"/>
        <v>43739</v>
      </c>
      <c r="U20" s="2">
        <v>43740</v>
      </c>
      <c r="V20" t="s">
        <v>1060</v>
      </c>
      <c r="W20" s="313">
        <v>-21100</v>
      </c>
      <c r="X20" s="313">
        <f t="shared" si="6"/>
        <v>23305.8</v>
      </c>
      <c r="Y20" s="581">
        <f t="shared" si="7"/>
        <v>43313</v>
      </c>
      <c r="Z20" s="2">
        <v>43313</v>
      </c>
      <c r="AA20" t="s">
        <v>1225</v>
      </c>
      <c r="AB20" s="313">
        <f>-1200000/100000</f>
        <v>-12</v>
      </c>
      <c r="AC20" s="313">
        <f t="shared" si="8"/>
        <v>35.979999999999997</v>
      </c>
      <c r="AD20" s="581">
        <f t="shared" si="9"/>
        <v>1</v>
      </c>
      <c r="AH20" s="313" t="str">
        <f t="shared" si="10"/>
        <v/>
      </c>
      <c r="AI20" s="581">
        <f t="shared" si="11"/>
        <v>43525</v>
      </c>
      <c r="AJ20" s="2">
        <v>43536</v>
      </c>
      <c r="AK20" t="s">
        <v>927</v>
      </c>
      <c r="AL20" s="313">
        <f>-3000*3</f>
        <v>-9000</v>
      </c>
      <c r="AM20" s="313">
        <f t="shared" si="12"/>
        <v>11000</v>
      </c>
      <c r="AN20" s="581">
        <f t="shared" si="13"/>
        <v>1</v>
      </c>
      <c r="AR20" s="313" t="str">
        <f t="shared" si="14"/>
        <v/>
      </c>
      <c r="AS20" s="581">
        <f t="shared" si="15"/>
        <v>1</v>
      </c>
      <c r="AW20" s="313" t="str">
        <f t="shared" si="16"/>
        <v/>
      </c>
    </row>
    <row r="21" spans="4:49" x14ac:dyDescent="0.25">
      <c r="E21" s="581">
        <f t="shared" si="0"/>
        <v>43101</v>
      </c>
      <c r="F21" s="2">
        <v>43110</v>
      </c>
      <c r="G21" t="s">
        <v>600</v>
      </c>
      <c r="H21" s="313">
        <f>-80000/100000</f>
        <v>-0.8</v>
      </c>
      <c r="I21" s="313">
        <f t="shared" si="17"/>
        <v>8.7999999999999989</v>
      </c>
      <c r="J21" s="581">
        <f t="shared" si="1"/>
        <v>43221</v>
      </c>
      <c r="K21" s="2">
        <v>43223</v>
      </c>
      <c r="L21" t="s">
        <v>684</v>
      </c>
      <c r="M21" s="313">
        <f>-400000/100000</f>
        <v>-4</v>
      </c>
      <c r="N21" s="313">
        <f t="shared" si="2"/>
        <v>1.8499999999999979</v>
      </c>
      <c r="O21" s="581">
        <f t="shared" si="3"/>
        <v>1</v>
      </c>
      <c r="S21" s="313" t="str">
        <f t="shared" si="4"/>
        <v/>
      </c>
      <c r="T21" s="581">
        <f t="shared" si="5"/>
        <v>43739</v>
      </c>
      <c r="U21" s="2">
        <v>43759</v>
      </c>
      <c r="V21" t="s">
        <v>1244</v>
      </c>
      <c r="W21" s="313">
        <v>200000</v>
      </c>
      <c r="X21" s="313">
        <f t="shared" si="6"/>
        <v>223305.8</v>
      </c>
      <c r="Y21" s="581">
        <f t="shared" si="7"/>
        <v>1</v>
      </c>
      <c r="AC21" s="313" t="str">
        <f t="shared" si="8"/>
        <v/>
      </c>
      <c r="AD21" s="581">
        <f t="shared" si="9"/>
        <v>1</v>
      </c>
      <c r="AH21" s="313" t="str">
        <f t="shared" si="10"/>
        <v/>
      </c>
      <c r="AI21" s="581">
        <f t="shared" si="11"/>
        <v>43556</v>
      </c>
      <c r="AJ21" s="2">
        <v>43571</v>
      </c>
      <c r="AK21" t="s">
        <v>917</v>
      </c>
      <c r="AL21" s="313">
        <v>-5000</v>
      </c>
      <c r="AM21" s="313">
        <f t="shared" si="12"/>
        <v>6000</v>
      </c>
      <c r="AN21" s="581">
        <f t="shared" si="13"/>
        <v>1</v>
      </c>
      <c r="AR21" s="313" t="str">
        <f t="shared" si="14"/>
        <v/>
      </c>
      <c r="AS21" s="581">
        <f t="shared" si="15"/>
        <v>1</v>
      </c>
      <c r="AW21" s="313" t="str">
        <f t="shared" si="16"/>
        <v/>
      </c>
    </row>
    <row r="22" spans="4:49" x14ac:dyDescent="0.25">
      <c r="E22" s="581">
        <f t="shared" si="0"/>
        <v>43132</v>
      </c>
      <c r="F22" s="2">
        <v>43136</v>
      </c>
      <c r="G22" t="s">
        <v>616</v>
      </c>
      <c r="H22" s="313">
        <f>-80000/100000</f>
        <v>-0.8</v>
      </c>
      <c r="I22" s="313">
        <f t="shared" si="17"/>
        <v>7.9999999999999991</v>
      </c>
      <c r="J22" s="581">
        <f t="shared" si="1"/>
        <v>43221</v>
      </c>
      <c r="K22" s="2">
        <v>43245</v>
      </c>
      <c r="L22" t="s">
        <v>1215</v>
      </c>
      <c r="M22" s="313">
        <f>4000000/100000</f>
        <v>40</v>
      </c>
      <c r="N22" s="313">
        <f t="shared" si="2"/>
        <v>41.849999999999994</v>
      </c>
      <c r="O22" s="581">
        <f t="shared" si="3"/>
        <v>1</v>
      </c>
      <c r="S22" s="313" t="str">
        <f t="shared" si="4"/>
        <v/>
      </c>
      <c r="T22" s="581">
        <f t="shared" si="5"/>
        <v>43739</v>
      </c>
      <c r="U22" s="2">
        <v>43759</v>
      </c>
      <c r="V22" t="s">
        <v>1065</v>
      </c>
      <c r="W22" s="313">
        <v>-25900</v>
      </c>
      <c r="X22" s="313">
        <f t="shared" si="6"/>
        <v>197405.8</v>
      </c>
      <c r="Y22" s="581">
        <f t="shared" si="7"/>
        <v>1</v>
      </c>
      <c r="AC22" s="313" t="str">
        <f t="shared" si="8"/>
        <v/>
      </c>
      <c r="AD22" s="581">
        <f t="shared" si="9"/>
        <v>1</v>
      </c>
      <c r="AH22" s="313" t="str">
        <f t="shared" si="10"/>
        <v/>
      </c>
      <c r="AI22" s="581">
        <f t="shared" si="11"/>
        <v>43586</v>
      </c>
      <c r="AJ22" s="2">
        <v>43613</v>
      </c>
      <c r="AK22" t="s">
        <v>1215</v>
      </c>
      <c r="AL22" s="313">
        <v>50000</v>
      </c>
      <c r="AM22" s="313">
        <f t="shared" si="12"/>
        <v>56000</v>
      </c>
      <c r="AN22" s="581">
        <f t="shared" si="13"/>
        <v>1</v>
      </c>
      <c r="AR22" s="313" t="str">
        <f t="shared" si="14"/>
        <v/>
      </c>
      <c r="AS22" s="581">
        <f t="shared" si="15"/>
        <v>1</v>
      </c>
      <c r="AW22" s="313" t="str">
        <f t="shared" si="16"/>
        <v/>
      </c>
    </row>
    <row r="23" spans="4:49" x14ac:dyDescent="0.25">
      <c r="E23" s="581">
        <f t="shared" si="0"/>
        <v>43160</v>
      </c>
      <c r="F23" s="2">
        <v>43161</v>
      </c>
      <c r="G23" t="s">
        <v>630</v>
      </c>
      <c r="H23" s="313">
        <f>-140000/100000</f>
        <v>-1.4</v>
      </c>
      <c r="I23" s="313">
        <f t="shared" si="17"/>
        <v>6.6</v>
      </c>
      <c r="J23" s="581">
        <f t="shared" si="1"/>
        <v>43252</v>
      </c>
      <c r="K23" s="2">
        <v>43253</v>
      </c>
      <c r="L23" s="6" t="s">
        <v>672</v>
      </c>
      <c r="M23" s="313">
        <f>-350000/100000</f>
        <v>-3.5</v>
      </c>
      <c r="N23" s="313">
        <f t="shared" si="2"/>
        <v>38.349999999999994</v>
      </c>
      <c r="O23" s="581">
        <f t="shared" si="3"/>
        <v>1</v>
      </c>
      <c r="S23" s="313" t="str">
        <f t="shared" si="4"/>
        <v/>
      </c>
      <c r="T23" s="581">
        <f t="shared" si="5"/>
        <v>43770</v>
      </c>
      <c r="U23" s="2">
        <v>43770</v>
      </c>
      <c r="V23" t="s">
        <v>1082</v>
      </c>
      <c r="W23" s="313">
        <v>-51250</v>
      </c>
      <c r="X23" s="313">
        <f t="shared" si="6"/>
        <v>146155.79999999999</v>
      </c>
      <c r="Y23" s="581">
        <f t="shared" si="7"/>
        <v>1</v>
      </c>
      <c r="AC23" s="313" t="str">
        <f t="shared" si="8"/>
        <v/>
      </c>
      <c r="AD23" s="581">
        <f t="shared" si="9"/>
        <v>1</v>
      </c>
      <c r="AH23" s="313" t="str">
        <f t="shared" si="10"/>
        <v/>
      </c>
      <c r="AI23" s="581">
        <f t="shared" si="11"/>
        <v>43586</v>
      </c>
      <c r="AJ23" s="2">
        <v>43613</v>
      </c>
      <c r="AK23" t="s">
        <v>970</v>
      </c>
      <c r="AL23" s="313">
        <v>-8000</v>
      </c>
      <c r="AM23" s="313">
        <f t="shared" si="12"/>
        <v>48000</v>
      </c>
      <c r="AN23" s="581">
        <f t="shared" si="13"/>
        <v>1</v>
      </c>
      <c r="AR23" s="313" t="str">
        <f t="shared" si="14"/>
        <v/>
      </c>
      <c r="AS23" s="581">
        <f t="shared" si="15"/>
        <v>1</v>
      </c>
      <c r="AW23" s="313" t="str">
        <f t="shared" si="16"/>
        <v/>
      </c>
    </row>
    <row r="24" spans="4:49" x14ac:dyDescent="0.25">
      <c r="E24" s="581">
        <f t="shared" si="0"/>
        <v>43191</v>
      </c>
      <c r="F24" s="2">
        <v>43195</v>
      </c>
      <c r="G24" t="s">
        <v>668</v>
      </c>
      <c r="H24" s="313">
        <f>-140000/100000</f>
        <v>-1.4</v>
      </c>
      <c r="I24" s="313">
        <f t="shared" si="17"/>
        <v>5.1999999999999993</v>
      </c>
      <c r="J24" s="581">
        <f t="shared" si="1"/>
        <v>43252</v>
      </c>
      <c r="K24" s="2">
        <v>43257</v>
      </c>
      <c r="L24" t="s">
        <v>707</v>
      </c>
      <c r="M24" s="313">
        <f>-400000/100000</f>
        <v>-4</v>
      </c>
      <c r="N24" s="313">
        <f t="shared" si="2"/>
        <v>34.349999999999994</v>
      </c>
      <c r="O24" s="581">
        <f t="shared" si="3"/>
        <v>1</v>
      </c>
      <c r="S24" s="313" t="str">
        <f t="shared" si="4"/>
        <v/>
      </c>
      <c r="T24" s="581">
        <f t="shared" si="5"/>
        <v>43770</v>
      </c>
      <c r="U24" s="2">
        <v>43799</v>
      </c>
      <c r="V24" t="s">
        <v>1100</v>
      </c>
      <c r="W24" s="313">
        <v>-81750</v>
      </c>
      <c r="X24" s="313">
        <f t="shared" si="6"/>
        <v>64405.8</v>
      </c>
      <c r="Y24" s="581">
        <f t="shared" si="7"/>
        <v>1</v>
      </c>
      <c r="AC24" s="313" t="str">
        <f t="shared" si="8"/>
        <v/>
      </c>
      <c r="AD24" s="581">
        <f t="shared" si="9"/>
        <v>1</v>
      </c>
      <c r="AH24" s="313" t="str">
        <f t="shared" si="10"/>
        <v/>
      </c>
      <c r="AI24" s="581">
        <f t="shared" si="11"/>
        <v>43617</v>
      </c>
      <c r="AJ24" s="2">
        <v>43623</v>
      </c>
      <c r="AK24" t="s">
        <v>986</v>
      </c>
      <c r="AL24" s="313">
        <v>-8000</v>
      </c>
      <c r="AM24" s="313">
        <f t="shared" si="12"/>
        <v>40000</v>
      </c>
      <c r="AN24" s="581">
        <f t="shared" si="13"/>
        <v>1</v>
      </c>
      <c r="AR24" s="313" t="str">
        <f t="shared" si="14"/>
        <v/>
      </c>
      <c r="AS24" s="581">
        <f t="shared" si="15"/>
        <v>1</v>
      </c>
      <c r="AW24" s="313" t="str">
        <f t="shared" si="16"/>
        <v/>
      </c>
    </row>
    <row r="25" spans="4:49" x14ac:dyDescent="0.25">
      <c r="E25" s="581">
        <f t="shared" si="0"/>
        <v>43221</v>
      </c>
      <c r="F25" s="2">
        <v>43223</v>
      </c>
      <c r="G25" t="s">
        <v>684</v>
      </c>
      <c r="H25" s="313">
        <f>-400000/100000</f>
        <v>-4</v>
      </c>
      <c r="I25" s="313">
        <f t="shared" si="17"/>
        <v>1.1999999999999993</v>
      </c>
      <c r="J25" s="581">
        <f t="shared" si="1"/>
        <v>43252</v>
      </c>
      <c r="K25" s="2">
        <v>43279</v>
      </c>
      <c r="L25" t="s">
        <v>742</v>
      </c>
      <c r="M25" s="313">
        <f>-225000/100000</f>
        <v>-2.25</v>
      </c>
      <c r="N25" s="313">
        <f t="shared" si="2"/>
        <v>32.099999999999994</v>
      </c>
      <c r="O25" s="581">
        <f t="shared" si="3"/>
        <v>1</v>
      </c>
      <c r="S25" s="313" t="str">
        <f t="shared" si="4"/>
        <v/>
      </c>
      <c r="T25" s="581">
        <f t="shared" si="5"/>
        <v>43831</v>
      </c>
      <c r="U25" s="2">
        <v>43852</v>
      </c>
      <c r="V25" t="s">
        <v>1245</v>
      </c>
      <c r="W25" s="313">
        <v>-64405.8</v>
      </c>
      <c r="X25" s="313">
        <f t="shared" si="6"/>
        <v>0</v>
      </c>
      <c r="Y25" s="581">
        <f t="shared" si="7"/>
        <v>1</v>
      </c>
      <c r="AC25" s="313" t="str">
        <f t="shared" si="8"/>
        <v/>
      </c>
      <c r="AD25" s="581">
        <f t="shared" si="9"/>
        <v>1</v>
      </c>
      <c r="AH25" s="313" t="str">
        <f t="shared" si="10"/>
        <v/>
      </c>
      <c r="AI25" s="581">
        <f t="shared" si="11"/>
        <v>43647</v>
      </c>
      <c r="AJ25" s="2">
        <v>43656</v>
      </c>
      <c r="AK25" t="s">
        <v>1007</v>
      </c>
      <c r="AL25" s="313">
        <v>-10000</v>
      </c>
      <c r="AM25" s="313">
        <f t="shared" si="12"/>
        <v>30000</v>
      </c>
      <c r="AN25" s="581">
        <f t="shared" si="13"/>
        <v>1</v>
      </c>
      <c r="AR25" s="313" t="str">
        <f t="shared" si="14"/>
        <v/>
      </c>
      <c r="AS25" s="581">
        <f t="shared" si="15"/>
        <v>1</v>
      </c>
      <c r="AW25" s="313" t="str">
        <f t="shared" si="16"/>
        <v/>
      </c>
    </row>
    <row r="26" spans="4:49" x14ac:dyDescent="0.25">
      <c r="E26" s="581">
        <f t="shared" si="0"/>
        <v>43221</v>
      </c>
      <c r="F26" s="2">
        <v>43242</v>
      </c>
      <c r="G26" s="6" t="s">
        <v>1215</v>
      </c>
      <c r="H26" s="313">
        <f>5000000/100000</f>
        <v>50</v>
      </c>
      <c r="I26" s="313">
        <f t="shared" si="17"/>
        <v>51.2</v>
      </c>
      <c r="J26" s="581">
        <f t="shared" si="1"/>
        <v>43282</v>
      </c>
      <c r="K26" s="2">
        <v>43285</v>
      </c>
      <c r="L26" t="s">
        <v>750</v>
      </c>
      <c r="M26" s="313">
        <f>-1000000/100000</f>
        <v>-10</v>
      </c>
      <c r="N26" s="313">
        <f t="shared" si="2"/>
        <v>22.099999999999994</v>
      </c>
      <c r="O26" s="581">
        <f t="shared" si="3"/>
        <v>1</v>
      </c>
      <c r="S26" s="313" t="str">
        <f t="shared" si="4"/>
        <v/>
      </c>
      <c r="T26" s="581">
        <f t="shared" si="5"/>
        <v>1</v>
      </c>
      <c r="X26" s="313" t="str">
        <f t="shared" si="6"/>
        <v/>
      </c>
      <c r="Y26" s="581">
        <f t="shared" si="7"/>
        <v>1</v>
      </c>
      <c r="AC26" s="313" t="str">
        <f t="shared" si="8"/>
        <v/>
      </c>
      <c r="AD26" s="581">
        <f t="shared" si="9"/>
        <v>1</v>
      </c>
      <c r="AH26" s="313" t="str">
        <f t="shared" si="10"/>
        <v/>
      </c>
      <c r="AI26" s="581">
        <f t="shared" si="11"/>
        <v>43678</v>
      </c>
      <c r="AJ26" s="2">
        <v>43682</v>
      </c>
      <c r="AK26" t="s">
        <v>1026</v>
      </c>
      <c r="AL26" s="313">
        <v>-10000</v>
      </c>
      <c r="AM26" s="313">
        <f t="shared" si="12"/>
        <v>20000</v>
      </c>
      <c r="AN26" s="581">
        <f t="shared" si="13"/>
        <v>1</v>
      </c>
      <c r="AR26" s="313" t="str">
        <f t="shared" si="14"/>
        <v/>
      </c>
      <c r="AS26" s="581">
        <f t="shared" si="15"/>
        <v>1</v>
      </c>
      <c r="AW26" s="313" t="str">
        <f t="shared" si="16"/>
        <v/>
      </c>
    </row>
    <row r="27" spans="4:49" x14ac:dyDescent="0.25">
      <c r="E27" s="581">
        <f t="shared" si="0"/>
        <v>43252</v>
      </c>
      <c r="F27" s="2">
        <v>43257</v>
      </c>
      <c r="G27" t="s">
        <v>707</v>
      </c>
      <c r="H27" s="313">
        <f>-400000/100000</f>
        <v>-4</v>
      </c>
      <c r="I27" s="313">
        <f t="shared" si="17"/>
        <v>47.2</v>
      </c>
      <c r="J27" s="581">
        <f t="shared" si="1"/>
        <v>43282</v>
      </c>
      <c r="K27" s="2">
        <v>43291</v>
      </c>
      <c r="L27" s="6" t="s">
        <v>744</v>
      </c>
      <c r="M27" s="313">
        <f>-1220000/100000</f>
        <v>-12.2</v>
      </c>
      <c r="N27" s="313">
        <f t="shared" si="2"/>
        <v>9.899999999999995</v>
      </c>
      <c r="O27" s="581">
        <f t="shared" si="3"/>
        <v>1</v>
      </c>
      <c r="S27" s="313" t="str">
        <f t="shared" si="4"/>
        <v/>
      </c>
      <c r="T27" s="581">
        <f t="shared" si="5"/>
        <v>1</v>
      </c>
      <c r="X27" s="313" t="str">
        <f t="shared" si="6"/>
        <v/>
      </c>
      <c r="Y27" s="581">
        <f t="shared" si="7"/>
        <v>1</v>
      </c>
      <c r="AC27" s="313" t="str">
        <f t="shared" si="8"/>
        <v/>
      </c>
      <c r="AD27" s="581">
        <f t="shared" si="9"/>
        <v>1</v>
      </c>
      <c r="AH27" s="313" t="str">
        <f t="shared" si="10"/>
        <v/>
      </c>
      <c r="AI27" s="581">
        <f t="shared" si="11"/>
        <v>43709</v>
      </c>
      <c r="AJ27" s="2">
        <v>43731</v>
      </c>
      <c r="AK27" t="s">
        <v>1035</v>
      </c>
      <c r="AL27" s="313">
        <v>-19800</v>
      </c>
      <c r="AM27" s="313">
        <f t="shared" si="12"/>
        <v>200</v>
      </c>
      <c r="AN27" s="581">
        <f t="shared" si="13"/>
        <v>1</v>
      </c>
      <c r="AR27" s="313" t="str">
        <f t="shared" si="14"/>
        <v/>
      </c>
      <c r="AS27" s="581">
        <f t="shared" si="15"/>
        <v>1</v>
      </c>
      <c r="AW27" s="313" t="str">
        <f t="shared" si="16"/>
        <v/>
      </c>
    </row>
    <row r="28" spans="4:49" x14ac:dyDescent="0.25">
      <c r="E28" s="581">
        <f t="shared" si="0"/>
        <v>43252</v>
      </c>
      <c r="F28" s="2">
        <v>43279</v>
      </c>
      <c r="G28" t="s">
        <v>742</v>
      </c>
      <c r="H28" s="313">
        <f>-225000/100000</f>
        <v>-2.25</v>
      </c>
      <c r="I28" s="313">
        <f t="shared" si="17"/>
        <v>44.95</v>
      </c>
      <c r="J28" s="581">
        <f t="shared" si="1"/>
        <v>43313</v>
      </c>
      <c r="K28" s="2">
        <v>43313</v>
      </c>
      <c r="L28" t="s">
        <v>806</v>
      </c>
      <c r="M28" s="313">
        <f>-990000/100000</f>
        <v>-9.9</v>
      </c>
      <c r="N28" s="313">
        <f t="shared" si="2"/>
        <v>-5.3290705182007514E-15</v>
      </c>
      <c r="O28" s="581">
        <f t="shared" si="3"/>
        <v>1</v>
      </c>
      <c r="S28" s="313" t="str">
        <f t="shared" si="4"/>
        <v/>
      </c>
      <c r="T28" s="581">
        <f t="shared" si="5"/>
        <v>1</v>
      </c>
      <c r="X28" s="313" t="str">
        <f t="shared" si="6"/>
        <v/>
      </c>
      <c r="Y28" s="581">
        <f t="shared" si="7"/>
        <v>1</v>
      </c>
      <c r="AC28" s="313" t="str">
        <f t="shared" si="8"/>
        <v/>
      </c>
      <c r="AD28" s="581">
        <f t="shared" si="9"/>
        <v>1</v>
      </c>
      <c r="AH28" s="313" t="str">
        <f t="shared" si="10"/>
        <v/>
      </c>
      <c r="AI28" s="581">
        <f t="shared" si="11"/>
        <v>1</v>
      </c>
      <c r="AM28" s="313" t="str">
        <f t="shared" si="12"/>
        <v/>
      </c>
      <c r="AN28" s="581">
        <f t="shared" si="13"/>
        <v>1</v>
      </c>
      <c r="AR28" s="313" t="str">
        <f t="shared" si="14"/>
        <v/>
      </c>
      <c r="AS28" s="581">
        <f t="shared" si="15"/>
        <v>1</v>
      </c>
      <c r="AW28" s="313" t="str">
        <f t="shared" si="16"/>
        <v/>
      </c>
    </row>
    <row r="29" spans="4:49" x14ac:dyDescent="0.25">
      <c r="E29" s="581">
        <f t="shared" si="0"/>
        <v>43282</v>
      </c>
      <c r="F29" s="2">
        <v>43285</v>
      </c>
      <c r="G29" t="s">
        <v>750</v>
      </c>
      <c r="H29" s="313">
        <f>-1000000/100000</f>
        <v>-10</v>
      </c>
      <c r="I29" s="313">
        <f t="shared" si="17"/>
        <v>34.950000000000003</v>
      </c>
      <c r="J29" s="581">
        <f t="shared" si="1"/>
        <v>43313</v>
      </c>
      <c r="K29" s="2">
        <v>43314</v>
      </c>
      <c r="L29" t="s">
        <v>1215</v>
      </c>
      <c r="M29" s="313">
        <f>7410000/100000</f>
        <v>74.099999999999994</v>
      </c>
      <c r="N29" s="313">
        <f t="shared" si="2"/>
        <v>74.099999999999994</v>
      </c>
      <c r="O29" s="581">
        <f t="shared" si="3"/>
        <v>1</v>
      </c>
      <c r="S29" s="313" t="str">
        <f t="shared" si="4"/>
        <v/>
      </c>
      <c r="T29" s="581">
        <f t="shared" si="5"/>
        <v>1</v>
      </c>
      <c r="X29" s="313" t="str">
        <f t="shared" si="6"/>
        <v/>
      </c>
      <c r="Y29" s="581">
        <f t="shared" si="7"/>
        <v>1</v>
      </c>
      <c r="AC29" s="313" t="str">
        <f t="shared" si="8"/>
        <v/>
      </c>
      <c r="AD29" s="581">
        <f t="shared" si="9"/>
        <v>1</v>
      </c>
      <c r="AH29" s="313" t="str">
        <f t="shared" si="10"/>
        <v/>
      </c>
      <c r="AI29" s="581">
        <f t="shared" si="11"/>
        <v>1</v>
      </c>
      <c r="AM29" s="313" t="str">
        <f t="shared" si="12"/>
        <v/>
      </c>
      <c r="AN29" s="581">
        <f t="shared" si="13"/>
        <v>1</v>
      </c>
      <c r="AR29" s="313" t="str">
        <f t="shared" si="14"/>
        <v/>
      </c>
      <c r="AS29" s="581">
        <f t="shared" si="15"/>
        <v>1</v>
      </c>
      <c r="AW29" s="313" t="str">
        <f t="shared" si="16"/>
        <v/>
      </c>
    </row>
    <row r="30" spans="4:49" x14ac:dyDescent="0.25">
      <c r="E30" s="581">
        <f t="shared" si="0"/>
        <v>43313</v>
      </c>
      <c r="F30" s="2">
        <v>43313</v>
      </c>
      <c r="G30" t="s">
        <v>787</v>
      </c>
      <c r="H30" s="313">
        <f>-1200000/100000</f>
        <v>-12</v>
      </c>
      <c r="I30" s="313">
        <f t="shared" si="17"/>
        <v>22.950000000000003</v>
      </c>
      <c r="J30" s="581">
        <f t="shared" si="1"/>
        <v>43313</v>
      </c>
      <c r="K30" s="2">
        <v>43314</v>
      </c>
      <c r="L30" t="s">
        <v>788</v>
      </c>
      <c r="M30" s="313">
        <f>-210000/100000</f>
        <v>-2.1</v>
      </c>
      <c r="N30" s="313">
        <f t="shared" si="2"/>
        <v>72</v>
      </c>
      <c r="O30" s="581">
        <f t="shared" si="3"/>
        <v>1</v>
      </c>
      <c r="S30" s="313" t="str">
        <f t="shared" si="4"/>
        <v/>
      </c>
      <c r="T30" s="581">
        <f t="shared" si="5"/>
        <v>1</v>
      </c>
      <c r="X30" s="313" t="str">
        <f t="shared" si="6"/>
        <v/>
      </c>
      <c r="Y30" s="581">
        <f t="shared" si="7"/>
        <v>1</v>
      </c>
      <c r="AC30" s="313" t="str">
        <f t="shared" si="8"/>
        <v/>
      </c>
      <c r="AD30" s="581">
        <f t="shared" si="9"/>
        <v>1</v>
      </c>
      <c r="AH30" s="313" t="str">
        <f t="shared" si="10"/>
        <v/>
      </c>
      <c r="AI30" s="581">
        <f t="shared" si="11"/>
        <v>1</v>
      </c>
      <c r="AM30" s="313" t="str">
        <f t="shared" si="12"/>
        <v/>
      </c>
      <c r="AN30" s="581">
        <f t="shared" si="13"/>
        <v>1</v>
      </c>
      <c r="AR30" s="313" t="str">
        <f t="shared" si="14"/>
        <v/>
      </c>
      <c r="AS30" s="581">
        <f t="shared" si="15"/>
        <v>1</v>
      </c>
      <c r="AW30" s="313" t="str">
        <f t="shared" si="16"/>
        <v/>
      </c>
    </row>
    <row r="31" spans="4:49" x14ac:dyDescent="0.25">
      <c r="E31" s="581">
        <f t="shared" si="0"/>
        <v>43344</v>
      </c>
      <c r="F31" s="2">
        <v>43355</v>
      </c>
      <c r="G31" t="s">
        <v>1246</v>
      </c>
      <c r="H31" s="313">
        <v>1600</v>
      </c>
      <c r="I31" s="313">
        <f t="shared" ref="I31:I75" si="18">IF(ISBLANK(H31),"",ROUND(I30+H31,2))</f>
        <v>1622.95</v>
      </c>
      <c r="J31" s="581">
        <f t="shared" si="1"/>
        <v>43374</v>
      </c>
      <c r="K31" s="2">
        <v>43403</v>
      </c>
      <c r="L31" t="s">
        <v>1215</v>
      </c>
      <c r="M31" s="313">
        <v>3850</v>
      </c>
      <c r="N31" s="313">
        <f t="shared" ref="N31:N75" si="19">IF(ISBLANK(M31),"",ROUND(N30+M31,2))</f>
        <v>3922</v>
      </c>
      <c r="O31" s="581">
        <f t="shared" si="3"/>
        <v>1</v>
      </c>
      <c r="S31" s="313" t="str">
        <f t="shared" si="4"/>
        <v/>
      </c>
      <c r="T31" s="581">
        <f t="shared" si="5"/>
        <v>1</v>
      </c>
      <c r="X31" s="313" t="str">
        <f t="shared" si="6"/>
        <v/>
      </c>
      <c r="Y31" s="581">
        <f t="shared" si="7"/>
        <v>1</v>
      </c>
      <c r="AC31" s="313" t="str">
        <f t="shared" si="8"/>
        <v/>
      </c>
      <c r="AD31" s="581">
        <f t="shared" si="9"/>
        <v>1</v>
      </c>
      <c r="AH31" s="313" t="str">
        <f t="shared" si="10"/>
        <v/>
      </c>
      <c r="AI31" s="581">
        <f t="shared" si="11"/>
        <v>1</v>
      </c>
      <c r="AM31" s="313" t="str">
        <f t="shared" si="12"/>
        <v/>
      </c>
      <c r="AN31" s="581">
        <f t="shared" si="13"/>
        <v>1</v>
      </c>
      <c r="AR31" s="313" t="str">
        <f t="shared" si="14"/>
        <v/>
      </c>
      <c r="AS31" s="581">
        <f t="shared" si="15"/>
        <v>1</v>
      </c>
      <c r="AW31" s="313" t="str">
        <f t="shared" si="16"/>
        <v/>
      </c>
    </row>
    <row r="32" spans="4:49" x14ac:dyDescent="0.25">
      <c r="E32" s="581">
        <f t="shared" si="0"/>
        <v>43344</v>
      </c>
      <c r="F32" s="2">
        <v>43355</v>
      </c>
      <c r="G32" t="s">
        <v>810</v>
      </c>
      <c r="H32" s="313">
        <v>-320</v>
      </c>
      <c r="I32" s="313">
        <f t="shared" si="18"/>
        <v>1302.95</v>
      </c>
      <c r="J32" s="581">
        <f t="shared" si="1"/>
        <v>43374</v>
      </c>
      <c r="K32" s="2">
        <v>43403</v>
      </c>
      <c r="L32" t="s">
        <v>826</v>
      </c>
      <c r="M32" s="313">
        <v>-10</v>
      </c>
      <c r="N32" s="313">
        <f t="shared" si="19"/>
        <v>3912</v>
      </c>
      <c r="O32" s="581">
        <f t="shared" si="3"/>
        <v>1</v>
      </c>
      <c r="S32" s="313" t="str">
        <f t="shared" si="4"/>
        <v/>
      </c>
      <c r="T32" s="581">
        <f t="shared" si="5"/>
        <v>1</v>
      </c>
      <c r="X32" s="313" t="str">
        <f t="shared" si="6"/>
        <v/>
      </c>
      <c r="Y32" s="581">
        <f t="shared" si="7"/>
        <v>1</v>
      </c>
      <c r="AC32" s="313" t="str">
        <f t="shared" si="8"/>
        <v/>
      </c>
      <c r="AD32" s="581">
        <f t="shared" si="9"/>
        <v>1</v>
      </c>
      <c r="AH32" s="313" t="str">
        <f t="shared" si="10"/>
        <v/>
      </c>
      <c r="AI32" s="581">
        <f t="shared" si="11"/>
        <v>1</v>
      </c>
      <c r="AM32" s="313" t="str">
        <f t="shared" si="12"/>
        <v/>
      </c>
      <c r="AN32" s="581">
        <f t="shared" si="13"/>
        <v>1</v>
      </c>
      <c r="AR32" s="313" t="str">
        <f t="shared" si="14"/>
        <v/>
      </c>
      <c r="AS32" s="581">
        <f t="shared" si="15"/>
        <v>1</v>
      </c>
      <c r="AW32" s="313" t="str">
        <f t="shared" si="16"/>
        <v/>
      </c>
    </row>
    <row r="33" spans="5:49" x14ac:dyDescent="0.25">
      <c r="E33" s="581">
        <f t="shared" si="0"/>
        <v>43374</v>
      </c>
      <c r="F33" s="2">
        <v>43384</v>
      </c>
      <c r="G33" t="s">
        <v>823</v>
      </c>
      <c r="H33" s="313">
        <v>-320</v>
      </c>
      <c r="I33" s="313">
        <f t="shared" si="18"/>
        <v>982.95</v>
      </c>
      <c r="J33" s="581">
        <f t="shared" si="1"/>
        <v>43374</v>
      </c>
      <c r="K33" s="2">
        <v>43403</v>
      </c>
      <c r="L33" t="s">
        <v>835</v>
      </c>
      <c r="M33" s="313">
        <f>-320*2</f>
        <v>-640</v>
      </c>
      <c r="N33" s="313">
        <f t="shared" si="19"/>
        <v>3272</v>
      </c>
      <c r="O33" s="581">
        <f t="shared" si="3"/>
        <v>1</v>
      </c>
      <c r="S33" s="313" t="str">
        <f t="shared" si="4"/>
        <v/>
      </c>
      <c r="T33" s="581">
        <f t="shared" si="5"/>
        <v>1</v>
      </c>
      <c r="X33" s="313" t="str">
        <f t="shared" si="6"/>
        <v/>
      </c>
      <c r="Y33" s="581">
        <f t="shared" si="7"/>
        <v>1</v>
      </c>
      <c r="AC33" s="313" t="str">
        <f t="shared" si="8"/>
        <v/>
      </c>
      <c r="AD33" s="581">
        <f t="shared" si="9"/>
        <v>1</v>
      </c>
      <c r="AH33" s="313" t="str">
        <f t="shared" si="10"/>
        <v/>
      </c>
      <c r="AI33" s="581">
        <f t="shared" si="11"/>
        <v>1</v>
      </c>
      <c r="AM33" s="313" t="str">
        <f t="shared" si="12"/>
        <v/>
      </c>
      <c r="AN33" s="581">
        <f t="shared" si="13"/>
        <v>1</v>
      </c>
      <c r="AR33" s="313" t="str">
        <f t="shared" si="14"/>
        <v/>
      </c>
      <c r="AS33" s="581">
        <f t="shared" si="15"/>
        <v>1</v>
      </c>
      <c r="AW33" s="313" t="str">
        <f t="shared" si="16"/>
        <v/>
      </c>
    </row>
    <row r="34" spans="5:49" x14ac:dyDescent="0.25">
      <c r="E34" s="581">
        <f t="shared" si="0"/>
        <v>43405</v>
      </c>
      <c r="F34" s="2">
        <v>43412</v>
      </c>
      <c r="G34" t="s">
        <v>848</v>
      </c>
      <c r="H34" s="313">
        <v>-320</v>
      </c>
      <c r="I34" s="313">
        <f t="shared" si="18"/>
        <v>662.95</v>
      </c>
      <c r="J34" s="581">
        <f t="shared" si="1"/>
        <v>43405</v>
      </c>
      <c r="K34" s="2">
        <v>43412</v>
      </c>
      <c r="L34" t="s">
        <v>848</v>
      </c>
      <c r="M34" s="313">
        <v>-320</v>
      </c>
      <c r="N34" s="313">
        <f t="shared" si="19"/>
        <v>2952</v>
      </c>
      <c r="O34" s="581">
        <f t="shared" si="3"/>
        <v>1</v>
      </c>
      <c r="S34" s="313" t="str">
        <f t="shared" si="4"/>
        <v/>
      </c>
      <c r="T34" s="581">
        <f t="shared" si="5"/>
        <v>1</v>
      </c>
      <c r="X34" s="313" t="str">
        <f t="shared" si="6"/>
        <v/>
      </c>
      <c r="Y34" s="581">
        <f t="shared" si="7"/>
        <v>1</v>
      </c>
      <c r="AC34" s="313" t="str">
        <f t="shared" si="8"/>
        <v/>
      </c>
      <c r="AD34" s="581">
        <f t="shared" si="9"/>
        <v>1</v>
      </c>
      <c r="AH34" s="313" t="str">
        <f t="shared" si="10"/>
        <v/>
      </c>
      <c r="AI34" s="581">
        <f t="shared" si="11"/>
        <v>1</v>
      </c>
      <c r="AM34" s="313" t="str">
        <f t="shared" si="12"/>
        <v/>
      </c>
      <c r="AN34" s="581">
        <f t="shared" si="13"/>
        <v>1</v>
      </c>
      <c r="AR34" s="313" t="str">
        <f t="shared" si="14"/>
        <v/>
      </c>
      <c r="AS34" s="581">
        <f t="shared" si="15"/>
        <v>1</v>
      </c>
      <c r="AW34" s="313" t="str">
        <f t="shared" si="16"/>
        <v/>
      </c>
    </row>
    <row r="35" spans="5:49" x14ac:dyDescent="0.25">
      <c r="E35" s="581">
        <f t="shared" si="0"/>
        <v>43435</v>
      </c>
      <c r="F35" s="2">
        <v>43439</v>
      </c>
      <c r="G35" s="6" t="s">
        <v>861</v>
      </c>
      <c r="H35" s="313">
        <v>-662.95</v>
      </c>
      <c r="I35" s="313">
        <f t="shared" si="18"/>
        <v>0</v>
      </c>
      <c r="J35" s="581">
        <f t="shared" si="1"/>
        <v>43435</v>
      </c>
      <c r="K35" s="2">
        <v>43439</v>
      </c>
      <c r="L35" s="6" t="s">
        <v>861</v>
      </c>
      <c r="M35" s="313">
        <v>-800</v>
      </c>
      <c r="N35" s="313">
        <f t="shared" si="19"/>
        <v>2152</v>
      </c>
      <c r="O35" s="581">
        <f t="shared" si="3"/>
        <v>1</v>
      </c>
      <c r="S35" s="313" t="str">
        <f t="shared" si="4"/>
        <v/>
      </c>
      <c r="T35" s="581">
        <f t="shared" si="5"/>
        <v>1</v>
      </c>
      <c r="X35" s="313" t="str">
        <f t="shared" si="6"/>
        <v/>
      </c>
      <c r="Y35" s="581">
        <f t="shared" si="7"/>
        <v>1</v>
      </c>
      <c r="AC35" s="313" t="str">
        <f t="shared" si="8"/>
        <v/>
      </c>
      <c r="AD35" s="581">
        <f t="shared" si="9"/>
        <v>1</v>
      </c>
      <c r="AH35" s="313" t="str">
        <f t="shared" si="10"/>
        <v/>
      </c>
      <c r="AI35" s="581">
        <f t="shared" si="11"/>
        <v>1</v>
      </c>
      <c r="AM35" s="313" t="str">
        <f t="shared" si="12"/>
        <v/>
      </c>
      <c r="AN35" s="581">
        <f t="shared" si="13"/>
        <v>1</v>
      </c>
      <c r="AR35" s="313" t="str">
        <f t="shared" si="14"/>
        <v/>
      </c>
      <c r="AS35" s="581">
        <f t="shared" si="15"/>
        <v>1</v>
      </c>
      <c r="AW35" s="313" t="str">
        <f t="shared" si="16"/>
        <v/>
      </c>
    </row>
    <row r="36" spans="5:49" x14ac:dyDescent="0.25">
      <c r="E36" s="581">
        <f t="shared" si="0"/>
        <v>43466</v>
      </c>
      <c r="F36" s="2">
        <v>43473</v>
      </c>
      <c r="G36" t="s">
        <v>1247</v>
      </c>
      <c r="H36" s="313">
        <v>10000</v>
      </c>
      <c r="I36" s="313">
        <f t="shared" si="18"/>
        <v>10000</v>
      </c>
      <c r="J36" s="581">
        <f t="shared" si="1"/>
        <v>43466</v>
      </c>
      <c r="K36" s="2">
        <v>43476</v>
      </c>
      <c r="L36" s="6" t="s">
        <v>881</v>
      </c>
      <c r="M36" s="313">
        <v>-800</v>
      </c>
      <c r="N36" s="313">
        <f t="shared" si="19"/>
        <v>1352</v>
      </c>
      <c r="O36" s="581">
        <f t="shared" si="3"/>
        <v>1</v>
      </c>
      <c r="S36" s="313" t="str">
        <f t="shared" si="4"/>
        <v/>
      </c>
      <c r="T36" s="581">
        <f t="shared" si="5"/>
        <v>1</v>
      </c>
      <c r="X36" s="313" t="str">
        <f t="shared" si="6"/>
        <v/>
      </c>
      <c r="Y36" s="581">
        <f t="shared" si="7"/>
        <v>1</v>
      </c>
      <c r="AC36" s="313" t="str">
        <f t="shared" si="8"/>
        <v/>
      </c>
      <c r="AD36" s="581">
        <f t="shared" si="9"/>
        <v>1</v>
      </c>
      <c r="AH36" s="313" t="str">
        <f t="shared" si="10"/>
        <v/>
      </c>
      <c r="AI36" s="581">
        <f t="shared" si="11"/>
        <v>1</v>
      </c>
      <c r="AM36" s="313" t="str">
        <f t="shared" si="12"/>
        <v/>
      </c>
      <c r="AN36" s="581">
        <f t="shared" si="13"/>
        <v>1</v>
      </c>
      <c r="AR36" s="313" t="str">
        <f t="shared" si="14"/>
        <v/>
      </c>
      <c r="AS36" s="581">
        <f t="shared" si="15"/>
        <v>1</v>
      </c>
      <c r="AW36" s="313" t="str">
        <f t="shared" si="16"/>
        <v/>
      </c>
    </row>
    <row r="37" spans="5:49" x14ac:dyDescent="0.25">
      <c r="E37" s="581">
        <f t="shared" si="0"/>
        <v>43466</v>
      </c>
      <c r="F37" s="2">
        <v>43473</v>
      </c>
      <c r="G37" t="s">
        <v>863</v>
      </c>
      <c r="H37" s="313">
        <f>-(800-662.95)</f>
        <v>-137.04999999999995</v>
      </c>
      <c r="I37" s="313">
        <f t="shared" si="18"/>
        <v>9862.9500000000007</v>
      </c>
      <c r="J37" s="581">
        <f t="shared" si="1"/>
        <v>43497</v>
      </c>
      <c r="K37" s="2">
        <v>43500</v>
      </c>
      <c r="L37" t="s">
        <v>1215</v>
      </c>
      <c r="M37" s="313">
        <v>35200</v>
      </c>
      <c r="N37" s="313">
        <f t="shared" si="19"/>
        <v>36552</v>
      </c>
      <c r="O37" s="581">
        <f t="shared" si="3"/>
        <v>1</v>
      </c>
      <c r="S37" s="313" t="str">
        <f t="shared" si="4"/>
        <v/>
      </c>
      <c r="T37" s="581">
        <f t="shared" si="5"/>
        <v>1</v>
      </c>
      <c r="X37" s="313" t="str">
        <f t="shared" si="6"/>
        <v/>
      </c>
      <c r="Y37" s="581">
        <f t="shared" si="7"/>
        <v>1</v>
      </c>
      <c r="AC37" s="313" t="str">
        <f t="shared" si="8"/>
        <v/>
      </c>
      <c r="AD37" s="581">
        <f t="shared" si="9"/>
        <v>1</v>
      </c>
      <c r="AH37" s="313" t="str">
        <f t="shared" si="10"/>
        <v/>
      </c>
      <c r="AI37" s="581">
        <f t="shared" si="11"/>
        <v>1</v>
      </c>
      <c r="AM37" s="313" t="str">
        <f t="shared" si="12"/>
        <v/>
      </c>
      <c r="AN37" s="581">
        <f t="shared" si="13"/>
        <v>1</v>
      </c>
      <c r="AR37" s="313" t="str">
        <f t="shared" si="14"/>
        <v/>
      </c>
      <c r="AS37" s="581">
        <f t="shared" si="15"/>
        <v>1</v>
      </c>
      <c r="AW37" s="313" t="str">
        <f t="shared" si="16"/>
        <v/>
      </c>
    </row>
    <row r="38" spans="5:49" x14ac:dyDescent="0.25">
      <c r="E38" s="581">
        <f t="shared" si="0"/>
        <v>43466</v>
      </c>
      <c r="F38" s="2">
        <v>43473</v>
      </c>
      <c r="G38" t="s">
        <v>887</v>
      </c>
      <c r="H38" s="313">
        <v>-800</v>
      </c>
      <c r="I38" s="313">
        <f t="shared" si="18"/>
        <v>9062.9500000000007</v>
      </c>
      <c r="J38" s="581">
        <f t="shared" si="1"/>
        <v>43497</v>
      </c>
      <c r="K38" s="2">
        <v>43502</v>
      </c>
      <c r="L38" t="s">
        <v>886</v>
      </c>
      <c r="M38" s="313">
        <v>-2200</v>
      </c>
      <c r="N38" s="313">
        <f t="shared" si="19"/>
        <v>34352</v>
      </c>
      <c r="O38" s="581">
        <f t="shared" si="3"/>
        <v>1</v>
      </c>
      <c r="S38" s="313" t="str">
        <f t="shared" si="4"/>
        <v/>
      </c>
      <c r="T38" s="581">
        <f t="shared" si="5"/>
        <v>1</v>
      </c>
      <c r="X38" s="313" t="str">
        <f t="shared" si="6"/>
        <v/>
      </c>
      <c r="Y38" s="581">
        <f t="shared" si="7"/>
        <v>1</v>
      </c>
      <c r="AC38" s="313" t="str">
        <f t="shared" si="8"/>
        <v/>
      </c>
      <c r="AD38" s="581">
        <f t="shared" si="9"/>
        <v>1</v>
      </c>
      <c r="AH38" s="313" t="str">
        <f t="shared" si="10"/>
        <v/>
      </c>
      <c r="AI38" s="581">
        <f t="shared" si="11"/>
        <v>1</v>
      </c>
      <c r="AM38" s="313" t="str">
        <f t="shared" si="12"/>
        <v/>
      </c>
      <c r="AN38" s="581">
        <f t="shared" si="13"/>
        <v>1</v>
      </c>
      <c r="AR38" s="313" t="str">
        <f t="shared" si="14"/>
        <v/>
      </c>
      <c r="AS38" s="581">
        <f t="shared" si="15"/>
        <v>1</v>
      </c>
      <c r="AW38" s="313" t="str">
        <f t="shared" si="16"/>
        <v/>
      </c>
    </row>
    <row r="39" spans="5:49" x14ac:dyDescent="0.25">
      <c r="E39" s="581">
        <f t="shared" si="0"/>
        <v>43466</v>
      </c>
      <c r="F39" s="2">
        <v>43481</v>
      </c>
      <c r="G39" t="s">
        <v>886</v>
      </c>
      <c r="H39" s="313">
        <v>-2200</v>
      </c>
      <c r="I39" s="313">
        <f t="shared" si="18"/>
        <v>6862.95</v>
      </c>
      <c r="J39" s="581">
        <f t="shared" si="1"/>
        <v>43497</v>
      </c>
      <c r="K39" s="2">
        <v>43502</v>
      </c>
      <c r="L39" t="s">
        <v>897</v>
      </c>
      <c r="M39" s="313">
        <v>-3000</v>
      </c>
      <c r="N39" s="313">
        <f t="shared" si="19"/>
        <v>31352</v>
      </c>
      <c r="O39" s="581">
        <f t="shared" si="3"/>
        <v>1</v>
      </c>
      <c r="S39" s="313" t="str">
        <f t="shared" si="4"/>
        <v/>
      </c>
      <c r="T39" s="581">
        <f t="shared" si="5"/>
        <v>1</v>
      </c>
      <c r="X39" s="313" t="str">
        <f t="shared" si="6"/>
        <v/>
      </c>
      <c r="Y39" s="581">
        <f t="shared" si="7"/>
        <v>1</v>
      </c>
      <c r="AC39" s="313" t="str">
        <f t="shared" si="8"/>
        <v/>
      </c>
      <c r="AD39" s="581">
        <f t="shared" si="9"/>
        <v>1</v>
      </c>
      <c r="AH39" s="313" t="str">
        <f t="shared" si="10"/>
        <v/>
      </c>
      <c r="AI39" s="581">
        <f t="shared" si="11"/>
        <v>1</v>
      </c>
      <c r="AM39" s="313" t="str">
        <f t="shared" si="12"/>
        <v/>
      </c>
      <c r="AN39" s="581">
        <f t="shared" si="13"/>
        <v>1</v>
      </c>
      <c r="AR39" s="313" t="str">
        <f t="shared" si="14"/>
        <v/>
      </c>
      <c r="AS39" s="581">
        <f t="shared" si="15"/>
        <v>1</v>
      </c>
      <c r="AW39" s="313" t="str">
        <f t="shared" si="16"/>
        <v/>
      </c>
    </row>
    <row r="40" spans="5:49" x14ac:dyDescent="0.25">
      <c r="E40" s="581">
        <f t="shared" si="0"/>
        <v>43497</v>
      </c>
      <c r="F40" s="2">
        <v>43509</v>
      </c>
      <c r="G40" t="s">
        <v>897</v>
      </c>
      <c r="H40" s="313">
        <v>-3000</v>
      </c>
      <c r="I40" s="313">
        <f t="shared" si="18"/>
        <v>3862.95</v>
      </c>
      <c r="J40" s="581">
        <f t="shared" si="1"/>
        <v>43525</v>
      </c>
      <c r="K40" s="2">
        <v>43536</v>
      </c>
      <c r="L40" t="s">
        <v>909</v>
      </c>
      <c r="M40" s="313">
        <v>-3000</v>
      </c>
      <c r="N40" s="313">
        <f t="shared" si="19"/>
        <v>28352</v>
      </c>
      <c r="O40" s="581">
        <f t="shared" si="3"/>
        <v>1</v>
      </c>
      <c r="S40" s="313" t="str">
        <f t="shared" si="4"/>
        <v/>
      </c>
      <c r="T40" s="581">
        <f t="shared" si="5"/>
        <v>1</v>
      </c>
      <c r="X40" s="313" t="str">
        <f t="shared" si="6"/>
        <v/>
      </c>
      <c r="Y40" s="581">
        <f t="shared" si="7"/>
        <v>1</v>
      </c>
      <c r="AC40" s="313" t="str">
        <f t="shared" si="8"/>
        <v/>
      </c>
      <c r="AD40" s="581">
        <f t="shared" si="9"/>
        <v>1</v>
      </c>
      <c r="AH40" s="313" t="str">
        <f t="shared" si="10"/>
        <v/>
      </c>
      <c r="AI40" s="581">
        <f t="shared" si="11"/>
        <v>1</v>
      </c>
      <c r="AM40" s="313" t="str">
        <f t="shared" si="12"/>
        <v/>
      </c>
      <c r="AN40" s="581">
        <f t="shared" si="13"/>
        <v>1</v>
      </c>
      <c r="AR40" s="313" t="str">
        <f t="shared" si="14"/>
        <v/>
      </c>
      <c r="AS40" s="581">
        <f t="shared" si="15"/>
        <v>1</v>
      </c>
      <c r="AW40" s="313" t="str">
        <f t="shared" si="16"/>
        <v/>
      </c>
    </row>
    <row r="41" spans="5:49" x14ac:dyDescent="0.25">
      <c r="E41" s="581">
        <f t="shared" si="0"/>
        <v>43525</v>
      </c>
      <c r="F41" s="2">
        <v>43536</v>
      </c>
      <c r="G41" t="s">
        <v>909</v>
      </c>
      <c r="H41" s="313">
        <v>-3000</v>
      </c>
      <c r="I41" s="313">
        <f t="shared" si="18"/>
        <v>862.95</v>
      </c>
      <c r="J41" s="581">
        <f t="shared" si="1"/>
        <v>43556</v>
      </c>
      <c r="K41" s="2">
        <v>43571</v>
      </c>
      <c r="L41" t="s">
        <v>917</v>
      </c>
      <c r="M41" s="313">
        <v>-5000</v>
      </c>
      <c r="N41" s="313">
        <f t="shared" si="19"/>
        <v>23352</v>
      </c>
      <c r="O41" s="581">
        <f t="shared" si="3"/>
        <v>1</v>
      </c>
      <c r="S41" s="313" t="str">
        <f t="shared" si="4"/>
        <v/>
      </c>
      <c r="T41" s="581">
        <f t="shared" si="5"/>
        <v>1</v>
      </c>
      <c r="X41" s="313" t="str">
        <f t="shared" si="6"/>
        <v/>
      </c>
      <c r="Y41" s="581">
        <f t="shared" si="7"/>
        <v>1</v>
      </c>
      <c r="AC41" s="313" t="str">
        <f t="shared" si="8"/>
        <v/>
      </c>
      <c r="AD41" s="581">
        <f t="shared" si="9"/>
        <v>1</v>
      </c>
      <c r="AH41" s="313" t="str">
        <f t="shared" si="10"/>
        <v/>
      </c>
      <c r="AI41" s="581">
        <f t="shared" si="11"/>
        <v>1</v>
      </c>
      <c r="AM41" s="313" t="str">
        <f t="shared" si="12"/>
        <v/>
      </c>
      <c r="AN41" s="581">
        <f t="shared" si="13"/>
        <v>1</v>
      </c>
      <c r="AR41" s="313" t="str">
        <f t="shared" si="14"/>
        <v/>
      </c>
      <c r="AS41" s="581">
        <f t="shared" si="15"/>
        <v>1</v>
      </c>
      <c r="AW41" s="313" t="str">
        <f t="shared" si="16"/>
        <v/>
      </c>
    </row>
    <row r="42" spans="5:49" x14ac:dyDescent="0.25">
      <c r="E42" s="581">
        <f t="shared" si="0"/>
        <v>43556</v>
      </c>
      <c r="F42" s="2">
        <v>43571</v>
      </c>
      <c r="G42" t="s">
        <v>1248</v>
      </c>
      <c r="H42" s="313">
        <v>100000</v>
      </c>
      <c r="I42" s="313">
        <f t="shared" si="18"/>
        <v>100862.95</v>
      </c>
      <c r="J42" s="581">
        <f t="shared" si="1"/>
        <v>43586</v>
      </c>
      <c r="K42" s="2">
        <v>43598</v>
      </c>
      <c r="L42" t="s">
        <v>970</v>
      </c>
      <c r="M42" s="313">
        <v>-8000</v>
      </c>
      <c r="N42" s="313">
        <f t="shared" si="19"/>
        <v>15352</v>
      </c>
      <c r="O42" s="581">
        <f t="shared" si="3"/>
        <v>1</v>
      </c>
      <c r="S42" s="313" t="str">
        <f t="shared" si="4"/>
        <v/>
      </c>
      <c r="T42" s="581">
        <f t="shared" si="5"/>
        <v>1</v>
      </c>
      <c r="X42" s="313" t="str">
        <f t="shared" si="6"/>
        <v/>
      </c>
      <c r="Y42" s="581">
        <f t="shared" si="7"/>
        <v>1</v>
      </c>
      <c r="AC42" s="313" t="str">
        <f t="shared" si="8"/>
        <v/>
      </c>
      <c r="AD42" s="581">
        <f t="shared" si="9"/>
        <v>1</v>
      </c>
      <c r="AH42" s="313" t="str">
        <f t="shared" si="10"/>
        <v/>
      </c>
      <c r="AI42" s="581">
        <f t="shared" si="11"/>
        <v>1</v>
      </c>
      <c r="AM42" s="313" t="str">
        <f t="shared" si="12"/>
        <v/>
      </c>
      <c r="AN42" s="581">
        <f t="shared" si="13"/>
        <v>1</v>
      </c>
      <c r="AR42" s="313" t="str">
        <f t="shared" si="14"/>
        <v/>
      </c>
      <c r="AS42" s="581">
        <f t="shared" si="15"/>
        <v>1</v>
      </c>
      <c r="AW42" s="313" t="str">
        <f t="shared" si="16"/>
        <v/>
      </c>
    </row>
    <row r="43" spans="5:49" x14ac:dyDescent="0.25">
      <c r="E43" s="581">
        <f t="shared" si="0"/>
        <v>43556</v>
      </c>
      <c r="F43" s="2">
        <v>43571</v>
      </c>
      <c r="G43" t="s">
        <v>917</v>
      </c>
      <c r="H43" s="313">
        <v>-5000</v>
      </c>
      <c r="I43" s="313">
        <f t="shared" si="18"/>
        <v>95862.95</v>
      </c>
      <c r="J43" s="581">
        <f t="shared" si="1"/>
        <v>43617</v>
      </c>
      <c r="K43" s="2">
        <v>43623</v>
      </c>
      <c r="L43" t="s">
        <v>986</v>
      </c>
      <c r="M43" s="313">
        <v>-8000</v>
      </c>
      <c r="N43" s="313">
        <f t="shared" si="19"/>
        <v>7352</v>
      </c>
      <c r="O43" s="581">
        <f t="shared" si="3"/>
        <v>1</v>
      </c>
      <c r="S43" s="313" t="str">
        <f t="shared" si="4"/>
        <v/>
      </c>
      <c r="T43" s="581">
        <f t="shared" si="5"/>
        <v>1</v>
      </c>
      <c r="X43" s="313" t="str">
        <f t="shared" si="6"/>
        <v/>
      </c>
      <c r="Y43" s="581">
        <f t="shared" si="7"/>
        <v>1</v>
      </c>
      <c r="AC43" s="313" t="str">
        <f t="shared" si="8"/>
        <v/>
      </c>
      <c r="AD43" s="581">
        <f t="shared" si="9"/>
        <v>1</v>
      </c>
      <c r="AH43" s="313" t="str">
        <f t="shared" si="10"/>
        <v/>
      </c>
      <c r="AI43" s="581">
        <f t="shared" si="11"/>
        <v>1</v>
      </c>
      <c r="AM43" s="313" t="str">
        <f t="shared" si="12"/>
        <v/>
      </c>
      <c r="AN43" s="581">
        <f t="shared" si="13"/>
        <v>1</v>
      </c>
      <c r="AR43" s="313" t="str">
        <f t="shared" si="14"/>
        <v/>
      </c>
      <c r="AS43" s="581">
        <f t="shared" si="15"/>
        <v>1</v>
      </c>
      <c r="AW43" s="313" t="str">
        <f t="shared" si="16"/>
        <v/>
      </c>
    </row>
    <row r="44" spans="5:49" x14ac:dyDescent="0.25">
      <c r="E44" s="581">
        <f t="shared" si="0"/>
        <v>43586</v>
      </c>
      <c r="F44" s="2">
        <v>43598</v>
      </c>
      <c r="G44" t="s">
        <v>970</v>
      </c>
      <c r="H44" s="313">
        <v>-8000</v>
      </c>
      <c r="I44" s="313">
        <f t="shared" si="18"/>
        <v>87862.95</v>
      </c>
      <c r="J44" s="581">
        <f t="shared" si="1"/>
        <v>43678</v>
      </c>
      <c r="K44" s="2">
        <v>43683</v>
      </c>
      <c r="L44" t="s">
        <v>1249</v>
      </c>
      <c r="M44" s="313">
        <v>100000</v>
      </c>
      <c r="N44" s="313">
        <f t="shared" si="19"/>
        <v>107352</v>
      </c>
      <c r="O44" s="581">
        <f t="shared" si="3"/>
        <v>1</v>
      </c>
      <c r="S44" s="313" t="str">
        <f t="shared" si="4"/>
        <v/>
      </c>
      <c r="T44" s="581">
        <f t="shared" si="5"/>
        <v>1</v>
      </c>
      <c r="X44" s="313" t="str">
        <f t="shared" si="6"/>
        <v/>
      </c>
      <c r="Y44" s="581">
        <f t="shared" si="7"/>
        <v>1</v>
      </c>
      <c r="AC44" s="313" t="str">
        <f t="shared" si="8"/>
        <v/>
      </c>
      <c r="AD44" s="581">
        <f t="shared" si="9"/>
        <v>1</v>
      </c>
      <c r="AH44" s="313" t="str">
        <f t="shared" si="10"/>
        <v/>
      </c>
      <c r="AI44" s="581">
        <f t="shared" si="11"/>
        <v>1</v>
      </c>
      <c r="AM44" s="313" t="str">
        <f t="shared" si="12"/>
        <v/>
      </c>
      <c r="AN44" s="581">
        <f t="shared" si="13"/>
        <v>1</v>
      </c>
      <c r="AR44" s="313" t="str">
        <f t="shared" si="14"/>
        <v/>
      </c>
      <c r="AS44" s="581">
        <f t="shared" si="15"/>
        <v>1</v>
      </c>
      <c r="AW44" s="313" t="str">
        <f t="shared" si="16"/>
        <v/>
      </c>
    </row>
    <row r="45" spans="5:49" x14ac:dyDescent="0.25">
      <c r="E45" s="581">
        <f t="shared" si="0"/>
        <v>43617</v>
      </c>
      <c r="F45" s="2">
        <v>43623</v>
      </c>
      <c r="G45" t="s">
        <v>986</v>
      </c>
      <c r="H45" s="313">
        <v>-8000</v>
      </c>
      <c r="I45" s="313">
        <f t="shared" si="18"/>
        <v>79862.95</v>
      </c>
      <c r="J45" s="581">
        <f t="shared" si="1"/>
        <v>43678</v>
      </c>
      <c r="K45" s="2">
        <v>43683</v>
      </c>
      <c r="L45" t="s">
        <v>1025</v>
      </c>
      <c r="M45" s="313">
        <v>-20000</v>
      </c>
      <c r="N45" s="313">
        <f t="shared" si="19"/>
        <v>87352</v>
      </c>
      <c r="O45" s="581">
        <f t="shared" si="3"/>
        <v>1</v>
      </c>
      <c r="S45" s="313" t="str">
        <f t="shared" si="4"/>
        <v/>
      </c>
      <c r="T45" s="581">
        <f t="shared" si="5"/>
        <v>1</v>
      </c>
      <c r="X45" s="313" t="str">
        <f t="shared" si="6"/>
        <v/>
      </c>
      <c r="Y45" s="581">
        <f t="shared" si="7"/>
        <v>1</v>
      </c>
      <c r="AC45" s="313" t="str">
        <f t="shared" si="8"/>
        <v/>
      </c>
      <c r="AD45" s="581">
        <f t="shared" si="9"/>
        <v>1</v>
      </c>
      <c r="AH45" s="313" t="str">
        <f t="shared" si="10"/>
        <v/>
      </c>
      <c r="AI45" s="581">
        <f t="shared" si="11"/>
        <v>1</v>
      </c>
      <c r="AM45" s="313" t="str">
        <f t="shared" si="12"/>
        <v/>
      </c>
      <c r="AN45" s="581">
        <f t="shared" si="13"/>
        <v>1</v>
      </c>
      <c r="AR45" s="313" t="str">
        <f t="shared" si="14"/>
        <v/>
      </c>
      <c r="AS45" s="581">
        <f t="shared" si="15"/>
        <v>1</v>
      </c>
      <c r="AW45" s="313" t="str">
        <f t="shared" si="16"/>
        <v/>
      </c>
    </row>
    <row r="46" spans="5:49" x14ac:dyDescent="0.25">
      <c r="E46" s="581">
        <f t="shared" si="0"/>
        <v>43647</v>
      </c>
      <c r="F46" s="2">
        <v>43656</v>
      </c>
      <c r="G46" t="s">
        <v>1007</v>
      </c>
      <c r="H46" s="313">
        <v>-10000</v>
      </c>
      <c r="I46" s="313">
        <f t="shared" si="18"/>
        <v>69862.95</v>
      </c>
      <c r="J46" s="581">
        <f t="shared" si="1"/>
        <v>43709</v>
      </c>
      <c r="K46" s="2">
        <v>43711</v>
      </c>
      <c r="L46" t="s">
        <v>1035</v>
      </c>
      <c r="M46" s="313">
        <v>-23400</v>
      </c>
      <c r="N46" s="313">
        <f t="shared" si="19"/>
        <v>63952</v>
      </c>
      <c r="O46" s="581">
        <f t="shared" si="3"/>
        <v>1</v>
      </c>
      <c r="S46" s="313" t="str">
        <f t="shared" si="4"/>
        <v/>
      </c>
      <c r="T46" s="581">
        <f t="shared" si="5"/>
        <v>1</v>
      </c>
      <c r="X46" s="313" t="str">
        <f t="shared" si="6"/>
        <v/>
      </c>
      <c r="Y46" s="581">
        <f t="shared" si="7"/>
        <v>1</v>
      </c>
      <c r="AC46" s="313" t="str">
        <f t="shared" si="8"/>
        <v/>
      </c>
      <c r="AD46" s="581">
        <f t="shared" si="9"/>
        <v>1</v>
      </c>
      <c r="AH46" s="313" t="str">
        <f t="shared" si="10"/>
        <v/>
      </c>
      <c r="AI46" s="581">
        <f t="shared" si="11"/>
        <v>1</v>
      </c>
      <c r="AM46" s="313" t="str">
        <f t="shared" si="12"/>
        <v/>
      </c>
      <c r="AN46" s="581">
        <f t="shared" si="13"/>
        <v>1</v>
      </c>
      <c r="AR46" s="313" t="str">
        <f t="shared" si="14"/>
        <v/>
      </c>
      <c r="AS46" s="581">
        <f t="shared" si="15"/>
        <v>1</v>
      </c>
      <c r="AW46" s="313" t="str">
        <f t="shared" si="16"/>
        <v/>
      </c>
    </row>
    <row r="47" spans="5:49" x14ac:dyDescent="0.25">
      <c r="E47" s="581">
        <f t="shared" si="0"/>
        <v>43678</v>
      </c>
      <c r="F47" s="2">
        <v>43682</v>
      </c>
      <c r="G47" t="s">
        <v>1026</v>
      </c>
      <c r="H47" s="313">
        <v>-10000</v>
      </c>
      <c r="I47" s="313">
        <f t="shared" si="18"/>
        <v>59862.95</v>
      </c>
      <c r="J47" s="581">
        <f t="shared" si="1"/>
        <v>43739</v>
      </c>
      <c r="K47" s="2">
        <v>43740</v>
      </c>
      <c r="L47" t="s">
        <v>1060</v>
      </c>
      <c r="M47" s="313">
        <v>-21100</v>
      </c>
      <c r="N47" s="313">
        <f t="shared" si="19"/>
        <v>42852</v>
      </c>
      <c r="O47" s="581">
        <f t="shared" si="3"/>
        <v>1</v>
      </c>
      <c r="S47" s="313" t="str">
        <f t="shared" si="4"/>
        <v/>
      </c>
      <c r="T47" s="581">
        <f t="shared" si="5"/>
        <v>1</v>
      </c>
      <c r="X47" s="313" t="str">
        <f t="shared" si="6"/>
        <v/>
      </c>
      <c r="Y47" s="581">
        <f t="shared" si="7"/>
        <v>1</v>
      </c>
      <c r="AC47" s="313" t="str">
        <f t="shared" si="8"/>
        <v/>
      </c>
      <c r="AD47" s="581">
        <f t="shared" si="9"/>
        <v>1</v>
      </c>
      <c r="AH47" s="313" t="str">
        <f t="shared" si="10"/>
        <v/>
      </c>
      <c r="AI47" s="581">
        <f t="shared" si="11"/>
        <v>1</v>
      </c>
      <c r="AM47" s="313" t="str">
        <f t="shared" si="12"/>
        <v/>
      </c>
      <c r="AN47" s="581">
        <f t="shared" si="13"/>
        <v>1</v>
      </c>
      <c r="AR47" s="313" t="str">
        <f t="shared" si="14"/>
        <v/>
      </c>
      <c r="AS47" s="581">
        <f t="shared" si="15"/>
        <v>1</v>
      </c>
      <c r="AW47" s="313" t="str">
        <f t="shared" si="16"/>
        <v/>
      </c>
    </row>
    <row r="48" spans="5:49" x14ac:dyDescent="0.25">
      <c r="E48" s="581">
        <f t="shared" si="0"/>
        <v>43709</v>
      </c>
      <c r="F48" s="2">
        <v>43711</v>
      </c>
      <c r="G48" t="s">
        <v>1035</v>
      </c>
      <c r="H48" s="313">
        <v>-23400</v>
      </c>
      <c r="I48" s="313">
        <f t="shared" si="18"/>
        <v>36462.949999999997</v>
      </c>
      <c r="J48" s="581">
        <f t="shared" si="1"/>
        <v>43739</v>
      </c>
      <c r="K48" s="2">
        <v>43758</v>
      </c>
      <c r="L48" t="s">
        <v>1065</v>
      </c>
      <c r="M48" s="313">
        <v>-25900</v>
      </c>
      <c r="N48" s="313">
        <f t="shared" si="19"/>
        <v>16952</v>
      </c>
      <c r="O48" s="581">
        <f t="shared" si="3"/>
        <v>1</v>
      </c>
      <c r="S48" s="313" t="str">
        <f t="shared" si="4"/>
        <v/>
      </c>
      <c r="T48" s="581">
        <f t="shared" si="5"/>
        <v>1</v>
      </c>
      <c r="X48" s="313" t="str">
        <f t="shared" si="6"/>
        <v/>
      </c>
      <c r="Y48" s="581">
        <f t="shared" si="7"/>
        <v>1</v>
      </c>
      <c r="AC48" s="313" t="str">
        <f t="shared" si="8"/>
        <v/>
      </c>
      <c r="AD48" s="581">
        <f t="shared" si="9"/>
        <v>1</v>
      </c>
      <c r="AH48" s="313" t="str">
        <f t="shared" si="10"/>
        <v/>
      </c>
      <c r="AI48" s="581">
        <f t="shared" si="11"/>
        <v>1</v>
      </c>
      <c r="AM48" s="313" t="str">
        <f t="shared" si="12"/>
        <v/>
      </c>
      <c r="AN48" s="581">
        <f t="shared" si="13"/>
        <v>1</v>
      </c>
      <c r="AR48" s="313" t="str">
        <f t="shared" si="14"/>
        <v/>
      </c>
      <c r="AS48" s="581">
        <f t="shared" si="15"/>
        <v>1</v>
      </c>
      <c r="AW48" s="313" t="str">
        <f t="shared" si="16"/>
        <v/>
      </c>
    </row>
    <row r="49" spans="5:49" x14ac:dyDescent="0.25">
      <c r="E49" s="581">
        <f t="shared" si="0"/>
        <v>43739</v>
      </c>
      <c r="F49" s="2">
        <v>43740</v>
      </c>
      <c r="G49" t="s">
        <v>1060</v>
      </c>
      <c r="H49" s="313">
        <v>-21100</v>
      </c>
      <c r="I49" s="313">
        <f t="shared" si="18"/>
        <v>15362.95</v>
      </c>
      <c r="J49" s="581">
        <f t="shared" si="1"/>
        <v>43770</v>
      </c>
      <c r="K49" s="2">
        <v>43787</v>
      </c>
      <c r="L49" t="s">
        <v>1250</v>
      </c>
      <c r="M49" s="313">
        <v>100000</v>
      </c>
      <c r="N49" s="313">
        <f t="shared" si="19"/>
        <v>116952</v>
      </c>
      <c r="O49" s="581">
        <f t="shared" si="3"/>
        <v>1</v>
      </c>
      <c r="S49" s="313" t="str">
        <f t="shared" ref="S49:S51" si="20">IF(ISBLANK(R49),"",ROUND(S3+R49,2))</f>
        <v/>
      </c>
      <c r="T49" s="581">
        <f t="shared" si="5"/>
        <v>1</v>
      </c>
      <c r="X49" s="313" t="str">
        <f t="shared" ref="X49:X51" si="21">IF(ISBLANK(W49),"",ROUND(X3+W49,2))</f>
        <v/>
      </c>
      <c r="Y49" s="581">
        <f t="shared" si="7"/>
        <v>1</v>
      </c>
      <c r="AC49" s="313" t="str">
        <f t="shared" ref="AC49:AC51" si="22">IF(ISBLANK(AB49),"",ROUND(AC3+AB49,2))</f>
        <v/>
      </c>
      <c r="AD49" s="581">
        <f t="shared" si="9"/>
        <v>1</v>
      </c>
      <c r="AH49" s="313" t="str">
        <f t="shared" ref="AH49:AH51" si="23">IF(ISBLANK(AG49),"",ROUND(AH3+AG49,2))</f>
        <v/>
      </c>
      <c r="AI49" s="581">
        <f t="shared" si="11"/>
        <v>1</v>
      </c>
      <c r="AM49" s="313" t="str">
        <f t="shared" ref="AM49:AM51" si="24">IF(ISBLANK(AL49),"",ROUND(AM3+AL49,2))</f>
        <v/>
      </c>
      <c r="AN49" s="581">
        <f t="shared" si="13"/>
        <v>1</v>
      </c>
      <c r="AR49" s="313" t="str">
        <f t="shared" ref="AR49:AR51" si="25">IF(ISBLANK(AQ49),"",ROUND(AR3+AQ49,2))</f>
        <v/>
      </c>
      <c r="AS49" s="581">
        <f t="shared" si="15"/>
        <v>1</v>
      </c>
      <c r="AW49" s="313" t="str">
        <f t="shared" ref="AW49:AW51" si="26">IF(ISBLANK(AV49),"",ROUND(AW3+AV49,2))</f>
        <v/>
      </c>
    </row>
    <row r="50" spans="5:49" x14ac:dyDescent="0.25">
      <c r="E50" s="581">
        <f t="shared" si="0"/>
        <v>43770</v>
      </c>
      <c r="F50" s="2">
        <v>43782</v>
      </c>
      <c r="G50" t="s">
        <v>1251</v>
      </c>
      <c r="H50" s="313">
        <v>500000</v>
      </c>
      <c r="I50" s="313">
        <f t="shared" si="18"/>
        <v>515362.95</v>
      </c>
      <c r="J50" s="581">
        <f t="shared" si="1"/>
        <v>43770</v>
      </c>
      <c r="K50" s="2">
        <v>43787</v>
      </c>
      <c r="L50" t="s">
        <v>1084</v>
      </c>
      <c r="M50" s="313">
        <v>-73500</v>
      </c>
      <c r="N50" s="313">
        <f t="shared" si="19"/>
        <v>43452</v>
      </c>
      <c r="O50" s="581">
        <f t="shared" si="3"/>
        <v>1</v>
      </c>
      <c r="S50" s="313" t="str">
        <f t="shared" si="20"/>
        <v/>
      </c>
      <c r="T50" s="581">
        <f t="shared" si="5"/>
        <v>1</v>
      </c>
      <c r="X50" s="313" t="str">
        <f t="shared" si="21"/>
        <v/>
      </c>
      <c r="Y50" s="581">
        <f t="shared" si="7"/>
        <v>1</v>
      </c>
      <c r="AC50" s="313" t="str">
        <f t="shared" si="22"/>
        <v/>
      </c>
      <c r="AD50" s="581">
        <f t="shared" si="9"/>
        <v>1</v>
      </c>
      <c r="AH50" s="313" t="str">
        <f t="shared" si="23"/>
        <v/>
      </c>
      <c r="AI50" s="581">
        <f t="shared" si="11"/>
        <v>1</v>
      </c>
      <c r="AM50" s="313" t="str">
        <f t="shared" si="24"/>
        <v/>
      </c>
      <c r="AN50" s="581">
        <f t="shared" si="13"/>
        <v>1</v>
      </c>
      <c r="AR50" s="313" t="str">
        <f t="shared" si="25"/>
        <v/>
      </c>
      <c r="AS50" s="581">
        <f t="shared" si="15"/>
        <v>1</v>
      </c>
      <c r="AW50" s="313" t="str">
        <f t="shared" si="26"/>
        <v/>
      </c>
    </row>
    <row r="51" spans="5:49" x14ac:dyDescent="0.25">
      <c r="E51" s="581">
        <f t="shared" si="0"/>
        <v>43770</v>
      </c>
      <c r="F51" s="2">
        <v>43782</v>
      </c>
      <c r="G51" t="s">
        <v>1078</v>
      </c>
      <c r="H51" s="313">
        <v>-107900</v>
      </c>
      <c r="I51" s="313">
        <f t="shared" si="18"/>
        <v>407462.95</v>
      </c>
      <c r="J51" s="581">
        <f t="shared" si="1"/>
        <v>43800</v>
      </c>
      <c r="K51" s="2">
        <v>43810</v>
      </c>
      <c r="L51" t="s">
        <v>1252</v>
      </c>
      <c r="M51" s="313">
        <v>200000</v>
      </c>
      <c r="N51" s="313">
        <f t="shared" si="19"/>
        <v>243452</v>
      </c>
      <c r="O51" s="581">
        <f t="shared" si="3"/>
        <v>1</v>
      </c>
      <c r="S51" s="313" t="str">
        <f t="shared" si="20"/>
        <v/>
      </c>
      <c r="T51" s="581">
        <f t="shared" si="5"/>
        <v>1</v>
      </c>
      <c r="X51" s="313" t="str">
        <f t="shared" si="21"/>
        <v/>
      </c>
      <c r="Y51" s="581">
        <f t="shared" si="7"/>
        <v>1</v>
      </c>
      <c r="AC51" s="313" t="str">
        <f t="shared" si="22"/>
        <v/>
      </c>
      <c r="AD51" s="581">
        <f t="shared" si="9"/>
        <v>1</v>
      </c>
      <c r="AH51" s="313" t="str">
        <f t="shared" si="23"/>
        <v/>
      </c>
      <c r="AI51" s="581">
        <f t="shared" si="11"/>
        <v>1</v>
      </c>
      <c r="AM51" s="313" t="str">
        <f t="shared" si="24"/>
        <v/>
      </c>
      <c r="AN51" s="581">
        <f t="shared" si="13"/>
        <v>1</v>
      </c>
      <c r="AR51" s="313" t="str">
        <f t="shared" si="25"/>
        <v/>
      </c>
      <c r="AS51" s="581">
        <f t="shared" si="15"/>
        <v>1</v>
      </c>
      <c r="AW51" s="313" t="str">
        <f t="shared" si="26"/>
        <v/>
      </c>
    </row>
    <row r="52" spans="5:49" x14ac:dyDescent="0.25">
      <c r="E52" s="581">
        <f t="shared" si="0"/>
        <v>43770</v>
      </c>
      <c r="F52" s="2">
        <v>43799</v>
      </c>
      <c r="G52" t="s">
        <v>1100</v>
      </c>
      <c r="H52" s="313">
        <v>-81750</v>
      </c>
      <c r="I52" s="313">
        <f t="shared" si="18"/>
        <v>325712.95</v>
      </c>
      <c r="J52" s="581">
        <f t="shared" si="1"/>
        <v>43800</v>
      </c>
      <c r="K52" s="2">
        <v>43810</v>
      </c>
      <c r="L52" t="s">
        <v>1100</v>
      </c>
      <c r="M52" s="313">
        <v>-105250</v>
      </c>
      <c r="N52" s="313">
        <f t="shared" si="19"/>
        <v>138202</v>
      </c>
      <c r="O52" s="581">
        <f t="shared" si="3"/>
        <v>1</v>
      </c>
      <c r="S52" s="313" t="str">
        <f t="shared" ref="S52:S68" si="27">IF(ISBLANK(R52),"",ROUND(S31+R52,2))</f>
        <v/>
      </c>
      <c r="T52" s="581">
        <f t="shared" si="5"/>
        <v>1</v>
      </c>
      <c r="X52" s="313" t="str">
        <f t="shared" ref="X52:X68" si="28">IF(ISBLANK(W52),"",ROUND(X31+W52,2))</f>
        <v/>
      </c>
      <c r="Y52" s="581">
        <f t="shared" si="7"/>
        <v>1</v>
      </c>
      <c r="AC52" s="313" t="str">
        <f t="shared" ref="AC52:AC68" si="29">IF(ISBLANK(AB52),"",ROUND(AC31+AB52,2))</f>
        <v/>
      </c>
      <c r="AD52" s="581">
        <f t="shared" si="9"/>
        <v>1</v>
      </c>
      <c r="AH52" s="313" t="str">
        <f t="shared" ref="AH52:AH68" si="30">IF(ISBLANK(AG52),"",ROUND(AH31+AG52,2))</f>
        <v/>
      </c>
      <c r="AI52" s="581">
        <f t="shared" si="11"/>
        <v>1</v>
      </c>
      <c r="AM52" s="313" t="str">
        <f t="shared" ref="AM52:AM68" si="31">IF(ISBLANK(AL52),"",ROUND(AM31+AL52,2))</f>
        <v/>
      </c>
      <c r="AN52" s="581">
        <f t="shared" si="13"/>
        <v>1</v>
      </c>
      <c r="AR52" s="313" t="str">
        <f t="shared" ref="AR52:AR68" si="32">IF(ISBLANK(AQ52),"",ROUND(AR31+AQ52,2))</f>
        <v/>
      </c>
      <c r="AS52" s="581">
        <f t="shared" si="15"/>
        <v>1</v>
      </c>
      <c r="AW52" s="313" t="str">
        <f t="shared" ref="AW52:AW68" si="33">IF(ISBLANK(AV52),"",ROUND(AW31+AV52,2))</f>
        <v/>
      </c>
    </row>
    <row r="53" spans="5:49" x14ac:dyDescent="0.25">
      <c r="E53" s="581">
        <f t="shared" si="0"/>
        <v>43831</v>
      </c>
      <c r="F53" s="2">
        <v>43834</v>
      </c>
      <c r="G53" t="s">
        <v>1121</v>
      </c>
      <c r="H53" s="313">
        <v>-136250</v>
      </c>
      <c r="I53" s="313">
        <f t="shared" si="18"/>
        <v>189462.95</v>
      </c>
      <c r="J53" s="581">
        <f t="shared" si="1"/>
        <v>43831</v>
      </c>
      <c r="K53" s="2">
        <v>43834</v>
      </c>
      <c r="L53" t="s">
        <v>1121</v>
      </c>
      <c r="M53" s="313">
        <v>-136250</v>
      </c>
      <c r="N53" s="313">
        <f t="shared" si="19"/>
        <v>1952</v>
      </c>
      <c r="O53" s="581">
        <f t="shared" si="3"/>
        <v>1</v>
      </c>
      <c r="S53" s="313" t="str">
        <f t="shared" si="27"/>
        <v/>
      </c>
      <c r="T53" s="581">
        <f t="shared" si="5"/>
        <v>1</v>
      </c>
      <c r="X53" s="313" t="str">
        <f t="shared" si="28"/>
        <v/>
      </c>
      <c r="Y53" s="581">
        <f t="shared" si="7"/>
        <v>1</v>
      </c>
      <c r="AC53" s="313" t="str">
        <f t="shared" si="29"/>
        <v/>
      </c>
      <c r="AD53" s="581">
        <f t="shared" si="9"/>
        <v>1</v>
      </c>
      <c r="AH53" s="313" t="str">
        <f t="shared" si="30"/>
        <v/>
      </c>
      <c r="AI53" s="581">
        <f t="shared" si="11"/>
        <v>1</v>
      </c>
      <c r="AM53" s="313" t="str">
        <f t="shared" si="31"/>
        <v/>
      </c>
      <c r="AN53" s="581">
        <f t="shared" si="13"/>
        <v>1</v>
      </c>
      <c r="AR53" s="313" t="str">
        <f t="shared" si="32"/>
        <v/>
      </c>
      <c r="AS53" s="581">
        <f t="shared" si="15"/>
        <v>1</v>
      </c>
      <c r="AW53" s="313" t="str">
        <f t="shared" si="33"/>
        <v/>
      </c>
    </row>
    <row r="54" spans="5:49" x14ac:dyDescent="0.25">
      <c r="E54" s="581">
        <f t="shared" si="0"/>
        <v>43862</v>
      </c>
      <c r="F54" s="2">
        <v>43864</v>
      </c>
      <c r="G54" t="s">
        <v>1142</v>
      </c>
      <c r="H54" s="313">
        <v>-136250</v>
      </c>
      <c r="I54" s="313">
        <f t="shared" si="18"/>
        <v>53212.95</v>
      </c>
      <c r="J54" s="581">
        <f t="shared" si="1"/>
        <v>43831</v>
      </c>
      <c r="K54" s="2">
        <v>43839</v>
      </c>
      <c r="L54" t="s">
        <v>1253</v>
      </c>
      <c r="M54" s="313">
        <v>140000</v>
      </c>
      <c r="N54" s="313">
        <f t="shared" si="19"/>
        <v>141952</v>
      </c>
      <c r="O54" s="581">
        <f t="shared" si="3"/>
        <v>1</v>
      </c>
      <c r="S54" s="313" t="str">
        <f t="shared" si="27"/>
        <v/>
      </c>
      <c r="T54" s="581">
        <f t="shared" si="5"/>
        <v>1</v>
      </c>
      <c r="X54" s="313" t="str">
        <f t="shared" si="28"/>
        <v/>
      </c>
      <c r="Y54" s="581">
        <f t="shared" si="7"/>
        <v>1</v>
      </c>
      <c r="AC54" s="313" t="str">
        <f t="shared" si="29"/>
        <v/>
      </c>
      <c r="AD54" s="581">
        <f t="shared" si="9"/>
        <v>1</v>
      </c>
      <c r="AH54" s="313" t="str">
        <f t="shared" si="30"/>
        <v/>
      </c>
      <c r="AI54" s="581">
        <f t="shared" si="11"/>
        <v>1</v>
      </c>
      <c r="AM54" s="313" t="str">
        <f t="shared" si="31"/>
        <v/>
      </c>
      <c r="AN54" s="581">
        <f t="shared" si="13"/>
        <v>1</v>
      </c>
      <c r="AR54" s="313" t="str">
        <f t="shared" si="32"/>
        <v/>
      </c>
      <c r="AS54" s="581">
        <f t="shared" si="15"/>
        <v>1</v>
      </c>
      <c r="AW54" s="313" t="str">
        <f t="shared" si="33"/>
        <v/>
      </c>
    </row>
    <row r="55" spans="5:49" x14ac:dyDescent="0.25">
      <c r="E55" s="581">
        <f t="shared" si="0"/>
        <v>43891</v>
      </c>
      <c r="F55" s="2">
        <v>43900</v>
      </c>
      <c r="G55" t="s">
        <v>1254</v>
      </c>
      <c r="H55" s="313">
        <v>1000000</v>
      </c>
      <c r="I55" s="313">
        <f t="shared" si="18"/>
        <v>1053212.95</v>
      </c>
      <c r="J55" s="581">
        <f t="shared" si="1"/>
        <v>43831</v>
      </c>
      <c r="K55" s="2">
        <v>43839</v>
      </c>
      <c r="L55" t="s">
        <v>1142</v>
      </c>
      <c r="M55" s="313">
        <v>-136250</v>
      </c>
      <c r="N55" s="313">
        <f t="shared" si="19"/>
        <v>5702</v>
      </c>
      <c r="O55" s="581">
        <f t="shared" si="3"/>
        <v>1</v>
      </c>
      <c r="S55" s="313" t="str">
        <f t="shared" si="27"/>
        <v/>
      </c>
      <c r="T55" s="581">
        <f t="shared" si="5"/>
        <v>1</v>
      </c>
      <c r="X55" s="313" t="str">
        <f t="shared" si="28"/>
        <v/>
      </c>
      <c r="Y55" s="581">
        <f t="shared" si="7"/>
        <v>1</v>
      </c>
      <c r="AC55" s="313" t="str">
        <f t="shared" si="29"/>
        <v/>
      </c>
      <c r="AD55" s="581">
        <f t="shared" si="9"/>
        <v>1</v>
      </c>
      <c r="AH55" s="313" t="str">
        <f t="shared" si="30"/>
        <v/>
      </c>
      <c r="AI55" s="581">
        <f t="shared" si="11"/>
        <v>1</v>
      </c>
      <c r="AM55" s="313" t="str">
        <f t="shared" si="31"/>
        <v/>
      </c>
      <c r="AN55" s="581">
        <f t="shared" si="13"/>
        <v>1</v>
      </c>
      <c r="AR55" s="313" t="str">
        <f t="shared" si="32"/>
        <v/>
      </c>
      <c r="AS55" s="581">
        <f t="shared" si="15"/>
        <v>1</v>
      </c>
      <c r="AW55" s="313" t="str">
        <f t="shared" si="33"/>
        <v/>
      </c>
    </row>
    <row r="56" spans="5:49" x14ac:dyDescent="0.25">
      <c r="E56" s="581">
        <f t="shared" si="0"/>
        <v>43891</v>
      </c>
      <c r="F56" s="2">
        <v>43900</v>
      </c>
      <c r="G56" t="s">
        <v>1163</v>
      </c>
      <c r="H56" s="313">
        <v>-185250</v>
      </c>
      <c r="I56" s="313">
        <f t="shared" si="18"/>
        <v>867962.95</v>
      </c>
      <c r="J56" s="581">
        <f t="shared" si="1"/>
        <v>43891</v>
      </c>
      <c r="K56" s="2">
        <v>43896</v>
      </c>
      <c r="L56" t="s">
        <v>1255</v>
      </c>
      <c r="M56" s="313">
        <v>400000</v>
      </c>
      <c r="N56" s="313">
        <f t="shared" si="19"/>
        <v>405702</v>
      </c>
      <c r="O56" s="581">
        <f t="shared" si="3"/>
        <v>1</v>
      </c>
      <c r="S56" s="313" t="str">
        <f t="shared" si="27"/>
        <v/>
      </c>
      <c r="T56" s="581">
        <f t="shared" si="5"/>
        <v>1</v>
      </c>
      <c r="X56" s="313" t="str">
        <f t="shared" si="28"/>
        <v/>
      </c>
      <c r="Y56" s="581">
        <f t="shared" si="7"/>
        <v>1</v>
      </c>
      <c r="AC56" s="313" t="str">
        <f t="shared" si="29"/>
        <v/>
      </c>
      <c r="AD56" s="581">
        <f t="shared" si="9"/>
        <v>1</v>
      </c>
      <c r="AH56" s="313" t="str">
        <f t="shared" si="30"/>
        <v/>
      </c>
      <c r="AI56" s="581">
        <f t="shared" si="11"/>
        <v>1</v>
      </c>
      <c r="AM56" s="313" t="str">
        <f t="shared" si="31"/>
        <v/>
      </c>
      <c r="AN56" s="581">
        <f t="shared" si="13"/>
        <v>1</v>
      </c>
      <c r="AR56" s="313" t="str">
        <f t="shared" si="32"/>
        <v/>
      </c>
      <c r="AS56" s="581">
        <f t="shared" si="15"/>
        <v>1</v>
      </c>
      <c r="AW56" s="313" t="str">
        <f t="shared" si="33"/>
        <v/>
      </c>
    </row>
    <row r="57" spans="5:49" x14ac:dyDescent="0.25">
      <c r="E57" s="581">
        <f t="shared" si="0"/>
        <v>1</v>
      </c>
      <c r="I57" s="313" t="str">
        <f t="shared" si="18"/>
        <v/>
      </c>
      <c r="J57" s="581">
        <f t="shared" si="1"/>
        <v>43891</v>
      </c>
      <c r="K57" s="2">
        <v>43896</v>
      </c>
      <c r="L57" t="s">
        <v>1163</v>
      </c>
      <c r="M57" s="313">
        <v>-185250</v>
      </c>
      <c r="N57" s="313">
        <f t="shared" si="19"/>
        <v>220452</v>
      </c>
      <c r="O57" s="581">
        <f t="shared" si="3"/>
        <v>1</v>
      </c>
      <c r="S57" s="313" t="str">
        <f t="shared" si="27"/>
        <v/>
      </c>
      <c r="T57" s="581">
        <f t="shared" si="5"/>
        <v>1</v>
      </c>
      <c r="X57" s="313" t="str">
        <f t="shared" si="28"/>
        <v/>
      </c>
      <c r="Y57" s="581">
        <f t="shared" si="7"/>
        <v>1</v>
      </c>
      <c r="AC57" s="313" t="str">
        <f t="shared" si="29"/>
        <v/>
      </c>
      <c r="AD57" s="581">
        <f t="shared" si="9"/>
        <v>1</v>
      </c>
      <c r="AH57" s="313" t="str">
        <f t="shared" si="30"/>
        <v/>
      </c>
      <c r="AI57" s="581">
        <f t="shared" si="11"/>
        <v>1</v>
      </c>
      <c r="AM57" s="313" t="str">
        <f t="shared" si="31"/>
        <v/>
      </c>
      <c r="AN57" s="581">
        <f t="shared" si="13"/>
        <v>1</v>
      </c>
      <c r="AR57" s="313" t="str">
        <f t="shared" si="32"/>
        <v/>
      </c>
      <c r="AS57" s="581">
        <f t="shared" si="15"/>
        <v>1</v>
      </c>
      <c r="AW57" s="313" t="str">
        <f t="shared" si="33"/>
        <v/>
      </c>
    </row>
    <row r="58" spans="5:49" x14ac:dyDescent="0.25">
      <c r="E58" s="581">
        <f t="shared" si="0"/>
        <v>1</v>
      </c>
      <c r="I58" s="313" t="str">
        <f t="shared" si="18"/>
        <v/>
      </c>
      <c r="J58" s="581">
        <f t="shared" si="1"/>
        <v>1</v>
      </c>
      <c r="N58" s="313" t="str">
        <f t="shared" si="19"/>
        <v/>
      </c>
      <c r="O58" s="581">
        <f t="shared" si="3"/>
        <v>1</v>
      </c>
      <c r="S58" s="313" t="str">
        <f t="shared" si="27"/>
        <v/>
      </c>
      <c r="T58" s="581">
        <f t="shared" si="5"/>
        <v>1</v>
      </c>
      <c r="X58" s="313" t="str">
        <f t="shared" si="28"/>
        <v/>
      </c>
      <c r="Y58" s="581">
        <f t="shared" si="7"/>
        <v>1</v>
      </c>
      <c r="AC58" s="313" t="str">
        <f t="shared" si="29"/>
        <v/>
      </c>
      <c r="AD58" s="581">
        <f t="shared" si="9"/>
        <v>1</v>
      </c>
      <c r="AH58" s="313" t="str">
        <f t="shared" si="30"/>
        <v/>
      </c>
      <c r="AI58" s="581">
        <f t="shared" si="11"/>
        <v>1</v>
      </c>
      <c r="AM58" s="313" t="str">
        <f t="shared" si="31"/>
        <v/>
      </c>
      <c r="AN58" s="581">
        <f t="shared" si="13"/>
        <v>1</v>
      </c>
      <c r="AR58" s="313" t="str">
        <f t="shared" si="32"/>
        <v/>
      </c>
      <c r="AS58" s="581">
        <f t="shared" si="15"/>
        <v>1</v>
      </c>
      <c r="AW58" s="313" t="str">
        <f t="shared" si="33"/>
        <v/>
      </c>
    </row>
    <row r="59" spans="5:49" x14ac:dyDescent="0.25">
      <c r="E59" s="581">
        <f t="shared" si="0"/>
        <v>1</v>
      </c>
      <c r="I59" s="313" t="str">
        <f t="shared" si="18"/>
        <v/>
      </c>
      <c r="J59" s="581">
        <f t="shared" si="1"/>
        <v>1</v>
      </c>
      <c r="N59" s="313" t="str">
        <f t="shared" si="19"/>
        <v/>
      </c>
      <c r="O59" s="581">
        <f t="shared" si="3"/>
        <v>1</v>
      </c>
      <c r="S59" s="313" t="str">
        <f t="shared" si="27"/>
        <v/>
      </c>
      <c r="T59" s="581">
        <f t="shared" si="5"/>
        <v>1</v>
      </c>
      <c r="X59" s="313" t="str">
        <f t="shared" si="28"/>
        <v/>
      </c>
      <c r="Y59" s="581">
        <f t="shared" si="7"/>
        <v>1</v>
      </c>
      <c r="AC59" s="313" t="str">
        <f t="shared" si="29"/>
        <v/>
      </c>
      <c r="AD59" s="581">
        <f t="shared" si="9"/>
        <v>1</v>
      </c>
      <c r="AH59" s="313" t="str">
        <f t="shared" si="30"/>
        <v/>
      </c>
      <c r="AI59" s="581">
        <f t="shared" si="11"/>
        <v>1</v>
      </c>
      <c r="AM59" s="313" t="str">
        <f t="shared" si="31"/>
        <v/>
      </c>
      <c r="AN59" s="581">
        <f t="shared" si="13"/>
        <v>1</v>
      </c>
      <c r="AR59" s="313" t="str">
        <f t="shared" si="32"/>
        <v/>
      </c>
      <c r="AS59" s="581">
        <f t="shared" si="15"/>
        <v>1</v>
      </c>
      <c r="AW59" s="313" t="str">
        <f t="shared" si="33"/>
        <v/>
      </c>
    </row>
    <row r="60" spans="5:49" x14ac:dyDescent="0.25">
      <c r="E60" s="581">
        <f t="shared" si="0"/>
        <v>1</v>
      </c>
      <c r="I60" s="313" t="str">
        <f t="shared" si="18"/>
        <v/>
      </c>
      <c r="J60" s="581">
        <f t="shared" si="1"/>
        <v>1</v>
      </c>
      <c r="N60" s="313" t="str">
        <f t="shared" si="19"/>
        <v/>
      </c>
      <c r="O60" s="581">
        <f t="shared" si="3"/>
        <v>1</v>
      </c>
      <c r="S60" s="313" t="str">
        <f t="shared" si="27"/>
        <v/>
      </c>
      <c r="T60" s="581">
        <f t="shared" si="5"/>
        <v>1</v>
      </c>
      <c r="X60" s="313" t="str">
        <f t="shared" si="28"/>
        <v/>
      </c>
      <c r="Y60" s="581">
        <f t="shared" si="7"/>
        <v>1</v>
      </c>
      <c r="AC60" s="313" t="str">
        <f t="shared" si="29"/>
        <v/>
      </c>
      <c r="AD60" s="581">
        <f t="shared" si="9"/>
        <v>1</v>
      </c>
      <c r="AH60" s="313" t="str">
        <f t="shared" si="30"/>
        <v/>
      </c>
      <c r="AI60" s="581">
        <f t="shared" si="11"/>
        <v>1</v>
      </c>
      <c r="AM60" s="313" t="str">
        <f t="shared" si="31"/>
        <v/>
      </c>
      <c r="AN60" s="581">
        <f t="shared" si="13"/>
        <v>1</v>
      </c>
      <c r="AR60" s="313" t="str">
        <f t="shared" si="32"/>
        <v/>
      </c>
      <c r="AS60" s="581">
        <f t="shared" si="15"/>
        <v>1</v>
      </c>
      <c r="AW60" s="313" t="str">
        <f t="shared" si="33"/>
        <v/>
      </c>
    </row>
    <row r="61" spans="5:49" x14ac:dyDescent="0.25">
      <c r="E61" s="581">
        <f t="shared" si="0"/>
        <v>1</v>
      </c>
      <c r="I61" s="313" t="str">
        <f t="shared" si="18"/>
        <v/>
      </c>
      <c r="J61" s="581">
        <f t="shared" si="1"/>
        <v>1</v>
      </c>
      <c r="N61" s="313" t="str">
        <f t="shared" si="19"/>
        <v/>
      </c>
      <c r="O61" s="581">
        <f t="shared" si="3"/>
        <v>1</v>
      </c>
      <c r="S61" s="313" t="str">
        <f t="shared" si="27"/>
        <v/>
      </c>
      <c r="T61" s="581">
        <f t="shared" si="5"/>
        <v>1</v>
      </c>
      <c r="X61" s="313" t="str">
        <f t="shared" si="28"/>
        <v/>
      </c>
      <c r="Y61" s="581">
        <f t="shared" si="7"/>
        <v>1</v>
      </c>
      <c r="AC61" s="313" t="str">
        <f t="shared" si="29"/>
        <v/>
      </c>
      <c r="AD61" s="581">
        <f t="shared" si="9"/>
        <v>1</v>
      </c>
      <c r="AH61" s="313" t="str">
        <f t="shared" si="30"/>
        <v/>
      </c>
      <c r="AI61" s="581">
        <f t="shared" si="11"/>
        <v>1</v>
      </c>
      <c r="AM61" s="313" t="str">
        <f t="shared" si="31"/>
        <v/>
      </c>
      <c r="AN61" s="581">
        <f t="shared" si="13"/>
        <v>1</v>
      </c>
      <c r="AR61" s="313" t="str">
        <f t="shared" si="32"/>
        <v/>
      </c>
      <c r="AS61" s="581">
        <f t="shared" si="15"/>
        <v>1</v>
      </c>
      <c r="AW61" s="313" t="str">
        <f t="shared" si="33"/>
        <v/>
      </c>
    </row>
    <row r="62" spans="5:49" x14ac:dyDescent="0.25">
      <c r="E62" s="581">
        <f t="shared" si="0"/>
        <v>1</v>
      </c>
      <c r="I62" s="313" t="str">
        <f t="shared" si="18"/>
        <v/>
      </c>
      <c r="J62" s="581">
        <f t="shared" si="1"/>
        <v>1</v>
      </c>
      <c r="N62" s="313" t="str">
        <f t="shared" si="19"/>
        <v/>
      </c>
      <c r="O62" s="581">
        <f t="shared" si="3"/>
        <v>1</v>
      </c>
      <c r="S62" s="313" t="str">
        <f t="shared" si="27"/>
        <v/>
      </c>
      <c r="T62" s="581">
        <f t="shared" si="5"/>
        <v>1</v>
      </c>
      <c r="X62" s="313" t="str">
        <f t="shared" si="28"/>
        <v/>
      </c>
      <c r="Y62" s="581">
        <f t="shared" si="7"/>
        <v>1</v>
      </c>
      <c r="AC62" s="313" t="str">
        <f t="shared" si="29"/>
        <v/>
      </c>
      <c r="AD62" s="581">
        <f t="shared" si="9"/>
        <v>1</v>
      </c>
      <c r="AH62" s="313" t="str">
        <f t="shared" si="30"/>
        <v/>
      </c>
      <c r="AI62" s="581">
        <f t="shared" si="11"/>
        <v>1</v>
      </c>
      <c r="AM62" s="313" t="str">
        <f t="shared" si="31"/>
        <v/>
      </c>
      <c r="AN62" s="581">
        <f t="shared" si="13"/>
        <v>1</v>
      </c>
      <c r="AR62" s="313" t="str">
        <f t="shared" si="32"/>
        <v/>
      </c>
      <c r="AS62" s="581">
        <f t="shared" si="15"/>
        <v>1</v>
      </c>
      <c r="AW62" s="313" t="str">
        <f t="shared" si="33"/>
        <v/>
      </c>
    </row>
    <row r="63" spans="5:49" x14ac:dyDescent="0.25">
      <c r="E63" s="581">
        <f t="shared" si="0"/>
        <v>1</v>
      </c>
      <c r="I63" s="313" t="str">
        <f t="shared" si="18"/>
        <v/>
      </c>
      <c r="J63" s="581">
        <f t="shared" si="1"/>
        <v>1</v>
      </c>
      <c r="N63" s="313" t="str">
        <f t="shared" si="19"/>
        <v/>
      </c>
      <c r="O63" s="581">
        <f t="shared" si="3"/>
        <v>1</v>
      </c>
      <c r="S63" s="313" t="str">
        <f t="shared" si="27"/>
        <v/>
      </c>
      <c r="T63" s="581">
        <f t="shared" si="5"/>
        <v>1</v>
      </c>
      <c r="X63" s="313" t="str">
        <f t="shared" si="28"/>
        <v/>
      </c>
      <c r="Y63" s="581">
        <f t="shared" si="7"/>
        <v>1</v>
      </c>
      <c r="AC63" s="313" t="str">
        <f t="shared" si="29"/>
        <v/>
      </c>
      <c r="AD63" s="581">
        <f t="shared" si="9"/>
        <v>1</v>
      </c>
      <c r="AH63" s="313" t="str">
        <f t="shared" si="30"/>
        <v/>
      </c>
      <c r="AI63" s="581">
        <f t="shared" si="11"/>
        <v>1</v>
      </c>
      <c r="AM63" s="313" t="str">
        <f t="shared" si="31"/>
        <v/>
      </c>
      <c r="AN63" s="581">
        <f t="shared" si="13"/>
        <v>1</v>
      </c>
      <c r="AR63" s="313" t="str">
        <f t="shared" si="32"/>
        <v/>
      </c>
      <c r="AS63" s="581">
        <f t="shared" si="15"/>
        <v>1</v>
      </c>
      <c r="AW63" s="313" t="str">
        <f t="shared" si="33"/>
        <v/>
      </c>
    </row>
    <row r="64" spans="5:49" x14ac:dyDescent="0.25">
      <c r="E64" s="581">
        <f t="shared" si="0"/>
        <v>1</v>
      </c>
      <c r="I64" s="313" t="str">
        <f t="shared" si="18"/>
        <v/>
      </c>
      <c r="J64" s="581">
        <f t="shared" si="1"/>
        <v>1</v>
      </c>
      <c r="N64" s="313" t="str">
        <f t="shared" si="19"/>
        <v/>
      </c>
      <c r="O64" s="581">
        <f t="shared" si="3"/>
        <v>1</v>
      </c>
      <c r="S64" s="313" t="str">
        <f t="shared" si="27"/>
        <v/>
      </c>
      <c r="T64" s="581">
        <f t="shared" si="5"/>
        <v>1</v>
      </c>
      <c r="X64" s="313" t="str">
        <f t="shared" si="28"/>
        <v/>
      </c>
      <c r="Y64" s="581">
        <f t="shared" si="7"/>
        <v>1</v>
      </c>
      <c r="AC64" s="313" t="str">
        <f t="shared" si="29"/>
        <v/>
      </c>
      <c r="AD64" s="581">
        <f t="shared" si="9"/>
        <v>1</v>
      </c>
      <c r="AH64" s="313" t="str">
        <f t="shared" si="30"/>
        <v/>
      </c>
      <c r="AI64" s="581">
        <f t="shared" si="11"/>
        <v>1</v>
      </c>
      <c r="AM64" s="313" t="str">
        <f t="shared" si="31"/>
        <v/>
      </c>
      <c r="AN64" s="581">
        <f t="shared" si="13"/>
        <v>1</v>
      </c>
      <c r="AR64" s="313" t="str">
        <f t="shared" si="32"/>
        <v/>
      </c>
      <c r="AS64" s="581">
        <f t="shared" si="15"/>
        <v>1</v>
      </c>
      <c r="AW64" s="313" t="str">
        <f t="shared" si="33"/>
        <v/>
      </c>
    </row>
    <row r="65" spans="1:49" x14ac:dyDescent="0.25">
      <c r="E65" s="581">
        <f t="shared" si="0"/>
        <v>1</v>
      </c>
      <c r="I65" s="313" t="str">
        <f t="shared" si="18"/>
        <v/>
      </c>
      <c r="J65" s="581">
        <f t="shared" si="1"/>
        <v>1</v>
      </c>
      <c r="N65" s="313" t="str">
        <f t="shared" si="19"/>
        <v/>
      </c>
      <c r="O65" s="581">
        <f t="shared" si="3"/>
        <v>1</v>
      </c>
      <c r="S65" s="313" t="str">
        <f t="shared" si="27"/>
        <v/>
      </c>
      <c r="T65" s="581">
        <f t="shared" si="5"/>
        <v>1</v>
      </c>
      <c r="X65" s="313" t="str">
        <f t="shared" si="28"/>
        <v/>
      </c>
      <c r="Y65" s="581">
        <f t="shared" si="7"/>
        <v>1</v>
      </c>
      <c r="AC65" s="313" t="str">
        <f t="shared" si="29"/>
        <v/>
      </c>
      <c r="AD65" s="581">
        <f t="shared" si="9"/>
        <v>1</v>
      </c>
      <c r="AH65" s="313" t="str">
        <f t="shared" si="30"/>
        <v/>
      </c>
      <c r="AI65" s="581">
        <f t="shared" si="11"/>
        <v>1</v>
      </c>
      <c r="AM65" s="313" t="str">
        <f t="shared" si="31"/>
        <v/>
      </c>
      <c r="AN65" s="581">
        <f t="shared" si="13"/>
        <v>1</v>
      </c>
      <c r="AR65" s="313" t="str">
        <f t="shared" si="32"/>
        <v/>
      </c>
      <c r="AS65" s="581">
        <f t="shared" si="15"/>
        <v>1</v>
      </c>
      <c r="AW65" s="313" t="str">
        <f t="shared" si="33"/>
        <v/>
      </c>
    </row>
    <row r="66" spans="1:49" x14ac:dyDescent="0.25">
      <c r="E66" s="581">
        <f t="shared" si="0"/>
        <v>1</v>
      </c>
      <c r="I66" s="313" t="str">
        <f t="shared" si="18"/>
        <v/>
      </c>
      <c r="J66" s="581">
        <f t="shared" si="1"/>
        <v>1</v>
      </c>
      <c r="N66" s="313" t="str">
        <f t="shared" si="19"/>
        <v/>
      </c>
      <c r="O66" s="581">
        <f t="shared" si="3"/>
        <v>1</v>
      </c>
      <c r="S66" s="313" t="str">
        <f t="shared" si="27"/>
        <v/>
      </c>
      <c r="T66" s="581">
        <f t="shared" si="5"/>
        <v>1</v>
      </c>
      <c r="X66" s="313" t="str">
        <f t="shared" si="28"/>
        <v/>
      </c>
      <c r="Y66" s="581">
        <f t="shared" si="7"/>
        <v>1</v>
      </c>
      <c r="AC66" s="313" t="str">
        <f t="shared" si="29"/>
        <v/>
      </c>
      <c r="AD66" s="581">
        <f t="shared" si="9"/>
        <v>1</v>
      </c>
      <c r="AH66" s="313" t="str">
        <f t="shared" si="30"/>
        <v/>
      </c>
      <c r="AI66" s="581">
        <f t="shared" si="11"/>
        <v>1</v>
      </c>
      <c r="AM66" s="313" t="str">
        <f t="shared" si="31"/>
        <v/>
      </c>
      <c r="AN66" s="581">
        <f t="shared" si="13"/>
        <v>1</v>
      </c>
      <c r="AR66" s="313" t="str">
        <f t="shared" si="32"/>
        <v/>
      </c>
      <c r="AS66" s="581">
        <f t="shared" si="15"/>
        <v>1</v>
      </c>
      <c r="AW66" s="313" t="str">
        <f t="shared" si="33"/>
        <v/>
      </c>
    </row>
    <row r="67" spans="1:49" x14ac:dyDescent="0.25">
      <c r="E67" s="581">
        <f t="shared" si="0"/>
        <v>1</v>
      </c>
      <c r="I67" s="313" t="str">
        <f t="shared" si="18"/>
        <v/>
      </c>
      <c r="J67" s="581">
        <f t="shared" si="1"/>
        <v>1</v>
      </c>
      <c r="N67" s="313" t="str">
        <f t="shared" si="19"/>
        <v/>
      </c>
      <c r="O67" s="581">
        <f t="shared" si="3"/>
        <v>1</v>
      </c>
      <c r="S67" s="313" t="str">
        <f t="shared" si="27"/>
        <v/>
      </c>
      <c r="T67" s="581">
        <f t="shared" si="5"/>
        <v>1</v>
      </c>
      <c r="X67" s="313" t="str">
        <f t="shared" si="28"/>
        <v/>
      </c>
      <c r="Y67" s="581">
        <f t="shared" si="7"/>
        <v>1</v>
      </c>
      <c r="AC67" s="313" t="str">
        <f t="shared" si="29"/>
        <v/>
      </c>
      <c r="AD67" s="581">
        <f t="shared" si="9"/>
        <v>1</v>
      </c>
      <c r="AH67" s="313" t="str">
        <f t="shared" si="30"/>
        <v/>
      </c>
      <c r="AI67" s="581">
        <f t="shared" si="11"/>
        <v>1</v>
      </c>
      <c r="AM67" s="313" t="str">
        <f t="shared" si="31"/>
        <v/>
      </c>
      <c r="AN67" s="581">
        <f t="shared" si="13"/>
        <v>1</v>
      </c>
      <c r="AR67" s="313" t="str">
        <f t="shared" si="32"/>
        <v/>
      </c>
      <c r="AS67" s="581">
        <f t="shared" si="15"/>
        <v>1</v>
      </c>
      <c r="AW67" s="313" t="str">
        <f t="shared" si="33"/>
        <v/>
      </c>
    </row>
    <row r="68" spans="1:49" x14ac:dyDescent="0.25">
      <c r="E68" s="581">
        <f t="shared" si="0"/>
        <v>1</v>
      </c>
      <c r="I68" s="313" t="str">
        <f t="shared" si="18"/>
        <v/>
      </c>
      <c r="J68" s="581">
        <f t="shared" si="1"/>
        <v>1</v>
      </c>
      <c r="N68" s="313" t="str">
        <f t="shared" si="19"/>
        <v/>
      </c>
      <c r="O68" s="581">
        <f t="shared" si="3"/>
        <v>1</v>
      </c>
      <c r="S68" s="313" t="str">
        <f t="shared" si="27"/>
        <v/>
      </c>
      <c r="T68" s="581">
        <f t="shared" si="5"/>
        <v>1</v>
      </c>
      <c r="X68" s="313" t="str">
        <f t="shared" si="28"/>
        <v/>
      </c>
      <c r="Y68" s="581">
        <f t="shared" si="7"/>
        <v>1</v>
      </c>
      <c r="AC68" s="313" t="str">
        <f t="shared" si="29"/>
        <v/>
      </c>
      <c r="AD68" s="581">
        <f t="shared" si="9"/>
        <v>1</v>
      </c>
      <c r="AH68" s="313" t="str">
        <f t="shared" si="30"/>
        <v/>
      </c>
      <c r="AI68" s="581">
        <f t="shared" si="11"/>
        <v>1</v>
      </c>
      <c r="AM68" s="313" t="str">
        <f t="shared" si="31"/>
        <v/>
      </c>
      <c r="AN68" s="581">
        <f t="shared" si="13"/>
        <v>1</v>
      </c>
      <c r="AR68" s="313" t="str">
        <f t="shared" si="32"/>
        <v/>
      </c>
      <c r="AS68" s="581">
        <f t="shared" si="15"/>
        <v>1</v>
      </c>
      <c r="AW68" s="313" t="str">
        <f t="shared" si="33"/>
        <v/>
      </c>
    </row>
    <row r="69" spans="1:49" x14ac:dyDescent="0.25">
      <c r="E69" s="581">
        <f t="shared" si="0"/>
        <v>1</v>
      </c>
      <c r="I69" s="313" t="str">
        <f t="shared" si="18"/>
        <v/>
      </c>
      <c r="J69" s="581">
        <f t="shared" si="1"/>
        <v>1</v>
      </c>
      <c r="N69" s="313" t="str">
        <f t="shared" si="19"/>
        <v/>
      </c>
      <c r="O69" s="581">
        <f t="shared" si="3"/>
        <v>1</v>
      </c>
      <c r="S69" s="313" t="str">
        <f t="shared" ref="S69:S74" si="34">IF(ISBLANK(R69),"",ROUND(S43+R69,2))</f>
        <v/>
      </c>
      <c r="T69" s="581">
        <f t="shared" si="5"/>
        <v>1</v>
      </c>
      <c r="X69" s="313" t="str">
        <f t="shared" ref="X69:X74" si="35">IF(ISBLANK(W69),"",ROUND(X43+W69,2))</f>
        <v/>
      </c>
      <c r="Y69" s="581">
        <f t="shared" si="7"/>
        <v>1</v>
      </c>
      <c r="AC69" s="313" t="str">
        <f t="shared" ref="AC69:AC74" si="36">IF(ISBLANK(AB69),"",ROUND(AC43+AB69,2))</f>
        <v/>
      </c>
      <c r="AD69" s="581">
        <f t="shared" si="9"/>
        <v>1</v>
      </c>
      <c r="AH69" s="313" t="str">
        <f t="shared" ref="AH69:AH74" si="37">IF(ISBLANK(AG69),"",ROUND(AH43+AG69,2))</f>
        <v/>
      </c>
      <c r="AI69" s="581">
        <f t="shared" si="11"/>
        <v>1</v>
      </c>
      <c r="AM69" s="313" t="str">
        <f t="shared" ref="AM69:AM74" si="38">IF(ISBLANK(AL69),"",ROUND(AM43+AL69,2))</f>
        <v/>
      </c>
      <c r="AN69" s="581">
        <f t="shared" si="13"/>
        <v>1</v>
      </c>
      <c r="AR69" s="313" t="str">
        <f t="shared" ref="AR69:AR74" si="39">IF(ISBLANK(AQ69),"",ROUND(AR43+AQ69,2))</f>
        <v/>
      </c>
      <c r="AS69" s="581">
        <f t="shared" si="15"/>
        <v>1</v>
      </c>
      <c r="AW69" s="313" t="str">
        <f t="shared" ref="AW69:AW74" si="40">IF(ISBLANK(AV69),"",ROUND(AW43+AV69,2))</f>
        <v/>
      </c>
    </row>
    <row r="70" spans="1:49" x14ac:dyDescent="0.25">
      <c r="E70" s="581">
        <f t="shared" si="0"/>
        <v>1</v>
      </c>
      <c r="I70" s="313" t="str">
        <f t="shared" si="18"/>
        <v/>
      </c>
      <c r="J70" s="581">
        <f t="shared" si="1"/>
        <v>1</v>
      </c>
      <c r="N70" s="313" t="str">
        <f t="shared" si="19"/>
        <v/>
      </c>
      <c r="O70" s="581">
        <f t="shared" si="3"/>
        <v>1</v>
      </c>
      <c r="S70" s="313" t="str">
        <f t="shared" si="34"/>
        <v/>
      </c>
      <c r="T70" s="581">
        <f t="shared" si="5"/>
        <v>1</v>
      </c>
      <c r="X70" s="313" t="str">
        <f t="shared" si="35"/>
        <v/>
      </c>
      <c r="Y70" s="581">
        <f t="shared" si="7"/>
        <v>1</v>
      </c>
      <c r="AC70" s="313" t="str">
        <f t="shared" si="36"/>
        <v/>
      </c>
      <c r="AD70" s="581">
        <f t="shared" si="9"/>
        <v>1</v>
      </c>
      <c r="AH70" s="313" t="str">
        <f t="shared" si="37"/>
        <v/>
      </c>
      <c r="AI70" s="581">
        <f t="shared" si="11"/>
        <v>1</v>
      </c>
      <c r="AM70" s="313" t="str">
        <f t="shared" si="38"/>
        <v/>
      </c>
      <c r="AN70" s="581">
        <f t="shared" si="13"/>
        <v>1</v>
      </c>
      <c r="AR70" s="313" t="str">
        <f t="shared" si="39"/>
        <v/>
      </c>
      <c r="AS70" s="581">
        <f t="shared" si="15"/>
        <v>1</v>
      </c>
      <c r="AW70" s="313" t="str">
        <f t="shared" si="40"/>
        <v/>
      </c>
    </row>
    <row r="71" spans="1:49" x14ac:dyDescent="0.25">
      <c r="E71" s="581">
        <f t="shared" si="0"/>
        <v>1</v>
      </c>
      <c r="I71" s="313" t="str">
        <f t="shared" ref="I71:I74" si="41">IF(ISBLANK(H71),"",ROUND(I45+H71,2))</f>
        <v/>
      </c>
      <c r="J71" s="581">
        <f t="shared" si="1"/>
        <v>1</v>
      </c>
      <c r="N71" s="313" t="str">
        <f t="shared" si="19"/>
        <v/>
      </c>
      <c r="O71" s="581">
        <f t="shared" si="3"/>
        <v>1</v>
      </c>
      <c r="S71" s="313" t="str">
        <f t="shared" si="34"/>
        <v/>
      </c>
      <c r="T71" s="581">
        <f t="shared" si="5"/>
        <v>1</v>
      </c>
      <c r="X71" s="313" t="str">
        <f t="shared" si="35"/>
        <v/>
      </c>
      <c r="Y71" s="581">
        <f t="shared" si="7"/>
        <v>1</v>
      </c>
      <c r="AC71" s="313" t="str">
        <f t="shared" si="36"/>
        <v/>
      </c>
      <c r="AD71" s="581">
        <f t="shared" si="9"/>
        <v>1</v>
      </c>
      <c r="AH71" s="313" t="str">
        <f t="shared" si="37"/>
        <v/>
      </c>
      <c r="AI71" s="581">
        <f t="shared" si="11"/>
        <v>1</v>
      </c>
      <c r="AM71" s="313" t="str">
        <f t="shared" si="38"/>
        <v/>
      </c>
      <c r="AN71" s="581">
        <f t="shared" si="13"/>
        <v>1</v>
      </c>
      <c r="AR71" s="313" t="str">
        <f t="shared" si="39"/>
        <v/>
      </c>
      <c r="AS71" s="581">
        <f t="shared" si="15"/>
        <v>1</v>
      </c>
      <c r="AW71" s="313" t="str">
        <f t="shared" si="40"/>
        <v/>
      </c>
    </row>
    <row r="72" spans="1:49" x14ac:dyDescent="0.25">
      <c r="E72" s="581">
        <f t="shared" si="0"/>
        <v>1</v>
      </c>
      <c r="I72" s="313" t="str">
        <f t="shared" si="41"/>
        <v/>
      </c>
      <c r="J72" s="581">
        <f t="shared" si="1"/>
        <v>1</v>
      </c>
      <c r="N72" s="313" t="str">
        <f t="shared" si="19"/>
        <v/>
      </c>
      <c r="O72" s="581">
        <f t="shared" si="3"/>
        <v>1</v>
      </c>
      <c r="S72" s="313" t="str">
        <f t="shared" si="34"/>
        <v/>
      </c>
      <c r="T72" s="581">
        <f t="shared" si="5"/>
        <v>1</v>
      </c>
      <c r="X72" s="313" t="str">
        <f t="shared" si="35"/>
        <v/>
      </c>
      <c r="Y72" s="581">
        <f t="shared" si="7"/>
        <v>1</v>
      </c>
      <c r="AC72" s="313" t="str">
        <f t="shared" si="36"/>
        <v/>
      </c>
      <c r="AD72" s="581">
        <f t="shared" si="9"/>
        <v>1</v>
      </c>
      <c r="AH72" s="313" t="str">
        <f t="shared" si="37"/>
        <v/>
      </c>
      <c r="AI72" s="581">
        <f t="shared" si="11"/>
        <v>1</v>
      </c>
      <c r="AM72" s="313" t="str">
        <f t="shared" si="38"/>
        <v/>
      </c>
      <c r="AN72" s="581">
        <f t="shared" si="13"/>
        <v>1</v>
      </c>
      <c r="AR72" s="313" t="str">
        <f t="shared" si="39"/>
        <v/>
      </c>
      <c r="AS72" s="581">
        <f t="shared" si="15"/>
        <v>1</v>
      </c>
      <c r="AW72" s="313" t="str">
        <f t="shared" si="40"/>
        <v/>
      </c>
    </row>
    <row r="73" spans="1:49" x14ac:dyDescent="0.25">
      <c r="E73" s="581">
        <f t="shared" si="0"/>
        <v>1</v>
      </c>
      <c r="I73" s="313" t="str">
        <f t="shared" si="41"/>
        <v/>
      </c>
      <c r="J73" s="581">
        <f t="shared" si="1"/>
        <v>1</v>
      </c>
      <c r="N73" s="313" t="str">
        <f t="shared" si="19"/>
        <v/>
      </c>
      <c r="O73" s="581">
        <f t="shared" si="3"/>
        <v>1</v>
      </c>
      <c r="S73" s="313" t="str">
        <f t="shared" si="34"/>
        <v/>
      </c>
      <c r="T73" s="581">
        <f t="shared" si="5"/>
        <v>1</v>
      </c>
      <c r="X73" s="313" t="str">
        <f t="shared" si="35"/>
        <v/>
      </c>
      <c r="Y73" s="581">
        <f t="shared" si="7"/>
        <v>1</v>
      </c>
      <c r="AC73" s="313" t="str">
        <f t="shared" si="36"/>
        <v/>
      </c>
      <c r="AD73" s="581">
        <f t="shared" si="9"/>
        <v>1</v>
      </c>
      <c r="AH73" s="313" t="str">
        <f t="shared" si="37"/>
        <v/>
      </c>
      <c r="AI73" s="581">
        <f t="shared" si="11"/>
        <v>1</v>
      </c>
      <c r="AM73" s="313" t="str">
        <f t="shared" si="38"/>
        <v/>
      </c>
      <c r="AN73" s="581">
        <f t="shared" si="13"/>
        <v>1</v>
      </c>
      <c r="AR73" s="313" t="str">
        <f t="shared" si="39"/>
        <v/>
      </c>
      <c r="AS73" s="581">
        <f t="shared" si="15"/>
        <v>1</v>
      </c>
      <c r="AW73" s="313" t="str">
        <f t="shared" si="40"/>
        <v/>
      </c>
    </row>
    <row r="74" spans="1:49" x14ac:dyDescent="0.25">
      <c r="A74" s="595" t="s">
        <v>1256</v>
      </c>
      <c r="E74" s="581">
        <f t="shared" si="0"/>
        <v>1</v>
      </c>
      <c r="I74" s="313" t="str">
        <f t="shared" si="41"/>
        <v/>
      </c>
      <c r="J74" s="581">
        <f t="shared" si="1"/>
        <v>1</v>
      </c>
      <c r="N74" s="313" t="str">
        <f t="shared" si="19"/>
        <v/>
      </c>
      <c r="O74" s="581">
        <f t="shared" si="3"/>
        <v>1</v>
      </c>
      <c r="S74" s="313" t="str">
        <f t="shared" si="34"/>
        <v/>
      </c>
      <c r="T74" s="581">
        <f t="shared" si="5"/>
        <v>1</v>
      </c>
      <c r="X74" s="313" t="str">
        <f t="shared" si="35"/>
        <v/>
      </c>
      <c r="Y74" s="581">
        <f t="shared" si="7"/>
        <v>1</v>
      </c>
      <c r="AC74" s="313" t="str">
        <f t="shared" si="36"/>
        <v/>
      </c>
      <c r="AD74" s="581">
        <f t="shared" si="9"/>
        <v>1</v>
      </c>
      <c r="AH74" s="313" t="str">
        <f t="shared" si="37"/>
        <v/>
      </c>
      <c r="AI74" s="581">
        <f t="shared" si="11"/>
        <v>1</v>
      </c>
      <c r="AM74" s="313" t="str">
        <f t="shared" si="38"/>
        <v/>
      </c>
      <c r="AN74" s="581">
        <f t="shared" si="13"/>
        <v>1</v>
      </c>
      <c r="AR74" s="313" t="str">
        <f t="shared" si="39"/>
        <v/>
      </c>
      <c r="AS74" s="581">
        <f t="shared" si="15"/>
        <v>1</v>
      </c>
      <c r="AW74" s="313" t="str">
        <f t="shared" si="40"/>
        <v/>
      </c>
    </row>
    <row r="75" spans="1:49" x14ac:dyDescent="0.25">
      <c r="E75" s="581">
        <f t="shared" si="0"/>
        <v>1</v>
      </c>
      <c r="I75" s="313" t="str">
        <f t="shared" si="18"/>
        <v/>
      </c>
      <c r="J75" s="581">
        <f t="shared" si="1"/>
        <v>1</v>
      </c>
      <c r="N75" s="313" t="str">
        <f t="shared" si="19"/>
        <v/>
      </c>
      <c r="O75" s="581">
        <f t="shared" si="3"/>
        <v>1</v>
      </c>
      <c r="S75" s="313" t="str">
        <f t="shared" si="4"/>
        <v/>
      </c>
      <c r="T75" s="581">
        <f t="shared" si="5"/>
        <v>1</v>
      </c>
      <c r="X75" s="313" t="str">
        <f t="shared" si="6"/>
        <v/>
      </c>
      <c r="Y75" s="581">
        <f t="shared" si="7"/>
        <v>1</v>
      </c>
      <c r="AC75" s="313" t="str">
        <f t="shared" si="8"/>
        <v/>
      </c>
      <c r="AD75" s="581">
        <f t="shared" si="9"/>
        <v>1</v>
      </c>
      <c r="AH75" s="313" t="str">
        <f t="shared" si="10"/>
        <v/>
      </c>
      <c r="AI75" s="581">
        <f t="shared" si="11"/>
        <v>1</v>
      </c>
      <c r="AM75" s="313" t="str">
        <f t="shared" si="12"/>
        <v/>
      </c>
      <c r="AN75" s="581">
        <f t="shared" si="13"/>
        <v>1</v>
      </c>
      <c r="AR75" s="313" t="str">
        <f t="shared" si="14"/>
        <v/>
      </c>
      <c r="AS75" s="581">
        <f t="shared" si="15"/>
        <v>1</v>
      </c>
      <c r="AW75" s="313" t="str">
        <f t="shared" si="16"/>
        <v/>
      </c>
    </row>
    <row r="76" spans="1:49" x14ac:dyDescent="0.25">
      <c r="E76" s="582"/>
      <c r="F76" s="578"/>
      <c r="G76" s="134"/>
      <c r="H76" s="579"/>
      <c r="I76" s="579"/>
      <c r="J76" s="582"/>
      <c r="K76" s="578"/>
      <c r="L76" s="134"/>
      <c r="M76" s="579"/>
      <c r="N76" s="579"/>
      <c r="O76" s="582"/>
      <c r="P76" s="578"/>
      <c r="Q76" s="134"/>
      <c r="R76" s="579"/>
      <c r="S76" s="579"/>
      <c r="T76" s="582"/>
      <c r="U76" s="578"/>
      <c r="V76" s="134"/>
      <c r="W76" s="579"/>
      <c r="X76" s="579"/>
      <c r="Y76" s="582"/>
      <c r="Z76" s="578"/>
      <c r="AA76" s="134"/>
      <c r="AB76" s="579"/>
      <c r="AC76" s="579"/>
      <c r="AD76" s="582"/>
      <c r="AE76" s="578"/>
      <c r="AF76" s="134"/>
      <c r="AG76" s="579"/>
      <c r="AH76" s="579"/>
      <c r="AI76" s="582"/>
      <c r="AJ76" s="578"/>
      <c r="AK76" s="134"/>
      <c r="AL76" s="579"/>
      <c r="AM76" s="579"/>
      <c r="AN76" s="582"/>
      <c r="AO76" s="578"/>
      <c r="AP76" s="134"/>
      <c r="AQ76" s="579"/>
      <c r="AR76" s="579"/>
      <c r="AS76" s="582"/>
      <c r="AT76" s="578"/>
      <c r="AU76" s="134"/>
      <c r="AV76" s="579"/>
      <c r="AW76" s="579"/>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E41"/>
  <sheetViews>
    <sheetView showGridLines="0" zoomScale="86" zoomScaleNormal="86" zoomScaleSheetLayoutView="100" workbookViewId="0">
      <selection activeCell="A36" sqref="A36:E36"/>
    </sheetView>
  </sheetViews>
  <sheetFormatPr baseColWidth="10" defaultColWidth="9.140625" defaultRowHeight="15" x14ac:dyDescent="0.25"/>
  <cols>
    <col min="3" max="3" width="9.28515625" bestFit="1" customWidth="1"/>
    <col min="4" max="4" width="10.85546875" bestFit="1" customWidth="1"/>
    <col min="5" max="5" width="9.7109375" bestFit="1" customWidth="1"/>
    <col min="13" max="13" width="6.140625" style="159" customWidth="1"/>
    <col min="14" max="18" width="10.28515625" style="322" bestFit="1" customWidth="1"/>
    <col min="19" max="19" width="11.42578125" style="322" bestFit="1" customWidth="1"/>
    <col min="20" max="20" width="3.7109375" customWidth="1"/>
    <col min="21" max="21" width="9.7109375" style="159" customWidth="1"/>
    <col min="22" max="22" width="10.140625" style="159" bestFit="1" customWidth="1"/>
    <col min="26" max="26" width="9.7109375" bestFit="1" customWidth="1"/>
    <col min="29" max="29" width="25.42578125" bestFit="1" customWidth="1"/>
  </cols>
  <sheetData>
    <row r="1" spans="2:31" s="71" customFormat="1" ht="18.75" x14ac:dyDescent="0.3">
      <c r="M1" s="328" t="s">
        <v>1257</v>
      </c>
      <c r="N1" s="324"/>
      <c r="O1" s="328"/>
      <c r="P1" s="328"/>
      <c r="Q1" s="328"/>
      <c r="R1" s="328"/>
      <c r="S1" s="328"/>
      <c r="U1" s="324" t="s">
        <v>1258</v>
      </c>
      <c r="V1" s="324"/>
      <c r="W1" s="324"/>
      <c r="Y1" s="71" t="s">
        <v>1259</v>
      </c>
    </row>
    <row r="2" spans="2:31" s="321" customFormat="1" x14ac:dyDescent="0.25">
      <c r="B2" s="343" t="str">
        <f ca="1">"al "&amp;TEXT($A$36,"dd mmm. ")&amp;TEXT(YEAR($A$36),"0")</f>
        <v>al 22 mar. 2020</v>
      </c>
      <c r="M2" s="327" t="s">
        <v>13</v>
      </c>
      <c r="N2" s="327">
        <f t="shared" ref="N2:Q2" ca="1" si="0">EDATE(O2,-1)</f>
        <v>43739</v>
      </c>
      <c r="O2" s="327">
        <f t="shared" ca="1" si="0"/>
        <v>43770</v>
      </c>
      <c r="P2" s="327">
        <f t="shared" ca="1" si="0"/>
        <v>43800</v>
      </c>
      <c r="Q2" s="327">
        <f t="shared" ca="1" si="0"/>
        <v>43831</v>
      </c>
      <c r="R2" s="327">
        <f ca="1">EDATE(S2,-1)</f>
        <v>43862</v>
      </c>
      <c r="S2" s="327">
        <f ca="1">DATE(YEAR($A$36),MONTH($A$36),1)</f>
        <v>43891</v>
      </c>
      <c r="T2" s="325"/>
      <c r="U2" s="326" t="s">
        <v>1260</v>
      </c>
      <c r="V2" s="327">
        <f ca="1">S2</f>
        <v>43891</v>
      </c>
      <c r="W2" s="326" t="s">
        <v>1261</v>
      </c>
      <c r="Y2" s="549" t="s">
        <v>14</v>
      </c>
      <c r="Z2" s="549" t="s">
        <v>3</v>
      </c>
      <c r="AA2" s="550" t="s">
        <v>1262</v>
      </c>
      <c r="AB2" s="551" t="str">
        <f ca="1">"Promedio últimos 12 meses = "&amp;TEXT(AB3,"#")&amp;"; actual = "&amp;TEXT(AA15,"#")</f>
        <v>Promedio últimos 12 meses = 81; actual = 41</v>
      </c>
      <c r="AC2" s="612">
        <v>55</v>
      </c>
      <c r="AD2" s="322"/>
      <c r="AE2" s="322"/>
    </row>
    <row r="3" spans="2:31" x14ac:dyDescent="0.25">
      <c r="M3" s="159">
        <v>1</v>
      </c>
      <c r="N3" s="329">
        <f ca="1">SUMIFS(Vigilancia!$E:$E,Vigilancia!$O:$O,N$2,Vigilancia!$N:$N,$M3,Vigilancia!$J:$J,"Vigilancia")/N35</f>
        <v>2.5242424242424243E-2</v>
      </c>
      <c r="O3" s="329">
        <f ca="1">SUMIFS(Vigilancia!$E:$E,Vigilancia!$O:$O,O$2,Vigilancia!$N:$N,$M3,Vigilancia!$J:$J,"Vigilancia")/O35</f>
        <v>2.2121212121212121E-2</v>
      </c>
      <c r="P3" s="329">
        <f ca="1">SUMIFS(Vigilancia!$E:$E,Vigilancia!$O:$O,P$2,Vigilancia!$N:$N,$M3,Vigilancia!$J:$J,"Vigilancia")/P35</f>
        <v>0.31324787153579114</v>
      </c>
      <c r="Q3" s="329">
        <f ca="1">SUMIFS(Vigilancia!$E:$E,Vigilancia!$O:$O,Q$2,Vigilancia!$N:$N,$M3,Vigilancia!$J:$J,"Vigilancia")/Q35</f>
        <v>9.3089645328451303E-3</v>
      </c>
      <c r="R3" s="329">
        <f ca="1">SUMIFS(Vigilancia!$E:$E,Vigilancia!$O:$O,R$2,Vigilancia!$N:$N,$M3,Vigilancia!$J:$J,"Vigilancia")/R35</f>
        <v>3.3822361235229866E-2</v>
      </c>
      <c r="S3" s="329">
        <f ca="1">IF(S$2+M3-1&gt;$A$36,NA(),SUMIFS(Vigilancia!$E:$E,Vigilancia!$O:$O,S$2,Vigilancia!$N:$N,$M3,Vigilancia!$J:$J,"Vigilancia")/S35)</f>
        <v>0</v>
      </c>
      <c r="U3" s="330">
        <f ca="1">AVERAGE(N3:R3)</f>
        <v>8.0748566733500504E-2</v>
      </c>
      <c r="V3" s="330">
        <f ca="1">S3</f>
        <v>0</v>
      </c>
      <c r="W3" s="330">
        <v>1</v>
      </c>
      <c r="Y3" s="522">
        <v>1</v>
      </c>
      <c r="Z3" s="643">
        <f ca="1">EDATE(Z$15,-12)</f>
        <v>43525</v>
      </c>
      <c r="AA3" s="547">
        <f ca="1">INDEX('RESUMEN VIGILANCIA'!$D$145:$AZ$145,1,MATCH(Z3,'RESUMEN VIGILANCIA'!$D$1:$AZ$1))</f>
        <v>81.238516666666669</v>
      </c>
      <c r="AB3" s="548">
        <f ca="1">AVERAGE(AA3:AA14)</f>
        <v>81.455188061749297</v>
      </c>
      <c r="AC3" s="611">
        <f>$AC$2</f>
        <v>55</v>
      </c>
      <c r="AD3" s="322"/>
      <c r="AE3" s="322"/>
    </row>
    <row r="4" spans="2:31" x14ac:dyDescent="0.25">
      <c r="M4" s="159">
        <v>2</v>
      </c>
      <c r="N4" s="329">
        <f ca="1">N3+SUMIFS(Vigilancia!$E:$E,Vigilancia!$O:$O,N$2,Vigilancia!$N:$N,$M4,Vigilancia!$J:$J,"Vigilancia")/N$35</f>
        <v>8.572188484848485E-2</v>
      </c>
      <c r="O4" s="329">
        <f ca="1">O3+SUMIFS(Vigilancia!$E:$E,Vigilancia!$O:$O,O$2,Vigilancia!$N:$N,$M4,Vigilancia!$J:$J,"Vigilancia")/O$35</f>
        <v>2.2121212121212121E-2</v>
      </c>
      <c r="P4" s="329">
        <f ca="1">P3+SUMIFS(Vigilancia!$E:$E,Vigilancia!$O:$O,P$2,Vigilancia!$N:$N,$M4,Vigilancia!$J:$J,"Vigilancia")/P$35</f>
        <v>0.31324787153579114</v>
      </c>
      <c r="Q4" s="329">
        <f ca="1">Q3+SUMIFS(Vigilancia!$E:$E,Vigilancia!$O:$O,Q$2,Vigilancia!$N:$N,$M4,Vigilancia!$J:$J,"Vigilancia")/Q$35</f>
        <v>2.5638439817544295E-2</v>
      </c>
      <c r="R4" s="329">
        <f ca="1">R3+SUMIFS(Vigilancia!$E:$E,Vigilancia!$O:$O,R$2,Vigilancia!$N:$N,$M4,Vigilancia!$J:$J,"Vigilancia")/R$35</f>
        <v>0.18232424784033363</v>
      </c>
      <c r="S4" s="329">
        <f ca="1">IF(S$2+M4-1&gt;$A$36,NA(),S3+SUMIFS(Vigilancia!$E:$E,Vigilancia!$O:$O,S$2,Vigilancia!$N:$N,$M4,Vigilancia!$J:$J,"Vigilancia")/S$35)</f>
        <v>0</v>
      </c>
      <c r="U4" s="330">
        <f t="shared" ref="U4:U33" ca="1" si="1">AVERAGE(N4:R4)</f>
        <v>0.12581073123267322</v>
      </c>
      <c r="V4" s="330">
        <f t="shared" ref="V4:V33" ca="1" si="2">S4</f>
        <v>0</v>
      </c>
      <c r="W4" s="330">
        <v>1</v>
      </c>
      <c r="Y4" s="522">
        <v>2</v>
      </c>
      <c r="Z4" s="643">
        <f ca="1">EDATE(Z$15,-11)</f>
        <v>43556</v>
      </c>
      <c r="AA4" s="547">
        <f ca="1">INDEX('RESUMEN VIGILANCIA'!$D$145:$AZ$145,1,MATCH(Z4,'RESUMEN VIGILANCIA'!$D$1:$AZ$1))</f>
        <v>78.426000000000002</v>
      </c>
      <c r="AB4" s="548">
        <f t="shared" ref="AB4:AB15" ca="1" si="3">AB$3</f>
        <v>81.455188061749297</v>
      </c>
      <c r="AC4" s="611">
        <f t="shared" ref="AC4:AC15" si="4">$AC$2</f>
        <v>55</v>
      </c>
      <c r="AD4" s="322"/>
      <c r="AE4" s="322"/>
    </row>
    <row r="5" spans="2:31" x14ac:dyDescent="0.25">
      <c r="M5" s="159">
        <v>3</v>
      </c>
      <c r="N5" s="329">
        <f ca="1">N4+SUMIFS(Vigilancia!$E:$E,Vigilancia!$O:$O,N$2,Vigilancia!$N:$N,$M5,Vigilancia!$J:$J,"Vigilancia")/N$35</f>
        <v>0.12732794545454545</v>
      </c>
      <c r="O5" s="329">
        <f ca="1">O4+SUMIFS(Vigilancia!$E:$E,Vigilancia!$O:$O,O$2,Vigilancia!$N:$N,$M5,Vigilancia!$J:$J,"Vigilancia")/O$35</f>
        <v>4.6969696969696967E-2</v>
      </c>
      <c r="P5" s="329">
        <f ca="1">P4+SUMIFS(Vigilancia!$E:$E,Vigilancia!$O:$O,P$2,Vigilancia!$N:$N,$M5,Vigilancia!$J:$J,"Vigilancia")/P$35</f>
        <v>0.4281558481857145</v>
      </c>
      <c r="Q5" s="329">
        <f ca="1">Q4+SUMIFS(Vigilancia!$E:$E,Vigilancia!$O:$O,Q$2,Vigilancia!$N:$N,$M5,Vigilancia!$J:$J,"Vigilancia")/Q$35</f>
        <v>4.1967915102243458E-2</v>
      </c>
      <c r="R5" s="329">
        <f ca="1">R4+SUMIFS(Vigilancia!$E:$E,Vigilancia!$O:$O,R$2,Vigilancia!$N:$N,$M5,Vigilancia!$J:$J,"Vigilancia")/R$35</f>
        <v>0.25167560321715821</v>
      </c>
      <c r="S5" s="329">
        <f ca="1">IF(S$2+M5-1&gt;$A$36,NA(),S4+SUMIFS(Vigilancia!$E:$E,Vigilancia!$O:$O,S$2,Vigilancia!$N:$N,$M5,Vigilancia!$J:$J,"Vigilancia")/S$35)</f>
        <v>9.6487439181809159E-2</v>
      </c>
      <c r="U5" s="330">
        <f t="shared" ca="1" si="1"/>
        <v>0.17921940178587173</v>
      </c>
      <c r="V5" s="330">
        <f t="shared" ca="1" si="2"/>
        <v>9.6487439181809159E-2</v>
      </c>
      <c r="W5" s="330">
        <v>1</v>
      </c>
      <c r="Y5" s="522">
        <v>3</v>
      </c>
      <c r="Z5" s="643">
        <f ca="1">EDATE(Z$15,-10)</f>
        <v>43586</v>
      </c>
      <c r="AA5" s="547">
        <f ca="1">INDEX('RESUMEN VIGILANCIA'!$D$145:$AZ$145,1,MATCH(Z5,'RESUMEN VIGILANCIA'!$D$1:$AZ$1))</f>
        <v>79.122500000000002</v>
      </c>
      <c r="AB5" s="548">
        <f t="shared" ca="1" si="3"/>
        <v>81.455188061749297</v>
      </c>
      <c r="AC5" s="611">
        <f t="shared" si="4"/>
        <v>55</v>
      </c>
      <c r="AD5" s="322"/>
      <c r="AE5" s="322"/>
    </row>
    <row r="6" spans="2:31" x14ac:dyDescent="0.25">
      <c r="M6" s="159">
        <v>4</v>
      </c>
      <c r="N6" s="329">
        <f ca="1">N5+SUMIFS(Vigilancia!$E:$E,Vigilancia!$O:$O,N$2,Vigilancia!$N:$N,$M6,Vigilancia!$J:$J,"Vigilancia")/N$35</f>
        <v>0.15290370303030304</v>
      </c>
      <c r="O6" s="329">
        <f ca="1">O5+SUMIFS(Vigilancia!$E:$E,Vigilancia!$O:$O,O$2,Vigilancia!$N:$N,$M6,Vigilancia!$J:$J,"Vigilancia")/O$35</f>
        <v>8.879999999999999E-2</v>
      </c>
      <c r="P6" s="329">
        <f ca="1">P5+SUMIFS(Vigilancia!$E:$E,Vigilancia!$O:$O,P$2,Vigilancia!$N:$N,$M6,Vigilancia!$J:$J,"Vigilancia")/P$35</f>
        <v>0.45870100653569412</v>
      </c>
      <c r="Q6" s="329">
        <f ca="1">Q5+SUMIFS(Vigilancia!$E:$E,Vigilancia!$O:$O,Q$2,Vigilancia!$N:$N,$M6,Vigilancia!$J:$J,"Vigilancia")/Q$35</f>
        <v>0.24548515220157011</v>
      </c>
      <c r="R6" s="329">
        <f ca="1">R5+SUMIFS(Vigilancia!$E:$E,Vigilancia!$O:$O,R$2,Vigilancia!$N:$N,$M6,Vigilancia!$J:$J,"Vigilancia")/R$35</f>
        <v>0.32412992751464603</v>
      </c>
      <c r="S6" s="329">
        <f ca="1">IF(S$2+M6-1&gt;$A$36,NA(),S5+SUMIFS(Vigilancia!$E:$E,Vigilancia!$O:$O,S$2,Vigilancia!$N:$N,$M6,Vigilancia!$J:$J,"Vigilancia")/S$35)</f>
        <v>0.26022490318736968</v>
      </c>
      <c r="U6" s="330">
        <f t="shared" ca="1" si="1"/>
        <v>0.25400395785644264</v>
      </c>
      <c r="V6" s="330">
        <f t="shared" ca="1" si="2"/>
        <v>0.26022490318736968</v>
      </c>
      <c r="W6" s="330">
        <v>1</v>
      </c>
      <c r="Y6" s="522">
        <v>4</v>
      </c>
      <c r="Z6" s="643">
        <f ca="1">EDATE(Z$15,-9)</f>
        <v>43617</v>
      </c>
      <c r="AA6" s="547">
        <f ca="1">INDEX('RESUMEN VIGILANCIA'!$D$145:$AZ$145,1,MATCH(Z6,'RESUMEN VIGILANCIA'!$D$1:$AZ$1))</f>
        <v>80.704999999999998</v>
      </c>
      <c r="AB6" s="548">
        <f t="shared" ca="1" si="3"/>
        <v>81.455188061749297</v>
      </c>
      <c r="AC6" s="611">
        <f t="shared" si="4"/>
        <v>55</v>
      </c>
      <c r="AD6" s="322"/>
      <c r="AE6" s="322"/>
    </row>
    <row r="7" spans="2:31" x14ac:dyDescent="0.25">
      <c r="M7" s="159">
        <v>5</v>
      </c>
      <c r="N7" s="329">
        <f ca="1">N6+SUMIFS(Vigilancia!$E:$E,Vigilancia!$O:$O,N$2,Vigilancia!$N:$N,$M7,Vigilancia!$J:$J,"Vigilancia")/N$35</f>
        <v>0.15929764242424244</v>
      </c>
      <c r="O7" s="329">
        <f ca="1">O6+SUMIFS(Vigilancia!$E:$E,Vigilancia!$O:$O,O$2,Vigilancia!$N:$N,$M7,Vigilancia!$J:$J,"Vigilancia")/O$35</f>
        <v>0.19606812121212119</v>
      </c>
      <c r="P7" s="329">
        <f ca="1">P6+SUMIFS(Vigilancia!$E:$E,Vigilancia!$O:$O,P$2,Vigilancia!$N:$N,$M7,Vigilancia!$J:$J,"Vigilancia")/P$35</f>
        <v>0.48439772705234363</v>
      </c>
      <c r="Q7" s="329">
        <f ca="1">Q6+SUMIFS(Vigilancia!$E:$E,Vigilancia!$O:$O,Q$2,Vigilancia!$N:$N,$M7,Vigilancia!$J:$J,"Vigilancia")/Q$35</f>
        <v>0.28776336612157505</v>
      </c>
      <c r="R7" s="329">
        <f ca="1">R6+SUMIFS(Vigilancia!$E:$E,Vigilancia!$O:$O,R$2,Vigilancia!$N:$N,$M7,Vigilancia!$J:$J,"Vigilancia")/R$35</f>
        <v>0.50358082613444544</v>
      </c>
      <c r="S7" s="329">
        <f ca="1">IF(S$2+M7-1&gt;$A$36,NA(),S6+SUMIFS(Vigilancia!$E:$E,Vigilancia!$O:$O,S$2,Vigilancia!$N:$N,$M7,Vigilancia!$J:$J,"Vigilancia")/S$35)</f>
        <v>0.33380250223413765</v>
      </c>
      <c r="U7" s="330">
        <f t="shared" ca="1" si="1"/>
        <v>0.32622153658894554</v>
      </c>
      <c r="V7" s="330">
        <f t="shared" ca="1" si="2"/>
        <v>0.33380250223413765</v>
      </c>
      <c r="W7" s="330">
        <v>1</v>
      </c>
      <c r="Y7" s="522">
        <v>5</v>
      </c>
      <c r="Z7" s="643">
        <f ca="1">EDATE(Z$15,-8)</f>
        <v>43647</v>
      </c>
      <c r="AA7" s="547">
        <f ca="1">INDEX('RESUMEN VIGILANCIA'!$D$145:$AZ$145,1,MATCH(Z7,'RESUMEN VIGILANCIA'!$D$1:$AZ$1))</f>
        <v>80.95</v>
      </c>
      <c r="AB7" s="548">
        <f t="shared" ca="1" si="3"/>
        <v>81.455188061749297</v>
      </c>
      <c r="AC7" s="611">
        <f t="shared" si="4"/>
        <v>55</v>
      </c>
      <c r="AD7" s="322"/>
      <c r="AE7" s="322"/>
    </row>
    <row r="8" spans="2:31" x14ac:dyDescent="0.25">
      <c r="M8" s="159">
        <v>6</v>
      </c>
      <c r="N8" s="329">
        <f ca="1">N7+SUMIFS(Vigilancia!$E:$E,Vigilancia!$O:$O,N$2,Vigilancia!$N:$N,$M8,Vigilancia!$J:$J,"Vigilancia")/N$35</f>
        <v>0.15929764242424244</v>
      </c>
      <c r="O8" s="329">
        <f ca="1">O7+SUMIFS(Vigilancia!$E:$E,Vigilancia!$O:$O,O$2,Vigilancia!$N:$N,$M8,Vigilancia!$J:$J,"Vigilancia")/O$35</f>
        <v>0.24361236363636363</v>
      </c>
      <c r="P8" s="329">
        <f ca="1">P7+SUMIFS(Vigilancia!$E:$E,Vigilancia!$O:$O,P$2,Vigilancia!$N:$N,$M8,Vigilancia!$J:$J,"Vigilancia")/P$35</f>
        <v>0.5600333572522932</v>
      </c>
      <c r="Q8" s="329">
        <f ca="1">Q7+SUMIFS(Vigilancia!$E:$E,Vigilancia!$O:$O,Q$2,Vigilancia!$N:$N,$M8,Vigilancia!$J:$J,"Vigilancia")/Q$35</f>
        <v>0.37255251807490608</v>
      </c>
      <c r="R8" s="329">
        <f ca="1">R7+SUMIFS(Vigilancia!$E:$E,Vigilancia!$O:$O,R$2,Vigilancia!$N:$N,$M8,Vigilancia!$J:$J,"Vigilancia")/R$35</f>
        <v>0.71480612650183695</v>
      </c>
      <c r="S8" s="329">
        <f ca="1">IF(S$2+M8-1&gt;$A$36,NA(),S7+SUMIFS(Vigilancia!$E:$E,Vigilancia!$O:$O,S$2,Vigilancia!$N:$N,$M8,Vigilancia!$J:$J,"Vigilancia")/S$35)</f>
        <v>0.44913365107735082</v>
      </c>
      <c r="U8" s="330">
        <f t="shared" ca="1" si="1"/>
        <v>0.41006040157792845</v>
      </c>
      <c r="V8" s="330">
        <f t="shared" ca="1" si="2"/>
        <v>0.44913365107735082</v>
      </c>
      <c r="W8" s="330">
        <v>1</v>
      </c>
      <c r="Y8" s="522">
        <v>6</v>
      </c>
      <c r="Z8" s="643">
        <f ca="1">EDATE(Z$15,-7)</f>
        <v>43678</v>
      </c>
      <c r="AA8" s="547">
        <f ca="1">INDEX('RESUMEN VIGILANCIA'!$D$145:$AZ$145,1,MATCH(Z8,'RESUMEN VIGILANCIA'!$D$1:$AZ$1))</f>
        <v>80.94</v>
      </c>
      <c r="AB8" s="548">
        <f t="shared" ca="1" si="3"/>
        <v>81.455188061749297</v>
      </c>
      <c r="AC8" s="611">
        <f t="shared" si="4"/>
        <v>55</v>
      </c>
      <c r="AD8" s="322"/>
      <c r="AE8" s="322"/>
    </row>
    <row r="9" spans="2:31" x14ac:dyDescent="0.25">
      <c r="M9" s="159">
        <v>7</v>
      </c>
      <c r="N9" s="329">
        <f ca="1">N8+SUMIFS(Vigilancia!$E:$E,Vigilancia!$O:$O,N$2,Vigilancia!$N:$N,$M9,Vigilancia!$J:$J,"Vigilancia")/N$35</f>
        <v>0.16544915757575759</v>
      </c>
      <c r="O9" s="329">
        <f ca="1">O8+SUMIFS(Vigilancia!$E:$E,Vigilancia!$O:$O,O$2,Vigilancia!$N:$N,$M9,Vigilancia!$J:$J,"Vigilancia")/O$35</f>
        <v>0.31257236363636365</v>
      </c>
      <c r="P9" s="329">
        <f ca="1">P8+SUMIFS(Vigilancia!$E:$E,Vigilancia!$O:$O,P$2,Vigilancia!$N:$N,$M9,Vigilancia!$J:$J,"Vigilancia")/P$35</f>
        <v>0.62655392432558221</v>
      </c>
      <c r="Q9" s="329">
        <f ca="1">Q8+SUMIFS(Vigilancia!$E:$E,Vigilancia!$O:$O,Q$2,Vigilancia!$N:$N,$M9,Vigilancia!$J:$J,"Vigilancia")/Q$35</f>
        <v>0.44411518292115304</v>
      </c>
      <c r="R9" s="329">
        <f ca="1">R8+SUMIFS(Vigilancia!$E:$E,Vigilancia!$O:$O,R$2,Vigilancia!$N:$N,$M9,Vigilancia!$J:$J,"Vigilancia")/R$35</f>
        <v>0.79223450997914802</v>
      </c>
      <c r="S9" s="329">
        <f ca="1">IF(S$2+M9-1&gt;$A$36,NA(),S8+SUMIFS(Vigilancia!$E:$E,Vigilancia!$O:$O,S$2,Vigilancia!$N:$N,$M9,Vigilancia!$J:$J,"Vigilancia")/S$35)</f>
        <v>0.47646460133055307</v>
      </c>
      <c r="U9" s="330">
        <f t="shared" ca="1" si="1"/>
        <v>0.4681850276876009</v>
      </c>
      <c r="V9" s="330">
        <f t="shared" ca="1" si="2"/>
        <v>0.47646460133055307</v>
      </c>
      <c r="W9" s="330">
        <v>1</v>
      </c>
      <c r="Y9" s="522">
        <v>7</v>
      </c>
      <c r="Z9" s="643">
        <f ca="1">EDATE(Z$15,-6)</f>
        <v>43709</v>
      </c>
      <c r="AA9" s="547">
        <f ca="1">INDEX('RESUMEN VIGILANCIA'!$D$145:$AZ$145,1,MATCH(Z9,'RESUMEN VIGILANCIA'!$D$1:$AZ$1))</f>
        <v>83.164875482625476</v>
      </c>
      <c r="AB9" s="548">
        <f t="shared" ca="1" si="3"/>
        <v>81.455188061749297</v>
      </c>
      <c r="AC9" s="611">
        <f t="shared" si="4"/>
        <v>55</v>
      </c>
      <c r="AD9" s="322"/>
      <c r="AE9" s="322"/>
    </row>
    <row r="10" spans="2:31" x14ac:dyDescent="0.25">
      <c r="M10" s="159">
        <v>8</v>
      </c>
      <c r="N10" s="329">
        <f ca="1">N9+SUMIFS(Vigilancia!$E:$E,Vigilancia!$O:$O,N$2,Vigilancia!$N:$N,$M10,Vigilancia!$J:$J,"Vigilancia")/N$35</f>
        <v>0.16544915757575759</v>
      </c>
      <c r="O10" s="329">
        <f ca="1">O9+SUMIFS(Vigilancia!$E:$E,Vigilancia!$O:$O,O$2,Vigilancia!$N:$N,$M10,Vigilancia!$J:$J,"Vigilancia")/O$35</f>
        <v>0.31257236363636365</v>
      </c>
      <c r="P10" s="329">
        <f ca="1">P9+SUMIFS(Vigilancia!$E:$E,Vigilancia!$O:$O,P$2,Vigilancia!$N:$N,$M10,Vigilancia!$J:$J,"Vigilancia")/P$35</f>
        <v>0.6728807478230513</v>
      </c>
      <c r="Q10" s="329">
        <f ca="1">Q9+SUMIFS(Vigilancia!$E:$E,Vigilancia!$O:$O,Q$2,Vigilancia!$N:$N,$M10,Vigilancia!$J:$J,"Vigilancia")/Q$35</f>
        <v>0.46525428988115552</v>
      </c>
      <c r="R10" s="329">
        <f ca="1">R9+SUMIFS(Vigilancia!$E:$E,Vigilancia!$O:$O,R$2,Vigilancia!$N:$N,$M10,Vigilancia!$J:$J,"Vigilancia")/R$35</f>
        <v>0.86081012312580674</v>
      </c>
      <c r="S10" s="329">
        <f ca="1">IF(S$2+M10-1&gt;$A$36,NA(),S9+SUMIFS(Vigilancia!$E:$E,Vigilancia!$O:$O,S$2,Vigilancia!$N:$N,$M10,Vigilancia!$J:$J,"Vigilancia")/S$35)</f>
        <v>0.513253400853937</v>
      </c>
      <c r="U10" s="330">
        <f t="shared" ca="1" si="1"/>
        <v>0.49539333640842698</v>
      </c>
      <c r="V10" s="330">
        <f t="shared" ca="1" si="2"/>
        <v>0.513253400853937</v>
      </c>
      <c r="W10" s="330">
        <v>1</v>
      </c>
      <c r="Y10" s="522">
        <v>8</v>
      </c>
      <c r="Z10" s="643">
        <f ca="1">EDATE(Z$15,-5)</f>
        <v>43739</v>
      </c>
      <c r="AA10" s="547">
        <f ca="1">INDEX('RESUMEN VIGILANCIA'!$D$145:$AZ$145,1,MATCH(Z10,'RESUMEN VIGILANCIA'!$D$1:$AZ$1))</f>
        <v>78.368935323383084</v>
      </c>
      <c r="AB10" s="548">
        <f t="shared" ca="1" si="3"/>
        <v>81.455188061749297</v>
      </c>
      <c r="AC10" s="611">
        <f t="shared" si="4"/>
        <v>55</v>
      </c>
      <c r="AD10" s="322"/>
      <c r="AE10" s="322"/>
    </row>
    <row r="11" spans="2:31" x14ac:dyDescent="0.25">
      <c r="M11" s="159">
        <v>9</v>
      </c>
      <c r="N11" s="329">
        <f ca="1">N10+SUMIFS(Vigilancia!$E:$E,Vigilancia!$O:$O,N$2,Vigilancia!$N:$N,$M11,Vigilancia!$J:$J,"Vigilancia")/N$35</f>
        <v>0.18052036969696972</v>
      </c>
      <c r="O11" s="329">
        <f ca="1">O10+SUMIFS(Vigilancia!$E:$E,Vigilancia!$O:$O,O$2,Vigilancia!$N:$N,$M11,Vigilancia!$J:$J,"Vigilancia")/O$35</f>
        <v>0.37481478787878791</v>
      </c>
      <c r="P11" s="329">
        <f ca="1">P10+SUMIFS(Vigilancia!$E:$E,Vigilancia!$O:$O,P$2,Vigilancia!$N:$N,$M11,Vigilancia!$J:$J,"Vigilancia")/P$35</f>
        <v>0.71375307875802407</v>
      </c>
      <c r="Q11" s="329">
        <f ca="1">Q10+SUMIFS(Vigilancia!$E:$E,Vigilancia!$O:$O,Q$2,Vigilancia!$N:$N,$M11,Vigilancia!$J:$J,"Vigilancia")/Q$35</f>
        <v>0.59208893164117038</v>
      </c>
      <c r="R11" s="329">
        <f ca="1">R10+SUMIFS(Vigilancia!$E:$E,Vigilancia!$O:$O,R$2,Vigilancia!$N:$N,$M11,Vigilancia!$J:$J,"Vigilancia")/R$35</f>
        <v>0.86081012312580674</v>
      </c>
      <c r="S11" s="329">
        <f ca="1">IF(S$2+M11-1&gt;$A$36,NA(),S10+SUMIFS(Vigilancia!$E:$E,Vigilancia!$O:$O,S$2,Vigilancia!$N:$N,$M11,Vigilancia!$J:$J,"Vigilancia")/S$35)</f>
        <v>0.53962764372952032</v>
      </c>
      <c r="U11" s="330">
        <f t="shared" ca="1" si="1"/>
        <v>0.54439745822015184</v>
      </c>
      <c r="V11" s="330">
        <f t="shared" ca="1" si="2"/>
        <v>0.53962764372952032</v>
      </c>
      <c r="W11" s="330">
        <v>1</v>
      </c>
      <c r="Y11" s="522">
        <v>9</v>
      </c>
      <c r="Z11" s="643">
        <f ca="1">EDATE(Z$15,-4)</f>
        <v>43770</v>
      </c>
      <c r="AA11" s="547">
        <f ca="1">INDEX('RESUMEN VIGILANCIA'!$D$145:$AZ$145,1,MATCH(Z11,'RESUMEN VIGILANCIA'!$D$1:$AZ$1))</f>
        <v>111.65960275019098</v>
      </c>
      <c r="AB11" s="548">
        <f t="shared" ca="1" si="3"/>
        <v>81.455188061749297</v>
      </c>
      <c r="AC11" s="611">
        <f t="shared" si="4"/>
        <v>55</v>
      </c>
      <c r="AD11" s="322"/>
      <c r="AE11" s="322"/>
    </row>
    <row r="12" spans="2:31" x14ac:dyDescent="0.25">
      <c r="M12" s="159">
        <v>10</v>
      </c>
      <c r="N12" s="329">
        <f ca="1">N11+SUMIFS(Vigilancia!$E:$E,Vigilancia!$O:$O,N$2,Vigilancia!$N:$N,$M12,Vigilancia!$J:$J,"Vigilancia")/N$35</f>
        <v>0.19373249090909092</v>
      </c>
      <c r="O12" s="329">
        <f ca="1">O11+SUMIFS(Vigilancia!$E:$E,Vigilancia!$O:$O,O$2,Vigilancia!$N:$N,$M12,Vigilancia!$J:$J,"Vigilancia")/O$35</f>
        <v>0.49845115151515157</v>
      </c>
      <c r="P12" s="329">
        <f ca="1">P11+SUMIFS(Vigilancia!$E:$E,Vigilancia!$O:$O,P$2,Vigilancia!$N:$N,$M12,Vigilancia!$J:$J,"Vigilancia")/P$35</f>
        <v>0.73416500203634383</v>
      </c>
      <c r="Q12" s="329">
        <f ca="1">Q11+SUMIFS(Vigilancia!$E:$E,Vigilancia!$O:$O,Q$2,Vigilancia!$N:$N,$M12,Vigilancia!$J:$J,"Vigilancia")/Q$35</f>
        <v>0.63515452881124512</v>
      </c>
      <c r="R12" s="329">
        <f ca="1">R11+SUMIFS(Vigilancia!$E:$E,Vigilancia!$O:$O,R$2,Vigilancia!$N:$N,$M12,Vigilancia!$J:$J,"Vigilancia")/R$35</f>
        <v>0.8946324843610366</v>
      </c>
      <c r="S12" s="329">
        <f ca="1">IF(S$2+M12-1&gt;$A$36,NA(),S11+SUMIFS(Vigilancia!$E:$E,Vigilancia!$O:$O,S$2,Vigilancia!$N:$N,$M12,Vigilancia!$J:$J,"Vigilancia")/S$35)</f>
        <v>0.57639161950153894</v>
      </c>
      <c r="U12" s="330">
        <f t="shared" ca="1" si="1"/>
        <v>0.59122713152657358</v>
      </c>
      <c r="V12" s="330">
        <f t="shared" ca="1" si="2"/>
        <v>0.57639161950153894</v>
      </c>
      <c r="W12" s="330">
        <v>1</v>
      </c>
      <c r="Y12" s="522">
        <v>10</v>
      </c>
      <c r="Z12" s="643">
        <f ca="1">EDATE(Z$15,-3)</f>
        <v>43800</v>
      </c>
      <c r="AA12" s="547">
        <f ca="1">INDEX('RESUMEN VIGILANCIA'!$D$145:$AZ$145,1,MATCH(Z12,'RESUMEN VIGILANCIA'!$D$1:$AZ$1))</f>
        <v>75.060474802165757</v>
      </c>
      <c r="AB12" s="548">
        <f t="shared" ca="1" si="3"/>
        <v>81.455188061749297</v>
      </c>
      <c r="AC12" s="611">
        <f t="shared" si="4"/>
        <v>55</v>
      </c>
      <c r="AD12" s="322"/>
      <c r="AE12" s="322"/>
    </row>
    <row r="13" spans="2:31" x14ac:dyDescent="0.25">
      <c r="M13" s="159">
        <v>11</v>
      </c>
      <c r="N13" s="329">
        <f ca="1">N12+SUMIFS(Vigilancia!$E:$E,Vigilancia!$O:$O,N$2,Vigilancia!$N:$N,$M13,Vigilancia!$J:$J,"Vigilancia")/N$35</f>
        <v>0.20767188484848487</v>
      </c>
      <c r="O13" s="329">
        <f ca="1">O12+SUMIFS(Vigilancia!$E:$E,Vigilancia!$O:$O,O$2,Vigilancia!$N:$N,$M13,Vigilancia!$J:$J,"Vigilancia")/O$35</f>
        <v>0.5120269090909092</v>
      </c>
      <c r="P13" s="329">
        <f ca="1">P12+SUMIFS(Vigilancia!$E:$E,Vigilancia!$O:$O,P$2,Vigilancia!$N:$N,$M13,Vigilancia!$J:$J,"Vigilancia")/P$35</f>
        <v>1.2175057696410216</v>
      </c>
      <c r="Q13" s="329">
        <f ca="1">Q12+SUMIFS(Vigilancia!$E:$E,Vigilancia!$O:$O,Q$2,Vigilancia!$N:$N,$M13,Vigilancia!$J:$J,"Vigilancia")/Q$35</f>
        <v>0.75229233251621297</v>
      </c>
      <c r="R13" s="329">
        <f ca="1">R12+SUMIFS(Vigilancia!$E:$E,Vigilancia!$O:$O,R$2,Vigilancia!$N:$N,$M13,Vigilancia!$J:$J,"Vigilancia")/R$35</f>
        <v>0.94812766855327169</v>
      </c>
      <c r="S13" s="329">
        <f ca="1">IF(S$2+M13-1&gt;$A$36,NA(),S12+SUMIFS(Vigilancia!$E:$E,Vigilancia!$O:$O,S$2,Vigilancia!$N:$N,$M13,Vigilancia!$J:$J,"Vigilancia")/S$35)</f>
        <v>0.61318041902492293</v>
      </c>
      <c r="U13" s="330">
        <f t="shared" ca="1" si="1"/>
        <v>0.72752491292998012</v>
      </c>
      <c r="V13" s="330">
        <f t="shared" ca="1" si="2"/>
        <v>0.61318041902492293</v>
      </c>
      <c r="W13" s="330">
        <v>1</v>
      </c>
      <c r="Y13" s="522">
        <v>11</v>
      </c>
      <c r="Z13" s="643">
        <f ca="1">EDATE(Z$15,-2)</f>
        <v>43831</v>
      </c>
      <c r="AA13" s="547">
        <f ca="1">INDEX('RESUMEN VIGILANCIA'!$D$145:$AZ$145,1,MATCH(Z13,'RESUMEN VIGILANCIA'!$D$1:$AZ$1))</f>
        <v>76.013648596693585</v>
      </c>
      <c r="AB13" s="548">
        <f t="shared" ca="1" si="3"/>
        <v>81.455188061749297</v>
      </c>
      <c r="AC13" s="611">
        <f t="shared" si="4"/>
        <v>55</v>
      </c>
      <c r="AD13" s="322"/>
      <c r="AE13" s="322"/>
    </row>
    <row r="14" spans="2:31" x14ac:dyDescent="0.25">
      <c r="M14" s="159">
        <v>12</v>
      </c>
      <c r="N14" s="329">
        <f ca="1">N13+SUMIFS(Vigilancia!$E:$E,Vigilancia!$O:$O,N$2,Vigilancia!$N:$N,$M14,Vigilancia!$J:$J,"Vigilancia")/N$35</f>
        <v>0.23494461212121215</v>
      </c>
      <c r="O14" s="329">
        <f ca="1">O13+SUMIFS(Vigilancia!$E:$E,Vigilancia!$O:$O,O$2,Vigilancia!$N:$N,$M14,Vigilancia!$J:$J,"Vigilancia")/O$35</f>
        <v>0.53020872727272739</v>
      </c>
      <c r="P14" s="329">
        <f ca="1">P13+SUMIFS(Vigilancia!$E:$E,Vigilancia!$O:$O,P$2,Vigilancia!$N:$N,$M14,Vigilancia!$J:$J,"Vigilancia")/P$35</f>
        <v>1.2699658669976532</v>
      </c>
      <c r="Q14" s="329">
        <f ca="1">Q13+SUMIFS(Vigilancia!$E:$E,Vigilancia!$O:$O,Q$2,Vigilancia!$N:$N,$M14,Vigilancia!$J:$J,"Vigilancia")/Q$35</f>
        <v>0.75229233251621297</v>
      </c>
      <c r="R14" s="329">
        <f ca="1">R13+SUMIFS(Vigilancia!$E:$E,Vigilancia!$O:$O,R$2,Vigilancia!$N:$N,$M14,Vigilancia!$J:$J,"Vigilancia")/R$35</f>
        <v>0.94812766855327169</v>
      </c>
      <c r="S14" s="329">
        <f ca="1">IF(S$2+M14-1&gt;$A$36,NA(),S13+SUMIFS(Vigilancia!$E:$E,Vigilancia!$O:$O,S$2,Vigilancia!$N:$N,$M14,Vigilancia!$J:$J,"Vigilancia")/S$35)</f>
        <v>0.65989871909442943</v>
      </c>
      <c r="U14" s="330">
        <f t="shared" ca="1" si="1"/>
        <v>0.74710784149221543</v>
      </c>
      <c r="V14" s="330">
        <f t="shared" ca="1" si="2"/>
        <v>0.65989871909442943</v>
      </c>
      <c r="W14" s="330">
        <v>1</v>
      </c>
      <c r="Y14" s="522">
        <v>12</v>
      </c>
      <c r="Z14" s="643">
        <f ca="1">EDATE(Z$15,-1)</f>
        <v>43862</v>
      </c>
      <c r="AA14" s="547">
        <f ca="1">INDEX('RESUMEN VIGILANCIA'!$D$145:$AZ$145,1,MATCH(Z14,'RESUMEN VIGILANCIA'!$D$1:$AZ$1))</f>
        <v>71.812703119266061</v>
      </c>
      <c r="AB14" s="548">
        <f t="shared" ca="1" si="3"/>
        <v>81.455188061749297</v>
      </c>
      <c r="AC14" s="611">
        <f t="shared" si="4"/>
        <v>55</v>
      </c>
      <c r="AD14" s="322"/>
      <c r="AE14" s="322"/>
    </row>
    <row r="15" spans="2:31" x14ac:dyDescent="0.25">
      <c r="B15" s="471" t="s">
        <v>1184</v>
      </c>
      <c r="E15" s="474">
        <f>MATCH(B15,'RESUMEN VIGILANCIA'!$A:$A,0)</f>
        <v>146</v>
      </c>
      <c r="M15" s="159">
        <v>13</v>
      </c>
      <c r="N15" s="329">
        <f ca="1">N14+SUMIFS(Vigilancia!$E:$E,Vigilancia!$O:$O,N$2,Vigilancia!$N:$N,$M15,Vigilancia!$J:$J,"Vigilancia")/N$35</f>
        <v>0.24100521818181822</v>
      </c>
      <c r="O15" s="329">
        <f ca="1">O14+SUMIFS(Vigilancia!$E:$E,Vigilancia!$O:$O,O$2,Vigilancia!$N:$N,$M15,Vigilancia!$J:$J,"Vigilancia")/O$35</f>
        <v>0.603275393939394</v>
      </c>
      <c r="P15" s="329">
        <f ca="1">P14+SUMIFS(Vigilancia!$E:$E,Vigilancia!$O:$O,P$2,Vigilancia!$N:$N,$M15,Vigilancia!$J:$J,"Vigilancia")/P$35</f>
        <v>1.3554923103775962</v>
      </c>
      <c r="Q15" s="329">
        <f ca="1">Q14+SUMIFS(Vigilancia!$E:$E,Vigilancia!$O:$O,Q$2,Vigilancia!$N:$N,$M15,Vigilancia!$J:$J,"Vigilancia")/Q$35</f>
        <v>0.7734314394762154</v>
      </c>
      <c r="R15" s="329">
        <f ca="1">R14+SUMIFS(Vigilancia!$E:$E,Vigilancia!$O:$O,R$2,Vigilancia!$N:$N,$M15,Vigilancia!$J:$J,"Vigilancia")/R$35</f>
        <v>0.99886121040611653</v>
      </c>
      <c r="S15" s="329">
        <f ca="1">IF(S$2+M15-1&gt;$A$36,NA(),S14+SUMIFS(Vigilancia!$E:$E,Vigilancia!$O:$O,S$2,Vigilancia!$N:$N,$M15,Vigilancia!$J:$J,"Vigilancia")/S$35)</f>
        <v>0.71530533214179315</v>
      </c>
      <c r="U15" s="330">
        <f t="shared" ca="1" si="1"/>
        <v>0.79441311447622809</v>
      </c>
      <c r="V15" s="330">
        <f t="shared" ca="1" si="2"/>
        <v>0.71530533214179315</v>
      </c>
      <c r="W15" s="330">
        <v>1</v>
      </c>
      <c r="Y15" s="522">
        <v>13</v>
      </c>
      <c r="Z15" s="643">
        <f ca="1">DATE(YEAR($A$36),MONTH($A$36),1)</f>
        <v>43891</v>
      </c>
      <c r="AA15" s="547">
        <f ca="1">INDEX('RESUMEN VIGILANCIA'!$D$145:$AZ$145,1,MATCH(Z15,'RESUMEN VIGILANCIA'!$D$1:$AZ$1))</f>
        <v>40.930310391363022</v>
      </c>
      <c r="AB15" s="548">
        <f t="shared" ca="1" si="3"/>
        <v>81.455188061749297</v>
      </c>
      <c r="AC15" s="611">
        <f t="shared" si="4"/>
        <v>55</v>
      </c>
      <c r="AD15" s="322"/>
      <c r="AE15" s="322"/>
    </row>
    <row r="16" spans="2:31" x14ac:dyDescent="0.25">
      <c r="B16" s="471" t="s">
        <v>1187</v>
      </c>
      <c r="E16" s="474">
        <f>MATCH(B16,'RESUMEN VIGILANCIA'!$A:$A,0)</f>
        <v>149</v>
      </c>
      <c r="M16" s="159">
        <v>14</v>
      </c>
      <c r="N16" s="329">
        <f ca="1">N15+SUMIFS(Vigilancia!$E:$E,Vigilancia!$O:$O,N$2,Vigilancia!$N:$N,$M16,Vigilancia!$J:$J,"Vigilancia")/N$35</f>
        <v>0.27864158181818188</v>
      </c>
      <c r="O16" s="329">
        <f ca="1">O15+SUMIFS(Vigilancia!$E:$E,Vigilancia!$O:$O,O$2,Vigilancia!$N:$N,$M16,Vigilancia!$J:$J,"Vigilancia")/O$35</f>
        <v>0.603275393939394</v>
      </c>
      <c r="P16" s="329">
        <f ca="1">P15+SUMIFS(Vigilancia!$E:$E,Vigilancia!$O:$O,P$2,Vigilancia!$N:$N,$M16,Vigilancia!$J:$J,"Vigilancia")/P$35</f>
        <v>1.3554923103775962</v>
      </c>
      <c r="Q16" s="329">
        <f ca="1">Q15+SUMIFS(Vigilancia!$E:$E,Vigilancia!$O:$O,Q$2,Vigilancia!$N:$N,$M16,Vigilancia!$J:$J,"Vigilancia")/Q$35</f>
        <v>0.7734314394762154</v>
      </c>
      <c r="R16" s="329">
        <f ca="1">R15+SUMIFS(Vigilancia!$E:$E,Vigilancia!$O:$O,R$2,Vigilancia!$N:$N,$M16,Vigilancia!$J:$J,"Vigilancia")/R$35</f>
        <v>0.99886121040611653</v>
      </c>
      <c r="S16" s="329">
        <f ca="1">IF(S$2+M16-1&gt;$A$36,NA(),S15+SUMIFS(Vigilancia!$E:$E,Vigilancia!$O:$O,S$2,Vigilancia!$N:$N,$M16,Vigilancia!$J:$J,"Vigilancia")/S$35)</f>
        <v>0.71530533214179315</v>
      </c>
      <c r="U16" s="330">
        <f t="shared" ca="1" si="1"/>
        <v>0.8019403872035008</v>
      </c>
      <c r="V16" s="330">
        <f t="shared" ca="1" si="2"/>
        <v>0.71530533214179315</v>
      </c>
      <c r="W16" s="330">
        <v>1</v>
      </c>
    </row>
    <row r="17" spans="2:23" x14ac:dyDescent="0.25">
      <c r="M17" s="159">
        <v>15</v>
      </c>
      <c r="N17" s="329">
        <f ca="1">N16+SUMIFS(Vigilancia!$E:$E,Vigilancia!$O:$O,N$2,Vigilancia!$N:$N,$M17,Vigilancia!$J:$J,"Vigilancia")/N$35</f>
        <v>0.29076279393939403</v>
      </c>
      <c r="O17" s="329">
        <f ca="1">O16+SUMIFS(Vigilancia!$E:$E,Vigilancia!$O:$O,O$2,Vigilancia!$N:$N,$M17,Vigilancia!$J:$J,"Vigilancia")/O$35</f>
        <v>0.64579175757575769</v>
      </c>
      <c r="P17" s="329">
        <f ca="1">P16+SUMIFS(Vigilancia!$E:$E,Vigilancia!$O:$O,P$2,Vigilancia!$N:$N,$M17,Vigilancia!$J:$J,"Vigilancia")/P$35</f>
        <v>1.3554923103775962</v>
      </c>
      <c r="Q17" s="329">
        <f ca="1">Q16+SUMIFS(Vigilancia!$E:$E,Vigilancia!$O:$O,Q$2,Vigilancia!$N:$N,$M17,Vigilancia!$J:$J,"Vigilancia")/Q$35</f>
        <v>0.79922502870264045</v>
      </c>
      <c r="R17" s="329">
        <f ca="1">R16+SUMIFS(Vigilancia!$E:$E,Vigilancia!$O:$O,R$2,Vigilancia!$N:$N,$M17,Vigilancia!$J:$J,"Vigilancia")/R$35</f>
        <v>1.0374931734683746</v>
      </c>
      <c r="S17" s="329">
        <f ca="1">IF(S$2+M17-1&gt;$A$36,NA(),S16+SUMIFS(Vigilancia!$E:$E,Vigilancia!$O:$O,S$2,Vigilancia!$N:$N,$M17,Vigilancia!$J:$J,"Vigilancia")/S$35)</f>
        <v>0.73369973190348514</v>
      </c>
      <c r="U17" s="330">
        <f t="shared" ca="1" si="1"/>
        <v>0.8257530128127526</v>
      </c>
      <c r="V17" s="330">
        <f t="shared" ca="1" si="2"/>
        <v>0.73369973190348514</v>
      </c>
      <c r="W17" s="330">
        <v>1</v>
      </c>
    </row>
    <row r="18" spans="2:23" x14ac:dyDescent="0.25">
      <c r="B18" t="str">
        <f ca="1">IFERROR("Recaudado: Bs. "&amp;TEXT(C18,"#.##0")&amp;" ("&amp;TEXT(INDEX($V$3:$V$33,DAY($A$36)),"0%")&amp;" del estimado)","(revisar cuota del mes)")</f>
        <v>Recaudado: Bs. 8.516.840 (85% del estimado)</v>
      </c>
      <c r="C18">
        <f ca="1">SUMIFS(Vigilancia!$E:$E,Vigilancia!$O:$O,S$2,Vigilancia!$N:$N,"&lt;="&amp;DAY($A$36),Vigilancia!$J:$J,"Vigilancia")</f>
        <v>8516840</v>
      </c>
      <c r="D18" s="321">
        <f ca="1">C18/HLOOKUP(S$2,'RESUMEN VIGILANCIA'!$E$1:$AN$147,$E$15,TRUE)</f>
        <v>85.132927946688881</v>
      </c>
      <c r="M18" s="159">
        <v>16</v>
      </c>
      <c r="N18" s="329">
        <f ca="1">N17+SUMIFS(Vigilancia!$E:$E,Vigilancia!$O:$O,N$2,Vigilancia!$N:$N,$M18,Vigilancia!$J:$J,"Vigilancia")/N$35</f>
        <v>0.30876279393939404</v>
      </c>
      <c r="O18" s="329">
        <f ca="1">O17+SUMIFS(Vigilancia!$E:$E,Vigilancia!$O:$O,O$2,Vigilancia!$N:$N,$M18,Vigilancia!$J:$J,"Vigilancia")/O$35</f>
        <v>0.64579175757575769</v>
      </c>
      <c r="P18" s="329">
        <f ca="1">P17+SUMIFS(Vigilancia!$E:$E,Vigilancia!$O:$O,P$2,Vigilancia!$N:$N,$M18,Vigilancia!$J:$J,"Vigilancia")/P$35</f>
        <v>1.3554923103775962</v>
      </c>
      <c r="Q18" s="329">
        <f ca="1">Q17+SUMIFS(Vigilancia!$E:$E,Vigilancia!$O:$O,Q$2,Vigilancia!$N:$N,$M18,Vigilancia!$J:$J,"Vigilancia")/Q$35</f>
        <v>0.79922502870264045</v>
      </c>
      <c r="R18" s="329">
        <f ca="1">R17+SUMIFS(Vigilancia!$E:$E,Vigilancia!$O:$O,R$2,Vigilancia!$N:$N,$M18,Vigilancia!$J:$J,"Vigilancia")/R$35</f>
        <v>1.1100716165226889</v>
      </c>
      <c r="S18" s="329">
        <f ca="1">IF(S$2+M18-1&gt;$A$36,NA(),S17+SUMIFS(Vigilancia!$E:$E,Vigilancia!$O:$O,S$2,Vigilancia!$N:$N,$M18,Vigilancia!$J:$J,"Vigilancia")/S$35)</f>
        <v>0.75216860291927301</v>
      </c>
      <c r="U18" s="330">
        <f t="shared" ca="1" si="1"/>
        <v>0.84386870142361547</v>
      </c>
      <c r="V18" s="330">
        <f t="shared" ca="1" si="2"/>
        <v>0.75216860291927301</v>
      </c>
      <c r="W18" s="330">
        <v>1</v>
      </c>
    </row>
    <row r="19" spans="2:23" x14ac:dyDescent="0.25">
      <c r="M19" s="159">
        <v>17</v>
      </c>
      <c r="N19" s="329">
        <f ca="1">N18+SUMIFS(Vigilancia!$E:$E,Vigilancia!$O:$O,N$2,Vigilancia!$N:$N,$M19,Vigilancia!$J:$J,"Vigilancia")/N$35</f>
        <v>0.33433855151515163</v>
      </c>
      <c r="O19" s="329">
        <f ca="1">O18+SUMIFS(Vigilancia!$E:$E,Vigilancia!$O:$O,O$2,Vigilancia!$N:$N,$M19,Vigilancia!$J:$J,"Vigilancia")/O$35</f>
        <v>0.70833721212121226</v>
      </c>
      <c r="P19" s="329">
        <f ca="1">P18+SUMIFS(Vigilancia!$E:$E,Vigilancia!$O:$O,P$2,Vigilancia!$N:$N,$M19,Vigilancia!$J:$J,"Vigilancia")/P$35</f>
        <v>1.375904233655916</v>
      </c>
      <c r="Q19" s="329">
        <f ca="1">Q18+SUMIFS(Vigilancia!$E:$E,Vigilancia!$O:$O,Q$2,Vigilancia!$N:$N,$M19,Vigilancia!$J:$J,"Vigilancia")/Q$35</f>
        <v>0.82036413566264288</v>
      </c>
      <c r="R19" s="329">
        <f ca="1">R18+SUMIFS(Vigilancia!$E:$E,Vigilancia!$O:$O,R$2,Vigilancia!$N:$N,$M19,Vigilancia!$J:$J,"Vigilancia")/R$35</f>
        <v>1.1269827971403039</v>
      </c>
      <c r="S19" s="329">
        <f ca="1">IF(S$2+M19-1&gt;$A$36,NA(),S18+SUMIFS(Vigilancia!$E:$E,Vigilancia!$O:$O,S$2,Vigilancia!$N:$N,$M19,Vigilancia!$J:$J,"Vigilancia")/S$35)</f>
        <v>0.75216860291927301</v>
      </c>
      <c r="U19" s="330">
        <f t="shared" ca="1" si="1"/>
        <v>0.8731853860190455</v>
      </c>
      <c r="V19" s="330">
        <f t="shared" ca="1" si="2"/>
        <v>0.75216860291927301</v>
      </c>
      <c r="W19" s="330">
        <v>1</v>
      </c>
    </row>
    <row r="20" spans="2:23" x14ac:dyDescent="0.25">
      <c r="M20" s="159">
        <v>18</v>
      </c>
      <c r="N20" s="329">
        <f ca="1">N19+SUMIFS(Vigilancia!$E:$E,Vigilancia!$O:$O,N$2,Vigilancia!$N:$N,$M20,Vigilancia!$J:$J,"Vigilancia")/N$35</f>
        <v>0.33433855151515163</v>
      </c>
      <c r="O20" s="329">
        <f ca="1">O19+SUMIFS(Vigilancia!$E:$E,Vigilancia!$O:$O,O$2,Vigilancia!$N:$N,$M20,Vigilancia!$J:$J,"Vigilancia")/O$35</f>
        <v>0.7261553939393941</v>
      </c>
      <c r="P20" s="329">
        <f ca="1">P19+SUMIFS(Vigilancia!$E:$E,Vigilancia!$O:$O,P$2,Vigilancia!$N:$N,$M20,Vigilancia!$J:$J,"Vigilancia")/P$35</f>
        <v>1.3963161569342357</v>
      </c>
      <c r="Q20" s="329">
        <f ca="1">Q19+SUMIFS(Vigilancia!$E:$E,Vigilancia!$O:$O,Q$2,Vigilancia!$N:$N,$M20,Vigilancia!$J:$J,"Vigilancia")/Q$35</f>
        <v>0.82036413566264288</v>
      </c>
      <c r="R20" s="329">
        <f ca="1">R19+SUMIFS(Vigilancia!$E:$E,Vigilancia!$O:$O,R$2,Vigilancia!$N:$N,$M20,Vigilancia!$J:$J,"Vigilancia")/R$35</f>
        <v>1.1269827971403039</v>
      </c>
      <c r="S20" s="329">
        <f ca="1">IF(S$2+M20-1&gt;$A$36,NA(),S19+SUMIFS(Vigilancia!$E:$E,Vigilancia!$O:$O,S$2,Vigilancia!$N:$N,$M20,Vigilancia!$J:$J,"Vigilancia")/S$35)</f>
        <v>0.75216860291927301</v>
      </c>
      <c r="U20" s="330">
        <f t="shared" ca="1" si="1"/>
        <v>0.88083140703834562</v>
      </c>
      <c r="V20" s="330">
        <f t="shared" ca="1" si="2"/>
        <v>0.75216860291927301</v>
      </c>
      <c r="W20" s="330">
        <v>1</v>
      </c>
    </row>
    <row r="21" spans="2:23" x14ac:dyDescent="0.25">
      <c r="M21" s="159">
        <v>19</v>
      </c>
      <c r="N21" s="329">
        <f ca="1">N20+SUMIFS(Vigilancia!$E:$E,Vigilancia!$O:$O,N$2,Vigilancia!$N:$N,$M21,Vigilancia!$J:$J,"Vigilancia")/N$35</f>
        <v>0.34039915757575767</v>
      </c>
      <c r="O21" s="329">
        <f ca="1">O20+SUMIFS(Vigilancia!$E:$E,Vigilancia!$O:$O,O$2,Vigilancia!$N:$N,$M21,Vigilancia!$J:$J,"Vigilancia")/O$35</f>
        <v>0.79245842424242441</v>
      </c>
      <c r="P21" s="329">
        <f ca="1">P20+SUMIFS(Vigilancia!$E:$E,Vigilancia!$O:$O,P$2,Vigilancia!$N:$N,$M21,Vigilancia!$J:$J,"Vigilancia")/P$35</f>
        <v>1.4371400034908752</v>
      </c>
      <c r="Q21" s="329">
        <f ca="1">Q20+SUMIFS(Vigilancia!$E:$E,Vigilancia!$O:$O,Q$2,Vigilancia!$N:$N,$M21,Vigilancia!$J:$J,"Vigilancia")/Q$35</f>
        <v>0.82036413566264288</v>
      </c>
      <c r="R21" s="329">
        <f ca="1">R20+SUMIFS(Vigilancia!$E:$E,Vigilancia!$O:$O,R$2,Vigilancia!$N:$N,$M21,Vigilancia!$J:$J,"Vigilancia")/R$35</f>
        <v>1.1269827971403039</v>
      </c>
      <c r="S21" s="329">
        <f ca="1">IF(S$2+M21-1&gt;$A$36,NA(),S20+SUMIFS(Vigilancia!$E:$E,Vigilancia!$O:$O,S$2,Vigilancia!$N:$N,$M21,Vigilancia!$J:$J,"Vigilancia")/S$35)</f>
        <v>0.77063747393506088</v>
      </c>
      <c r="U21" s="330">
        <f t="shared" ca="1" si="1"/>
        <v>0.90346890362240084</v>
      </c>
      <c r="V21" s="330">
        <f t="shared" ca="1" si="2"/>
        <v>0.77063747393506088</v>
      </c>
      <c r="W21" s="330">
        <v>1</v>
      </c>
    </row>
    <row r="22" spans="2:23" x14ac:dyDescent="0.25">
      <c r="M22" s="159">
        <v>20</v>
      </c>
      <c r="N22" s="329">
        <f ca="1">N21+SUMIFS(Vigilancia!$E:$E,Vigilancia!$O:$O,N$2,Vigilancia!$N:$N,$M22,Vigilancia!$J:$J,"Vigilancia")/N$35</f>
        <v>0.39055067272727284</v>
      </c>
      <c r="O22" s="329">
        <f ca="1">O21+SUMIFS(Vigilancia!$E:$E,Vigilancia!$O:$O,O$2,Vigilancia!$N:$N,$M22,Vigilancia!$J:$J,"Vigilancia")/O$35</f>
        <v>0.8280947878787881</v>
      </c>
      <c r="P22" s="329">
        <f ca="1">P21+SUMIFS(Vigilancia!$E:$E,Vigilancia!$O:$O,P$2,Vigilancia!$N:$N,$M22,Vigilancia!$J:$J,"Vigilancia")/P$35</f>
        <v>1.4781093031825145</v>
      </c>
      <c r="Q22" s="329">
        <f ca="1">Q21+SUMIFS(Vigilancia!$E:$E,Vigilancia!$O:$O,Q$2,Vigilancia!$N:$N,$M22,Vigilancia!$J:$J,"Vigilancia")/Q$35</f>
        <v>0.82036413566264288</v>
      </c>
      <c r="R22" s="329">
        <f ca="1">R21+SUMIFS(Vigilancia!$E:$E,Vigilancia!$O:$O,R$2,Vigilancia!$N:$N,$M22,Vigilancia!$J:$J,"Vigilancia")/R$35</f>
        <v>1.1269827971403039</v>
      </c>
      <c r="S22" s="329">
        <f ca="1">IF(S$2+M22-1&gt;$A$36,NA(),S21+SUMIFS(Vigilancia!$E:$E,Vigilancia!$O:$O,S$2,Vigilancia!$N:$N,$M22,Vigilancia!$J:$J,"Vigilancia")/S$35)</f>
        <v>0.8272852745506899</v>
      </c>
      <c r="U22" s="330">
        <f t="shared" ca="1" si="1"/>
        <v>0.92882033931830443</v>
      </c>
      <c r="V22" s="330">
        <f t="shared" ca="1" si="2"/>
        <v>0.8272852745506899</v>
      </c>
      <c r="W22" s="330">
        <v>1</v>
      </c>
    </row>
    <row r="23" spans="2:23" x14ac:dyDescent="0.25">
      <c r="M23" s="159">
        <v>21</v>
      </c>
      <c r="N23" s="329">
        <f ca="1">N22+SUMIFS(Vigilancia!$E:$E,Vigilancia!$O:$O,N$2,Vigilancia!$N:$N,$M23,Vigilancia!$J:$J,"Vigilancia")/N$35</f>
        <v>0.48000521818181829</v>
      </c>
      <c r="O23" s="329">
        <f ca="1">O22+SUMIFS(Vigilancia!$E:$E,Vigilancia!$O:$O,O$2,Vigilancia!$N:$N,$M23,Vigilancia!$J:$J,"Vigilancia")/O$35</f>
        <v>0.88154933333333352</v>
      </c>
      <c r="P23" s="329">
        <f ca="1">P22+SUMIFS(Vigilancia!$E:$E,Vigilancia!$O:$O,P$2,Vigilancia!$N:$N,$M23,Vigilancia!$J:$J,"Vigilancia")/P$35</f>
        <v>1.5189331497391541</v>
      </c>
      <c r="Q23" s="329">
        <f ca="1">Q22+SUMIFS(Vigilancia!$E:$E,Vigilancia!$O:$O,Q$2,Vigilancia!$N:$N,$M23,Vigilancia!$J:$J,"Vigilancia")/Q$35</f>
        <v>0.88385903124709064</v>
      </c>
      <c r="R23" s="329">
        <f ca="1">R22+SUMIFS(Vigilancia!$E:$E,Vigilancia!$O:$O,R$2,Vigilancia!$N:$N,$M23,Vigilancia!$J:$J,"Vigilancia")/R$35</f>
        <v>1.1393946728229571</v>
      </c>
      <c r="S23" s="329">
        <f ca="1">IF(S$2+M23-1&gt;$A$36,NA(),S22+SUMIFS(Vigilancia!$E:$E,Vigilancia!$O:$O,S$2,Vigilancia!$N:$N,$M23,Vigilancia!$J:$J,"Vigilancia")/S$35)</f>
        <v>0.8272852745506899</v>
      </c>
      <c r="U23" s="330">
        <f t="shared" ca="1" si="1"/>
        <v>0.98074828106487077</v>
      </c>
      <c r="V23" s="330">
        <f t="shared" ca="1" si="2"/>
        <v>0.8272852745506899</v>
      </c>
      <c r="W23" s="330">
        <v>1</v>
      </c>
    </row>
    <row r="24" spans="2:23" x14ac:dyDescent="0.25">
      <c r="M24" s="159">
        <v>22</v>
      </c>
      <c r="N24" s="329">
        <f ca="1">N23+SUMIFS(Vigilancia!$E:$E,Vigilancia!$O:$O,N$2,Vigilancia!$N:$N,$M24,Vigilancia!$J:$J,"Vigilancia")/N$35</f>
        <v>0.52754006666666675</v>
      </c>
      <c r="O24" s="329">
        <f ca="1">O23+SUMIFS(Vigilancia!$E:$E,Vigilancia!$O:$O,O$2,Vigilancia!$N:$N,$M24,Vigilancia!$J:$J,"Vigilancia")/O$35</f>
        <v>0.90542812121212135</v>
      </c>
      <c r="P24" s="329">
        <f ca="1">P23+SUMIFS(Vigilancia!$E:$E,Vigilancia!$O:$O,P$2,Vigilancia!$N:$N,$M24,Vigilancia!$J:$J,"Vigilancia")/P$35</f>
        <v>1.5189331497391541</v>
      </c>
      <c r="Q24" s="329">
        <f ca="1">Q23+SUMIFS(Vigilancia!$E:$E,Vigilancia!$O:$O,Q$2,Vigilancia!$N:$N,$M24,Vigilancia!$J:$J,"Vigilancia")/Q$35</f>
        <v>0.97355956185806902</v>
      </c>
      <c r="R24" s="329">
        <f ca="1">R23+SUMIFS(Vigilancia!$E:$E,Vigilancia!$O:$O,R$2,Vigilancia!$N:$N,$M24,Vigilancia!$J:$J,"Vigilancia")/R$35</f>
        <v>1.1901282146758019</v>
      </c>
      <c r="S24" s="329">
        <f ca="1">IF(S$2+M24-1&gt;$A$36,NA(),S23+SUMIFS(Vigilancia!$E:$E,Vigilancia!$O:$O,S$2,Vigilancia!$N:$N,$M24,Vigilancia!$J:$J,"Vigilancia")/S$35)</f>
        <v>0.84567967431238189</v>
      </c>
      <c r="U24" s="330">
        <f t="shared" ca="1" si="1"/>
        <v>1.0231178228303626</v>
      </c>
      <c r="V24" s="330">
        <f t="shared" ca="1" si="2"/>
        <v>0.84567967431238189</v>
      </c>
      <c r="W24" s="330">
        <v>1</v>
      </c>
    </row>
    <row r="25" spans="2:23" x14ac:dyDescent="0.25">
      <c r="M25" s="159">
        <v>23</v>
      </c>
      <c r="N25" s="329">
        <f ca="1">N24+SUMIFS(Vigilancia!$E:$E,Vigilancia!$O:$O,N$2,Vigilancia!$N:$N,$M25,Vigilancia!$J:$J,"Vigilancia")/N$35</f>
        <v>0.59809006666666675</v>
      </c>
      <c r="O25" s="329">
        <f ca="1">O24+SUMIFS(Vigilancia!$E:$E,Vigilancia!$O:$O,O$2,Vigilancia!$N:$N,$M25,Vigilancia!$J:$J,"Vigilancia")/O$35</f>
        <v>0.90542812121212135</v>
      </c>
      <c r="P25" s="329">
        <f ca="1">P24+SUMIFS(Vigilancia!$E:$E,Vigilancia!$O:$O,P$2,Vigilancia!$N:$N,$M25,Vigilancia!$J:$J,"Vigilancia")/P$35</f>
        <v>1.5597569962957936</v>
      </c>
      <c r="Q25" s="329">
        <f ca="1">Q24+SUMIFS(Vigilancia!$E:$E,Vigilancia!$O:$O,Q$2,Vigilancia!$N:$N,$M25,Vigilancia!$J:$J,"Vigilancia")/Q$35</f>
        <v>1.1216496726347469</v>
      </c>
      <c r="R25" s="329">
        <f ca="1">R24+SUMIFS(Vigilancia!$E:$E,Vigilancia!$O:$O,R$2,Vigilancia!$N:$N,$M25,Vigilancia!$J:$J,"Vigilancia")/R$35</f>
        <v>1.2239505759110318</v>
      </c>
      <c r="S25" s="329" t="e">
        <f ca="1">IF(S$2+M25-1&gt;$A$36,NA(),S24+SUMIFS(Vigilancia!$E:$E,Vigilancia!$O:$O,S$2,Vigilancia!$N:$N,$M25,Vigilancia!$J:$J,"Vigilancia")/S$35)</f>
        <v>#N/A</v>
      </c>
      <c r="U25" s="330">
        <f t="shared" ca="1" si="1"/>
        <v>1.0817750865440723</v>
      </c>
      <c r="V25" s="330" t="e">
        <f t="shared" ca="1" si="2"/>
        <v>#N/A</v>
      </c>
      <c r="W25" s="330">
        <v>1</v>
      </c>
    </row>
    <row r="26" spans="2:23" x14ac:dyDescent="0.25">
      <c r="M26" s="159">
        <v>24</v>
      </c>
      <c r="N26" s="329">
        <f ca="1">N25+SUMIFS(Vigilancia!$E:$E,Vigilancia!$O:$O,N$2,Vigilancia!$N:$N,$M26,Vigilancia!$J:$J,"Vigilancia")/N$35</f>
        <v>0.63381733939393947</v>
      </c>
      <c r="O26" s="329">
        <f ca="1">O25+SUMIFS(Vigilancia!$E:$E,Vigilancia!$O:$O,O$2,Vigilancia!$N:$N,$M26,Vigilancia!$J:$J,"Vigilancia")/O$35</f>
        <v>0.97670084848484862</v>
      </c>
      <c r="P26" s="329">
        <f ca="1">P25+SUMIFS(Vigilancia!$E:$E,Vigilancia!$O:$O,P$2,Vigilancia!$N:$N,$M26,Vigilancia!$J:$J,"Vigilancia")/P$35</f>
        <v>1.5597569962957936</v>
      </c>
      <c r="Q26" s="329">
        <f ca="1">Q25+SUMIFS(Vigilancia!$E:$E,Vigilancia!$O:$O,Q$2,Vigilancia!$N:$N,$M26,Vigilancia!$J:$J,"Vigilancia")/Q$35</f>
        <v>1.1440222173953514</v>
      </c>
      <c r="R26" s="329">
        <f ca="1">R25+SUMIFS(Vigilancia!$E:$E,Vigilancia!$O:$O,R$2,Vigilancia!$N:$N,$M26,Vigilancia!$J:$J,"Vigilancia")/R$35</f>
        <v>1.2239505759110318</v>
      </c>
      <c r="S26" s="329" t="e">
        <f ca="1">IF(S$2+M26-1&gt;$A$36,NA(),S25+SUMIFS(Vigilancia!$E:$E,Vigilancia!$O:$O,S$2,Vigilancia!$N:$N,$M26,Vigilancia!$J:$J,"Vigilancia")/S$35)</f>
        <v>#N/A</v>
      </c>
      <c r="U26" s="330">
        <f t="shared" ca="1" si="1"/>
        <v>1.1076495954961929</v>
      </c>
      <c r="V26" s="330" t="e">
        <f t="shared" ca="1" si="2"/>
        <v>#N/A</v>
      </c>
      <c r="W26" s="330">
        <v>1</v>
      </c>
    </row>
    <row r="27" spans="2:23" x14ac:dyDescent="0.25">
      <c r="M27" s="159">
        <v>25</v>
      </c>
      <c r="N27" s="329">
        <f ca="1">N26+SUMIFS(Vigilancia!$E:$E,Vigilancia!$O:$O,N$2,Vigilancia!$N:$N,$M27,Vigilancia!$J:$J,"Vigilancia")/N$35</f>
        <v>0.67054461212121219</v>
      </c>
      <c r="O27" s="329">
        <f ca="1">O26+SUMIFS(Vigilancia!$E:$E,Vigilancia!$O:$O,O$2,Vigilancia!$N:$N,$M27,Vigilancia!$J:$J,"Vigilancia")/O$35</f>
        <v>0.99651903030303046</v>
      </c>
      <c r="P27" s="329">
        <f ca="1">P26+SUMIFS(Vigilancia!$E:$E,Vigilancia!$O:$O,P$2,Vigilancia!$N:$N,$M27,Vigilancia!$J:$J,"Vigilancia")/P$35</f>
        <v>1.5597569962957936</v>
      </c>
      <c r="Q27" s="329">
        <f ca="1">Q26+SUMIFS(Vigilancia!$E:$E,Vigilancia!$O:$O,Q$2,Vigilancia!$N:$N,$M27,Vigilancia!$J:$J,"Vigilancia")/Q$35</f>
        <v>1.164967387594253</v>
      </c>
      <c r="R27" s="329">
        <f ca="1">R26+SUMIFS(Vigilancia!$E:$E,Vigilancia!$O:$O,R$2,Vigilancia!$N:$N,$M27,Vigilancia!$J:$J,"Vigilancia")/R$35</f>
        <v>1.2239505759110318</v>
      </c>
      <c r="S27" s="329" t="e">
        <f ca="1">IF(S$2+M27-1&gt;$A$36,NA(),S26+SUMIFS(Vigilancia!$E:$E,Vigilancia!$O:$O,S$2,Vigilancia!$N:$N,$M27,Vigilancia!$J:$J,"Vigilancia")/S$35)</f>
        <v>#N/A</v>
      </c>
      <c r="U27" s="330">
        <f t="shared" ca="1" si="1"/>
        <v>1.1231477204450644</v>
      </c>
      <c r="V27" s="330" t="e">
        <f t="shared" ca="1" si="2"/>
        <v>#N/A</v>
      </c>
      <c r="W27" s="330">
        <v>1</v>
      </c>
    </row>
    <row r="28" spans="2:23" x14ac:dyDescent="0.25">
      <c r="M28" s="159">
        <v>26</v>
      </c>
      <c r="N28" s="329">
        <f ca="1">N27+SUMIFS(Vigilancia!$E:$E,Vigilancia!$O:$O,N$2,Vigilancia!$N:$N,$M28,Vigilancia!$J:$J,"Vigilancia")/N$35</f>
        <v>0.67660521818181829</v>
      </c>
      <c r="O28" s="329">
        <f ca="1">O27+SUMIFS(Vigilancia!$E:$E,Vigilancia!$O:$O,O$2,Vigilancia!$N:$N,$M28,Vigilancia!$J:$J,"Vigilancia")/O$35</f>
        <v>1.079197575757576</v>
      </c>
      <c r="P28" s="329">
        <f ca="1">P27+SUMIFS(Vigilancia!$E:$E,Vigilancia!$O:$O,P$2,Vigilancia!$N:$N,$M28,Vigilancia!$J:$J,"Vigilancia")/P$35</f>
        <v>1.5840476698407773</v>
      </c>
      <c r="Q28" s="329">
        <f ca="1">Q27+SUMIFS(Vigilancia!$E:$E,Vigilancia!$O:$O,Q$2,Vigilancia!$N:$N,$M28,Vigilancia!$J:$J,"Vigilancia")/Q$35</f>
        <v>1.1861064945542554</v>
      </c>
      <c r="R28" s="329">
        <f ca="1">R27+SUMIFS(Vigilancia!$E:$E,Vigilancia!$O:$O,R$2,Vigilancia!$N:$N,$M28,Vigilancia!$J:$J,"Vigilancia")/R$35</f>
        <v>1.2577729371462618</v>
      </c>
      <c r="S28" s="329" t="e">
        <f ca="1">IF(S$2+M28-1&gt;$A$36,NA(),S27+SUMIFS(Vigilancia!$E:$E,Vigilancia!$O:$O,S$2,Vigilancia!$N:$N,$M28,Vigilancia!$J:$J,"Vigilancia")/S$35)</f>
        <v>#N/A</v>
      </c>
      <c r="U28" s="330">
        <f t="shared" ca="1" si="1"/>
        <v>1.1567459790961379</v>
      </c>
      <c r="V28" s="330" t="e">
        <f t="shared" ca="1" si="2"/>
        <v>#N/A</v>
      </c>
      <c r="W28" s="330">
        <v>1</v>
      </c>
    </row>
    <row r="29" spans="2:23" x14ac:dyDescent="0.25">
      <c r="M29" s="159">
        <v>27</v>
      </c>
      <c r="N29" s="329">
        <f ca="1">N28+SUMIFS(Vigilancia!$E:$E,Vigilancia!$O:$O,N$2,Vigilancia!$N:$N,$M29,Vigilancia!$J:$J,"Vigilancia")/N$35</f>
        <v>0.7197870363636365</v>
      </c>
      <c r="O29" s="329">
        <f ca="1">O28+SUMIFS(Vigilancia!$E:$E,Vigilancia!$O:$O,O$2,Vigilancia!$N:$N,$M29,Vigilancia!$J:$J,"Vigilancia")/O$35</f>
        <v>1.079197575757576</v>
      </c>
      <c r="P29" s="329">
        <f ca="1">P28+SUMIFS(Vigilancia!$E:$E,Vigilancia!$O:$O,P$2,Vigilancia!$N:$N,$M29,Vigilancia!$J:$J,"Vigilancia")/P$35</f>
        <v>1.5840476698407773</v>
      </c>
      <c r="Q29" s="329">
        <f ca="1">Q28+SUMIFS(Vigilancia!$E:$E,Vigilancia!$O:$O,Q$2,Vigilancia!$N:$N,$M29,Vigilancia!$J:$J,"Vigilancia")/Q$35</f>
        <v>1.2283847084742603</v>
      </c>
      <c r="R29" s="329">
        <f ca="1">R28+SUMIFS(Vigilancia!$E:$E,Vigilancia!$O:$O,R$2,Vigilancia!$N:$N,$M29,Vigilancia!$J:$J,"Vigilancia")/R$35</f>
        <v>1.299507869129183</v>
      </c>
      <c r="S29" s="329" t="e">
        <f ca="1">IF(S$2+M29-1&gt;$A$36,NA(),S28+SUMIFS(Vigilancia!$E:$E,Vigilancia!$O:$O,S$2,Vigilancia!$N:$N,$M29,Vigilancia!$J:$J,"Vigilancia")/S$35)</f>
        <v>#N/A</v>
      </c>
      <c r="U29" s="330">
        <f t="shared" ca="1" si="1"/>
        <v>1.1821849719130868</v>
      </c>
      <c r="V29" s="330" t="e">
        <f t="shared" ca="1" si="2"/>
        <v>#N/A</v>
      </c>
      <c r="W29" s="330">
        <v>1</v>
      </c>
    </row>
    <row r="30" spans="2:23" x14ac:dyDescent="0.25">
      <c r="M30" s="159">
        <v>28</v>
      </c>
      <c r="N30" s="329">
        <f ca="1">N29+SUMIFS(Vigilancia!$E:$E,Vigilancia!$O:$O,N$2,Vigilancia!$N:$N,$M30,Vigilancia!$J:$J,"Vigilancia")/N$35</f>
        <v>0.77899915757575766</v>
      </c>
      <c r="O30" s="329">
        <f ca="1">O29+SUMIFS(Vigilancia!$E:$E,Vigilancia!$O:$O,O$2,Vigilancia!$N:$N,$M30,Vigilancia!$J:$J,"Vigilancia")/O$35</f>
        <v>1.1232581818181822</v>
      </c>
      <c r="P30" s="329">
        <f ca="1">P29+SUMIFS(Vigilancia!$E:$E,Vigilancia!$O:$O,P$2,Vigilancia!$N:$N,$M30,Vigilancia!$J:$J,"Vigilancia")/P$35</f>
        <v>1.5840476698407773</v>
      </c>
      <c r="Q30" s="329">
        <f ca="1">Q29+SUMIFS(Vigilancia!$E:$E,Vigilancia!$O:$O,Q$2,Vigilancia!$N:$N,$M30,Vigilancia!$J:$J,"Vigilancia")/Q$35</f>
        <v>1.2283847084742603</v>
      </c>
      <c r="R30" s="329">
        <f ca="1">R29+SUMIFS(Vigilancia!$E:$E,Vigilancia!$O:$O,R$2,Vigilancia!$N:$N,$M30,Vigilancia!$J:$J,"Vigilancia")/R$35</f>
        <v>1.333330230364413</v>
      </c>
      <c r="S30" s="329" t="e">
        <f ca="1">IF(S$2+M30-1&gt;$A$36,NA(),S29+SUMIFS(Vigilancia!$E:$E,Vigilancia!$O:$O,S$2,Vigilancia!$N:$N,$M30,Vigilancia!$J:$J,"Vigilancia")/S$35)</f>
        <v>#N/A</v>
      </c>
      <c r="U30" s="330">
        <f t="shared" ca="1" si="1"/>
        <v>1.209603989614678</v>
      </c>
      <c r="V30" s="330" t="e">
        <f t="shared" ca="1" si="2"/>
        <v>#N/A</v>
      </c>
      <c r="W30" s="330">
        <v>1</v>
      </c>
    </row>
    <row r="31" spans="2:23" x14ac:dyDescent="0.25">
      <c r="M31" s="159">
        <v>29</v>
      </c>
      <c r="N31" s="329">
        <f ca="1">N30+SUMIFS(Vigilancia!$E:$E,Vigilancia!$O:$O,N$2,Vigilancia!$N:$N,$M31,Vigilancia!$J:$J,"Vigilancia")/N$35</f>
        <v>0.88674158181818186</v>
      </c>
      <c r="O31" s="329">
        <f ca="1">O30+SUMIFS(Vigilancia!$E:$E,Vigilancia!$O:$O,O$2,Vigilancia!$N:$N,$M31,Vigilancia!$J:$J,"Vigilancia")/O$35</f>
        <v>1.231267878787879</v>
      </c>
      <c r="P31" s="329">
        <f ca="1">P30+SUMIFS(Vigilancia!$E:$E,Vigilancia!$O:$O,P$2,Vigilancia!$N:$N,$M31,Vigilancia!$J:$J,"Vigilancia")/P$35</f>
        <v>1.5840476698407773</v>
      </c>
      <c r="Q31" s="329">
        <f ca="1">Q30+SUMIFS(Vigilancia!$E:$E,Vigilancia!$O:$O,Q$2,Vigilancia!$N:$N,$M31,Vigilancia!$J:$J,"Vigilancia")/Q$35</f>
        <v>1.2495238154342627</v>
      </c>
      <c r="R31" s="329">
        <f ca="1">R30+SUMIFS(Vigilancia!$E:$E,Vigilancia!$O:$O,R$2,Vigilancia!$N:$N,$M31,Vigilancia!$J:$J,"Vigilancia")/R$35</f>
        <v>1.4475505163340288</v>
      </c>
      <c r="S31" s="329" t="e">
        <f ca="1">IF(S$2+M31-1&gt;$A$36,NA(),S30+SUMIFS(Vigilancia!$E:$E,Vigilancia!$O:$O,S$2,Vigilancia!$N:$N,$M31,Vigilancia!$J:$J,"Vigilancia")/S$35)</f>
        <v>#N/A</v>
      </c>
      <c r="U31" s="330">
        <f t="shared" ca="1" si="1"/>
        <v>1.2798262924430259</v>
      </c>
      <c r="V31" s="330" t="e">
        <f t="shared" ca="1" si="2"/>
        <v>#N/A</v>
      </c>
      <c r="W31" s="330">
        <v>1</v>
      </c>
    </row>
    <row r="32" spans="2:23" x14ac:dyDescent="0.25">
      <c r="M32" s="159">
        <v>30</v>
      </c>
      <c r="N32" s="329">
        <f ca="1">N31+SUMIFS(Vigilancia!$E:$E,Vigilancia!$O:$O,N$2,Vigilancia!$N:$N,$M32,Vigilancia!$J:$J,"Vigilancia")/N$35</f>
        <v>1.0603476424242424</v>
      </c>
      <c r="O32" s="329">
        <f ca="1">O31+SUMIFS(Vigilancia!$E:$E,Vigilancia!$O:$O,O$2,Vigilancia!$N:$N,$M32,Vigilancia!$J:$J,"Vigilancia")/O$35</f>
        <v>1.3303587878787881</v>
      </c>
      <c r="P32" s="329">
        <f ca="1">P31+SUMIFS(Vigilancia!$E:$E,Vigilancia!$O:$O,P$2,Vigilancia!$N:$N,$M32,Vigilancia!$J:$J,"Vigilancia")/P$35</f>
        <v>1.6248715163974168</v>
      </c>
      <c r="Q32" s="329">
        <f ca="1">Q31+SUMIFS(Vigilancia!$E:$E,Vigilancia!$O:$O,Q$2,Vigilancia!$N:$N,$M32,Vigilancia!$J:$J,"Vigilancia")/Q$35</f>
        <v>1.2918020293542676</v>
      </c>
      <c r="R32" s="329">
        <f ca="1">R31+SUMIFS(Vigilancia!$E:$E,Vigilancia!$O:$O,R$2,Vigilancia!$N:$N,$M32,Vigilancia!$J:$J,"Vigilancia")/R$35</f>
        <v>1.4475505163340288</v>
      </c>
      <c r="S32" s="329" t="e">
        <f ca="1">IF(S$2+M32-1&gt;$A$36,NA(),S31+SUMIFS(Vigilancia!$E:$E,Vigilancia!$O:$O,S$2,Vigilancia!$N:$N,$M32,Vigilancia!$J:$J,"Vigilancia")/S$35)</f>
        <v>#N/A</v>
      </c>
      <c r="U32" s="330">
        <f t="shared" ca="1" si="1"/>
        <v>1.3509860984777489</v>
      </c>
      <c r="V32" s="330" t="e">
        <f t="shared" ca="1" si="2"/>
        <v>#N/A</v>
      </c>
      <c r="W32" s="330">
        <v>1</v>
      </c>
    </row>
    <row r="33" spans="1:23" x14ac:dyDescent="0.25">
      <c r="M33" s="159">
        <v>31</v>
      </c>
      <c r="N33" s="329">
        <f ca="1">N32+SUMIFS(Vigilancia!$E:$E,Vigilancia!$O:$O,N$2,Vigilancia!$N:$N,$M33,Vigilancia!$J:$J,"Vigilancia")/N$35</f>
        <v>1.0843521878787878</v>
      </c>
      <c r="O33" s="329">
        <f ca="1">O32+SUMIFS(Vigilancia!$E:$E,Vigilancia!$O:$O,O$2,Vigilancia!$N:$N,$M33,Vigilancia!$J:$J,"Vigilancia")/O$35</f>
        <v>1.3303587878787881</v>
      </c>
      <c r="P33" s="329">
        <f ca="1">P32+SUMIFS(Vigilancia!$E:$E,Vigilancia!$O:$O,P$2,Vigilancia!$N:$N,$M33,Vigilancia!$J:$J,"Vigilancia")/P$35</f>
        <v>1.6248715163974168</v>
      </c>
      <c r="Q33" s="329">
        <f ca="1">Q32+SUMIFS(Vigilancia!$E:$E,Vigilancia!$O:$O,Q$2,Vigilancia!$N:$N,$M33,Vigilancia!$J:$J,"Vigilancia")/Q$35</f>
        <v>1.3383468520184931</v>
      </c>
      <c r="R33" s="329">
        <f ca="1">R32+SUMIFS(Vigilancia!$E:$E,Vigilancia!$O:$O,R$2,Vigilancia!$N:$N,$M33,Vigilancia!$J:$J,"Vigilancia")/R$35</f>
        <v>1.4475505163340288</v>
      </c>
      <c r="S33" s="329" t="e">
        <f ca="1">IF(S$2+M33-1&gt;$A$36,NA(),S32+SUMIFS(Vigilancia!$E:$E,Vigilancia!$O:$O,S$2,Vigilancia!$N:$N,$M33,Vigilancia!$J:$J,"Vigilancia")/S$35)</f>
        <v>#N/A</v>
      </c>
      <c r="U33" s="330">
        <f t="shared" ca="1" si="1"/>
        <v>1.365095972101503</v>
      </c>
      <c r="V33" s="330" t="e">
        <f t="shared" ca="1" si="2"/>
        <v>#N/A</v>
      </c>
      <c r="W33" s="330">
        <v>1</v>
      </c>
    </row>
    <row r="35" spans="1:23" x14ac:dyDescent="0.25">
      <c r="M35" s="320" t="s">
        <v>1263</v>
      </c>
      <c r="N35" s="385">
        <f ca="1">HLOOKUP(N$2,'RESUMEN VIGILANCIA'!$E:$AZ,$E$16,TRUE)</f>
        <v>3300000</v>
      </c>
      <c r="O35" s="385">
        <f ca="1">HLOOKUP(O$2,'RESUMEN VIGILANCIA'!$E:$AZ,$E$16,TRUE)</f>
        <v>4125000</v>
      </c>
      <c r="P35" s="385">
        <f ca="1">HLOOKUP(P$2,'RESUMEN VIGILANCIA'!$E:$AZ,$E$16,TRUE)</f>
        <v>5156300</v>
      </c>
      <c r="Q35" s="385">
        <f ca="1">HLOOKUP(Q$2,'RESUMEN VIGILANCIA'!$E:$AZ,$E$16,TRUE)</f>
        <v>6445400</v>
      </c>
      <c r="R35" s="385">
        <f ca="1">HLOOKUP(R$2,'RESUMEN VIGILANCIA'!$E:$AZ,$E$16,TRUE)</f>
        <v>8056800</v>
      </c>
      <c r="S35" s="385">
        <f ca="1">HLOOKUP(S$2,'RESUMEN VIGILANCIA'!$E:$AZ,$E$16,TRUE)</f>
        <v>10071000</v>
      </c>
    </row>
    <row r="36" spans="1:23" x14ac:dyDescent="0.25">
      <c r="A36" s="664">
        <f ca="1">TODAY()</f>
        <v>43912</v>
      </c>
      <c r="B36" s="664"/>
      <c r="C36" s="664"/>
      <c r="D36" s="664"/>
      <c r="E36" s="664"/>
      <c r="F36" s="474"/>
    </row>
    <row r="37" spans="1:23" x14ac:dyDescent="0.25">
      <c r="M37" s="320" t="s">
        <v>1264</v>
      </c>
      <c r="N37" s="668">
        <f ca="1">HLOOKUP(N$2,'RESUMEN VIGILANCIA'!$E:$AZ,$E$15,TRUE)</f>
        <v>50250</v>
      </c>
      <c r="O37" s="668">
        <f ca="1">HLOOKUP(O$2,'RESUMEN VIGILANCIA'!$E:$AZ,$E$15,TRUE)</f>
        <v>65450</v>
      </c>
      <c r="P37" s="668">
        <f ca="1">HLOOKUP(P$2,'RESUMEN VIGILANCIA'!$E:$AZ,$E$15,TRUE)</f>
        <v>100041.66666666667</v>
      </c>
      <c r="Q37" s="668">
        <f ca="1">HLOOKUP(Q$2,'RESUMEN VIGILANCIA'!$E:$AZ,$E$15,TRUE)</f>
        <v>130050</v>
      </c>
      <c r="R37" s="668">
        <f ca="1">HLOOKUP(R$2,'RESUMEN VIGILANCIA'!$E:$AZ,$E$15,TRUE)</f>
        <v>136250</v>
      </c>
      <c r="S37" s="668">
        <f ca="1">HLOOKUP(S$2,'RESUMEN VIGILANCIA'!$E:$AZ,$E$15,TRUE)</f>
        <v>185250</v>
      </c>
    </row>
    <row r="39" spans="1:23" x14ac:dyDescent="0.25">
      <c r="L39" s="669" t="s">
        <v>1556</v>
      </c>
      <c r="M39" s="670" t="s">
        <v>1557</v>
      </c>
      <c r="N39" s="671"/>
      <c r="O39" s="671"/>
      <c r="P39" s="671"/>
      <c r="Q39" s="671"/>
      <c r="R39" s="671"/>
      <c r="S39" s="672"/>
    </row>
    <row r="40" spans="1:23" x14ac:dyDescent="0.25">
      <c r="L40" s="673"/>
      <c r="M40" s="674" t="s">
        <v>1558</v>
      </c>
      <c r="N40" s="675"/>
      <c r="O40" s="675"/>
      <c r="P40" s="675"/>
      <c r="Q40" s="675"/>
      <c r="R40" s="675"/>
      <c r="S40" s="676"/>
    </row>
    <row r="41" spans="1:23" x14ac:dyDescent="0.25">
      <c r="L41" s="677"/>
      <c r="M41" s="678" t="s">
        <v>1559</v>
      </c>
      <c r="N41" s="679"/>
      <c r="O41" s="679"/>
      <c r="P41" s="679"/>
      <c r="Q41" s="679"/>
      <c r="R41" s="679"/>
      <c r="S41" s="680"/>
    </row>
  </sheetData>
  <mergeCells count="1">
    <mergeCell ref="A36:E36"/>
  </mergeCells>
  <pageMargins left="0" right="0" top="0" bottom="0" header="0" footer="0"/>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BD147"/>
  <sheetViews>
    <sheetView showGridLines="0" zoomScale="85" zoomScaleNormal="85" workbookViewId="0">
      <pane xSplit="4" ySplit="1" topLeftCell="AT90" activePane="bottomRight" state="frozen"/>
      <selection pane="topRight" activeCell="E1" sqref="E1"/>
      <selection pane="bottomLeft" activeCell="A2" sqref="A2"/>
      <selection pane="bottomRight" activeCell="BD102" sqref="BD102"/>
    </sheetView>
  </sheetViews>
  <sheetFormatPr baseColWidth="10" defaultColWidth="11.42578125" defaultRowHeight="12.75" x14ac:dyDescent="0.2"/>
  <cols>
    <col min="1" max="1" width="24.5703125" style="45" bestFit="1" customWidth="1"/>
    <col min="2" max="2" width="20.85546875" style="45" customWidth="1"/>
    <col min="3" max="3" width="14.28515625" style="58" bestFit="1" customWidth="1"/>
    <col min="4" max="4" width="4.7109375" style="464" customWidth="1"/>
    <col min="5" max="29" width="11.7109375" style="27" hidden="1" customWidth="1"/>
    <col min="30" max="53" width="11.7109375" style="27" customWidth="1"/>
    <col min="54" max="54" width="12.7109375" style="28" customWidth="1"/>
    <col min="55" max="56" width="11.42578125" style="121"/>
    <col min="57" max="16384" width="11.42578125" style="45"/>
  </cols>
  <sheetData>
    <row r="1" spans="1:56" s="29" customFormat="1" ht="20.100000000000001" customHeight="1" x14ac:dyDescent="0.25">
      <c r="A1" s="644" t="s">
        <v>5</v>
      </c>
      <c r="B1" s="644" t="s">
        <v>7</v>
      </c>
      <c r="C1" s="644" t="s">
        <v>9</v>
      </c>
      <c r="D1" s="644" t="s">
        <v>1265</v>
      </c>
      <c r="E1" s="647">
        <f>'RESUMEN VIGILANCIA'!D1</f>
        <v>2016</v>
      </c>
      <c r="F1" s="644">
        <f>'RESUMEN VIGILANCIA'!E1</f>
        <v>42736</v>
      </c>
      <c r="G1" s="644">
        <f>'RESUMEN VIGILANCIA'!F1</f>
        <v>42767</v>
      </c>
      <c r="H1" s="644">
        <f>'RESUMEN VIGILANCIA'!G1</f>
        <v>42795</v>
      </c>
      <c r="I1" s="644">
        <f>'RESUMEN VIGILANCIA'!H1</f>
        <v>42826</v>
      </c>
      <c r="J1" s="644">
        <f>'RESUMEN VIGILANCIA'!I1</f>
        <v>42856</v>
      </c>
      <c r="K1" s="644">
        <f>'RESUMEN VIGILANCIA'!J1</f>
        <v>42887</v>
      </c>
      <c r="L1" s="644">
        <f>'RESUMEN VIGILANCIA'!K1</f>
        <v>42917</v>
      </c>
      <c r="M1" s="644">
        <f>'RESUMEN VIGILANCIA'!L1</f>
        <v>42948</v>
      </c>
      <c r="N1" s="644">
        <f>'RESUMEN VIGILANCIA'!M1</f>
        <v>42979</v>
      </c>
      <c r="O1" s="644">
        <f>'RESUMEN VIGILANCIA'!N1</f>
        <v>43009</v>
      </c>
      <c r="P1" s="644">
        <f>'RESUMEN VIGILANCIA'!O1</f>
        <v>43040</v>
      </c>
      <c r="Q1" s="644">
        <f>'RESUMEN VIGILANCIA'!P1</f>
        <v>43070</v>
      </c>
      <c r="R1" s="644">
        <f>'RESUMEN VIGILANCIA'!Q1</f>
        <v>43101</v>
      </c>
      <c r="S1" s="644">
        <f>'RESUMEN VIGILANCIA'!R1</f>
        <v>43132</v>
      </c>
      <c r="T1" s="644">
        <f>'RESUMEN VIGILANCIA'!S1</f>
        <v>43160</v>
      </c>
      <c r="U1" s="644">
        <f>'RESUMEN VIGILANCIA'!T1</f>
        <v>43191</v>
      </c>
      <c r="V1" s="644">
        <f>'RESUMEN VIGILANCIA'!U1</f>
        <v>43221</v>
      </c>
      <c r="W1" s="644">
        <f>'RESUMEN VIGILANCIA'!V1</f>
        <v>43252</v>
      </c>
      <c r="X1" s="644">
        <f>'RESUMEN VIGILANCIA'!W1</f>
        <v>43282</v>
      </c>
      <c r="Y1" s="644">
        <f>'RESUMEN VIGILANCIA'!X1</f>
        <v>43313</v>
      </c>
      <c r="Z1" s="644">
        <f>'RESUMEN VIGILANCIA'!Y1</f>
        <v>43344</v>
      </c>
      <c r="AA1" s="644">
        <f>'RESUMEN VIGILANCIA'!Z1</f>
        <v>43374</v>
      </c>
      <c r="AB1" s="644">
        <f>'RESUMEN VIGILANCIA'!AA1</f>
        <v>43405</v>
      </c>
      <c r="AC1" s="644">
        <f>'RESUMEN VIGILANCIA'!AB1</f>
        <v>43435</v>
      </c>
      <c r="AD1" s="644">
        <f>'RESUMEN VIGILANCIA'!AC1</f>
        <v>43466</v>
      </c>
      <c r="AE1" s="644">
        <f>'RESUMEN VIGILANCIA'!AD1</f>
        <v>43497</v>
      </c>
      <c r="AF1" s="644">
        <f>'RESUMEN VIGILANCIA'!AE1</f>
        <v>43525</v>
      </c>
      <c r="AG1" s="644">
        <f>'RESUMEN VIGILANCIA'!AF1</f>
        <v>43556</v>
      </c>
      <c r="AH1" s="644">
        <f>'RESUMEN VIGILANCIA'!AG1</f>
        <v>43586</v>
      </c>
      <c r="AI1" s="644">
        <f>'RESUMEN VIGILANCIA'!AH1</f>
        <v>43617</v>
      </c>
      <c r="AJ1" s="644">
        <f>'RESUMEN VIGILANCIA'!AI1</f>
        <v>43647</v>
      </c>
      <c r="AK1" s="644">
        <f>'RESUMEN VIGILANCIA'!AJ1</f>
        <v>43678</v>
      </c>
      <c r="AL1" s="644">
        <f>'RESUMEN VIGILANCIA'!AK1</f>
        <v>43709</v>
      </c>
      <c r="AM1" s="644">
        <f>'RESUMEN VIGILANCIA'!AL1</f>
        <v>43739</v>
      </c>
      <c r="AN1" s="644">
        <f>'RESUMEN VIGILANCIA'!AM1</f>
        <v>43770</v>
      </c>
      <c r="AO1" s="644">
        <f>'RESUMEN VIGILANCIA'!AN1</f>
        <v>43800</v>
      </c>
      <c r="AP1" s="644">
        <f>'RESUMEN VIGILANCIA'!AO1</f>
        <v>43831</v>
      </c>
      <c r="AQ1" s="644">
        <f>'RESUMEN VIGILANCIA'!AP1</f>
        <v>43862</v>
      </c>
      <c r="AR1" s="644">
        <f>'RESUMEN VIGILANCIA'!AQ1</f>
        <v>43891</v>
      </c>
      <c r="AS1" s="644">
        <f>'RESUMEN VIGILANCIA'!AR1</f>
        <v>43922</v>
      </c>
      <c r="AT1" s="644">
        <f>'RESUMEN VIGILANCIA'!AS1</f>
        <v>43952</v>
      </c>
      <c r="AU1" s="644">
        <f>'RESUMEN VIGILANCIA'!AT1</f>
        <v>43983</v>
      </c>
      <c r="AV1" s="644">
        <f>'RESUMEN VIGILANCIA'!AU1</f>
        <v>44013</v>
      </c>
      <c r="AW1" s="644">
        <f>'RESUMEN VIGILANCIA'!AV1</f>
        <v>44044</v>
      </c>
      <c r="AX1" s="644">
        <f>'RESUMEN VIGILANCIA'!AW1</f>
        <v>44075</v>
      </c>
      <c r="AY1" s="644">
        <f>'RESUMEN VIGILANCIA'!AX1</f>
        <v>44105</v>
      </c>
      <c r="AZ1" s="644">
        <f>'RESUMEN VIGILANCIA'!AY1</f>
        <v>44136</v>
      </c>
      <c r="BA1" s="644">
        <f>'RESUMEN VIGILANCIA'!AZ1</f>
        <v>44166</v>
      </c>
      <c r="BB1" s="644" t="s">
        <v>1175</v>
      </c>
      <c r="BC1" s="644" t="s">
        <v>1266</v>
      </c>
      <c r="BD1" s="644" t="s">
        <v>1267</v>
      </c>
    </row>
    <row r="2" spans="1:56" s="29" customFormat="1" ht="20.100000000000001" customHeight="1" x14ac:dyDescent="0.25">
      <c r="A2" s="37" t="str">
        <f>'RESUMEN VIGILANCIA'!A24</f>
        <v>Familia Padrón C. Bollingher</v>
      </c>
      <c r="B2" s="38" t="str">
        <f>'RESUMEN VIGILANCIA'!B24</f>
        <v>Calle Guacara Nro. 87-30</v>
      </c>
      <c r="C2" s="449"/>
      <c r="D2" s="458" t="s">
        <v>1268</v>
      </c>
      <c r="E2" s="438" t="str">
        <f>IF(ISBLANK('RESUMEN VIGILANCIA'!D24),"",'RESUMEN VIGILANCIA'!D24)</f>
        <v/>
      </c>
      <c r="F2" s="264" t="str">
        <f>IF(ISBLANK('RESUMEN VIGILANCIA'!E24),"",'RESUMEN VIGILANCIA'!E24)</f>
        <v/>
      </c>
      <c r="G2" s="200" t="str">
        <f>IF(ISBLANK('RESUMEN VIGILANCIA'!F24),"",'RESUMEN VIGILANCIA'!F24)</f>
        <v/>
      </c>
      <c r="H2" s="200" t="str">
        <f>IF(ISBLANK('RESUMEN VIGILANCIA'!G24),"",'RESUMEN VIGILANCIA'!G24)</f>
        <v/>
      </c>
      <c r="I2" s="200" t="str">
        <f>IF(ISBLANK('RESUMEN VIGILANCIA'!H24),"",'RESUMEN VIGILANCIA'!H24)</f>
        <v/>
      </c>
      <c r="J2" s="200" t="str">
        <f>IF(ISBLANK('RESUMEN VIGILANCIA'!I24),"",'RESUMEN VIGILANCIA'!I24)</f>
        <v/>
      </c>
      <c r="K2" s="200" t="str">
        <f>IF(ISBLANK('RESUMEN VIGILANCIA'!J24),"",'RESUMEN VIGILANCIA'!J24)</f>
        <v/>
      </c>
      <c r="L2" s="200" t="str">
        <f>IF(ISBLANK('RESUMEN VIGILANCIA'!K24),"",'RESUMEN VIGILANCIA'!K24)</f>
        <v/>
      </c>
      <c r="M2" s="200" t="str">
        <f>IF(ISBLANK('RESUMEN VIGILANCIA'!L24),"",'RESUMEN VIGILANCIA'!L24)</f>
        <v/>
      </c>
      <c r="N2" s="200" t="str">
        <f>IF(ISBLANK('RESUMEN VIGILANCIA'!M24),"",'RESUMEN VIGILANCIA'!M24)</f>
        <v/>
      </c>
      <c r="O2" s="200" t="str">
        <f>IF(ISBLANK('RESUMEN VIGILANCIA'!N24),"",'RESUMEN VIGILANCIA'!N24)</f>
        <v/>
      </c>
      <c r="P2" s="265" t="str">
        <f>IF(ISBLANK('RESUMEN VIGILANCIA'!O24),"",'RESUMEN VIGILANCIA'!O24)</f>
        <v/>
      </c>
      <c r="Q2" s="198" t="str">
        <f>IF(ISBLANK('RESUMEN VIGILANCIA'!P24),"",'RESUMEN VIGILANCIA'!P24)</f>
        <v/>
      </c>
      <c r="R2" s="266" t="str">
        <f>IF(ISBLANK('RESUMEN VIGILANCIA'!Q24),"",'RESUMEN VIGILANCIA'!Q24)</f>
        <v/>
      </c>
      <c r="S2" s="265" t="str">
        <f>IF(ISBLANK('RESUMEN VIGILANCIA'!R24),"",'RESUMEN VIGILANCIA'!R24)</f>
        <v/>
      </c>
      <c r="T2" s="265" t="str">
        <f>IF(ISBLANK('RESUMEN VIGILANCIA'!S24),"",'RESUMEN VIGILANCIA'!S24)</f>
        <v/>
      </c>
      <c r="U2" s="265" t="str">
        <f>IF(ISBLANK('RESUMEN VIGILANCIA'!T24),"",'RESUMEN VIGILANCIA'!T24)</f>
        <v/>
      </c>
      <c r="V2" s="265" t="str">
        <f>IF(ISBLANK('RESUMEN VIGILANCIA'!U24),"",'RESUMEN VIGILANCIA'!U24)</f>
        <v/>
      </c>
      <c r="W2" s="265" t="str">
        <f>IF(ISBLANK('RESUMEN VIGILANCIA'!V24),"",'RESUMEN VIGILANCIA'!V24)</f>
        <v/>
      </c>
      <c r="X2" s="265" t="str">
        <f>IF(ISBLANK('RESUMEN VIGILANCIA'!W24),"",'RESUMEN VIGILANCIA'!W24)</f>
        <v/>
      </c>
      <c r="Y2" s="265" t="str">
        <f>IF(ISBLANK('RESUMEN VIGILANCIA'!X24),"",'RESUMEN VIGILANCIA'!X24)</f>
        <v/>
      </c>
      <c r="Z2" s="479" t="str">
        <f>IF(ISBLANK('RESUMEN VIGILANCIA'!Y24),"",'RESUMEN VIGILANCIA'!Y24)</f>
        <v/>
      </c>
      <c r="AA2" s="479" t="str">
        <f>IF(ISBLANK('RESUMEN VIGILANCIA'!Z24),"",'RESUMEN VIGILANCIA'!Z24)</f>
        <v/>
      </c>
      <c r="AB2" s="479" t="str">
        <f>IF(ISBLANK('RESUMEN VIGILANCIA'!AA24),"",'RESUMEN VIGILANCIA'!AA24)</f>
        <v/>
      </c>
      <c r="AC2" s="480" t="str">
        <f>IF(ISBLANK('RESUMEN VIGILANCIA'!AB24),"",'RESUMEN VIGILANCIA'!AB24)</f>
        <v/>
      </c>
      <c r="AD2" s="407" t="str">
        <f>IF(ISBLANK('RESUMEN VIGILANCIA'!AC24),"",'RESUMEN VIGILANCIA'!AC24)</f>
        <v/>
      </c>
      <c r="AE2" s="408" t="str">
        <f>IF(ISBLANK('RESUMEN VIGILANCIA'!AD24),"",'RESUMEN VIGILANCIA'!AD24)</f>
        <v/>
      </c>
      <c r="AF2" s="408" t="str">
        <f>IF(ISBLANK('RESUMEN VIGILANCIA'!AE24),"",'RESUMEN VIGILANCIA'!AE24)</f>
        <v/>
      </c>
      <c r="AG2" s="408" t="str">
        <f>IF(ISBLANK('RESUMEN VIGILANCIA'!AF24),"",'RESUMEN VIGILANCIA'!AF24)</f>
        <v/>
      </c>
      <c r="AH2" s="408" t="str">
        <f>IF(ISBLANK('RESUMEN VIGILANCIA'!AG24),"",'RESUMEN VIGILANCIA'!AG24)</f>
        <v/>
      </c>
      <c r="AI2" s="408" t="str">
        <f>IF(ISBLANK('RESUMEN VIGILANCIA'!AH24),"",'RESUMEN VIGILANCIA'!AH24)</f>
        <v/>
      </c>
      <c r="AJ2" s="408" t="str">
        <f>IF(ISBLANK('RESUMEN VIGILANCIA'!AI24),"",'RESUMEN VIGILANCIA'!AI24)</f>
        <v/>
      </c>
      <c r="AK2" s="408" t="str">
        <f>IF(ISBLANK('RESUMEN VIGILANCIA'!AJ24),"",'RESUMEN VIGILANCIA'!AJ24)</f>
        <v/>
      </c>
      <c r="AL2" s="408" t="str">
        <f>IF(ISBLANK('RESUMEN VIGILANCIA'!AK24),"",'RESUMEN VIGILANCIA'!AK24)</f>
        <v/>
      </c>
      <c r="AM2" s="408" t="str">
        <f>IF(ISBLANK('RESUMEN VIGILANCIA'!AL24),"",'RESUMEN VIGILANCIA'!AL24)</f>
        <v/>
      </c>
      <c r="AN2" s="408" t="str">
        <f>IF(ISBLANK('RESUMEN VIGILANCIA'!AM24),"",'RESUMEN VIGILANCIA'!AM24)</f>
        <v/>
      </c>
      <c r="AO2" s="409" t="str">
        <f>IF(ISBLANK('RESUMEN VIGILANCIA'!AN24),"",'RESUMEN VIGILANCIA'!AN24)</f>
        <v/>
      </c>
      <c r="AP2" s="407" t="str">
        <f>IF(ISBLANK('RESUMEN VIGILANCIA'!AO24),"",'RESUMEN VIGILANCIA'!AO24)</f>
        <v/>
      </c>
      <c r="AQ2" s="408" t="str">
        <f>IF(ISBLANK('RESUMEN VIGILANCIA'!AP24),"",'RESUMEN VIGILANCIA'!AP24)</f>
        <v/>
      </c>
      <c r="AR2" s="408" t="str">
        <f>IF(ISBLANK('RESUMEN VIGILANCIA'!AQ24),"",'RESUMEN VIGILANCIA'!AQ24)</f>
        <v/>
      </c>
      <c r="AS2" s="408" t="str">
        <f>IF(ISBLANK('RESUMEN VIGILANCIA'!AR24),"",'RESUMEN VIGILANCIA'!AR24)</f>
        <v/>
      </c>
      <c r="AT2" s="408" t="str">
        <f>IF(ISBLANK('RESUMEN VIGILANCIA'!AS24),"",'RESUMEN VIGILANCIA'!AS24)</f>
        <v/>
      </c>
      <c r="AU2" s="408" t="str">
        <f>IF(ISBLANK('RESUMEN VIGILANCIA'!AT24),"",'RESUMEN VIGILANCIA'!AT24)</f>
        <v/>
      </c>
      <c r="AV2" s="408" t="str">
        <f>IF(ISBLANK('RESUMEN VIGILANCIA'!AU24),"",'RESUMEN VIGILANCIA'!AU24)</f>
        <v/>
      </c>
      <c r="AW2" s="408" t="str">
        <f>IF(ISBLANK('RESUMEN VIGILANCIA'!AV24),"",'RESUMEN VIGILANCIA'!AV24)</f>
        <v/>
      </c>
      <c r="AX2" s="408" t="str">
        <f>IF(ISBLANK('RESUMEN VIGILANCIA'!AW24),"",'RESUMEN VIGILANCIA'!AW24)</f>
        <v/>
      </c>
      <c r="AY2" s="408" t="str">
        <f>IF(ISBLANK('RESUMEN VIGILANCIA'!AX24),"",'RESUMEN VIGILANCIA'!AX24)</f>
        <v/>
      </c>
      <c r="AZ2" s="408" t="str">
        <f>IF(ISBLANK('RESUMEN VIGILANCIA'!AY24),"",'RESUMEN VIGILANCIA'!AY24)</f>
        <v/>
      </c>
      <c r="BA2" s="409" t="str">
        <f>IF(ISBLANK('RESUMEN VIGILANCIA'!AZ24),"",'RESUMEN VIGILANCIA'!AZ24)</f>
        <v/>
      </c>
      <c r="BB2" s="244">
        <f t="shared" ref="BB2:BB33" si="0">SUM(E2:AO2)</f>
        <v>0</v>
      </c>
      <c r="BC2" s="110"/>
      <c r="BD2" s="110"/>
    </row>
    <row r="3" spans="1:56" s="29" customFormat="1" ht="20.100000000000001" customHeight="1" x14ac:dyDescent="0.25">
      <c r="A3" s="37" t="str">
        <f>'RESUMEN VIGILANCIA'!A26</f>
        <v>Familia Gorrín Gianfrancesco</v>
      </c>
      <c r="B3" s="38" t="str">
        <f>'RESUMEN VIGILANCIA'!B26</f>
        <v>Calle Guacara Nro. 87-40</v>
      </c>
      <c r="C3" s="450"/>
      <c r="D3" s="458" t="s">
        <v>1268</v>
      </c>
      <c r="E3" s="438" t="str">
        <f>IF(ISBLANK('RESUMEN VIGILANCIA'!D26),"",'RESUMEN VIGILANCIA'!D26)</f>
        <v/>
      </c>
      <c r="F3" s="264" t="str">
        <f>IF(ISBLANK('RESUMEN VIGILANCIA'!E26),"",'RESUMEN VIGILANCIA'!E26)</f>
        <v/>
      </c>
      <c r="G3" s="200" t="str">
        <f>IF(ISBLANK('RESUMEN VIGILANCIA'!F26),"",'RESUMEN VIGILANCIA'!F26)</f>
        <v/>
      </c>
      <c r="H3" s="200" t="str">
        <f>IF(ISBLANK('RESUMEN VIGILANCIA'!G26),"",'RESUMEN VIGILANCIA'!G26)</f>
        <v/>
      </c>
      <c r="I3" s="200" t="str">
        <f>IF(ISBLANK('RESUMEN VIGILANCIA'!H26),"",'RESUMEN VIGILANCIA'!H26)</f>
        <v/>
      </c>
      <c r="J3" s="200" t="str">
        <f>IF(ISBLANK('RESUMEN VIGILANCIA'!I26),"",'RESUMEN VIGILANCIA'!I26)</f>
        <v/>
      </c>
      <c r="K3" s="200" t="str">
        <f>IF(ISBLANK('RESUMEN VIGILANCIA'!J26),"",'RESUMEN VIGILANCIA'!J26)</f>
        <v/>
      </c>
      <c r="L3" s="200" t="str">
        <f>IF(ISBLANK('RESUMEN VIGILANCIA'!K26),"",'RESUMEN VIGILANCIA'!K26)</f>
        <v/>
      </c>
      <c r="M3" s="200" t="str">
        <f>IF(ISBLANK('RESUMEN VIGILANCIA'!L26),"",'RESUMEN VIGILANCIA'!L26)</f>
        <v/>
      </c>
      <c r="N3" s="200" t="str">
        <f>IF(ISBLANK('RESUMEN VIGILANCIA'!M26),"",'RESUMEN VIGILANCIA'!M26)</f>
        <v/>
      </c>
      <c r="O3" s="200" t="str">
        <f>IF(ISBLANK('RESUMEN VIGILANCIA'!N26),"",'RESUMEN VIGILANCIA'!N26)</f>
        <v/>
      </c>
      <c r="P3" s="265" t="str">
        <f>IF(ISBLANK('RESUMEN VIGILANCIA'!O26),"",'RESUMEN VIGILANCIA'!O26)</f>
        <v/>
      </c>
      <c r="Q3" s="198" t="str">
        <f>IF(ISBLANK('RESUMEN VIGILANCIA'!P26),"",'RESUMEN VIGILANCIA'!P26)</f>
        <v/>
      </c>
      <c r="R3" s="266" t="str">
        <f>IF(ISBLANK('RESUMEN VIGILANCIA'!Q26),"",'RESUMEN VIGILANCIA'!Q26)</f>
        <v/>
      </c>
      <c r="S3" s="265" t="str">
        <f>IF(ISBLANK('RESUMEN VIGILANCIA'!R26),"",'RESUMEN VIGILANCIA'!R26)</f>
        <v/>
      </c>
      <c r="T3" s="265" t="str">
        <f>IF(ISBLANK('RESUMEN VIGILANCIA'!S26),"",'RESUMEN VIGILANCIA'!S26)</f>
        <v/>
      </c>
      <c r="U3" s="265" t="str">
        <f>IF(ISBLANK('RESUMEN VIGILANCIA'!T26),"",'RESUMEN VIGILANCIA'!T26)</f>
        <v/>
      </c>
      <c r="V3" s="265" t="str">
        <f>IF(ISBLANK('RESUMEN VIGILANCIA'!U26),"",'RESUMEN VIGILANCIA'!U26)</f>
        <v/>
      </c>
      <c r="W3" s="265" t="str">
        <f>IF(ISBLANK('RESUMEN VIGILANCIA'!V26),"",'RESUMEN VIGILANCIA'!V26)</f>
        <v/>
      </c>
      <c r="X3" s="265" t="str">
        <f>IF(ISBLANK('RESUMEN VIGILANCIA'!W26),"",'RESUMEN VIGILANCIA'!W26)</f>
        <v/>
      </c>
      <c r="Y3" s="265" t="str">
        <f>IF(ISBLANK('RESUMEN VIGILANCIA'!X26),"",'RESUMEN VIGILANCIA'!X26)</f>
        <v/>
      </c>
      <c r="Z3" s="479" t="str">
        <f>IF(ISBLANK('RESUMEN VIGILANCIA'!Y26),"",'RESUMEN VIGILANCIA'!Y26)</f>
        <v/>
      </c>
      <c r="AA3" s="479" t="str">
        <f>IF(ISBLANK('RESUMEN VIGILANCIA'!Z26),"",'RESUMEN VIGILANCIA'!Z26)</f>
        <v/>
      </c>
      <c r="AB3" s="479" t="str">
        <f>IF(ISBLANK('RESUMEN VIGILANCIA'!AA26),"",'RESUMEN VIGILANCIA'!AA26)</f>
        <v/>
      </c>
      <c r="AC3" s="480" t="str">
        <f>IF(ISBLANK('RESUMEN VIGILANCIA'!AB26),"",'RESUMEN VIGILANCIA'!AB26)</f>
        <v/>
      </c>
      <c r="AD3" s="407" t="str">
        <f>IF(ISBLANK('RESUMEN VIGILANCIA'!AC26),"",'RESUMEN VIGILANCIA'!AC26)</f>
        <v/>
      </c>
      <c r="AE3" s="408" t="str">
        <f>IF(ISBLANK('RESUMEN VIGILANCIA'!AD26),"",'RESUMEN VIGILANCIA'!AD26)</f>
        <v/>
      </c>
      <c r="AF3" s="408" t="str">
        <f>IF(ISBLANK('RESUMEN VIGILANCIA'!AE26),"",'RESUMEN VIGILANCIA'!AE26)</f>
        <v/>
      </c>
      <c r="AG3" s="408" t="str">
        <f>IF(ISBLANK('RESUMEN VIGILANCIA'!AF26),"",'RESUMEN VIGILANCIA'!AF26)</f>
        <v/>
      </c>
      <c r="AH3" s="408" t="str">
        <f>IF(ISBLANK('RESUMEN VIGILANCIA'!AG26),"",'RESUMEN VIGILANCIA'!AG26)</f>
        <v/>
      </c>
      <c r="AI3" s="408" t="str">
        <f>IF(ISBLANK('RESUMEN VIGILANCIA'!AH26),"",'RESUMEN VIGILANCIA'!AH26)</f>
        <v/>
      </c>
      <c r="AJ3" s="408" t="str">
        <f>IF(ISBLANK('RESUMEN VIGILANCIA'!AI26),"",'RESUMEN VIGILANCIA'!AI26)</f>
        <v/>
      </c>
      <c r="AK3" s="408" t="str">
        <f>IF(ISBLANK('RESUMEN VIGILANCIA'!AJ26),"",'RESUMEN VIGILANCIA'!AJ26)</f>
        <v/>
      </c>
      <c r="AL3" s="408" t="str">
        <f>IF(ISBLANK('RESUMEN VIGILANCIA'!AK26),"",'RESUMEN VIGILANCIA'!AK26)</f>
        <v/>
      </c>
      <c r="AM3" s="408" t="str">
        <f>IF(ISBLANK('RESUMEN VIGILANCIA'!AL26),"",'RESUMEN VIGILANCIA'!AL26)</f>
        <v/>
      </c>
      <c r="AN3" s="408" t="str">
        <f>IF(ISBLANK('RESUMEN VIGILANCIA'!AM26),"",'RESUMEN VIGILANCIA'!AM26)</f>
        <v/>
      </c>
      <c r="AO3" s="409" t="str">
        <f>IF(ISBLANK('RESUMEN VIGILANCIA'!AN26),"",'RESUMEN VIGILANCIA'!AN26)</f>
        <v/>
      </c>
      <c r="AP3" s="407" t="str">
        <f>IF(ISBLANK('RESUMEN VIGILANCIA'!AO26),"",'RESUMEN VIGILANCIA'!AO26)</f>
        <v/>
      </c>
      <c r="AQ3" s="408" t="str">
        <f>IF(ISBLANK('RESUMEN VIGILANCIA'!AP26),"",'RESUMEN VIGILANCIA'!AP26)</f>
        <v/>
      </c>
      <c r="AR3" s="408" t="str">
        <f>IF(ISBLANK('RESUMEN VIGILANCIA'!AQ26),"",'RESUMEN VIGILANCIA'!AQ26)</f>
        <v/>
      </c>
      <c r="AS3" s="408" t="str">
        <f>IF(ISBLANK('RESUMEN VIGILANCIA'!AR26),"",'RESUMEN VIGILANCIA'!AR26)</f>
        <v/>
      </c>
      <c r="AT3" s="408" t="str">
        <f>IF(ISBLANK('RESUMEN VIGILANCIA'!AS26),"",'RESUMEN VIGILANCIA'!AS26)</f>
        <v/>
      </c>
      <c r="AU3" s="408" t="str">
        <f>IF(ISBLANK('RESUMEN VIGILANCIA'!AT26),"",'RESUMEN VIGILANCIA'!AT26)</f>
        <v/>
      </c>
      <c r="AV3" s="408" t="str">
        <f>IF(ISBLANK('RESUMEN VIGILANCIA'!AU26),"",'RESUMEN VIGILANCIA'!AU26)</f>
        <v/>
      </c>
      <c r="AW3" s="408" t="str">
        <f>IF(ISBLANK('RESUMEN VIGILANCIA'!AV26),"",'RESUMEN VIGILANCIA'!AV26)</f>
        <v/>
      </c>
      <c r="AX3" s="408" t="str">
        <f>IF(ISBLANK('RESUMEN VIGILANCIA'!AW26),"",'RESUMEN VIGILANCIA'!AW26)</f>
        <v/>
      </c>
      <c r="AY3" s="408" t="str">
        <f>IF(ISBLANK('RESUMEN VIGILANCIA'!AX26),"",'RESUMEN VIGILANCIA'!AX26)</f>
        <v/>
      </c>
      <c r="AZ3" s="408" t="str">
        <f>IF(ISBLANK('RESUMEN VIGILANCIA'!AY26),"",'RESUMEN VIGILANCIA'!AY26)</f>
        <v/>
      </c>
      <c r="BA3" s="409" t="str">
        <f>IF(ISBLANK('RESUMEN VIGILANCIA'!AZ26),"",'RESUMEN VIGILANCIA'!AZ26)</f>
        <v/>
      </c>
      <c r="BB3" s="244">
        <f t="shared" si="0"/>
        <v>0</v>
      </c>
      <c r="BC3" s="110"/>
      <c r="BD3" s="110"/>
    </row>
    <row r="4" spans="1:56" s="29" customFormat="1" ht="20.100000000000001" customHeight="1" x14ac:dyDescent="0.25">
      <c r="A4" s="37" t="str">
        <f>'RESUMEN VIGILANCIA'!A30</f>
        <v>Familia De Libero Marinelli</v>
      </c>
      <c r="B4" s="38" t="str">
        <f>'RESUMEN VIGILANCIA'!B30</f>
        <v>Calle Guacara Nro. 87-70</v>
      </c>
      <c r="C4" s="450"/>
      <c r="D4" s="458" t="s">
        <v>1268</v>
      </c>
      <c r="E4" s="438" t="str">
        <f>IF(ISBLANK('RESUMEN VIGILANCIA'!D30),"",'RESUMEN VIGILANCIA'!D30)</f>
        <v/>
      </c>
      <c r="F4" s="264" t="str">
        <f>IF(ISBLANK('RESUMEN VIGILANCIA'!E30),"",'RESUMEN VIGILANCIA'!E30)</f>
        <v/>
      </c>
      <c r="G4" s="200" t="str">
        <f>IF(ISBLANK('RESUMEN VIGILANCIA'!F30),"",'RESUMEN VIGILANCIA'!F30)</f>
        <v/>
      </c>
      <c r="H4" s="200" t="str">
        <f>IF(ISBLANK('RESUMEN VIGILANCIA'!G30),"",'RESUMEN VIGILANCIA'!G30)</f>
        <v/>
      </c>
      <c r="I4" s="200" t="str">
        <f>IF(ISBLANK('RESUMEN VIGILANCIA'!H30),"",'RESUMEN VIGILANCIA'!H30)</f>
        <v/>
      </c>
      <c r="J4" s="200" t="str">
        <f>IF(ISBLANK('RESUMEN VIGILANCIA'!I30),"",'RESUMEN VIGILANCIA'!I30)</f>
        <v/>
      </c>
      <c r="K4" s="200" t="str">
        <f>IF(ISBLANK('RESUMEN VIGILANCIA'!J30),"",'RESUMEN VIGILANCIA'!J30)</f>
        <v/>
      </c>
      <c r="L4" s="200" t="str">
        <f>IF(ISBLANK('RESUMEN VIGILANCIA'!K30),"",'RESUMEN VIGILANCIA'!K30)</f>
        <v/>
      </c>
      <c r="M4" s="200" t="str">
        <f>IF(ISBLANK('RESUMEN VIGILANCIA'!L30),"",'RESUMEN VIGILANCIA'!L30)</f>
        <v/>
      </c>
      <c r="N4" s="200" t="str">
        <f>IF(ISBLANK('RESUMEN VIGILANCIA'!M30),"",'RESUMEN VIGILANCIA'!M30)</f>
        <v/>
      </c>
      <c r="O4" s="200" t="str">
        <f>IF(ISBLANK('RESUMEN VIGILANCIA'!N30),"",'RESUMEN VIGILANCIA'!N30)</f>
        <v/>
      </c>
      <c r="P4" s="265" t="str">
        <f>IF(ISBLANK('RESUMEN VIGILANCIA'!O30),"",'RESUMEN VIGILANCIA'!O30)</f>
        <v/>
      </c>
      <c r="Q4" s="198" t="str">
        <f>IF(ISBLANK('RESUMEN VIGILANCIA'!P30),"",'RESUMEN VIGILANCIA'!P30)</f>
        <v/>
      </c>
      <c r="R4" s="266" t="str">
        <f>IF(ISBLANK('RESUMEN VIGILANCIA'!Q30),"",'RESUMEN VIGILANCIA'!Q30)</f>
        <v/>
      </c>
      <c r="S4" s="265" t="str">
        <f>IF(ISBLANK('RESUMEN VIGILANCIA'!R30),"",'RESUMEN VIGILANCIA'!R30)</f>
        <v/>
      </c>
      <c r="T4" s="265" t="str">
        <f>IF(ISBLANK('RESUMEN VIGILANCIA'!S30),"",'RESUMEN VIGILANCIA'!S30)</f>
        <v/>
      </c>
      <c r="U4" s="265" t="str">
        <f>IF(ISBLANK('RESUMEN VIGILANCIA'!T30),"",'RESUMEN VIGILANCIA'!T30)</f>
        <v/>
      </c>
      <c r="V4" s="265" t="str">
        <f>IF(ISBLANK('RESUMEN VIGILANCIA'!U30),"",'RESUMEN VIGILANCIA'!U30)</f>
        <v/>
      </c>
      <c r="W4" s="265" t="str">
        <f>IF(ISBLANK('RESUMEN VIGILANCIA'!V30),"",'RESUMEN VIGILANCIA'!V30)</f>
        <v/>
      </c>
      <c r="X4" s="265" t="str">
        <f>IF(ISBLANK('RESUMEN VIGILANCIA'!W30),"",'RESUMEN VIGILANCIA'!W30)</f>
        <v/>
      </c>
      <c r="Y4" s="265" t="str">
        <f>IF(ISBLANK('RESUMEN VIGILANCIA'!X30),"",'RESUMEN VIGILANCIA'!X30)</f>
        <v/>
      </c>
      <c r="Z4" s="479" t="str">
        <f>IF(ISBLANK('RESUMEN VIGILANCIA'!Y30),"",'RESUMEN VIGILANCIA'!Y30)</f>
        <v/>
      </c>
      <c r="AA4" s="479" t="str">
        <f>IF(ISBLANK('RESUMEN VIGILANCIA'!Z30),"",'RESUMEN VIGILANCIA'!Z30)</f>
        <v/>
      </c>
      <c r="AB4" s="479" t="str">
        <f>IF(ISBLANK('RESUMEN VIGILANCIA'!AA30),"",'RESUMEN VIGILANCIA'!AA30)</f>
        <v/>
      </c>
      <c r="AC4" s="480" t="str">
        <f>IF(ISBLANK('RESUMEN VIGILANCIA'!AB30),"",'RESUMEN VIGILANCIA'!AB30)</f>
        <v/>
      </c>
      <c r="AD4" s="407" t="str">
        <f>IF(ISBLANK('RESUMEN VIGILANCIA'!AC30),"",'RESUMEN VIGILANCIA'!AC30)</f>
        <v/>
      </c>
      <c r="AE4" s="408" t="str">
        <f>IF(ISBLANK('RESUMEN VIGILANCIA'!AD30),"",'RESUMEN VIGILANCIA'!AD30)</f>
        <v/>
      </c>
      <c r="AF4" s="408" t="str">
        <f>IF(ISBLANK('RESUMEN VIGILANCIA'!AE30),"",'RESUMEN VIGILANCIA'!AE30)</f>
        <v/>
      </c>
      <c r="AG4" s="408" t="str">
        <f>IF(ISBLANK('RESUMEN VIGILANCIA'!AF30),"",'RESUMEN VIGILANCIA'!AF30)</f>
        <v/>
      </c>
      <c r="AH4" s="408" t="str">
        <f>IF(ISBLANK('RESUMEN VIGILANCIA'!AG30),"",'RESUMEN VIGILANCIA'!AG30)</f>
        <v/>
      </c>
      <c r="AI4" s="408" t="str">
        <f>IF(ISBLANK('RESUMEN VIGILANCIA'!AH30),"",'RESUMEN VIGILANCIA'!AH30)</f>
        <v/>
      </c>
      <c r="AJ4" s="408" t="str">
        <f>IF(ISBLANK('RESUMEN VIGILANCIA'!AI30),"",'RESUMEN VIGILANCIA'!AI30)</f>
        <v/>
      </c>
      <c r="AK4" s="408" t="str">
        <f>IF(ISBLANK('RESUMEN VIGILANCIA'!AJ30),"",'RESUMEN VIGILANCIA'!AJ30)</f>
        <v/>
      </c>
      <c r="AL4" s="408" t="str">
        <f>IF(ISBLANK('RESUMEN VIGILANCIA'!AK30),"",'RESUMEN VIGILANCIA'!AK30)</f>
        <v/>
      </c>
      <c r="AM4" s="408" t="str">
        <f>IF(ISBLANK('RESUMEN VIGILANCIA'!AL30),"",'RESUMEN VIGILANCIA'!AL30)</f>
        <v/>
      </c>
      <c r="AN4" s="408" t="str">
        <f>IF(ISBLANK('RESUMEN VIGILANCIA'!AM30),"",'RESUMEN VIGILANCIA'!AM30)</f>
        <v/>
      </c>
      <c r="AO4" s="409" t="str">
        <f>IF(ISBLANK('RESUMEN VIGILANCIA'!AN30),"",'RESUMEN VIGILANCIA'!AN30)</f>
        <v/>
      </c>
      <c r="AP4" s="407" t="str">
        <f>IF(ISBLANK('RESUMEN VIGILANCIA'!AO30),"",'RESUMEN VIGILANCIA'!AO30)</f>
        <v/>
      </c>
      <c r="AQ4" s="408" t="str">
        <f>IF(ISBLANK('RESUMEN VIGILANCIA'!AP30),"",'RESUMEN VIGILANCIA'!AP30)</f>
        <v/>
      </c>
      <c r="AR4" s="408" t="str">
        <f>IF(ISBLANK('RESUMEN VIGILANCIA'!AQ30),"",'RESUMEN VIGILANCIA'!AQ30)</f>
        <v/>
      </c>
      <c r="AS4" s="408" t="str">
        <f>IF(ISBLANK('RESUMEN VIGILANCIA'!AR30),"",'RESUMEN VIGILANCIA'!AR30)</f>
        <v/>
      </c>
      <c r="AT4" s="408" t="str">
        <f>IF(ISBLANK('RESUMEN VIGILANCIA'!AS30),"",'RESUMEN VIGILANCIA'!AS30)</f>
        <v/>
      </c>
      <c r="AU4" s="408" t="str">
        <f>IF(ISBLANK('RESUMEN VIGILANCIA'!AT30),"",'RESUMEN VIGILANCIA'!AT30)</f>
        <v/>
      </c>
      <c r="AV4" s="408" t="str">
        <f>IF(ISBLANK('RESUMEN VIGILANCIA'!AU30),"",'RESUMEN VIGILANCIA'!AU30)</f>
        <v/>
      </c>
      <c r="AW4" s="408" t="str">
        <f>IF(ISBLANK('RESUMEN VIGILANCIA'!AV30),"",'RESUMEN VIGILANCIA'!AV30)</f>
        <v/>
      </c>
      <c r="AX4" s="408" t="str">
        <f>IF(ISBLANK('RESUMEN VIGILANCIA'!AW30),"",'RESUMEN VIGILANCIA'!AW30)</f>
        <v/>
      </c>
      <c r="AY4" s="408" t="str">
        <f>IF(ISBLANK('RESUMEN VIGILANCIA'!AX30),"",'RESUMEN VIGILANCIA'!AX30)</f>
        <v/>
      </c>
      <c r="AZ4" s="408" t="str">
        <f>IF(ISBLANK('RESUMEN VIGILANCIA'!AY30),"",'RESUMEN VIGILANCIA'!AY30)</f>
        <v/>
      </c>
      <c r="BA4" s="409" t="str">
        <f>IF(ISBLANK('RESUMEN VIGILANCIA'!AZ30),"",'RESUMEN VIGILANCIA'!AZ30)</f>
        <v/>
      </c>
      <c r="BB4" s="244">
        <f t="shared" si="0"/>
        <v>0</v>
      </c>
      <c r="BC4" s="110"/>
      <c r="BD4" s="110"/>
    </row>
    <row r="5" spans="1:56" s="29" customFormat="1" ht="20.100000000000001" customHeight="1" x14ac:dyDescent="0.25">
      <c r="A5" s="37" t="str">
        <f>'RESUMEN VIGILANCIA'!A31</f>
        <v>Familia Martínez</v>
      </c>
      <c r="B5" s="38" t="str">
        <f>'RESUMEN VIGILANCIA'!B31</f>
        <v>Calle Guacara Nro. 87-80</v>
      </c>
      <c r="C5" s="450"/>
      <c r="D5" s="458" t="s">
        <v>1268</v>
      </c>
      <c r="E5" s="438" t="str">
        <f>IF(ISBLANK('RESUMEN VIGILANCIA'!D31),"",'RESUMEN VIGILANCIA'!D31)</f>
        <v/>
      </c>
      <c r="F5" s="264" t="str">
        <f>IF(ISBLANK('RESUMEN VIGILANCIA'!E31),"",'RESUMEN VIGILANCIA'!E31)</f>
        <v/>
      </c>
      <c r="G5" s="200" t="str">
        <f>IF(ISBLANK('RESUMEN VIGILANCIA'!F31),"",'RESUMEN VIGILANCIA'!F31)</f>
        <v/>
      </c>
      <c r="H5" s="200" t="str">
        <f>IF(ISBLANK('RESUMEN VIGILANCIA'!G31),"",'RESUMEN VIGILANCIA'!G31)</f>
        <v/>
      </c>
      <c r="I5" s="200" t="str">
        <f>IF(ISBLANK('RESUMEN VIGILANCIA'!H31),"",'RESUMEN VIGILANCIA'!H31)</f>
        <v/>
      </c>
      <c r="J5" s="200" t="str">
        <f>IF(ISBLANK('RESUMEN VIGILANCIA'!I31),"",'RESUMEN VIGILANCIA'!I31)</f>
        <v/>
      </c>
      <c r="K5" s="200" t="str">
        <f>IF(ISBLANK('RESUMEN VIGILANCIA'!J31),"",'RESUMEN VIGILANCIA'!J31)</f>
        <v/>
      </c>
      <c r="L5" s="200" t="str">
        <f>IF(ISBLANK('RESUMEN VIGILANCIA'!K31),"",'RESUMEN VIGILANCIA'!K31)</f>
        <v/>
      </c>
      <c r="M5" s="200" t="str">
        <f>IF(ISBLANK('RESUMEN VIGILANCIA'!L31),"",'RESUMEN VIGILANCIA'!L31)</f>
        <v/>
      </c>
      <c r="N5" s="200" t="str">
        <f>IF(ISBLANK('RESUMEN VIGILANCIA'!M31),"",'RESUMEN VIGILANCIA'!M31)</f>
        <v/>
      </c>
      <c r="O5" s="200" t="str">
        <f>IF(ISBLANK('RESUMEN VIGILANCIA'!N31),"",'RESUMEN VIGILANCIA'!N31)</f>
        <v/>
      </c>
      <c r="P5" s="265" t="str">
        <f>IF(ISBLANK('RESUMEN VIGILANCIA'!O31),"",'RESUMEN VIGILANCIA'!O31)</f>
        <v/>
      </c>
      <c r="Q5" s="198" t="str">
        <f>IF(ISBLANK('RESUMEN VIGILANCIA'!P31),"",'RESUMEN VIGILANCIA'!P31)</f>
        <v/>
      </c>
      <c r="R5" s="266" t="str">
        <f>IF(ISBLANK('RESUMEN VIGILANCIA'!Q31),"",'RESUMEN VIGILANCIA'!Q31)</f>
        <v/>
      </c>
      <c r="S5" s="265" t="str">
        <f>IF(ISBLANK('RESUMEN VIGILANCIA'!R31),"",'RESUMEN VIGILANCIA'!R31)</f>
        <v/>
      </c>
      <c r="T5" s="265" t="str">
        <f>IF(ISBLANK('RESUMEN VIGILANCIA'!S31),"",'RESUMEN VIGILANCIA'!S31)</f>
        <v/>
      </c>
      <c r="U5" s="265" t="str">
        <f>IF(ISBLANK('RESUMEN VIGILANCIA'!T31),"",'RESUMEN VIGILANCIA'!T31)</f>
        <v/>
      </c>
      <c r="V5" s="265" t="str">
        <f>IF(ISBLANK('RESUMEN VIGILANCIA'!U31),"",'RESUMEN VIGILANCIA'!U31)</f>
        <v/>
      </c>
      <c r="W5" s="265" t="str">
        <f>IF(ISBLANK('RESUMEN VIGILANCIA'!V31),"",'RESUMEN VIGILANCIA'!V31)</f>
        <v/>
      </c>
      <c r="X5" s="265" t="str">
        <f>IF(ISBLANK('RESUMEN VIGILANCIA'!W31),"",'RESUMEN VIGILANCIA'!W31)</f>
        <v/>
      </c>
      <c r="Y5" s="265" t="str">
        <f>IF(ISBLANK('RESUMEN VIGILANCIA'!X31),"",'RESUMEN VIGILANCIA'!X31)</f>
        <v/>
      </c>
      <c r="Z5" s="479" t="str">
        <f>IF(ISBLANK('RESUMEN VIGILANCIA'!Y31),"",'RESUMEN VIGILANCIA'!Y31)</f>
        <v/>
      </c>
      <c r="AA5" s="479" t="str">
        <f>IF(ISBLANK('RESUMEN VIGILANCIA'!Z31),"",'RESUMEN VIGILANCIA'!Z31)</f>
        <v/>
      </c>
      <c r="AB5" s="479" t="str">
        <f>IF(ISBLANK('RESUMEN VIGILANCIA'!AA31),"",'RESUMEN VIGILANCIA'!AA31)</f>
        <v/>
      </c>
      <c r="AC5" s="480" t="str">
        <f>IF(ISBLANK('RESUMEN VIGILANCIA'!AB31),"",'RESUMEN VIGILANCIA'!AB31)</f>
        <v/>
      </c>
      <c r="AD5" s="407" t="str">
        <f>IF(ISBLANK('RESUMEN VIGILANCIA'!AC31),"",'RESUMEN VIGILANCIA'!AC31)</f>
        <v/>
      </c>
      <c r="AE5" s="408" t="str">
        <f>IF(ISBLANK('RESUMEN VIGILANCIA'!AD31),"",'RESUMEN VIGILANCIA'!AD31)</f>
        <v/>
      </c>
      <c r="AF5" s="408" t="str">
        <f>IF(ISBLANK('RESUMEN VIGILANCIA'!AE31),"",'RESUMEN VIGILANCIA'!AE31)</f>
        <v/>
      </c>
      <c r="AG5" s="408" t="str">
        <f>IF(ISBLANK('RESUMEN VIGILANCIA'!AF31),"",'RESUMEN VIGILANCIA'!AF31)</f>
        <v/>
      </c>
      <c r="AH5" s="408" t="str">
        <f>IF(ISBLANK('RESUMEN VIGILANCIA'!AG31),"",'RESUMEN VIGILANCIA'!AG31)</f>
        <v/>
      </c>
      <c r="AI5" s="408" t="str">
        <f>IF(ISBLANK('RESUMEN VIGILANCIA'!AH31),"",'RESUMEN VIGILANCIA'!AH31)</f>
        <v/>
      </c>
      <c r="AJ5" s="408" t="str">
        <f>IF(ISBLANK('RESUMEN VIGILANCIA'!AI31),"",'RESUMEN VIGILANCIA'!AI31)</f>
        <v/>
      </c>
      <c r="AK5" s="408" t="str">
        <f>IF(ISBLANK('RESUMEN VIGILANCIA'!AJ31),"",'RESUMEN VIGILANCIA'!AJ31)</f>
        <v/>
      </c>
      <c r="AL5" s="408" t="str">
        <f>IF(ISBLANK('RESUMEN VIGILANCIA'!AK31),"",'RESUMEN VIGILANCIA'!AK31)</f>
        <v/>
      </c>
      <c r="AM5" s="408" t="str">
        <f>IF(ISBLANK('RESUMEN VIGILANCIA'!AL31),"",'RESUMEN VIGILANCIA'!AL31)</f>
        <v/>
      </c>
      <c r="AN5" s="408" t="str">
        <f>IF(ISBLANK('RESUMEN VIGILANCIA'!AM31),"",'RESUMEN VIGILANCIA'!AM31)</f>
        <v/>
      </c>
      <c r="AO5" s="409" t="str">
        <f>IF(ISBLANK('RESUMEN VIGILANCIA'!AN31),"",'RESUMEN VIGILANCIA'!AN31)</f>
        <v/>
      </c>
      <c r="AP5" s="407" t="str">
        <f>IF(ISBLANK('RESUMEN VIGILANCIA'!AO31),"",'RESUMEN VIGILANCIA'!AO31)</f>
        <v/>
      </c>
      <c r="AQ5" s="408" t="str">
        <f>IF(ISBLANK('RESUMEN VIGILANCIA'!AP31),"",'RESUMEN VIGILANCIA'!AP31)</f>
        <v/>
      </c>
      <c r="AR5" s="408" t="str">
        <f>IF(ISBLANK('RESUMEN VIGILANCIA'!AQ31),"",'RESUMEN VIGILANCIA'!AQ31)</f>
        <v/>
      </c>
      <c r="AS5" s="408" t="str">
        <f>IF(ISBLANK('RESUMEN VIGILANCIA'!AR31),"",'RESUMEN VIGILANCIA'!AR31)</f>
        <v/>
      </c>
      <c r="AT5" s="408" t="str">
        <f>IF(ISBLANK('RESUMEN VIGILANCIA'!AS31),"",'RESUMEN VIGILANCIA'!AS31)</f>
        <v/>
      </c>
      <c r="AU5" s="408" t="str">
        <f>IF(ISBLANK('RESUMEN VIGILANCIA'!AT31),"",'RESUMEN VIGILANCIA'!AT31)</f>
        <v/>
      </c>
      <c r="AV5" s="408" t="str">
        <f>IF(ISBLANK('RESUMEN VIGILANCIA'!AU31),"",'RESUMEN VIGILANCIA'!AU31)</f>
        <v/>
      </c>
      <c r="AW5" s="408" t="str">
        <f>IF(ISBLANK('RESUMEN VIGILANCIA'!AV31),"",'RESUMEN VIGILANCIA'!AV31)</f>
        <v/>
      </c>
      <c r="AX5" s="408" t="str">
        <f>IF(ISBLANK('RESUMEN VIGILANCIA'!AW31),"",'RESUMEN VIGILANCIA'!AW31)</f>
        <v/>
      </c>
      <c r="AY5" s="408" t="str">
        <f>IF(ISBLANK('RESUMEN VIGILANCIA'!AX31),"",'RESUMEN VIGILANCIA'!AX31)</f>
        <v/>
      </c>
      <c r="AZ5" s="408" t="str">
        <f>IF(ISBLANK('RESUMEN VIGILANCIA'!AY31),"",'RESUMEN VIGILANCIA'!AY31)</f>
        <v/>
      </c>
      <c r="BA5" s="409" t="str">
        <f>IF(ISBLANK('RESUMEN VIGILANCIA'!AZ31),"",'RESUMEN VIGILANCIA'!AZ31)</f>
        <v/>
      </c>
      <c r="BB5" s="244">
        <f t="shared" si="0"/>
        <v>0</v>
      </c>
      <c r="BC5" s="110"/>
      <c r="BD5" s="110"/>
    </row>
    <row r="6" spans="1:56" s="29" customFormat="1" ht="20.100000000000001" customHeight="1" x14ac:dyDescent="0.25">
      <c r="A6" s="37" t="str">
        <f>'RESUMEN VIGILANCIA'!A32</f>
        <v>Familia Suarez</v>
      </c>
      <c r="B6" s="38" t="str">
        <f>'RESUMEN VIGILANCIA'!B32</f>
        <v>Calle Guacara Nro. 87-82</v>
      </c>
      <c r="C6" s="450"/>
      <c r="D6" s="458" t="s">
        <v>1268</v>
      </c>
      <c r="E6" s="438" t="str">
        <f>IF(ISBLANK('RESUMEN VIGILANCIA'!D32),"",'RESUMEN VIGILANCIA'!D32)</f>
        <v/>
      </c>
      <c r="F6" s="264" t="str">
        <f>IF(ISBLANK('RESUMEN VIGILANCIA'!E32),"",'RESUMEN VIGILANCIA'!E32)</f>
        <v/>
      </c>
      <c r="G6" s="200" t="str">
        <f>IF(ISBLANK('RESUMEN VIGILANCIA'!F32),"",'RESUMEN VIGILANCIA'!F32)</f>
        <v/>
      </c>
      <c r="H6" s="200" t="str">
        <f>IF(ISBLANK('RESUMEN VIGILANCIA'!G32),"",'RESUMEN VIGILANCIA'!G32)</f>
        <v/>
      </c>
      <c r="I6" s="200" t="str">
        <f>IF(ISBLANK('RESUMEN VIGILANCIA'!H32),"",'RESUMEN VIGILANCIA'!H32)</f>
        <v/>
      </c>
      <c r="J6" s="200" t="str">
        <f>IF(ISBLANK('RESUMEN VIGILANCIA'!I32),"",'RESUMEN VIGILANCIA'!I32)</f>
        <v/>
      </c>
      <c r="K6" s="200" t="str">
        <f>IF(ISBLANK('RESUMEN VIGILANCIA'!J32),"",'RESUMEN VIGILANCIA'!J32)</f>
        <v/>
      </c>
      <c r="L6" s="200" t="str">
        <f>IF(ISBLANK('RESUMEN VIGILANCIA'!K32),"",'RESUMEN VIGILANCIA'!K32)</f>
        <v/>
      </c>
      <c r="M6" s="200" t="str">
        <f>IF(ISBLANK('RESUMEN VIGILANCIA'!L32),"",'RESUMEN VIGILANCIA'!L32)</f>
        <v/>
      </c>
      <c r="N6" s="200" t="str">
        <f>IF(ISBLANK('RESUMEN VIGILANCIA'!M32),"",'RESUMEN VIGILANCIA'!M32)</f>
        <v/>
      </c>
      <c r="O6" s="200" t="str">
        <f>IF(ISBLANK('RESUMEN VIGILANCIA'!N32),"",'RESUMEN VIGILANCIA'!N32)</f>
        <v/>
      </c>
      <c r="P6" s="265" t="str">
        <f>IF(ISBLANK('RESUMEN VIGILANCIA'!O32),"",'RESUMEN VIGILANCIA'!O32)</f>
        <v/>
      </c>
      <c r="Q6" s="198" t="str">
        <f>IF(ISBLANK('RESUMEN VIGILANCIA'!P32),"",'RESUMEN VIGILANCIA'!P32)</f>
        <v/>
      </c>
      <c r="R6" s="266" t="str">
        <f>IF(ISBLANK('RESUMEN VIGILANCIA'!Q32),"",'RESUMEN VIGILANCIA'!Q32)</f>
        <v/>
      </c>
      <c r="S6" s="265" t="str">
        <f>IF(ISBLANK('RESUMEN VIGILANCIA'!R32),"",'RESUMEN VIGILANCIA'!R32)</f>
        <v/>
      </c>
      <c r="T6" s="265" t="str">
        <f>IF(ISBLANK('RESUMEN VIGILANCIA'!S32),"",'RESUMEN VIGILANCIA'!S32)</f>
        <v/>
      </c>
      <c r="U6" s="265" t="str">
        <f>IF(ISBLANK('RESUMEN VIGILANCIA'!T32),"",'RESUMEN VIGILANCIA'!T32)</f>
        <v/>
      </c>
      <c r="V6" s="265" t="str">
        <f>IF(ISBLANK('RESUMEN VIGILANCIA'!U32),"",'RESUMEN VIGILANCIA'!U32)</f>
        <v/>
      </c>
      <c r="W6" s="265" t="str">
        <f>IF(ISBLANK('RESUMEN VIGILANCIA'!V32),"",'RESUMEN VIGILANCIA'!V32)</f>
        <v/>
      </c>
      <c r="X6" s="265" t="str">
        <f>IF(ISBLANK('RESUMEN VIGILANCIA'!W32),"",'RESUMEN VIGILANCIA'!W32)</f>
        <v/>
      </c>
      <c r="Y6" s="265" t="str">
        <f>IF(ISBLANK('RESUMEN VIGILANCIA'!X32),"",'RESUMEN VIGILANCIA'!X32)</f>
        <v/>
      </c>
      <c r="Z6" s="479" t="str">
        <f>IF(ISBLANK('RESUMEN VIGILANCIA'!Y32),"",'RESUMEN VIGILANCIA'!Y32)</f>
        <v/>
      </c>
      <c r="AA6" s="479" t="str">
        <f>IF(ISBLANK('RESUMEN VIGILANCIA'!Z32),"",'RESUMEN VIGILANCIA'!Z32)</f>
        <v/>
      </c>
      <c r="AB6" s="479" t="str">
        <f>IF(ISBLANK('RESUMEN VIGILANCIA'!AA32),"",'RESUMEN VIGILANCIA'!AA32)</f>
        <v/>
      </c>
      <c r="AC6" s="480" t="str">
        <f>IF(ISBLANK('RESUMEN VIGILANCIA'!AB32),"",'RESUMEN VIGILANCIA'!AB32)</f>
        <v/>
      </c>
      <c r="AD6" s="407" t="str">
        <f>IF(ISBLANK('RESUMEN VIGILANCIA'!AC32),"",'RESUMEN VIGILANCIA'!AC32)</f>
        <v/>
      </c>
      <c r="AE6" s="408" t="str">
        <f>IF(ISBLANK('RESUMEN VIGILANCIA'!AD32),"",'RESUMEN VIGILANCIA'!AD32)</f>
        <v/>
      </c>
      <c r="AF6" s="408" t="str">
        <f>IF(ISBLANK('RESUMEN VIGILANCIA'!AE32),"",'RESUMEN VIGILANCIA'!AE32)</f>
        <v/>
      </c>
      <c r="AG6" s="408" t="str">
        <f>IF(ISBLANK('RESUMEN VIGILANCIA'!AF32),"",'RESUMEN VIGILANCIA'!AF32)</f>
        <v/>
      </c>
      <c r="AH6" s="408" t="str">
        <f>IF(ISBLANK('RESUMEN VIGILANCIA'!AG32),"",'RESUMEN VIGILANCIA'!AG32)</f>
        <v/>
      </c>
      <c r="AI6" s="408" t="str">
        <f>IF(ISBLANK('RESUMEN VIGILANCIA'!AH32),"",'RESUMEN VIGILANCIA'!AH32)</f>
        <v/>
      </c>
      <c r="AJ6" s="408" t="str">
        <f>IF(ISBLANK('RESUMEN VIGILANCIA'!AI32),"",'RESUMEN VIGILANCIA'!AI32)</f>
        <v/>
      </c>
      <c r="AK6" s="408" t="str">
        <f>IF(ISBLANK('RESUMEN VIGILANCIA'!AJ32),"",'RESUMEN VIGILANCIA'!AJ32)</f>
        <v/>
      </c>
      <c r="AL6" s="408" t="str">
        <f>IF(ISBLANK('RESUMEN VIGILANCIA'!AK32),"",'RESUMEN VIGILANCIA'!AK32)</f>
        <v/>
      </c>
      <c r="AM6" s="408" t="str">
        <f>IF(ISBLANK('RESUMEN VIGILANCIA'!AL32),"",'RESUMEN VIGILANCIA'!AL32)</f>
        <v/>
      </c>
      <c r="AN6" s="408" t="str">
        <f>IF(ISBLANK('RESUMEN VIGILANCIA'!AM32),"",'RESUMEN VIGILANCIA'!AM32)</f>
        <v/>
      </c>
      <c r="AO6" s="409" t="str">
        <f>IF(ISBLANK('RESUMEN VIGILANCIA'!AN32),"",'RESUMEN VIGILANCIA'!AN32)</f>
        <v/>
      </c>
      <c r="AP6" s="407" t="str">
        <f>IF(ISBLANK('RESUMEN VIGILANCIA'!AO32),"",'RESUMEN VIGILANCIA'!AO32)</f>
        <v/>
      </c>
      <c r="AQ6" s="408" t="str">
        <f>IF(ISBLANK('RESUMEN VIGILANCIA'!AP32),"",'RESUMEN VIGILANCIA'!AP32)</f>
        <v/>
      </c>
      <c r="AR6" s="408" t="str">
        <f>IF(ISBLANK('RESUMEN VIGILANCIA'!AQ32),"",'RESUMEN VIGILANCIA'!AQ32)</f>
        <v/>
      </c>
      <c r="AS6" s="408" t="str">
        <f>IF(ISBLANK('RESUMEN VIGILANCIA'!AR32),"",'RESUMEN VIGILANCIA'!AR32)</f>
        <v/>
      </c>
      <c r="AT6" s="408" t="str">
        <f>IF(ISBLANK('RESUMEN VIGILANCIA'!AS32),"",'RESUMEN VIGILANCIA'!AS32)</f>
        <v/>
      </c>
      <c r="AU6" s="408" t="str">
        <f>IF(ISBLANK('RESUMEN VIGILANCIA'!AT32),"",'RESUMEN VIGILANCIA'!AT32)</f>
        <v/>
      </c>
      <c r="AV6" s="408" t="str">
        <f>IF(ISBLANK('RESUMEN VIGILANCIA'!AU32),"",'RESUMEN VIGILANCIA'!AU32)</f>
        <v/>
      </c>
      <c r="AW6" s="408" t="str">
        <f>IF(ISBLANK('RESUMEN VIGILANCIA'!AV32),"",'RESUMEN VIGILANCIA'!AV32)</f>
        <v/>
      </c>
      <c r="AX6" s="408" t="str">
        <f>IF(ISBLANK('RESUMEN VIGILANCIA'!AW32),"",'RESUMEN VIGILANCIA'!AW32)</f>
        <v/>
      </c>
      <c r="AY6" s="408" t="str">
        <f>IF(ISBLANK('RESUMEN VIGILANCIA'!AX32),"",'RESUMEN VIGILANCIA'!AX32)</f>
        <v/>
      </c>
      <c r="AZ6" s="408" t="str">
        <f>IF(ISBLANK('RESUMEN VIGILANCIA'!AY32),"",'RESUMEN VIGILANCIA'!AY32)</f>
        <v/>
      </c>
      <c r="BA6" s="409" t="str">
        <f>IF(ISBLANK('RESUMEN VIGILANCIA'!AZ32),"",'RESUMEN VIGILANCIA'!AZ32)</f>
        <v/>
      </c>
      <c r="BB6" s="244">
        <f t="shared" si="0"/>
        <v>0</v>
      </c>
      <c r="BC6" s="110"/>
      <c r="BD6" s="110"/>
    </row>
    <row r="7" spans="1:56" s="29" customFormat="1" ht="20.100000000000001" customHeight="1" x14ac:dyDescent="0.25">
      <c r="A7" s="380" t="str">
        <f>'RESUMEN VIGILANCIA'!A33</f>
        <v>Chin Chun Ya (Goya)</v>
      </c>
      <c r="B7" s="381" t="str">
        <f>'RESUMEN VIGILANCIA'!B33</f>
        <v>Calle Guacara Nro. 87-86</v>
      </c>
      <c r="C7" s="453" t="s">
        <v>1269</v>
      </c>
      <c r="D7" s="459" t="s">
        <v>1268</v>
      </c>
      <c r="E7" s="439" t="str">
        <f>IF(ISBLANK('RESUMEN VIGILANCIA'!D33),"",'RESUMEN VIGILANCIA'!D33)</f>
        <v/>
      </c>
      <c r="F7" s="267">
        <f>IF(ISBLANK('RESUMEN VIGILANCIA'!E33),"",'RESUMEN VIGILANCIA'!E33)</f>
        <v>0.05</v>
      </c>
      <c r="G7" s="189">
        <f>IF(ISBLANK('RESUMEN VIGILANCIA'!F33),"",'RESUMEN VIGILANCIA'!F33)</f>
        <v>0.05</v>
      </c>
      <c r="H7" s="189">
        <f>IF(ISBLANK('RESUMEN VIGILANCIA'!G33),"",'RESUMEN VIGILANCIA'!G33)</f>
        <v>7.0000000000000007E-2</v>
      </c>
      <c r="I7" s="189">
        <f>IF(ISBLANK('RESUMEN VIGILANCIA'!H33),"",'RESUMEN VIGILANCIA'!H33)</f>
        <v>7.0000000000000007E-2</v>
      </c>
      <c r="J7" s="189">
        <f>IF(ISBLANK('RESUMEN VIGILANCIA'!I33),"",'RESUMEN VIGILANCIA'!I33)</f>
        <v>7.0000000000000007E-2</v>
      </c>
      <c r="K7" s="189">
        <f>IF(ISBLANK('RESUMEN VIGILANCIA'!J33),"",'RESUMEN VIGILANCIA'!J33)</f>
        <v>0.1</v>
      </c>
      <c r="L7" s="189">
        <f>IF(ISBLANK('RESUMEN VIGILANCIA'!K33),"",'RESUMEN VIGILANCIA'!K33)</f>
        <v>0.1</v>
      </c>
      <c r="M7" s="189">
        <f>IF(ISBLANK('RESUMEN VIGILANCIA'!L33),"",'RESUMEN VIGILANCIA'!L33)</f>
        <v>0.15</v>
      </c>
      <c r="N7" s="189">
        <f>IF(ISBLANK('RESUMEN VIGILANCIA'!M33),"",'RESUMEN VIGILANCIA'!M33)</f>
        <v>0.15</v>
      </c>
      <c r="O7" s="189">
        <f>IF(ISBLANK('RESUMEN VIGILANCIA'!N33),"",'RESUMEN VIGILANCIA'!N33)</f>
        <v>0.15</v>
      </c>
      <c r="P7" s="268">
        <f>IF(ISBLANK('RESUMEN VIGILANCIA'!O33),"",'RESUMEN VIGILANCIA'!O33)</f>
        <v>0.35</v>
      </c>
      <c r="Q7" s="187">
        <f>IF(ISBLANK('RESUMEN VIGILANCIA'!P33),"",'RESUMEN VIGILANCIA'!P33)</f>
        <v>0.35</v>
      </c>
      <c r="R7" s="269">
        <f>IF(ISBLANK('RESUMEN VIGILANCIA'!Q33),"",'RESUMEN VIGILANCIA'!Q33)</f>
        <v>0.35</v>
      </c>
      <c r="S7" s="268">
        <f>IF(ISBLANK('RESUMEN VIGILANCIA'!R33),"",'RESUMEN VIGILANCIA'!R33)</f>
        <v>0.8</v>
      </c>
      <c r="T7" s="268">
        <f>IF(ISBLANK('RESUMEN VIGILANCIA'!S33),"",'RESUMEN VIGILANCIA'!S33)</f>
        <v>1</v>
      </c>
      <c r="U7" s="268">
        <f>IF(ISBLANK('RESUMEN VIGILANCIA'!T33),"",'RESUMEN VIGILANCIA'!T33)</f>
        <v>1</v>
      </c>
      <c r="V7" s="268">
        <f>IF(ISBLANK('RESUMEN VIGILANCIA'!U33),"",'RESUMEN VIGILANCIA'!U33)</f>
        <v>2</v>
      </c>
      <c r="W7" s="268">
        <f>IF(ISBLANK('RESUMEN VIGILANCIA'!V33),"",'RESUMEN VIGILANCIA'!V33)</f>
        <v>6.25</v>
      </c>
      <c r="X7" s="271">
        <f>IF(ISBLANK('RESUMEN VIGILANCIA'!W33),"",'RESUMEN VIGILANCIA'!W33)</f>
        <v>10</v>
      </c>
      <c r="Y7" s="271">
        <f>IF(ISBLANK('RESUMEN VIGILANCIA'!X33),"",'RESUMEN VIGILANCIA'!X33)</f>
        <v>12</v>
      </c>
      <c r="Z7" s="481">
        <f>IF(ISBLANK('RESUMEN VIGILANCIA'!Y33),"",'RESUMEN VIGILANCIA'!Y33)</f>
        <v>320</v>
      </c>
      <c r="AA7" s="481">
        <f>IF(ISBLANK('RESUMEN VIGILANCIA'!Z33),"",'RESUMEN VIGILANCIA'!Z33)</f>
        <v>320</v>
      </c>
      <c r="AB7" s="481">
        <f>IF(ISBLANK('RESUMEN VIGILANCIA'!AA33),"",'RESUMEN VIGILANCIA'!AA33)</f>
        <v>320</v>
      </c>
      <c r="AC7" s="482">
        <f>IF(ISBLANK('RESUMEN VIGILANCIA'!AB33),"",'RESUMEN VIGILANCIA'!AB33)</f>
        <v>800</v>
      </c>
      <c r="AD7" s="399">
        <f>IF(ISBLANK('RESUMEN VIGILANCIA'!AC33),"",'RESUMEN VIGILANCIA'!AC33)</f>
        <v>3000</v>
      </c>
      <c r="AE7" s="400">
        <f>IF(ISBLANK('RESUMEN VIGILANCIA'!AD33),"",'RESUMEN VIGILANCIA'!AD33)</f>
        <v>3000</v>
      </c>
      <c r="AF7" s="400">
        <f>IF(ISBLANK('RESUMEN VIGILANCIA'!AE33),"",'RESUMEN VIGILANCIA'!AE33)</f>
        <v>3000</v>
      </c>
      <c r="AG7" s="400">
        <f>IF(ISBLANK('RESUMEN VIGILANCIA'!AF33),"",'RESUMEN VIGILANCIA'!AF33)</f>
        <v>5000</v>
      </c>
      <c r="AH7" s="400">
        <f>IF(ISBLANK('RESUMEN VIGILANCIA'!AG33),"",'RESUMEN VIGILANCIA'!AG33)</f>
        <v>5000</v>
      </c>
      <c r="AI7" s="400">
        <f>IF(ISBLANK('RESUMEN VIGILANCIA'!AH33),"",'RESUMEN VIGILANCIA'!AH33)</f>
        <v>8000</v>
      </c>
      <c r="AJ7" s="400">
        <f>IF(ISBLANK('RESUMEN VIGILANCIA'!AI33),"",'RESUMEN VIGILANCIA'!AI33)</f>
        <v>10000</v>
      </c>
      <c r="AK7" s="400">
        <f>IF(ISBLANK('RESUMEN VIGILANCIA'!AJ33),"",'RESUMEN VIGILANCIA'!AJ33)</f>
        <v>10000</v>
      </c>
      <c r="AL7" s="400">
        <f>IF(ISBLANK('RESUMEN VIGILANCIA'!AK33),"",'RESUMEN VIGILANCIA'!AK33)</f>
        <v>23400</v>
      </c>
      <c r="AM7" s="400">
        <f>IF(ISBLANK('RESUMEN VIGILANCIA'!AL33),"",'RESUMEN VIGILANCIA'!AL33)</f>
        <v>51100</v>
      </c>
      <c r="AN7" s="400">
        <f>IF(ISBLANK('RESUMEN VIGILANCIA'!AM33),"",'RESUMEN VIGILANCIA'!AM33)</f>
        <v>56250</v>
      </c>
      <c r="AO7" s="401">
        <f>IF(ISBLANK('RESUMEN VIGILANCIA'!AN33),"",'RESUMEN VIGILANCIA'!AN33)</f>
        <v>97500</v>
      </c>
      <c r="AP7" s="399">
        <f>IF(ISBLANK('RESUMEN VIGILANCIA'!AO33),"",'RESUMEN VIGILANCIA'!AO33)</f>
        <v>136250</v>
      </c>
      <c r="AQ7" s="400">
        <f>IF(ISBLANK('RESUMEN VIGILANCIA'!AP33),"",'RESUMEN VIGILANCIA'!AP33)</f>
        <v>136250</v>
      </c>
      <c r="AR7" s="400">
        <f>IF(ISBLANK('RESUMEN VIGILANCIA'!AQ33),"",'RESUMEN VIGILANCIA'!AQ33)</f>
        <v>185250</v>
      </c>
      <c r="AS7" s="400">
        <f>IF(ISBLANK('RESUMEN VIGILANCIA'!AR33),"",'RESUMEN VIGILANCIA'!AR33)</f>
        <v>38200</v>
      </c>
      <c r="AT7" s="400" t="str">
        <f>IF(ISBLANK('RESUMEN VIGILANCIA'!AS33),"",'RESUMEN VIGILANCIA'!AS33)</f>
        <v/>
      </c>
      <c r="AU7" s="400" t="str">
        <f>IF(ISBLANK('RESUMEN VIGILANCIA'!AT33),"",'RESUMEN VIGILANCIA'!AT33)</f>
        <v/>
      </c>
      <c r="AV7" s="400" t="str">
        <f>IF(ISBLANK('RESUMEN VIGILANCIA'!AU33),"",'RESUMEN VIGILANCIA'!AU33)</f>
        <v/>
      </c>
      <c r="AW7" s="400" t="str">
        <f>IF(ISBLANK('RESUMEN VIGILANCIA'!AV33),"",'RESUMEN VIGILANCIA'!AV33)</f>
        <v/>
      </c>
      <c r="AX7" s="400" t="str">
        <f>IF(ISBLANK('RESUMEN VIGILANCIA'!AW33),"",'RESUMEN VIGILANCIA'!AW33)</f>
        <v/>
      </c>
      <c r="AY7" s="400" t="str">
        <f>IF(ISBLANK('RESUMEN VIGILANCIA'!AX33),"",'RESUMEN VIGILANCIA'!AX33)</f>
        <v/>
      </c>
      <c r="AZ7" s="400" t="str">
        <f>IF(ISBLANK('RESUMEN VIGILANCIA'!AY33),"",'RESUMEN VIGILANCIA'!AY33)</f>
        <v/>
      </c>
      <c r="BA7" s="401" t="str">
        <f>IF(ISBLANK('RESUMEN VIGILANCIA'!AZ33),"",'RESUMEN VIGILANCIA'!AZ33)</f>
        <v/>
      </c>
      <c r="BB7" s="243">
        <f t="shared" si="0"/>
        <v>277045.06</v>
      </c>
      <c r="BC7" s="112"/>
      <c r="BD7" s="112"/>
    </row>
    <row r="8" spans="1:56" s="29" customFormat="1" ht="20.100000000000001" customHeight="1" x14ac:dyDescent="0.25">
      <c r="A8" s="30" t="str">
        <f>'RESUMEN VIGILANCIA'!A34</f>
        <v>Teresita Román</v>
      </c>
      <c r="B8" s="31" t="str">
        <f>'RESUMEN VIGILANCIA'!B34</f>
        <v>Calle Guacara Nro. 87-90</v>
      </c>
      <c r="C8" s="452" t="s">
        <v>1270</v>
      </c>
      <c r="D8" s="460" t="s">
        <v>1268</v>
      </c>
      <c r="E8" s="440" t="str">
        <f>IF(ISBLANK('RESUMEN VIGILANCIA'!D34),"",'RESUMEN VIGILANCIA'!D34)</f>
        <v/>
      </c>
      <c r="F8" s="270" t="str">
        <f>IF(ISBLANK('RESUMEN VIGILANCIA'!E34),"",'RESUMEN VIGILANCIA'!E34)</f>
        <v/>
      </c>
      <c r="G8" s="182" t="str">
        <f>IF(ISBLANK('RESUMEN VIGILANCIA'!F34),"",'RESUMEN VIGILANCIA'!F34)</f>
        <v/>
      </c>
      <c r="H8" s="182" t="str">
        <f>IF(ISBLANK('RESUMEN VIGILANCIA'!G34),"",'RESUMEN VIGILANCIA'!G34)</f>
        <v/>
      </c>
      <c r="I8" s="182" t="str">
        <f>IF(ISBLANK('RESUMEN VIGILANCIA'!H34),"",'RESUMEN VIGILANCIA'!H34)</f>
        <v/>
      </c>
      <c r="J8" s="182" t="str">
        <f>IF(ISBLANK('RESUMEN VIGILANCIA'!I34),"",'RESUMEN VIGILANCIA'!I34)</f>
        <v/>
      </c>
      <c r="K8" s="182" t="str">
        <f>IF(ISBLANK('RESUMEN VIGILANCIA'!J34),"",'RESUMEN VIGILANCIA'!J34)</f>
        <v/>
      </c>
      <c r="L8" s="182" t="str">
        <f>IF(ISBLANK('RESUMEN VIGILANCIA'!K34),"",'RESUMEN VIGILANCIA'!K34)</f>
        <v/>
      </c>
      <c r="M8" s="182" t="str">
        <f>IF(ISBLANK('RESUMEN VIGILANCIA'!L34),"",'RESUMEN VIGILANCIA'!L34)</f>
        <v/>
      </c>
      <c r="N8" s="182" t="str">
        <f>IF(ISBLANK('RESUMEN VIGILANCIA'!M34),"",'RESUMEN VIGILANCIA'!M34)</f>
        <v/>
      </c>
      <c r="O8" s="182" t="str">
        <f>IF(ISBLANK('RESUMEN VIGILANCIA'!N34),"",'RESUMEN VIGILANCIA'!N34)</f>
        <v/>
      </c>
      <c r="P8" s="271" t="str">
        <f>IF(ISBLANK('RESUMEN VIGILANCIA'!O34),"",'RESUMEN VIGILANCIA'!O34)</f>
        <v/>
      </c>
      <c r="Q8" s="180" t="str">
        <f>IF(ISBLANK('RESUMEN VIGILANCIA'!P34),"",'RESUMEN VIGILANCIA'!P34)</f>
        <v/>
      </c>
      <c r="R8" s="272" t="str">
        <f>IF(ISBLANK('RESUMEN VIGILANCIA'!Q34),"",'RESUMEN VIGILANCIA'!Q34)</f>
        <v/>
      </c>
      <c r="S8" s="271" t="str">
        <f>IF(ISBLANK('RESUMEN VIGILANCIA'!R34),"",'RESUMEN VIGILANCIA'!R34)</f>
        <v/>
      </c>
      <c r="T8" s="271" t="str">
        <f>IF(ISBLANK('RESUMEN VIGILANCIA'!S34),"",'RESUMEN VIGILANCIA'!S34)</f>
        <v/>
      </c>
      <c r="U8" s="271" t="str">
        <f>IF(ISBLANK('RESUMEN VIGILANCIA'!T34),"",'RESUMEN VIGILANCIA'!T34)</f>
        <v/>
      </c>
      <c r="V8" s="271" t="str">
        <f>IF(ISBLANK('RESUMEN VIGILANCIA'!U34),"",'RESUMEN VIGILANCIA'!U34)</f>
        <v/>
      </c>
      <c r="W8" s="271" t="str">
        <f>IF(ISBLANK('RESUMEN VIGILANCIA'!V34),"",'RESUMEN VIGILANCIA'!V34)</f>
        <v/>
      </c>
      <c r="X8" s="271" t="str">
        <f>IF(ISBLANK('RESUMEN VIGILANCIA'!W34),"",'RESUMEN VIGILANCIA'!W34)</f>
        <v/>
      </c>
      <c r="Y8" s="271" t="str">
        <f>IF(ISBLANK('RESUMEN VIGILANCIA'!X34),"",'RESUMEN VIGILANCIA'!X34)</f>
        <v/>
      </c>
      <c r="Z8" s="481" t="str">
        <f>IF(ISBLANK('RESUMEN VIGILANCIA'!Y34),"",'RESUMEN VIGILANCIA'!Y34)</f>
        <v/>
      </c>
      <c r="AA8" s="481" t="str">
        <f>IF(ISBLANK('RESUMEN VIGILANCIA'!Z34),"",'RESUMEN VIGILANCIA'!Z34)</f>
        <v/>
      </c>
      <c r="AB8" s="481" t="str">
        <f>IF(ISBLANK('RESUMEN VIGILANCIA'!AA34),"",'RESUMEN VIGILANCIA'!AA34)</f>
        <v/>
      </c>
      <c r="AC8" s="482" t="str">
        <f>IF(ISBLANK('RESUMEN VIGILANCIA'!AB34),"",'RESUMEN VIGILANCIA'!AB34)</f>
        <v/>
      </c>
      <c r="AD8" s="399" t="str">
        <f>IF(ISBLANK('RESUMEN VIGILANCIA'!AC34),"",'RESUMEN VIGILANCIA'!AC34)</f>
        <v/>
      </c>
      <c r="AE8" s="400" t="str">
        <f>IF(ISBLANK('RESUMEN VIGILANCIA'!AD34),"",'RESUMEN VIGILANCIA'!AD34)</f>
        <v/>
      </c>
      <c r="AF8" s="400" t="str">
        <f>IF(ISBLANK('RESUMEN VIGILANCIA'!AE34),"",'RESUMEN VIGILANCIA'!AE34)</f>
        <v/>
      </c>
      <c r="AG8" s="400" t="str">
        <f>IF(ISBLANK('RESUMEN VIGILANCIA'!AF34),"",'RESUMEN VIGILANCIA'!AF34)</f>
        <v/>
      </c>
      <c r="AH8" s="400" t="str">
        <f>IF(ISBLANK('RESUMEN VIGILANCIA'!AG34),"",'RESUMEN VIGILANCIA'!AG34)</f>
        <v/>
      </c>
      <c r="AI8" s="400" t="str">
        <f>IF(ISBLANK('RESUMEN VIGILANCIA'!AH34),"",'RESUMEN VIGILANCIA'!AH34)</f>
        <v/>
      </c>
      <c r="AJ8" s="400" t="str">
        <f>IF(ISBLANK('RESUMEN VIGILANCIA'!AI34),"",'RESUMEN VIGILANCIA'!AI34)</f>
        <v/>
      </c>
      <c r="AK8" s="400" t="str">
        <f>IF(ISBLANK('RESUMEN VIGILANCIA'!AJ34),"",'RESUMEN VIGILANCIA'!AJ34)</f>
        <v/>
      </c>
      <c r="AL8" s="400" t="str">
        <f>IF(ISBLANK('RESUMEN VIGILANCIA'!AK34),"",'RESUMEN VIGILANCIA'!AK34)</f>
        <v/>
      </c>
      <c r="AM8" s="400" t="str">
        <f>IF(ISBLANK('RESUMEN VIGILANCIA'!AL34),"",'RESUMEN VIGILANCIA'!AL34)</f>
        <v/>
      </c>
      <c r="AN8" s="400" t="str">
        <f>IF(ISBLANK('RESUMEN VIGILANCIA'!AM34),"",'RESUMEN VIGILANCIA'!AM34)</f>
        <v/>
      </c>
      <c r="AO8" s="401" t="str">
        <f>IF(ISBLANK('RESUMEN VIGILANCIA'!AN34),"",'RESUMEN VIGILANCIA'!AN34)</f>
        <v/>
      </c>
      <c r="AP8" s="399" t="str">
        <f>IF(ISBLANK('RESUMEN VIGILANCIA'!AO34),"",'RESUMEN VIGILANCIA'!AO34)</f>
        <v/>
      </c>
      <c r="AQ8" s="400" t="str">
        <f>IF(ISBLANK('RESUMEN VIGILANCIA'!AP34),"",'RESUMEN VIGILANCIA'!AP34)</f>
        <v/>
      </c>
      <c r="AR8" s="400" t="str">
        <f>IF(ISBLANK('RESUMEN VIGILANCIA'!AQ34),"",'RESUMEN VIGILANCIA'!AQ34)</f>
        <v/>
      </c>
      <c r="AS8" s="400" t="str">
        <f>IF(ISBLANK('RESUMEN VIGILANCIA'!AR34),"",'RESUMEN VIGILANCIA'!AR34)</f>
        <v/>
      </c>
      <c r="AT8" s="400" t="str">
        <f>IF(ISBLANK('RESUMEN VIGILANCIA'!AS34),"",'RESUMEN VIGILANCIA'!AS34)</f>
        <v/>
      </c>
      <c r="AU8" s="400" t="str">
        <f>IF(ISBLANK('RESUMEN VIGILANCIA'!AT34),"",'RESUMEN VIGILANCIA'!AT34)</f>
        <v/>
      </c>
      <c r="AV8" s="400" t="str">
        <f>IF(ISBLANK('RESUMEN VIGILANCIA'!AU34),"",'RESUMEN VIGILANCIA'!AU34)</f>
        <v/>
      </c>
      <c r="AW8" s="400" t="str">
        <f>IF(ISBLANK('RESUMEN VIGILANCIA'!AV34),"",'RESUMEN VIGILANCIA'!AV34)</f>
        <v/>
      </c>
      <c r="AX8" s="400" t="str">
        <f>IF(ISBLANK('RESUMEN VIGILANCIA'!AW34),"",'RESUMEN VIGILANCIA'!AW34)</f>
        <v/>
      </c>
      <c r="AY8" s="400" t="str">
        <f>IF(ISBLANK('RESUMEN VIGILANCIA'!AX34),"",'RESUMEN VIGILANCIA'!AX34)</f>
        <v/>
      </c>
      <c r="AZ8" s="400" t="str">
        <f>IF(ISBLANK('RESUMEN VIGILANCIA'!AY34),"",'RESUMEN VIGILANCIA'!AY34)</f>
        <v/>
      </c>
      <c r="BA8" s="401" t="str">
        <f>IF(ISBLANK('RESUMEN VIGILANCIA'!AZ34),"",'RESUMEN VIGILANCIA'!AZ34)</f>
        <v/>
      </c>
      <c r="BB8" s="243">
        <f t="shared" si="0"/>
        <v>0</v>
      </c>
      <c r="BC8" s="112"/>
      <c r="BD8" s="112"/>
    </row>
    <row r="9" spans="1:56" s="29" customFormat="1" ht="20.100000000000001" customHeight="1" x14ac:dyDescent="0.25">
      <c r="A9" s="30" t="str">
        <f>'RESUMEN VIGILANCIA'!A35</f>
        <v>Familia Puerta Burguillos</v>
      </c>
      <c r="B9" s="31" t="str">
        <f>'RESUMEN VIGILANCIA'!B35</f>
        <v>Calle Guacara Nro. 87-100</v>
      </c>
      <c r="C9" s="452" t="s">
        <v>1269</v>
      </c>
      <c r="D9" s="460" t="s">
        <v>17</v>
      </c>
      <c r="E9" s="440" t="str">
        <f>IF(ISBLANK('RESUMEN VIGILANCIA'!D35),"",'RESUMEN VIGILANCIA'!D35)</f>
        <v/>
      </c>
      <c r="F9" s="270">
        <f>IF(ISBLANK('RESUMEN VIGILANCIA'!E35),"",'RESUMEN VIGILANCIA'!E35)</f>
        <v>0.17</v>
      </c>
      <c r="G9" s="182">
        <f>IF(ISBLANK('RESUMEN VIGILANCIA'!F35),"",'RESUMEN VIGILANCIA'!F35)</f>
        <v>0.17</v>
      </c>
      <c r="H9" s="182">
        <f>IF(ISBLANK('RESUMEN VIGILANCIA'!G35),"",'RESUMEN VIGILANCIA'!G35)</f>
        <v>0.16999999999999998</v>
      </c>
      <c r="I9" s="182">
        <f>IF(ISBLANK('RESUMEN VIGILANCIA'!H35),"",'RESUMEN VIGILANCIA'!H35)</f>
        <v>0.17</v>
      </c>
      <c r="J9" s="182">
        <f>IF(ISBLANK('RESUMEN VIGILANCIA'!I35),"",'RESUMEN VIGILANCIA'!I35)</f>
        <v>0.26</v>
      </c>
      <c r="K9" s="182">
        <f>IF(ISBLANK('RESUMEN VIGILANCIA'!J35),"",'RESUMEN VIGILANCIA'!J35)</f>
        <v>0.26</v>
      </c>
      <c r="L9" s="182">
        <f>IF(ISBLANK('RESUMEN VIGILANCIA'!K35),"",'RESUMEN VIGILANCIA'!K35)</f>
        <v>0.35</v>
      </c>
      <c r="M9" s="182">
        <f>IF(ISBLANK('RESUMEN VIGILANCIA'!L35),"",'RESUMEN VIGILANCIA'!L35)</f>
        <v>0.35</v>
      </c>
      <c r="N9" s="182">
        <f>IF(ISBLANK('RESUMEN VIGILANCIA'!M35),"",'RESUMEN VIGILANCIA'!M35)</f>
        <v>0.35</v>
      </c>
      <c r="O9" s="182">
        <f>IF(ISBLANK('RESUMEN VIGILANCIA'!N35),"",'RESUMEN VIGILANCIA'!N35)</f>
        <v>0.35</v>
      </c>
      <c r="P9" s="271">
        <f>IF(ISBLANK('RESUMEN VIGILANCIA'!O35),"",'RESUMEN VIGILANCIA'!O35)</f>
        <v>0.5</v>
      </c>
      <c r="Q9" s="180">
        <f>IF(ISBLANK('RESUMEN VIGILANCIA'!P35),"",'RESUMEN VIGILANCIA'!P35)</f>
        <v>0.5</v>
      </c>
      <c r="R9" s="272">
        <f>IF(ISBLANK('RESUMEN VIGILANCIA'!Q35),"",'RESUMEN VIGILANCIA'!Q35)</f>
        <v>0.8</v>
      </c>
      <c r="S9" s="271">
        <f>IF(ISBLANK('RESUMEN VIGILANCIA'!R35),"",'RESUMEN VIGILANCIA'!R35)</f>
        <v>0.8</v>
      </c>
      <c r="T9" s="271">
        <f>IF(ISBLANK('RESUMEN VIGILANCIA'!S35),"",'RESUMEN VIGILANCIA'!S35)</f>
        <v>1.4</v>
      </c>
      <c r="U9" s="271">
        <f>IF(ISBLANK('RESUMEN VIGILANCIA'!T35),"",'RESUMEN VIGILANCIA'!T35)</f>
        <v>1.4</v>
      </c>
      <c r="V9" s="271">
        <f>IF(ISBLANK('RESUMEN VIGILANCIA'!U35),"",'RESUMEN VIGILANCIA'!U35)</f>
        <v>4</v>
      </c>
      <c r="W9" s="271">
        <f>IF(ISBLANK('RESUMEN VIGILANCIA'!V35),"",'RESUMEN VIGILANCIA'!V35)</f>
        <v>6.25</v>
      </c>
      <c r="X9" s="271">
        <f>IF(ISBLANK('RESUMEN VIGILANCIA'!W35),"",'RESUMEN VIGILANCIA'!W35)</f>
        <v>10</v>
      </c>
      <c r="Y9" s="271">
        <f>IF(ISBLANK('RESUMEN VIGILANCIA'!X35),"",'RESUMEN VIGILANCIA'!X35)</f>
        <v>12</v>
      </c>
      <c r="Z9" s="481">
        <f>IF(ISBLANK('RESUMEN VIGILANCIA'!Y35),"",'RESUMEN VIGILANCIA'!Y35)</f>
        <v>320</v>
      </c>
      <c r="AA9" s="481">
        <f>IF(ISBLANK('RESUMEN VIGILANCIA'!Z35),"",'RESUMEN VIGILANCIA'!Z35)</f>
        <v>320</v>
      </c>
      <c r="AB9" s="481">
        <f>IF(ISBLANK('RESUMEN VIGILANCIA'!AA35),"",'RESUMEN VIGILANCIA'!AA35)</f>
        <v>320</v>
      </c>
      <c r="AC9" s="483">
        <f>IF(ISBLANK('RESUMEN VIGILANCIA'!AB35),"",'RESUMEN VIGILANCIA'!AB35)</f>
        <v>800</v>
      </c>
      <c r="AD9" s="399">
        <f>IF(ISBLANK('RESUMEN VIGILANCIA'!AC35),"",'RESUMEN VIGILANCIA'!AC35)</f>
        <v>3000</v>
      </c>
      <c r="AE9" s="400">
        <f>IF(ISBLANK('RESUMEN VIGILANCIA'!AD35),"",'RESUMEN VIGILANCIA'!AD35)</f>
        <v>3000</v>
      </c>
      <c r="AF9" s="400">
        <f>IF(ISBLANK('RESUMEN VIGILANCIA'!AE35),"",'RESUMEN VIGILANCIA'!AE35)</f>
        <v>3000</v>
      </c>
      <c r="AG9" s="400">
        <f>IF(ISBLANK('RESUMEN VIGILANCIA'!AF35),"",'RESUMEN VIGILANCIA'!AF35)</f>
        <v>5000</v>
      </c>
      <c r="AH9" s="400">
        <f>IF(ISBLANK('RESUMEN VIGILANCIA'!AG35),"",'RESUMEN VIGILANCIA'!AG35)</f>
        <v>8000</v>
      </c>
      <c r="AI9" s="400">
        <f>IF(ISBLANK('RESUMEN VIGILANCIA'!AH35),"",'RESUMEN VIGILANCIA'!AH35)</f>
        <v>10000</v>
      </c>
      <c r="AJ9" s="400">
        <f>IF(ISBLANK('RESUMEN VIGILANCIA'!AI35),"",'RESUMEN VIGILANCIA'!AI35)</f>
        <v>10000</v>
      </c>
      <c r="AK9" s="400">
        <f>IF(ISBLANK('RESUMEN VIGILANCIA'!AJ35),"",'RESUMEN VIGILANCIA'!AJ35)</f>
        <v>10000</v>
      </c>
      <c r="AL9" s="400">
        <f>IF(ISBLANK('RESUMEN VIGILANCIA'!AK35),"",'RESUMEN VIGILANCIA'!AK35)</f>
        <v>20500</v>
      </c>
      <c r="AM9" s="400">
        <f>IF(ISBLANK('RESUMEN VIGILANCIA'!AL35),"",'RESUMEN VIGILANCIA'!AL35)</f>
        <v>47000</v>
      </c>
      <c r="AN9" s="400">
        <f>IF(ISBLANK('RESUMEN VIGILANCIA'!AM35),"",'RESUMEN VIGILANCIA'!AM35)</f>
        <v>60000</v>
      </c>
      <c r="AO9" s="401">
        <f>IF(ISBLANK('RESUMEN VIGILANCIA'!AN35),"",'RESUMEN VIGILANCIA'!AN35)</f>
        <v>210500</v>
      </c>
      <c r="AP9" s="399">
        <f>IF(ISBLANK('RESUMEN VIGILANCIA'!AO35),"",'RESUMEN VIGILANCIA'!AO35)</f>
        <v>136250</v>
      </c>
      <c r="AQ9" s="400">
        <f>IF(ISBLANK('RESUMEN VIGILANCIA'!AP35),"",'RESUMEN VIGILANCIA'!AP35)</f>
        <v>136250</v>
      </c>
      <c r="AR9" s="400">
        <f>IF(ISBLANK('RESUMEN VIGILANCIA'!AQ35),"",'RESUMEN VIGILANCIA'!AQ35)</f>
        <v>186000</v>
      </c>
      <c r="AS9" s="400" t="str">
        <f>IF(ISBLANK('RESUMEN VIGILANCIA'!AR35),"",'RESUMEN VIGILANCIA'!AR35)</f>
        <v/>
      </c>
      <c r="AT9" s="400" t="str">
        <f>IF(ISBLANK('RESUMEN VIGILANCIA'!AS35),"",'RESUMEN VIGILANCIA'!AS35)</f>
        <v/>
      </c>
      <c r="AU9" s="400" t="str">
        <f>IF(ISBLANK('RESUMEN VIGILANCIA'!AT35),"",'RESUMEN VIGILANCIA'!AT35)</f>
        <v/>
      </c>
      <c r="AV9" s="400" t="str">
        <f>IF(ISBLANK('RESUMEN VIGILANCIA'!AU35),"",'RESUMEN VIGILANCIA'!AU35)</f>
        <v/>
      </c>
      <c r="AW9" s="400" t="str">
        <f>IF(ISBLANK('RESUMEN VIGILANCIA'!AV35),"",'RESUMEN VIGILANCIA'!AV35)</f>
        <v/>
      </c>
      <c r="AX9" s="400" t="str">
        <f>IF(ISBLANK('RESUMEN VIGILANCIA'!AW35),"",'RESUMEN VIGILANCIA'!AW35)</f>
        <v/>
      </c>
      <c r="AY9" s="400" t="str">
        <f>IF(ISBLANK('RESUMEN VIGILANCIA'!AX35),"",'RESUMEN VIGILANCIA'!AX35)</f>
        <v/>
      </c>
      <c r="AZ9" s="400" t="str">
        <f>IF(ISBLANK('RESUMEN VIGILANCIA'!AY35),"",'RESUMEN VIGILANCIA'!AY35)</f>
        <v/>
      </c>
      <c r="BA9" s="401" t="str">
        <f>IF(ISBLANK('RESUMEN VIGILANCIA'!AZ35),"",'RESUMEN VIGILANCIA'!AZ35)</f>
        <v/>
      </c>
      <c r="BB9" s="243">
        <f t="shared" si="0"/>
        <v>391800.25</v>
      </c>
      <c r="BC9" s="112"/>
      <c r="BD9" s="112"/>
    </row>
    <row r="10" spans="1:56" s="29" customFormat="1" ht="20.100000000000001" customHeight="1" x14ac:dyDescent="0.25">
      <c r="A10" s="30" t="str">
        <f>'RESUMEN VIGILANCIA'!A53</f>
        <v>Familia Arcia Polanco</v>
      </c>
      <c r="B10" s="31" t="str">
        <f>'RESUMEN VIGILANCIA'!B53</f>
        <v>Calle Guacara Nro. 89-20</v>
      </c>
      <c r="C10" s="452" t="s">
        <v>1269</v>
      </c>
      <c r="D10" s="460" t="s">
        <v>1268</v>
      </c>
      <c r="E10" s="440" t="str">
        <f>IF(ISBLANK('RESUMEN VIGILANCIA'!D53),"",'RESUMEN VIGILANCIA'!D53)</f>
        <v/>
      </c>
      <c r="F10" s="270">
        <f>IF(ISBLANK('RESUMEN VIGILANCIA'!E53),"",'RESUMEN VIGILANCIA'!E53)</f>
        <v>0.16999999999999998</v>
      </c>
      <c r="G10" s="182">
        <f>IF(ISBLANK('RESUMEN VIGILANCIA'!F53),"",'RESUMEN VIGILANCIA'!F53)</f>
        <v>0.17</v>
      </c>
      <c r="H10" s="182">
        <f>IF(ISBLANK('RESUMEN VIGILANCIA'!G53),"",'RESUMEN VIGILANCIA'!G53)</f>
        <v>0.17</v>
      </c>
      <c r="I10" s="182">
        <f>IF(ISBLANK('RESUMEN VIGILANCIA'!H53),"",'RESUMEN VIGILANCIA'!H53)</f>
        <v>0.17</v>
      </c>
      <c r="J10" s="182">
        <f>IF(ISBLANK('RESUMEN VIGILANCIA'!I53),"",'RESUMEN VIGILANCIA'!I53)</f>
        <v>0.26</v>
      </c>
      <c r="K10" s="182">
        <f>IF(ISBLANK('RESUMEN VIGILANCIA'!J53),"",'RESUMEN VIGILANCIA'!J53)</f>
        <v>0.26</v>
      </c>
      <c r="L10" s="182">
        <f>IF(ISBLANK('RESUMEN VIGILANCIA'!K53),"",'RESUMEN VIGILANCIA'!K53)</f>
        <v>0.35</v>
      </c>
      <c r="M10" s="182">
        <f>IF(ISBLANK('RESUMEN VIGILANCIA'!L53),"",'RESUMEN VIGILANCIA'!L53)</f>
        <v>0.35</v>
      </c>
      <c r="N10" s="182">
        <f>IF(ISBLANK('RESUMEN VIGILANCIA'!M53),"",'RESUMEN VIGILANCIA'!M53)</f>
        <v>0.35</v>
      </c>
      <c r="O10" s="182">
        <f>IF(ISBLANK('RESUMEN VIGILANCIA'!N53),"",'RESUMEN VIGILANCIA'!N53)</f>
        <v>0.35</v>
      </c>
      <c r="P10" s="271">
        <f>IF(ISBLANK('RESUMEN VIGILANCIA'!O53),"",'RESUMEN VIGILANCIA'!O53)</f>
        <v>0.5</v>
      </c>
      <c r="Q10" s="180">
        <f>IF(ISBLANK('RESUMEN VIGILANCIA'!P53),"",'RESUMEN VIGILANCIA'!P53)</f>
        <v>0.5</v>
      </c>
      <c r="R10" s="272">
        <f>IF(ISBLANK('RESUMEN VIGILANCIA'!Q53),"",'RESUMEN VIGILANCIA'!Q53)</f>
        <v>0.8</v>
      </c>
      <c r="S10" s="271">
        <f>IF(ISBLANK('RESUMEN VIGILANCIA'!R53),"",'RESUMEN VIGILANCIA'!R53)</f>
        <v>0.8</v>
      </c>
      <c r="T10" s="271">
        <f>IF(ISBLANK('RESUMEN VIGILANCIA'!S53),"",'RESUMEN VIGILANCIA'!S53)</f>
        <v>1.4</v>
      </c>
      <c r="U10" s="271">
        <f>IF(ISBLANK('RESUMEN VIGILANCIA'!T53),"",'RESUMEN VIGILANCIA'!T53)</f>
        <v>1.4</v>
      </c>
      <c r="V10" s="271">
        <f>IF(ISBLANK('RESUMEN VIGILANCIA'!U53),"",'RESUMEN VIGILANCIA'!U53)</f>
        <v>4</v>
      </c>
      <c r="W10" s="271">
        <f>IF(ISBLANK('RESUMEN VIGILANCIA'!V53),"",'RESUMEN VIGILANCIA'!V53)</f>
        <v>6.25</v>
      </c>
      <c r="X10" s="271">
        <f>IF(ISBLANK('RESUMEN VIGILANCIA'!W53),"",'RESUMEN VIGILANCIA'!W53)</f>
        <v>10</v>
      </c>
      <c r="Y10" s="271">
        <f>IF(ISBLANK('RESUMEN VIGILANCIA'!X53),"",'RESUMEN VIGILANCIA'!X53)</f>
        <v>12</v>
      </c>
      <c r="Z10" s="481">
        <f>IF(ISBLANK('RESUMEN VIGILANCIA'!Y53),"",'RESUMEN VIGILANCIA'!Y53)</f>
        <v>320</v>
      </c>
      <c r="AA10" s="481">
        <f>IF(ISBLANK('RESUMEN VIGILANCIA'!Z53),"",'RESUMEN VIGILANCIA'!Z53)</f>
        <v>320</v>
      </c>
      <c r="AB10" s="481">
        <f>IF(ISBLANK('RESUMEN VIGILANCIA'!AA53),"",'RESUMEN VIGILANCIA'!AA53)</f>
        <v>320</v>
      </c>
      <c r="AC10" s="483">
        <f>IF(ISBLANK('RESUMEN VIGILANCIA'!AB53),"",'RESUMEN VIGILANCIA'!AB53)</f>
        <v>800</v>
      </c>
      <c r="AD10" s="399">
        <f>IF(ISBLANK('RESUMEN VIGILANCIA'!AC53),"",'RESUMEN VIGILANCIA'!AC53)</f>
        <v>3000</v>
      </c>
      <c r="AE10" s="400">
        <f>IF(ISBLANK('RESUMEN VIGILANCIA'!AD53),"",'RESUMEN VIGILANCIA'!AD53)</f>
        <v>3000</v>
      </c>
      <c r="AF10" s="400">
        <f>IF(ISBLANK('RESUMEN VIGILANCIA'!AE53),"",'RESUMEN VIGILANCIA'!AE53)</f>
        <v>3000</v>
      </c>
      <c r="AG10" s="400">
        <f>IF(ISBLANK('RESUMEN VIGILANCIA'!AF53),"",'RESUMEN VIGILANCIA'!AF53)</f>
        <v>5000</v>
      </c>
      <c r="AH10" s="400">
        <f>IF(ISBLANK('RESUMEN VIGILANCIA'!AG53),"",'RESUMEN VIGILANCIA'!AG53)</f>
        <v>8000</v>
      </c>
      <c r="AI10" s="400">
        <f>IF(ISBLANK('RESUMEN VIGILANCIA'!AH53),"",'RESUMEN VIGILANCIA'!AH53)</f>
        <v>8000</v>
      </c>
      <c r="AJ10" s="400">
        <f>IF(ISBLANK('RESUMEN VIGILANCIA'!AI53),"",'RESUMEN VIGILANCIA'!AI53)</f>
        <v>10000</v>
      </c>
      <c r="AK10" s="400">
        <f>IF(ISBLANK('RESUMEN VIGILANCIA'!AJ53),"",'RESUMEN VIGILANCIA'!AJ53)</f>
        <v>10000</v>
      </c>
      <c r="AL10" s="400">
        <f>IF(ISBLANK('RESUMEN VIGILANCIA'!AK53),"",'RESUMEN VIGILANCIA'!AK53)</f>
        <v>23400</v>
      </c>
      <c r="AM10" s="400">
        <f>IF(ISBLANK('RESUMEN VIGILANCIA'!AL53),"",'RESUMEN VIGILANCIA'!AL53)</f>
        <v>49300</v>
      </c>
      <c r="AN10" s="400">
        <f>IF(ISBLANK('RESUMEN VIGILANCIA'!AM53),"",'RESUMEN VIGILANCIA'!AM53)</f>
        <v>56250</v>
      </c>
      <c r="AO10" s="401">
        <f>IF(ISBLANK('RESUMEN VIGILANCIA'!AN53),"",'RESUMEN VIGILANCIA'!AN53)</f>
        <v>81750</v>
      </c>
      <c r="AP10" s="399">
        <f>IF(ISBLANK('RESUMEN VIGILANCIA'!AO53),"",'RESUMEN VIGILANCIA'!AO53)</f>
        <v>136250</v>
      </c>
      <c r="AQ10" s="400">
        <f>IF(ISBLANK('RESUMEN VIGILANCIA'!AP53),"",'RESUMEN VIGILANCIA'!AP53)</f>
        <v>136250</v>
      </c>
      <c r="AR10" s="400">
        <f>IF(ISBLANK('RESUMEN VIGILANCIA'!AQ53),"",'RESUMEN VIGILANCIA'!AQ53)</f>
        <v>185250</v>
      </c>
      <c r="AS10" s="400" t="str">
        <f>IF(ISBLANK('RESUMEN VIGILANCIA'!AR53),"",'RESUMEN VIGILANCIA'!AR53)</f>
        <v/>
      </c>
      <c r="AT10" s="400" t="str">
        <f>IF(ISBLANK('RESUMEN VIGILANCIA'!AS53),"",'RESUMEN VIGILANCIA'!AS53)</f>
        <v/>
      </c>
      <c r="AU10" s="400" t="str">
        <f>IF(ISBLANK('RESUMEN VIGILANCIA'!AT53),"",'RESUMEN VIGILANCIA'!AT53)</f>
        <v/>
      </c>
      <c r="AV10" s="400" t="str">
        <f>IF(ISBLANK('RESUMEN VIGILANCIA'!AU53),"",'RESUMEN VIGILANCIA'!AU53)</f>
        <v/>
      </c>
      <c r="AW10" s="400" t="str">
        <f>IF(ISBLANK('RESUMEN VIGILANCIA'!AV53),"",'RESUMEN VIGILANCIA'!AV53)</f>
        <v/>
      </c>
      <c r="AX10" s="400" t="str">
        <f>IF(ISBLANK('RESUMEN VIGILANCIA'!AW53),"",'RESUMEN VIGILANCIA'!AW53)</f>
        <v/>
      </c>
      <c r="AY10" s="400" t="str">
        <f>IF(ISBLANK('RESUMEN VIGILANCIA'!AX53),"",'RESUMEN VIGILANCIA'!AX53)</f>
        <v/>
      </c>
      <c r="AZ10" s="400" t="str">
        <f>IF(ISBLANK('RESUMEN VIGILANCIA'!AY53),"",'RESUMEN VIGILANCIA'!AY53)</f>
        <v/>
      </c>
      <c r="BA10" s="401" t="str">
        <f>IF(ISBLANK('RESUMEN VIGILANCIA'!AZ53),"",'RESUMEN VIGILANCIA'!AZ53)</f>
        <v/>
      </c>
      <c r="BB10" s="243">
        <f t="shared" si="0"/>
        <v>262500.25</v>
      </c>
      <c r="BC10" s="112"/>
      <c r="BD10" s="112"/>
    </row>
    <row r="11" spans="1:56" s="29" customFormat="1" ht="20.100000000000001" customHeight="1" x14ac:dyDescent="0.25">
      <c r="A11" s="30" t="str">
        <f>'RESUMEN VIGILANCIA'!A54</f>
        <v>Familia Lomeña Agudo</v>
      </c>
      <c r="B11" s="31" t="str">
        <f>'RESUMEN VIGILANCIA'!B54</f>
        <v>Calle Guacara Nro. 89-30</v>
      </c>
      <c r="C11" s="452" t="s">
        <v>1269</v>
      </c>
      <c r="D11" s="460" t="s">
        <v>17</v>
      </c>
      <c r="E11" s="440" t="str">
        <f>IF(ISBLANK('RESUMEN VIGILANCIA'!D54),"",'RESUMEN VIGILANCIA'!D54)</f>
        <v/>
      </c>
      <c r="F11" s="270">
        <f>IF(ISBLANK('RESUMEN VIGILANCIA'!E54),"",'RESUMEN VIGILANCIA'!E54)</f>
        <v>0.17</v>
      </c>
      <c r="G11" s="182">
        <f>IF(ISBLANK('RESUMEN VIGILANCIA'!F54),"",'RESUMEN VIGILANCIA'!F54)</f>
        <v>0.17</v>
      </c>
      <c r="H11" s="182">
        <f>IF(ISBLANK('RESUMEN VIGILANCIA'!G54),"",'RESUMEN VIGILANCIA'!G54)</f>
        <v>0.17</v>
      </c>
      <c r="I11" s="182">
        <f>IF(ISBLANK('RESUMEN VIGILANCIA'!H54),"",'RESUMEN VIGILANCIA'!H54)</f>
        <v>0.17</v>
      </c>
      <c r="J11" s="182">
        <f>IF(ISBLANK('RESUMEN VIGILANCIA'!I54),"",'RESUMEN VIGILANCIA'!I54)</f>
        <v>0.26</v>
      </c>
      <c r="K11" s="182">
        <f>IF(ISBLANK('RESUMEN VIGILANCIA'!J54),"",'RESUMEN VIGILANCIA'!J54)</f>
        <v>0.26</v>
      </c>
      <c r="L11" s="182">
        <f>IF(ISBLANK('RESUMEN VIGILANCIA'!K54),"",'RESUMEN VIGILANCIA'!K54)</f>
        <v>0.35</v>
      </c>
      <c r="M11" s="182">
        <f>IF(ISBLANK('RESUMEN VIGILANCIA'!L54),"",'RESUMEN VIGILANCIA'!L54)</f>
        <v>0.35</v>
      </c>
      <c r="N11" s="182">
        <f>IF(ISBLANK('RESUMEN VIGILANCIA'!M54),"",'RESUMEN VIGILANCIA'!M54)</f>
        <v>0.35</v>
      </c>
      <c r="O11" s="182">
        <f>IF(ISBLANK('RESUMEN VIGILANCIA'!N54),"",'RESUMEN VIGILANCIA'!N54)</f>
        <v>0.35</v>
      </c>
      <c r="P11" s="271">
        <f>IF(ISBLANK('RESUMEN VIGILANCIA'!O54),"",'RESUMEN VIGILANCIA'!O54)</f>
        <v>0.5</v>
      </c>
      <c r="Q11" s="180">
        <f>IF(ISBLANK('RESUMEN VIGILANCIA'!P54),"",'RESUMEN VIGILANCIA'!P54)</f>
        <v>0.5</v>
      </c>
      <c r="R11" s="272">
        <f>IF(ISBLANK('RESUMEN VIGILANCIA'!Q54),"",'RESUMEN VIGILANCIA'!Q54)</f>
        <v>0.8</v>
      </c>
      <c r="S11" s="271">
        <f>IF(ISBLANK('RESUMEN VIGILANCIA'!R54),"",'RESUMEN VIGILANCIA'!R54)</f>
        <v>0.8</v>
      </c>
      <c r="T11" s="271">
        <f>IF(ISBLANK('RESUMEN VIGILANCIA'!S54),"",'RESUMEN VIGILANCIA'!S54)</f>
        <v>1.4000000000000001</v>
      </c>
      <c r="U11" s="271">
        <f>IF(ISBLANK('RESUMEN VIGILANCIA'!T54),"",'RESUMEN VIGILANCIA'!T54)</f>
        <v>1.4</v>
      </c>
      <c r="V11" s="271">
        <f>IF(ISBLANK('RESUMEN VIGILANCIA'!U54),"",'RESUMEN VIGILANCIA'!U54)</f>
        <v>4</v>
      </c>
      <c r="W11" s="271">
        <f>IF(ISBLANK('RESUMEN VIGILANCIA'!V54),"",'RESUMEN VIGILANCIA'!V54)</f>
        <v>6.25</v>
      </c>
      <c r="X11" s="271">
        <f>IF(ISBLANK('RESUMEN VIGILANCIA'!W54),"",'RESUMEN VIGILANCIA'!W54)</f>
        <v>12.25</v>
      </c>
      <c r="Y11" s="271">
        <f>IF(ISBLANK('RESUMEN VIGILANCIA'!X54),"",'RESUMEN VIGILANCIA'!X54)</f>
        <v>12</v>
      </c>
      <c r="Z11" s="484">
        <f>IF(ISBLANK('RESUMEN VIGILANCIA'!Y54),"",'RESUMEN VIGILANCIA'!Y54)</f>
        <v>350.2</v>
      </c>
      <c r="AA11" s="481">
        <f>IF(ISBLANK('RESUMEN VIGILANCIA'!Z54),"",'RESUMEN VIGILANCIA'!Z54)</f>
        <v>320</v>
      </c>
      <c r="AB11" s="481">
        <f>IF(ISBLANK('RESUMEN VIGILANCIA'!AA54),"",'RESUMEN VIGILANCIA'!AA54)</f>
        <v>350</v>
      </c>
      <c r="AC11" s="483">
        <f>IF(ISBLANK('RESUMEN VIGILANCIA'!AB54),"",'RESUMEN VIGILANCIA'!AB54)</f>
        <v>800</v>
      </c>
      <c r="AD11" s="399">
        <f>IF(ISBLANK('RESUMEN VIGILANCIA'!AC54),"",'RESUMEN VIGILANCIA'!AC54)</f>
        <v>3000</v>
      </c>
      <c r="AE11" s="400">
        <f>IF(ISBLANK('RESUMEN VIGILANCIA'!AD54),"",'RESUMEN VIGILANCIA'!AD54)</f>
        <v>3000</v>
      </c>
      <c r="AF11" s="400">
        <f>IF(ISBLANK('RESUMEN VIGILANCIA'!AE54),"",'RESUMEN VIGILANCIA'!AE54)</f>
        <v>4500</v>
      </c>
      <c r="AG11" s="400">
        <f>IF(ISBLANK('RESUMEN VIGILANCIA'!AF54),"",'RESUMEN VIGILANCIA'!AF54)</f>
        <v>5000</v>
      </c>
      <c r="AH11" s="400">
        <f>IF(ISBLANK('RESUMEN VIGILANCIA'!AG54),"",'RESUMEN VIGILANCIA'!AG54)</f>
        <v>8000</v>
      </c>
      <c r="AI11" s="400">
        <f>IF(ISBLANK('RESUMEN VIGILANCIA'!AH54),"",'RESUMEN VIGILANCIA'!AH54)</f>
        <v>10000</v>
      </c>
      <c r="AJ11" s="400">
        <f>IF(ISBLANK('RESUMEN VIGILANCIA'!AI54),"",'RESUMEN VIGILANCIA'!AI54)</f>
        <v>10000</v>
      </c>
      <c r="AK11" s="400">
        <f>IF(ISBLANK('RESUMEN VIGILANCIA'!AJ54),"",'RESUMEN VIGILANCIA'!AJ54)</f>
        <v>15000</v>
      </c>
      <c r="AL11" s="400">
        <f>IF(ISBLANK('RESUMEN VIGILANCIA'!AK54),"",'RESUMEN VIGILANCIA'!AK54)</f>
        <v>23400</v>
      </c>
      <c r="AM11" s="400">
        <f>IF(ISBLANK('RESUMEN VIGILANCIA'!AL54),"",'RESUMEN VIGILANCIA'!AL54)</f>
        <v>48000</v>
      </c>
      <c r="AN11" s="400">
        <f>IF(ISBLANK('RESUMEN VIGILANCIA'!AM54),"",'RESUMEN VIGILANCIA'!AM54)</f>
        <v>67481</v>
      </c>
      <c r="AO11" s="401">
        <f>IF(ISBLANK('RESUMEN VIGILANCIA'!AN54),"",'RESUMEN VIGILANCIA'!AN54)</f>
        <v>148000</v>
      </c>
      <c r="AP11" s="399">
        <f>IF(ISBLANK('RESUMEN VIGILANCIA'!AO54),"",'RESUMEN VIGILANCIA'!AO54)</f>
        <v>136250</v>
      </c>
      <c r="AQ11" s="400">
        <f>IF(ISBLANK('RESUMEN VIGILANCIA'!AP54),"",'RESUMEN VIGILANCIA'!AP54)</f>
        <v>210000</v>
      </c>
      <c r="AR11" s="400">
        <f>IF(ISBLANK('RESUMEN VIGILANCIA'!AQ54),"",'RESUMEN VIGILANCIA'!AQ54)</f>
        <v>186000</v>
      </c>
      <c r="AS11" s="400" t="str">
        <f>IF(ISBLANK('RESUMEN VIGILANCIA'!AR54),"",'RESUMEN VIGILANCIA'!AR54)</f>
        <v/>
      </c>
      <c r="AT11" s="400" t="str">
        <f>IF(ISBLANK('RESUMEN VIGILANCIA'!AS54),"",'RESUMEN VIGILANCIA'!AS54)</f>
        <v/>
      </c>
      <c r="AU11" s="400" t="str">
        <f>IF(ISBLANK('RESUMEN VIGILANCIA'!AT54),"",'RESUMEN VIGILANCIA'!AT54)</f>
        <v/>
      </c>
      <c r="AV11" s="400" t="str">
        <f>IF(ISBLANK('RESUMEN VIGILANCIA'!AU54),"",'RESUMEN VIGILANCIA'!AU54)</f>
        <v/>
      </c>
      <c r="AW11" s="400" t="str">
        <f>IF(ISBLANK('RESUMEN VIGILANCIA'!AV54),"",'RESUMEN VIGILANCIA'!AV54)</f>
        <v/>
      </c>
      <c r="AX11" s="400" t="str">
        <f>IF(ISBLANK('RESUMEN VIGILANCIA'!AW54),"",'RESUMEN VIGILANCIA'!AW54)</f>
        <v/>
      </c>
      <c r="AY11" s="400" t="str">
        <f>IF(ISBLANK('RESUMEN VIGILANCIA'!AX54),"",'RESUMEN VIGILANCIA'!AX54)</f>
        <v/>
      </c>
      <c r="AZ11" s="400" t="str">
        <f>IF(ISBLANK('RESUMEN VIGILANCIA'!AY54),"",'RESUMEN VIGILANCIA'!AY54)</f>
        <v/>
      </c>
      <c r="BA11" s="401" t="str">
        <f>IF(ISBLANK('RESUMEN VIGILANCIA'!AZ54),"",'RESUMEN VIGILANCIA'!AZ54)</f>
        <v/>
      </c>
      <c r="BB11" s="243">
        <f t="shared" si="0"/>
        <v>347243.7</v>
      </c>
      <c r="BC11" s="112"/>
      <c r="BD11" s="112"/>
    </row>
    <row r="12" spans="1:56" s="29" customFormat="1" ht="20.100000000000001" customHeight="1" x14ac:dyDescent="0.25">
      <c r="A12" s="30" t="str">
        <f>'RESUMEN VIGILANCIA'!A55</f>
        <v>Familia Manrique Riera</v>
      </c>
      <c r="B12" s="31" t="str">
        <f>'RESUMEN VIGILANCIA'!B55</f>
        <v>Calle Guacara Nro. 89-40</v>
      </c>
      <c r="C12" s="452" t="s">
        <v>1269</v>
      </c>
      <c r="D12" s="460" t="s">
        <v>1268</v>
      </c>
      <c r="E12" s="440" t="str">
        <f>IF(ISBLANK('RESUMEN VIGILANCIA'!D55),"",'RESUMEN VIGILANCIA'!D55)</f>
        <v/>
      </c>
      <c r="F12" s="270">
        <f>IF(ISBLANK('RESUMEN VIGILANCIA'!E55),"",'RESUMEN VIGILANCIA'!E55)</f>
        <v>0.17</v>
      </c>
      <c r="G12" s="182">
        <f>IF(ISBLANK('RESUMEN VIGILANCIA'!F55),"",'RESUMEN VIGILANCIA'!F55)</f>
        <v>0.17</v>
      </c>
      <c r="H12" s="182">
        <f>IF(ISBLANK('RESUMEN VIGILANCIA'!G55),"",'RESUMEN VIGILANCIA'!G55)</f>
        <v>0.17</v>
      </c>
      <c r="I12" s="182">
        <f>IF(ISBLANK('RESUMEN VIGILANCIA'!H55),"",'RESUMEN VIGILANCIA'!H55)</f>
        <v>0.17</v>
      </c>
      <c r="J12" s="182">
        <f>IF(ISBLANK('RESUMEN VIGILANCIA'!I55),"",'RESUMEN VIGILANCIA'!I55)</f>
        <v>0.26</v>
      </c>
      <c r="K12" s="182">
        <f>IF(ISBLANK('RESUMEN VIGILANCIA'!J55),"",'RESUMEN VIGILANCIA'!J55)</f>
        <v>0.26</v>
      </c>
      <c r="L12" s="182">
        <f>IF(ISBLANK('RESUMEN VIGILANCIA'!K55),"",'RESUMEN VIGILANCIA'!K55)</f>
        <v>0.35</v>
      </c>
      <c r="M12" s="182">
        <f>IF(ISBLANK('RESUMEN VIGILANCIA'!L55),"",'RESUMEN VIGILANCIA'!L55)</f>
        <v>0.35</v>
      </c>
      <c r="N12" s="182">
        <f>IF(ISBLANK('RESUMEN VIGILANCIA'!M55),"",'RESUMEN VIGILANCIA'!M55)</f>
        <v>0.35</v>
      </c>
      <c r="O12" s="182">
        <f>IF(ISBLANK('RESUMEN VIGILANCIA'!N55),"",'RESUMEN VIGILANCIA'!N55)</f>
        <v>0.35</v>
      </c>
      <c r="P12" s="271">
        <f>IF(ISBLANK('RESUMEN VIGILANCIA'!O55),"",'RESUMEN VIGILANCIA'!O55)</f>
        <v>0.5</v>
      </c>
      <c r="Q12" s="180">
        <f>IF(ISBLANK('RESUMEN VIGILANCIA'!P55),"",'RESUMEN VIGILANCIA'!P55)</f>
        <v>0.2</v>
      </c>
      <c r="R12" s="272">
        <f>IF(ISBLANK('RESUMEN VIGILANCIA'!Q55),"",'RESUMEN VIGILANCIA'!Q55)</f>
        <v>0.8</v>
      </c>
      <c r="S12" s="271">
        <f>IF(ISBLANK('RESUMEN VIGILANCIA'!R55),"",'RESUMEN VIGILANCIA'!R55)</f>
        <v>0.8</v>
      </c>
      <c r="T12" s="271">
        <f>IF(ISBLANK('RESUMEN VIGILANCIA'!S55),"",'RESUMEN VIGILANCIA'!S55)</f>
        <v>1.4</v>
      </c>
      <c r="U12" s="271">
        <f>IF(ISBLANK('RESUMEN VIGILANCIA'!T55),"",'RESUMEN VIGILANCIA'!T55)</f>
        <v>1.4</v>
      </c>
      <c r="V12" s="271">
        <f>IF(ISBLANK('RESUMEN VIGILANCIA'!U55),"",'RESUMEN VIGILANCIA'!U55)</f>
        <v>4</v>
      </c>
      <c r="W12" s="271">
        <f>IF(ISBLANK('RESUMEN VIGILANCIA'!V55),"",'RESUMEN VIGILANCIA'!V55)</f>
        <v>6.5</v>
      </c>
      <c r="X12" s="273">
        <f>IF(ISBLANK('RESUMEN VIGILANCIA'!W55),"",'RESUMEN VIGILANCIA'!W55)</f>
        <v>10</v>
      </c>
      <c r="Y12" s="271">
        <f>IF(ISBLANK('RESUMEN VIGILANCIA'!X55),"",'RESUMEN VIGILANCIA'!X55)</f>
        <v>12</v>
      </c>
      <c r="Z12" s="481">
        <f>IF(ISBLANK('RESUMEN VIGILANCIA'!Y55),"",'RESUMEN VIGILANCIA'!Y55)</f>
        <v>320</v>
      </c>
      <c r="AA12" s="481">
        <f>IF(ISBLANK('RESUMEN VIGILANCIA'!Z55),"",'RESUMEN VIGILANCIA'!Z55)</f>
        <v>320</v>
      </c>
      <c r="AB12" s="481">
        <f>IF(ISBLANK('RESUMEN VIGILANCIA'!AA55),"",'RESUMEN VIGILANCIA'!AA55)</f>
        <v>320</v>
      </c>
      <c r="AC12" s="483">
        <f>IF(ISBLANK('RESUMEN VIGILANCIA'!AB55),"",'RESUMEN VIGILANCIA'!AB55)</f>
        <v>800</v>
      </c>
      <c r="AD12" s="399">
        <f>IF(ISBLANK('RESUMEN VIGILANCIA'!AC55),"",'RESUMEN VIGILANCIA'!AC55)</f>
        <v>3000</v>
      </c>
      <c r="AE12" s="400">
        <f>IF(ISBLANK('RESUMEN VIGILANCIA'!AD55),"",'RESUMEN VIGILANCIA'!AD55)</f>
        <v>3000</v>
      </c>
      <c r="AF12" s="400">
        <f>IF(ISBLANK('RESUMEN VIGILANCIA'!AE55),"",'RESUMEN VIGILANCIA'!AE55)</f>
        <v>3000</v>
      </c>
      <c r="AG12" s="400">
        <f>IF(ISBLANK('RESUMEN VIGILANCIA'!AF55),"",'RESUMEN VIGILANCIA'!AF55)</f>
        <v>5000</v>
      </c>
      <c r="AH12" s="400">
        <f>IF(ISBLANK('RESUMEN VIGILANCIA'!AG55),"",'RESUMEN VIGILANCIA'!AG55)</f>
        <v>8000</v>
      </c>
      <c r="AI12" s="400">
        <f>IF(ISBLANK('RESUMEN VIGILANCIA'!AH55),"",'RESUMEN VIGILANCIA'!AH55)</f>
        <v>8000</v>
      </c>
      <c r="AJ12" s="400">
        <f>IF(ISBLANK('RESUMEN VIGILANCIA'!AI55),"",'RESUMEN VIGILANCIA'!AI55)</f>
        <v>10000</v>
      </c>
      <c r="AK12" s="400">
        <f>IF(ISBLANK('RESUMEN VIGILANCIA'!AJ55),"",'RESUMEN VIGILANCIA'!AJ55)</f>
        <v>10000</v>
      </c>
      <c r="AL12" s="400">
        <f>IF(ISBLANK('RESUMEN VIGILANCIA'!AK55),"",'RESUMEN VIGILANCIA'!AK55)</f>
        <v>23400</v>
      </c>
      <c r="AM12" s="400">
        <f>IF(ISBLANK('RESUMEN VIGILANCIA'!AL55),"",'RESUMEN VIGILANCIA'!AL55)</f>
        <v>47000</v>
      </c>
      <c r="AN12" s="400">
        <f>IF(ISBLANK('RESUMEN VIGILANCIA'!AM55),"",'RESUMEN VIGILANCIA'!AM55)</f>
        <v>64500</v>
      </c>
      <c r="AO12" s="401">
        <f>IF(ISBLANK('RESUMEN VIGILANCIA'!AN55),"",'RESUMEN VIGILANCIA'!AN55)</f>
        <v>81750</v>
      </c>
      <c r="AP12" s="399">
        <f>IF(ISBLANK('RESUMEN VIGILANCIA'!AO55),"",'RESUMEN VIGILANCIA'!AO55)</f>
        <v>136250</v>
      </c>
      <c r="AQ12" s="400">
        <f>IF(ISBLANK('RESUMEN VIGILANCIA'!AP55),"",'RESUMEN VIGILANCIA'!AP55)</f>
        <v>136250</v>
      </c>
      <c r="AR12" s="400">
        <f>IF(ISBLANK('RESUMEN VIGILANCIA'!AQ55),"",'RESUMEN VIGILANCIA'!AQ55)</f>
        <v>185250</v>
      </c>
      <c r="AS12" s="400" t="str">
        <f>IF(ISBLANK('RESUMEN VIGILANCIA'!AR55),"",'RESUMEN VIGILANCIA'!AR55)</f>
        <v/>
      </c>
      <c r="AT12" s="400" t="str">
        <f>IF(ISBLANK('RESUMEN VIGILANCIA'!AS55),"",'RESUMEN VIGILANCIA'!AS55)</f>
        <v/>
      </c>
      <c r="AU12" s="400" t="str">
        <f>IF(ISBLANK('RESUMEN VIGILANCIA'!AT55),"",'RESUMEN VIGILANCIA'!AT55)</f>
        <v/>
      </c>
      <c r="AV12" s="400" t="str">
        <f>IF(ISBLANK('RESUMEN VIGILANCIA'!AU55),"",'RESUMEN VIGILANCIA'!AU55)</f>
        <v/>
      </c>
      <c r="AW12" s="400" t="str">
        <f>IF(ISBLANK('RESUMEN VIGILANCIA'!AV55),"",'RESUMEN VIGILANCIA'!AV55)</f>
        <v/>
      </c>
      <c r="AX12" s="400" t="str">
        <f>IF(ISBLANK('RESUMEN VIGILANCIA'!AW55),"",'RESUMEN VIGILANCIA'!AW55)</f>
        <v/>
      </c>
      <c r="AY12" s="400" t="str">
        <f>IF(ISBLANK('RESUMEN VIGILANCIA'!AX55),"",'RESUMEN VIGILANCIA'!AX55)</f>
        <v/>
      </c>
      <c r="AZ12" s="400" t="str">
        <f>IF(ISBLANK('RESUMEN VIGILANCIA'!AY55),"",'RESUMEN VIGILANCIA'!AY55)</f>
        <v/>
      </c>
      <c r="BA12" s="401" t="str">
        <f>IF(ISBLANK('RESUMEN VIGILANCIA'!AZ55),"",'RESUMEN VIGILANCIA'!AZ55)</f>
        <v/>
      </c>
      <c r="BB12" s="243">
        <f t="shared" si="0"/>
        <v>268450.2</v>
      </c>
      <c r="BC12" s="112"/>
      <c r="BD12" s="112"/>
    </row>
    <row r="13" spans="1:56" s="29" customFormat="1" ht="20.100000000000001" customHeight="1" x14ac:dyDescent="0.25">
      <c r="A13" s="30" t="str">
        <f>'RESUMEN VIGILANCIA'!A56</f>
        <v>Familia Romero</v>
      </c>
      <c r="B13" s="31" t="str">
        <f>'RESUMEN VIGILANCIA'!B56</f>
        <v>Calle Guacara Nro. 89-50</v>
      </c>
      <c r="C13" s="452" t="s">
        <v>1269</v>
      </c>
      <c r="D13" s="460" t="s">
        <v>1268</v>
      </c>
      <c r="E13" s="440" t="str">
        <f>IF(ISBLANK('RESUMEN VIGILANCIA'!D56),"",'RESUMEN VIGILANCIA'!D56)</f>
        <v/>
      </c>
      <c r="F13" s="270" t="str">
        <f>IF(ISBLANK('RESUMEN VIGILANCIA'!E56),"",'RESUMEN VIGILANCIA'!E56)</f>
        <v/>
      </c>
      <c r="G13" s="182" t="str">
        <f>IF(ISBLANK('RESUMEN VIGILANCIA'!F56),"",'RESUMEN VIGILANCIA'!F56)</f>
        <v/>
      </c>
      <c r="H13" s="182" t="str">
        <f>IF(ISBLANK('RESUMEN VIGILANCIA'!G56),"",'RESUMEN VIGILANCIA'!G56)</f>
        <v/>
      </c>
      <c r="I13" s="182" t="str">
        <f>IF(ISBLANK('RESUMEN VIGILANCIA'!H56),"",'RESUMEN VIGILANCIA'!H56)</f>
        <v/>
      </c>
      <c r="J13" s="182" t="str">
        <f>IF(ISBLANK('RESUMEN VIGILANCIA'!I56),"",'RESUMEN VIGILANCIA'!I56)</f>
        <v/>
      </c>
      <c r="K13" s="182" t="str">
        <f>IF(ISBLANK('RESUMEN VIGILANCIA'!J56),"",'RESUMEN VIGILANCIA'!J56)</f>
        <v/>
      </c>
      <c r="L13" s="182" t="str">
        <f>IF(ISBLANK('RESUMEN VIGILANCIA'!K56),"",'RESUMEN VIGILANCIA'!K56)</f>
        <v/>
      </c>
      <c r="M13" s="182" t="str">
        <f>IF(ISBLANK('RESUMEN VIGILANCIA'!L56),"",'RESUMEN VIGILANCIA'!L56)</f>
        <v/>
      </c>
      <c r="N13" s="182" t="str">
        <f>IF(ISBLANK('RESUMEN VIGILANCIA'!M56),"",'RESUMEN VIGILANCIA'!M56)</f>
        <v/>
      </c>
      <c r="O13" s="182" t="str">
        <f>IF(ISBLANK('RESUMEN VIGILANCIA'!N56),"",'RESUMEN VIGILANCIA'!N56)</f>
        <v/>
      </c>
      <c r="P13" s="271" t="str">
        <f>IF(ISBLANK('RESUMEN VIGILANCIA'!O56),"",'RESUMEN VIGILANCIA'!O56)</f>
        <v/>
      </c>
      <c r="Q13" s="180">
        <f>IF(ISBLANK('RESUMEN VIGILANCIA'!P56),"",'RESUMEN VIGILANCIA'!P56)</f>
        <v>0.5</v>
      </c>
      <c r="R13" s="272">
        <f>IF(ISBLANK('RESUMEN VIGILANCIA'!Q56),"",'RESUMEN VIGILANCIA'!Q56)</f>
        <v>0.5</v>
      </c>
      <c r="S13" s="271">
        <f>IF(ISBLANK('RESUMEN VIGILANCIA'!R56),"",'RESUMEN VIGILANCIA'!R56)</f>
        <v>0.5</v>
      </c>
      <c r="T13" s="271">
        <f>IF(ISBLANK('RESUMEN VIGILANCIA'!S56),"",'RESUMEN VIGILANCIA'!S56)</f>
        <v>0.5</v>
      </c>
      <c r="U13" s="271">
        <f>IF(ISBLANK('RESUMEN VIGILANCIA'!T56),"",'RESUMEN VIGILANCIA'!T56)</f>
        <v>0.5</v>
      </c>
      <c r="V13" s="271">
        <f>IF(ISBLANK('RESUMEN VIGILANCIA'!U56),"",'RESUMEN VIGILANCIA'!U56)</f>
        <v>4</v>
      </c>
      <c r="W13" s="271">
        <f>IF(ISBLANK('RESUMEN VIGILANCIA'!V56),"",'RESUMEN VIGILANCIA'!V56)</f>
        <v>4</v>
      </c>
      <c r="X13" s="271">
        <f>IF(ISBLANK('RESUMEN VIGILANCIA'!W56),"",'RESUMEN VIGILANCIA'!W56)</f>
        <v>10</v>
      </c>
      <c r="Y13" s="273">
        <f>IF(ISBLANK('RESUMEN VIGILANCIA'!X56),"",'RESUMEN VIGILANCIA'!X56)</f>
        <v>10</v>
      </c>
      <c r="Z13" s="481">
        <f>IF(ISBLANK('RESUMEN VIGILANCIA'!Y56),"",'RESUMEN VIGILANCIA'!Y56)</f>
        <v>160</v>
      </c>
      <c r="AA13" s="481">
        <f>IF(ISBLANK('RESUMEN VIGILANCIA'!Z56),"",'RESUMEN VIGILANCIA'!Z56)</f>
        <v>160</v>
      </c>
      <c r="AB13" s="481" t="str">
        <f>IF(ISBLANK('RESUMEN VIGILANCIA'!AA56),"",'RESUMEN VIGILANCIA'!AA56)</f>
        <v/>
      </c>
      <c r="AC13" s="483">
        <f>IF(ISBLANK('RESUMEN VIGILANCIA'!AB56),"",'RESUMEN VIGILANCIA'!AB56)</f>
        <v>800</v>
      </c>
      <c r="AD13" s="399">
        <f>IF(ISBLANK('RESUMEN VIGILANCIA'!AC56),"",'RESUMEN VIGILANCIA'!AC56)</f>
        <v>3000</v>
      </c>
      <c r="AE13" s="400">
        <f>IF(ISBLANK('RESUMEN VIGILANCIA'!AD56),"",'RESUMEN VIGILANCIA'!AD56)</f>
        <v>3000</v>
      </c>
      <c r="AF13" s="400">
        <f>IF(ISBLANK('RESUMEN VIGILANCIA'!AE56),"",'RESUMEN VIGILANCIA'!AE56)</f>
        <v>3000</v>
      </c>
      <c r="AG13" s="400">
        <f>IF(ISBLANK('RESUMEN VIGILANCIA'!AF56),"",'RESUMEN VIGILANCIA'!AF56)</f>
        <v>5000</v>
      </c>
      <c r="AH13" s="400">
        <f>IF(ISBLANK('RESUMEN VIGILANCIA'!AG56),"",'RESUMEN VIGILANCIA'!AG56)</f>
        <v>8000</v>
      </c>
      <c r="AI13" s="400">
        <f>IF(ISBLANK('RESUMEN VIGILANCIA'!AH56),"",'RESUMEN VIGILANCIA'!AH56)</f>
        <v>8000</v>
      </c>
      <c r="AJ13" s="400">
        <f>IF(ISBLANK('RESUMEN VIGILANCIA'!AI56),"",'RESUMEN VIGILANCIA'!AI56)</f>
        <v>10000</v>
      </c>
      <c r="AK13" s="400">
        <f>IF(ISBLANK('RESUMEN VIGILANCIA'!AJ56),"",'RESUMEN VIGILANCIA'!AJ56)</f>
        <v>10000</v>
      </c>
      <c r="AL13" s="400">
        <f>IF(ISBLANK('RESUMEN VIGILANCIA'!AK56),"",'RESUMEN VIGILANCIA'!AK56)</f>
        <v>20500</v>
      </c>
      <c r="AM13" s="400">
        <f>IF(ISBLANK('RESUMEN VIGILANCIA'!AL56),"",'RESUMEN VIGILANCIA'!AL56)</f>
        <v>47000</v>
      </c>
      <c r="AN13" s="400">
        <f>IF(ISBLANK('RESUMEN VIGILANCIA'!AM56),"",'RESUMEN VIGILANCIA'!AM56)</f>
        <v>56250</v>
      </c>
      <c r="AO13" s="401">
        <f>IF(ISBLANK('RESUMEN VIGILANCIA'!AN56),"",'RESUMEN VIGILANCIA'!AN56)</f>
        <v>81750</v>
      </c>
      <c r="AP13" s="399">
        <f>IF(ISBLANK('RESUMEN VIGILANCIA'!AO56),"",'RESUMEN VIGILANCIA'!AO56)</f>
        <v>136250</v>
      </c>
      <c r="AQ13" s="400" t="str">
        <f>IF(ISBLANK('RESUMEN VIGILANCIA'!AP56),"",'RESUMEN VIGILANCIA'!AP56)</f>
        <v/>
      </c>
      <c r="AR13" s="400" t="str">
        <f>IF(ISBLANK('RESUMEN VIGILANCIA'!AQ56),"",'RESUMEN VIGILANCIA'!AQ56)</f>
        <v/>
      </c>
      <c r="AS13" s="400" t="str">
        <f>IF(ISBLANK('RESUMEN VIGILANCIA'!AR56),"",'RESUMEN VIGILANCIA'!AR56)</f>
        <v/>
      </c>
      <c r="AT13" s="400" t="str">
        <f>IF(ISBLANK('RESUMEN VIGILANCIA'!AS56),"",'RESUMEN VIGILANCIA'!AS56)</f>
        <v/>
      </c>
      <c r="AU13" s="400" t="str">
        <f>IF(ISBLANK('RESUMEN VIGILANCIA'!AT56),"",'RESUMEN VIGILANCIA'!AT56)</f>
        <v/>
      </c>
      <c r="AV13" s="400" t="str">
        <f>IF(ISBLANK('RESUMEN VIGILANCIA'!AU56),"",'RESUMEN VIGILANCIA'!AU56)</f>
        <v/>
      </c>
      <c r="AW13" s="400" t="str">
        <f>IF(ISBLANK('RESUMEN VIGILANCIA'!AV56),"",'RESUMEN VIGILANCIA'!AV56)</f>
        <v/>
      </c>
      <c r="AX13" s="400" t="str">
        <f>IF(ISBLANK('RESUMEN VIGILANCIA'!AW56),"",'RESUMEN VIGILANCIA'!AW56)</f>
        <v/>
      </c>
      <c r="AY13" s="400" t="str">
        <f>IF(ISBLANK('RESUMEN VIGILANCIA'!AX56),"",'RESUMEN VIGILANCIA'!AX56)</f>
        <v/>
      </c>
      <c r="AZ13" s="400" t="str">
        <f>IF(ISBLANK('RESUMEN VIGILANCIA'!AY56),"",'RESUMEN VIGILANCIA'!AY56)</f>
        <v/>
      </c>
      <c r="BA13" s="401" t="str">
        <f>IF(ISBLANK('RESUMEN VIGILANCIA'!AZ56),"",'RESUMEN VIGILANCIA'!AZ56)</f>
        <v/>
      </c>
      <c r="BB13" s="243">
        <f t="shared" si="0"/>
        <v>256650.5</v>
      </c>
      <c r="BC13" s="112"/>
      <c r="BD13" s="112"/>
    </row>
    <row r="14" spans="1:56" s="29" customFormat="1" ht="20.100000000000001" customHeight="1" x14ac:dyDescent="0.25">
      <c r="A14" s="30" t="str">
        <f>'RESUMEN VIGILANCIA'!A57</f>
        <v>Familia Durvelle Serrano</v>
      </c>
      <c r="B14" s="31" t="str">
        <f>'RESUMEN VIGILANCIA'!B57</f>
        <v>Calle Guacara Nro. 89-60</v>
      </c>
      <c r="C14" s="452" t="s">
        <v>1269</v>
      </c>
      <c r="D14" s="460" t="s">
        <v>1268</v>
      </c>
      <c r="E14" s="440" t="str">
        <f>IF(ISBLANK('RESUMEN VIGILANCIA'!D57),"",'RESUMEN VIGILANCIA'!D57)</f>
        <v/>
      </c>
      <c r="F14" s="274">
        <f>IF(ISBLANK('RESUMEN VIGILANCIA'!E57),"",'RESUMEN VIGILANCIA'!E57)</f>
        <v>0.1</v>
      </c>
      <c r="G14" s="182">
        <f>IF(ISBLANK('RESUMEN VIGILANCIA'!F57),"",'RESUMEN VIGILANCIA'!F57)</f>
        <v>0.17</v>
      </c>
      <c r="H14" s="182">
        <f>IF(ISBLANK('RESUMEN VIGILANCIA'!G57),"",'RESUMEN VIGILANCIA'!G57)</f>
        <v>0.17</v>
      </c>
      <c r="I14" s="182">
        <f>IF(ISBLANK('RESUMEN VIGILANCIA'!H57),"",'RESUMEN VIGILANCIA'!H57)</f>
        <v>0.17</v>
      </c>
      <c r="J14" s="182">
        <f>IF(ISBLANK('RESUMEN VIGILANCIA'!I57),"",'RESUMEN VIGILANCIA'!I57)</f>
        <v>0.26</v>
      </c>
      <c r="K14" s="182">
        <f>IF(ISBLANK('RESUMEN VIGILANCIA'!J57),"",'RESUMEN VIGILANCIA'!J57)</f>
        <v>0.27</v>
      </c>
      <c r="L14" s="182">
        <f>IF(ISBLANK('RESUMEN VIGILANCIA'!K57),"",'RESUMEN VIGILANCIA'!K57)</f>
        <v>0.36</v>
      </c>
      <c r="M14" s="182">
        <f>IF(ISBLANK('RESUMEN VIGILANCIA'!L57),"",'RESUMEN VIGILANCIA'!L57)</f>
        <v>0.35</v>
      </c>
      <c r="N14" s="182">
        <f>IF(ISBLANK('RESUMEN VIGILANCIA'!M57),"",'RESUMEN VIGILANCIA'!M57)</f>
        <v>0.35</v>
      </c>
      <c r="O14" s="182">
        <f>IF(ISBLANK('RESUMEN VIGILANCIA'!N57),"",'RESUMEN VIGILANCIA'!N57)</f>
        <v>0.35</v>
      </c>
      <c r="P14" s="271">
        <f>IF(ISBLANK('RESUMEN VIGILANCIA'!O57),"",'RESUMEN VIGILANCIA'!O57)</f>
        <v>0.5</v>
      </c>
      <c r="Q14" s="180">
        <f>IF(ISBLANK('RESUMEN VIGILANCIA'!P57),"",'RESUMEN VIGILANCIA'!P57)</f>
        <v>0.5</v>
      </c>
      <c r="R14" s="272">
        <f>IF(ISBLANK('RESUMEN VIGILANCIA'!Q57),"",'RESUMEN VIGILANCIA'!Q57)</f>
        <v>1</v>
      </c>
      <c r="S14" s="271">
        <f>IF(ISBLANK('RESUMEN VIGILANCIA'!R57),"",'RESUMEN VIGILANCIA'!R57)</f>
        <v>1</v>
      </c>
      <c r="T14" s="271">
        <f>IF(ISBLANK('RESUMEN VIGILANCIA'!S57),"",'RESUMEN VIGILANCIA'!S57)</f>
        <v>2</v>
      </c>
      <c r="U14" s="271">
        <f>IF(ISBLANK('RESUMEN VIGILANCIA'!T57),"",'RESUMEN VIGILANCIA'!T57)</f>
        <v>2.5</v>
      </c>
      <c r="V14" s="271">
        <f>IF(ISBLANK('RESUMEN VIGILANCIA'!U57),"",'RESUMEN VIGILANCIA'!U57)</f>
        <v>4</v>
      </c>
      <c r="W14" s="271">
        <f>IF(ISBLANK('RESUMEN VIGILANCIA'!V57),"",'RESUMEN VIGILANCIA'!V57)</f>
        <v>6.25</v>
      </c>
      <c r="X14" s="271">
        <f>IF(ISBLANK('RESUMEN VIGILANCIA'!W57),"",'RESUMEN VIGILANCIA'!W57)</f>
        <v>10</v>
      </c>
      <c r="Y14" s="271">
        <f>IF(ISBLANK('RESUMEN VIGILANCIA'!X57),"",'RESUMEN VIGILANCIA'!X57)</f>
        <v>11.999999999999998</v>
      </c>
      <c r="Z14" s="481">
        <f>IF(ISBLANK('RESUMEN VIGILANCIA'!Y57),"",'RESUMEN VIGILANCIA'!Y57)</f>
        <v>405.15</v>
      </c>
      <c r="AA14" s="481">
        <f>IF(ISBLANK('RESUMEN VIGILANCIA'!Z57),"",'RESUMEN VIGILANCIA'!Z57)</f>
        <v>500</v>
      </c>
      <c r="AB14" s="481">
        <f>IF(ISBLANK('RESUMEN VIGILANCIA'!AA57),"",'RESUMEN VIGILANCIA'!AA57)</f>
        <v>500</v>
      </c>
      <c r="AC14" s="483">
        <f>IF(ISBLANK('RESUMEN VIGILANCIA'!AB57),"",'RESUMEN VIGILANCIA'!AB57)</f>
        <v>1000</v>
      </c>
      <c r="AD14" s="399">
        <f>IF(ISBLANK('RESUMEN VIGILANCIA'!AC57),"",'RESUMEN VIGILANCIA'!AC57)</f>
        <v>4000</v>
      </c>
      <c r="AE14" s="400">
        <f>IF(ISBLANK('RESUMEN VIGILANCIA'!AD57),"",'RESUMEN VIGILANCIA'!AD57)</f>
        <v>4000</v>
      </c>
      <c r="AF14" s="400">
        <f>IF(ISBLANK('RESUMEN VIGILANCIA'!AE57),"",'RESUMEN VIGILANCIA'!AE57)</f>
        <v>6000</v>
      </c>
      <c r="AG14" s="400">
        <f>IF(ISBLANK('RESUMEN VIGILANCIA'!AF57),"",'RESUMEN VIGILANCIA'!AF57)</f>
        <v>5000</v>
      </c>
      <c r="AH14" s="400">
        <f>IF(ISBLANK('RESUMEN VIGILANCIA'!AG57),"",'RESUMEN VIGILANCIA'!AG57)</f>
        <v>8000</v>
      </c>
      <c r="AI14" s="400">
        <f>IF(ISBLANK('RESUMEN VIGILANCIA'!AH57),"",'RESUMEN VIGILANCIA'!AH57)</f>
        <v>8000</v>
      </c>
      <c r="AJ14" s="400">
        <f>IF(ISBLANK('RESUMEN VIGILANCIA'!AI57),"",'RESUMEN VIGILANCIA'!AI57)</f>
        <v>15000</v>
      </c>
      <c r="AK14" s="400">
        <f>IF(ISBLANK('RESUMEN VIGILANCIA'!AJ57),"",'RESUMEN VIGILANCIA'!AJ57)</f>
        <v>10000</v>
      </c>
      <c r="AL14" s="400">
        <f>IF(ISBLANK('RESUMEN VIGILANCIA'!AK57),"",'RESUMEN VIGILANCIA'!AK57)</f>
        <v>24000</v>
      </c>
      <c r="AM14" s="400">
        <f>IF(ISBLANK('RESUMEN VIGILANCIA'!AL57),"",'RESUMEN VIGILANCIA'!AL57)</f>
        <v>47000</v>
      </c>
      <c r="AN14" s="400">
        <f>IF(ISBLANK('RESUMEN VIGILANCIA'!AM57),"",'RESUMEN VIGILANCIA'!AM57)</f>
        <v>57000</v>
      </c>
      <c r="AO14" s="401">
        <f>IF(ISBLANK('RESUMEN VIGILANCIA'!AN57),"",'RESUMEN VIGILANCIA'!AN57)</f>
        <v>98750</v>
      </c>
      <c r="AP14" s="399">
        <f>IF(ISBLANK('RESUMEN VIGILANCIA'!AO57),"",'RESUMEN VIGILANCIA'!AO57)</f>
        <v>136250</v>
      </c>
      <c r="AQ14" s="400">
        <f>IF(ISBLANK('RESUMEN VIGILANCIA'!AP57),"",'RESUMEN VIGILANCIA'!AP57)</f>
        <v>140000</v>
      </c>
      <c r="AR14" s="400" t="str">
        <f>IF(ISBLANK('RESUMEN VIGILANCIA'!AQ57),"",'RESUMEN VIGILANCIA'!AQ57)</f>
        <v/>
      </c>
      <c r="AS14" s="400" t="str">
        <f>IF(ISBLANK('RESUMEN VIGILANCIA'!AR57),"",'RESUMEN VIGILANCIA'!AR57)</f>
        <v/>
      </c>
      <c r="AT14" s="400" t="str">
        <f>IF(ISBLANK('RESUMEN VIGILANCIA'!AS57),"",'RESUMEN VIGILANCIA'!AS57)</f>
        <v/>
      </c>
      <c r="AU14" s="400" t="str">
        <f>IF(ISBLANK('RESUMEN VIGILANCIA'!AT57),"",'RESUMEN VIGILANCIA'!AT57)</f>
        <v/>
      </c>
      <c r="AV14" s="400" t="str">
        <f>IF(ISBLANK('RESUMEN VIGILANCIA'!AU57),"",'RESUMEN VIGILANCIA'!AU57)</f>
        <v/>
      </c>
      <c r="AW14" s="400" t="str">
        <f>IF(ISBLANK('RESUMEN VIGILANCIA'!AV57),"",'RESUMEN VIGILANCIA'!AV57)</f>
        <v/>
      </c>
      <c r="AX14" s="400" t="str">
        <f>IF(ISBLANK('RESUMEN VIGILANCIA'!AW57),"",'RESUMEN VIGILANCIA'!AW57)</f>
        <v/>
      </c>
      <c r="AY14" s="400" t="str">
        <f>IF(ISBLANK('RESUMEN VIGILANCIA'!AX57),"",'RESUMEN VIGILANCIA'!AX57)</f>
        <v/>
      </c>
      <c r="AZ14" s="400" t="str">
        <f>IF(ISBLANK('RESUMEN VIGILANCIA'!AY57),"",'RESUMEN VIGILANCIA'!AY57)</f>
        <v/>
      </c>
      <c r="BA14" s="401" t="str">
        <f>IF(ISBLANK('RESUMEN VIGILANCIA'!AZ57),"",'RESUMEN VIGILANCIA'!AZ57)</f>
        <v/>
      </c>
      <c r="BB14" s="243">
        <f t="shared" si="0"/>
        <v>289197.45</v>
      </c>
      <c r="BC14" s="112"/>
      <c r="BD14" s="112"/>
    </row>
    <row r="15" spans="1:56" s="29" customFormat="1" ht="20.100000000000001" customHeight="1" x14ac:dyDescent="0.25">
      <c r="A15" s="30" t="str">
        <f>'RESUMEN VIGILANCIA'!A58</f>
        <v>Yuraima Rodríguez</v>
      </c>
      <c r="B15" s="31" t="str">
        <f>'RESUMEN VIGILANCIA'!B58</f>
        <v>Calle Guacara Nro. 89-70</v>
      </c>
      <c r="C15" s="452" t="s">
        <v>1270</v>
      </c>
      <c r="D15" s="460" t="s">
        <v>1268</v>
      </c>
      <c r="E15" s="440" t="str">
        <f>IF(ISBLANK('RESUMEN VIGILANCIA'!D58),"",'RESUMEN VIGILANCIA'!D58)</f>
        <v/>
      </c>
      <c r="F15" s="270">
        <f>IF(ISBLANK('RESUMEN VIGILANCIA'!E58),"",'RESUMEN VIGILANCIA'!E58)</f>
        <v>0.17</v>
      </c>
      <c r="G15" s="182">
        <f>IF(ISBLANK('RESUMEN VIGILANCIA'!F58),"",'RESUMEN VIGILANCIA'!F58)</f>
        <v>0.17</v>
      </c>
      <c r="H15" s="182">
        <f>IF(ISBLANK('RESUMEN VIGILANCIA'!G58),"",'RESUMEN VIGILANCIA'!G58)</f>
        <v>0.17</v>
      </c>
      <c r="I15" s="182">
        <f>IF(ISBLANK('RESUMEN VIGILANCIA'!H58),"",'RESUMEN VIGILANCIA'!H58)</f>
        <v>0.17</v>
      </c>
      <c r="J15" s="182" t="str">
        <f>IF(ISBLANK('RESUMEN VIGILANCIA'!I58),"",'RESUMEN VIGILANCIA'!I58)</f>
        <v/>
      </c>
      <c r="K15" s="182" t="str">
        <f>IF(ISBLANK('RESUMEN VIGILANCIA'!J58),"",'RESUMEN VIGILANCIA'!J58)</f>
        <v/>
      </c>
      <c r="L15" s="182" t="str">
        <f>IF(ISBLANK('RESUMEN VIGILANCIA'!K58),"",'RESUMEN VIGILANCIA'!K58)</f>
        <v/>
      </c>
      <c r="M15" s="182" t="str">
        <f>IF(ISBLANK('RESUMEN VIGILANCIA'!L58),"",'RESUMEN VIGILANCIA'!L58)</f>
        <v/>
      </c>
      <c r="N15" s="182" t="str">
        <f>IF(ISBLANK('RESUMEN VIGILANCIA'!M58),"",'RESUMEN VIGILANCIA'!M58)</f>
        <v/>
      </c>
      <c r="O15" s="182" t="str">
        <f>IF(ISBLANK('RESUMEN VIGILANCIA'!N58),"",'RESUMEN VIGILANCIA'!N58)</f>
        <v/>
      </c>
      <c r="P15" s="271" t="str">
        <f>IF(ISBLANK('RESUMEN VIGILANCIA'!O58),"",'RESUMEN VIGILANCIA'!O58)</f>
        <v/>
      </c>
      <c r="Q15" s="180" t="str">
        <f>IF(ISBLANK('RESUMEN VIGILANCIA'!P58),"",'RESUMEN VIGILANCIA'!P58)</f>
        <v/>
      </c>
      <c r="R15" s="272" t="str">
        <f>IF(ISBLANK('RESUMEN VIGILANCIA'!Q58),"",'RESUMEN VIGILANCIA'!Q58)</f>
        <v/>
      </c>
      <c r="S15" s="271" t="str">
        <f>IF(ISBLANK('RESUMEN VIGILANCIA'!R58),"",'RESUMEN VIGILANCIA'!R58)</f>
        <v/>
      </c>
      <c r="T15" s="271" t="str">
        <f>IF(ISBLANK('RESUMEN VIGILANCIA'!S58),"",'RESUMEN VIGILANCIA'!S58)</f>
        <v/>
      </c>
      <c r="U15" s="271" t="str">
        <f>IF(ISBLANK('RESUMEN VIGILANCIA'!T58),"",'RESUMEN VIGILANCIA'!T58)</f>
        <v/>
      </c>
      <c r="V15" s="271">
        <f>IF(ISBLANK('RESUMEN VIGILANCIA'!U58),"",'RESUMEN VIGILANCIA'!U58)</f>
        <v>4</v>
      </c>
      <c r="W15" s="271">
        <f>IF(ISBLANK('RESUMEN VIGILANCIA'!V58),"",'RESUMEN VIGILANCIA'!V58)</f>
        <v>4</v>
      </c>
      <c r="X15" s="271">
        <f>IF(ISBLANK('RESUMEN VIGILANCIA'!W58),"",'RESUMEN VIGILANCIA'!W58)</f>
        <v>10</v>
      </c>
      <c r="Y15" s="271">
        <f>IF(ISBLANK('RESUMEN VIGILANCIA'!X58),"",'RESUMEN VIGILANCIA'!X58)</f>
        <v>12</v>
      </c>
      <c r="Z15" s="481">
        <f>IF(ISBLANK('RESUMEN VIGILANCIA'!Y58),"",'RESUMEN VIGILANCIA'!Y58)</f>
        <v>320</v>
      </c>
      <c r="AA15" s="481">
        <f>IF(ISBLANK('RESUMEN VIGILANCIA'!Z58),"",'RESUMEN VIGILANCIA'!Z58)</f>
        <v>320</v>
      </c>
      <c r="AB15" s="481">
        <f>IF(ISBLANK('RESUMEN VIGILANCIA'!AA58),"",'RESUMEN VIGILANCIA'!AA58)</f>
        <v>320</v>
      </c>
      <c r="AC15" s="483">
        <f>IF(ISBLANK('RESUMEN VIGILANCIA'!AB58),"",'RESUMEN VIGILANCIA'!AB58)</f>
        <v>800</v>
      </c>
      <c r="AD15" s="399">
        <f>IF(ISBLANK('RESUMEN VIGILANCIA'!AC58),"",'RESUMEN VIGILANCIA'!AC58)</f>
        <v>3000</v>
      </c>
      <c r="AE15" s="400">
        <f>IF(ISBLANK('RESUMEN VIGILANCIA'!AD58),"",'RESUMEN VIGILANCIA'!AD58)</f>
        <v>3000</v>
      </c>
      <c r="AF15" s="400">
        <f>IF(ISBLANK('RESUMEN VIGILANCIA'!AE58),"",'RESUMEN VIGILANCIA'!AE58)</f>
        <v>3000</v>
      </c>
      <c r="AG15" s="400">
        <f>IF(ISBLANK('RESUMEN VIGILANCIA'!AF58),"",'RESUMEN VIGILANCIA'!AF58)</f>
        <v>5000</v>
      </c>
      <c r="AH15" s="400">
        <f>IF(ISBLANK('RESUMEN VIGILANCIA'!AG58),"",'RESUMEN VIGILANCIA'!AG58)</f>
        <v>8000</v>
      </c>
      <c r="AI15" s="400">
        <f>IF(ISBLANK('RESUMEN VIGILANCIA'!AH58),"",'RESUMEN VIGILANCIA'!AH58)</f>
        <v>8000</v>
      </c>
      <c r="AJ15" s="400" t="str">
        <f>IF(ISBLANK('RESUMEN VIGILANCIA'!AI58),"",'RESUMEN VIGILANCIA'!AI58)</f>
        <v/>
      </c>
      <c r="AK15" s="400" t="str">
        <f>IF(ISBLANK('RESUMEN VIGILANCIA'!AJ58),"",'RESUMEN VIGILANCIA'!AJ58)</f>
        <v/>
      </c>
      <c r="AL15" s="400" t="str">
        <f>IF(ISBLANK('RESUMEN VIGILANCIA'!AK58),"",'RESUMEN VIGILANCIA'!AK58)</f>
        <v/>
      </c>
      <c r="AM15" s="400" t="str">
        <f>IF(ISBLANK('RESUMEN VIGILANCIA'!AL58),"",'RESUMEN VIGILANCIA'!AL58)</f>
        <v/>
      </c>
      <c r="AN15" s="400" t="str">
        <f>IF(ISBLANK('RESUMEN VIGILANCIA'!AM58),"",'RESUMEN VIGILANCIA'!AM58)</f>
        <v/>
      </c>
      <c r="AO15" s="401" t="str">
        <f>IF(ISBLANK('RESUMEN VIGILANCIA'!AN58),"",'RESUMEN VIGILANCIA'!AN58)</f>
        <v/>
      </c>
      <c r="AP15" s="399" t="str">
        <f>IF(ISBLANK('RESUMEN VIGILANCIA'!AO58),"",'RESUMEN VIGILANCIA'!AO58)</f>
        <v/>
      </c>
      <c r="AQ15" s="400" t="str">
        <f>IF(ISBLANK('RESUMEN VIGILANCIA'!AP58),"",'RESUMEN VIGILANCIA'!AP58)</f>
        <v/>
      </c>
      <c r="AR15" s="400" t="str">
        <f>IF(ISBLANK('RESUMEN VIGILANCIA'!AQ58),"",'RESUMEN VIGILANCIA'!AQ58)</f>
        <v/>
      </c>
      <c r="AS15" s="400" t="str">
        <f>IF(ISBLANK('RESUMEN VIGILANCIA'!AR58),"",'RESUMEN VIGILANCIA'!AR58)</f>
        <v/>
      </c>
      <c r="AT15" s="400" t="str">
        <f>IF(ISBLANK('RESUMEN VIGILANCIA'!AS58),"",'RESUMEN VIGILANCIA'!AS58)</f>
        <v/>
      </c>
      <c r="AU15" s="400" t="str">
        <f>IF(ISBLANK('RESUMEN VIGILANCIA'!AT58),"",'RESUMEN VIGILANCIA'!AT58)</f>
        <v/>
      </c>
      <c r="AV15" s="400" t="str">
        <f>IF(ISBLANK('RESUMEN VIGILANCIA'!AU58),"",'RESUMEN VIGILANCIA'!AU58)</f>
        <v/>
      </c>
      <c r="AW15" s="400" t="str">
        <f>IF(ISBLANK('RESUMEN VIGILANCIA'!AV58),"",'RESUMEN VIGILANCIA'!AV58)</f>
        <v/>
      </c>
      <c r="AX15" s="400" t="str">
        <f>IF(ISBLANK('RESUMEN VIGILANCIA'!AW58),"",'RESUMEN VIGILANCIA'!AW58)</f>
        <v/>
      </c>
      <c r="AY15" s="400" t="str">
        <f>IF(ISBLANK('RESUMEN VIGILANCIA'!AX58),"",'RESUMEN VIGILANCIA'!AX58)</f>
        <v/>
      </c>
      <c r="AZ15" s="400" t="str">
        <f>IF(ISBLANK('RESUMEN VIGILANCIA'!AY58),"",'RESUMEN VIGILANCIA'!AY58)</f>
        <v/>
      </c>
      <c r="BA15" s="401" t="str">
        <f>IF(ISBLANK('RESUMEN VIGILANCIA'!AZ58),"",'RESUMEN VIGILANCIA'!AZ58)</f>
        <v/>
      </c>
      <c r="BB15" s="243">
        <f t="shared" si="0"/>
        <v>31790.68</v>
      </c>
      <c r="BC15" s="112"/>
      <c r="BD15" s="112"/>
    </row>
    <row r="16" spans="1:56" s="29" customFormat="1" ht="20.100000000000001" customHeight="1" x14ac:dyDescent="0.25">
      <c r="A16" s="30" t="str">
        <f>'RESUMEN VIGILANCIA'!A59</f>
        <v>Familia Nava Gordon</v>
      </c>
      <c r="B16" s="31" t="str">
        <f>'RESUMEN VIGILANCIA'!B59</f>
        <v>Calle Guacara Nro. 89-78</v>
      </c>
      <c r="C16" s="452" t="s">
        <v>1269</v>
      </c>
      <c r="D16" s="460" t="s">
        <v>1268</v>
      </c>
      <c r="E16" s="440" t="str">
        <f>IF(ISBLANK('RESUMEN VIGILANCIA'!D59),"",'RESUMEN VIGILANCIA'!D59)</f>
        <v/>
      </c>
      <c r="F16" s="270">
        <f>IF(ISBLANK('RESUMEN VIGILANCIA'!E59),"",'RESUMEN VIGILANCIA'!E59)</f>
        <v>0.17</v>
      </c>
      <c r="G16" s="182">
        <f>IF(ISBLANK('RESUMEN VIGILANCIA'!F59),"",'RESUMEN VIGILANCIA'!F59)</f>
        <v>0.17</v>
      </c>
      <c r="H16" s="182">
        <f>IF(ISBLANK('RESUMEN VIGILANCIA'!G59),"",'RESUMEN VIGILANCIA'!G59)</f>
        <v>0.17</v>
      </c>
      <c r="I16" s="182">
        <f>IF(ISBLANK('RESUMEN VIGILANCIA'!H59),"",'RESUMEN VIGILANCIA'!H59)</f>
        <v>0.17</v>
      </c>
      <c r="J16" s="182">
        <f>IF(ISBLANK('RESUMEN VIGILANCIA'!I59),"",'RESUMEN VIGILANCIA'!I59)</f>
        <v>0.26</v>
      </c>
      <c r="K16" s="182">
        <f>IF(ISBLANK('RESUMEN VIGILANCIA'!J59),"",'RESUMEN VIGILANCIA'!J59)</f>
        <v>0.26</v>
      </c>
      <c r="L16" s="182">
        <f>IF(ISBLANK('RESUMEN VIGILANCIA'!K59),"",'RESUMEN VIGILANCIA'!K59)</f>
        <v>0.35000000000000003</v>
      </c>
      <c r="M16" s="182">
        <f>IF(ISBLANK('RESUMEN VIGILANCIA'!L59),"",'RESUMEN VIGILANCIA'!L59)</f>
        <v>0.35</v>
      </c>
      <c r="N16" s="182">
        <f>IF(ISBLANK('RESUMEN VIGILANCIA'!M59),"",'RESUMEN VIGILANCIA'!M59)</f>
        <v>0.35</v>
      </c>
      <c r="O16" s="182">
        <f>IF(ISBLANK('RESUMEN VIGILANCIA'!N59),"",'RESUMEN VIGILANCIA'!N59)</f>
        <v>0.35</v>
      </c>
      <c r="P16" s="271">
        <f>IF(ISBLANK('RESUMEN VIGILANCIA'!O59),"",'RESUMEN VIGILANCIA'!O59)</f>
        <v>0.5</v>
      </c>
      <c r="Q16" s="180">
        <f>IF(ISBLANK('RESUMEN VIGILANCIA'!P59),"",'RESUMEN VIGILANCIA'!P59)</f>
        <v>0.5</v>
      </c>
      <c r="R16" s="272">
        <f>IF(ISBLANK('RESUMEN VIGILANCIA'!Q59),"",'RESUMEN VIGILANCIA'!Q59)</f>
        <v>0.8</v>
      </c>
      <c r="S16" s="271">
        <f>IF(ISBLANK('RESUMEN VIGILANCIA'!R59),"",'RESUMEN VIGILANCIA'!R59)</f>
        <v>0.8</v>
      </c>
      <c r="T16" s="271">
        <f>IF(ISBLANK('RESUMEN VIGILANCIA'!S59),"",'RESUMEN VIGILANCIA'!S59)</f>
        <v>1.4</v>
      </c>
      <c r="U16" s="271">
        <f>IF(ISBLANK('RESUMEN VIGILANCIA'!T59),"",'RESUMEN VIGILANCIA'!T59)</f>
        <v>1.4</v>
      </c>
      <c r="V16" s="271">
        <f>IF(ISBLANK('RESUMEN VIGILANCIA'!U59),"",'RESUMEN VIGILANCIA'!U59)</f>
        <v>4</v>
      </c>
      <c r="W16" s="271">
        <f>IF(ISBLANK('RESUMEN VIGILANCIA'!V59),"",'RESUMEN VIGILANCIA'!V59)</f>
        <v>6.25</v>
      </c>
      <c r="X16" s="271">
        <f>IF(ISBLANK('RESUMEN VIGILANCIA'!W59),"",'RESUMEN VIGILANCIA'!W59)</f>
        <v>10</v>
      </c>
      <c r="Y16" s="271">
        <f>IF(ISBLANK('RESUMEN VIGILANCIA'!X59),"",'RESUMEN VIGILANCIA'!X59)</f>
        <v>12</v>
      </c>
      <c r="Z16" s="481">
        <f>IF(ISBLANK('RESUMEN VIGILANCIA'!Y59),"",'RESUMEN VIGILANCIA'!Y59)</f>
        <v>320</v>
      </c>
      <c r="AA16" s="481">
        <f>IF(ISBLANK('RESUMEN VIGILANCIA'!Z59),"",'RESUMEN VIGILANCIA'!Z59)</f>
        <v>320</v>
      </c>
      <c r="AB16" s="481">
        <f>IF(ISBLANK('RESUMEN VIGILANCIA'!AA59),"",'RESUMEN VIGILANCIA'!AA59)</f>
        <v>320</v>
      </c>
      <c r="AC16" s="483">
        <f>IF(ISBLANK('RESUMEN VIGILANCIA'!AB59),"",'RESUMEN VIGILANCIA'!AB59)</f>
        <v>800</v>
      </c>
      <c r="AD16" s="399">
        <f>IF(ISBLANK('RESUMEN VIGILANCIA'!AC59),"",'RESUMEN VIGILANCIA'!AC59)</f>
        <v>3000</v>
      </c>
      <c r="AE16" s="400">
        <f>IF(ISBLANK('RESUMEN VIGILANCIA'!AD59),"",'RESUMEN VIGILANCIA'!AD59)</f>
        <v>3040</v>
      </c>
      <c r="AF16" s="400">
        <f>IF(ISBLANK('RESUMEN VIGILANCIA'!AE59),"",'RESUMEN VIGILANCIA'!AE59)</f>
        <v>3000</v>
      </c>
      <c r="AG16" s="400">
        <f>IF(ISBLANK('RESUMEN VIGILANCIA'!AF59),"",'RESUMEN VIGILANCIA'!AF59)</f>
        <v>5000</v>
      </c>
      <c r="AH16" s="400">
        <f>IF(ISBLANK('RESUMEN VIGILANCIA'!AG59),"",'RESUMEN VIGILANCIA'!AG59)</f>
        <v>8000</v>
      </c>
      <c r="AI16" s="400">
        <f>IF(ISBLANK('RESUMEN VIGILANCIA'!AH59),"",'RESUMEN VIGILANCIA'!AH59)</f>
        <v>8000</v>
      </c>
      <c r="AJ16" s="400">
        <f>IF(ISBLANK('RESUMEN VIGILANCIA'!AI59),"",'RESUMEN VIGILANCIA'!AI59)</f>
        <v>10000</v>
      </c>
      <c r="AK16" s="400">
        <f>IF(ISBLANK('RESUMEN VIGILANCIA'!AJ59),"",'RESUMEN VIGILANCIA'!AJ59)</f>
        <v>15000</v>
      </c>
      <c r="AL16" s="400">
        <f>IF(ISBLANK('RESUMEN VIGILANCIA'!AK59),"",'RESUMEN VIGILANCIA'!AK59)</f>
        <v>23400</v>
      </c>
      <c r="AM16" s="400">
        <f>IF(ISBLANK('RESUMEN VIGILANCIA'!AL59),"",'RESUMEN VIGILANCIA'!AL59)</f>
        <v>47000</v>
      </c>
      <c r="AN16" s="400">
        <f>IF(ISBLANK('RESUMEN VIGILANCIA'!AM59),"",'RESUMEN VIGILANCIA'!AM59)</f>
        <v>56250</v>
      </c>
      <c r="AO16" s="401">
        <f>IF(ISBLANK('RESUMEN VIGILANCIA'!AN59),"",'RESUMEN VIGILANCIA'!AN59)</f>
        <v>81750</v>
      </c>
      <c r="AP16" s="399">
        <f>IF(ISBLANK('RESUMEN VIGILANCIA'!AO59),"",'RESUMEN VIGILANCIA'!AO59)</f>
        <v>136250</v>
      </c>
      <c r="AQ16" s="400">
        <f>IF(ISBLANK('RESUMEN VIGILANCIA'!AP59),"",'RESUMEN VIGILANCIA'!AP59)</f>
        <v>136250</v>
      </c>
      <c r="AR16" s="400">
        <f>IF(ISBLANK('RESUMEN VIGILANCIA'!AQ59),"",'RESUMEN VIGILANCIA'!AQ59)</f>
        <v>185250</v>
      </c>
      <c r="AS16" s="400">
        <f>IF(ISBLANK('RESUMEN VIGILANCIA'!AR59),"",'RESUMEN VIGILANCIA'!AR59)</f>
        <v>2300</v>
      </c>
      <c r="AT16" s="400" t="str">
        <f>IF(ISBLANK('RESUMEN VIGILANCIA'!AS59),"",'RESUMEN VIGILANCIA'!AS59)</f>
        <v/>
      </c>
      <c r="AU16" s="400" t="str">
        <f>IF(ISBLANK('RESUMEN VIGILANCIA'!AT59),"",'RESUMEN VIGILANCIA'!AT59)</f>
        <v/>
      </c>
      <c r="AV16" s="400" t="str">
        <f>IF(ISBLANK('RESUMEN VIGILANCIA'!AU59),"",'RESUMEN VIGILANCIA'!AU59)</f>
        <v/>
      </c>
      <c r="AW16" s="400" t="str">
        <f>IF(ISBLANK('RESUMEN VIGILANCIA'!AV59),"",'RESUMEN VIGILANCIA'!AV59)</f>
        <v/>
      </c>
      <c r="AX16" s="400" t="str">
        <f>IF(ISBLANK('RESUMEN VIGILANCIA'!AW59),"",'RESUMEN VIGILANCIA'!AW59)</f>
        <v/>
      </c>
      <c r="AY16" s="400" t="str">
        <f>IF(ISBLANK('RESUMEN VIGILANCIA'!AX59),"",'RESUMEN VIGILANCIA'!AX59)</f>
        <v/>
      </c>
      <c r="AZ16" s="400" t="str">
        <f>IF(ISBLANK('RESUMEN VIGILANCIA'!AY59),"",'RESUMEN VIGILANCIA'!AY59)</f>
        <v/>
      </c>
      <c r="BA16" s="401" t="str">
        <f>IF(ISBLANK('RESUMEN VIGILANCIA'!AZ59),"",'RESUMEN VIGILANCIA'!AZ59)</f>
        <v/>
      </c>
      <c r="BB16" s="243">
        <f t="shared" si="0"/>
        <v>265240.25</v>
      </c>
      <c r="BC16" s="112"/>
      <c r="BD16" s="112"/>
    </row>
    <row r="17" spans="1:56" s="29" customFormat="1" ht="20.100000000000001" customHeight="1" x14ac:dyDescent="0.25">
      <c r="A17" s="30" t="str">
        <f>'RESUMEN VIGILANCIA'!A60</f>
        <v>Familia González Arévalo</v>
      </c>
      <c r="B17" s="31" t="str">
        <f>'RESUMEN VIGILANCIA'!B60</f>
        <v>Calle Guacara Nro. 89-86</v>
      </c>
      <c r="C17" s="452" t="s">
        <v>1269</v>
      </c>
      <c r="D17" s="460" t="s">
        <v>17</v>
      </c>
      <c r="E17" s="440" t="str">
        <f>IF(ISBLANK('RESUMEN VIGILANCIA'!D60),"",'RESUMEN VIGILANCIA'!D60)</f>
        <v/>
      </c>
      <c r="F17" s="274">
        <f>IF(ISBLANK('RESUMEN VIGILANCIA'!E60),"",'RESUMEN VIGILANCIA'!E60)</f>
        <v>0.105</v>
      </c>
      <c r="G17" s="182">
        <f>IF(ISBLANK('RESUMEN VIGILANCIA'!F60),"",'RESUMEN VIGILANCIA'!F60)</f>
        <v>0.17</v>
      </c>
      <c r="H17" s="182">
        <f>IF(ISBLANK('RESUMEN VIGILANCIA'!G60),"",'RESUMEN VIGILANCIA'!G60)</f>
        <v>0.22</v>
      </c>
      <c r="I17" s="182">
        <f>IF(ISBLANK('RESUMEN VIGILANCIA'!H60),"",'RESUMEN VIGILANCIA'!H60)</f>
        <v>0.22</v>
      </c>
      <c r="J17" s="182">
        <f>IF(ISBLANK('RESUMEN VIGILANCIA'!I60),"",'RESUMEN VIGILANCIA'!I60)</f>
        <v>0.22</v>
      </c>
      <c r="K17" s="182">
        <f>IF(ISBLANK('RESUMEN VIGILANCIA'!J60),"",'RESUMEN VIGILANCIA'!J60)</f>
        <v>0.26</v>
      </c>
      <c r="L17" s="182">
        <f>IF(ISBLANK('RESUMEN VIGILANCIA'!K60),"",'RESUMEN VIGILANCIA'!K60)</f>
        <v>0.35</v>
      </c>
      <c r="M17" s="182">
        <f>IF(ISBLANK('RESUMEN VIGILANCIA'!L60),"",'RESUMEN VIGILANCIA'!L60)</f>
        <v>0.35</v>
      </c>
      <c r="N17" s="182">
        <f>IF(ISBLANK('RESUMEN VIGILANCIA'!M60),"",'RESUMEN VIGILANCIA'!M60)</f>
        <v>0.35</v>
      </c>
      <c r="O17" s="182">
        <f>IF(ISBLANK('RESUMEN VIGILANCIA'!N60),"",'RESUMEN VIGILANCIA'!N60)</f>
        <v>0.35</v>
      </c>
      <c r="P17" s="271">
        <f>IF(ISBLANK('RESUMEN VIGILANCIA'!O60),"",'RESUMEN VIGILANCIA'!O60)</f>
        <v>0.5</v>
      </c>
      <c r="Q17" s="180">
        <f>IF(ISBLANK('RESUMEN VIGILANCIA'!P60),"",'RESUMEN VIGILANCIA'!P60)</f>
        <v>0.5</v>
      </c>
      <c r="R17" s="272">
        <f>IF(ISBLANK('RESUMEN VIGILANCIA'!Q60),"",'RESUMEN VIGILANCIA'!Q60)</f>
        <v>0.8</v>
      </c>
      <c r="S17" s="271">
        <f>IF(ISBLANK('RESUMEN VIGILANCIA'!R60),"",'RESUMEN VIGILANCIA'!R60)</f>
        <v>0.8</v>
      </c>
      <c r="T17" s="271">
        <f>IF(ISBLANK('RESUMEN VIGILANCIA'!S60),"",'RESUMEN VIGILANCIA'!S60)</f>
        <v>1.4</v>
      </c>
      <c r="U17" s="271">
        <f>IF(ISBLANK('RESUMEN VIGILANCIA'!T60),"",'RESUMEN VIGILANCIA'!T60)</f>
        <v>1.4</v>
      </c>
      <c r="V17" s="271">
        <f>IF(ISBLANK('RESUMEN VIGILANCIA'!U60),"",'RESUMEN VIGILANCIA'!U60)</f>
        <v>4</v>
      </c>
      <c r="W17" s="271">
        <f>IF(ISBLANK('RESUMEN VIGILANCIA'!V60),"",'RESUMEN VIGILANCIA'!V60)</f>
        <v>6.25</v>
      </c>
      <c r="X17" s="271">
        <f>IF(ISBLANK('RESUMEN VIGILANCIA'!W60),"",'RESUMEN VIGILANCIA'!W60)</f>
        <v>10</v>
      </c>
      <c r="Y17" s="271">
        <f>IF(ISBLANK('RESUMEN VIGILANCIA'!X60),"",'RESUMEN VIGILANCIA'!X60)</f>
        <v>12</v>
      </c>
      <c r="Z17" s="481">
        <f>IF(ISBLANK('RESUMEN VIGILANCIA'!Y60),"",'RESUMEN VIGILANCIA'!Y60)</f>
        <v>320</v>
      </c>
      <c r="AA17" s="481">
        <f>IF(ISBLANK('RESUMEN VIGILANCIA'!Z60),"",'RESUMEN VIGILANCIA'!Z60)</f>
        <v>320</v>
      </c>
      <c r="AB17" s="481">
        <f>IF(ISBLANK('RESUMEN VIGILANCIA'!AA60),"",'RESUMEN VIGILANCIA'!AA60)</f>
        <v>320</v>
      </c>
      <c r="AC17" s="483">
        <f>IF(ISBLANK('RESUMEN VIGILANCIA'!AB60),"",'RESUMEN VIGILANCIA'!AB60)</f>
        <v>770</v>
      </c>
      <c r="AD17" s="399">
        <f>IF(ISBLANK('RESUMEN VIGILANCIA'!AC60),"",'RESUMEN VIGILANCIA'!AC60)</f>
        <v>3000</v>
      </c>
      <c r="AE17" s="400">
        <f>IF(ISBLANK('RESUMEN VIGILANCIA'!AD60),"",'RESUMEN VIGILANCIA'!AD60)</f>
        <v>3000</v>
      </c>
      <c r="AF17" s="400">
        <f>IF(ISBLANK('RESUMEN VIGILANCIA'!AE60),"",'RESUMEN VIGILANCIA'!AE60)</f>
        <v>3000</v>
      </c>
      <c r="AG17" s="400">
        <f>IF(ISBLANK('RESUMEN VIGILANCIA'!AF60),"",'RESUMEN VIGILANCIA'!AF60)</f>
        <v>5000</v>
      </c>
      <c r="AH17" s="400">
        <f>IF(ISBLANK('RESUMEN VIGILANCIA'!AG60),"",'RESUMEN VIGILANCIA'!AG60)</f>
        <v>8000</v>
      </c>
      <c r="AI17" s="400">
        <f>IF(ISBLANK('RESUMEN VIGILANCIA'!AH60),"",'RESUMEN VIGILANCIA'!AH60)</f>
        <v>8000</v>
      </c>
      <c r="AJ17" s="400">
        <f>IF(ISBLANK('RESUMEN VIGILANCIA'!AI60),"",'RESUMEN VIGILANCIA'!AI60)</f>
        <v>10000</v>
      </c>
      <c r="AK17" s="400">
        <f>IF(ISBLANK('RESUMEN VIGILANCIA'!AJ60),"",'RESUMEN VIGILANCIA'!AJ60)</f>
        <v>10000</v>
      </c>
      <c r="AL17" s="400">
        <f>IF(ISBLANK('RESUMEN VIGILANCIA'!AK60),"",'RESUMEN VIGILANCIA'!AK60)</f>
        <v>23400</v>
      </c>
      <c r="AM17" s="400">
        <f>IF(ISBLANK('RESUMEN VIGILANCIA'!AL60),"",'RESUMEN VIGILANCIA'!AL60)</f>
        <v>47000</v>
      </c>
      <c r="AN17" s="400">
        <f>IF(ISBLANK('RESUMEN VIGILANCIA'!AM60),"",'RESUMEN VIGILANCIA'!AM60)</f>
        <v>56250</v>
      </c>
      <c r="AO17" s="401">
        <f>IF(ISBLANK('RESUMEN VIGILANCIA'!AN60),"",'RESUMEN VIGILANCIA'!AN60)</f>
        <v>200000</v>
      </c>
      <c r="AP17" s="662">
        <f>IF(ISBLANK('RESUMEN VIGILANCIA'!AO60),"",'RESUMEN VIGILANCIA'!AO60)</f>
        <v>136250</v>
      </c>
      <c r="AQ17" s="400">
        <f>IF(ISBLANK('RESUMEN VIGILANCIA'!AP60),"",'RESUMEN VIGILANCIA'!AP60)</f>
        <v>150000</v>
      </c>
      <c r="AR17" s="400">
        <f>IF(ISBLANK('RESUMEN VIGILANCIA'!AQ60),"",'RESUMEN VIGILANCIA'!AQ60)</f>
        <v>150000</v>
      </c>
      <c r="AS17" s="400" t="str">
        <f>IF(ISBLANK('RESUMEN VIGILANCIA'!AR60),"",'RESUMEN VIGILANCIA'!AR60)</f>
        <v/>
      </c>
      <c r="AT17" s="400" t="str">
        <f>IF(ISBLANK('RESUMEN VIGILANCIA'!AS60),"",'RESUMEN VIGILANCIA'!AS60)</f>
        <v/>
      </c>
      <c r="AU17" s="400" t="str">
        <f>IF(ISBLANK('RESUMEN VIGILANCIA'!AT60),"",'RESUMEN VIGILANCIA'!AT60)</f>
        <v/>
      </c>
      <c r="AV17" s="400" t="str">
        <f>IF(ISBLANK('RESUMEN VIGILANCIA'!AU60),"",'RESUMEN VIGILANCIA'!AU60)</f>
        <v/>
      </c>
      <c r="AW17" s="400" t="str">
        <f>IF(ISBLANK('RESUMEN VIGILANCIA'!AV60),"",'RESUMEN VIGILANCIA'!AV60)</f>
        <v/>
      </c>
      <c r="AX17" s="400" t="str">
        <f>IF(ISBLANK('RESUMEN VIGILANCIA'!AW60),"",'RESUMEN VIGILANCIA'!AW60)</f>
        <v/>
      </c>
      <c r="AY17" s="400" t="str">
        <f>IF(ISBLANK('RESUMEN VIGILANCIA'!AX60),"",'RESUMEN VIGILANCIA'!AX60)</f>
        <v/>
      </c>
      <c r="AZ17" s="400" t="str">
        <f>IF(ISBLANK('RESUMEN VIGILANCIA'!AY60),"",'RESUMEN VIGILANCIA'!AY60)</f>
        <v/>
      </c>
      <c r="BA17" s="401" t="str">
        <f>IF(ISBLANK('RESUMEN VIGILANCIA'!AZ60),"",'RESUMEN VIGILANCIA'!AZ60)</f>
        <v/>
      </c>
      <c r="BB17" s="243">
        <f t="shared" si="0"/>
        <v>378420.245</v>
      </c>
      <c r="BC17" s="112"/>
      <c r="BD17" s="112"/>
    </row>
    <row r="18" spans="1:56" s="29" customFormat="1" ht="20.100000000000001" customHeight="1" x14ac:dyDescent="0.25">
      <c r="A18" s="380" t="str">
        <f>'RESUMEN VIGILANCIA'!A61</f>
        <v>Héctor Hernández</v>
      </c>
      <c r="B18" s="381" t="str">
        <f>'RESUMEN VIGILANCIA'!B61</f>
        <v>Calle Guacara Nro. 89-94</v>
      </c>
      <c r="C18" s="453" t="s">
        <v>1269</v>
      </c>
      <c r="D18" s="459" t="s">
        <v>1268</v>
      </c>
      <c r="E18" s="439" t="str">
        <f>IF(ISBLANK('RESUMEN VIGILANCIA'!D61),"",'RESUMEN VIGILANCIA'!D61)</f>
        <v/>
      </c>
      <c r="F18" s="267">
        <f>IF(ISBLANK('RESUMEN VIGILANCIA'!E61),"",'RESUMEN VIGILANCIA'!E61)</f>
        <v>0.1</v>
      </c>
      <c r="G18" s="189">
        <f>IF(ISBLANK('RESUMEN VIGILANCIA'!F61),"",'RESUMEN VIGILANCIA'!F61)</f>
        <v>0.1</v>
      </c>
      <c r="H18" s="189">
        <f>IF(ISBLANK('RESUMEN VIGILANCIA'!G61),"",'RESUMEN VIGILANCIA'!G61)</f>
        <v>0.1</v>
      </c>
      <c r="I18" s="189">
        <f>IF(ISBLANK('RESUMEN VIGILANCIA'!H61),"",'RESUMEN VIGILANCIA'!H61)</f>
        <v>0.1</v>
      </c>
      <c r="J18" s="189" t="str">
        <f>IF(ISBLANK('RESUMEN VIGILANCIA'!I61),"",'RESUMEN VIGILANCIA'!I61)</f>
        <v/>
      </c>
      <c r="K18" s="189" t="str">
        <f>IF(ISBLANK('RESUMEN VIGILANCIA'!J61),"",'RESUMEN VIGILANCIA'!J61)</f>
        <v/>
      </c>
      <c r="L18" s="189">
        <f>IF(ISBLANK('RESUMEN VIGILANCIA'!K61),"",'RESUMEN VIGILANCIA'!K61)</f>
        <v>0.15</v>
      </c>
      <c r="M18" s="189">
        <f>IF(ISBLANK('RESUMEN VIGILANCIA'!L61),"",'RESUMEN VIGILANCIA'!L61)</f>
        <v>0.15</v>
      </c>
      <c r="N18" s="189">
        <f>IF(ISBLANK('RESUMEN VIGILANCIA'!M61),"",'RESUMEN VIGILANCIA'!M61)</f>
        <v>0.2</v>
      </c>
      <c r="O18" s="189">
        <f>IF(ISBLANK('RESUMEN VIGILANCIA'!N61),"",'RESUMEN VIGILANCIA'!N61)</f>
        <v>0.25</v>
      </c>
      <c r="P18" s="268">
        <f>IF(ISBLANK('RESUMEN VIGILANCIA'!O61),"",'RESUMEN VIGILANCIA'!O61)</f>
        <v>0.3</v>
      </c>
      <c r="Q18" s="187">
        <f>IF(ISBLANK('RESUMEN VIGILANCIA'!P61),"",'RESUMEN VIGILANCIA'!P61)</f>
        <v>0.3</v>
      </c>
      <c r="R18" s="269">
        <f>IF(ISBLANK('RESUMEN VIGILANCIA'!Q61),"",'RESUMEN VIGILANCIA'!Q61)</f>
        <v>0.3</v>
      </c>
      <c r="S18" s="268">
        <f>IF(ISBLANK('RESUMEN VIGILANCIA'!R61),"",'RESUMEN VIGILANCIA'!R61)</f>
        <v>0.3</v>
      </c>
      <c r="T18" s="268">
        <f>IF(ISBLANK('RESUMEN VIGILANCIA'!S61),"",'RESUMEN VIGILANCIA'!S61)</f>
        <v>0.7</v>
      </c>
      <c r="U18" s="268">
        <f>IF(ISBLANK('RESUMEN VIGILANCIA'!T61),"",'RESUMEN VIGILANCIA'!T61)</f>
        <v>0.8</v>
      </c>
      <c r="V18" s="268">
        <f>IF(ISBLANK('RESUMEN VIGILANCIA'!U61),"",'RESUMEN VIGILANCIA'!U61)</f>
        <v>2</v>
      </c>
      <c r="W18" s="271">
        <f>IF(ISBLANK('RESUMEN VIGILANCIA'!V61),"",'RESUMEN VIGILANCIA'!V61)</f>
        <v>6.25</v>
      </c>
      <c r="X18" s="271">
        <f>IF(ISBLANK('RESUMEN VIGILANCIA'!W61),"",'RESUMEN VIGILANCIA'!W61)</f>
        <v>10</v>
      </c>
      <c r="Y18" s="271">
        <f>IF(ISBLANK('RESUMEN VIGILANCIA'!X61),"",'RESUMEN VIGILANCIA'!X61)</f>
        <v>12</v>
      </c>
      <c r="Z18" s="481">
        <f>IF(ISBLANK('RESUMEN VIGILANCIA'!Y61),"",'RESUMEN VIGILANCIA'!Y61)</f>
        <v>320</v>
      </c>
      <c r="AA18" s="481">
        <f>IF(ISBLANK('RESUMEN VIGILANCIA'!Z61),"",'RESUMEN VIGILANCIA'!Z61)</f>
        <v>320</v>
      </c>
      <c r="AB18" s="481">
        <f>IF(ISBLANK('RESUMEN VIGILANCIA'!AA61),"",'RESUMEN VIGILANCIA'!AA61)</f>
        <v>320</v>
      </c>
      <c r="AC18" s="482">
        <f>IF(ISBLANK('RESUMEN VIGILANCIA'!AB61),"",'RESUMEN VIGILANCIA'!AB61)</f>
        <v>800</v>
      </c>
      <c r="AD18" s="399">
        <f>IF(ISBLANK('RESUMEN VIGILANCIA'!AC61),"",'RESUMEN VIGILANCIA'!AC61)</f>
        <v>3000</v>
      </c>
      <c r="AE18" s="400">
        <f>IF(ISBLANK('RESUMEN VIGILANCIA'!AD61),"",'RESUMEN VIGILANCIA'!AD61)</f>
        <v>3000</v>
      </c>
      <c r="AF18" s="400">
        <f>IF(ISBLANK('RESUMEN VIGILANCIA'!AE61),"",'RESUMEN VIGILANCIA'!AE61)</f>
        <v>3000</v>
      </c>
      <c r="AG18" s="400">
        <f>IF(ISBLANK('RESUMEN VIGILANCIA'!AF61),"",'RESUMEN VIGILANCIA'!AF61)</f>
        <v>5000</v>
      </c>
      <c r="AH18" s="400">
        <f>IF(ISBLANK('RESUMEN VIGILANCIA'!AG61),"",'RESUMEN VIGILANCIA'!AG61)</f>
        <v>8000</v>
      </c>
      <c r="AI18" s="400">
        <f>IF(ISBLANK('RESUMEN VIGILANCIA'!AH61),"",'RESUMEN VIGILANCIA'!AH61)</f>
        <v>8000</v>
      </c>
      <c r="AJ18" s="400">
        <f>IF(ISBLANK('RESUMEN VIGILANCIA'!AI61),"",'RESUMEN VIGILANCIA'!AI61)</f>
        <v>10000</v>
      </c>
      <c r="AK18" s="400">
        <f>IF(ISBLANK('RESUMEN VIGILANCIA'!AJ61),"",'RESUMEN VIGILANCIA'!AJ61)</f>
        <v>10000</v>
      </c>
      <c r="AL18" s="400">
        <f>IF(ISBLANK('RESUMEN VIGILANCIA'!AK61),"",'RESUMEN VIGILANCIA'!AK61)</f>
        <v>20500</v>
      </c>
      <c r="AM18" s="400">
        <f>IF(ISBLANK('RESUMEN VIGILANCIA'!AL61),"",'RESUMEN VIGILANCIA'!AL61)</f>
        <v>51250</v>
      </c>
      <c r="AN18" s="400">
        <f>IF(ISBLANK('RESUMEN VIGILANCIA'!AM61),"",'RESUMEN VIGILANCIA'!AM61)</f>
        <v>51250</v>
      </c>
      <c r="AO18" s="401">
        <f>IF(ISBLANK('RESUMEN VIGILANCIA'!AN61),"",'RESUMEN VIGILANCIA'!AN61)</f>
        <v>81750</v>
      </c>
      <c r="AP18" s="399">
        <f>IF(ISBLANK('RESUMEN VIGILANCIA'!AO61),"",'RESUMEN VIGILANCIA'!AO61)</f>
        <v>136250</v>
      </c>
      <c r="AQ18" s="400">
        <f>IF(ISBLANK('RESUMEN VIGILANCIA'!AP61),"",'RESUMEN VIGILANCIA'!AP61)</f>
        <v>136250</v>
      </c>
      <c r="AR18" s="400">
        <f>IF(ISBLANK('RESUMEN VIGILANCIA'!AQ61),"",'RESUMEN VIGILANCIA'!AQ61)</f>
        <v>185250</v>
      </c>
      <c r="AS18" s="400" t="str">
        <f>IF(ISBLANK('RESUMEN VIGILANCIA'!AR61),"",'RESUMEN VIGILANCIA'!AR61)</f>
        <v/>
      </c>
      <c r="AT18" s="400" t="str">
        <f>IF(ISBLANK('RESUMEN VIGILANCIA'!AS61),"",'RESUMEN VIGILANCIA'!AS61)</f>
        <v/>
      </c>
      <c r="AU18" s="400" t="str">
        <f>IF(ISBLANK('RESUMEN VIGILANCIA'!AT61),"",'RESUMEN VIGILANCIA'!AT61)</f>
        <v/>
      </c>
      <c r="AV18" s="400" t="str">
        <f>IF(ISBLANK('RESUMEN VIGILANCIA'!AU61),"",'RESUMEN VIGILANCIA'!AU61)</f>
        <v/>
      </c>
      <c r="AW18" s="400" t="str">
        <f>IF(ISBLANK('RESUMEN VIGILANCIA'!AV61),"",'RESUMEN VIGILANCIA'!AV61)</f>
        <v/>
      </c>
      <c r="AX18" s="400" t="str">
        <f>IF(ISBLANK('RESUMEN VIGILANCIA'!AW61),"",'RESUMEN VIGILANCIA'!AW61)</f>
        <v/>
      </c>
      <c r="AY18" s="400" t="str">
        <f>IF(ISBLANK('RESUMEN VIGILANCIA'!AX61),"",'RESUMEN VIGILANCIA'!AX61)</f>
        <v/>
      </c>
      <c r="AZ18" s="400" t="str">
        <f>IF(ISBLANK('RESUMEN VIGILANCIA'!AY61),"",'RESUMEN VIGILANCIA'!AY61)</f>
        <v/>
      </c>
      <c r="BA18" s="401" t="str">
        <f>IF(ISBLANK('RESUMEN VIGILANCIA'!AZ61),"",'RESUMEN VIGILANCIA'!AZ61)</f>
        <v/>
      </c>
      <c r="BB18" s="243">
        <f t="shared" si="0"/>
        <v>256544.1</v>
      </c>
      <c r="BC18" s="112"/>
      <c r="BD18" s="112"/>
    </row>
    <row r="19" spans="1:56" s="29" customFormat="1" ht="20.100000000000001" customHeight="1" x14ac:dyDescent="0.25">
      <c r="A19" s="30" t="str">
        <f>'RESUMEN VIGILANCIA'!A62</f>
        <v>Familia Soto Urdaneta</v>
      </c>
      <c r="B19" s="31" t="str">
        <f>'RESUMEN VIGILANCIA'!B62</f>
        <v>Calle Guacara Nro. 89-102</v>
      </c>
      <c r="C19" s="452" t="s">
        <v>1269</v>
      </c>
      <c r="D19" s="460"/>
      <c r="E19" s="440" t="str">
        <f>IF(ISBLANK('RESUMEN VIGILANCIA'!D62),"",'RESUMEN VIGILANCIA'!D62)</f>
        <v/>
      </c>
      <c r="F19" s="270" t="str">
        <f>IF(ISBLANK('RESUMEN VIGILANCIA'!E62),"",'RESUMEN VIGILANCIA'!E62)</f>
        <v/>
      </c>
      <c r="G19" s="182" t="str">
        <f>IF(ISBLANK('RESUMEN VIGILANCIA'!F62),"",'RESUMEN VIGILANCIA'!F62)</f>
        <v/>
      </c>
      <c r="H19" s="182" t="str">
        <f>IF(ISBLANK('RESUMEN VIGILANCIA'!G62),"",'RESUMEN VIGILANCIA'!G62)</f>
        <v/>
      </c>
      <c r="I19" s="182" t="str">
        <f>IF(ISBLANK('RESUMEN VIGILANCIA'!H62),"",'RESUMEN VIGILANCIA'!H62)</f>
        <v/>
      </c>
      <c r="J19" s="182" t="str">
        <f>IF(ISBLANK('RESUMEN VIGILANCIA'!I62),"",'RESUMEN VIGILANCIA'!I62)</f>
        <v/>
      </c>
      <c r="K19" s="182" t="str">
        <f>IF(ISBLANK('RESUMEN VIGILANCIA'!J62),"",'RESUMEN VIGILANCIA'!J62)</f>
        <v/>
      </c>
      <c r="L19" s="182" t="str">
        <f>IF(ISBLANK('RESUMEN VIGILANCIA'!K62),"",'RESUMEN VIGILANCIA'!K62)</f>
        <v/>
      </c>
      <c r="M19" s="182" t="str">
        <f>IF(ISBLANK('RESUMEN VIGILANCIA'!L62),"",'RESUMEN VIGILANCIA'!L62)</f>
        <v/>
      </c>
      <c r="N19" s="182" t="str">
        <f>IF(ISBLANK('RESUMEN VIGILANCIA'!M62),"",'RESUMEN VIGILANCIA'!M62)</f>
        <v/>
      </c>
      <c r="O19" s="182" t="str">
        <f>IF(ISBLANK('RESUMEN VIGILANCIA'!N62),"",'RESUMEN VIGILANCIA'!N62)</f>
        <v/>
      </c>
      <c r="P19" s="271" t="str">
        <f>IF(ISBLANK('RESUMEN VIGILANCIA'!O62),"",'RESUMEN VIGILANCIA'!O62)</f>
        <v/>
      </c>
      <c r="Q19" s="180" t="str">
        <f>IF(ISBLANK('RESUMEN VIGILANCIA'!P62),"",'RESUMEN VIGILANCIA'!P62)</f>
        <v/>
      </c>
      <c r="R19" s="272" t="str">
        <f>IF(ISBLANK('RESUMEN VIGILANCIA'!Q62),"",'RESUMEN VIGILANCIA'!Q62)</f>
        <v/>
      </c>
      <c r="S19" s="271" t="str">
        <f>IF(ISBLANK('RESUMEN VIGILANCIA'!R62),"",'RESUMEN VIGILANCIA'!R62)</f>
        <v/>
      </c>
      <c r="T19" s="271" t="str">
        <f>IF(ISBLANK('RESUMEN VIGILANCIA'!S62),"",'RESUMEN VIGILANCIA'!S62)</f>
        <v/>
      </c>
      <c r="U19" s="271" t="str">
        <f>IF(ISBLANK('RESUMEN VIGILANCIA'!T62),"",'RESUMEN VIGILANCIA'!T62)</f>
        <v/>
      </c>
      <c r="V19" s="271" t="str">
        <f>IF(ISBLANK('RESUMEN VIGILANCIA'!U62),"",'RESUMEN VIGILANCIA'!U62)</f>
        <v/>
      </c>
      <c r="W19" s="271" t="str">
        <f>IF(ISBLANK('RESUMEN VIGILANCIA'!V62),"",'RESUMEN VIGILANCIA'!V62)</f>
        <v/>
      </c>
      <c r="X19" s="271" t="str">
        <f>IF(ISBLANK('RESUMEN VIGILANCIA'!W62),"",'RESUMEN VIGILANCIA'!W62)</f>
        <v/>
      </c>
      <c r="Y19" s="271" t="str">
        <f>IF(ISBLANK('RESUMEN VIGILANCIA'!X62),"",'RESUMEN VIGILANCIA'!X62)</f>
        <v/>
      </c>
      <c r="Z19" s="481" t="str">
        <f>IF(ISBLANK('RESUMEN VIGILANCIA'!Y62),"",'RESUMEN VIGILANCIA'!Y62)</f>
        <v/>
      </c>
      <c r="AA19" s="481" t="str">
        <f>IF(ISBLANK('RESUMEN VIGILANCIA'!Z62),"",'RESUMEN VIGILANCIA'!Z62)</f>
        <v/>
      </c>
      <c r="AB19" s="481" t="str">
        <f>IF(ISBLANK('RESUMEN VIGILANCIA'!AA62),"",'RESUMEN VIGILANCIA'!AA62)</f>
        <v/>
      </c>
      <c r="AC19" s="482" t="str">
        <f>IF(ISBLANK('RESUMEN VIGILANCIA'!AB62),"",'RESUMEN VIGILANCIA'!AB62)</f>
        <v/>
      </c>
      <c r="AD19" s="399">
        <f>IF(ISBLANK('RESUMEN VIGILANCIA'!AC62),"",'RESUMEN VIGILANCIA'!AC62)</f>
        <v>3000</v>
      </c>
      <c r="AE19" s="400">
        <f>IF(ISBLANK('RESUMEN VIGILANCIA'!AD62),"",'RESUMEN VIGILANCIA'!AD62)</f>
        <v>3000</v>
      </c>
      <c r="AF19" s="400">
        <f>IF(ISBLANK('RESUMEN VIGILANCIA'!AE62),"",'RESUMEN VIGILANCIA'!AE62)</f>
        <v>4000</v>
      </c>
      <c r="AG19" s="400">
        <f>IF(ISBLANK('RESUMEN VIGILANCIA'!AF62),"",'RESUMEN VIGILANCIA'!AF62)</f>
        <v>5000</v>
      </c>
      <c r="AH19" s="400">
        <f>IF(ISBLANK('RESUMEN VIGILANCIA'!AG62),"",'RESUMEN VIGILANCIA'!AG62)</f>
        <v>8000</v>
      </c>
      <c r="AI19" s="400">
        <f>IF(ISBLANK('RESUMEN VIGILANCIA'!AH62),"",'RESUMEN VIGILANCIA'!AH62)</f>
        <v>8000</v>
      </c>
      <c r="AJ19" s="400">
        <f>IF(ISBLANK('RESUMEN VIGILANCIA'!AI62),"",'RESUMEN VIGILANCIA'!AI62)</f>
        <v>10000</v>
      </c>
      <c r="AK19" s="400">
        <f>IF(ISBLANK('RESUMEN VIGILANCIA'!AJ62),"",'RESUMEN VIGILANCIA'!AJ62)</f>
        <v>10000</v>
      </c>
      <c r="AL19" s="400">
        <f>IF(ISBLANK('RESUMEN VIGILANCIA'!AK62),"",'RESUMEN VIGILANCIA'!AK62)</f>
        <v>23400</v>
      </c>
      <c r="AM19" s="400">
        <f>IF(ISBLANK('RESUMEN VIGILANCIA'!AL62),"",'RESUMEN VIGILANCIA'!AL62)</f>
        <v>47000</v>
      </c>
      <c r="AN19" s="400">
        <f>IF(ISBLANK('RESUMEN VIGILANCIA'!AM62),"",'RESUMEN VIGILANCIA'!AM62)</f>
        <v>56250</v>
      </c>
      <c r="AO19" s="401">
        <f>IF(ISBLANK('RESUMEN VIGILANCIA'!AN62),"",'RESUMEN VIGILANCIA'!AN62)</f>
        <v>81750</v>
      </c>
      <c r="AP19" s="399">
        <f>IF(ISBLANK('RESUMEN VIGILANCIA'!AO62),"",'RESUMEN VIGILANCIA'!AO62)</f>
        <v>136250</v>
      </c>
      <c r="AQ19" s="400">
        <f>IF(ISBLANK('RESUMEN VIGILANCIA'!AP62),"",'RESUMEN VIGILANCIA'!AP62)</f>
        <v>136250</v>
      </c>
      <c r="AR19" s="400">
        <f>IF(ISBLANK('RESUMEN VIGILANCIA'!AQ62),"",'RESUMEN VIGILANCIA'!AQ62)</f>
        <v>185250</v>
      </c>
      <c r="AS19" s="400" t="str">
        <f>IF(ISBLANK('RESUMEN VIGILANCIA'!AR62),"",'RESUMEN VIGILANCIA'!AR62)</f>
        <v/>
      </c>
      <c r="AT19" s="400" t="str">
        <f>IF(ISBLANK('RESUMEN VIGILANCIA'!AS62),"",'RESUMEN VIGILANCIA'!AS62)</f>
        <v/>
      </c>
      <c r="AU19" s="400" t="str">
        <f>IF(ISBLANK('RESUMEN VIGILANCIA'!AT62),"",'RESUMEN VIGILANCIA'!AT62)</f>
        <v/>
      </c>
      <c r="AV19" s="400" t="str">
        <f>IF(ISBLANK('RESUMEN VIGILANCIA'!AU62),"",'RESUMEN VIGILANCIA'!AU62)</f>
        <v/>
      </c>
      <c r="AW19" s="400" t="str">
        <f>IF(ISBLANK('RESUMEN VIGILANCIA'!AV62),"",'RESUMEN VIGILANCIA'!AV62)</f>
        <v/>
      </c>
      <c r="AX19" s="400" t="str">
        <f>IF(ISBLANK('RESUMEN VIGILANCIA'!AW62),"",'RESUMEN VIGILANCIA'!AW62)</f>
        <v/>
      </c>
      <c r="AY19" s="400" t="str">
        <f>IF(ISBLANK('RESUMEN VIGILANCIA'!AX62),"",'RESUMEN VIGILANCIA'!AX62)</f>
        <v/>
      </c>
      <c r="AZ19" s="400" t="str">
        <f>IF(ISBLANK('RESUMEN VIGILANCIA'!AY62),"",'RESUMEN VIGILANCIA'!AY62)</f>
        <v/>
      </c>
      <c r="BA19" s="401" t="str">
        <f>IF(ISBLANK('RESUMEN VIGILANCIA'!AZ62),"",'RESUMEN VIGILANCIA'!AZ62)</f>
        <v/>
      </c>
      <c r="BB19" s="243">
        <f t="shared" si="0"/>
        <v>259400</v>
      </c>
      <c r="BC19" s="112"/>
      <c r="BD19" s="112"/>
    </row>
    <row r="20" spans="1:56" s="29" customFormat="1" ht="20.100000000000001" customHeight="1" x14ac:dyDescent="0.25">
      <c r="A20" s="33" t="str">
        <f>'RESUMEN VIGILANCIA'!A71</f>
        <v>Familia García Hurtado</v>
      </c>
      <c r="B20" s="34" t="str">
        <f>'RESUMEN VIGILANCIA'!B71</f>
        <v>Calle Guacara Nro. 90-110</v>
      </c>
      <c r="C20" s="451" t="s">
        <v>1270</v>
      </c>
      <c r="D20" s="461"/>
      <c r="E20" s="439" t="str">
        <f>IF(ISBLANK('RESUMEN VIGILANCIA'!D71),"",'RESUMEN VIGILANCIA'!D71)</f>
        <v/>
      </c>
      <c r="F20" s="267">
        <f>IF(ISBLANK('RESUMEN VIGILANCIA'!E71),"",'RESUMEN VIGILANCIA'!E71)</f>
        <v>0.1</v>
      </c>
      <c r="G20" s="189">
        <f>IF(ISBLANK('RESUMEN VIGILANCIA'!F71),"",'RESUMEN VIGILANCIA'!F71)</f>
        <v>0.1</v>
      </c>
      <c r="H20" s="189" t="str">
        <f>IF(ISBLANK('RESUMEN VIGILANCIA'!G71),"",'RESUMEN VIGILANCIA'!G71)</f>
        <v/>
      </c>
      <c r="I20" s="189" t="str">
        <f>IF(ISBLANK('RESUMEN VIGILANCIA'!H71),"",'RESUMEN VIGILANCIA'!H71)</f>
        <v/>
      </c>
      <c r="J20" s="189" t="str">
        <f>IF(ISBLANK('RESUMEN VIGILANCIA'!I71),"",'RESUMEN VIGILANCIA'!I71)</f>
        <v/>
      </c>
      <c r="K20" s="189" t="str">
        <f>IF(ISBLANK('RESUMEN VIGILANCIA'!J71),"",'RESUMEN VIGILANCIA'!J71)</f>
        <v/>
      </c>
      <c r="L20" s="189" t="str">
        <f>IF(ISBLANK('RESUMEN VIGILANCIA'!K71),"",'RESUMEN VIGILANCIA'!K71)</f>
        <v/>
      </c>
      <c r="M20" s="189" t="str">
        <f>IF(ISBLANK('RESUMEN VIGILANCIA'!L71),"",'RESUMEN VIGILANCIA'!L71)</f>
        <v/>
      </c>
      <c r="N20" s="189" t="str">
        <f>IF(ISBLANK('RESUMEN VIGILANCIA'!M71),"",'RESUMEN VIGILANCIA'!M71)</f>
        <v/>
      </c>
      <c r="O20" s="189" t="str">
        <f>IF(ISBLANK('RESUMEN VIGILANCIA'!N71),"",'RESUMEN VIGILANCIA'!N71)</f>
        <v/>
      </c>
      <c r="P20" s="268" t="str">
        <f>IF(ISBLANK('RESUMEN VIGILANCIA'!O71),"",'RESUMEN VIGILANCIA'!O71)</f>
        <v/>
      </c>
      <c r="Q20" s="187" t="str">
        <f>IF(ISBLANK('RESUMEN VIGILANCIA'!P71),"",'RESUMEN VIGILANCIA'!P71)</f>
        <v/>
      </c>
      <c r="R20" s="269" t="str">
        <f>IF(ISBLANK('RESUMEN VIGILANCIA'!Q71),"",'RESUMEN VIGILANCIA'!Q71)</f>
        <v/>
      </c>
      <c r="S20" s="268" t="str">
        <f>IF(ISBLANK('RESUMEN VIGILANCIA'!R71),"",'RESUMEN VIGILANCIA'!R71)</f>
        <v/>
      </c>
      <c r="T20" s="268" t="str">
        <f>IF(ISBLANK('RESUMEN VIGILANCIA'!S71),"",'RESUMEN VIGILANCIA'!S71)</f>
        <v/>
      </c>
      <c r="U20" s="268" t="str">
        <f>IF(ISBLANK('RESUMEN VIGILANCIA'!T71),"",'RESUMEN VIGILANCIA'!T71)</f>
        <v/>
      </c>
      <c r="V20" s="268" t="str">
        <f>IF(ISBLANK('RESUMEN VIGILANCIA'!U71),"",'RESUMEN VIGILANCIA'!U71)</f>
        <v/>
      </c>
      <c r="W20" s="268" t="str">
        <f>IF(ISBLANK('RESUMEN VIGILANCIA'!V71),"",'RESUMEN VIGILANCIA'!V71)</f>
        <v/>
      </c>
      <c r="X20" s="268" t="str">
        <f>IF(ISBLANK('RESUMEN VIGILANCIA'!W71),"",'RESUMEN VIGILANCIA'!W71)</f>
        <v/>
      </c>
      <c r="Y20" s="268" t="str">
        <f>IF(ISBLANK('RESUMEN VIGILANCIA'!X71),"",'RESUMEN VIGILANCIA'!X71)</f>
        <v/>
      </c>
      <c r="Z20" s="485" t="str">
        <f>IF(ISBLANK('RESUMEN VIGILANCIA'!Y71),"",'RESUMEN VIGILANCIA'!Y71)</f>
        <v/>
      </c>
      <c r="AA20" s="485" t="str">
        <f>IF(ISBLANK('RESUMEN VIGILANCIA'!Z71),"",'RESUMEN VIGILANCIA'!Z71)</f>
        <v/>
      </c>
      <c r="AB20" s="485" t="str">
        <f>IF(ISBLANK('RESUMEN VIGILANCIA'!AA71),"",'RESUMEN VIGILANCIA'!AA71)</f>
        <v/>
      </c>
      <c r="AC20" s="486" t="str">
        <f>IF(ISBLANK('RESUMEN VIGILANCIA'!AB71),"",'RESUMEN VIGILANCIA'!AB71)</f>
        <v/>
      </c>
      <c r="AD20" s="396" t="str">
        <f>IF(ISBLANK('RESUMEN VIGILANCIA'!AC71),"",'RESUMEN VIGILANCIA'!AC71)</f>
        <v/>
      </c>
      <c r="AE20" s="397" t="str">
        <f>IF(ISBLANK('RESUMEN VIGILANCIA'!AD71),"",'RESUMEN VIGILANCIA'!AD71)</f>
        <v/>
      </c>
      <c r="AF20" s="397" t="str">
        <f>IF(ISBLANK('RESUMEN VIGILANCIA'!AE71),"",'RESUMEN VIGILANCIA'!AE71)</f>
        <v/>
      </c>
      <c r="AG20" s="397" t="str">
        <f>IF(ISBLANK('RESUMEN VIGILANCIA'!AF71),"",'RESUMEN VIGILANCIA'!AF71)</f>
        <v/>
      </c>
      <c r="AH20" s="397" t="str">
        <f>IF(ISBLANK('RESUMEN VIGILANCIA'!AG71),"",'RESUMEN VIGILANCIA'!AG71)</f>
        <v/>
      </c>
      <c r="AI20" s="397" t="str">
        <f>IF(ISBLANK('RESUMEN VIGILANCIA'!AH71),"",'RESUMEN VIGILANCIA'!AH71)</f>
        <v/>
      </c>
      <c r="AJ20" s="397" t="str">
        <f>IF(ISBLANK('RESUMEN VIGILANCIA'!AI71),"",'RESUMEN VIGILANCIA'!AI71)</f>
        <v/>
      </c>
      <c r="AK20" s="397" t="str">
        <f>IF(ISBLANK('RESUMEN VIGILANCIA'!AJ71),"",'RESUMEN VIGILANCIA'!AJ71)</f>
        <v/>
      </c>
      <c r="AL20" s="397" t="str">
        <f>IF(ISBLANK('RESUMEN VIGILANCIA'!AK71),"",'RESUMEN VIGILANCIA'!AK71)</f>
        <v/>
      </c>
      <c r="AM20" s="397" t="str">
        <f>IF(ISBLANK('RESUMEN VIGILANCIA'!AL71),"",'RESUMEN VIGILANCIA'!AL71)</f>
        <v/>
      </c>
      <c r="AN20" s="397" t="str">
        <f>IF(ISBLANK('RESUMEN VIGILANCIA'!AM71),"",'RESUMEN VIGILANCIA'!AM71)</f>
        <v/>
      </c>
      <c r="AO20" s="398" t="str">
        <f>IF(ISBLANK('RESUMEN VIGILANCIA'!AN71),"",'RESUMEN VIGILANCIA'!AN71)</f>
        <v/>
      </c>
      <c r="AP20" s="396" t="str">
        <f>IF(ISBLANK('RESUMEN VIGILANCIA'!AO71),"",'RESUMEN VIGILANCIA'!AO71)</f>
        <v/>
      </c>
      <c r="AQ20" s="397" t="str">
        <f>IF(ISBLANK('RESUMEN VIGILANCIA'!AP71),"",'RESUMEN VIGILANCIA'!AP71)</f>
        <v/>
      </c>
      <c r="AR20" s="397" t="str">
        <f>IF(ISBLANK('RESUMEN VIGILANCIA'!AQ71),"",'RESUMEN VIGILANCIA'!AQ71)</f>
        <v/>
      </c>
      <c r="AS20" s="397" t="str">
        <f>IF(ISBLANK('RESUMEN VIGILANCIA'!AR71),"",'RESUMEN VIGILANCIA'!AR71)</f>
        <v/>
      </c>
      <c r="AT20" s="397" t="str">
        <f>IF(ISBLANK('RESUMEN VIGILANCIA'!AS71),"",'RESUMEN VIGILANCIA'!AS71)</f>
        <v/>
      </c>
      <c r="AU20" s="397" t="str">
        <f>IF(ISBLANK('RESUMEN VIGILANCIA'!AT71),"",'RESUMEN VIGILANCIA'!AT71)</f>
        <v/>
      </c>
      <c r="AV20" s="397" t="str">
        <f>IF(ISBLANK('RESUMEN VIGILANCIA'!AU71),"",'RESUMEN VIGILANCIA'!AU71)</f>
        <v/>
      </c>
      <c r="AW20" s="397" t="str">
        <f>IF(ISBLANK('RESUMEN VIGILANCIA'!AV71),"",'RESUMEN VIGILANCIA'!AV71)</f>
        <v/>
      </c>
      <c r="AX20" s="397" t="str">
        <f>IF(ISBLANK('RESUMEN VIGILANCIA'!AW71),"",'RESUMEN VIGILANCIA'!AW71)</f>
        <v/>
      </c>
      <c r="AY20" s="397" t="str">
        <f>IF(ISBLANK('RESUMEN VIGILANCIA'!AX71),"",'RESUMEN VIGILANCIA'!AX71)</f>
        <v/>
      </c>
      <c r="AZ20" s="397" t="str">
        <f>IF(ISBLANK('RESUMEN VIGILANCIA'!AY71),"",'RESUMEN VIGILANCIA'!AY71)</f>
        <v/>
      </c>
      <c r="BA20" s="398" t="str">
        <f>IF(ISBLANK('RESUMEN VIGILANCIA'!AZ71),"",'RESUMEN VIGILANCIA'!AZ71)</f>
        <v/>
      </c>
      <c r="BB20" s="242">
        <f t="shared" si="0"/>
        <v>0.2</v>
      </c>
      <c r="BC20" s="111"/>
      <c r="BD20" s="111"/>
    </row>
    <row r="21" spans="1:56" s="29" customFormat="1" ht="20.100000000000001" customHeight="1" x14ac:dyDescent="0.25">
      <c r="A21" s="30" t="str">
        <f>'RESUMEN VIGILANCIA'!A72</f>
        <v>Familia Rodríguez Chiappeta</v>
      </c>
      <c r="B21" s="31" t="str">
        <f>'RESUMEN VIGILANCIA'!B72</f>
        <v>Calle Guacara Nro. 90-120</v>
      </c>
      <c r="C21" s="452" t="s">
        <v>1270</v>
      </c>
      <c r="D21" s="460" t="s">
        <v>1268</v>
      </c>
      <c r="E21" s="440" t="str">
        <f>IF(ISBLANK('RESUMEN VIGILANCIA'!D72),"",'RESUMEN VIGILANCIA'!D72)</f>
        <v/>
      </c>
      <c r="F21" s="270" t="str">
        <f>IF(ISBLANK('RESUMEN VIGILANCIA'!E72),"",'RESUMEN VIGILANCIA'!E72)</f>
        <v/>
      </c>
      <c r="G21" s="182" t="str">
        <f>IF(ISBLANK('RESUMEN VIGILANCIA'!F72),"",'RESUMEN VIGILANCIA'!F72)</f>
        <v/>
      </c>
      <c r="H21" s="182" t="str">
        <f>IF(ISBLANK('RESUMEN VIGILANCIA'!G72),"",'RESUMEN VIGILANCIA'!G72)</f>
        <v/>
      </c>
      <c r="I21" s="182" t="str">
        <f>IF(ISBLANK('RESUMEN VIGILANCIA'!H72),"",'RESUMEN VIGILANCIA'!H72)</f>
        <v/>
      </c>
      <c r="J21" s="182" t="str">
        <f>IF(ISBLANK('RESUMEN VIGILANCIA'!I72),"",'RESUMEN VIGILANCIA'!I72)</f>
        <v/>
      </c>
      <c r="K21" s="182" t="str">
        <f>IF(ISBLANK('RESUMEN VIGILANCIA'!J72),"",'RESUMEN VIGILANCIA'!J72)</f>
        <v/>
      </c>
      <c r="L21" s="182" t="str">
        <f>IF(ISBLANK('RESUMEN VIGILANCIA'!K72),"",'RESUMEN VIGILANCIA'!K72)</f>
        <v/>
      </c>
      <c r="M21" s="182" t="str">
        <f>IF(ISBLANK('RESUMEN VIGILANCIA'!L72),"",'RESUMEN VIGILANCIA'!L72)</f>
        <v/>
      </c>
      <c r="N21" s="182" t="str">
        <f>IF(ISBLANK('RESUMEN VIGILANCIA'!M72),"",'RESUMEN VIGILANCIA'!M72)</f>
        <v/>
      </c>
      <c r="O21" s="182" t="str">
        <f>IF(ISBLANK('RESUMEN VIGILANCIA'!N72),"",'RESUMEN VIGILANCIA'!N72)</f>
        <v/>
      </c>
      <c r="P21" s="271" t="str">
        <f>IF(ISBLANK('RESUMEN VIGILANCIA'!O72),"",'RESUMEN VIGILANCIA'!O72)</f>
        <v/>
      </c>
      <c r="Q21" s="180" t="str">
        <f>IF(ISBLANK('RESUMEN VIGILANCIA'!P72),"",'RESUMEN VIGILANCIA'!P72)</f>
        <v/>
      </c>
      <c r="R21" s="272" t="str">
        <f>IF(ISBLANK('RESUMEN VIGILANCIA'!Q72),"",'RESUMEN VIGILANCIA'!Q72)</f>
        <v/>
      </c>
      <c r="S21" s="271" t="str">
        <f>IF(ISBLANK('RESUMEN VIGILANCIA'!R72),"",'RESUMEN VIGILANCIA'!R72)</f>
        <v/>
      </c>
      <c r="T21" s="271" t="str">
        <f>IF(ISBLANK('RESUMEN VIGILANCIA'!S72),"",'RESUMEN VIGILANCIA'!S72)</f>
        <v/>
      </c>
      <c r="U21" s="271" t="str">
        <f>IF(ISBLANK('RESUMEN VIGILANCIA'!T72),"",'RESUMEN VIGILANCIA'!T72)</f>
        <v/>
      </c>
      <c r="V21" s="271" t="str">
        <f>IF(ISBLANK('RESUMEN VIGILANCIA'!U72),"",'RESUMEN VIGILANCIA'!U72)</f>
        <v/>
      </c>
      <c r="W21" s="271" t="str">
        <f>IF(ISBLANK('RESUMEN VIGILANCIA'!V72),"",'RESUMEN VIGILANCIA'!V72)</f>
        <v/>
      </c>
      <c r="X21" s="271" t="str">
        <f>IF(ISBLANK('RESUMEN VIGILANCIA'!W72),"",'RESUMEN VIGILANCIA'!W72)</f>
        <v/>
      </c>
      <c r="Y21" s="271" t="str">
        <f>IF(ISBLANK('RESUMEN VIGILANCIA'!X72),"",'RESUMEN VIGILANCIA'!X72)</f>
        <v/>
      </c>
      <c r="Z21" s="481" t="str">
        <f>IF(ISBLANK('RESUMEN VIGILANCIA'!Y72),"",'RESUMEN VIGILANCIA'!Y72)</f>
        <v/>
      </c>
      <c r="AA21" s="481" t="str">
        <f>IF(ISBLANK('RESUMEN VIGILANCIA'!Z72),"",'RESUMEN VIGILANCIA'!Z72)</f>
        <v/>
      </c>
      <c r="AB21" s="481" t="str">
        <f>IF(ISBLANK('RESUMEN VIGILANCIA'!AA72),"",'RESUMEN VIGILANCIA'!AA72)</f>
        <v/>
      </c>
      <c r="AC21" s="482" t="str">
        <f>IF(ISBLANK('RESUMEN VIGILANCIA'!AB72),"",'RESUMEN VIGILANCIA'!AB72)</f>
        <v/>
      </c>
      <c r="AD21" s="399" t="str">
        <f>IF(ISBLANK('RESUMEN VIGILANCIA'!AC72),"",'RESUMEN VIGILANCIA'!AC72)</f>
        <v/>
      </c>
      <c r="AE21" s="400" t="str">
        <f>IF(ISBLANK('RESUMEN VIGILANCIA'!AD72),"",'RESUMEN VIGILANCIA'!AD72)</f>
        <v/>
      </c>
      <c r="AF21" s="400" t="str">
        <f>IF(ISBLANK('RESUMEN VIGILANCIA'!AE72),"",'RESUMEN VIGILANCIA'!AE72)</f>
        <v/>
      </c>
      <c r="AG21" s="400" t="str">
        <f>IF(ISBLANK('RESUMEN VIGILANCIA'!AF72),"",'RESUMEN VIGILANCIA'!AF72)</f>
        <v/>
      </c>
      <c r="AH21" s="400" t="str">
        <f>IF(ISBLANK('RESUMEN VIGILANCIA'!AG72),"",'RESUMEN VIGILANCIA'!AG72)</f>
        <v/>
      </c>
      <c r="AI21" s="400" t="str">
        <f>IF(ISBLANK('RESUMEN VIGILANCIA'!AH72),"",'RESUMEN VIGILANCIA'!AH72)</f>
        <v/>
      </c>
      <c r="AJ21" s="400" t="str">
        <f>IF(ISBLANK('RESUMEN VIGILANCIA'!AI72),"",'RESUMEN VIGILANCIA'!AI72)</f>
        <v/>
      </c>
      <c r="AK21" s="400" t="str">
        <f>IF(ISBLANK('RESUMEN VIGILANCIA'!AJ72),"",'RESUMEN VIGILANCIA'!AJ72)</f>
        <v/>
      </c>
      <c r="AL21" s="400" t="str">
        <f>IF(ISBLANK('RESUMEN VIGILANCIA'!AK72),"",'RESUMEN VIGILANCIA'!AK72)</f>
        <v/>
      </c>
      <c r="AM21" s="400" t="str">
        <f>IF(ISBLANK('RESUMEN VIGILANCIA'!AL72),"",'RESUMEN VIGILANCIA'!AL72)</f>
        <v/>
      </c>
      <c r="AN21" s="400" t="str">
        <f>IF(ISBLANK('RESUMEN VIGILANCIA'!AM72),"",'RESUMEN VIGILANCIA'!AM72)</f>
        <v/>
      </c>
      <c r="AO21" s="401" t="str">
        <f>IF(ISBLANK('RESUMEN VIGILANCIA'!AN72),"",'RESUMEN VIGILANCIA'!AN72)</f>
        <v/>
      </c>
      <c r="AP21" s="399" t="str">
        <f>IF(ISBLANK('RESUMEN VIGILANCIA'!AO72),"",'RESUMEN VIGILANCIA'!AO72)</f>
        <v/>
      </c>
      <c r="AQ21" s="400" t="str">
        <f>IF(ISBLANK('RESUMEN VIGILANCIA'!AP72),"",'RESUMEN VIGILANCIA'!AP72)</f>
        <v/>
      </c>
      <c r="AR21" s="400" t="str">
        <f>IF(ISBLANK('RESUMEN VIGILANCIA'!AQ72),"",'RESUMEN VIGILANCIA'!AQ72)</f>
        <v/>
      </c>
      <c r="AS21" s="400" t="str">
        <f>IF(ISBLANK('RESUMEN VIGILANCIA'!AR72),"",'RESUMEN VIGILANCIA'!AR72)</f>
        <v/>
      </c>
      <c r="AT21" s="400" t="str">
        <f>IF(ISBLANK('RESUMEN VIGILANCIA'!AS72),"",'RESUMEN VIGILANCIA'!AS72)</f>
        <v/>
      </c>
      <c r="AU21" s="400" t="str">
        <f>IF(ISBLANK('RESUMEN VIGILANCIA'!AT72),"",'RESUMEN VIGILANCIA'!AT72)</f>
        <v/>
      </c>
      <c r="AV21" s="400" t="str">
        <f>IF(ISBLANK('RESUMEN VIGILANCIA'!AU72),"",'RESUMEN VIGILANCIA'!AU72)</f>
        <v/>
      </c>
      <c r="AW21" s="400" t="str">
        <f>IF(ISBLANK('RESUMEN VIGILANCIA'!AV72),"",'RESUMEN VIGILANCIA'!AV72)</f>
        <v/>
      </c>
      <c r="AX21" s="400" t="str">
        <f>IF(ISBLANK('RESUMEN VIGILANCIA'!AW72),"",'RESUMEN VIGILANCIA'!AW72)</f>
        <v/>
      </c>
      <c r="AY21" s="400" t="str">
        <f>IF(ISBLANK('RESUMEN VIGILANCIA'!AX72),"",'RESUMEN VIGILANCIA'!AX72)</f>
        <v/>
      </c>
      <c r="AZ21" s="400" t="str">
        <f>IF(ISBLANK('RESUMEN VIGILANCIA'!AY72),"",'RESUMEN VIGILANCIA'!AY72)</f>
        <v/>
      </c>
      <c r="BA21" s="401" t="str">
        <f>IF(ISBLANK('RESUMEN VIGILANCIA'!AZ72),"",'RESUMEN VIGILANCIA'!AZ72)</f>
        <v/>
      </c>
      <c r="BB21" s="243">
        <f t="shared" si="0"/>
        <v>0</v>
      </c>
      <c r="BC21" s="112"/>
      <c r="BD21" s="112"/>
    </row>
    <row r="22" spans="1:56" s="29" customFormat="1" ht="20.100000000000001" customHeight="1" x14ac:dyDescent="0.25">
      <c r="A22" s="30" t="str">
        <f>'RESUMEN VIGILANCIA'!A18</f>
        <v>María Luisa Gornés</v>
      </c>
      <c r="B22" s="31" t="str">
        <f>'RESUMEN VIGILANCIA'!B18</f>
        <v>Calle Guacara Nro. 87-05</v>
      </c>
      <c r="C22" s="452" t="s">
        <v>1270</v>
      </c>
      <c r="D22" s="460" t="s">
        <v>1268</v>
      </c>
      <c r="E22" s="440" t="str">
        <f>IF(ISBLANK('RESUMEN VIGILANCIA'!D18),"",'RESUMEN VIGILANCIA'!D18)</f>
        <v/>
      </c>
      <c r="F22" s="270" t="str">
        <f>IF(ISBLANK('RESUMEN VIGILANCIA'!E18),"",'RESUMEN VIGILANCIA'!E18)</f>
        <v/>
      </c>
      <c r="G22" s="182" t="str">
        <f>IF(ISBLANK('RESUMEN VIGILANCIA'!F18),"",'RESUMEN VIGILANCIA'!F18)</f>
        <v/>
      </c>
      <c r="H22" s="182" t="str">
        <f>IF(ISBLANK('RESUMEN VIGILANCIA'!G18),"",'RESUMEN VIGILANCIA'!G18)</f>
        <v/>
      </c>
      <c r="I22" s="182" t="str">
        <f>IF(ISBLANK('RESUMEN VIGILANCIA'!H18),"",'RESUMEN VIGILANCIA'!H18)</f>
        <v/>
      </c>
      <c r="J22" s="182" t="str">
        <f>IF(ISBLANK('RESUMEN VIGILANCIA'!I18),"",'RESUMEN VIGILANCIA'!I18)</f>
        <v/>
      </c>
      <c r="K22" s="182" t="str">
        <f>IF(ISBLANK('RESUMEN VIGILANCIA'!J18),"",'RESUMEN VIGILANCIA'!J18)</f>
        <v/>
      </c>
      <c r="L22" s="182" t="str">
        <f>IF(ISBLANK('RESUMEN VIGILANCIA'!K18),"",'RESUMEN VIGILANCIA'!K18)</f>
        <v/>
      </c>
      <c r="M22" s="182" t="str">
        <f>IF(ISBLANK('RESUMEN VIGILANCIA'!L18),"",'RESUMEN VIGILANCIA'!L18)</f>
        <v/>
      </c>
      <c r="N22" s="182" t="str">
        <f>IF(ISBLANK('RESUMEN VIGILANCIA'!M18),"",'RESUMEN VIGILANCIA'!M18)</f>
        <v/>
      </c>
      <c r="O22" s="182" t="str">
        <f>IF(ISBLANK('RESUMEN VIGILANCIA'!N18),"",'RESUMEN VIGILANCIA'!N18)</f>
        <v/>
      </c>
      <c r="P22" s="271" t="str">
        <f>IF(ISBLANK('RESUMEN VIGILANCIA'!O18),"",'RESUMEN VIGILANCIA'!O18)</f>
        <v/>
      </c>
      <c r="Q22" s="180" t="str">
        <f>IF(ISBLANK('RESUMEN VIGILANCIA'!P18),"",'RESUMEN VIGILANCIA'!P18)</f>
        <v/>
      </c>
      <c r="R22" s="272" t="str">
        <f>IF(ISBLANK('RESUMEN VIGILANCIA'!Q18),"",'RESUMEN VIGILANCIA'!Q18)</f>
        <v/>
      </c>
      <c r="S22" s="271" t="str">
        <f>IF(ISBLANK('RESUMEN VIGILANCIA'!R18),"",'RESUMEN VIGILANCIA'!R18)</f>
        <v/>
      </c>
      <c r="T22" s="271" t="str">
        <f>IF(ISBLANK('RESUMEN VIGILANCIA'!S18),"",'RESUMEN VIGILANCIA'!S18)</f>
        <v/>
      </c>
      <c r="U22" s="271" t="str">
        <f>IF(ISBLANK('RESUMEN VIGILANCIA'!T18),"",'RESUMEN VIGILANCIA'!T18)</f>
        <v/>
      </c>
      <c r="V22" s="271" t="str">
        <f>IF(ISBLANK('RESUMEN VIGILANCIA'!U18),"",'RESUMEN VIGILANCIA'!U18)</f>
        <v/>
      </c>
      <c r="W22" s="271" t="str">
        <f>IF(ISBLANK('RESUMEN VIGILANCIA'!V18),"",'RESUMEN VIGILANCIA'!V18)</f>
        <v/>
      </c>
      <c r="X22" s="271" t="str">
        <f>IF(ISBLANK('RESUMEN VIGILANCIA'!W18),"",'RESUMEN VIGILANCIA'!W18)</f>
        <v/>
      </c>
      <c r="Y22" s="271" t="str">
        <f>IF(ISBLANK('RESUMEN VIGILANCIA'!X18),"",'RESUMEN VIGILANCIA'!X18)</f>
        <v/>
      </c>
      <c r="Z22" s="481" t="str">
        <f>IF(ISBLANK('RESUMEN VIGILANCIA'!Y18),"",'RESUMEN VIGILANCIA'!Y18)</f>
        <v/>
      </c>
      <c r="AA22" s="481" t="str">
        <f>IF(ISBLANK('RESUMEN VIGILANCIA'!Z18),"",'RESUMEN VIGILANCIA'!Z18)</f>
        <v/>
      </c>
      <c r="AB22" s="481" t="str">
        <f>IF(ISBLANK('RESUMEN VIGILANCIA'!AA18),"",'RESUMEN VIGILANCIA'!AA18)</f>
        <v/>
      </c>
      <c r="AC22" s="482" t="str">
        <f>IF(ISBLANK('RESUMEN VIGILANCIA'!AB18),"",'RESUMEN VIGILANCIA'!AB18)</f>
        <v/>
      </c>
      <c r="AD22" s="399" t="str">
        <f>IF(ISBLANK('RESUMEN VIGILANCIA'!AC18),"",'RESUMEN VIGILANCIA'!AC18)</f>
        <v/>
      </c>
      <c r="AE22" s="400" t="str">
        <f>IF(ISBLANK('RESUMEN VIGILANCIA'!AD18),"",'RESUMEN VIGILANCIA'!AD18)</f>
        <v/>
      </c>
      <c r="AF22" s="400" t="str">
        <f>IF(ISBLANK('RESUMEN VIGILANCIA'!AE18),"",'RESUMEN VIGILANCIA'!AE18)</f>
        <v/>
      </c>
      <c r="AG22" s="400" t="str">
        <f>IF(ISBLANK('RESUMEN VIGILANCIA'!AF18),"",'RESUMEN VIGILANCIA'!AF18)</f>
        <v/>
      </c>
      <c r="AH22" s="400" t="str">
        <f>IF(ISBLANK('RESUMEN VIGILANCIA'!AG18),"",'RESUMEN VIGILANCIA'!AG18)</f>
        <v/>
      </c>
      <c r="AI22" s="400" t="str">
        <f>IF(ISBLANK('RESUMEN VIGILANCIA'!AH18),"",'RESUMEN VIGILANCIA'!AH18)</f>
        <v/>
      </c>
      <c r="AJ22" s="400" t="str">
        <f>IF(ISBLANK('RESUMEN VIGILANCIA'!AI18),"",'RESUMEN VIGILANCIA'!AI18)</f>
        <v/>
      </c>
      <c r="AK22" s="400" t="str">
        <f>IF(ISBLANK('RESUMEN VIGILANCIA'!AJ18),"",'RESUMEN VIGILANCIA'!AJ18)</f>
        <v/>
      </c>
      <c r="AL22" s="400" t="str">
        <f>IF(ISBLANK('RESUMEN VIGILANCIA'!AK18),"",'RESUMEN VIGILANCIA'!AK18)</f>
        <v/>
      </c>
      <c r="AM22" s="400" t="str">
        <f>IF(ISBLANK('RESUMEN VIGILANCIA'!AL18),"",'RESUMEN VIGILANCIA'!AL18)</f>
        <v/>
      </c>
      <c r="AN22" s="400" t="str">
        <f>IF(ISBLANK('RESUMEN VIGILANCIA'!AM18),"",'RESUMEN VIGILANCIA'!AM18)</f>
        <v/>
      </c>
      <c r="AO22" s="401" t="str">
        <f>IF(ISBLANK('RESUMEN VIGILANCIA'!AN18),"",'RESUMEN VIGILANCIA'!AN18)</f>
        <v/>
      </c>
      <c r="AP22" s="399" t="str">
        <f>IF(ISBLANK('RESUMEN VIGILANCIA'!AO18),"",'RESUMEN VIGILANCIA'!AO18)</f>
        <v/>
      </c>
      <c r="AQ22" s="400" t="str">
        <f>IF(ISBLANK('RESUMEN VIGILANCIA'!AP18),"",'RESUMEN VIGILANCIA'!AP18)</f>
        <v/>
      </c>
      <c r="AR22" s="400" t="str">
        <f>IF(ISBLANK('RESUMEN VIGILANCIA'!AQ18),"",'RESUMEN VIGILANCIA'!AQ18)</f>
        <v/>
      </c>
      <c r="AS22" s="400" t="str">
        <f>IF(ISBLANK('RESUMEN VIGILANCIA'!AR18),"",'RESUMEN VIGILANCIA'!AR18)</f>
        <v/>
      </c>
      <c r="AT22" s="400" t="str">
        <f>IF(ISBLANK('RESUMEN VIGILANCIA'!AS18),"",'RESUMEN VIGILANCIA'!AS18)</f>
        <v/>
      </c>
      <c r="AU22" s="400" t="str">
        <f>IF(ISBLANK('RESUMEN VIGILANCIA'!AT18),"",'RESUMEN VIGILANCIA'!AT18)</f>
        <v/>
      </c>
      <c r="AV22" s="400" t="str">
        <f>IF(ISBLANK('RESUMEN VIGILANCIA'!AU18),"",'RESUMEN VIGILANCIA'!AU18)</f>
        <v/>
      </c>
      <c r="AW22" s="400" t="str">
        <f>IF(ISBLANK('RESUMEN VIGILANCIA'!AV18),"",'RESUMEN VIGILANCIA'!AV18)</f>
        <v/>
      </c>
      <c r="AX22" s="400" t="str">
        <f>IF(ISBLANK('RESUMEN VIGILANCIA'!AW18),"",'RESUMEN VIGILANCIA'!AW18)</f>
        <v/>
      </c>
      <c r="AY22" s="400" t="str">
        <f>IF(ISBLANK('RESUMEN VIGILANCIA'!AX18),"",'RESUMEN VIGILANCIA'!AX18)</f>
        <v/>
      </c>
      <c r="AZ22" s="400" t="str">
        <f>IF(ISBLANK('RESUMEN VIGILANCIA'!AY18),"",'RESUMEN VIGILANCIA'!AY18)</f>
        <v/>
      </c>
      <c r="BA22" s="401" t="str">
        <f>IF(ISBLANK('RESUMEN VIGILANCIA'!AZ18),"",'RESUMEN VIGILANCIA'!AZ18)</f>
        <v/>
      </c>
      <c r="BB22" s="243">
        <f t="shared" si="0"/>
        <v>0</v>
      </c>
      <c r="BC22" s="112"/>
      <c r="BD22" s="112"/>
    </row>
    <row r="23" spans="1:56" s="29" customFormat="1" ht="20.100000000000001" customHeight="1" x14ac:dyDescent="0.25">
      <c r="A23" s="380" t="str">
        <f>'RESUMEN VIGILANCIA'!A20</f>
        <v>Familia Franco Gómez</v>
      </c>
      <c r="B23" s="381" t="str">
        <f>'RESUMEN VIGILANCIA'!B20</f>
        <v>Calle Guacara Nro. 87-07</v>
      </c>
      <c r="C23" s="453" t="s">
        <v>1271</v>
      </c>
      <c r="D23" s="459" t="s">
        <v>1268</v>
      </c>
      <c r="E23" s="439" t="str">
        <f>IF(ISBLANK('RESUMEN VIGILANCIA'!D20),"",'RESUMEN VIGILANCIA'!D20)</f>
        <v/>
      </c>
      <c r="F23" s="267">
        <f>IF(ISBLANK('RESUMEN VIGILANCIA'!E20),"",'RESUMEN VIGILANCIA'!E20)</f>
        <v>0.17</v>
      </c>
      <c r="G23" s="189">
        <f>IF(ISBLANK('RESUMEN VIGILANCIA'!F20),"",'RESUMEN VIGILANCIA'!F20)</f>
        <v>0.17</v>
      </c>
      <c r="H23" s="189">
        <f>IF(ISBLANK('RESUMEN VIGILANCIA'!G20),"",'RESUMEN VIGILANCIA'!G20)</f>
        <v>0.17</v>
      </c>
      <c r="I23" s="189">
        <f>IF(ISBLANK('RESUMEN VIGILANCIA'!H20),"",'RESUMEN VIGILANCIA'!H20)</f>
        <v>0.17</v>
      </c>
      <c r="J23" s="189">
        <f>IF(ISBLANK('RESUMEN VIGILANCIA'!I20),"",'RESUMEN VIGILANCIA'!I20)</f>
        <v>0.17</v>
      </c>
      <c r="K23" s="189">
        <f>IF(ISBLANK('RESUMEN VIGILANCIA'!J20),"",'RESUMEN VIGILANCIA'!J20)</f>
        <v>0.17</v>
      </c>
      <c r="L23" s="189">
        <f>IF(ISBLANK('RESUMEN VIGILANCIA'!K20),"",'RESUMEN VIGILANCIA'!K20)</f>
        <v>0.17</v>
      </c>
      <c r="M23" s="189">
        <f>IF(ISBLANK('RESUMEN VIGILANCIA'!L20),"",'RESUMEN VIGILANCIA'!L20)</f>
        <v>0.2</v>
      </c>
      <c r="N23" s="189">
        <f>IF(ISBLANK('RESUMEN VIGILANCIA'!M20),"",'RESUMEN VIGILANCIA'!M20)</f>
        <v>0.25</v>
      </c>
      <c r="O23" s="189">
        <f>IF(ISBLANK('RESUMEN VIGILANCIA'!N20),"",'RESUMEN VIGILANCIA'!N20)</f>
        <v>0.25</v>
      </c>
      <c r="P23" s="268">
        <f>IF(ISBLANK('RESUMEN VIGILANCIA'!O20),"",'RESUMEN VIGILANCIA'!O20)</f>
        <v>0.25</v>
      </c>
      <c r="Q23" s="187">
        <f>IF(ISBLANK('RESUMEN VIGILANCIA'!P20),"",'RESUMEN VIGILANCIA'!P20)</f>
        <v>0.25</v>
      </c>
      <c r="R23" s="269">
        <f>IF(ISBLANK('RESUMEN VIGILANCIA'!Q20),"",'RESUMEN VIGILANCIA'!Q20)</f>
        <v>0.8</v>
      </c>
      <c r="S23" s="268">
        <f>IF(ISBLANK('RESUMEN VIGILANCIA'!R20),"",'RESUMEN VIGILANCIA'!R20)</f>
        <v>0.8</v>
      </c>
      <c r="T23" s="268">
        <f>IF(ISBLANK('RESUMEN VIGILANCIA'!S20),"",'RESUMEN VIGILANCIA'!S20)</f>
        <v>1.4</v>
      </c>
      <c r="U23" s="268">
        <f>IF(ISBLANK('RESUMEN VIGILANCIA'!T20),"",'RESUMEN VIGILANCIA'!T20)</f>
        <v>1.4</v>
      </c>
      <c r="V23" s="268">
        <f>IF(ISBLANK('RESUMEN VIGILANCIA'!U20),"",'RESUMEN VIGILANCIA'!U20)</f>
        <v>2</v>
      </c>
      <c r="W23" s="268">
        <f>IF(ISBLANK('RESUMEN VIGILANCIA'!V20),"",'RESUMEN VIGILANCIA'!V20)</f>
        <v>6.25</v>
      </c>
      <c r="X23" s="268">
        <f>IF(ISBLANK('RESUMEN VIGILANCIA'!W20),"",'RESUMEN VIGILANCIA'!W20)</f>
        <v>10</v>
      </c>
      <c r="Y23" s="268">
        <f>IF(ISBLANK('RESUMEN VIGILANCIA'!X20),"",'RESUMEN VIGILANCIA'!X20)</f>
        <v>12</v>
      </c>
      <c r="Z23" s="485">
        <f>IF(ISBLANK('RESUMEN VIGILANCIA'!Y20),"",'RESUMEN VIGILANCIA'!Y20)</f>
        <v>160</v>
      </c>
      <c r="AA23" s="484">
        <f>IF(ISBLANK('RESUMEN VIGILANCIA'!Z20),"",'RESUMEN VIGILANCIA'!Z20)</f>
        <v>320</v>
      </c>
      <c r="AB23" s="484">
        <f>IF(ISBLANK('RESUMEN VIGILANCIA'!AA20),"",'RESUMEN VIGILANCIA'!AA20)</f>
        <v>320</v>
      </c>
      <c r="AC23" s="483">
        <f>IF(ISBLANK('RESUMEN VIGILANCIA'!AB20),"",'RESUMEN VIGILANCIA'!AB20)</f>
        <v>800</v>
      </c>
      <c r="AD23" s="404">
        <f>IF(ISBLANK('RESUMEN VIGILANCIA'!AC20),"",'RESUMEN VIGILANCIA'!AC20)</f>
        <v>3000</v>
      </c>
      <c r="AE23" s="405">
        <f>IF(ISBLANK('RESUMEN VIGILANCIA'!AD20),"",'RESUMEN VIGILANCIA'!AD20)</f>
        <v>3000</v>
      </c>
      <c r="AF23" s="405">
        <f>IF(ISBLANK('RESUMEN VIGILANCIA'!AE20),"",'RESUMEN VIGILANCIA'!AE20)</f>
        <v>3000</v>
      </c>
      <c r="AG23" s="405">
        <f>IF(ISBLANK('RESUMEN VIGILANCIA'!AF20),"",'RESUMEN VIGILANCIA'!AF20)</f>
        <v>5000</v>
      </c>
      <c r="AH23" s="405">
        <f>IF(ISBLANK('RESUMEN VIGILANCIA'!AG20),"",'RESUMEN VIGILANCIA'!AG20)</f>
        <v>8000</v>
      </c>
      <c r="AI23" s="405">
        <f>IF(ISBLANK('RESUMEN VIGILANCIA'!AH20),"",'RESUMEN VIGILANCIA'!AH20)</f>
        <v>8000</v>
      </c>
      <c r="AJ23" s="405">
        <f>IF(ISBLANK('RESUMEN VIGILANCIA'!AI20),"",'RESUMEN VIGILANCIA'!AI20)</f>
        <v>10000</v>
      </c>
      <c r="AK23" s="405">
        <f>IF(ISBLANK('RESUMEN VIGILANCIA'!AJ20),"",'RESUMEN VIGILANCIA'!AJ20)</f>
        <v>10000</v>
      </c>
      <c r="AL23" s="405">
        <f>IF(ISBLANK('RESUMEN VIGILANCIA'!AK20),"",'RESUMEN VIGILANCIA'!AK20)</f>
        <v>20500</v>
      </c>
      <c r="AM23" s="397">
        <f>IF(ISBLANK('RESUMEN VIGILANCIA'!AL20),"",'RESUMEN VIGILANCIA'!AL20)</f>
        <v>21100</v>
      </c>
      <c r="AN23" s="397">
        <f>IF(ISBLANK('RESUMEN VIGILANCIA'!AM20),"",'RESUMEN VIGILANCIA'!AM20)</f>
        <v>33750</v>
      </c>
      <c r="AO23" s="398">
        <f>IF(ISBLANK('RESUMEN VIGILANCIA'!AN20),"",'RESUMEN VIGILANCIA'!AN20)</f>
        <v>32700</v>
      </c>
      <c r="AP23" s="396">
        <f>IF(ISBLANK('RESUMEN VIGILANCIA'!AO20),"",'RESUMEN VIGILANCIA'!AO20)</f>
        <v>54500</v>
      </c>
      <c r="AQ23" s="397">
        <f>IF(ISBLANK('RESUMEN VIGILANCIA'!AP20),"",'RESUMEN VIGILANCIA'!AP20)</f>
        <v>60500</v>
      </c>
      <c r="AR23" s="397">
        <f>IF(ISBLANK('RESUMEN VIGILANCIA'!AQ20),"",'RESUMEN VIGILANCIA'!AQ20)</f>
        <v>74975</v>
      </c>
      <c r="AS23" s="397" t="str">
        <f>IF(ISBLANK('RESUMEN VIGILANCIA'!AR20),"",'RESUMEN VIGILANCIA'!AR20)</f>
        <v/>
      </c>
      <c r="AT23" s="397" t="str">
        <f>IF(ISBLANK('RESUMEN VIGILANCIA'!AS20),"",'RESUMEN VIGILANCIA'!AS20)</f>
        <v/>
      </c>
      <c r="AU23" s="397" t="str">
        <f>IF(ISBLANK('RESUMEN VIGILANCIA'!AT20),"",'RESUMEN VIGILANCIA'!AT20)</f>
        <v/>
      </c>
      <c r="AV23" s="397" t="str">
        <f>IF(ISBLANK('RESUMEN VIGILANCIA'!AU20),"",'RESUMEN VIGILANCIA'!AU20)</f>
        <v/>
      </c>
      <c r="AW23" s="397" t="str">
        <f>IF(ISBLANK('RESUMEN VIGILANCIA'!AV20),"",'RESUMEN VIGILANCIA'!AV20)</f>
        <v/>
      </c>
      <c r="AX23" s="397" t="str">
        <f>IF(ISBLANK('RESUMEN VIGILANCIA'!AW20),"",'RESUMEN VIGILANCIA'!AW20)</f>
        <v/>
      </c>
      <c r="AY23" s="397" t="str">
        <f>IF(ISBLANK('RESUMEN VIGILANCIA'!AX20),"",'RESUMEN VIGILANCIA'!AX20)</f>
        <v/>
      </c>
      <c r="AZ23" s="397" t="str">
        <f>IF(ISBLANK('RESUMEN VIGILANCIA'!AY20),"",'RESUMEN VIGILANCIA'!AY20)</f>
        <v/>
      </c>
      <c r="BA23" s="398" t="str">
        <f>IF(ISBLANK('RESUMEN VIGILANCIA'!AZ20),"",'RESUMEN VIGILANCIA'!AZ20)</f>
        <v/>
      </c>
      <c r="BB23" s="242">
        <f t="shared" si="0"/>
        <v>159687.04000000001</v>
      </c>
      <c r="BC23" s="111"/>
      <c r="BD23" s="111"/>
    </row>
    <row r="24" spans="1:56" s="29" customFormat="1" ht="20.100000000000001" customHeight="1" x14ac:dyDescent="0.25">
      <c r="A24" s="37" t="str">
        <f>'RESUMEN VIGILANCIA'!A21</f>
        <v>Doris Valderrama</v>
      </c>
      <c r="B24" s="38" t="str">
        <f>'RESUMEN VIGILANCIA'!B21</f>
        <v>Calle Guacara Nro. 87-15</v>
      </c>
      <c r="C24" s="450"/>
      <c r="D24" s="458" t="s">
        <v>1268</v>
      </c>
      <c r="E24" s="438" t="str">
        <f>IF(ISBLANK('RESUMEN VIGILANCIA'!D21),"",'RESUMEN VIGILANCIA'!D21)</f>
        <v/>
      </c>
      <c r="F24" s="264" t="str">
        <f>IF(ISBLANK('RESUMEN VIGILANCIA'!E21),"",'RESUMEN VIGILANCIA'!E21)</f>
        <v/>
      </c>
      <c r="G24" s="200" t="str">
        <f>IF(ISBLANK('RESUMEN VIGILANCIA'!F21),"",'RESUMEN VIGILANCIA'!F21)</f>
        <v/>
      </c>
      <c r="H24" s="200" t="str">
        <f>IF(ISBLANK('RESUMEN VIGILANCIA'!G21),"",'RESUMEN VIGILANCIA'!G21)</f>
        <v/>
      </c>
      <c r="I24" s="200" t="str">
        <f>IF(ISBLANK('RESUMEN VIGILANCIA'!H21),"",'RESUMEN VIGILANCIA'!H21)</f>
        <v/>
      </c>
      <c r="J24" s="200" t="str">
        <f>IF(ISBLANK('RESUMEN VIGILANCIA'!I21),"",'RESUMEN VIGILANCIA'!I21)</f>
        <v/>
      </c>
      <c r="K24" s="200" t="str">
        <f>IF(ISBLANK('RESUMEN VIGILANCIA'!J21),"",'RESUMEN VIGILANCIA'!J21)</f>
        <v/>
      </c>
      <c r="L24" s="200" t="str">
        <f>IF(ISBLANK('RESUMEN VIGILANCIA'!K21),"",'RESUMEN VIGILANCIA'!K21)</f>
        <v/>
      </c>
      <c r="M24" s="200" t="str">
        <f>IF(ISBLANK('RESUMEN VIGILANCIA'!L21),"",'RESUMEN VIGILANCIA'!L21)</f>
        <v/>
      </c>
      <c r="N24" s="200" t="str">
        <f>IF(ISBLANK('RESUMEN VIGILANCIA'!M21),"",'RESUMEN VIGILANCIA'!M21)</f>
        <v/>
      </c>
      <c r="O24" s="200" t="str">
        <f>IF(ISBLANK('RESUMEN VIGILANCIA'!N21),"",'RESUMEN VIGILANCIA'!N21)</f>
        <v/>
      </c>
      <c r="P24" s="265" t="str">
        <f>IF(ISBLANK('RESUMEN VIGILANCIA'!O21),"",'RESUMEN VIGILANCIA'!O21)</f>
        <v/>
      </c>
      <c r="Q24" s="198" t="str">
        <f>IF(ISBLANK('RESUMEN VIGILANCIA'!P21),"",'RESUMEN VIGILANCIA'!P21)</f>
        <v/>
      </c>
      <c r="R24" s="266" t="str">
        <f>IF(ISBLANK('RESUMEN VIGILANCIA'!Q21),"",'RESUMEN VIGILANCIA'!Q21)</f>
        <v/>
      </c>
      <c r="S24" s="265" t="str">
        <f>IF(ISBLANK('RESUMEN VIGILANCIA'!R21),"",'RESUMEN VIGILANCIA'!R21)</f>
        <v/>
      </c>
      <c r="T24" s="265" t="str">
        <f>IF(ISBLANK('RESUMEN VIGILANCIA'!S21),"",'RESUMEN VIGILANCIA'!S21)</f>
        <v/>
      </c>
      <c r="U24" s="265" t="str">
        <f>IF(ISBLANK('RESUMEN VIGILANCIA'!T21),"",'RESUMEN VIGILANCIA'!T21)</f>
        <v/>
      </c>
      <c r="V24" s="265" t="str">
        <f>IF(ISBLANK('RESUMEN VIGILANCIA'!U21),"",'RESUMEN VIGILANCIA'!U21)</f>
        <v/>
      </c>
      <c r="W24" s="265" t="str">
        <f>IF(ISBLANK('RESUMEN VIGILANCIA'!V21),"",'RESUMEN VIGILANCIA'!V21)</f>
        <v/>
      </c>
      <c r="X24" s="265" t="str">
        <f>IF(ISBLANK('RESUMEN VIGILANCIA'!W21),"",'RESUMEN VIGILANCIA'!W21)</f>
        <v/>
      </c>
      <c r="Y24" s="265" t="str">
        <f>IF(ISBLANK('RESUMEN VIGILANCIA'!X21),"",'RESUMEN VIGILANCIA'!X21)</f>
        <v/>
      </c>
      <c r="Z24" s="479" t="str">
        <f>IF(ISBLANK('RESUMEN VIGILANCIA'!Y21),"",'RESUMEN VIGILANCIA'!Y21)</f>
        <v/>
      </c>
      <c r="AA24" s="479" t="str">
        <f>IF(ISBLANK('RESUMEN VIGILANCIA'!Z21),"",'RESUMEN VIGILANCIA'!Z21)</f>
        <v/>
      </c>
      <c r="AB24" s="479" t="str">
        <f>IF(ISBLANK('RESUMEN VIGILANCIA'!AA21),"",'RESUMEN VIGILANCIA'!AA21)</f>
        <v/>
      </c>
      <c r="AC24" s="480" t="str">
        <f>IF(ISBLANK('RESUMEN VIGILANCIA'!AB21),"",'RESUMEN VIGILANCIA'!AB21)</f>
        <v/>
      </c>
      <c r="AD24" s="407" t="str">
        <f>IF(ISBLANK('RESUMEN VIGILANCIA'!AC21),"",'RESUMEN VIGILANCIA'!AC21)</f>
        <v/>
      </c>
      <c r="AE24" s="408" t="str">
        <f>IF(ISBLANK('RESUMEN VIGILANCIA'!AD21),"",'RESUMEN VIGILANCIA'!AD21)</f>
        <v/>
      </c>
      <c r="AF24" s="408" t="str">
        <f>IF(ISBLANK('RESUMEN VIGILANCIA'!AE21),"",'RESUMEN VIGILANCIA'!AE21)</f>
        <v/>
      </c>
      <c r="AG24" s="408" t="str">
        <f>IF(ISBLANK('RESUMEN VIGILANCIA'!AF21),"",'RESUMEN VIGILANCIA'!AF21)</f>
        <v/>
      </c>
      <c r="AH24" s="408" t="str">
        <f>IF(ISBLANK('RESUMEN VIGILANCIA'!AG21),"",'RESUMEN VIGILANCIA'!AG21)</f>
        <v/>
      </c>
      <c r="AI24" s="408" t="str">
        <f>IF(ISBLANK('RESUMEN VIGILANCIA'!AH21),"",'RESUMEN VIGILANCIA'!AH21)</f>
        <v/>
      </c>
      <c r="AJ24" s="408" t="str">
        <f>IF(ISBLANK('RESUMEN VIGILANCIA'!AI21),"",'RESUMEN VIGILANCIA'!AI21)</f>
        <v/>
      </c>
      <c r="AK24" s="408" t="str">
        <f>IF(ISBLANK('RESUMEN VIGILANCIA'!AJ21),"",'RESUMEN VIGILANCIA'!AJ21)</f>
        <v/>
      </c>
      <c r="AL24" s="408" t="str">
        <f>IF(ISBLANK('RESUMEN VIGILANCIA'!AK21),"",'RESUMEN VIGILANCIA'!AK21)</f>
        <v/>
      </c>
      <c r="AM24" s="408" t="str">
        <f>IF(ISBLANK('RESUMEN VIGILANCIA'!AL21),"",'RESUMEN VIGILANCIA'!AL21)</f>
        <v/>
      </c>
      <c r="AN24" s="408" t="str">
        <f>IF(ISBLANK('RESUMEN VIGILANCIA'!AM21),"",'RESUMEN VIGILANCIA'!AM21)</f>
        <v/>
      </c>
      <c r="AO24" s="409" t="str">
        <f>IF(ISBLANK('RESUMEN VIGILANCIA'!AN21),"",'RESUMEN VIGILANCIA'!AN21)</f>
        <v/>
      </c>
      <c r="AP24" s="407" t="str">
        <f>IF(ISBLANK('RESUMEN VIGILANCIA'!AO21),"",'RESUMEN VIGILANCIA'!AO21)</f>
        <v/>
      </c>
      <c r="AQ24" s="408" t="str">
        <f>IF(ISBLANK('RESUMEN VIGILANCIA'!AP21),"",'RESUMEN VIGILANCIA'!AP21)</f>
        <v/>
      </c>
      <c r="AR24" s="408" t="str">
        <f>IF(ISBLANK('RESUMEN VIGILANCIA'!AQ21),"",'RESUMEN VIGILANCIA'!AQ21)</f>
        <v/>
      </c>
      <c r="AS24" s="408" t="str">
        <f>IF(ISBLANK('RESUMEN VIGILANCIA'!AR21),"",'RESUMEN VIGILANCIA'!AR21)</f>
        <v/>
      </c>
      <c r="AT24" s="408" t="str">
        <f>IF(ISBLANK('RESUMEN VIGILANCIA'!AS21),"",'RESUMEN VIGILANCIA'!AS21)</f>
        <v/>
      </c>
      <c r="AU24" s="408" t="str">
        <f>IF(ISBLANK('RESUMEN VIGILANCIA'!AT21),"",'RESUMEN VIGILANCIA'!AT21)</f>
        <v/>
      </c>
      <c r="AV24" s="408" t="str">
        <f>IF(ISBLANK('RESUMEN VIGILANCIA'!AU21),"",'RESUMEN VIGILANCIA'!AU21)</f>
        <v/>
      </c>
      <c r="AW24" s="408" t="str">
        <f>IF(ISBLANK('RESUMEN VIGILANCIA'!AV21),"",'RESUMEN VIGILANCIA'!AV21)</f>
        <v/>
      </c>
      <c r="AX24" s="408" t="str">
        <f>IF(ISBLANK('RESUMEN VIGILANCIA'!AW21),"",'RESUMEN VIGILANCIA'!AW21)</f>
        <v/>
      </c>
      <c r="AY24" s="408" t="str">
        <f>IF(ISBLANK('RESUMEN VIGILANCIA'!AX21),"",'RESUMEN VIGILANCIA'!AX21)</f>
        <v/>
      </c>
      <c r="AZ24" s="408" t="str">
        <f>IF(ISBLANK('RESUMEN VIGILANCIA'!AY21),"",'RESUMEN VIGILANCIA'!AY21)</f>
        <v/>
      </c>
      <c r="BA24" s="409" t="str">
        <f>IF(ISBLANK('RESUMEN VIGILANCIA'!AZ21),"",'RESUMEN VIGILANCIA'!AZ21)</f>
        <v/>
      </c>
      <c r="BB24" s="244">
        <f t="shared" si="0"/>
        <v>0</v>
      </c>
      <c r="BC24" s="110"/>
      <c r="BD24" s="110"/>
    </row>
    <row r="25" spans="1:56" s="29" customFormat="1" ht="20.100000000000001" customHeight="1" x14ac:dyDescent="0.25">
      <c r="A25" s="37" t="str">
        <f>'RESUMEN VIGILANCIA'!A22</f>
        <v>Familia Delgado</v>
      </c>
      <c r="B25" s="38" t="str">
        <f>'RESUMEN VIGILANCIA'!B22</f>
        <v>Calle Guacara Nro. 87-19</v>
      </c>
      <c r="C25" s="450"/>
      <c r="D25" s="458" t="s">
        <v>1268</v>
      </c>
      <c r="E25" s="438" t="str">
        <f>IF(ISBLANK('RESUMEN VIGILANCIA'!D22),"",'RESUMEN VIGILANCIA'!D22)</f>
        <v/>
      </c>
      <c r="F25" s="264" t="str">
        <f>IF(ISBLANK('RESUMEN VIGILANCIA'!E22),"",'RESUMEN VIGILANCIA'!E22)</f>
        <v/>
      </c>
      <c r="G25" s="200" t="str">
        <f>IF(ISBLANK('RESUMEN VIGILANCIA'!F22),"",'RESUMEN VIGILANCIA'!F22)</f>
        <v/>
      </c>
      <c r="H25" s="200" t="str">
        <f>IF(ISBLANK('RESUMEN VIGILANCIA'!G22),"",'RESUMEN VIGILANCIA'!G22)</f>
        <v/>
      </c>
      <c r="I25" s="200" t="str">
        <f>IF(ISBLANK('RESUMEN VIGILANCIA'!H22),"",'RESUMEN VIGILANCIA'!H22)</f>
        <v/>
      </c>
      <c r="J25" s="200" t="str">
        <f>IF(ISBLANK('RESUMEN VIGILANCIA'!I22),"",'RESUMEN VIGILANCIA'!I22)</f>
        <v/>
      </c>
      <c r="K25" s="200" t="str">
        <f>IF(ISBLANK('RESUMEN VIGILANCIA'!J22),"",'RESUMEN VIGILANCIA'!J22)</f>
        <v/>
      </c>
      <c r="L25" s="200" t="str">
        <f>IF(ISBLANK('RESUMEN VIGILANCIA'!K22),"",'RESUMEN VIGILANCIA'!K22)</f>
        <v/>
      </c>
      <c r="M25" s="200" t="str">
        <f>IF(ISBLANK('RESUMEN VIGILANCIA'!L22),"",'RESUMEN VIGILANCIA'!L22)</f>
        <v/>
      </c>
      <c r="N25" s="200" t="str">
        <f>IF(ISBLANK('RESUMEN VIGILANCIA'!M22),"",'RESUMEN VIGILANCIA'!M22)</f>
        <v/>
      </c>
      <c r="O25" s="200" t="str">
        <f>IF(ISBLANK('RESUMEN VIGILANCIA'!N22),"",'RESUMEN VIGILANCIA'!N22)</f>
        <v/>
      </c>
      <c r="P25" s="265" t="str">
        <f>IF(ISBLANK('RESUMEN VIGILANCIA'!O22),"",'RESUMEN VIGILANCIA'!O22)</f>
        <v/>
      </c>
      <c r="Q25" s="198" t="str">
        <f>IF(ISBLANK('RESUMEN VIGILANCIA'!P22),"",'RESUMEN VIGILANCIA'!P22)</f>
        <v/>
      </c>
      <c r="R25" s="266" t="str">
        <f>IF(ISBLANK('RESUMEN VIGILANCIA'!Q22),"",'RESUMEN VIGILANCIA'!Q22)</f>
        <v/>
      </c>
      <c r="S25" s="265" t="str">
        <f>IF(ISBLANK('RESUMEN VIGILANCIA'!R22),"",'RESUMEN VIGILANCIA'!R22)</f>
        <v/>
      </c>
      <c r="T25" s="265" t="str">
        <f>IF(ISBLANK('RESUMEN VIGILANCIA'!S22),"",'RESUMEN VIGILANCIA'!S22)</f>
        <v/>
      </c>
      <c r="U25" s="265" t="str">
        <f>IF(ISBLANK('RESUMEN VIGILANCIA'!T22),"",'RESUMEN VIGILANCIA'!T22)</f>
        <v/>
      </c>
      <c r="V25" s="265" t="str">
        <f>IF(ISBLANK('RESUMEN VIGILANCIA'!U22),"",'RESUMEN VIGILANCIA'!U22)</f>
        <v/>
      </c>
      <c r="W25" s="265" t="str">
        <f>IF(ISBLANK('RESUMEN VIGILANCIA'!V22),"",'RESUMEN VIGILANCIA'!V22)</f>
        <v/>
      </c>
      <c r="X25" s="265" t="str">
        <f>IF(ISBLANK('RESUMEN VIGILANCIA'!W22),"",'RESUMEN VIGILANCIA'!W22)</f>
        <v/>
      </c>
      <c r="Y25" s="265" t="str">
        <f>IF(ISBLANK('RESUMEN VIGILANCIA'!X22),"",'RESUMEN VIGILANCIA'!X22)</f>
        <v/>
      </c>
      <c r="Z25" s="479" t="str">
        <f>IF(ISBLANK('RESUMEN VIGILANCIA'!Y22),"",'RESUMEN VIGILANCIA'!Y22)</f>
        <v/>
      </c>
      <c r="AA25" s="479" t="str">
        <f>IF(ISBLANK('RESUMEN VIGILANCIA'!Z22),"",'RESUMEN VIGILANCIA'!Z22)</f>
        <v/>
      </c>
      <c r="AB25" s="479" t="str">
        <f>IF(ISBLANK('RESUMEN VIGILANCIA'!AA22),"",'RESUMEN VIGILANCIA'!AA22)</f>
        <v/>
      </c>
      <c r="AC25" s="480" t="str">
        <f>IF(ISBLANK('RESUMEN VIGILANCIA'!AB22),"",'RESUMEN VIGILANCIA'!AB22)</f>
        <v/>
      </c>
      <c r="AD25" s="407" t="str">
        <f>IF(ISBLANK('RESUMEN VIGILANCIA'!AC22),"",'RESUMEN VIGILANCIA'!AC22)</f>
        <v/>
      </c>
      <c r="AE25" s="408" t="str">
        <f>IF(ISBLANK('RESUMEN VIGILANCIA'!AD22),"",'RESUMEN VIGILANCIA'!AD22)</f>
        <v/>
      </c>
      <c r="AF25" s="408" t="str">
        <f>IF(ISBLANK('RESUMEN VIGILANCIA'!AE22),"",'RESUMEN VIGILANCIA'!AE22)</f>
        <v/>
      </c>
      <c r="AG25" s="408" t="str">
        <f>IF(ISBLANK('RESUMEN VIGILANCIA'!AF22),"",'RESUMEN VIGILANCIA'!AF22)</f>
        <v/>
      </c>
      <c r="AH25" s="408" t="str">
        <f>IF(ISBLANK('RESUMEN VIGILANCIA'!AG22),"",'RESUMEN VIGILANCIA'!AG22)</f>
        <v/>
      </c>
      <c r="AI25" s="408" t="str">
        <f>IF(ISBLANK('RESUMEN VIGILANCIA'!AH22),"",'RESUMEN VIGILANCIA'!AH22)</f>
        <v/>
      </c>
      <c r="AJ25" s="408" t="str">
        <f>IF(ISBLANK('RESUMEN VIGILANCIA'!AI22),"",'RESUMEN VIGILANCIA'!AI22)</f>
        <v/>
      </c>
      <c r="AK25" s="408" t="str">
        <f>IF(ISBLANK('RESUMEN VIGILANCIA'!AJ22),"",'RESUMEN VIGILANCIA'!AJ22)</f>
        <v/>
      </c>
      <c r="AL25" s="408" t="str">
        <f>IF(ISBLANK('RESUMEN VIGILANCIA'!AK22),"",'RESUMEN VIGILANCIA'!AK22)</f>
        <v/>
      </c>
      <c r="AM25" s="408" t="str">
        <f>IF(ISBLANK('RESUMEN VIGILANCIA'!AL22),"",'RESUMEN VIGILANCIA'!AL22)</f>
        <v/>
      </c>
      <c r="AN25" s="408" t="str">
        <f>IF(ISBLANK('RESUMEN VIGILANCIA'!AM22),"",'RESUMEN VIGILANCIA'!AM22)</f>
        <v/>
      </c>
      <c r="AO25" s="409" t="str">
        <f>IF(ISBLANK('RESUMEN VIGILANCIA'!AN22),"",'RESUMEN VIGILANCIA'!AN22)</f>
        <v/>
      </c>
      <c r="AP25" s="407" t="str">
        <f>IF(ISBLANK('RESUMEN VIGILANCIA'!AO22),"",'RESUMEN VIGILANCIA'!AO22)</f>
        <v/>
      </c>
      <c r="AQ25" s="408" t="str">
        <f>IF(ISBLANK('RESUMEN VIGILANCIA'!AP22),"",'RESUMEN VIGILANCIA'!AP22)</f>
        <v/>
      </c>
      <c r="AR25" s="408" t="str">
        <f>IF(ISBLANK('RESUMEN VIGILANCIA'!AQ22),"",'RESUMEN VIGILANCIA'!AQ22)</f>
        <v/>
      </c>
      <c r="AS25" s="408" t="str">
        <f>IF(ISBLANK('RESUMEN VIGILANCIA'!AR22),"",'RESUMEN VIGILANCIA'!AR22)</f>
        <v/>
      </c>
      <c r="AT25" s="408" t="str">
        <f>IF(ISBLANK('RESUMEN VIGILANCIA'!AS22),"",'RESUMEN VIGILANCIA'!AS22)</f>
        <v/>
      </c>
      <c r="AU25" s="408" t="str">
        <f>IF(ISBLANK('RESUMEN VIGILANCIA'!AT22),"",'RESUMEN VIGILANCIA'!AT22)</f>
        <v/>
      </c>
      <c r="AV25" s="408" t="str">
        <f>IF(ISBLANK('RESUMEN VIGILANCIA'!AU22),"",'RESUMEN VIGILANCIA'!AU22)</f>
        <v/>
      </c>
      <c r="AW25" s="408" t="str">
        <f>IF(ISBLANK('RESUMEN VIGILANCIA'!AV22),"",'RESUMEN VIGILANCIA'!AV22)</f>
        <v/>
      </c>
      <c r="AX25" s="408" t="str">
        <f>IF(ISBLANK('RESUMEN VIGILANCIA'!AW22),"",'RESUMEN VIGILANCIA'!AW22)</f>
        <v/>
      </c>
      <c r="AY25" s="408" t="str">
        <f>IF(ISBLANK('RESUMEN VIGILANCIA'!AX22),"",'RESUMEN VIGILANCIA'!AX22)</f>
        <v/>
      </c>
      <c r="AZ25" s="408" t="str">
        <f>IF(ISBLANK('RESUMEN VIGILANCIA'!AY22),"",'RESUMEN VIGILANCIA'!AY22)</f>
        <v/>
      </c>
      <c r="BA25" s="409" t="str">
        <f>IF(ISBLANK('RESUMEN VIGILANCIA'!AZ22),"",'RESUMEN VIGILANCIA'!AZ22)</f>
        <v/>
      </c>
      <c r="BB25" s="244">
        <f t="shared" si="0"/>
        <v>0</v>
      </c>
      <c r="BC25" s="110"/>
      <c r="BD25" s="110"/>
    </row>
    <row r="26" spans="1:56" s="29" customFormat="1" ht="20.100000000000001" customHeight="1" x14ac:dyDescent="0.25">
      <c r="A26" s="37" t="str">
        <f>'RESUMEN VIGILANCIA'!A23</f>
        <v>Familia Pereira</v>
      </c>
      <c r="B26" s="38" t="str">
        <f>'RESUMEN VIGILANCIA'!B23</f>
        <v>Calle Guacara Nro. 87-27</v>
      </c>
      <c r="C26" s="450"/>
      <c r="D26" s="458" t="s">
        <v>1268</v>
      </c>
      <c r="E26" s="438" t="str">
        <f>IF(ISBLANK('RESUMEN VIGILANCIA'!D23),"",'RESUMEN VIGILANCIA'!D23)</f>
        <v/>
      </c>
      <c r="F26" s="264" t="str">
        <f>IF(ISBLANK('RESUMEN VIGILANCIA'!E23),"",'RESUMEN VIGILANCIA'!E23)</f>
        <v/>
      </c>
      <c r="G26" s="200" t="str">
        <f>IF(ISBLANK('RESUMEN VIGILANCIA'!F23),"",'RESUMEN VIGILANCIA'!F23)</f>
        <v/>
      </c>
      <c r="H26" s="200" t="str">
        <f>IF(ISBLANK('RESUMEN VIGILANCIA'!G23),"",'RESUMEN VIGILANCIA'!G23)</f>
        <v/>
      </c>
      <c r="I26" s="200" t="str">
        <f>IF(ISBLANK('RESUMEN VIGILANCIA'!H23),"",'RESUMEN VIGILANCIA'!H23)</f>
        <v/>
      </c>
      <c r="J26" s="200" t="str">
        <f>IF(ISBLANK('RESUMEN VIGILANCIA'!I23),"",'RESUMEN VIGILANCIA'!I23)</f>
        <v/>
      </c>
      <c r="K26" s="200" t="str">
        <f>IF(ISBLANK('RESUMEN VIGILANCIA'!J23),"",'RESUMEN VIGILANCIA'!J23)</f>
        <v/>
      </c>
      <c r="L26" s="200" t="str">
        <f>IF(ISBLANK('RESUMEN VIGILANCIA'!K23),"",'RESUMEN VIGILANCIA'!K23)</f>
        <v/>
      </c>
      <c r="M26" s="200" t="str">
        <f>IF(ISBLANK('RESUMEN VIGILANCIA'!L23),"",'RESUMEN VIGILANCIA'!L23)</f>
        <v/>
      </c>
      <c r="N26" s="200" t="str">
        <f>IF(ISBLANK('RESUMEN VIGILANCIA'!M23),"",'RESUMEN VIGILANCIA'!M23)</f>
        <v/>
      </c>
      <c r="O26" s="200" t="str">
        <f>IF(ISBLANK('RESUMEN VIGILANCIA'!N23),"",'RESUMEN VIGILANCIA'!N23)</f>
        <v/>
      </c>
      <c r="P26" s="265" t="str">
        <f>IF(ISBLANK('RESUMEN VIGILANCIA'!O23),"",'RESUMEN VIGILANCIA'!O23)</f>
        <v/>
      </c>
      <c r="Q26" s="198" t="str">
        <f>IF(ISBLANK('RESUMEN VIGILANCIA'!P23),"",'RESUMEN VIGILANCIA'!P23)</f>
        <v/>
      </c>
      <c r="R26" s="266" t="str">
        <f>IF(ISBLANK('RESUMEN VIGILANCIA'!Q23),"",'RESUMEN VIGILANCIA'!Q23)</f>
        <v/>
      </c>
      <c r="S26" s="265" t="str">
        <f>IF(ISBLANK('RESUMEN VIGILANCIA'!R23),"",'RESUMEN VIGILANCIA'!R23)</f>
        <v/>
      </c>
      <c r="T26" s="265" t="str">
        <f>IF(ISBLANK('RESUMEN VIGILANCIA'!S23),"",'RESUMEN VIGILANCIA'!S23)</f>
        <v/>
      </c>
      <c r="U26" s="265" t="str">
        <f>IF(ISBLANK('RESUMEN VIGILANCIA'!T23),"",'RESUMEN VIGILANCIA'!T23)</f>
        <v/>
      </c>
      <c r="V26" s="265" t="str">
        <f>IF(ISBLANK('RESUMEN VIGILANCIA'!U23),"",'RESUMEN VIGILANCIA'!U23)</f>
        <v/>
      </c>
      <c r="W26" s="265" t="str">
        <f>IF(ISBLANK('RESUMEN VIGILANCIA'!V23),"",'RESUMEN VIGILANCIA'!V23)</f>
        <v/>
      </c>
      <c r="X26" s="265" t="str">
        <f>IF(ISBLANK('RESUMEN VIGILANCIA'!W23),"",'RESUMEN VIGILANCIA'!W23)</f>
        <v/>
      </c>
      <c r="Y26" s="265" t="str">
        <f>IF(ISBLANK('RESUMEN VIGILANCIA'!X23),"",'RESUMEN VIGILANCIA'!X23)</f>
        <v/>
      </c>
      <c r="Z26" s="479" t="str">
        <f>IF(ISBLANK('RESUMEN VIGILANCIA'!Y23),"",'RESUMEN VIGILANCIA'!Y23)</f>
        <v/>
      </c>
      <c r="AA26" s="479" t="str">
        <f>IF(ISBLANK('RESUMEN VIGILANCIA'!Z23),"",'RESUMEN VIGILANCIA'!Z23)</f>
        <v/>
      </c>
      <c r="AB26" s="479" t="str">
        <f>IF(ISBLANK('RESUMEN VIGILANCIA'!AA23),"",'RESUMEN VIGILANCIA'!AA23)</f>
        <v/>
      </c>
      <c r="AC26" s="480" t="str">
        <f>IF(ISBLANK('RESUMEN VIGILANCIA'!AB23),"",'RESUMEN VIGILANCIA'!AB23)</f>
        <v/>
      </c>
      <c r="AD26" s="407" t="str">
        <f>IF(ISBLANK('RESUMEN VIGILANCIA'!AC23),"",'RESUMEN VIGILANCIA'!AC23)</f>
        <v/>
      </c>
      <c r="AE26" s="408" t="str">
        <f>IF(ISBLANK('RESUMEN VIGILANCIA'!AD23),"",'RESUMEN VIGILANCIA'!AD23)</f>
        <v/>
      </c>
      <c r="AF26" s="408" t="str">
        <f>IF(ISBLANK('RESUMEN VIGILANCIA'!AE23),"",'RESUMEN VIGILANCIA'!AE23)</f>
        <v/>
      </c>
      <c r="AG26" s="408" t="str">
        <f>IF(ISBLANK('RESUMEN VIGILANCIA'!AF23),"",'RESUMEN VIGILANCIA'!AF23)</f>
        <v/>
      </c>
      <c r="AH26" s="408" t="str">
        <f>IF(ISBLANK('RESUMEN VIGILANCIA'!AG23),"",'RESUMEN VIGILANCIA'!AG23)</f>
        <v/>
      </c>
      <c r="AI26" s="408" t="str">
        <f>IF(ISBLANK('RESUMEN VIGILANCIA'!AH23),"",'RESUMEN VIGILANCIA'!AH23)</f>
        <v/>
      </c>
      <c r="AJ26" s="408" t="str">
        <f>IF(ISBLANK('RESUMEN VIGILANCIA'!AI23),"",'RESUMEN VIGILANCIA'!AI23)</f>
        <v/>
      </c>
      <c r="AK26" s="408" t="str">
        <f>IF(ISBLANK('RESUMEN VIGILANCIA'!AJ23),"",'RESUMEN VIGILANCIA'!AJ23)</f>
        <v/>
      </c>
      <c r="AL26" s="408" t="str">
        <f>IF(ISBLANK('RESUMEN VIGILANCIA'!AK23),"",'RESUMEN VIGILANCIA'!AK23)</f>
        <v/>
      </c>
      <c r="AM26" s="408" t="str">
        <f>IF(ISBLANK('RESUMEN VIGILANCIA'!AL23),"",'RESUMEN VIGILANCIA'!AL23)</f>
        <v/>
      </c>
      <c r="AN26" s="408" t="str">
        <f>IF(ISBLANK('RESUMEN VIGILANCIA'!AM23),"",'RESUMEN VIGILANCIA'!AM23)</f>
        <v/>
      </c>
      <c r="AO26" s="409" t="str">
        <f>IF(ISBLANK('RESUMEN VIGILANCIA'!AN23),"",'RESUMEN VIGILANCIA'!AN23)</f>
        <v/>
      </c>
      <c r="AP26" s="407" t="str">
        <f>IF(ISBLANK('RESUMEN VIGILANCIA'!AO23),"",'RESUMEN VIGILANCIA'!AO23)</f>
        <v/>
      </c>
      <c r="AQ26" s="408" t="str">
        <f>IF(ISBLANK('RESUMEN VIGILANCIA'!AP23),"",'RESUMEN VIGILANCIA'!AP23)</f>
        <v/>
      </c>
      <c r="AR26" s="408" t="str">
        <f>IF(ISBLANK('RESUMEN VIGILANCIA'!AQ23),"",'RESUMEN VIGILANCIA'!AQ23)</f>
        <v/>
      </c>
      <c r="AS26" s="408" t="str">
        <f>IF(ISBLANK('RESUMEN VIGILANCIA'!AR23),"",'RESUMEN VIGILANCIA'!AR23)</f>
        <v/>
      </c>
      <c r="AT26" s="408" t="str">
        <f>IF(ISBLANK('RESUMEN VIGILANCIA'!AS23),"",'RESUMEN VIGILANCIA'!AS23)</f>
        <v/>
      </c>
      <c r="AU26" s="408" t="str">
        <f>IF(ISBLANK('RESUMEN VIGILANCIA'!AT23),"",'RESUMEN VIGILANCIA'!AT23)</f>
        <v/>
      </c>
      <c r="AV26" s="408" t="str">
        <f>IF(ISBLANK('RESUMEN VIGILANCIA'!AU23),"",'RESUMEN VIGILANCIA'!AU23)</f>
        <v/>
      </c>
      <c r="AW26" s="408" t="str">
        <f>IF(ISBLANK('RESUMEN VIGILANCIA'!AV23),"",'RESUMEN VIGILANCIA'!AV23)</f>
        <v/>
      </c>
      <c r="AX26" s="408" t="str">
        <f>IF(ISBLANK('RESUMEN VIGILANCIA'!AW23),"",'RESUMEN VIGILANCIA'!AW23)</f>
        <v/>
      </c>
      <c r="AY26" s="408" t="str">
        <f>IF(ISBLANK('RESUMEN VIGILANCIA'!AX23),"",'RESUMEN VIGILANCIA'!AX23)</f>
        <v/>
      </c>
      <c r="AZ26" s="408" t="str">
        <f>IF(ISBLANK('RESUMEN VIGILANCIA'!AY23),"",'RESUMEN VIGILANCIA'!AY23)</f>
        <v/>
      </c>
      <c r="BA26" s="409" t="str">
        <f>IF(ISBLANK('RESUMEN VIGILANCIA'!AZ23),"",'RESUMEN VIGILANCIA'!AZ23)</f>
        <v/>
      </c>
      <c r="BB26" s="244">
        <f t="shared" si="0"/>
        <v>0</v>
      </c>
      <c r="BC26" s="110"/>
      <c r="BD26" s="110"/>
    </row>
    <row r="27" spans="1:56" s="29" customFormat="1" ht="20.100000000000001" customHeight="1" x14ac:dyDescent="0.25">
      <c r="A27" s="37" t="str">
        <f>'RESUMEN VIGILANCIA'!A25</f>
        <v>Familia Morillo</v>
      </c>
      <c r="B27" s="38" t="str">
        <f>'RESUMEN VIGILANCIA'!B25</f>
        <v>Calle Guacara Nro. 87-35</v>
      </c>
      <c r="C27" s="450"/>
      <c r="D27" s="458" t="s">
        <v>1268</v>
      </c>
      <c r="E27" s="438" t="str">
        <f>IF(ISBLANK('RESUMEN VIGILANCIA'!D25),"",'RESUMEN VIGILANCIA'!D25)</f>
        <v/>
      </c>
      <c r="F27" s="264" t="str">
        <f>IF(ISBLANK('RESUMEN VIGILANCIA'!E25),"",'RESUMEN VIGILANCIA'!E25)</f>
        <v/>
      </c>
      <c r="G27" s="200" t="str">
        <f>IF(ISBLANK('RESUMEN VIGILANCIA'!F25),"",'RESUMEN VIGILANCIA'!F25)</f>
        <v/>
      </c>
      <c r="H27" s="200" t="str">
        <f>IF(ISBLANK('RESUMEN VIGILANCIA'!G25),"",'RESUMEN VIGILANCIA'!G25)</f>
        <v/>
      </c>
      <c r="I27" s="200" t="str">
        <f>IF(ISBLANK('RESUMEN VIGILANCIA'!H25),"",'RESUMEN VIGILANCIA'!H25)</f>
        <v/>
      </c>
      <c r="J27" s="200" t="str">
        <f>IF(ISBLANK('RESUMEN VIGILANCIA'!I25),"",'RESUMEN VIGILANCIA'!I25)</f>
        <v/>
      </c>
      <c r="K27" s="200" t="str">
        <f>IF(ISBLANK('RESUMEN VIGILANCIA'!J25),"",'RESUMEN VIGILANCIA'!J25)</f>
        <v/>
      </c>
      <c r="L27" s="200" t="str">
        <f>IF(ISBLANK('RESUMEN VIGILANCIA'!K25),"",'RESUMEN VIGILANCIA'!K25)</f>
        <v/>
      </c>
      <c r="M27" s="200" t="str">
        <f>IF(ISBLANK('RESUMEN VIGILANCIA'!L25),"",'RESUMEN VIGILANCIA'!L25)</f>
        <v/>
      </c>
      <c r="N27" s="200" t="str">
        <f>IF(ISBLANK('RESUMEN VIGILANCIA'!M25),"",'RESUMEN VIGILANCIA'!M25)</f>
        <v/>
      </c>
      <c r="O27" s="200" t="str">
        <f>IF(ISBLANK('RESUMEN VIGILANCIA'!N25),"",'RESUMEN VIGILANCIA'!N25)</f>
        <v/>
      </c>
      <c r="P27" s="265" t="str">
        <f>IF(ISBLANK('RESUMEN VIGILANCIA'!O25),"",'RESUMEN VIGILANCIA'!O25)</f>
        <v/>
      </c>
      <c r="Q27" s="198" t="str">
        <f>IF(ISBLANK('RESUMEN VIGILANCIA'!P25),"",'RESUMEN VIGILANCIA'!P25)</f>
        <v/>
      </c>
      <c r="R27" s="266" t="str">
        <f>IF(ISBLANK('RESUMEN VIGILANCIA'!Q25),"",'RESUMEN VIGILANCIA'!Q25)</f>
        <v/>
      </c>
      <c r="S27" s="265" t="str">
        <f>IF(ISBLANK('RESUMEN VIGILANCIA'!R25),"",'RESUMEN VIGILANCIA'!R25)</f>
        <v/>
      </c>
      <c r="T27" s="265" t="str">
        <f>IF(ISBLANK('RESUMEN VIGILANCIA'!S25),"",'RESUMEN VIGILANCIA'!S25)</f>
        <v/>
      </c>
      <c r="U27" s="265" t="str">
        <f>IF(ISBLANK('RESUMEN VIGILANCIA'!T25),"",'RESUMEN VIGILANCIA'!T25)</f>
        <v/>
      </c>
      <c r="V27" s="265" t="str">
        <f>IF(ISBLANK('RESUMEN VIGILANCIA'!U25),"",'RESUMEN VIGILANCIA'!U25)</f>
        <v/>
      </c>
      <c r="W27" s="265" t="str">
        <f>IF(ISBLANK('RESUMEN VIGILANCIA'!V25),"",'RESUMEN VIGILANCIA'!V25)</f>
        <v/>
      </c>
      <c r="X27" s="265" t="str">
        <f>IF(ISBLANK('RESUMEN VIGILANCIA'!W25),"",'RESUMEN VIGILANCIA'!W25)</f>
        <v/>
      </c>
      <c r="Y27" s="265" t="str">
        <f>IF(ISBLANK('RESUMEN VIGILANCIA'!X25),"",'RESUMEN VIGILANCIA'!X25)</f>
        <v/>
      </c>
      <c r="Z27" s="479" t="str">
        <f>IF(ISBLANK('RESUMEN VIGILANCIA'!Y25),"",'RESUMEN VIGILANCIA'!Y25)</f>
        <v/>
      </c>
      <c r="AA27" s="479" t="str">
        <f>IF(ISBLANK('RESUMEN VIGILANCIA'!Z25),"",'RESUMEN VIGILANCIA'!Z25)</f>
        <v/>
      </c>
      <c r="AB27" s="479" t="str">
        <f>IF(ISBLANK('RESUMEN VIGILANCIA'!AA25),"",'RESUMEN VIGILANCIA'!AA25)</f>
        <v/>
      </c>
      <c r="AC27" s="480" t="str">
        <f>IF(ISBLANK('RESUMEN VIGILANCIA'!AB25),"",'RESUMEN VIGILANCIA'!AB25)</f>
        <v/>
      </c>
      <c r="AD27" s="407" t="str">
        <f>IF(ISBLANK('RESUMEN VIGILANCIA'!AC25),"",'RESUMEN VIGILANCIA'!AC25)</f>
        <v/>
      </c>
      <c r="AE27" s="408" t="str">
        <f>IF(ISBLANK('RESUMEN VIGILANCIA'!AD25),"",'RESUMEN VIGILANCIA'!AD25)</f>
        <v/>
      </c>
      <c r="AF27" s="408" t="str">
        <f>IF(ISBLANK('RESUMEN VIGILANCIA'!AE25),"",'RESUMEN VIGILANCIA'!AE25)</f>
        <v/>
      </c>
      <c r="AG27" s="408" t="str">
        <f>IF(ISBLANK('RESUMEN VIGILANCIA'!AF25),"",'RESUMEN VIGILANCIA'!AF25)</f>
        <v/>
      </c>
      <c r="AH27" s="408" t="str">
        <f>IF(ISBLANK('RESUMEN VIGILANCIA'!AG25),"",'RESUMEN VIGILANCIA'!AG25)</f>
        <v/>
      </c>
      <c r="AI27" s="408" t="str">
        <f>IF(ISBLANK('RESUMEN VIGILANCIA'!AH25),"",'RESUMEN VIGILANCIA'!AH25)</f>
        <v/>
      </c>
      <c r="AJ27" s="408" t="str">
        <f>IF(ISBLANK('RESUMEN VIGILANCIA'!AI25),"",'RESUMEN VIGILANCIA'!AI25)</f>
        <v/>
      </c>
      <c r="AK27" s="408" t="str">
        <f>IF(ISBLANK('RESUMEN VIGILANCIA'!AJ25),"",'RESUMEN VIGILANCIA'!AJ25)</f>
        <v/>
      </c>
      <c r="AL27" s="408" t="str">
        <f>IF(ISBLANK('RESUMEN VIGILANCIA'!AK25),"",'RESUMEN VIGILANCIA'!AK25)</f>
        <v/>
      </c>
      <c r="AM27" s="408" t="str">
        <f>IF(ISBLANK('RESUMEN VIGILANCIA'!AL25),"",'RESUMEN VIGILANCIA'!AL25)</f>
        <v/>
      </c>
      <c r="AN27" s="408" t="str">
        <f>IF(ISBLANK('RESUMEN VIGILANCIA'!AM25),"",'RESUMEN VIGILANCIA'!AM25)</f>
        <v/>
      </c>
      <c r="AO27" s="409" t="str">
        <f>IF(ISBLANK('RESUMEN VIGILANCIA'!AN25),"",'RESUMEN VIGILANCIA'!AN25)</f>
        <v/>
      </c>
      <c r="AP27" s="407" t="str">
        <f>IF(ISBLANK('RESUMEN VIGILANCIA'!AO25),"",'RESUMEN VIGILANCIA'!AO25)</f>
        <v/>
      </c>
      <c r="AQ27" s="408" t="str">
        <f>IF(ISBLANK('RESUMEN VIGILANCIA'!AP25),"",'RESUMEN VIGILANCIA'!AP25)</f>
        <v/>
      </c>
      <c r="AR27" s="408" t="str">
        <f>IF(ISBLANK('RESUMEN VIGILANCIA'!AQ25),"",'RESUMEN VIGILANCIA'!AQ25)</f>
        <v/>
      </c>
      <c r="AS27" s="408" t="str">
        <f>IF(ISBLANK('RESUMEN VIGILANCIA'!AR25),"",'RESUMEN VIGILANCIA'!AR25)</f>
        <v/>
      </c>
      <c r="AT27" s="408" t="str">
        <f>IF(ISBLANK('RESUMEN VIGILANCIA'!AS25),"",'RESUMEN VIGILANCIA'!AS25)</f>
        <v/>
      </c>
      <c r="AU27" s="408" t="str">
        <f>IF(ISBLANK('RESUMEN VIGILANCIA'!AT25),"",'RESUMEN VIGILANCIA'!AT25)</f>
        <v/>
      </c>
      <c r="AV27" s="408" t="str">
        <f>IF(ISBLANK('RESUMEN VIGILANCIA'!AU25),"",'RESUMEN VIGILANCIA'!AU25)</f>
        <v/>
      </c>
      <c r="AW27" s="408" t="str">
        <f>IF(ISBLANK('RESUMEN VIGILANCIA'!AV25),"",'RESUMEN VIGILANCIA'!AV25)</f>
        <v/>
      </c>
      <c r="AX27" s="408" t="str">
        <f>IF(ISBLANK('RESUMEN VIGILANCIA'!AW25),"",'RESUMEN VIGILANCIA'!AW25)</f>
        <v/>
      </c>
      <c r="AY27" s="408" t="str">
        <f>IF(ISBLANK('RESUMEN VIGILANCIA'!AX25),"",'RESUMEN VIGILANCIA'!AX25)</f>
        <v/>
      </c>
      <c r="AZ27" s="408" t="str">
        <f>IF(ISBLANK('RESUMEN VIGILANCIA'!AY25),"",'RESUMEN VIGILANCIA'!AY25)</f>
        <v/>
      </c>
      <c r="BA27" s="409" t="str">
        <f>IF(ISBLANK('RESUMEN VIGILANCIA'!AZ25),"",'RESUMEN VIGILANCIA'!AZ25)</f>
        <v/>
      </c>
      <c r="BB27" s="244">
        <f t="shared" si="0"/>
        <v>0</v>
      </c>
      <c r="BC27" s="110"/>
      <c r="BD27" s="110"/>
    </row>
    <row r="28" spans="1:56" s="29" customFormat="1" ht="20.100000000000001" customHeight="1" x14ac:dyDescent="0.25">
      <c r="A28" s="37" t="str">
        <f>'RESUMEN VIGILANCIA'!A29</f>
        <v>Familia De Sousa Pereira</v>
      </c>
      <c r="B28" s="38" t="str">
        <f>'RESUMEN VIGILANCIA'!B29</f>
        <v>Calle Guacara Nro. 87-65</v>
      </c>
      <c r="C28" s="450"/>
      <c r="D28" s="458" t="s">
        <v>1268</v>
      </c>
      <c r="E28" s="438" t="str">
        <f>IF(ISBLANK('RESUMEN VIGILANCIA'!D29),"",'RESUMEN VIGILANCIA'!D29)</f>
        <v/>
      </c>
      <c r="F28" s="264" t="str">
        <f>IF(ISBLANK('RESUMEN VIGILANCIA'!E29),"",'RESUMEN VIGILANCIA'!E29)</f>
        <v/>
      </c>
      <c r="G28" s="200" t="str">
        <f>IF(ISBLANK('RESUMEN VIGILANCIA'!F29),"",'RESUMEN VIGILANCIA'!F29)</f>
        <v/>
      </c>
      <c r="H28" s="200" t="str">
        <f>IF(ISBLANK('RESUMEN VIGILANCIA'!G29),"",'RESUMEN VIGILANCIA'!G29)</f>
        <v/>
      </c>
      <c r="I28" s="200" t="str">
        <f>IF(ISBLANK('RESUMEN VIGILANCIA'!H29),"",'RESUMEN VIGILANCIA'!H29)</f>
        <v/>
      </c>
      <c r="J28" s="200" t="str">
        <f>IF(ISBLANK('RESUMEN VIGILANCIA'!I29),"",'RESUMEN VIGILANCIA'!I29)</f>
        <v/>
      </c>
      <c r="K28" s="200" t="str">
        <f>IF(ISBLANK('RESUMEN VIGILANCIA'!J29),"",'RESUMEN VIGILANCIA'!J29)</f>
        <v/>
      </c>
      <c r="L28" s="200" t="str">
        <f>IF(ISBLANK('RESUMEN VIGILANCIA'!K29),"",'RESUMEN VIGILANCIA'!K29)</f>
        <v/>
      </c>
      <c r="M28" s="200" t="str">
        <f>IF(ISBLANK('RESUMEN VIGILANCIA'!L29),"",'RESUMEN VIGILANCIA'!L29)</f>
        <v/>
      </c>
      <c r="N28" s="200" t="str">
        <f>IF(ISBLANK('RESUMEN VIGILANCIA'!M29),"",'RESUMEN VIGILANCIA'!M29)</f>
        <v/>
      </c>
      <c r="O28" s="200" t="str">
        <f>IF(ISBLANK('RESUMEN VIGILANCIA'!N29),"",'RESUMEN VIGILANCIA'!N29)</f>
        <v/>
      </c>
      <c r="P28" s="265" t="str">
        <f>IF(ISBLANK('RESUMEN VIGILANCIA'!O29),"",'RESUMEN VIGILANCIA'!O29)</f>
        <v/>
      </c>
      <c r="Q28" s="198" t="str">
        <f>IF(ISBLANK('RESUMEN VIGILANCIA'!P29),"",'RESUMEN VIGILANCIA'!P29)</f>
        <v/>
      </c>
      <c r="R28" s="266" t="str">
        <f>IF(ISBLANK('RESUMEN VIGILANCIA'!Q29),"",'RESUMEN VIGILANCIA'!Q29)</f>
        <v/>
      </c>
      <c r="S28" s="265" t="str">
        <f>IF(ISBLANK('RESUMEN VIGILANCIA'!R29),"",'RESUMEN VIGILANCIA'!R29)</f>
        <v/>
      </c>
      <c r="T28" s="265" t="str">
        <f>IF(ISBLANK('RESUMEN VIGILANCIA'!S29),"",'RESUMEN VIGILANCIA'!S29)</f>
        <v/>
      </c>
      <c r="U28" s="265" t="str">
        <f>IF(ISBLANK('RESUMEN VIGILANCIA'!T29),"",'RESUMEN VIGILANCIA'!T29)</f>
        <v/>
      </c>
      <c r="V28" s="265" t="str">
        <f>IF(ISBLANK('RESUMEN VIGILANCIA'!U29),"",'RESUMEN VIGILANCIA'!U29)</f>
        <v/>
      </c>
      <c r="W28" s="265" t="str">
        <f>IF(ISBLANK('RESUMEN VIGILANCIA'!V29),"",'RESUMEN VIGILANCIA'!V29)</f>
        <v/>
      </c>
      <c r="X28" s="265" t="str">
        <f>IF(ISBLANK('RESUMEN VIGILANCIA'!W29),"",'RESUMEN VIGILANCIA'!W29)</f>
        <v/>
      </c>
      <c r="Y28" s="265" t="str">
        <f>IF(ISBLANK('RESUMEN VIGILANCIA'!X29),"",'RESUMEN VIGILANCIA'!X29)</f>
        <v/>
      </c>
      <c r="Z28" s="479" t="str">
        <f>IF(ISBLANK('RESUMEN VIGILANCIA'!Y29),"",'RESUMEN VIGILANCIA'!Y29)</f>
        <v/>
      </c>
      <c r="AA28" s="479" t="str">
        <f>IF(ISBLANK('RESUMEN VIGILANCIA'!Z29),"",'RESUMEN VIGILANCIA'!Z29)</f>
        <v/>
      </c>
      <c r="AB28" s="479" t="str">
        <f>IF(ISBLANK('RESUMEN VIGILANCIA'!AA29),"",'RESUMEN VIGILANCIA'!AA29)</f>
        <v/>
      </c>
      <c r="AC28" s="480" t="str">
        <f>IF(ISBLANK('RESUMEN VIGILANCIA'!AB29),"",'RESUMEN VIGILANCIA'!AB29)</f>
        <v/>
      </c>
      <c r="AD28" s="407" t="str">
        <f>IF(ISBLANK('RESUMEN VIGILANCIA'!AC29),"",'RESUMEN VIGILANCIA'!AC29)</f>
        <v/>
      </c>
      <c r="AE28" s="408" t="str">
        <f>IF(ISBLANK('RESUMEN VIGILANCIA'!AD29),"",'RESUMEN VIGILANCIA'!AD29)</f>
        <v/>
      </c>
      <c r="AF28" s="408" t="str">
        <f>IF(ISBLANK('RESUMEN VIGILANCIA'!AE29),"",'RESUMEN VIGILANCIA'!AE29)</f>
        <v/>
      </c>
      <c r="AG28" s="408" t="str">
        <f>IF(ISBLANK('RESUMEN VIGILANCIA'!AF29),"",'RESUMEN VIGILANCIA'!AF29)</f>
        <v/>
      </c>
      <c r="AH28" s="408" t="str">
        <f>IF(ISBLANK('RESUMEN VIGILANCIA'!AG29),"",'RESUMEN VIGILANCIA'!AG29)</f>
        <v/>
      </c>
      <c r="AI28" s="408" t="str">
        <f>IF(ISBLANK('RESUMEN VIGILANCIA'!AH29),"",'RESUMEN VIGILANCIA'!AH29)</f>
        <v/>
      </c>
      <c r="AJ28" s="408" t="str">
        <f>IF(ISBLANK('RESUMEN VIGILANCIA'!AI29),"",'RESUMEN VIGILANCIA'!AI29)</f>
        <v/>
      </c>
      <c r="AK28" s="408" t="str">
        <f>IF(ISBLANK('RESUMEN VIGILANCIA'!AJ29),"",'RESUMEN VIGILANCIA'!AJ29)</f>
        <v/>
      </c>
      <c r="AL28" s="408" t="str">
        <f>IF(ISBLANK('RESUMEN VIGILANCIA'!AK29),"",'RESUMEN VIGILANCIA'!AK29)</f>
        <v/>
      </c>
      <c r="AM28" s="408" t="str">
        <f>IF(ISBLANK('RESUMEN VIGILANCIA'!AL29),"",'RESUMEN VIGILANCIA'!AL29)</f>
        <v/>
      </c>
      <c r="AN28" s="408" t="str">
        <f>IF(ISBLANK('RESUMEN VIGILANCIA'!AM29),"",'RESUMEN VIGILANCIA'!AM29)</f>
        <v/>
      </c>
      <c r="AO28" s="409" t="str">
        <f>IF(ISBLANK('RESUMEN VIGILANCIA'!AN29),"",'RESUMEN VIGILANCIA'!AN29)</f>
        <v/>
      </c>
      <c r="AP28" s="407" t="str">
        <f>IF(ISBLANK('RESUMEN VIGILANCIA'!AO29),"",'RESUMEN VIGILANCIA'!AO29)</f>
        <v/>
      </c>
      <c r="AQ28" s="408" t="str">
        <f>IF(ISBLANK('RESUMEN VIGILANCIA'!AP29),"",'RESUMEN VIGILANCIA'!AP29)</f>
        <v/>
      </c>
      <c r="AR28" s="408" t="str">
        <f>IF(ISBLANK('RESUMEN VIGILANCIA'!AQ29),"",'RESUMEN VIGILANCIA'!AQ29)</f>
        <v/>
      </c>
      <c r="AS28" s="408" t="str">
        <f>IF(ISBLANK('RESUMEN VIGILANCIA'!AR29),"",'RESUMEN VIGILANCIA'!AR29)</f>
        <v/>
      </c>
      <c r="AT28" s="408" t="str">
        <f>IF(ISBLANK('RESUMEN VIGILANCIA'!AS29),"",'RESUMEN VIGILANCIA'!AS29)</f>
        <v/>
      </c>
      <c r="AU28" s="408" t="str">
        <f>IF(ISBLANK('RESUMEN VIGILANCIA'!AT29),"",'RESUMEN VIGILANCIA'!AT29)</f>
        <v/>
      </c>
      <c r="AV28" s="408" t="str">
        <f>IF(ISBLANK('RESUMEN VIGILANCIA'!AU29),"",'RESUMEN VIGILANCIA'!AU29)</f>
        <v/>
      </c>
      <c r="AW28" s="408" t="str">
        <f>IF(ISBLANK('RESUMEN VIGILANCIA'!AV29),"",'RESUMEN VIGILANCIA'!AV29)</f>
        <v/>
      </c>
      <c r="AX28" s="408" t="str">
        <f>IF(ISBLANK('RESUMEN VIGILANCIA'!AW29),"",'RESUMEN VIGILANCIA'!AW29)</f>
        <v/>
      </c>
      <c r="AY28" s="408" t="str">
        <f>IF(ISBLANK('RESUMEN VIGILANCIA'!AX29),"",'RESUMEN VIGILANCIA'!AX29)</f>
        <v/>
      </c>
      <c r="AZ28" s="408" t="str">
        <f>IF(ISBLANK('RESUMEN VIGILANCIA'!AY29),"",'RESUMEN VIGILANCIA'!AY29)</f>
        <v/>
      </c>
      <c r="BA28" s="409" t="str">
        <f>IF(ISBLANK('RESUMEN VIGILANCIA'!AZ29),"",'RESUMEN VIGILANCIA'!AZ29)</f>
        <v/>
      </c>
      <c r="BB28" s="244">
        <f t="shared" si="0"/>
        <v>0</v>
      </c>
      <c r="BC28" s="110"/>
      <c r="BD28" s="110"/>
    </row>
    <row r="29" spans="1:56" s="29" customFormat="1" ht="20.100000000000001" customHeight="1" x14ac:dyDescent="0.25">
      <c r="A29" s="37" t="str">
        <f>'RESUMEN VIGILANCIA'!A28</f>
        <v>Familia Ramírez (Guacara)</v>
      </c>
      <c r="B29" s="38" t="str">
        <f>'RESUMEN VIGILANCIA'!B28</f>
        <v>Calle Guacara Nro. 87-59</v>
      </c>
      <c r="C29" s="450"/>
      <c r="D29" s="458" t="s">
        <v>1268</v>
      </c>
      <c r="E29" s="438" t="str">
        <f>IF(ISBLANK('RESUMEN VIGILANCIA'!D28),"",'RESUMEN VIGILANCIA'!D28)</f>
        <v/>
      </c>
      <c r="F29" s="264" t="str">
        <f>IF(ISBLANK('RESUMEN VIGILANCIA'!E28),"",'RESUMEN VIGILANCIA'!E28)</f>
        <v/>
      </c>
      <c r="G29" s="200" t="str">
        <f>IF(ISBLANK('RESUMEN VIGILANCIA'!F28),"",'RESUMEN VIGILANCIA'!F28)</f>
        <v/>
      </c>
      <c r="H29" s="200" t="str">
        <f>IF(ISBLANK('RESUMEN VIGILANCIA'!G28),"",'RESUMEN VIGILANCIA'!G28)</f>
        <v/>
      </c>
      <c r="I29" s="200" t="str">
        <f>IF(ISBLANK('RESUMEN VIGILANCIA'!H28),"",'RESUMEN VIGILANCIA'!H28)</f>
        <v/>
      </c>
      <c r="J29" s="200" t="str">
        <f>IF(ISBLANK('RESUMEN VIGILANCIA'!I28),"",'RESUMEN VIGILANCIA'!I28)</f>
        <v/>
      </c>
      <c r="K29" s="200" t="str">
        <f>IF(ISBLANK('RESUMEN VIGILANCIA'!J28),"",'RESUMEN VIGILANCIA'!J28)</f>
        <v/>
      </c>
      <c r="L29" s="200" t="str">
        <f>IF(ISBLANK('RESUMEN VIGILANCIA'!K28),"",'RESUMEN VIGILANCIA'!K28)</f>
        <v/>
      </c>
      <c r="M29" s="200" t="str">
        <f>IF(ISBLANK('RESUMEN VIGILANCIA'!L28),"",'RESUMEN VIGILANCIA'!L28)</f>
        <v/>
      </c>
      <c r="N29" s="200" t="str">
        <f>IF(ISBLANK('RESUMEN VIGILANCIA'!M28),"",'RESUMEN VIGILANCIA'!M28)</f>
        <v/>
      </c>
      <c r="O29" s="200" t="str">
        <f>IF(ISBLANK('RESUMEN VIGILANCIA'!N28),"",'RESUMEN VIGILANCIA'!N28)</f>
        <v/>
      </c>
      <c r="P29" s="265" t="str">
        <f>IF(ISBLANK('RESUMEN VIGILANCIA'!O28),"",'RESUMEN VIGILANCIA'!O28)</f>
        <v/>
      </c>
      <c r="Q29" s="198" t="str">
        <f>IF(ISBLANK('RESUMEN VIGILANCIA'!P28),"",'RESUMEN VIGILANCIA'!P28)</f>
        <v/>
      </c>
      <c r="R29" s="266" t="str">
        <f>IF(ISBLANK('RESUMEN VIGILANCIA'!Q28),"",'RESUMEN VIGILANCIA'!Q28)</f>
        <v/>
      </c>
      <c r="S29" s="265" t="str">
        <f>IF(ISBLANK('RESUMEN VIGILANCIA'!R28),"",'RESUMEN VIGILANCIA'!R28)</f>
        <v/>
      </c>
      <c r="T29" s="265" t="str">
        <f>IF(ISBLANK('RESUMEN VIGILANCIA'!S28),"",'RESUMEN VIGILANCIA'!S28)</f>
        <v/>
      </c>
      <c r="U29" s="265" t="str">
        <f>IF(ISBLANK('RESUMEN VIGILANCIA'!T28),"",'RESUMEN VIGILANCIA'!T28)</f>
        <v/>
      </c>
      <c r="V29" s="265" t="str">
        <f>IF(ISBLANK('RESUMEN VIGILANCIA'!U28),"",'RESUMEN VIGILANCIA'!U28)</f>
        <v/>
      </c>
      <c r="W29" s="265" t="str">
        <f>IF(ISBLANK('RESUMEN VIGILANCIA'!V28),"",'RESUMEN VIGILANCIA'!V28)</f>
        <v/>
      </c>
      <c r="X29" s="265" t="str">
        <f>IF(ISBLANK('RESUMEN VIGILANCIA'!W28),"",'RESUMEN VIGILANCIA'!W28)</f>
        <v/>
      </c>
      <c r="Y29" s="265" t="str">
        <f>IF(ISBLANK('RESUMEN VIGILANCIA'!X28),"",'RESUMEN VIGILANCIA'!X28)</f>
        <v/>
      </c>
      <c r="Z29" s="479" t="str">
        <f>IF(ISBLANK('RESUMEN VIGILANCIA'!Y28),"",'RESUMEN VIGILANCIA'!Y28)</f>
        <v/>
      </c>
      <c r="AA29" s="479" t="str">
        <f>IF(ISBLANK('RESUMEN VIGILANCIA'!Z28),"",'RESUMEN VIGILANCIA'!Z28)</f>
        <v/>
      </c>
      <c r="AB29" s="479" t="str">
        <f>IF(ISBLANK('RESUMEN VIGILANCIA'!AA28),"",'RESUMEN VIGILANCIA'!AA28)</f>
        <v/>
      </c>
      <c r="AC29" s="480" t="str">
        <f>IF(ISBLANK('RESUMEN VIGILANCIA'!AB28),"",'RESUMEN VIGILANCIA'!AB28)</f>
        <v/>
      </c>
      <c r="AD29" s="407" t="str">
        <f>IF(ISBLANK('RESUMEN VIGILANCIA'!AC28),"",'RESUMEN VIGILANCIA'!AC28)</f>
        <v/>
      </c>
      <c r="AE29" s="408" t="str">
        <f>IF(ISBLANK('RESUMEN VIGILANCIA'!AD28),"",'RESUMEN VIGILANCIA'!AD28)</f>
        <v/>
      </c>
      <c r="AF29" s="408" t="str">
        <f>IF(ISBLANK('RESUMEN VIGILANCIA'!AE28),"",'RESUMEN VIGILANCIA'!AE28)</f>
        <v/>
      </c>
      <c r="AG29" s="408" t="str">
        <f>IF(ISBLANK('RESUMEN VIGILANCIA'!AF28),"",'RESUMEN VIGILANCIA'!AF28)</f>
        <v/>
      </c>
      <c r="AH29" s="408" t="str">
        <f>IF(ISBLANK('RESUMEN VIGILANCIA'!AG28),"",'RESUMEN VIGILANCIA'!AG28)</f>
        <v/>
      </c>
      <c r="AI29" s="408" t="str">
        <f>IF(ISBLANK('RESUMEN VIGILANCIA'!AH28),"",'RESUMEN VIGILANCIA'!AH28)</f>
        <v/>
      </c>
      <c r="AJ29" s="408" t="str">
        <f>IF(ISBLANK('RESUMEN VIGILANCIA'!AI28),"",'RESUMEN VIGILANCIA'!AI28)</f>
        <v/>
      </c>
      <c r="AK29" s="408" t="str">
        <f>IF(ISBLANK('RESUMEN VIGILANCIA'!AJ28),"",'RESUMEN VIGILANCIA'!AJ28)</f>
        <v/>
      </c>
      <c r="AL29" s="408" t="str">
        <f>IF(ISBLANK('RESUMEN VIGILANCIA'!AK28),"",'RESUMEN VIGILANCIA'!AK28)</f>
        <v/>
      </c>
      <c r="AM29" s="408" t="str">
        <f>IF(ISBLANK('RESUMEN VIGILANCIA'!AL28),"",'RESUMEN VIGILANCIA'!AL28)</f>
        <v/>
      </c>
      <c r="AN29" s="408" t="str">
        <f>IF(ISBLANK('RESUMEN VIGILANCIA'!AM28),"",'RESUMEN VIGILANCIA'!AM28)</f>
        <v/>
      </c>
      <c r="AO29" s="409" t="str">
        <f>IF(ISBLANK('RESUMEN VIGILANCIA'!AN28),"",'RESUMEN VIGILANCIA'!AN28)</f>
        <v/>
      </c>
      <c r="AP29" s="407" t="str">
        <f>IF(ISBLANK('RESUMEN VIGILANCIA'!AO28),"",'RESUMEN VIGILANCIA'!AO28)</f>
        <v/>
      </c>
      <c r="AQ29" s="408" t="str">
        <f>IF(ISBLANK('RESUMEN VIGILANCIA'!AP28),"",'RESUMEN VIGILANCIA'!AP28)</f>
        <v/>
      </c>
      <c r="AR29" s="408" t="str">
        <f>IF(ISBLANK('RESUMEN VIGILANCIA'!AQ28),"",'RESUMEN VIGILANCIA'!AQ28)</f>
        <v/>
      </c>
      <c r="AS29" s="408" t="str">
        <f>IF(ISBLANK('RESUMEN VIGILANCIA'!AR28),"",'RESUMEN VIGILANCIA'!AR28)</f>
        <v/>
      </c>
      <c r="AT29" s="408" t="str">
        <f>IF(ISBLANK('RESUMEN VIGILANCIA'!AS28),"",'RESUMEN VIGILANCIA'!AS28)</f>
        <v/>
      </c>
      <c r="AU29" s="408" t="str">
        <f>IF(ISBLANK('RESUMEN VIGILANCIA'!AT28),"",'RESUMEN VIGILANCIA'!AT28)</f>
        <v/>
      </c>
      <c r="AV29" s="408" t="str">
        <f>IF(ISBLANK('RESUMEN VIGILANCIA'!AU28),"",'RESUMEN VIGILANCIA'!AU28)</f>
        <v/>
      </c>
      <c r="AW29" s="408" t="str">
        <f>IF(ISBLANK('RESUMEN VIGILANCIA'!AV28),"",'RESUMEN VIGILANCIA'!AV28)</f>
        <v/>
      </c>
      <c r="AX29" s="408" t="str">
        <f>IF(ISBLANK('RESUMEN VIGILANCIA'!AW28),"",'RESUMEN VIGILANCIA'!AW28)</f>
        <v/>
      </c>
      <c r="AY29" s="408" t="str">
        <f>IF(ISBLANK('RESUMEN VIGILANCIA'!AX28),"",'RESUMEN VIGILANCIA'!AX28)</f>
        <v/>
      </c>
      <c r="AZ29" s="408" t="str">
        <f>IF(ISBLANK('RESUMEN VIGILANCIA'!AY28),"",'RESUMEN VIGILANCIA'!AY28)</f>
        <v/>
      </c>
      <c r="BA29" s="409" t="str">
        <f>IF(ISBLANK('RESUMEN VIGILANCIA'!AZ28),"",'RESUMEN VIGILANCIA'!AZ28)</f>
        <v/>
      </c>
      <c r="BB29" s="244">
        <f t="shared" si="0"/>
        <v>0</v>
      </c>
      <c r="BC29" s="110"/>
      <c r="BD29" s="110"/>
    </row>
    <row r="30" spans="1:56" s="29" customFormat="1" ht="20.100000000000001" customHeight="1" x14ac:dyDescent="0.25">
      <c r="A30" s="37" t="str">
        <f>'RESUMEN VIGILANCIA'!A27</f>
        <v>Familia Moretti</v>
      </c>
      <c r="B30" s="38" t="str">
        <f>'RESUMEN VIGILANCIA'!B27</f>
        <v>Calle Guacara Nro. 87-51</v>
      </c>
      <c r="C30" s="450"/>
      <c r="D30" s="458" t="s">
        <v>1268</v>
      </c>
      <c r="E30" s="438" t="str">
        <f>IF(ISBLANK('RESUMEN VIGILANCIA'!D27),"",'RESUMEN VIGILANCIA'!D27)</f>
        <v/>
      </c>
      <c r="F30" s="264" t="str">
        <f>IF(ISBLANK('RESUMEN VIGILANCIA'!E27),"",'RESUMEN VIGILANCIA'!E27)</f>
        <v/>
      </c>
      <c r="G30" s="200" t="str">
        <f>IF(ISBLANK('RESUMEN VIGILANCIA'!F27),"",'RESUMEN VIGILANCIA'!F27)</f>
        <v/>
      </c>
      <c r="H30" s="200" t="str">
        <f>IF(ISBLANK('RESUMEN VIGILANCIA'!G27),"",'RESUMEN VIGILANCIA'!G27)</f>
        <v/>
      </c>
      <c r="I30" s="200" t="str">
        <f>IF(ISBLANK('RESUMEN VIGILANCIA'!H27),"",'RESUMEN VIGILANCIA'!H27)</f>
        <v/>
      </c>
      <c r="J30" s="200" t="str">
        <f>IF(ISBLANK('RESUMEN VIGILANCIA'!I27),"",'RESUMEN VIGILANCIA'!I27)</f>
        <v/>
      </c>
      <c r="K30" s="200" t="str">
        <f>IF(ISBLANK('RESUMEN VIGILANCIA'!J27),"",'RESUMEN VIGILANCIA'!J27)</f>
        <v/>
      </c>
      <c r="L30" s="200" t="str">
        <f>IF(ISBLANK('RESUMEN VIGILANCIA'!K27),"",'RESUMEN VIGILANCIA'!K27)</f>
        <v/>
      </c>
      <c r="M30" s="200" t="str">
        <f>IF(ISBLANK('RESUMEN VIGILANCIA'!L27),"",'RESUMEN VIGILANCIA'!L27)</f>
        <v/>
      </c>
      <c r="N30" s="200" t="str">
        <f>IF(ISBLANK('RESUMEN VIGILANCIA'!M27),"",'RESUMEN VIGILANCIA'!M27)</f>
        <v/>
      </c>
      <c r="O30" s="200" t="str">
        <f>IF(ISBLANK('RESUMEN VIGILANCIA'!N27),"",'RESUMEN VIGILANCIA'!N27)</f>
        <v/>
      </c>
      <c r="P30" s="265" t="str">
        <f>IF(ISBLANK('RESUMEN VIGILANCIA'!O27),"",'RESUMEN VIGILANCIA'!O27)</f>
        <v/>
      </c>
      <c r="Q30" s="198" t="str">
        <f>IF(ISBLANK('RESUMEN VIGILANCIA'!P27),"",'RESUMEN VIGILANCIA'!P27)</f>
        <v/>
      </c>
      <c r="R30" s="266" t="str">
        <f>IF(ISBLANK('RESUMEN VIGILANCIA'!Q27),"",'RESUMEN VIGILANCIA'!Q27)</f>
        <v/>
      </c>
      <c r="S30" s="265" t="str">
        <f>IF(ISBLANK('RESUMEN VIGILANCIA'!R27),"",'RESUMEN VIGILANCIA'!R27)</f>
        <v/>
      </c>
      <c r="T30" s="265" t="str">
        <f>IF(ISBLANK('RESUMEN VIGILANCIA'!S27),"",'RESUMEN VIGILANCIA'!S27)</f>
        <v/>
      </c>
      <c r="U30" s="265" t="str">
        <f>IF(ISBLANK('RESUMEN VIGILANCIA'!T27),"",'RESUMEN VIGILANCIA'!T27)</f>
        <v/>
      </c>
      <c r="V30" s="265" t="str">
        <f>IF(ISBLANK('RESUMEN VIGILANCIA'!U27),"",'RESUMEN VIGILANCIA'!U27)</f>
        <v/>
      </c>
      <c r="W30" s="265" t="str">
        <f>IF(ISBLANK('RESUMEN VIGILANCIA'!V27),"",'RESUMEN VIGILANCIA'!V27)</f>
        <v/>
      </c>
      <c r="X30" s="265" t="str">
        <f>IF(ISBLANK('RESUMEN VIGILANCIA'!W27),"",'RESUMEN VIGILANCIA'!W27)</f>
        <v/>
      </c>
      <c r="Y30" s="265" t="str">
        <f>IF(ISBLANK('RESUMEN VIGILANCIA'!X27),"",'RESUMEN VIGILANCIA'!X27)</f>
        <v/>
      </c>
      <c r="Z30" s="479" t="str">
        <f>IF(ISBLANK('RESUMEN VIGILANCIA'!Y27),"",'RESUMEN VIGILANCIA'!Y27)</f>
        <v/>
      </c>
      <c r="AA30" s="479" t="str">
        <f>IF(ISBLANK('RESUMEN VIGILANCIA'!Z27),"",'RESUMEN VIGILANCIA'!Z27)</f>
        <v/>
      </c>
      <c r="AB30" s="479" t="str">
        <f>IF(ISBLANK('RESUMEN VIGILANCIA'!AA27),"",'RESUMEN VIGILANCIA'!AA27)</f>
        <v/>
      </c>
      <c r="AC30" s="480" t="str">
        <f>IF(ISBLANK('RESUMEN VIGILANCIA'!AB27),"",'RESUMEN VIGILANCIA'!AB27)</f>
        <v/>
      </c>
      <c r="AD30" s="407" t="str">
        <f>IF(ISBLANK('RESUMEN VIGILANCIA'!AC27),"",'RESUMEN VIGILANCIA'!AC27)</f>
        <v/>
      </c>
      <c r="AE30" s="408" t="str">
        <f>IF(ISBLANK('RESUMEN VIGILANCIA'!AD27),"",'RESUMEN VIGILANCIA'!AD27)</f>
        <v/>
      </c>
      <c r="AF30" s="408" t="str">
        <f>IF(ISBLANK('RESUMEN VIGILANCIA'!AE27),"",'RESUMEN VIGILANCIA'!AE27)</f>
        <v/>
      </c>
      <c r="AG30" s="408" t="str">
        <f>IF(ISBLANK('RESUMEN VIGILANCIA'!AF27),"",'RESUMEN VIGILANCIA'!AF27)</f>
        <v/>
      </c>
      <c r="AH30" s="408" t="str">
        <f>IF(ISBLANK('RESUMEN VIGILANCIA'!AG27),"",'RESUMEN VIGILANCIA'!AG27)</f>
        <v/>
      </c>
      <c r="AI30" s="408" t="str">
        <f>IF(ISBLANK('RESUMEN VIGILANCIA'!AH27),"",'RESUMEN VIGILANCIA'!AH27)</f>
        <v/>
      </c>
      <c r="AJ30" s="408" t="str">
        <f>IF(ISBLANK('RESUMEN VIGILANCIA'!AI27),"",'RESUMEN VIGILANCIA'!AI27)</f>
        <v/>
      </c>
      <c r="AK30" s="408" t="str">
        <f>IF(ISBLANK('RESUMEN VIGILANCIA'!AJ27),"",'RESUMEN VIGILANCIA'!AJ27)</f>
        <v/>
      </c>
      <c r="AL30" s="408" t="str">
        <f>IF(ISBLANK('RESUMEN VIGILANCIA'!AK27),"",'RESUMEN VIGILANCIA'!AK27)</f>
        <v/>
      </c>
      <c r="AM30" s="408" t="str">
        <f>IF(ISBLANK('RESUMEN VIGILANCIA'!AL27),"",'RESUMEN VIGILANCIA'!AL27)</f>
        <v/>
      </c>
      <c r="AN30" s="408" t="str">
        <f>IF(ISBLANK('RESUMEN VIGILANCIA'!AM27),"",'RESUMEN VIGILANCIA'!AM27)</f>
        <v/>
      </c>
      <c r="AO30" s="409" t="str">
        <f>IF(ISBLANK('RESUMEN VIGILANCIA'!AN27),"",'RESUMEN VIGILANCIA'!AN27)</f>
        <v/>
      </c>
      <c r="AP30" s="407" t="str">
        <f>IF(ISBLANK('RESUMEN VIGILANCIA'!AO27),"",'RESUMEN VIGILANCIA'!AO27)</f>
        <v/>
      </c>
      <c r="AQ30" s="408" t="str">
        <f>IF(ISBLANK('RESUMEN VIGILANCIA'!AP27),"",'RESUMEN VIGILANCIA'!AP27)</f>
        <v/>
      </c>
      <c r="AR30" s="408" t="str">
        <f>IF(ISBLANK('RESUMEN VIGILANCIA'!AQ27),"",'RESUMEN VIGILANCIA'!AQ27)</f>
        <v/>
      </c>
      <c r="AS30" s="408" t="str">
        <f>IF(ISBLANK('RESUMEN VIGILANCIA'!AR27),"",'RESUMEN VIGILANCIA'!AR27)</f>
        <v/>
      </c>
      <c r="AT30" s="408" t="str">
        <f>IF(ISBLANK('RESUMEN VIGILANCIA'!AS27),"",'RESUMEN VIGILANCIA'!AS27)</f>
        <v/>
      </c>
      <c r="AU30" s="408" t="str">
        <f>IF(ISBLANK('RESUMEN VIGILANCIA'!AT27),"",'RESUMEN VIGILANCIA'!AT27)</f>
        <v/>
      </c>
      <c r="AV30" s="408" t="str">
        <f>IF(ISBLANK('RESUMEN VIGILANCIA'!AU27),"",'RESUMEN VIGILANCIA'!AU27)</f>
        <v/>
      </c>
      <c r="AW30" s="408" t="str">
        <f>IF(ISBLANK('RESUMEN VIGILANCIA'!AV27),"",'RESUMEN VIGILANCIA'!AV27)</f>
        <v/>
      </c>
      <c r="AX30" s="408" t="str">
        <f>IF(ISBLANK('RESUMEN VIGILANCIA'!AW27),"",'RESUMEN VIGILANCIA'!AW27)</f>
        <v/>
      </c>
      <c r="AY30" s="408" t="str">
        <f>IF(ISBLANK('RESUMEN VIGILANCIA'!AX27),"",'RESUMEN VIGILANCIA'!AX27)</f>
        <v/>
      </c>
      <c r="AZ30" s="408" t="str">
        <f>IF(ISBLANK('RESUMEN VIGILANCIA'!AY27),"",'RESUMEN VIGILANCIA'!AY27)</f>
        <v/>
      </c>
      <c r="BA30" s="409" t="str">
        <f>IF(ISBLANK('RESUMEN VIGILANCIA'!AZ27),"",'RESUMEN VIGILANCIA'!AZ27)</f>
        <v/>
      </c>
      <c r="BB30" s="244">
        <f t="shared" si="0"/>
        <v>0</v>
      </c>
      <c r="BC30" s="110"/>
      <c r="BD30" s="110"/>
    </row>
    <row r="31" spans="1:56" s="29" customFormat="1" ht="20.100000000000001" customHeight="1" x14ac:dyDescent="0.25">
      <c r="A31" s="33" t="str">
        <f>'RESUMEN VIGILANCIA'!A36</f>
        <v>Familia Méndez Parra</v>
      </c>
      <c r="B31" s="34" t="str">
        <f>'RESUMEN VIGILANCIA'!B36</f>
        <v>Calle Guacara Nro. 88-19</v>
      </c>
      <c r="C31" s="451" t="s">
        <v>1271</v>
      </c>
      <c r="D31" s="461" t="s">
        <v>17</v>
      </c>
      <c r="E31" s="439" t="str">
        <f>IF(ISBLANK('RESUMEN VIGILANCIA'!D36),"",'RESUMEN VIGILANCIA'!D36)</f>
        <v/>
      </c>
      <c r="F31" s="267">
        <f>IF(ISBLANK('RESUMEN VIGILANCIA'!E36),"",'RESUMEN VIGILANCIA'!E36)</f>
        <v>0.14500000000000002</v>
      </c>
      <c r="G31" s="189">
        <f>IF(ISBLANK('RESUMEN VIGILANCIA'!F36),"",'RESUMEN VIGILANCIA'!F36)</f>
        <v>0.105</v>
      </c>
      <c r="H31" s="189">
        <f>IF(ISBLANK('RESUMEN VIGILANCIA'!G36),"",'RESUMEN VIGILANCIA'!G36)</f>
        <v>0.105</v>
      </c>
      <c r="I31" s="189">
        <f>IF(ISBLANK('RESUMEN VIGILANCIA'!H36),"",'RESUMEN VIGILANCIA'!H36)</f>
        <v>0.105</v>
      </c>
      <c r="J31" s="189">
        <f>IF(ISBLANK('RESUMEN VIGILANCIA'!I36),"",'RESUMEN VIGILANCIA'!I36)</f>
        <v>0.2</v>
      </c>
      <c r="K31" s="189">
        <f>IF(ISBLANK('RESUMEN VIGILANCIA'!J36),"",'RESUMEN VIGILANCIA'!J36)</f>
        <v>0.2</v>
      </c>
      <c r="L31" s="189">
        <f>IF(ISBLANK('RESUMEN VIGILANCIA'!K36),"",'RESUMEN VIGILANCIA'!K36)</f>
        <v>0.25</v>
      </c>
      <c r="M31" s="189">
        <f>IF(ISBLANK('RESUMEN VIGILANCIA'!L36),"",'RESUMEN VIGILANCIA'!L36)</f>
        <v>0.2</v>
      </c>
      <c r="N31" s="189">
        <f>IF(ISBLANK('RESUMEN VIGILANCIA'!M36),"",'RESUMEN VIGILANCIA'!M36)</f>
        <v>0.2</v>
      </c>
      <c r="O31" s="189">
        <f>IF(ISBLANK('RESUMEN VIGILANCIA'!N36),"",'RESUMEN VIGILANCIA'!N36)</f>
        <v>0.2</v>
      </c>
      <c r="P31" s="268">
        <f>IF(ISBLANK('RESUMEN VIGILANCIA'!O36),"",'RESUMEN VIGILANCIA'!O36)</f>
        <v>0.32</v>
      </c>
      <c r="Q31" s="187">
        <f>IF(ISBLANK('RESUMEN VIGILANCIA'!P36),"",'RESUMEN VIGILANCIA'!P36)</f>
        <v>0.3</v>
      </c>
      <c r="R31" s="269">
        <f>IF(ISBLANK('RESUMEN VIGILANCIA'!Q36),"",'RESUMEN VIGILANCIA'!Q36)</f>
        <v>0.5</v>
      </c>
      <c r="S31" s="268">
        <f>IF(ISBLANK('RESUMEN VIGILANCIA'!R36),"",'RESUMEN VIGILANCIA'!R36)</f>
        <v>0.5</v>
      </c>
      <c r="T31" s="268">
        <f>IF(ISBLANK('RESUMEN VIGILANCIA'!S36),"",'RESUMEN VIGILANCIA'!S36)</f>
        <v>1</v>
      </c>
      <c r="U31" s="268">
        <f>IF(ISBLANK('RESUMEN VIGILANCIA'!T36),"",'RESUMEN VIGILANCIA'!T36)</f>
        <v>1</v>
      </c>
      <c r="V31" s="268">
        <f>IF(ISBLANK('RESUMEN VIGILANCIA'!U36),"",'RESUMEN VIGILANCIA'!U36)</f>
        <v>2</v>
      </c>
      <c r="W31" s="268">
        <f>IF(ISBLANK('RESUMEN VIGILANCIA'!V36),"",'RESUMEN VIGILANCIA'!V36)</f>
        <v>6</v>
      </c>
      <c r="X31" s="268">
        <f>IF(ISBLANK('RESUMEN VIGILANCIA'!W36),"",'RESUMEN VIGILANCIA'!W36)</f>
        <v>6</v>
      </c>
      <c r="Y31" s="268">
        <f>IF(ISBLANK('RESUMEN VIGILANCIA'!X36),"",'RESUMEN VIGILANCIA'!X36)</f>
        <v>8</v>
      </c>
      <c r="Z31" s="485">
        <f>IF(ISBLANK('RESUMEN VIGILANCIA'!Y36),"",'RESUMEN VIGILANCIA'!Y36)</f>
        <v>270</v>
      </c>
      <c r="AA31" s="485">
        <f>IF(ISBLANK('RESUMEN VIGILANCIA'!Z36),"",'RESUMEN VIGILANCIA'!Z36)</f>
        <v>260</v>
      </c>
      <c r="AB31" s="485">
        <f>IF(ISBLANK('RESUMEN VIGILANCIA'!AA36),"",'RESUMEN VIGILANCIA'!AA36)</f>
        <v>260</v>
      </c>
      <c r="AC31" s="486" t="str">
        <f>IF(ISBLANK('RESUMEN VIGILANCIA'!AB36),"",'RESUMEN VIGILANCIA'!AB36)</f>
        <v/>
      </c>
      <c r="AD31" s="396">
        <f>IF(ISBLANK('RESUMEN VIGILANCIA'!AC36),"",'RESUMEN VIGILANCIA'!AC36)</f>
        <v>600</v>
      </c>
      <c r="AE31" s="397">
        <f>IF(ISBLANK('RESUMEN VIGILANCIA'!AD36),"",'RESUMEN VIGILANCIA'!AD36)</f>
        <v>2300</v>
      </c>
      <c r="AF31" s="397">
        <f>IF(ISBLANK('RESUMEN VIGILANCIA'!AE36),"",'RESUMEN VIGILANCIA'!AE36)</f>
        <v>2200</v>
      </c>
      <c r="AG31" s="397">
        <f>IF(ISBLANK('RESUMEN VIGILANCIA'!AF36),"",'RESUMEN VIGILANCIA'!AF36)</f>
        <v>2200</v>
      </c>
      <c r="AH31" s="397">
        <f>IF(ISBLANK('RESUMEN VIGILANCIA'!AG36),"",'RESUMEN VIGILANCIA'!AG36)</f>
        <v>5000</v>
      </c>
      <c r="AI31" s="397">
        <f>IF(ISBLANK('RESUMEN VIGILANCIA'!AH36),"",'RESUMEN VIGILANCIA'!AH36)</f>
        <v>5000</v>
      </c>
      <c r="AJ31" s="397">
        <f>IF(ISBLANK('RESUMEN VIGILANCIA'!AI36),"",'RESUMEN VIGILANCIA'!AI36)</f>
        <v>6000</v>
      </c>
      <c r="AK31" s="397">
        <f>IF(ISBLANK('RESUMEN VIGILANCIA'!AJ36),"",'RESUMEN VIGILANCIA'!AJ36)</f>
        <v>6000</v>
      </c>
      <c r="AL31" s="397">
        <f>IF(ISBLANK('RESUMEN VIGILANCIA'!AK36),"",'RESUMEN VIGILANCIA'!AK36)</f>
        <v>18018</v>
      </c>
      <c r="AM31" s="397">
        <f>IF(ISBLANK('RESUMEN VIGILANCIA'!AL36),"",'RESUMEN VIGILANCIA'!AL36)</f>
        <v>15000</v>
      </c>
      <c r="AN31" s="397">
        <f>IF(ISBLANK('RESUMEN VIGILANCIA'!AM36),"",'RESUMEN VIGILANCIA'!AM36)</f>
        <v>48000</v>
      </c>
      <c r="AO31" s="398">
        <f>IF(ISBLANK('RESUMEN VIGILANCIA'!AN36),"",'RESUMEN VIGILANCIA'!AN36)</f>
        <v>35000</v>
      </c>
      <c r="AP31" s="396">
        <f>IF(ISBLANK('RESUMEN VIGILANCIA'!AO36),"",'RESUMEN VIGILANCIA'!AO36)</f>
        <v>80000</v>
      </c>
      <c r="AQ31" s="397">
        <f>IF(ISBLANK('RESUMEN VIGILANCIA'!AP36),"",'RESUMEN VIGILANCIA'!AP36)</f>
        <v>80000</v>
      </c>
      <c r="AR31" s="397">
        <f>IF(ISBLANK('RESUMEN VIGILANCIA'!AQ36),"",'RESUMEN VIGILANCIA'!AQ36)</f>
        <v>90000</v>
      </c>
      <c r="AS31" s="397" t="str">
        <f>IF(ISBLANK('RESUMEN VIGILANCIA'!AR36),"",'RESUMEN VIGILANCIA'!AR36)</f>
        <v/>
      </c>
      <c r="AT31" s="397" t="str">
        <f>IF(ISBLANK('RESUMEN VIGILANCIA'!AS36),"",'RESUMEN VIGILANCIA'!AS36)</f>
        <v/>
      </c>
      <c r="AU31" s="397" t="str">
        <f>IF(ISBLANK('RESUMEN VIGILANCIA'!AT36),"",'RESUMEN VIGILANCIA'!AT36)</f>
        <v/>
      </c>
      <c r="AV31" s="397" t="str">
        <f>IF(ISBLANK('RESUMEN VIGILANCIA'!AU36),"",'RESUMEN VIGILANCIA'!AU36)</f>
        <v/>
      </c>
      <c r="AW31" s="397" t="str">
        <f>IF(ISBLANK('RESUMEN VIGILANCIA'!AV36),"",'RESUMEN VIGILANCIA'!AV36)</f>
        <v/>
      </c>
      <c r="AX31" s="397" t="str">
        <f>IF(ISBLANK('RESUMEN VIGILANCIA'!AW36),"",'RESUMEN VIGILANCIA'!AW36)</f>
        <v/>
      </c>
      <c r="AY31" s="397" t="str">
        <f>IF(ISBLANK('RESUMEN VIGILANCIA'!AX36),"",'RESUMEN VIGILANCIA'!AX36)</f>
        <v/>
      </c>
      <c r="AZ31" s="397" t="str">
        <f>IF(ISBLANK('RESUMEN VIGILANCIA'!AY36),"",'RESUMEN VIGILANCIA'!AY36)</f>
        <v/>
      </c>
      <c r="BA31" s="398" t="str">
        <f>IF(ISBLANK('RESUMEN VIGILANCIA'!AZ36),"",'RESUMEN VIGILANCIA'!AZ36)</f>
        <v/>
      </c>
      <c r="BB31" s="242">
        <f t="shared" si="0"/>
        <v>146135.33000000002</v>
      </c>
      <c r="BC31" s="111"/>
      <c r="BD31" s="111"/>
    </row>
    <row r="32" spans="1:56" s="29" customFormat="1" ht="20.100000000000001" customHeight="1" x14ac:dyDescent="0.25">
      <c r="A32" s="33" t="str">
        <f>'RESUMEN VIGILANCIA'!A37</f>
        <v>Victoria Francischiello</v>
      </c>
      <c r="B32" s="34" t="str">
        <f>'RESUMEN VIGILANCIA'!B37</f>
        <v>Calle Guacara Nro. 88-25</v>
      </c>
      <c r="C32" s="451" t="s">
        <v>1271</v>
      </c>
      <c r="D32" s="461" t="s">
        <v>17</v>
      </c>
      <c r="E32" s="439" t="str">
        <f>IF(ISBLANK('RESUMEN VIGILANCIA'!D37),"",'RESUMEN VIGILANCIA'!D37)</f>
        <v/>
      </c>
      <c r="F32" s="267">
        <f>IF(ISBLANK('RESUMEN VIGILANCIA'!E37),"",'RESUMEN VIGILANCIA'!E37)</f>
        <v>0.1</v>
      </c>
      <c r="G32" s="189">
        <f>IF(ISBLANK('RESUMEN VIGILANCIA'!F37),"",'RESUMEN VIGILANCIA'!F37)</f>
        <v>0.1</v>
      </c>
      <c r="H32" s="189">
        <f>IF(ISBLANK('RESUMEN VIGILANCIA'!G37),"",'RESUMEN VIGILANCIA'!G37)</f>
        <v>0.1</v>
      </c>
      <c r="I32" s="189">
        <f>IF(ISBLANK('RESUMEN VIGILANCIA'!H37),"",'RESUMEN VIGILANCIA'!H37)</f>
        <v>0.1</v>
      </c>
      <c r="J32" s="189">
        <f>IF(ISBLANK('RESUMEN VIGILANCIA'!I37),"",'RESUMEN VIGILANCIA'!I37)</f>
        <v>0.2</v>
      </c>
      <c r="K32" s="189">
        <f>IF(ISBLANK('RESUMEN VIGILANCIA'!J37),"",'RESUMEN VIGILANCIA'!J37)</f>
        <v>0.2</v>
      </c>
      <c r="L32" s="189">
        <f>IF(ISBLANK('RESUMEN VIGILANCIA'!K37),"",'RESUMEN VIGILANCIA'!K37)</f>
        <v>0.2</v>
      </c>
      <c r="M32" s="189">
        <f>IF(ISBLANK('RESUMEN VIGILANCIA'!L37),"",'RESUMEN VIGILANCIA'!L37)</f>
        <v>0.2</v>
      </c>
      <c r="N32" s="189">
        <f>IF(ISBLANK('RESUMEN VIGILANCIA'!M37),"",'RESUMEN VIGILANCIA'!M37)</f>
        <v>0.2</v>
      </c>
      <c r="O32" s="189">
        <f>IF(ISBLANK('RESUMEN VIGILANCIA'!N37),"",'RESUMEN VIGILANCIA'!N37)</f>
        <v>0.2</v>
      </c>
      <c r="P32" s="268">
        <f>IF(ISBLANK('RESUMEN VIGILANCIA'!O37),"",'RESUMEN VIGILANCIA'!O37)</f>
        <v>0.15</v>
      </c>
      <c r="Q32" s="187">
        <f>IF(ISBLANK('RESUMEN VIGILANCIA'!P37),"",'RESUMEN VIGILANCIA'!P37)</f>
        <v>0.45</v>
      </c>
      <c r="R32" s="269">
        <f>IF(ISBLANK('RESUMEN VIGILANCIA'!Q37),"",'RESUMEN VIGILANCIA'!Q37)</f>
        <v>0.5</v>
      </c>
      <c r="S32" s="268">
        <f>IF(ISBLANK('RESUMEN VIGILANCIA'!R37),"",'RESUMEN VIGILANCIA'!R37)</f>
        <v>0.8</v>
      </c>
      <c r="T32" s="268">
        <f>IF(ISBLANK('RESUMEN VIGILANCIA'!S37),"",'RESUMEN VIGILANCIA'!S37)</f>
        <v>1</v>
      </c>
      <c r="U32" s="268">
        <f>IF(ISBLANK('RESUMEN VIGILANCIA'!T37),"",'RESUMEN VIGILANCIA'!T37)</f>
        <v>1</v>
      </c>
      <c r="V32" s="268">
        <f>IF(ISBLANK('RESUMEN VIGILANCIA'!U37),"",'RESUMEN VIGILANCIA'!U37)</f>
        <v>2.5</v>
      </c>
      <c r="W32" s="268">
        <f>IF(ISBLANK('RESUMEN VIGILANCIA'!V37),"",'RESUMEN VIGILANCIA'!V37)</f>
        <v>4</v>
      </c>
      <c r="X32" s="271">
        <f>IF(ISBLANK('RESUMEN VIGILANCIA'!W37),"",'RESUMEN VIGILANCIA'!W37)</f>
        <v>10</v>
      </c>
      <c r="Y32" s="271">
        <f>IF(ISBLANK('RESUMEN VIGILANCIA'!X37),"",'RESUMEN VIGILANCIA'!X37)</f>
        <v>12</v>
      </c>
      <c r="Z32" s="481">
        <f>IF(ISBLANK('RESUMEN VIGILANCIA'!Y37),"",'RESUMEN VIGILANCIA'!Y37)</f>
        <v>320</v>
      </c>
      <c r="AA32" s="484">
        <f>IF(ISBLANK('RESUMEN VIGILANCIA'!Z37),"",'RESUMEN VIGILANCIA'!Z37)</f>
        <v>320</v>
      </c>
      <c r="AB32" s="484">
        <f>IF(ISBLANK('RESUMEN VIGILANCIA'!AA37),"",'RESUMEN VIGILANCIA'!AA37)</f>
        <v>320</v>
      </c>
      <c r="AC32" s="483">
        <f>IF(ISBLANK('RESUMEN VIGILANCIA'!AB37),"",'RESUMEN VIGILANCIA'!AB37)</f>
        <v>800</v>
      </c>
      <c r="AD32" s="404">
        <f>IF(ISBLANK('RESUMEN VIGILANCIA'!AC37),"",'RESUMEN VIGILANCIA'!AC37)</f>
        <v>3000</v>
      </c>
      <c r="AE32" s="405">
        <f>IF(ISBLANK('RESUMEN VIGILANCIA'!AD37),"",'RESUMEN VIGILANCIA'!AD37)</f>
        <v>3000</v>
      </c>
      <c r="AF32" s="405">
        <f>IF(ISBLANK('RESUMEN VIGILANCIA'!AE37),"",'RESUMEN VIGILANCIA'!AE37)</f>
        <v>3000</v>
      </c>
      <c r="AG32" s="405">
        <f>IF(ISBLANK('RESUMEN VIGILANCIA'!AF37),"",'RESUMEN VIGILANCIA'!AF37)</f>
        <v>5000</v>
      </c>
      <c r="AH32" s="405">
        <f>IF(ISBLANK('RESUMEN VIGILANCIA'!AG37),"",'RESUMEN VIGILANCIA'!AG37)</f>
        <v>8000</v>
      </c>
      <c r="AI32" s="405">
        <f>IF(ISBLANK('RESUMEN VIGILANCIA'!AH37),"",'RESUMEN VIGILANCIA'!AH37)</f>
        <v>8000</v>
      </c>
      <c r="AJ32" s="405">
        <f>IF(ISBLANK('RESUMEN VIGILANCIA'!AI37),"",'RESUMEN VIGILANCIA'!AI37)</f>
        <v>10000</v>
      </c>
      <c r="AK32" s="405">
        <f>IF(ISBLANK('RESUMEN VIGILANCIA'!AJ37),"",'RESUMEN VIGILANCIA'!AJ37)</f>
        <v>10000</v>
      </c>
      <c r="AL32" s="405">
        <f>IF(ISBLANK('RESUMEN VIGILANCIA'!AK37),"",'RESUMEN VIGILANCIA'!AK37)</f>
        <v>19800</v>
      </c>
      <c r="AM32" s="405">
        <f>IF(ISBLANK('RESUMEN VIGILANCIA'!AL37),"",'RESUMEN VIGILANCIA'!AL37)</f>
        <v>51250</v>
      </c>
      <c r="AN32" s="397">
        <f>IF(ISBLANK('RESUMEN VIGILANCIA'!AM37),"",'RESUMEN VIGILANCIA'!AM37)</f>
        <v>40000</v>
      </c>
      <c r="AO32" s="398">
        <f>IF(ISBLANK('RESUMEN VIGILANCIA'!AN37),"",'RESUMEN VIGILANCIA'!AN37)</f>
        <v>40000</v>
      </c>
      <c r="AP32" s="396">
        <f>IF(ISBLANK('RESUMEN VIGILANCIA'!AO37),"",'RESUMEN VIGILANCIA'!AO37)</f>
        <v>136000</v>
      </c>
      <c r="AQ32" s="397">
        <f>IF(ISBLANK('RESUMEN VIGILANCIA'!AP37),"",'RESUMEN VIGILANCIA'!AP37)</f>
        <v>185250</v>
      </c>
      <c r="AR32" s="397" t="str">
        <f>IF(ISBLANK('RESUMEN VIGILANCIA'!AQ37),"",'RESUMEN VIGILANCIA'!AQ37)</f>
        <v/>
      </c>
      <c r="AS32" s="397" t="str">
        <f>IF(ISBLANK('RESUMEN VIGILANCIA'!AR37),"",'RESUMEN VIGILANCIA'!AR37)</f>
        <v/>
      </c>
      <c r="AT32" s="397" t="str">
        <f>IF(ISBLANK('RESUMEN VIGILANCIA'!AS37),"",'RESUMEN VIGILANCIA'!AS37)</f>
        <v/>
      </c>
      <c r="AU32" s="397" t="str">
        <f>IF(ISBLANK('RESUMEN VIGILANCIA'!AT37),"",'RESUMEN VIGILANCIA'!AT37)</f>
        <v/>
      </c>
      <c r="AV32" s="397" t="str">
        <f>IF(ISBLANK('RESUMEN VIGILANCIA'!AU37),"",'RESUMEN VIGILANCIA'!AU37)</f>
        <v/>
      </c>
      <c r="AW32" s="397" t="str">
        <f>IF(ISBLANK('RESUMEN VIGILANCIA'!AV37),"",'RESUMEN VIGILANCIA'!AV37)</f>
        <v/>
      </c>
      <c r="AX32" s="397" t="str">
        <f>IF(ISBLANK('RESUMEN VIGILANCIA'!AW37),"",'RESUMEN VIGILANCIA'!AW37)</f>
        <v/>
      </c>
      <c r="AY32" s="397" t="str">
        <f>IF(ISBLANK('RESUMEN VIGILANCIA'!AX37),"",'RESUMEN VIGILANCIA'!AX37)</f>
        <v/>
      </c>
      <c r="AZ32" s="397" t="str">
        <f>IF(ISBLANK('RESUMEN VIGILANCIA'!AY37),"",'RESUMEN VIGILANCIA'!AY37)</f>
        <v/>
      </c>
      <c r="BA32" s="398" t="str">
        <f>IF(ISBLANK('RESUMEN VIGILANCIA'!AZ37),"",'RESUMEN VIGILANCIA'!AZ37)</f>
        <v/>
      </c>
      <c r="BB32" s="242">
        <f t="shared" si="0"/>
        <v>202844</v>
      </c>
      <c r="BC32" s="111"/>
      <c r="BD32" s="111"/>
    </row>
    <row r="33" spans="1:56" s="29" customFormat="1" ht="20.100000000000001" customHeight="1" x14ac:dyDescent="0.25">
      <c r="A33" s="30" t="str">
        <f>'RESUMEN VIGILANCIA'!A38</f>
        <v>Familia Cegarra Villamizar</v>
      </c>
      <c r="B33" s="31" t="str">
        <f>'RESUMEN VIGILANCIA'!B38</f>
        <v>Calle Guacara Nro. 88-35</v>
      </c>
      <c r="C33" s="452" t="s">
        <v>1269</v>
      </c>
      <c r="D33" s="460" t="s">
        <v>1268</v>
      </c>
      <c r="E33" s="440" t="str">
        <f>IF(ISBLANK('RESUMEN VIGILANCIA'!D38),"",'RESUMEN VIGILANCIA'!D38)</f>
        <v/>
      </c>
      <c r="F33" s="270">
        <f>IF(ISBLANK('RESUMEN VIGILANCIA'!E38),"",'RESUMEN VIGILANCIA'!E38)</f>
        <v>0.17</v>
      </c>
      <c r="G33" s="182">
        <f>IF(ISBLANK('RESUMEN VIGILANCIA'!F38),"",'RESUMEN VIGILANCIA'!F38)</f>
        <v>0.17</v>
      </c>
      <c r="H33" s="182">
        <f>IF(ISBLANK('RESUMEN VIGILANCIA'!G38),"",'RESUMEN VIGILANCIA'!G38)</f>
        <v>0.17</v>
      </c>
      <c r="I33" s="182">
        <f>IF(ISBLANK('RESUMEN VIGILANCIA'!H38),"",'RESUMEN VIGILANCIA'!H38)</f>
        <v>0.17</v>
      </c>
      <c r="J33" s="182">
        <f>IF(ISBLANK('RESUMEN VIGILANCIA'!I38),"",'RESUMEN VIGILANCIA'!I38)</f>
        <v>0.26</v>
      </c>
      <c r="K33" s="182">
        <f>IF(ISBLANK('RESUMEN VIGILANCIA'!J38),"",'RESUMEN VIGILANCIA'!J38)</f>
        <v>0.26</v>
      </c>
      <c r="L33" s="189">
        <f>IF(ISBLANK('RESUMEN VIGILANCIA'!K38),"",'RESUMEN VIGILANCIA'!K38)</f>
        <v>0.3</v>
      </c>
      <c r="M33" s="189">
        <f>IF(ISBLANK('RESUMEN VIGILANCIA'!L38),"",'RESUMEN VIGILANCIA'!L38)</f>
        <v>0.3</v>
      </c>
      <c r="N33" s="182">
        <f>IF(ISBLANK('RESUMEN VIGILANCIA'!M38),"",'RESUMEN VIGILANCIA'!M38)</f>
        <v>0.35</v>
      </c>
      <c r="O33" s="182">
        <f>IF(ISBLANK('RESUMEN VIGILANCIA'!N38),"",'RESUMEN VIGILANCIA'!N38)</f>
        <v>0.35</v>
      </c>
      <c r="P33" s="271">
        <f>IF(ISBLANK('RESUMEN VIGILANCIA'!O38),"",'RESUMEN VIGILANCIA'!O38)</f>
        <v>0.5</v>
      </c>
      <c r="Q33" s="180">
        <f>IF(ISBLANK('RESUMEN VIGILANCIA'!P38),"",'RESUMEN VIGILANCIA'!P38)</f>
        <v>0.5</v>
      </c>
      <c r="R33" s="272">
        <f>IF(ISBLANK('RESUMEN VIGILANCIA'!Q38),"",'RESUMEN VIGILANCIA'!Q38)</f>
        <v>0.8</v>
      </c>
      <c r="S33" s="271">
        <f>IF(ISBLANK('RESUMEN VIGILANCIA'!R38),"",'RESUMEN VIGILANCIA'!R38)</f>
        <v>0.8</v>
      </c>
      <c r="T33" s="271">
        <f>IF(ISBLANK('RESUMEN VIGILANCIA'!S38),"",'RESUMEN VIGILANCIA'!S38)</f>
        <v>1.4</v>
      </c>
      <c r="U33" s="271">
        <f>IF(ISBLANK('RESUMEN VIGILANCIA'!T38),"",'RESUMEN VIGILANCIA'!T38)</f>
        <v>1.4</v>
      </c>
      <c r="V33" s="271">
        <f>IF(ISBLANK('RESUMEN VIGILANCIA'!U38),"",'RESUMEN VIGILANCIA'!U38)</f>
        <v>4</v>
      </c>
      <c r="W33" s="271">
        <f>IF(ISBLANK('RESUMEN VIGILANCIA'!V38),"",'RESUMEN VIGILANCIA'!V38)</f>
        <v>6.25</v>
      </c>
      <c r="X33" s="273">
        <f>IF(ISBLANK('RESUMEN VIGILANCIA'!W38),"",'RESUMEN VIGILANCIA'!W38)</f>
        <v>10</v>
      </c>
      <c r="Y33" s="271">
        <f>IF(ISBLANK('RESUMEN VIGILANCIA'!X38),"",'RESUMEN VIGILANCIA'!X38)</f>
        <v>12</v>
      </c>
      <c r="Z33" s="481">
        <f>IF(ISBLANK('RESUMEN VIGILANCIA'!Y38),"",'RESUMEN VIGILANCIA'!Y38)</f>
        <v>320</v>
      </c>
      <c r="AA33" s="481">
        <f>IF(ISBLANK('RESUMEN VIGILANCIA'!Z38),"",'RESUMEN VIGILANCIA'!Z38)</f>
        <v>320</v>
      </c>
      <c r="AB33" s="481">
        <f>IF(ISBLANK('RESUMEN VIGILANCIA'!AA38),"",'RESUMEN VIGILANCIA'!AA38)</f>
        <v>320</v>
      </c>
      <c r="AC33" s="482">
        <f>IF(ISBLANK('RESUMEN VIGILANCIA'!AB38),"",'RESUMEN VIGILANCIA'!AB38)</f>
        <v>800</v>
      </c>
      <c r="AD33" s="399">
        <f>IF(ISBLANK('RESUMEN VIGILANCIA'!AC38),"",'RESUMEN VIGILANCIA'!AC38)</f>
        <v>3000</v>
      </c>
      <c r="AE33" s="400">
        <f>IF(ISBLANK('RESUMEN VIGILANCIA'!AD38),"",'RESUMEN VIGILANCIA'!AD38)</f>
        <v>3000</v>
      </c>
      <c r="AF33" s="400">
        <f>IF(ISBLANK('RESUMEN VIGILANCIA'!AE38),"",'RESUMEN VIGILANCIA'!AE38)</f>
        <v>3000</v>
      </c>
      <c r="AG33" s="400">
        <f>IF(ISBLANK('RESUMEN VIGILANCIA'!AF38),"",'RESUMEN VIGILANCIA'!AF38)</f>
        <v>4880</v>
      </c>
      <c r="AH33" s="400">
        <f>IF(ISBLANK('RESUMEN VIGILANCIA'!AG38),"",'RESUMEN VIGILANCIA'!AG38)</f>
        <v>8000</v>
      </c>
      <c r="AI33" s="400">
        <f>IF(ISBLANK('RESUMEN VIGILANCIA'!AH38),"",'RESUMEN VIGILANCIA'!AH38)</f>
        <v>8000</v>
      </c>
      <c r="AJ33" s="400">
        <f>IF(ISBLANK('RESUMEN VIGILANCIA'!AI38),"",'RESUMEN VIGILANCIA'!AI38)</f>
        <v>10000</v>
      </c>
      <c r="AK33" s="400">
        <f>IF(ISBLANK('RESUMEN VIGILANCIA'!AJ38),"",'RESUMEN VIGILANCIA'!AJ38)</f>
        <v>10000</v>
      </c>
      <c r="AL33" s="400">
        <f>IF(ISBLANK('RESUMEN VIGILANCIA'!AK38),"",'RESUMEN VIGILANCIA'!AK38)</f>
        <v>81750</v>
      </c>
      <c r="AM33" s="400">
        <f>IF(ISBLANK('RESUMEN VIGILANCIA'!AL38),"",'RESUMEN VIGILANCIA'!AL38)</f>
        <v>81750</v>
      </c>
      <c r="AN33" s="400">
        <f>IF(ISBLANK('RESUMEN VIGILANCIA'!AM38),"",'RESUMEN VIGILANCIA'!AM38)</f>
        <v>81750</v>
      </c>
      <c r="AO33" s="401" t="str">
        <f>IF(ISBLANK('RESUMEN VIGILANCIA'!AN38),"",'RESUMEN VIGILANCIA'!AN38)</f>
        <v/>
      </c>
      <c r="AP33" s="399" t="str">
        <f>IF(ISBLANK('RESUMEN VIGILANCIA'!AO38),"",'RESUMEN VIGILANCIA'!AO38)</f>
        <v/>
      </c>
      <c r="AQ33" s="400" t="str">
        <f>IF(ISBLANK('RESUMEN VIGILANCIA'!AP38),"",'RESUMEN VIGILANCIA'!AP38)</f>
        <v/>
      </c>
      <c r="AR33" s="400" t="str">
        <f>IF(ISBLANK('RESUMEN VIGILANCIA'!AQ38),"",'RESUMEN VIGILANCIA'!AQ38)</f>
        <v/>
      </c>
      <c r="AS33" s="400" t="str">
        <f>IF(ISBLANK('RESUMEN VIGILANCIA'!AR38),"",'RESUMEN VIGILANCIA'!AR38)</f>
        <v/>
      </c>
      <c r="AT33" s="400" t="str">
        <f>IF(ISBLANK('RESUMEN VIGILANCIA'!AS38),"",'RESUMEN VIGILANCIA'!AS38)</f>
        <v/>
      </c>
      <c r="AU33" s="400" t="str">
        <f>IF(ISBLANK('RESUMEN VIGILANCIA'!AT38),"",'RESUMEN VIGILANCIA'!AT38)</f>
        <v/>
      </c>
      <c r="AV33" s="400" t="str">
        <f>IF(ISBLANK('RESUMEN VIGILANCIA'!AU38),"",'RESUMEN VIGILANCIA'!AU38)</f>
        <v/>
      </c>
      <c r="AW33" s="400" t="str">
        <f>IF(ISBLANK('RESUMEN VIGILANCIA'!AV38),"",'RESUMEN VIGILANCIA'!AV38)</f>
        <v/>
      </c>
      <c r="AX33" s="400" t="str">
        <f>IF(ISBLANK('RESUMEN VIGILANCIA'!AW38),"",'RESUMEN VIGILANCIA'!AW38)</f>
        <v/>
      </c>
      <c r="AY33" s="400" t="str">
        <f>IF(ISBLANK('RESUMEN VIGILANCIA'!AX38),"",'RESUMEN VIGILANCIA'!AX38)</f>
        <v/>
      </c>
      <c r="AZ33" s="400" t="str">
        <f>IF(ISBLANK('RESUMEN VIGILANCIA'!AY38),"",'RESUMEN VIGILANCIA'!AY38)</f>
        <v/>
      </c>
      <c r="BA33" s="401" t="str">
        <f>IF(ISBLANK('RESUMEN VIGILANCIA'!AZ38),"",'RESUMEN VIGILANCIA'!AZ38)</f>
        <v/>
      </c>
      <c r="BB33" s="243">
        <f t="shared" si="0"/>
        <v>296930.15000000002</v>
      </c>
      <c r="BC33" s="112"/>
      <c r="BD33" s="112"/>
    </row>
    <row r="34" spans="1:56" s="29" customFormat="1" ht="20.100000000000001" customHeight="1" x14ac:dyDescent="0.25">
      <c r="A34" s="30" t="str">
        <f>'RESUMEN VIGILANCIA'!A40</f>
        <v>Familia Hatem Medina</v>
      </c>
      <c r="B34" s="31" t="str">
        <f>'RESUMEN VIGILANCIA'!B40</f>
        <v>Calle Guacara Nro. 88-51</v>
      </c>
      <c r="C34" s="452" t="s">
        <v>1269</v>
      </c>
      <c r="D34" s="460" t="s">
        <v>1268</v>
      </c>
      <c r="E34" s="440" t="str">
        <f>IF(ISBLANK('RESUMEN VIGILANCIA'!D40),"",'RESUMEN VIGILANCIA'!D40)</f>
        <v/>
      </c>
      <c r="F34" s="274">
        <f>IF(ISBLANK('RESUMEN VIGILANCIA'!E40),"",'RESUMEN VIGILANCIA'!E40)</f>
        <v>0.105</v>
      </c>
      <c r="G34" s="183">
        <f>IF(ISBLANK('RESUMEN VIGILANCIA'!F40),"",'RESUMEN VIGILANCIA'!F40)</f>
        <v>0.16</v>
      </c>
      <c r="H34" s="183">
        <f>IF(ISBLANK('RESUMEN VIGILANCIA'!G40),"",'RESUMEN VIGILANCIA'!G40)</f>
        <v>0.16</v>
      </c>
      <c r="I34" s="183">
        <f>IF(ISBLANK('RESUMEN VIGILANCIA'!H40),"",'RESUMEN VIGILANCIA'!H40)</f>
        <v>0.17100000000000001</v>
      </c>
      <c r="J34" s="182">
        <f>IF(ISBLANK('RESUMEN VIGILANCIA'!I40),"",'RESUMEN VIGILANCIA'!I40)</f>
        <v>0.26</v>
      </c>
      <c r="K34" s="182">
        <f>IF(ISBLANK('RESUMEN VIGILANCIA'!J40),"",'RESUMEN VIGILANCIA'!J40)</f>
        <v>0.26</v>
      </c>
      <c r="L34" s="182">
        <f>IF(ISBLANK('RESUMEN VIGILANCIA'!K40),"",'RESUMEN VIGILANCIA'!K40)</f>
        <v>0.3</v>
      </c>
      <c r="M34" s="182">
        <f>IF(ISBLANK('RESUMEN VIGILANCIA'!L40),"",'RESUMEN VIGILANCIA'!L40)</f>
        <v>0.3</v>
      </c>
      <c r="N34" s="182">
        <f>IF(ISBLANK('RESUMEN VIGILANCIA'!M40),"",'RESUMEN VIGILANCIA'!M40)</f>
        <v>0.35</v>
      </c>
      <c r="O34" s="182">
        <f>IF(ISBLANK('RESUMEN VIGILANCIA'!N40),"",'RESUMEN VIGILANCIA'!N40)</f>
        <v>0.35</v>
      </c>
      <c r="P34" s="271">
        <f>IF(ISBLANK('RESUMEN VIGILANCIA'!O40),"",'RESUMEN VIGILANCIA'!O40)</f>
        <v>0.5</v>
      </c>
      <c r="Q34" s="180">
        <f>IF(ISBLANK('RESUMEN VIGILANCIA'!P40),"",'RESUMEN VIGILANCIA'!P40)</f>
        <v>0.5</v>
      </c>
      <c r="R34" s="272">
        <f>IF(ISBLANK('RESUMEN VIGILANCIA'!Q40),"",'RESUMEN VIGILANCIA'!Q40)</f>
        <v>0.8</v>
      </c>
      <c r="S34" s="271">
        <f>IF(ISBLANK('RESUMEN VIGILANCIA'!R40),"",'RESUMEN VIGILANCIA'!R40)</f>
        <v>0.8</v>
      </c>
      <c r="T34" s="271">
        <f>IF(ISBLANK('RESUMEN VIGILANCIA'!S40),"",'RESUMEN VIGILANCIA'!S40)</f>
        <v>1.4</v>
      </c>
      <c r="U34" s="271">
        <f>IF(ISBLANK('RESUMEN VIGILANCIA'!T40),"",'RESUMEN VIGILANCIA'!T40)</f>
        <v>1.4</v>
      </c>
      <c r="V34" s="271">
        <f>IF(ISBLANK('RESUMEN VIGILANCIA'!U40),"",'RESUMEN VIGILANCIA'!U40)</f>
        <v>4</v>
      </c>
      <c r="W34" s="271">
        <f>IF(ISBLANK('RESUMEN VIGILANCIA'!V40),"",'RESUMEN VIGILANCIA'!V40)</f>
        <v>6.25</v>
      </c>
      <c r="X34" s="271">
        <f>IF(ISBLANK('RESUMEN VIGILANCIA'!W40),"",'RESUMEN VIGILANCIA'!W40)</f>
        <v>10</v>
      </c>
      <c r="Y34" s="271">
        <f>IF(ISBLANK('RESUMEN VIGILANCIA'!X40),"",'RESUMEN VIGILANCIA'!X40)</f>
        <v>12</v>
      </c>
      <c r="Z34" s="481">
        <f>IF(ISBLANK('RESUMEN VIGILANCIA'!Y40),"",'RESUMEN VIGILANCIA'!Y40)</f>
        <v>320</v>
      </c>
      <c r="AA34" s="481">
        <f>IF(ISBLANK('RESUMEN VIGILANCIA'!Z40),"",'RESUMEN VIGILANCIA'!Z40)</f>
        <v>320</v>
      </c>
      <c r="AB34" s="481">
        <f>IF(ISBLANK('RESUMEN VIGILANCIA'!AA40),"",'RESUMEN VIGILANCIA'!AA40)</f>
        <v>320</v>
      </c>
      <c r="AC34" s="482">
        <f>IF(ISBLANK('RESUMEN VIGILANCIA'!AB40),"",'RESUMEN VIGILANCIA'!AB40)</f>
        <v>800</v>
      </c>
      <c r="AD34" s="399">
        <f>IF(ISBLANK('RESUMEN VIGILANCIA'!AC40),"",'RESUMEN VIGILANCIA'!AC40)</f>
        <v>3000</v>
      </c>
      <c r="AE34" s="400">
        <f>IF(ISBLANK('RESUMEN VIGILANCIA'!AD40),"",'RESUMEN VIGILANCIA'!AD40)</f>
        <v>3000</v>
      </c>
      <c r="AF34" s="400">
        <f>IF(ISBLANK('RESUMEN VIGILANCIA'!AE40),"",'RESUMEN VIGILANCIA'!AE40)</f>
        <v>3000</v>
      </c>
      <c r="AG34" s="400">
        <f>IF(ISBLANK('RESUMEN VIGILANCIA'!AF40),"",'RESUMEN VIGILANCIA'!AF40)</f>
        <v>5000</v>
      </c>
      <c r="AH34" s="400">
        <f>IF(ISBLANK('RESUMEN VIGILANCIA'!AG40),"",'RESUMEN VIGILANCIA'!AG40)</f>
        <v>8000</v>
      </c>
      <c r="AI34" s="400">
        <f>IF(ISBLANK('RESUMEN VIGILANCIA'!AH40),"",'RESUMEN VIGILANCIA'!AH40)</f>
        <v>12040</v>
      </c>
      <c r="AJ34" s="400">
        <f>IF(ISBLANK('RESUMEN VIGILANCIA'!AI40),"",'RESUMEN VIGILANCIA'!AI40)</f>
        <v>10000</v>
      </c>
      <c r="AK34" s="400">
        <f>IF(ISBLANK('RESUMEN VIGILANCIA'!AJ40),"",'RESUMEN VIGILANCIA'!AJ40)</f>
        <v>10000</v>
      </c>
      <c r="AL34" s="400">
        <f>IF(ISBLANK('RESUMEN VIGILANCIA'!AK40),"",'RESUMEN VIGILANCIA'!AK40)</f>
        <v>19800</v>
      </c>
      <c r="AM34" s="400">
        <f>IF(ISBLANK('RESUMEN VIGILANCIA'!AL40),"",'RESUMEN VIGILANCIA'!AL40)</f>
        <v>47000</v>
      </c>
      <c r="AN34" s="400">
        <f>IF(ISBLANK('RESUMEN VIGILANCIA'!AM40),"",'RESUMEN VIGILANCIA'!AM40)</f>
        <v>56250</v>
      </c>
      <c r="AO34" s="401">
        <f>IF(ISBLANK('RESUMEN VIGILANCIA'!AN40),"",'RESUMEN VIGILANCIA'!AN40)</f>
        <v>81750</v>
      </c>
      <c r="AP34" s="399">
        <f>IF(ISBLANK('RESUMEN VIGILANCIA'!AO40),"",'RESUMEN VIGILANCIA'!AO40)</f>
        <v>136250</v>
      </c>
      <c r="AQ34" s="400">
        <f>IF(ISBLANK('RESUMEN VIGILANCIA'!AP40),"",'RESUMEN VIGILANCIA'!AP40)</f>
        <v>136250</v>
      </c>
      <c r="AR34" s="400" t="str">
        <f>IF(ISBLANK('RESUMEN VIGILANCIA'!AQ40),"",'RESUMEN VIGILANCIA'!AQ40)</f>
        <v/>
      </c>
      <c r="AS34" s="400" t="str">
        <f>IF(ISBLANK('RESUMEN VIGILANCIA'!AR40),"",'RESUMEN VIGILANCIA'!AR40)</f>
        <v/>
      </c>
      <c r="AT34" s="400" t="str">
        <f>IF(ISBLANK('RESUMEN VIGILANCIA'!AS40),"",'RESUMEN VIGILANCIA'!AS40)</f>
        <v/>
      </c>
      <c r="AU34" s="400" t="str">
        <f>IF(ISBLANK('RESUMEN VIGILANCIA'!AT40),"",'RESUMEN VIGILANCIA'!AT40)</f>
        <v/>
      </c>
      <c r="AV34" s="400" t="str">
        <f>IF(ISBLANK('RESUMEN VIGILANCIA'!AU40),"",'RESUMEN VIGILANCIA'!AU40)</f>
        <v/>
      </c>
      <c r="AW34" s="400" t="str">
        <f>IF(ISBLANK('RESUMEN VIGILANCIA'!AV40),"",'RESUMEN VIGILANCIA'!AV40)</f>
        <v/>
      </c>
      <c r="AX34" s="400" t="str">
        <f>IF(ISBLANK('RESUMEN VIGILANCIA'!AW40),"",'RESUMEN VIGILANCIA'!AW40)</f>
        <v/>
      </c>
      <c r="AY34" s="400" t="str">
        <f>IF(ISBLANK('RESUMEN VIGILANCIA'!AX40),"",'RESUMEN VIGILANCIA'!AX40)</f>
        <v/>
      </c>
      <c r="AZ34" s="400" t="str">
        <f>IF(ISBLANK('RESUMEN VIGILANCIA'!AY40),"",'RESUMEN VIGILANCIA'!AY40)</f>
        <v/>
      </c>
      <c r="BA34" s="401" t="str">
        <f>IF(ISBLANK('RESUMEN VIGILANCIA'!AZ40),"",'RESUMEN VIGILANCIA'!AZ40)</f>
        <v/>
      </c>
      <c r="BB34" s="243">
        <f t="shared" ref="BB34:BB67" si="1">SUM(E34:AO34)</f>
        <v>260640.06599999999</v>
      </c>
      <c r="BC34" s="112"/>
      <c r="BD34" s="112"/>
    </row>
    <row r="35" spans="1:56" s="29" customFormat="1" ht="20.100000000000001" customHeight="1" x14ac:dyDescent="0.25">
      <c r="A35" s="30" t="str">
        <f>'RESUMEN VIGILANCIA'!A39</f>
        <v>Familia Del Negro Palermo</v>
      </c>
      <c r="B35" s="31" t="str">
        <f>'RESUMEN VIGILANCIA'!B39</f>
        <v>Calle Guacara Nro. 88-45</v>
      </c>
      <c r="C35" s="452" t="s">
        <v>1269</v>
      </c>
      <c r="D35" s="460" t="s">
        <v>1268</v>
      </c>
      <c r="E35" s="440" t="str">
        <f>IF(ISBLANK('RESUMEN VIGILANCIA'!D39),"",'RESUMEN VIGILANCIA'!D39)</f>
        <v/>
      </c>
      <c r="F35" s="270">
        <f>IF(ISBLANK('RESUMEN VIGILANCIA'!E39),"",'RESUMEN VIGILANCIA'!E39)</f>
        <v>0.16999999999999998</v>
      </c>
      <c r="G35" s="182">
        <f>IF(ISBLANK('RESUMEN VIGILANCIA'!F39),"",'RESUMEN VIGILANCIA'!F39)</f>
        <v>0.17</v>
      </c>
      <c r="H35" s="182">
        <f>IF(ISBLANK('RESUMEN VIGILANCIA'!G39),"",'RESUMEN VIGILANCIA'!G39)</f>
        <v>0.17</v>
      </c>
      <c r="I35" s="182">
        <f>IF(ISBLANK('RESUMEN VIGILANCIA'!H39),"",'RESUMEN VIGILANCIA'!H39)</f>
        <v>0.17</v>
      </c>
      <c r="J35" s="182">
        <f>IF(ISBLANK('RESUMEN VIGILANCIA'!I39),"",'RESUMEN VIGILANCIA'!I39)</f>
        <v>0.26</v>
      </c>
      <c r="K35" s="182">
        <f>IF(ISBLANK('RESUMEN VIGILANCIA'!J39),"",'RESUMEN VIGILANCIA'!J39)</f>
        <v>0.26</v>
      </c>
      <c r="L35" s="182">
        <f>IF(ISBLANK('RESUMEN VIGILANCIA'!K39),"",'RESUMEN VIGILANCIA'!K39)</f>
        <v>0.35</v>
      </c>
      <c r="M35" s="182">
        <f>IF(ISBLANK('RESUMEN VIGILANCIA'!L39),"",'RESUMEN VIGILANCIA'!L39)</f>
        <v>0.35</v>
      </c>
      <c r="N35" s="182">
        <f>IF(ISBLANK('RESUMEN VIGILANCIA'!M39),"",'RESUMEN VIGILANCIA'!M39)</f>
        <v>0.35</v>
      </c>
      <c r="O35" s="182">
        <f>IF(ISBLANK('RESUMEN VIGILANCIA'!N39),"",'RESUMEN VIGILANCIA'!N39)</f>
        <v>0.35</v>
      </c>
      <c r="P35" s="271">
        <f>IF(ISBLANK('RESUMEN VIGILANCIA'!O39),"",'RESUMEN VIGILANCIA'!O39)</f>
        <v>0.5</v>
      </c>
      <c r="Q35" s="180">
        <f>IF(ISBLANK('RESUMEN VIGILANCIA'!P39),"",'RESUMEN VIGILANCIA'!P39)</f>
        <v>0.5</v>
      </c>
      <c r="R35" s="272">
        <f>IF(ISBLANK('RESUMEN VIGILANCIA'!Q39),"",'RESUMEN VIGILANCIA'!Q39)</f>
        <v>0.8</v>
      </c>
      <c r="S35" s="271">
        <f>IF(ISBLANK('RESUMEN VIGILANCIA'!R39),"",'RESUMEN VIGILANCIA'!R39)</f>
        <v>0.8</v>
      </c>
      <c r="T35" s="271">
        <f>IF(ISBLANK('RESUMEN VIGILANCIA'!S39),"",'RESUMEN VIGILANCIA'!S39)</f>
        <v>1.4</v>
      </c>
      <c r="U35" s="271">
        <f>IF(ISBLANK('RESUMEN VIGILANCIA'!T39),"",'RESUMEN VIGILANCIA'!T39)</f>
        <v>1.4</v>
      </c>
      <c r="V35" s="271">
        <f>IF(ISBLANK('RESUMEN VIGILANCIA'!U39),"",'RESUMEN VIGILANCIA'!U39)</f>
        <v>4</v>
      </c>
      <c r="W35" s="271">
        <f>IF(ISBLANK('RESUMEN VIGILANCIA'!V39),"",'RESUMEN VIGILANCIA'!V39)</f>
        <v>6.25</v>
      </c>
      <c r="X35" s="271">
        <f>IF(ISBLANK('RESUMEN VIGILANCIA'!W39),"",'RESUMEN VIGILANCIA'!W39)</f>
        <v>10</v>
      </c>
      <c r="Y35" s="271">
        <f>IF(ISBLANK('RESUMEN VIGILANCIA'!X39),"",'RESUMEN VIGILANCIA'!X39)</f>
        <v>12</v>
      </c>
      <c r="Z35" s="481">
        <f>IF(ISBLANK('RESUMEN VIGILANCIA'!Y39),"",'RESUMEN VIGILANCIA'!Y39)</f>
        <v>320</v>
      </c>
      <c r="AA35" s="481">
        <f>IF(ISBLANK('RESUMEN VIGILANCIA'!Z39),"",'RESUMEN VIGILANCIA'!Z39)</f>
        <v>320</v>
      </c>
      <c r="AB35" s="481">
        <f>IF(ISBLANK('RESUMEN VIGILANCIA'!AA39),"",'RESUMEN VIGILANCIA'!AA39)</f>
        <v>320</v>
      </c>
      <c r="AC35" s="482">
        <f>IF(ISBLANK('RESUMEN VIGILANCIA'!AB39),"",'RESUMEN VIGILANCIA'!AB39)</f>
        <v>800</v>
      </c>
      <c r="AD35" s="399">
        <f>IF(ISBLANK('RESUMEN VIGILANCIA'!AC39),"",'RESUMEN VIGILANCIA'!AC39)</f>
        <v>3000</v>
      </c>
      <c r="AE35" s="400">
        <f>IF(ISBLANK('RESUMEN VIGILANCIA'!AD39),"",'RESUMEN VIGILANCIA'!AD39)</f>
        <v>3000</v>
      </c>
      <c r="AF35" s="400">
        <f>IF(ISBLANK('RESUMEN VIGILANCIA'!AE39),"",'RESUMEN VIGILANCIA'!AE39)</f>
        <v>3000</v>
      </c>
      <c r="AG35" s="400">
        <f>IF(ISBLANK('RESUMEN VIGILANCIA'!AF39),"",'RESUMEN VIGILANCIA'!AF39)</f>
        <v>5000</v>
      </c>
      <c r="AH35" s="400">
        <f>IF(ISBLANK('RESUMEN VIGILANCIA'!AG39),"",'RESUMEN VIGILANCIA'!AG39)</f>
        <v>8000</v>
      </c>
      <c r="AI35" s="400">
        <f>IF(ISBLANK('RESUMEN VIGILANCIA'!AH39),"",'RESUMEN VIGILANCIA'!AH39)</f>
        <v>8000</v>
      </c>
      <c r="AJ35" s="400">
        <f>IF(ISBLANK('RESUMEN VIGILANCIA'!AI39),"",'RESUMEN VIGILANCIA'!AI39)</f>
        <v>10000</v>
      </c>
      <c r="AK35" s="400">
        <f>IF(ISBLANK('RESUMEN VIGILANCIA'!AJ39),"",'RESUMEN VIGILANCIA'!AJ39)</f>
        <v>10000</v>
      </c>
      <c r="AL35" s="400">
        <f>IF(ISBLANK('RESUMEN VIGILANCIA'!AK39),"",'RESUMEN VIGILANCIA'!AK39)</f>
        <v>23400</v>
      </c>
      <c r="AM35" s="400">
        <f>IF(ISBLANK('RESUMEN VIGILANCIA'!AL39),"",'RESUMEN VIGILANCIA'!AL39)</f>
        <v>64500</v>
      </c>
      <c r="AN35" s="400">
        <f>IF(ISBLANK('RESUMEN VIGILANCIA'!AM39),"",'RESUMEN VIGILANCIA'!AM39)</f>
        <v>64500</v>
      </c>
      <c r="AO35" s="401">
        <f>IF(ISBLANK('RESUMEN VIGILANCIA'!AN39),"",'RESUMEN VIGILANCIA'!AN39)</f>
        <v>81750</v>
      </c>
      <c r="AP35" s="399">
        <f>IF(ISBLANK('RESUMEN VIGILANCIA'!AO39),"",'RESUMEN VIGILANCIA'!AO39)</f>
        <v>136250</v>
      </c>
      <c r="AQ35" s="400">
        <f>IF(ISBLANK('RESUMEN VIGILANCIA'!AP39),"",'RESUMEN VIGILANCIA'!AP39)</f>
        <v>136250</v>
      </c>
      <c r="AR35" s="400">
        <f>IF(ISBLANK('RESUMEN VIGILANCIA'!AQ39),"",'RESUMEN VIGILANCIA'!AQ39)</f>
        <v>185250</v>
      </c>
      <c r="AS35" s="400" t="str">
        <f>IF(ISBLANK('RESUMEN VIGILANCIA'!AR39),"",'RESUMEN VIGILANCIA'!AR39)</f>
        <v/>
      </c>
      <c r="AT35" s="400" t="str">
        <f>IF(ISBLANK('RESUMEN VIGILANCIA'!AS39),"",'RESUMEN VIGILANCIA'!AS39)</f>
        <v/>
      </c>
      <c r="AU35" s="400" t="str">
        <f>IF(ISBLANK('RESUMEN VIGILANCIA'!AT39),"",'RESUMEN VIGILANCIA'!AT39)</f>
        <v/>
      </c>
      <c r="AV35" s="400" t="str">
        <f>IF(ISBLANK('RESUMEN VIGILANCIA'!AU39),"",'RESUMEN VIGILANCIA'!AU39)</f>
        <v/>
      </c>
      <c r="AW35" s="400" t="str">
        <f>IF(ISBLANK('RESUMEN VIGILANCIA'!AV39),"",'RESUMEN VIGILANCIA'!AV39)</f>
        <v/>
      </c>
      <c r="AX35" s="400" t="str">
        <f>IF(ISBLANK('RESUMEN VIGILANCIA'!AW39),"",'RESUMEN VIGILANCIA'!AW39)</f>
        <v/>
      </c>
      <c r="AY35" s="400" t="str">
        <f>IF(ISBLANK('RESUMEN VIGILANCIA'!AX39),"",'RESUMEN VIGILANCIA'!AX39)</f>
        <v/>
      </c>
      <c r="AZ35" s="400" t="str">
        <f>IF(ISBLANK('RESUMEN VIGILANCIA'!AY39),"",'RESUMEN VIGILANCIA'!AY39)</f>
        <v/>
      </c>
      <c r="BA35" s="401" t="str">
        <f>IF(ISBLANK('RESUMEN VIGILANCIA'!AZ39),"",'RESUMEN VIGILANCIA'!AZ39)</f>
        <v/>
      </c>
      <c r="BB35" s="243">
        <f t="shared" si="1"/>
        <v>285950.25</v>
      </c>
      <c r="BC35" s="112"/>
      <c r="BD35" s="112"/>
    </row>
    <row r="36" spans="1:56" s="29" customFormat="1" ht="20.100000000000001" customHeight="1" x14ac:dyDescent="0.25">
      <c r="A36" s="30" t="str">
        <f>'RESUMEN VIGILANCIA'!A41</f>
        <v>Familia Leung</v>
      </c>
      <c r="B36" s="31" t="str">
        <f>'RESUMEN VIGILANCIA'!B41</f>
        <v>Calle Guacara Nro. 88-55</v>
      </c>
      <c r="C36" s="452" t="s">
        <v>1269</v>
      </c>
      <c r="D36" s="460" t="s">
        <v>1268</v>
      </c>
      <c r="E36" s="440" t="str">
        <f>IF(ISBLANK('RESUMEN VIGILANCIA'!D41),"",'RESUMEN VIGILANCIA'!D41)</f>
        <v/>
      </c>
      <c r="F36" s="270">
        <f>IF(ISBLANK('RESUMEN VIGILANCIA'!E41),"",'RESUMEN VIGILANCIA'!E41)</f>
        <v>0.17</v>
      </c>
      <c r="G36" s="182">
        <f>IF(ISBLANK('RESUMEN VIGILANCIA'!F41),"",'RESUMEN VIGILANCIA'!F41)</f>
        <v>0.17</v>
      </c>
      <c r="H36" s="182">
        <f>IF(ISBLANK('RESUMEN VIGILANCIA'!G41),"",'RESUMEN VIGILANCIA'!G41)</f>
        <v>0.17</v>
      </c>
      <c r="I36" s="182">
        <f>IF(ISBLANK('RESUMEN VIGILANCIA'!H41),"",'RESUMEN VIGILANCIA'!H41)</f>
        <v>0.17</v>
      </c>
      <c r="J36" s="182">
        <f>IF(ISBLANK('RESUMEN VIGILANCIA'!I41),"",'RESUMEN VIGILANCIA'!I41)</f>
        <v>0.26</v>
      </c>
      <c r="K36" s="182" t="str">
        <f>IF(ISBLANK('RESUMEN VIGILANCIA'!J41),"",'RESUMEN VIGILANCIA'!J41)</f>
        <v>- - -</v>
      </c>
      <c r="L36" s="182" t="str">
        <f>IF(ISBLANK('RESUMEN VIGILANCIA'!K41),"",'RESUMEN VIGILANCIA'!K41)</f>
        <v>- - -</v>
      </c>
      <c r="M36" s="182" t="str">
        <f>IF(ISBLANK('RESUMEN VIGILANCIA'!L41),"",'RESUMEN VIGILANCIA'!L41)</f>
        <v>- - -</v>
      </c>
      <c r="N36" s="182" t="str">
        <f>IF(ISBLANK('RESUMEN VIGILANCIA'!M41),"",'RESUMEN VIGILANCIA'!M41)</f>
        <v>- - -</v>
      </c>
      <c r="O36" s="182" t="str">
        <f>IF(ISBLANK('RESUMEN VIGILANCIA'!N41),"",'RESUMEN VIGILANCIA'!N41)</f>
        <v>- - -</v>
      </c>
      <c r="P36" s="271" t="str">
        <f>IF(ISBLANK('RESUMEN VIGILANCIA'!O41),"",'RESUMEN VIGILANCIA'!O41)</f>
        <v>- - -</v>
      </c>
      <c r="Q36" s="180" t="str">
        <f>IF(ISBLANK('RESUMEN VIGILANCIA'!P41),"",'RESUMEN VIGILANCIA'!P41)</f>
        <v>- - -</v>
      </c>
      <c r="R36" s="272">
        <f>IF(ISBLANK('RESUMEN VIGILANCIA'!Q41),"",'RESUMEN VIGILANCIA'!Q41)</f>
        <v>0.8</v>
      </c>
      <c r="S36" s="271">
        <f>IF(ISBLANK('RESUMEN VIGILANCIA'!R41),"",'RESUMEN VIGILANCIA'!R41)</f>
        <v>0.8</v>
      </c>
      <c r="T36" s="271">
        <f>IF(ISBLANK('RESUMEN VIGILANCIA'!S41),"",'RESUMEN VIGILANCIA'!S41)</f>
        <v>1.4</v>
      </c>
      <c r="U36" s="271">
        <f>IF(ISBLANK('RESUMEN VIGILANCIA'!T41),"",'RESUMEN VIGILANCIA'!T41)</f>
        <v>1.4</v>
      </c>
      <c r="V36" s="271">
        <f>IF(ISBLANK('RESUMEN VIGILANCIA'!U41),"",'RESUMEN VIGILANCIA'!U41)</f>
        <v>4</v>
      </c>
      <c r="W36" s="271">
        <f>IF(ISBLANK('RESUMEN VIGILANCIA'!V41),"",'RESUMEN VIGILANCIA'!V41)</f>
        <v>4</v>
      </c>
      <c r="X36" s="271">
        <f>IF(ISBLANK('RESUMEN VIGILANCIA'!W41),"",'RESUMEN VIGILANCIA'!W41)</f>
        <v>10</v>
      </c>
      <c r="Y36" s="271">
        <f>IF(ISBLANK('RESUMEN VIGILANCIA'!X41),"",'RESUMEN VIGILANCIA'!X41)</f>
        <v>12</v>
      </c>
      <c r="Z36" s="481">
        <f>IF(ISBLANK('RESUMEN VIGILANCIA'!Y41),"",'RESUMEN VIGILANCIA'!Y41)</f>
        <v>320</v>
      </c>
      <c r="AA36" s="481">
        <f>IF(ISBLANK('RESUMEN VIGILANCIA'!Z41),"",'RESUMEN VIGILANCIA'!Z41)</f>
        <v>330</v>
      </c>
      <c r="AB36" s="481">
        <f>IF(ISBLANK('RESUMEN VIGILANCIA'!AA41),"",'RESUMEN VIGILANCIA'!AA41)</f>
        <v>320</v>
      </c>
      <c r="AC36" s="482">
        <f>IF(ISBLANK('RESUMEN VIGILANCIA'!AB41),"",'RESUMEN VIGILANCIA'!AB41)</f>
        <v>800</v>
      </c>
      <c r="AD36" s="399">
        <f>IF(ISBLANK('RESUMEN VIGILANCIA'!AC41),"",'RESUMEN VIGILANCIA'!AC41)</f>
        <v>3000</v>
      </c>
      <c r="AE36" s="400">
        <f>IF(ISBLANK('RESUMEN VIGILANCIA'!AD41),"",'RESUMEN VIGILANCIA'!AD41)</f>
        <v>3000</v>
      </c>
      <c r="AF36" s="400">
        <f>IF(ISBLANK('RESUMEN VIGILANCIA'!AE41),"",'RESUMEN VIGILANCIA'!AE41)</f>
        <v>3000</v>
      </c>
      <c r="AG36" s="400">
        <f>IF(ISBLANK('RESUMEN VIGILANCIA'!AF41),"",'RESUMEN VIGILANCIA'!AF41)</f>
        <v>5000</v>
      </c>
      <c r="AH36" s="416" t="str">
        <f>IF(ISBLANK('RESUMEN VIGILANCIA'!AG41),"",'RESUMEN VIGILANCIA'!AG41)</f>
        <v/>
      </c>
      <c r="AI36" s="416" t="str">
        <f>IF(ISBLANK('RESUMEN VIGILANCIA'!AH41),"",'RESUMEN VIGILANCIA'!AH41)</f>
        <v/>
      </c>
      <c r="AJ36" s="416" t="str">
        <f>IF(ISBLANK('RESUMEN VIGILANCIA'!AI41),"",'RESUMEN VIGILANCIA'!AI41)</f>
        <v/>
      </c>
      <c r="AK36" s="416" t="str">
        <f>IF(ISBLANK('RESUMEN VIGILANCIA'!AJ41),"",'RESUMEN VIGILANCIA'!AJ41)</f>
        <v/>
      </c>
      <c r="AL36" s="416" t="str">
        <f>IF(ISBLANK('RESUMEN VIGILANCIA'!AK41),"",'RESUMEN VIGILANCIA'!AK41)</f>
        <v/>
      </c>
      <c r="AM36" s="416" t="str">
        <f>IF(ISBLANK('RESUMEN VIGILANCIA'!AL41),"",'RESUMEN VIGILANCIA'!AL41)</f>
        <v/>
      </c>
      <c r="AN36" s="416" t="str">
        <f>IF(ISBLANK('RESUMEN VIGILANCIA'!AM41),"",'RESUMEN VIGILANCIA'!AM41)</f>
        <v/>
      </c>
      <c r="AO36" s="417" t="str">
        <f>IF(ISBLANK('RESUMEN VIGILANCIA'!AN41),"",'RESUMEN VIGILANCIA'!AN41)</f>
        <v/>
      </c>
      <c r="AP36" s="415" t="str">
        <f>IF(ISBLANK('RESUMEN VIGILANCIA'!AO41),"",'RESUMEN VIGILANCIA'!AO41)</f>
        <v/>
      </c>
      <c r="AQ36" s="416" t="str">
        <f>IF(ISBLANK('RESUMEN VIGILANCIA'!AP41),"",'RESUMEN VIGILANCIA'!AP41)</f>
        <v/>
      </c>
      <c r="AR36" s="416" t="str">
        <f>IF(ISBLANK('RESUMEN VIGILANCIA'!AQ41),"",'RESUMEN VIGILANCIA'!AQ41)</f>
        <v/>
      </c>
      <c r="AS36" s="416" t="str">
        <f>IF(ISBLANK('RESUMEN VIGILANCIA'!AR41),"",'RESUMEN VIGILANCIA'!AR41)</f>
        <v/>
      </c>
      <c r="AT36" s="416" t="str">
        <f>IF(ISBLANK('RESUMEN VIGILANCIA'!AS41),"",'RESUMEN VIGILANCIA'!AS41)</f>
        <v/>
      </c>
      <c r="AU36" s="416" t="str">
        <f>IF(ISBLANK('RESUMEN VIGILANCIA'!AT41),"",'RESUMEN VIGILANCIA'!AT41)</f>
        <v/>
      </c>
      <c r="AV36" s="416" t="str">
        <f>IF(ISBLANK('RESUMEN VIGILANCIA'!AU41),"",'RESUMEN VIGILANCIA'!AU41)</f>
        <v/>
      </c>
      <c r="AW36" s="416" t="str">
        <f>IF(ISBLANK('RESUMEN VIGILANCIA'!AV41),"",'RESUMEN VIGILANCIA'!AV41)</f>
        <v/>
      </c>
      <c r="AX36" s="416" t="str">
        <f>IF(ISBLANK('RESUMEN VIGILANCIA'!AW41),"",'RESUMEN VIGILANCIA'!AW41)</f>
        <v/>
      </c>
      <c r="AY36" s="416" t="str">
        <f>IF(ISBLANK('RESUMEN VIGILANCIA'!AX41),"",'RESUMEN VIGILANCIA'!AX41)</f>
        <v/>
      </c>
      <c r="AZ36" s="416" t="str">
        <f>IF(ISBLANK('RESUMEN VIGILANCIA'!AY41),"",'RESUMEN VIGILANCIA'!AY41)</f>
        <v/>
      </c>
      <c r="BA36" s="417" t="str">
        <f>IF(ISBLANK('RESUMEN VIGILANCIA'!AZ41),"",'RESUMEN VIGILANCIA'!AZ41)</f>
        <v/>
      </c>
      <c r="BB36" s="246">
        <f t="shared" si="1"/>
        <v>15805.34</v>
      </c>
      <c r="BC36" s="113"/>
      <c r="BD36" s="113">
        <v>43556</v>
      </c>
    </row>
    <row r="37" spans="1:56" s="29" customFormat="1" ht="20.100000000000001" customHeight="1" x14ac:dyDescent="0.25">
      <c r="A37" s="30" t="str">
        <f>'RESUMEN VIGILANCIA'!A42</f>
        <v>Familia Zhen</v>
      </c>
      <c r="B37" s="31" t="str">
        <f>'RESUMEN VIGILANCIA'!B42</f>
        <v>Calle Guacara Nro. 88-55</v>
      </c>
      <c r="C37" s="452" t="s">
        <v>1269</v>
      </c>
      <c r="D37" s="460" t="s">
        <v>1268</v>
      </c>
      <c r="E37" s="441" t="str">
        <f>IF(ISBLANK('RESUMEN VIGILANCIA'!D42),"",'RESUMEN VIGILANCIA'!D42)</f>
        <v/>
      </c>
      <c r="F37" s="278" t="str">
        <f>IF(ISBLANK('RESUMEN VIGILANCIA'!E42),"",'RESUMEN VIGILANCIA'!E42)</f>
        <v/>
      </c>
      <c r="G37" s="279" t="str">
        <f>IF(ISBLANK('RESUMEN VIGILANCIA'!F42),"",'RESUMEN VIGILANCIA'!F42)</f>
        <v/>
      </c>
      <c r="H37" s="279" t="str">
        <f>IF(ISBLANK('RESUMEN VIGILANCIA'!G42),"",'RESUMEN VIGILANCIA'!G42)</f>
        <v/>
      </c>
      <c r="I37" s="279" t="str">
        <f>IF(ISBLANK('RESUMEN VIGILANCIA'!H42),"",'RESUMEN VIGILANCIA'!H42)</f>
        <v/>
      </c>
      <c r="J37" s="279" t="str">
        <f>IF(ISBLANK('RESUMEN VIGILANCIA'!I42),"",'RESUMEN VIGILANCIA'!I42)</f>
        <v/>
      </c>
      <c r="K37" s="279" t="str">
        <f>IF(ISBLANK('RESUMEN VIGILANCIA'!J42),"",'RESUMEN VIGILANCIA'!J42)</f>
        <v/>
      </c>
      <c r="L37" s="279" t="str">
        <f>IF(ISBLANK('RESUMEN VIGILANCIA'!K42),"",'RESUMEN VIGILANCIA'!K42)</f>
        <v/>
      </c>
      <c r="M37" s="279" t="str">
        <f>IF(ISBLANK('RESUMEN VIGILANCIA'!L42),"",'RESUMEN VIGILANCIA'!L42)</f>
        <v/>
      </c>
      <c r="N37" s="279" t="str">
        <f>IF(ISBLANK('RESUMEN VIGILANCIA'!M42),"",'RESUMEN VIGILANCIA'!M42)</f>
        <v/>
      </c>
      <c r="O37" s="279" t="str">
        <f>IF(ISBLANK('RESUMEN VIGILANCIA'!N42),"",'RESUMEN VIGILANCIA'!N42)</f>
        <v/>
      </c>
      <c r="P37" s="280" t="str">
        <f>IF(ISBLANK('RESUMEN VIGILANCIA'!O42),"",'RESUMEN VIGILANCIA'!O42)</f>
        <v/>
      </c>
      <c r="Q37" s="277" t="str">
        <f>IF(ISBLANK('RESUMEN VIGILANCIA'!P42),"",'RESUMEN VIGILANCIA'!P42)</f>
        <v/>
      </c>
      <c r="R37" s="281" t="str">
        <f>IF(ISBLANK('RESUMEN VIGILANCIA'!Q42),"",'RESUMEN VIGILANCIA'!Q42)</f>
        <v/>
      </c>
      <c r="S37" s="280" t="str">
        <f>IF(ISBLANK('RESUMEN VIGILANCIA'!R42),"",'RESUMEN VIGILANCIA'!R42)</f>
        <v/>
      </c>
      <c r="T37" s="280" t="str">
        <f>IF(ISBLANK('RESUMEN VIGILANCIA'!S42),"",'RESUMEN VIGILANCIA'!S42)</f>
        <v/>
      </c>
      <c r="U37" s="280" t="str">
        <f>IF(ISBLANK('RESUMEN VIGILANCIA'!T42),"",'RESUMEN VIGILANCIA'!T42)</f>
        <v/>
      </c>
      <c r="V37" s="280" t="str">
        <f>IF(ISBLANK('RESUMEN VIGILANCIA'!U42),"",'RESUMEN VIGILANCIA'!U42)</f>
        <v/>
      </c>
      <c r="W37" s="280" t="str">
        <f>IF(ISBLANK('RESUMEN VIGILANCIA'!V42),"",'RESUMEN VIGILANCIA'!V42)</f>
        <v/>
      </c>
      <c r="X37" s="280" t="str">
        <f>IF(ISBLANK('RESUMEN VIGILANCIA'!W42),"",'RESUMEN VIGILANCIA'!W42)</f>
        <v/>
      </c>
      <c r="Y37" s="280" t="str">
        <f>IF(ISBLANK('RESUMEN VIGILANCIA'!X42),"",'RESUMEN VIGILANCIA'!X42)</f>
        <v/>
      </c>
      <c r="Z37" s="489" t="str">
        <f>IF(ISBLANK('RESUMEN VIGILANCIA'!Y42),"",'RESUMEN VIGILANCIA'!Y42)</f>
        <v/>
      </c>
      <c r="AA37" s="489" t="str">
        <f>IF(ISBLANK('RESUMEN VIGILANCIA'!Z42),"",'RESUMEN VIGILANCIA'!Z42)</f>
        <v/>
      </c>
      <c r="AB37" s="489" t="str">
        <f>IF(ISBLANK('RESUMEN VIGILANCIA'!AA42),"",'RESUMEN VIGILANCIA'!AA42)</f>
        <v/>
      </c>
      <c r="AC37" s="489" t="str">
        <f>IF(ISBLANK('RESUMEN VIGILANCIA'!AB42),"",'RESUMEN VIGILANCIA'!AB42)</f>
        <v/>
      </c>
      <c r="AD37" s="489" t="str">
        <f>IF(ISBLANK('RESUMEN VIGILANCIA'!AC42),"",'RESUMEN VIGILANCIA'!AC42)</f>
        <v/>
      </c>
      <c r="AE37" s="489" t="str">
        <f>IF(ISBLANK('RESUMEN VIGILANCIA'!AD42),"",'RESUMEN VIGILANCIA'!AD42)</f>
        <v/>
      </c>
      <c r="AF37" s="489" t="str">
        <f>IF(ISBLANK('RESUMEN VIGILANCIA'!AE42),"",'RESUMEN VIGILANCIA'!AE42)</f>
        <v/>
      </c>
      <c r="AG37" s="489" t="str">
        <f>IF(ISBLANK('RESUMEN VIGILANCIA'!AF42),"",'RESUMEN VIGILANCIA'!AF42)</f>
        <v/>
      </c>
      <c r="AH37" s="400">
        <f>IF(ISBLANK('RESUMEN VIGILANCIA'!AG42),"",'RESUMEN VIGILANCIA'!AG42)</f>
        <v>8000</v>
      </c>
      <c r="AI37" s="400">
        <f>IF(ISBLANK('RESUMEN VIGILANCIA'!AH42),"",'RESUMEN VIGILANCIA'!AH42)</f>
        <v>8000</v>
      </c>
      <c r="AJ37" s="400">
        <f>IF(ISBLANK('RESUMEN VIGILANCIA'!AI42),"",'RESUMEN VIGILANCIA'!AI42)</f>
        <v>10000</v>
      </c>
      <c r="AK37" s="400">
        <f>IF(ISBLANK('RESUMEN VIGILANCIA'!AJ42),"",'RESUMEN VIGILANCIA'!AJ42)</f>
        <v>10000</v>
      </c>
      <c r="AL37" s="400">
        <f>IF(ISBLANK('RESUMEN VIGILANCIA'!AK42),"",'RESUMEN VIGILANCIA'!AK42)</f>
        <v>20300</v>
      </c>
      <c r="AM37" s="400">
        <f>IF(ISBLANK('RESUMEN VIGILANCIA'!AL42),"",'RESUMEN VIGILANCIA'!AL42)</f>
        <v>33700</v>
      </c>
      <c r="AN37" s="400" t="str">
        <f>IF(ISBLANK('RESUMEN VIGILANCIA'!AM42),"",'RESUMEN VIGILANCIA'!AM42)</f>
        <v/>
      </c>
      <c r="AO37" s="401" t="str">
        <f>IF(ISBLANK('RESUMEN VIGILANCIA'!AN42),"",'RESUMEN VIGILANCIA'!AN42)</f>
        <v/>
      </c>
      <c r="AP37" s="399" t="str">
        <f>IF(ISBLANK('RESUMEN VIGILANCIA'!AO42),"",'RESUMEN VIGILANCIA'!AO42)</f>
        <v/>
      </c>
      <c r="AQ37" s="400" t="str">
        <f>IF(ISBLANK('RESUMEN VIGILANCIA'!AP42),"",'RESUMEN VIGILANCIA'!AP42)</f>
        <v/>
      </c>
      <c r="AR37" s="400" t="str">
        <f>IF(ISBLANK('RESUMEN VIGILANCIA'!AQ42),"",'RESUMEN VIGILANCIA'!AQ42)</f>
        <v/>
      </c>
      <c r="AS37" s="400" t="str">
        <f>IF(ISBLANK('RESUMEN VIGILANCIA'!AR42),"",'RESUMEN VIGILANCIA'!AR42)</f>
        <v/>
      </c>
      <c r="AT37" s="400" t="str">
        <f>IF(ISBLANK('RESUMEN VIGILANCIA'!AS42),"",'RESUMEN VIGILANCIA'!AS42)</f>
        <v/>
      </c>
      <c r="AU37" s="400" t="str">
        <f>IF(ISBLANK('RESUMEN VIGILANCIA'!AT42),"",'RESUMEN VIGILANCIA'!AT42)</f>
        <v/>
      </c>
      <c r="AV37" s="400" t="str">
        <f>IF(ISBLANK('RESUMEN VIGILANCIA'!AU42),"",'RESUMEN VIGILANCIA'!AU42)</f>
        <v/>
      </c>
      <c r="AW37" s="400" t="str">
        <f>IF(ISBLANK('RESUMEN VIGILANCIA'!AV42),"",'RESUMEN VIGILANCIA'!AV42)</f>
        <v/>
      </c>
      <c r="AX37" s="400" t="str">
        <f>IF(ISBLANK('RESUMEN VIGILANCIA'!AW42),"",'RESUMEN VIGILANCIA'!AW42)</f>
        <v/>
      </c>
      <c r="AY37" s="400" t="str">
        <f>IF(ISBLANK('RESUMEN VIGILANCIA'!AX42),"",'RESUMEN VIGILANCIA'!AX42)</f>
        <v/>
      </c>
      <c r="AZ37" s="400" t="str">
        <f>IF(ISBLANK('RESUMEN VIGILANCIA'!AY42),"",'RESUMEN VIGILANCIA'!AY42)</f>
        <v/>
      </c>
      <c r="BA37" s="401" t="str">
        <f>IF(ISBLANK('RESUMEN VIGILANCIA'!AZ42),"",'RESUMEN VIGILANCIA'!AZ42)</f>
        <v/>
      </c>
      <c r="BB37" s="243">
        <f t="shared" ref="BB37" si="2">SUM(E37:AO37)</f>
        <v>90000</v>
      </c>
      <c r="BC37" s="112">
        <v>43586</v>
      </c>
      <c r="BD37" s="112"/>
    </row>
    <row r="38" spans="1:56" s="29" customFormat="1" ht="20.100000000000001" customHeight="1" x14ac:dyDescent="0.25">
      <c r="A38" s="30" t="str">
        <f>'RESUMEN VIGILANCIA'!A43</f>
        <v>Amparo Acosta</v>
      </c>
      <c r="B38" s="31" t="str">
        <f>'RESUMEN VIGILANCIA'!B43</f>
        <v>Calle Guacara Nro. 88-65</v>
      </c>
      <c r="C38" s="452" t="s">
        <v>1272</v>
      </c>
      <c r="D38" s="555" t="s">
        <v>17</v>
      </c>
      <c r="E38" s="440" t="str">
        <f>IF(ISBLANK('RESUMEN VIGILANCIA'!D43),"",'RESUMEN VIGILANCIA'!D43)</f>
        <v/>
      </c>
      <c r="F38" s="270" t="str">
        <f>IF(ISBLANK('RESUMEN VIGILANCIA'!E43),"",'RESUMEN VIGILANCIA'!E43)</f>
        <v/>
      </c>
      <c r="G38" s="182" t="str">
        <f>IF(ISBLANK('RESUMEN VIGILANCIA'!F43),"",'RESUMEN VIGILANCIA'!F43)</f>
        <v/>
      </c>
      <c r="H38" s="182" t="str">
        <f>IF(ISBLANK('RESUMEN VIGILANCIA'!G43),"",'RESUMEN VIGILANCIA'!G43)</f>
        <v/>
      </c>
      <c r="I38" s="182" t="str">
        <f>IF(ISBLANK('RESUMEN VIGILANCIA'!H43),"",'RESUMEN VIGILANCIA'!H43)</f>
        <v/>
      </c>
      <c r="J38" s="182" t="str">
        <f>IF(ISBLANK('RESUMEN VIGILANCIA'!I43),"",'RESUMEN VIGILANCIA'!I43)</f>
        <v/>
      </c>
      <c r="K38" s="182" t="str">
        <f>IF(ISBLANK('RESUMEN VIGILANCIA'!J43),"",'RESUMEN VIGILANCIA'!J43)</f>
        <v/>
      </c>
      <c r="L38" s="182" t="str">
        <f>IF(ISBLANK('RESUMEN VIGILANCIA'!K43),"",'RESUMEN VIGILANCIA'!K43)</f>
        <v/>
      </c>
      <c r="M38" s="182" t="str">
        <f>IF(ISBLANK('RESUMEN VIGILANCIA'!L43),"",'RESUMEN VIGILANCIA'!L43)</f>
        <v/>
      </c>
      <c r="N38" s="182" t="str">
        <f>IF(ISBLANK('RESUMEN VIGILANCIA'!M43),"",'RESUMEN VIGILANCIA'!M43)</f>
        <v/>
      </c>
      <c r="O38" s="182" t="str">
        <f>IF(ISBLANK('RESUMEN VIGILANCIA'!N43),"",'RESUMEN VIGILANCIA'!N43)</f>
        <v/>
      </c>
      <c r="P38" s="271" t="str">
        <f>IF(ISBLANK('RESUMEN VIGILANCIA'!O43),"",'RESUMEN VIGILANCIA'!O43)</f>
        <v/>
      </c>
      <c r="Q38" s="180" t="str">
        <f>IF(ISBLANK('RESUMEN VIGILANCIA'!P43),"",'RESUMEN VIGILANCIA'!P43)</f>
        <v/>
      </c>
      <c r="R38" s="272" t="str">
        <f>IF(ISBLANK('RESUMEN VIGILANCIA'!Q43),"",'RESUMEN VIGILANCIA'!Q43)</f>
        <v/>
      </c>
      <c r="S38" s="271" t="str">
        <f>IF(ISBLANK('RESUMEN VIGILANCIA'!R43),"",'RESUMEN VIGILANCIA'!R43)</f>
        <v/>
      </c>
      <c r="T38" s="271" t="str">
        <f>IF(ISBLANK('RESUMEN VIGILANCIA'!S43),"",'RESUMEN VIGILANCIA'!S43)</f>
        <v/>
      </c>
      <c r="U38" s="271" t="str">
        <f>IF(ISBLANK('RESUMEN VIGILANCIA'!T43),"",'RESUMEN VIGILANCIA'!T43)</f>
        <v/>
      </c>
      <c r="V38" s="271" t="str">
        <f>IF(ISBLANK('RESUMEN VIGILANCIA'!U43),"",'RESUMEN VIGILANCIA'!U43)</f>
        <v/>
      </c>
      <c r="W38" s="271" t="str">
        <f>IF(ISBLANK('RESUMEN VIGILANCIA'!V43),"",'RESUMEN VIGILANCIA'!V43)</f>
        <v/>
      </c>
      <c r="X38" s="271">
        <f>IF(ISBLANK('RESUMEN VIGILANCIA'!W43),"",'RESUMEN VIGILANCIA'!W43)</f>
        <v>10</v>
      </c>
      <c r="Y38" s="271">
        <f>IF(ISBLANK('RESUMEN VIGILANCIA'!X43),"",'RESUMEN VIGILANCIA'!X43)</f>
        <v>12</v>
      </c>
      <c r="Z38" s="481">
        <f>IF(ISBLANK('RESUMEN VIGILANCIA'!Y43),"",'RESUMEN VIGILANCIA'!Y43)</f>
        <v>320</v>
      </c>
      <c r="AA38" s="481">
        <f>IF(ISBLANK('RESUMEN VIGILANCIA'!Z43),"",'RESUMEN VIGILANCIA'!Z43)</f>
        <v>320</v>
      </c>
      <c r="AB38" s="481">
        <f>IF(ISBLANK('RESUMEN VIGILANCIA'!AA43),"",'RESUMEN VIGILANCIA'!AA43)</f>
        <v>330</v>
      </c>
      <c r="AC38" s="482">
        <f>IF(ISBLANK('RESUMEN VIGILANCIA'!AB43),"",'RESUMEN VIGILANCIA'!AB43)</f>
        <v>800</v>
      </c>
      <c r="AD38" s="399">
        <f>IF(ISBLANK('RESUMEN VIGILANCIA'!AC43),"",'RESUMEN VIGILANCIA'!AC43)</f>
        <v>3000</v>
      </c>
      <c r="AE38" s="400">
        <f>IF(ISBLANK('RESUMEN VIGILANCIA'!AD43),"",'RESUMEN VIGILANCIA'!AD43)</f>
        <v>3000</v>
      </c>
      <c r="AF38" s="400">
        <f>IF(ISBLANK('RESUMEN VIGILANCIA'!AE43),"",'RESUMEN VIGILANCIA'!AE43)</f>
        <v>3000</v>
      </c>
      <c r="AG38" s="400">
        <f>IF(ISBLANK('RESUMEN VIGILANCIA'!AF43),"",'RESUMEN VIGILANCIA'!AF43)</f>
        <v>5000</v>
      </c>
      <c r="AH38" s="400">
        <f>IF(ISBLANK('RESUMEN VIGILANCIA'!AG43),"",'RESUMEN VIGILANCIA'!AG43)</f>
        <v>8000</v>
      </c>
      <c r="AI38" s="400">
        <f>IF(ISBLANK('RESUMEN VIGILANCIA'!AH43),"",'RESUMEN VIGILANCIA'!AH43)</f>
        <v>8000</v>
      </c>
      <c r="AJ38" s="400">
        <f>IF(ISBLANK('RESUMEN VIGILANCIA'!AI43),"",'RESUMEN VIGILANCIA'!AI43)</f>
        <v>10000</v>
      </c>
      <c r="AK38" s="400">
        <f>IF(ISBLANK('RESUMEN VIGILANCIA'!AJ43),"",'RESUMEN VIGILANCIA'!AJ43)</f>
        <v>10000</v>
      </c>
      <c r="AL38" s="400">
        <f>IF(ISBLANK('RESUMEN VIGILANCIA'!AK43),"",'RESUMEN VIGILANCIA'!AK43)</f>
        <v>20500</v>
      </c>
      <c r="AM38" s="400">
        <f>IF(ISBLANK('RESUMEN VIGILANCIA'!AL43),"",'RESUMEN VIGILANCIA'!AL43)</f>
        <v>47000</v>
      </c>
      <c r="AN38" s="400">
        <f>IF(ISBLANK('RESUMEN VIGILANCIA'!AM43),"",'RESUMEN VIGILANCIA'!AM43)</f>
        <v>56250</v>
      </c>
      <c r="AO38" s="401">
        <f>IF(ISBLANK('RESUMEN VIGILANCIA'!AN43),"",'RESUMEN VIGILANCIA'!AN43)</f>
        <v>81750</v>
      </c>
      <c r="AP38" s="399">
        <f>IF(ISBLANK('RESUMEN VIGILANCIA'!AO43),"",'RESUMEN VIGILANCIA'!AO43)</f>
        <v>136250</v>
      </c>
      <c r="AQ38" s="400">
        <f>IF(ISBLANK('RESUMEN VIGILANCIA'!AP43),"",'RESUMEN VIGILANCIA'!AP43)</f>
        <v>136250</v>
      </c>
      <c r="AR38" s="400">
        <f>IF(ISBLANK('RESUMEN VIGILANCIA'!AQ43),"",'RESUMEN VIGILANCIA'!AQ43)</f>
        <v>185250</v>
      </c>
      <c r="AS38" s="400" t="str">
        <f>IF(ISBLANK('RESUMEN VIGILANCIA'!AR43),"",'RESUMEN VIGILANCIA'!AR43)</f>
        <v/>
      </c>
      <c r="AT38" s="400" t="str">
        <f>IF(ISBLANK('RESUMEN VIGILANCIA'!AS43),"",'RESUMEN VIGILANCIA'!AS43)</f>
        <v/>
      </c>
      <c r="AU38" s="400" t="str">
        <f>IF(ISBLANK('RESUMEN VIGILANCIA'!AT43),"",'RESUMEN VIGILANCIA'!AT43)</f>
        <v/>
      </c>
      <c r="AV38" s="400" t="str">
        <f>IF(ISBLANK('RESUMEN VIGILANCIA'!AU43),"",'RESUMEN VIGILANCIA'!AU43)</f>
        <v/>
      </c>
      <c r="AW38" s="400" t="str">
        <f>IF(ISBLANK('RESUMEN VIGILANCIA'!AV43),"",'RESUMEN VIGILANCIA'!AV43)</f>
        <v/>
      </c>
      <c r="AX38" s="400" t="str">
        <f>IF(ISBLANK('RESUMEN VIGILANCIA'!AW43),"",'RESUMEN VIGILANCIA'!AW43)</f>
        <v/>
      </c>
      <c r="AY38" s="400" t="str">
        <f>IF(ISBLANK('RESUMEN VIGILANCIA'!AX43),"",'RESUMEN VIGILANCIA'!AX43)</f>
        <v/>
      </c>
      <c r="AZ38" s="400" t="str">
        <f>IF(ISBLANK('RESUMEN VIGILANCIA'!AY43),"",'RESUMEN VIGILANCIA'!AY43)</f>
        <v/>
      </c>
      <c r="BA38" s="401" t="str">
        <f>IF(ISBLANK('RESUMEN VIGILANCIA'!AZ43),"",'RESUMEN VIGILANCIA'!AZ43)</f>
        <v/>
      </c>
      <c r="BB38" s="243">
        <f t="shared" si="1"/>
        <v>257292</v>
      </c>
      <c r="BC38" s="112"/>
      <c r="BD38" s="112"/>
    </row>
    <row r="39" spans="1:56" s="29" customFormat="1" ht="20.100000000000001" customHeight="1" x14ac:dyDescent="0.25">
      <c r="A39" s="59" t="str">
        <f>'RESUMEN VIGILANCIA'!A44</f>
        <v>Familia Fernández Parés</v>
      </c>
      <c r="B39" s="60" t="str">
        <f>'RESUMEN VIGILANCIA'!B44</f>
        <v>Calle Guacara Nro. 88-75</v>
      </c>
      <c r="C39" s="452"/>
      <c r="D39" s="460" t="s">
        <v>1268</v>
      </c>
      <c r="E39" s="440" t="str">
        <f>IF(ISBLANK('RESUMEN VIGILANCIA'!D44),"",'RESUMEN VIGILANCIA'!D44)</f>
        <v/>
      </c>
      <c r="F39" s="270">
        <f>IF(ISBLANK('RESUMEN VIGILANCIA'!E44),"",'RESUMEN VIGILANCIA'!E44)</f>
        <v>0.17</v>
      </c>
      <c r="G39" s="182">
        <f>IF(ISBLANK('RESUMEN VIGILANCIA'!F44),"",'RESUMEN VIGILANCIA'!F44)</f>
        <v>0.17</v>
      </c>
      <c r="H39" s="182">
        <f>IF(ISBLANK('RESUMEN VIGILANCIA'!G44),"",'RESUMEN VIGILANCIA'!G44)</f>
        <v>0.17</v>
      </c>
      <c r="I39" s="182">
        <f>IF(ISBLANK('RESUMEN VIGILANCIA'!H44),"",'RESUMEN VIGILANCIA'!H44)</f>
        <v>0.17</v>
      </c>
      <c r="J39" s="182">
        <f>IF(ISBLANK('RESUMEN VIGILANCIA'!I44),"",'RESUMEN VIGILANCIA'!I44)</f>
        <v>0.26</v>
      </c>
      <c r="K39" s="182">
        <f>IF(ISBLANK('RESUMEN VIGILANCIA'!J44),"",'RESUMEN VIGILANCIA'!J44)</f>
        <v>0.26</v>
      </c>
      <c r="L39" s="182">
        <f>IF(ISBLANK('RESUMEN VIGILANCIA'!K44),"",'RESUMEN VIGILANCIA'!K44)</f>
        <v>0.35</v>
      </c>
      <c r="M39" s="182">
        <f>IF(ISBLANK('RESUMEN VIGILANCIA'!L44),"",'RESUMEN VIGILANCIA'!L44)</f>
        <v>0.35000000000000003</v>
      </c>
      <c r="N39" s="182">
        <f>IF(ISBLANK('RESUMEN VIGILANCIA'!M44),"",'RESUMEN VIGILANCIA'!M44)</f>
        <v>0.35000000000000003</v>
      </c>
      <c r="O39" s="182">
        <f>IF(ISBLANK('RESUMEN VIGILANCIA'!N44),"",'RESUMEN VIGILANCIA'!N44)</f>
        <v>0.35000000000000003</v>
      </c>
      <c r="P39" s="271">
        <f>IF(ISBLANK('RESUMEN VIGILANCIA'!O44),"",'RESUMEN VIGILANCIA'!O44)</f>
        <v>0.5</v>
      </c>
      <c r="Q39" s="180">
        <f>IF(ISBLANK('RESUMEN VIGILANCIA'!P44),"",'RESUMEN VIGILANCIA'!P44)</f>
        <v>0.5</v>
      </c>
      <c r="R39" s="272">
        <f>IF(ISBLANK('RESUMEN VIGILANCIA'!Q44),"",'RESUMEN VIGILANCIA'!Q44)</f>
        <v>0.8</v>
      </c>
      <c r="S39" s="271">
        <f>IF(ISBLANK('RESUMEN VIGILANCIA'!R44),"",'RESUMEN VIGILANCIA'!R44)</f>
        <v>0.8</v>
      </c>
      <c r="T39" s="271">
        <f>IF(ISBLANK('RESUMEN VIGILANCIA'!S44),"",'RESUMEN VIGILANCIA'!S44)</f>
        <v>0.35</v>
      </c>
      <c r="U39" s="271" t="str">
        <f>IF(ISBLANK('RESUMEN VIGILANCIA'!T44),"",'RESUMEN VIGILANCIA'!T44)</f>
        <v/>
      </c>
      <c r="V39" s="275" t="s">
        <v>1177</v>
      </c>
      <c r="W39" s="276" t="str">
        <f>IF(ISBLANK('RESUMEN VIGILANCIA'!V44),"",'RESUMEN VIGILANCIA'!V44)</f>
        <v/>
      </c>
      <c r="X39" s="276" t="str">
        <f>IF(ISBLANK('RESUMEN VIGILANCIA'!W44),"",'RESUMEN VIGILANCIA'!W44)</f>
        <v/>
      </c>
      <c r="Y39" s="276" t="str">
        <f>IF(ISBLANK('RESUMEN VIGILANCIA'!X44),"",'RESUMEN VIGILANCIA'!X44)</f>
        <v/>
      </c>
      <c r="Z39" s="487" t="str">
        <f>IF(ISBLANK('RESUMEN VIGILANCIA'!Y44),"",'RESUMEN VIGILANCIA'!Y44)</f>
        <v/>
      </c>
      <c r="AA39" s="487" t="str">
        <f>IF(ISBLANK('RESUMEN VIGILANCIA'!Z44),"",'RESUMEN VIGILANCIA'!Z44)</f>
        <v/>
      </c>
      <c r="AB39" s="487" t="str">
        <f>IF(ISBLANK('RESUMEN VIGILANCIA'!AA44),"",'RESUMEN VIGILANCIA'!AA44)</f>
        <v/>
      </c>
      <c r="AC39" s="488" t="str">
        <f>IF(ISBLANK('RESUMEN VIGILANCIA'!AB44),"",'RESUMEN VIGILANCIA'!AB44)</f>
        <v/>
      </c>
      <c r="AD39" s="415" t="str">
        <f>IF(ISBLANK('RESUMEN VIGILANCIA'!AC44),"",'RESUMEN VIGILANCIA'!AC44)</f>
        <v/>
      </c>
      <c r="AE39" s="416" t="str">
        <f>IF(ISBLANK('RESUMEN VIGILANCIA'!AD44),"",'RESUMEN VIGILANCIA'!AD44)</f>
        <v/>
      </c>
      <c r="AF39" s="416" t="str">
        <f>IF(ISBLANK('RESUMEN VIGILANCIA'!AE44),"",'RESUMEN VIGILANCIA'!AE44)</f>
        <v/>
      </c>
      <c r="AG39" s="416" t="str">
        <f>IF(ISBLANK('RESUMEN VIGILANCIA'!AF44),"",'RESUMEN VIGILANCIA'!AF44)</f>
        <v/>
      </c>
      <c r="AH39" s="416" t="str">
        <f>IF(ISBLANK('RESUMEN VIGILANCIA'!AG44),"",'RESUMEN VIGILANCIA'!AG44)</f>
        <v/>
      </c>
      <c r="AI39" s="416" t="str">
        <f>IF(ISBLANK('RESUMEN VIGILANCIA'!AH44),"",'RESUMEN VIGILANCIA'!AH44)</f>
        <v/>
      </c>
      <c r="AJ39" s="416" t="str">
        <f>IF(ISBLANK('RESUMEN VIGILANCIA'!AI44),"",'RESUMEN VIGILANCIA'!AI44)</f>
        <v/>
      </c>
      <c r="AK39" s="416" t="str">
        <f>IF(ISBLANK('RESUMEN VIGILANCIA'!AJ44),"",'RESUMEN VIGILANCIA'!AJ44)</f>
        <v/>
      </c>
      <c r="AL39" s="416" t="str">
        <f>IF(ISBLANK('RESUMEN VIGILANCIA'!AK44),"",'RESUMEN VIGILANCIA'!AK44)</f>
        <v/>
      </c>
      <c r="AM39" s="416" t="str">
        <f>IF(ISBLANK('RESUMEN VIGILANCIA'!AL44),"",'RESUMEN VIGILANCIA'!AL44)</f>
        <v/>
      </c>
      <c r="AN39" s="416" t="str">
        <f>IF(ISBLANK('RESUMEN VIGILANCIA'!AM44),"",'RESUMEN VIGILANCIA'!AM44)</f>
        <v/>
      </c>
      <c r="AO39" s="417" t="str">
        <f>IF(ISBLANK('RESUMEN VIGILANCIA'!AN44),"",'RESUMEN VIGILANCIA'!AN44)</f>
        <v/>
      </c>
      <c r="AP39" s="415" t="str">
        <f>IF(ISBLANK('RESUMEN VIGILANCIA'!AO44),"",'RESUMEN VIGILANCIA'!AO44)</f>
        <v/>
      </c>
      <c r="AQ39" s="416" t="str">
        <f>IF(ISBLANK('RESUMEN VIGILANCIA'!AP44),"",'RESUMEN VIGILANCIA'!AP44)</f>
        <v/>
      </c>
      <c r="AR39" s="416" t="str">
        <f>IF(ISBLANK('RESUMEN VIGILANCIA'!AQ44),"",'RESUMEN VIGILANCIA'!AQ44)</f>
        <v/>
      </c>
      <c r="AS39" s="416" t="str">
        <f>IF(ISBLANK('RESUMEN VIGILANCIA'!AR44),"",'RESUMEN VIGILANCIA'!AR44)</f>
        <v/>
      </c>
      <c r="AT39" s="416" t="str">
        <f>IF(ISBLANK('RESUMEN VIGILANCIA'!AS44),"",'RESUMEN VIGILANCIA'!AS44)</f>
        <v/>
      </c>
      <c r="AU39" s="416" t="str">
        <f>IF(ISBLANK('RESUMEN VIGILANCIA'!AT44),"",'RESUMEN VIGILANCIA'!AT44)</f>
        <v/>
      </c>
      <c r="AV39" s="416" t="str">
        <f>IF(ISBLANK('RESUMEN VIGILANCIA'!AU44),"",'RESUMEN VIGILANCIA'!AU44)</f>
        <v/>
      </c>
      <c r="AW39" s="416" t="str">
        <f>IF(ISBLANK('RESUMEN VIGILANCIA'!AV44),"",'RESUMEN VIGILANCIA'!AV44)</f>
        <v/>
      </c>
      <c r="AX39" s="416" t="str">
        <f>IF(ISBLANK('RESUMEN VIGILANCIA'!AW44),"",'RESUMEN VIGILANCIA'!AW44)</f>
        <v/>
      </c>
      <c r="AY39" s="416" t="str">
        <f>IF(ISBLANK('RESUMEN VIGILANCIA'!AX44),"",'RESUMEN VIGILANCIA'!AX44)</f>
        <v/>
      </c>
      <c r="AZ39" s="416" t="str">
        <f>IF(ISBLANK('RESUMEN VIGILANCIA'!AY44),"",'RESUMEN VIGILANCIA'!AY44)</f>
        <v/>
      </c>
      <c r="BA39" s="417" t="str">
        <f>IF(ISBLANK('RESUMEN VIGILANCIA'!AZ44),"",'RESUMEN VIGILANCIA'!AZ44)</f>
        <v/>
      </c>
      <c r="BB39" s="246">
        <f t="shared" si="1"/>
        <v>5.55</v>
      </c>
      <c r="BC39" s="113"/>
      <c r="BD39" s="113">
        <v>43191</v>
      </c>
    </row>
    <row r="40" spans="1:56" s="29" customFormat="1" ht="20.100000000000001" customHeight="1" x14ac:dyDescent="0.25">
      <c r="A40" s="59" t="str">
        <f>'RESUMEN VIGILANCIA'!A45</f>
        <v>Isbeth Palacios</v>
      </c>
      <c r="B40" s="60" t="str">
        <f>'RESUMEN VIGILANCIA'!B45</f>
        <v>Calle Guacara Nro. 88-75</v>
      </c>
      <c r="C40" s="452"/>
      <c r="D40" s="460" t="s">
        <v>1268</v>
      </c>
      <c r="E40" s="440" t="str">
        <f>IF(ISBLANK('RESUMEN VIGILANCIA'!D45),"",'RESUMEN VIGILANCIA'!D45)</f>
        <v/>
      </c>
      <c r="F40" s="270" t="str">
        <f>IF(ISBLANK('RESUMEN VIGILANCIA'!E45),"",'RESUMEN VIGILANCIA'!E45)</f>
        <v/>
      </c>
      <c r="G40" s="182" t="str">
        <f>IF(ISBLANK('RESUMEN VIGILANCIA'!F45),"",'RESUMEN VIGILANCIA'!F45)</f>
        <v/>
      </c>
      <c r="H40" s="182" t="str">
        <f>IF(ISBLANK('RESUMEN VIGILANCIA'!G45),"",'RESUMEN VIGILANCIA'!G45)</f>
        <v/>
      </c>
      <c r="I40" s="182" t="str">
        <f>IF(ISBLANK('RESUMEN VIGILANCIA'!H45),"",'RESUMEN VIGILANCIA'!H45)</f>
        <v/>
      </c>
      <c r="J40" s="182" t="str">
        <f>IF(ISBLANK('RESUMEN VIGILANCIA'!I45),"",'RESUMEN VIGILANCIA'!I45)</f>
        <v/>
      </c>
      <c r="K40" s="182" t="str">
        <f>IF(ISBLANK('RESUMEN VIGILANCIA'!J45),"",'RESUMEN VIGILANCIA'!J45)</f>
        <v/>
      </c>
      <c r="L40" s="182" t="str">
        <f>IF(ISBLANK('RESUMEN VIGILANCIA'!K45),"",'RESUMEN VIGILANCIA'!K45)</f>
        <v/>
      </c>
      <c r="M40" s="182" t="str">
        <f>IF(ISBLANK('RESUMEN VIGILANCIA'!L45),"",'RESUMEN VIGILANCIA'!L45)</f>
        <v/>
      </c>
      <c r="N40" s="182" t="str">
        <f>IF(ISBLANK('RESUMEN VIGILANCIA'!M45),"",'RESUMEN VIGILANCIA'!M45)</f>
        <v/>
      </c>
      <c r="O40" s="182" t="str">
        <f>IF(ISBLANK('RESUMEN VIGILANCIA'!N45),"",'RESUMEN VIGILANCIA'!N45)</f>
        <v/>
      </c>
      <c r="P40" s="271" t="str">
        <f>IF(ISBLANK('RESUMEN VIGILANCIA'!O45),"",'RESUMEN VIGILANCIA'!O45)</f>
        <v/>
      </c>
      <c r="Q40" s="180" t="str">
        <f>IF(ISBLANK('RESUMEN VIGILANCIA'!P45),"",'RESUMEN VIGILANCIA'!P45)</f>
        <v/>
      </c>
      <c r="R40" s="272" t="str">
        <f>IF(ISBLANK('RESUMEN VIGILANCIA'!Q45),"",'RESUMEN VIGILANCIA'!Q45)</f>
        <v/>
      </c>
      <c r="S40" s="271" t="str">
        <f>IF(ISBLANK('RESUMEN VIGILANCIA'!R45),"",'RESUMEN VIGILANCIA'!R45)</f>
        <v/>
      </c>
      <c r="T40" s="271" t="str">
        <f>IF(ISBLANK('RESUMEN VIGILANCIA'!S45),"",'RESUMEN VIGILANCIA'!S45)</f>
        <v/>
      </c>
      <c r="U40" s="271" t="str">
        <f>IF(ISBLANK('RESUMEN VIGILANCIA'!T45),"",'RESUMEN VIGILANCIA'!T45)</f>
        <v/>
      </c>
      <c r="V40" s="457">
        <f>IF(ISBLANK('RESUMEN VIGILANCIA'!U45),"",'RESUMEN VIGILANCIA'!U45)</f>
        <v>4</v>
      </c>
      <c r="W40" s="273">
        <f>IF(ISBLANK('RESUMEN VIGILANCIA'!V45),"",'RESUMEN VIGILANCIA'!V45)</f>
        <v>6.25</v>
      </c>
      <c r="X40" s="273">
        <f>IF(ISBLANK('RESUMEN VIGILANCIA'!W45),"",'RESUMEN VIGILANCIA'!W45)</f>
        <v>10</v>
      </c>
      <c r="Y40" s="273">
        <f>IF(ISBLANK('RESUMEN VIGILANCIA'!X45),"",'RESUMEN VIGILANCIA'!X45)</f>
        <v>12</v>
      </c>
      <c r="Z40" s="484" t="str">
        <f>IF(ISBLANK('RESUMEN VIGILANCIA'!Y45),"",'RESUMEN VIGILANCIA'!Y45)</f>
        <v/>
      </c>
      <c r="AA40" s="484" t="str">
        <f>IF(ISBLANK('RESUMEN VIGILANCIA'!Z45),"",'RESUMEN VIGILANCIA'!Z45)</f>
        <v/>
      </c>
      <c r="AB40" s="487" t="str">
        <f>IF(ISBLANK('RESUMEN VIGILANCIA'!AA45),"",'RESUMEN VIGILANCIA'!AA45)</f>
        <v/>
      </c>
      <c r="AC40" s="488" t="str">
        <f>IF(ISBLANK('RESUMEN VIGILANCIA'!AB45),"",'RESUMEN VIGILANCIA'!AB45)</f>
        <v/>
      </c>
      <c r="AD40" s="415" t="str">
        <f>IF(ISBLANK('RESUMEN VIGILANCIA'!AC45),"",'RESUMEN VIGILANCIA'!AC45)</f>
        <v/>
      </c>
      <c r="AE40" s="416" t="str">
        <f>IF(ISBLANK('RESUMEN VIGILANCIA'!AD45),"",'RESUMEN VIGILANCIA'!AD45)</f>
        <v/>
      </c>
      <c r="AF40" s="416" t="str">
        <f>IF(ISBLANK('RESUMEN VIGILANCIA'!AE45),"",'RESUMEN VIGILANCIA'!AE45)</f>
        <v/>
      </c>
      <c r="AG40" s="416" t="str">
        <f>IF(ISBLANK('RESUMEN VIGILANCIA'!AF45),"",'RESUMEN VIGILANCIA'!AF45)</f>
        <v/>
      </c>
      <c r="AH40" s="416" t="str">
        <f>IF(ISBLANK('RESUMEN VIGILANCIA'!AG45),"",'RESUMEN VIGILANCIA'!AG45)</f>
        <v/>
      </c>
      <c r="AI40" s="416" t="str">
        <f>IF(ISBLANK('RESUMEN VIGILANCIA'!AH45),"",'RESUMEN VIGILANCIA'!AH45)</f>
        <v/>
      </c>
      <c r="AJ40" s="416" t="str">
        <f>IF(ISBLANK('RESUMEN VIGILANCIA'!AI45),"",'RESUMEN VIGILANCIA'!AI45)</f>
        <v/>
      </c>
      <c r="AK40" s="416" t="str">
        <f>IF(ISBLANK('RESUMEN VIGILANCIA'!AJ45),"",'RESUMEN VIGILANCIA'!AJ45)</f>
        <v/>
      </c>
      <c r="AL40" s="416" t="str">
        <f>IF(ISBLANK('RESUMEN VIGILANCIA'!AK45),"",'RESUMEN VIGILANCIA'!AK45)</f>
        <v/>
      </c>
      <c r="AM40" s="416" t="str">
        <f>IF(ISBLANK('RESUMEN VIGILANCIA'!AL45),"",'RESUMEN VIGILANCIA'!AL45)</f>
        <v/>
      </c>
      <c r="AN40" s="416" t="str">
        <f>IF(ISBLANK('RESUMEN VIGILANCIA'!AM45),"",'RESUMEN VIGILANCIA'!AM45)</f>
        <v/>
      </c>
      <c r="AO40" s="417" t="str">
        <f>IF(ISBLANK('RESUMEN VIGILANCIA'!AN45),"",'RESUMEN VIGILANCIA'!AN45)</f>
        <v/>
      </c>
      <c r="AP40" s="415" t="str">
        <f>IF(ISBLANK('RESUMEN VIGILANCIA'!AO45),"",'RESUMEN VIGILANCIA'!AO45)</f>
        <v/>
      </c>
      <c r="AQ40" s="416" t="str">
        <f>IF(ISBLANK('RESUMEN VIGILANCIA'!AP45),"",'RESUMEN VIGILANCIA'!AP45)</f>
        <v/>
      </c>
      <c r="AR40" s="416" t="str">
        <f>IF(ISBLANK('RESUMEN VIGILANCIA'!AQ45),"",'RESUMEN VIGILANCIA'!AQ45)</f>
        <v/>
      </c>
      <c r="AS40" s="416" t="str">
        <f>IF(ISBLANK('RESUMEN VIGILANCIA'!AR45),"",'RESUMEN VIGILANCIA'!AR45)</f>
        <v/>
      </c>
      <c r="AT40" s="416" t="str">
        <f>IF(ISBLANK('RESUMEN VIGILANCIA'!AS45),"",'RESUMEN VIGILANCIA'!AS45)</f>
        <v/>
      </c>
      <c r="AU40" s="416" t="str">
        <f>IF(ISBLANK('RESUMEN VIGILANCIA'!AT45),"",'RESUMEN VIGILANCIA'!AT45)</f>
        <v/>
      </c>
      <c r="AV40" s="416" t="str">
        <f>IF(ISBLANK('RESUMEN VIGILANCIA'!AU45),"",'RESUMEN VIGILANCIA'!AU45)</f>
        <v/>
      </c>
      <c r="AW40" s="416" t="str">
        <f>IF(ISBLANK('RESUMEN VIGILANCIA'!AV45),"",'RESUMEN VIGILANCIA'!AV45)</f>
        <v/>
      </c>
      <c r="AX40" s="416" t="str">
        <f>IF(ISBLANK('RESUMEN VIGILANCIA'!AW45),"",'RESUMEN VIGILANCIA'!AW45)</f>
        <v/>
      </c>
      <c r="AY40" s="416" t="str">
        <f>IF(ISBLANK('RESUMEN VIGILANCIA'!AX45),"",'RESUMEN VIGILANCIA'!AX45)</f>
        <v/>
      </c>
      <c r="AZ40" s="416" t="str">
        <f>IF(ISBLANK('RESUMEN VIGILANCIA'!AY45),"",'RESUMEN VIGILANCIA'!AY45)</f>
        <v/>
      </c>
      <c r="BA40" s="417" t="str">
        <f>IF(ISBLANK('RESUMEN VIGILANCIA'!AZ45),"",'RESUMEN VIGILANCIA'!AZ45)</f>
        <v/>
      </c>
      <c r="BB40" s="246">
        <f t="shared" si="1"/>
        <v>32.25</v>
      </c>
      <c r="BC40" s="113">
        <v>43221</v>
      </c>
      <c r="BD40" s="113">
        <v>43374</v>
      </c>
    </row>
    <row r="41" spans="1:56" s="29" customFormat="1" ht="20.100000000000001" customHeight="1" x14ac:dyDescent="0.25">
      <c r="A41" s="30" t="str">
        <f>'RESUMEN VIGILANCIA'!A46</f>
        <v>Andrea Valor</v>
      </c>
      <c r="B41" s="31" t="str">
        <f>'RESUMEN VIGILANCIA'!B46</f>
        <v>Calle Guacara Nro. 88-75</v>
      </c>
      <c r="C41" s="452" t="s">
        <v>1269</v>
      </c>
      <c r="D41" s="460" t="s">
        <v>17</v>
      </c>
      <c r="E41" s="441" t="str">
        <f>IF(ISBLANK('RESUMEN VIGILANCIA'!D46),"",'RESUMEN VIGILANCIA'!D46)</f>
        <v/>
      </c>
      <c r="F41" s="278" t="str">
        <f>IF(ISBLANK('RESUMEN VIGILANCIA'!E46),"",'RESUMEN VIGILANCIA'!E46)</f>
        <v/>
      </c>
      <c r="G41" s="279" t="str">
        <f>IF(ISBLANK('RESUMEN VIGILANCIA'!F46),"",'RESUMEN VIGILANCIA'!F46)</f>
        <v/>
      </c>
      <c r="H41" s="279" t="str">
        <f>IF(ISBLANK('RESUMEN VIGILANCIA'!G46),"",'RESUMEN VIGILANCIA'!G46)</f>
        <v/>
      </c>
      <c r="I41" s="279" t="str">
        <f>IF(ISBLANK('RESUMEN VIGILANCIA'!H46),"",'RESUMEN VIGILANCIA'!H46)</f>
        <v/>
      </c>
      <c r="J41" s="279" t="str">
        <f>IF(ISBLANK('RESUMEN VIGILANCIA'!I46),"",'RESUMEN VIGILANCIA'!I46)</f>
        <v/>
      </c>
      <c r="K41" s="279" t="str">
        <f>IF(ISBLANK('RESUMEN VIGILANCIA'!J46),"",'RESUMEN VIGILANCIA'!J46)</f>
        <v/>
      </c>
      <c r="L41" s="279" t="str">
        <f>IF(ISBLANK('RESUMEN VIGILANCIA'!K46),"",'RESUMEN VIGILANCIA'!K46)</f>
        <v/>
      </c>
      <c r="M41" s="279" t="str">
        <f>IF(ISBLANK('RESUMEN VIGILANCIA'!L46),"",'RESUMEN VIGILANCIA'!L46)</f>
        <v/>
      </c>
      <c r="N41" s="279" t="str">
        <f>IF(ISBLANK('RESUMEN VIGILANCIA'!M46),"",'RESUMEN VIGILANCIA'!M46)</f>
        <v/>
      </c>
      <c r="O41" s="279" t="str">
        <f>IF(ISBLANK('RESUMEN VIGILANCIA'!N46),"",'RESUMEN VIGILANCIA'!N46)</f>
        <v/>
      </c>
      <c r="P41" s="280" t="str">
        <f>IF(ISBLANK('RESUMEN VIGILANCIA'!O46),"",'RESUMEN VIGILANCIA'!O46)</f>
        <v/>
      </c>
      <c r="Q41" s="277" t="str">
        <f>IF(ISBLANK('RESUMEN VIGILANCIA'!P46),"",'RESUMEN VIGILANCIA'!P46)</f>
        <v/>
      </c>
      <c r="R41" s="281" t="str">
        <f>IF(ISBLANK('RESUMEN VIGILANCIA'!Q46),"",'RESUMEN VIGILANCIA'!Q46)</f>
        <v/>
      </c>
      <c r="S41" s="280" t="str">
        <f>IF(ISBLANK('RESUMEN VIGILANCIA'!R46),"",'RESUMEN VIGILANCIA'!R46)</f>
        <v/>
      </c>
      <c r="T41" s="280" t="str">
        <f>IF(ISBLANK('RESUMEN VIGILANCIA'!S46),"",'RESUMEN VIGILANCIA'!S46)</f>
        <v/>
      </c>
      <c r="U41" s="280" t="str">
        <f>IF(ISBLANK('RESUMEN VIGILANCIA'!T46),"",'RESUMEN VIGILANCIA'!T46)</f>
        <v/>
      </c>
      <c r="V41" s="280"/>
      <c r="W41" s="280"/>
      <c r="X41" s="280"/>
      <c r="Y41" s="280"/>
      <c r="Z41" s="489" t="str">
        <f>IF(ISBLANK('RESUMEN VIGILANCIA'!Y46),"",'RESUMEN VIGILANCIA'!Y46)</f>
        <v/>
      </c>
      <c r="AA41" s="489" t="str">
        <f>IF(ISBLANK('RESUMEN VIGILANCIA'!Z46),"",'RESUMEN VIGILANCIA'!Z46)</f>
        <v/>
      </c>
      <c r="AB41" s="489" t="str">
        <f>IF(ISBLANK('RESUMEN VIGILANCIA'!AA46),"",'RESUMEN VIGILANCIA'!AA46)</f>
        <v/>
      </c>
      <c r="AC41" s="489" t="str">
        <f>IF(ISBLANK('RESUMEN VIGILANCIA'!AB46),"",'RESUMEN VIGILANCIA'!AB46)</f>
        <v/>
      </c>
      <c r="AD41" s="489" t="str">
        <f>IF(ISBLANK('RESUMEN VIGILANCIA'!AC46),"",'RESUMEN VIGILANCIA'!AC46)</f>
        <v/>
      </c>
      <c r="AE41" s="489" t="str">
        <f>IF(ISBLANK('RESUMEN VIGILANCIA'!AD46),"",'RESUMEN VIGILANCIA'!AD46)</f>
        <v/>
      </c>
      <c r="AF41" s="400">
        <f>IF(ISBLANK('RESUMEN VIGILANCIA'!AE46),"",'RESUMEN VIGILANCIA'!AE46)</f>
        <v>3000</v>
      </c>
      <c r="AG41" s="400">
        <f>IF(ISBLANK('RESUMEN VIGILANCIA'!AF46),"",'RESUMEN VIGILANCIA'!AF46)</f>
        <v>5000</v>
      </c>
      <c r="AH41" s="400">
        <f>IF(ISBLANK('RESUMEN VIGILANCIA'!AG46),"",'RESUMEN VIGILANCIA'!AG46)</f>
        <v>8000</v>
      </c>
      <c r="AI41" s="400">
        <f>IF(ISBLANK('RESUMEN VIGILANCIA'!AH46),"",'RESUMEN VIGILANCIA'!AH46)</f>
        <v>8000</v>
      </c>
      <c r="AJ41" s="400">
        <f>IF(ISBLANK('RESUMEN VIGILANCIA'!AI46),"",'RESUMEN VIGILANCIA'!AI46)</f>
        <v>10000</v>
      </c>
      <c r="AK41" s="400">
        <f>IF(ISBLANK('RESUMEN VIGILANCIA'!AJ46),"",'RESUMEN VIGILANCIA'!AJ46)</f>
        <v>10000</v>
      </c>
      <c r="AL41" s="400">
        <f>IF(ISBLANK('RESUMEN VIGILANCIA'!AK46),"",'RESUMEN VIGILANCIA'!AK46)</f>
        <v>20500</v>
      </c>
      <c r="AM41" s="400">
        <f>IF(ISBLANK('RESUMEN VIGILANCIA'!AL46),"",'RESUMEN VIGILANCIA'!AL46)</f>
        <v>51250</v>
      </c>
      <c r="AN41" s="400">
        <f>IF(ISBLANK('RESUMEN VIGILANCIA'!AM46),"",'RESUMEN VIGILANCIA'!AM46)</f>
        <v>64500</v>
      </c>
      <c r="AO41" s="401">
        <f>IF(ISBLANK('RESUMEN VIGILANCIA'!AN46),"",'RESUMEN VIGILANCIA'!AN46)</f>
        <v>81750</v>
      </c>
      <c r="AP41" s="404">
        <f>IF(ISBLANK('RESUMEN VIGILANCIA'!AO46),"",'RESUMEN VIGILANCIA'!AO46)</f>
        <v>136250</v>
      </c>
      <c r="AQ41" s="405">
        <f>IF(ISBLANK('RESUMEN VIGILANCIA'!AP46),"",'RESUMEN VIGILANCIA'!AP46)</f>
        <v>136250</v>
      </c>
      <c r="AR41" s="400">
        <f>IF(ISBLANK('RESUMEN VIGILANCIA'!AQ46),"",'RESUMEN VIGILANCIA'!AQ46)</f>
        <v>185250</v>
      </c>
      <c r="AS41" s="400" t="str">
        <f>IF(ISBLANK('RESUMEN VIGILANCIA'!AR46),"",'RESUMEN VIGILANCIA'!AR46)</f>
        <v/>
      </c>
      <c r="AT41" s="400" t="str">
        <f>IF(ISBLANK('RESUMEN VIGILANCIA'!AS46),"",'RESUMEN VIGILANCIA'!AS46)</f>
        <v/>
      </c>
      <c r="AU41" s="400" t="str">
        <f>IF(ISBLANK('RESUMEN VIGILANCIA'!AT46),"",'RESUMEN VIGILANCIA'!AT46)</f>
        <v/>
      </c>
      <c r="AV41" s="400" t="str">
        <f>IF(ISBLANK('RESUMEN VIGILANCIA'!AU46),"",'RESUMEN VIGILANCIA'!AU46)</f>
        <v/>
      </c>
      <c r="AW41" s="400" t="str">
        <f>IF(ISBLANK('RESUMEN VIGILANCIA'!AV46),"",'RESUMEN VIGILANCIA'!AV46)</f>
        <v/>
      </c>
      <c r="AX41" s="400" t="str">
        <f>IF(ISBLANK('RESUMEN VIGILANCIA'!AW46),"",'RESUMEN VIGILANCIA'!AW46)</f>
        <v/>
      </c>
      <c r="AY41" s="400" t="str">
        <f>IF(ISBLANK('RESUMEN VIGILANCIA'!AX46),"",'RESUMEN VIGILANCIA'!AX46)</f>
        <v/>
      </c>
      <c r="AZ41" s="400" t="str">
        <f>IF(ISBLANK('RESUMEN VIGILANCIA'!AY46),"",'RESUMEN VIGILANCIA'!AY46)</f>
        <v/>
      </c>
      <c r="BA41" s="401" t="str">
        <f>IF(ISBLANK('RESUMEN VIGILANCIA'!AZ46),"",'RESUMEN VIGILANCIA'!AZ46)</f>
        <v/>
      </c>
      <c r="BB41" s="243">
        <f t="shared" si="1"/>
        <v>262000</v>
      </c>
      <c r="BC41" s="112">
        <v>43525</v>
      </c>
      <c r="BD41" s="112"/>
    </row>
    <row r="42" spans="1:56" s="29" customFormat="1" ht="20.100000000000001" customHeight="1" x14ac:dyDescent="0.25">
      <c r="A42" s="380" t="str">
        <f>'RESUMEN VIGILANCIA'!A47</f>
        <v>Familia Machado Stoppa</v>
      </c>
      <c r="B42" s="381" t="str">
        <f>'RESUMEN VIGILANCIA'!B47</f>
        <v>Calle Guacara Nro. 88-85</v>
      </c>
      <c r="C42" s="453" t="s">
        <v>1269</v>
      </c>
      <c r="D42" s="459" t="s">
        <v>1268</v>
      </c>
      <c r="E42" s="439" t="str">
        <f>IF(ISBLANK('RESUMEN VIGILANCIA'!D47),"",'RESUMEN VIGILANCIA'!D47)</f>
        <v/>
      </c>
      <c r="F42" s="267">
        <f>IF(ISBLANK('RESUMEN VIGILANCIA'!E47),"",'RESUMEN VIGILANCIA'!E47)</f>
        <v>0.15</v>
      </c>
      <c r="G42" s="189">
        <f>IF(ISBLANK('RESUMEN VIGILANCIA'!F47),"",'RESUMEN VIGILANCIA'!F47)</f>
        <v>0.15</v>
      </c>
      <c r="H42" s="189">
        <f>IF(ISBLANK('RESUMEN VIGILANCIA'!G47),"",'RESUMEN VIGILANCIA'!G47)</f>
        <v>0.15</v>
      </c>
      <c r="I42" s="189">
        <f>IF(ISBLANK('RESUMEN VIGILANCIA'!H47),"",'RESUMEN VIGILANCIA'!H47)</f>
        <v>0.22</v>
      </c>
      <c r="J42" s="189">
        <f>IF(ISBLANK('RESUMEN VIGILANCIA'!I47),"",'RESUMEN VIGILANCIA'!I47)</f>
        <v>0.22</v>
      </c>
      <c r="K42" s="189">
        <f>IF(ISBLANK('RESUMEN VIGILANCIA'!J47),"",'RESUMEN VIGILANCIA'!J47)</f>
        <v>0.22</v>
      </c>
      <c r="L42" s="189">
        <f>IF(ISBLANK('RESUMEN VIGILANCIA'!K47),"",'RESUMEN VIGILANCIA'!K47)</f>
        <v>0.25</v>
      </c>
      <c r="M42" s="189">
        <f>IF(ISBLANK('RESUMEN VIGILANCIA'!L47),"",'RESUMEN VIGILANCIA'!L47)</f>
        <v>0.3</v>
      </c>
      <c r="N42" s="189">
        <f>IF(ISBLANK('RESUMEN VIGILANCIA'!M47),"",'RESUMEN VIGILANCIA'!M47)</f>
        <v>0.3</v>
      </c>
      <c r="O42" s="189">
        <f>IF(ISBLANK('RESUMEN VIGILANCIA'!N47),"",'RESUMEN VIGILANCIA'!N47)</f>
        <v>0.3</v>
      </c>
      <c r="P42" s="268">
        <f>IF(ISBLANK('RESUMEN VIGILANCIA'!O47),"",'RESUMEN VIGILANCIA'!O47)</f>
        <v>0.4</v>
      </c>
      <c r="Q42" s="187">
        <f>IF(ISBLANK('RESUMEN VIGILANCIA'!P47),"",'RESUMEN VIGILANCIA'!P47)</f>
        <v>0.4</v>
      </c>
      <c r="R42" s="269">
        <f>IF(ISBLANK('RESUMEN VIGILANCIA'!Q47),"",'RESUMEN VIGILANCIA'!Q47)</f>
        <v>0.7</v>
      </c>
      <c r="S42" s="268">
        <f>IF(ISBLANK('RESUMEN VIGILANCIA'!R47),"",'RESUMEN VIGILANCIA'!R47)</f>
        <v>0.7</v>
      </c>
      <c r="T42" s="268">
        <f>IF(ISBLANK('RESUMEN VIGILANCIA'!S47),"",'RESUMEN VIGILANCIA'!S47)</f>
        <v>0.7</v>
      </c>
      <c r="U42" s="268">
        <f>IF(ISBLANK('RESUMEN VIGILANCIA'!T47),"",'RESUMEN VIGILANCIA'!T47)</f>
        <v>0.7</v>
      </c>
      <c r="V42" s="268">
        <f>IF(ISBLANK('RESUMEN VIGILANCIA'!U47),"",'RESUMEN VIGILANCIA'!U47)</f>
        <v>4</v>
      </c>
      <c r="W42" s="271">
        <f>IF(ISBLANK('RESUMEN VIGILANCIA'!V47),"",'RESUMEN VIGILANCIA'!V47)</f>
        <v>6.25</v>
      </c>
      <c r="X42" s="271">
        <f>IF(ISBLANK('RESUMEN VIGILANCIA'!W47),"",'RESUMEN VIGILANCIA'!W47)</f>
        <v>10</v>
      </c>
      <c r="Y42" s="271">
        <f>IF(ISBLANK('RESUMEN VIGILANCIA'!X47),"",'RESUMEN VIGILANCIA'!X47)</f>
        <v>12</v>
      </c>
      <c r="Z42" s="481">
        <f>IF(ISBLANK('RESUMEN VIGILANCIA'!Y47),"",'RESUMEN VIGILANCIA'!Y47)</f>
        <v>320</v>
      </c>
      <c r="AA42" s="484">
        <f>IF(ISBLANK('RESUMEN VIGILANCIA'!Z47),"",'RESUMEN VIGILANCIA'!Z47)</f>
        <v>350</v>
      </c>
      <c r="AB42" s="484">
        <f>IF(ISBLANK('RESUMEN VIGILANCIA'!AA47),"",'RESUMEN VIGILANCIA'!AA47)</f>
        <v>320</v>
      </c>
      <c r="AC42" s="483">
        <f>IF(ISBLANK('RESUMEN VIGILANCIA'!AB47),"",'RESUMEN VIGILANCIA'!AB47)</f>
        <v>800</v>
      </c>
      <c r="AD42" s="404">
        <f>IF(ISBLANK('RESUMEN VIGILANCIA'!AC47),"",'RESUMEN VIGILANCIA'!AC47)</f>
        <v>3000</v>
      </c>
      <c r="AE42" s="405">
        <f>IF(ISBLANK('RESUMEN VIGILANCIA'!AD47),"",'RESUMEN VIGILANCIA'!AD47)</f>
        <v>3000</v>
      </c>
      <c r="AF42" s="405">
        <f>IF(ISBLANK('RESUMEN VIGILANCIA'!AE47),"",'RESUMEN VIGILANCIA'!AE47)</f>
        <v>3000</v>
      </c>
      <c r="AG42" s="405">
        <f>IF(ISBLANK('RESUMEN VIGILANCIA'!AF47),"",'RESUMEN VIGILANCIA'!AF47)</f>
        <v>5000</v>
      </c>
      <c r="AH42" s="405">
        <f>IF(ISBLANK('RESUMEN VIGILANCIA'!AG47),"",'RESUMEN VIGILANCIA'!AG47)</f>
        <v>8000</v>
      </c>
      <c r="AI42" s="405">
        <f>IF(ISBLANK('RESUMEN VIGILANCIA'!AH47),"",'RESUMEN VIGILANCIA'!AH47)</f>
        <v>8000</v>
      </c>
      <c r="AJ42" s="405">
        <f>IF(ISBLANK('RESUMEN VIGILANCIA'!AI47),"",'RESUMEN VIGILANCIA'!AI47)</f>
        <v>10000</v>
      </c>
      <c r="AK42" s="405">
        <f>IF(ISBLANK('RESUMEN VIGILANCIA'!AJ47),"",'RESUMEN VIGILANCIA'!AJ47)</f>
        <v>10000</v>
      </c>
      <c r="AL42" s="405">
        <f>IF(ISBLANK('RESUMEN VIGILANCIA'!AK47),"",'RESUMEN VIGILANCIA'!AK47)</f>
        <v>20500</v>
      </c>
      <c r="AM42" s="405">
        <f>IF(ISBLANK('RESUMEN VIGILANCIA'!AL47),"",'RESUMEN VIGILANCIA'!AL47)</f>
        <v>47000</v>
      </c>
      <c r="AN42" s="405">
        <f>IF(ISBLANK('RESUMEN VIGILANCIA'!AM47),"",'RESUMEN VIGILANCIA'!AM47)</f>
        <v>56250</v>
      </c>
      <c r="AO42" s="410">
        <f>IF(ISBLANK('RESUMEN VIGILANCIA'!AN47),"",'RESUMEN VIGILANCIA'!AN47)</f>
        <v>105250</v>
      </c>
      <c r="AP42" s="404">
        <f>IF(ISBLANK('RESUMEN VIGILANCIA'!AO47),"",'RESUMEN VIGILANCIA'!AO47)</f>
        <v>136250</v>
      </c>
      <c r="AQ42" s="405">
        <f>IF(ISBLANK('RESUMEN VIGILANCIA'!AP47),"",'RESUMEN VIGILANCIA'!AP47)</f>
        <v>136250</v>
      </c>
      <c r="AR42" s="405">
        <f>IF(ISBLANK('RESUMEN VIGILANCIA'!AQ47),"",'RESUMEN VIGILANCIA'!AQ47)</f>
        <v>185250</v>
      </c>
      <c r="AS42" s="405" t="str">
        <f>IF(ISBLANK('RESUMEN VIGILANCIA'!AR47),"",'RESUMEN VIGILANCIA'!AR47)</f>
        <v/>
      </c>
      <c r="AT42" s="405" t="str">
        <f>IF(ISBLANK('RESUMEN VIGILANCIA'!AS47),"",'RESUMEN VIGILANCIA'!AS47)</f>
        <v/>
      </c>
      <c r="AU42" s="405" t="str">
        <f>IF(ISBLANK('RESUMEN VIGILANCIA'!AT47),"",'RESUMEN VIGILANCIA'!AT47)</f>
        <v/>
      </c>
      <c r="AV42" s="405" t="str">
        <f>IF(ISBLANK('RESUMEN VIGILANCIA'!AU47),"",'RESUMEN VIGILANCIA'!AU47)</f>
        <v/>
      </c>
      <c r="AW42" s="405" t="str">
        <f>IF(ISBLANK('RESUMEN VIGILANCIA'!AV47),"",'RESUMEN VIGILANCIA'!AV47)</f>
        <v/>
      </c>
      <c r="AX42" s="405" t="str">
        <f>IF(ISBLANK('RESUMEN VIGILANCIA'!AW47),"",'RESUMEN VIGILANCIA'!AW47)</f>
        <v/>
      </c>
      <c r="AY42" s="405" t="str">
        <f>IF(ISBLANK('RESUMEN VIGILANCIA'!AX47),"",'RESUMEN VIGILANCIA'!AX47)</f>
        <v/>
      </c>
      <c r="AZ42" s="405" t="str">
        <f>IF(ISBLANK('RESUMEN VIGILANCIA'!AY47),"",'RESUMEN VIGILANCIA'!AY47)</f>
        <v/>
      </c>
      <c r="BA42" s="410" t="str">
        <f>IF(ISBLANK('RESUMEN VIGILANCIA'!AZ47),"",'RESUMEN VIGILANCIA'!AZ47)</f>
        <v/>
      </c>
      <c r="BB42" s="368">
        <f t="shared" si="1"/>
        <v>280828.11</v>
      </c>
      <c r="BC42" s="369"/>
      <c r="BD42" s="369"/>
    </row>
    <row r="43" spans="1:56" s="29" customFormat="1" ht="20.100000000000001" customHeight="1" x14ac:dyDescent="0.25">
      <c r="A43" s="380" t="str">
        <f>'RESUMEN VIGILANCIA'!A48</f>
        <v>Familia Zavarce Barón</v>
      </c>
      <c r="B43" s="381" t="str">
        <f>'RESUMEN VIGILANCIA'!B48</f>
        <v>Calle Guacara Nro. 88-91</v>
      </c>
      <c r="C43" s="453" t="s">
        <v>1269</v>
      </c>
      <c r="D43" s="459" t="s">
        <v>1268</v>
      </c>
      <c r="E43" s="439" t="str">
        <f>IF(ISBLANK('RESUMEN VIGILANCIA'!D48),"",'RESUMEN VIGILANCIA'!D48)</f>
        <v/>
      </c>
      <c r="F43" s="267">
        <f>IF(ISBLANK('RESUMEN VIGILANCIA'!E48),"",'RESUMEN VIGILANCIA'!E48)</f>
        <v>0.1</v>
      </c>
      <c r="G43" s="189">
        <f>IF(ISBLANK('RESUMEN VIGILANCIA'!F48),"",'RESUMEN VIGILANCIA'!F48)</f>
        <v>0.1</v>
      </c>
      <c r="H43" s="189">
        <f>IF(ISBLANK('RESUMEN VIGILANCIA'!G48),"",'RESUMEN VIGILANCIA'!G48)</f>
        <v>0.14000000000000001</v>
      </c>
      <c r="I43" s="189">
        <f>IF(ISBLANK('RESUMEN VIGILANCIA'!H48),"",'RESUMEN VIGILANCIA'!H48)</f>
        <v>0.17</v>
      </c>
      <c r="J43" s="189">
        <f>IF(ISBLANK('RESUMEN VIGILANCIA'!I48),"",'RESUMEN VIGILANCIA'!I48)</f>
        <v>0.1</v>
      </c>
      <c r="K43" s="189">
        <f>IF(ISBLANK('RESUMEN VIGILANCIA'!J48),"",'RESUMEN VIGILANCIA'!J48)</f>
        <v>0.1</v>
      </c>
      <c r="L43" s="189">
        <f>IF(ISBLANK('RESUMEN VIGILANCIA'!K48),"",'RESUMEN VIGILANCIA'!K48)</f>
        <v>0.1</v>
      </c>
      <c r="M43" s="189">
        <f>IF(ISBLANK('RESUMEN VIGILANCIA'!L48),"",'RESUMEN VIGILANCIA'!L48)</f>
        <v>0.1</v>
      </c>
      <c r="N43" s="189" t="str">
        <f>IF(ISBLANK('RESUMEN VIGILANCIA'!M48),"",'RESUMEN VIGILANCIA'!M48)</f>
        <v/>
      </c>
      <c r="O43" s="189" t="str">
        <f>IF(ISBLANK('RESUMEN VIGILANCIA'!N48),"",'RESUMEN VIGILANCIA'!N48)</f>
        <v/>
      </c>
      <c r="P43" s="268" t="str">
        <f>IF(ISBLANK('RESUMEN VIGILANCIA'!O48),"",'RESUMEN VIGILANCIA'!O48)</f>
        <v/>
      </c>
      <c r="Q43" s="187" t="str">
        <f>IF(ISBLANK('RESUMEN VIGILANCIA'!P48),"",'RESUMEN VIGILANCIA'!P48)</f>
        <v/>
      </c>
      <c r="R43" s="269">
        <f>IF(ISBLANK('RESUMEN VIGILANCIA'!Q48),"",'RESUMEN VIGILANCIA'!Q48)</f>
        <v>0.8</v>
      </c>
      <c r="S43" s="268">
        <f>IF(ISBLANK('RESUMEN VIGILANCIA'!R48),"",'RESUMEN VIGILANCIA'!R48)</f>
        <v>0.8</v>
      </c>
      <c r="T43" s="268">
        <f>IF(ISBLANK('RESUMEN VIGILANCIA'!S48),"",'RESUMEN VIGILANCIA'!S48)</f>
        <v>1.4</v>
      </c>
      <c r="U43" s="268">
        <f>IF(ISBLANK('RESUMEN VIGILANCIA'!T48),"",'RESUMEN VIGILANCIA'!T48)</f>
        <v>1.4</v>
      </c>
      <c r="V43" s="268">
        <f>IF(ISBLANK('RESUMEN VIGILANCIA'!U48),"",'RESUMEN VIGILANCIA'!U48)</f>
        <v>4</v>
      </c>
      <c r="W43" s="271">
        <f>IF(ISBLANK('RESUMEN VIGILANCIA'!V48),"",'RESUMEN VIGILANCIA'!V48)</f>
        <v>6.25</v>
      </c>
      <c r="X43" s="271">
        <f>IF(ISBLANK('RESUMEN VIGILANCIA'!W48),"",'RESUMEN VIGILANCIA'!W48)</f>
        <v>10</v>
      </c>
      <c r="Y43" s="271">
        <f>IF(ISBLANK('RESUMEN VIGILANCIA'!X48),"",'RESUMEN VIGILANCIA'!X48)</f>
        <v>12</v>
      </c>
      <c r="Z43" s="481">
        <f>IF(ISBLANK('RESUMEN VIGILANCIA'!Y48),"",'RESUMEN VIGILANCIA'!Y48)</f>
        <v>320</v>
      </c>
      <c r="AA43" s="484">
        <f>IF(ISBLANK('RESUMEN VIGILANCIA'!Z48),"",'RESUMEN VIGILANCIA'!Z48)</f>
        <v>320</v>
      </c>
      <c r="AB43" s="484">
        <f>IF(ISBLANK('RESUMEN VIGILANCIA'!AA48),"",'RESUMEN VIGILANCIA'!AA48)</f>
        <v>320</v>
      </c>
      <c r="AC43" s="483">
        <f>IF(ISBLANK('RESUMEN VIGILANCIA'!AB48),"",'RESUMEN VIGILANCIA'!AB48)</f>
        <v>800</v>
      </c>
      <c r="AD43" s="404">
        <f>IF(ISBLANK('RESUMEN VIGILANCIA'!AC48),"",'RESUMEN VIGILANCIA'!AC48)</f>
        <v>3000</v>
      </c>
      <c r="AE43" s="405">
        <f>IF(ISBLANK('RESUMEN VIGILANCIA'!AD48),"",'RESUMEN VIGILANCIA'!AD48)</f>
        <v>3000</v>
      </c>
      <c r="AF43" s="405">
        <f>IF(ISBLANK('RESUMEN VIGILANCIA'!AE48),"",'RESUMEN VIGILANCIA'!AE48)</f>
        <v>3000</v>
      </c>
      <c r="AG43" s="405">
        <f>IF(ISBLANK('RESUMEN VIGILANCIA'!AF48),"",'RESUMEN VIGILANCIA'!AF48)</f>
        <v>5000</v>
      </c>
      <c r="AH43" s="405">
        <f>IF(ISBLANK('RESUMEN VIGILANCIA'!AG48),"",'RESUMEN VIGILANCIA'!AG48)</f>
        <v>8000</v>
      </c>
      <c r="AI43" s="405">
        <f>IF(ISBLANK('RESUMEN VIGILANCIA'!AH48),"",'RESUMEN VIGILANCIA'!AH48)</f>
        <v>8000</v>
      </c>
      <c r="AJ43" s="405">
        <f>IF(ISBLANK('RESUMEN VIGILANCIA'!AI48),"",'RESUMEN VIGILANCIA'!AI48)</f>
        <v>10000</v>
      </c>
      <c r="AK43" s="405">
        <f>IF(ISBLANK('RESUMEN VIGILANCIA'!AJ48),"",'RESUMEN VIGILANCIA'!AJ48)</f>
        <v>10000</v>
      </c>
      <c r="AL43" s="405">
        <f>IF(ISBLANK('RESUMEN VIGILANCIA'!AK48),"",'RESUMEN VIGILANCIA'!AK48)</f>
        <v>19800</v>
      </c>
      <c r="AM43" s="405">
        <f>IF(ISBLANK('RESUMEN VIGILANCIA'!AL48),"",'RESUMEN VIGILANCIA'!AL48)</f>
        <v>51250</v>
      </c>
      <c r="AN43" s="405">
        <f>IF(ISBLANK('RESUMEN VIGILANCIA'!AM48),"",'RESUMEN VIGILANCIA'!AM48)</f>
        <v>97500</v>
      </c>
      <c r="AO43" s="410">
        <f>IF(ISBLANK('RESUMEN VIGILANCIA'!AN48),"",'RESUMEN VIGILANCIA'!AN48)</f>
        <v>105250</v>
      </c>
      <c r="AP43" s="404">
        <f>IF(ISBLANK('RESUMEN VIGILANCIA'!AO48),"",'RESUMEN VIGILANCIA'!AO48)</f>
        <v>136250</v>
      </c>
      <c r="AQ43" s="405">
        <f>IF(ISBLANK('RESUMEN VIGILANCIA'!AP48),"",'RESUMEN VIGILANCIA'!AP48)</f>
        <v>136250</v>
      </c>
      <c r="AR43" s="405" t="str">
        <f>IF(ISBLANK('RESUMEN VIGILANCIA'!AQ48),"",'RESUMEN VIGILANCIA'!AQ48)</f>
        <v/>
      </c>
      <c r="AS43" s="405" t="str">
        <f>IF(ISBLANK('RESUMEN VIGILANCIA'!AR48),"",'RESUMEN VIGILANCIA'!AR48)</f>
        <v/>
      </c>
      <c r="AT43" s="405" t="str">
        <f>IF(ISBLANK('RESUMEN VIGILANCIA'!AS48),"",'RESUMEN VIGILANCIA'!AS48)</f>
        <v/>
      </c>
      <c r="AU43" s="405" t="str">
        <f>IF(ISBLANK('RESUMEN VIGILANCIA'!AT48),"",'RESUMEN VIGILANCIA'!AT48)</f>
        <v/>
      </c>
      <c r="AV43" s="405" t="str">
        <f>IF(ISBLANK('RESUMEN VIGILANCIA'!AU48),"",'RESUMEN VIGILANCIA'!AU48)</f>
        <v/>
      </c>
      <c r="AW43" s="405" t="str">
        <f>IF(ISBLANK('RESUMEN VIGILANCIA'!AV48),"",'RESUMEN VIGILANCIA'!AV48)</f>
        <v/>
      </c>
      <c r="AX43" s="405" t="str">
        <f>IF(ISBLANK('RESUMEN VIGILANCIA'!AW48),"",'RESUMEN VIGILANCIA'!AW48)</f>
        <v/>
      </c>
      <c r="AY43" s="405" t="str">
        <f>IF(ISBLANK('RESUMEN VIGILANCIA'!AX48),"",'RESUMEN VIGILANCIA'!AX48)</f>
        <v/>
      </c>
      <c r="AZ43" s="405" t="str">
        <f>IF(ISBLANK('RESUMEN VIGILANCIA'!AY48),"",'RESUMEN VIGILANCIA'!AY48)</f>
        <v/>
      </c>
      <c r="BA43" s="410" t="str">
        <f>IF(ISBLANK('RESUMEN VIGILANCIA'!AZ48),"",'RESUMEN VIGILANCIA'!AZ48)</f>
        <v/>
      </c>
      <c r="BB43" s="368">
        <f t="shared" si="1"/>
        <v>325597.56</v>
      </c>
      <c r="BC43" s="369"/>
      <c r="BD43" s="369"/>
    </row>
    <row r="44" spans="1:56" s="29" customFormat="1" ht="20.100000000000001" customHeight="1" x14ac:dyDescent="0.25">
      <c r="A44" s="59" t="str">
        <f>'RESUMEN VIGILANCIA'!A49</f>
        <v>Familia Chávez Moncada</v>
      </c>
      <c r="B44" s="60" t="str">
        <f>'RESUMEN VIGILANCIA'!B49</f>
        <v>Calle Guacara Nro. 88-95</v>
      </c>
      <c r="C44" s="452" t="s">
        <v>1270</v>
      </c>
      <c r="D44" s="460" t="s">
        <v>1268</v>
      </c>
      <c r="E44" s="440" t="str">
        <f>IF(ISBLANK('RESUMEN VIGILANCIA'!D49),"",'RESUMEN VIGILANCIA'!D49)</f>
        <v/>
      </c>
      <c r="F44" s="270" t="str">
        <f>IF(ISBLANK('RESUMEN VIGILANCIA'!E49),"",'RESUMEN VIGILANCIA'!E49)</f>
        <v/>
      </c>
      <c r="G44" s="182" t="str">
        <f>IF(ISBLANK('RESUMEN VIGILANCIA'!F49),"",'RESUMEN VIGILANCIA'!F49)</f>
        <v/>
      </c>
      <c r="H44" s="182" t="str">
        <f>IF(ISBLANK('RESUMEN VIGILANCIA'!G49),"",'RESUMEN VIGILANCIA'!G49)</f>
        <v/>
      </c>
      <c r="I44" s="182" t="str">
        <f>IF(ISBLANK('RESUMEN VIGILANCIA'!H49),"",'RESUMEN VIGILANCIA'!H49)</f>
        <v/>
      </c>
      <c r="J44" s="182" t="str">
        <f>IF(ISBLANK('RESUMEN VIGILANCIA'!I49),"",'RESUMEN VIGILANCIA'!I49)</f>
        <v/>
      </c>
      <c r="K44" s="182" t="str">
        <f>IF(ISBLANK('RESUMEN VIGILANCIA'!J49),"",'RESUMEN VIGILANCIA'!J49)</f>
        <v/>
      </c>
      <c r="L44" s="182" t="str">
        <f>IF(ISBLANK('RESUMEN VIGILANCIA'!K49),"",'RESUMEN VIGILANCIA'!K49)</f>
        <v/>
      </c>
      <c r="M44" s="182" t="str">
        <f>IF(ISBLANK('RESUMEN VIGILANCIA'!L49),"",'RESUMEN VIGILANCIA'!L49)</f>
        <v/>
      </c>
      <c r="N44" s="182" t="str">
        <f>IF(ISBLANK('RESUMEN VIGILANCIA'!M49),"",'RESUMEN VIGILANCIA'!M49)</f>
        <v/>
      </c>
      <c r="O44" s="182" t="str">
        <f>IF(ISBLANK('RESUMEN VIGILANCIA'!N49),"",'RESUMEN VIGILANCIA'!N49)</f>
        <v/>
      </c>
      <c r="P44" s="271" t="str">
        <f>IF(ISBLANK('RESUMEN VIGILANCIA'!O49),"",'RESUMEN VIGILANCIA'!O49)</f>
        <v/>
      </c>
      <c r="Q44" s="180" t="str">
        <f>IF(ISBLANK('RESUMEN VIGILANCIA'!P49),"",'RESUMEN VIGILANCIA'!P49)</f>
        <v/>
      </c>
      <c r="R44" s="272" t="str">
        <f>IF(ISBLANK('RESUMEN VIGILANCIA'!Q49),"",'RESUMEN VIGILANCIA'!Q49)</f>
        <v/>
      </c>
      <c r="S44" s="271" t="str">
        <f>IF(ISBLANK('RESUMEN VIGILANCIA'!R49),"",'RESUMEN VIGILANCIA'!R49)</f>
        <v/>
      </c>
      <c r="T44" s="271" t="str">
        <f>IF(ISBLANK('RESUMEN VIGILANCIA'!S49),"",'RESUMEN VIGILANCIA'!S49)</f>
        <v/>
      </c>
      <c r="U44" s="271" t="str">
        <f>IF(ISBLANK('RESUMEN VIGILANCIA'!T49),"",'RESUMEN VIGILANCIA'!T49)</f>
        <v/>
      </c>
      <c r="V44" s="271" t="str">
        <f>IF(ISBLANK('RESUMEN VIGILANCIA'!U49),"",'RESUMEN VIGILANCIA'!U49)</f>
        <v/>
      </c>
      <c r="W44" s="271" t="str">
        <f>IF(ISBLANK('RESUMEN VIGILANCIA'!V49),"",'RESUMEN VIGILANCIA'!V49)</f>
        <v/>
      </c>
      <c r="X44" s="271" t="str">
        <f>IF(ISBLANK('RESUMEN VIGILANCIA'!W49),"",'RESUMEN VIGILANCIA'!W49)</f>
        <v/>
      </c>
      <c r="Y44" s="271" t="str">
        <f>IF(ISBLANK('RESUMEN VIGILANCIA'!X49),"",'RESUMEN VIGILANCIA'!X49)</f>
        <v/>
      </c>
      <c r="Z44" s="481" t="str">
        <f>IF(ISBLANK('RESUMEN VIGILANCIA'!Y49),"",'RESUMEN VIGILANCIA'!Y49)</f>
        <v/>
      </c>
      <c r="AA44" s="481" t="str">
        <f>IF(ISBLANK('RESUMEN VIGILANCIA'!Z49),"",'RESUMEN VIGILANCIA'!Z49)</f>
        <v/>
      </c>
      <c r="AB44" s="481" t="str">
        <f>IF(ISBLANK('RESUMEN VIGILANCIA'!AA49),"",'RESUMEN VIGILANCIA'!AA49)</f>
        <v/>
      </c>
      <c r="AC44" s="482" t="str">
        <f>IF(ISBLANK('RESUMEN VIGILANCIA'!AB49),"",'RESUMEN VIGILANCIA'!AB49)</f>
        <v/>
      </c>
      <c r="AD44" s="399" t="str">
        <f>IF(ISBLANK('RESUMEN VIGILANCIA'!AC49),"",'RESUMEN VIGILANCIA'!AC49)</f>
        <v/>
      </c>
      <c r="AE44" s="400" t="str">
        <f>IF(ISBLANK('RESUMEN VIGILANCIA'!AD49),"",'RESUMEN VIGILANCIA'!AD49)</f>
        <v/>
      </c>
      <c r="AF44" s="400" t="str">
        <f>IF(ISBLANK('RESUMEN VIGILANCIA'!AE49),"",'RESUMEN VIGILANCIA'!AE49)</f>
        <v/>
      </c>
      <c r="AG44" s="400" t="str">
        <f>IF(ISBLANK('RESUMEN VIGILANCIA'!AF49),"",'RESUMEN VIGILANCIA'!AF49)</f>
        <v/>
      </c>
      <c r="AH44" s="400" t="str">
        <f>IF(ISBLANK('RESUMEN VIGILANCIA'!AG49),"",'RESUMEN VIGILANCIA'!AG49)</f>
        <v/>
      </c>
      <c r="AI44" s="405" t="str">
        <f>IF(ISBLANK('RESUMEN VIGILANCIA'!AH49),"",'RESUMEN VIGILANCIA'!AH49)</f>
        <v/>
      </c>
      <c r="AJ44" s="400" t="str">
        <f>IF(ISBLANK('RESUMEN VIGILANCIA'!AI49),"",'RESUMEN VIGILANCIA'!AI49)</f>
        <v/>
      </c>
      <c r="AK44" s="400" t="str">
        <f>IF(ISBLANK('RESUMEN VIGILANCIA'!AJ49),"",'RESUMEN VIGILANCIA'!AJ49)</f>
        <v/>
      </c>
      <c r="AL44" s="400" t="str">
        <f>IF(ISBLANK('RESUMEN VIGILANCIA'!AK49),"",'RESUMEN VIGILANCIA'!AK49)</f>
        <v/>
      </c>
      <c r="AM44" s="400" t="str">
        <f>IF(ISBLANK('RESUMEN VIGILANCIA'!AL49),"",'RESUMEN VIGILANCIA'!AL49)</f>
        <v/>
      </c>
      <c r="AN44" s="400">
        <f>IF(ISBLANK('RESUMEN VIGILANCIA'!AM49),"",'RESUMEN VIGILANCIA'!AM49)</f>
        <v>2281750</v>
      </c>
      <c r="AO44" s="401">
        <f>IF(ISBLANK('RESUMEN VIGILANCIA'!AN49),"",'RESUMEN VIGILANCIA'!AN49)</f>
        <v>105250</v>
      </c>
      <c r="AP44" s="537" t="str">
        <f>IF(ISBLANK('RESUMEN VIGILANCIA'!AO49),"",'RESUMEN VIGILANCIA'!AO49)</f>
        <v>VENDIDA</v>
      </c>
      <c r="AQ44" s="403" t="str">
        <f>IF(ISBLANK('RESUMEN VIGILANCIA'!AP49),"",'RESUMEN VIGILANCIA'!AP49)</f>
        <v/>
      </c>
      <c r="AR44" s="403" t="str">
        <f>IF(ISBLANK('RESUMEN VIGILANCIA'!AQ49),"",'RESUMEN VIGILANCIA'!AQ49)</f>
        <v/>
      </c>
      <c r="AS44" s="403" t="str">
        <f>IF(ISBLANK('RESUMEN VIGILANCIA'!AR49),"",'RESUMEN VIGILANCIA'!AR49)</f>
        <v/>
      </c>
      <c r="AT44" s="403" t="str">
        <f>IF(ISBLANK('RESUMEN VIGILANCIA'!AS49),"",'RESUMEN VIGILANCIA'!AS49)</f>
        <v/>
      </c>
      <c r="AU44" s="403" t="str">
        <f>IF(ISBLANK('RESUMEN VIGILANCIA'!AT49),"",'RESUMEN VIGILANCIA'!AT49)</f>
        <v/>
      </c>
      <c r="AV44" s="403" t="str">
        <f>IF(ISBLANK('RESUMEN VIGILANCIA'!AU49),"",'RESUMEN VIGILANCIA'!AU49)</f>
        <v/>
      </c>
      <c r="AW44" s="403" t="str">
        <f>IF(ISBLANK('RESUMEN VIGILANCIA'!AV49),"",'RESUMEN VIGILANCIA'!AV49)</f>
        <v/>
      </c>
      <c r="AX44" s="403" t="str">
        <f>IF(ISBLANK('RESUMEN VIGILANCIA'!AW49),"",'RESUMEN VIGILANCIA'!AW49)</f>
        <v/>
      </c>
      <c r="AY44" s="403" t="str">
        <f>IF(ISBLANK('RESUMEN VIGILANCIA'!AX49),"",'RESUMEN VIGILANCIA'!AX49)</f>
        <v/>
      </c>
      <c r="AZ44" s="403" t="str">
        <f>IF(ISBLANK('RESUMEN VIGILANCIA'!AY49),"",'RESUMEN VIGILANCIA'!AY49)</f>
        <v/>
      </c>
      <c r="BA44" s="414" t="str">
        <f>IF(ISBLANK('RESUMEN VIGILANCIA'!AZ49),"",'RESUMEN VIGILANCIA'!AZ49)</f>
        <v/>
      </c>
      <c r="BB44" s="245">
        <f t="shared" si="1"/>
        <v>2387000</v>
      </c>
      <c r="BC44" s="116"/>
      <c r="BD44" s="116">
        <v>43800</v>
      </c>
    </row>
    <row r="45" spans="1:56" s="29" customFormat="1" ht="20.100000000000001" customHeight="1" x14ac:dyDescent="0.25">
      <c r="A45" s="30" t="str">
        <f>'RESUMEN VIGILANCIA'!A50</f>
        <v>Familia Brito Viana</v>
      </c>
      <c r="B45" s="31" t="str">
        <f>'RESUMEN VIGILANCIA'!B50</f>
        <v>Calle Guacara Nro. 88-95</v>
      </c>
      <c r="C45" s="452" t="s">
        <v>1269</v>
      </c>
      <c r="D45" s="460" t="s">
        <v>1268</v>
      </c>
      <c r="E45" s="443" t="str">
        <f>IF(ISBLANK('RESUMEN VIGILANCIA'!D50),"",'RESUMEN VIGILANCIA'!D50)</f>
        <v/>
      </c>
      <c r="F45" s="298" t="str">
        <f>IF(ISBLANK('RESUMEN VIGILANCIA'!E50),"",'RESUMEN VIGILANCIA'!E50)</f>
        <v/>
      </c>
      <c r="G45" s="217" t="str">
        <f>IF(ISBLANK('RESUMEN VIGILANCIA'!F50),"",'RESUMEN VIGILANCIA'!F50)</f>
        <v/>
      </c>
      <c r="H45" s="217" t="str">
        <f>IF(ISBLANK('RESUMEN VIGILANCIA'!G50),"",'RESUMEN VIGILANCIA'!G50)</f>
        <v/>
      </c>
      <c r="I45" s="217" t="str">
        <f>IF(ISBLANK('RESUMEN VIGILANCIA'!H50),"",'RESUMEN VIGILANCIA'!H50)</f>
        <v/>
      </c>
      <c r="J45" s="217" t="str">
        <f>IF(ISBLANK('RESUMEN VIGILANCIA'!I50),"",'RESUMEN VIGILANCIA'!I50)</f>
        <v/>
      </c>
      <c r="K45" s="217" t="str">
        <f>IF(ISBLANK('RESUMEN VIGILANCIA'!J50),"",'RESUMEN VIGILANCIA'!J50)</f>
        <v/>
      </c>
      <c r="L45" s="217" t="str">
        <f>IF(ISBLANK('RESUMEN VIGILANCIA'!K50),"",'RESUMEN VIGILANCIA'!K50)</f>
        <v/>
      </c>
      <c r="M45" s="217" t="str">
        <f>IF(ISBLANK('RESUMEN VIGILANCIA'!L50),"",'RESUMEN VIGILANCIA'!L50)</f>
        <v/>
      </c>
      <c r="N45" s="217" t="str">
        <f>IF(ISBLANK('RESUMEN VIGILANCIA'!M50),"",'RESUMEN VIGILANCIA'!M50)</f>
        <v/>
      </c>
      <c r="O45" s="217" t="str">
        <f>IF(ISBLANK('RESUMEN VIGILANCIA'!N50),"",'RESUMEN VIGILANCIA'!N50)</f>
        <v/>
      </c>
      <c r="P45" s="284" t="str">
        <f>IF(ISBLANK('RESUMEN VIGILANCIA'!O50),"",'RESUMEN VIGILANCIA'!O50)</f>
        <v/>
      </c>
      <c r="Q45" s="215" t="str">
        <f>IF(ISBLANK('RESUMEN VIGILANCIA'!P50),"",'RESUMEN VIGILANCIA'!P50)</f>
        <v/>
      </c>
      <c r="R45" s="285" t="str">
        <f>IF(ISBLANK('RESUMEN VIGILANCIA'!Q50),"",'RESUMEN VIGILANCIA'!Q50)</f>
        <v/>
      </c>
      <c r="S45" s="284" t="str">
        <f>IF(ISBLANK('RESUMEN VIGILANCIA'!R50),"",'RESUMEN VIGILANCIA'!R50)</f>
        <v/>
      </c>
      <c r="T45" s="284" t="str">
        <f>IF(ISBLANK('RESUMEN VIGILANCIA'!S50),"",'RESUMEN VIGILANCIA'!S50)</f>
        <v/>
      </c>
      <c r="U45" s="284" t="str">
        <f>IF(ISBLANK('RESUMEN VIGILANCIA'!T50),"",'RESUMEN VIGILANCIA'!T50)</f>
        <v/>
      </c>
      <c r="V45" s="284" t="str">
        <f>IF(ISBLANK('RESUMEN VIGILANCIA'!U50),"",'RESUMEN VIGILANCIA'!U50)</f>
        <v/>
      </c>
      <c r="W45" s="284" t="str">
        <f>IF(ISBLANK('RESUMEN VIGILANCIA'!V50),"",'RESUMEN VIGILANCIA'!V50)</f>
        <v/>
      </c>
      <c r="X45" s="284" t="str">
        <f>IF(ISBLANK('RESUMEN VIGILANCIA'!W50),"",'RESUMEN VIGILANCIA'!W50)</f>
        <v/>
      </c>
      <c r="Y45" s="284" t="str">
        <f>IF(ISBLANK('RESUMEN VIGILANCIA'!X50),"",'RESUMEN VIGILANCIA'!X50)</f>
        <v/>
      </c>
      <c r="Z45" s="492" t="str">
        <f>IF(ISBLANK('RESUMEN VIGILANCIA'!Y50),"",'RESUMEN VIGILANCIA'!Y50)</f>
        <v/>
      </c>
      <c r="AA45" s="492" t="str">
        <f>IF(ISBLANK('RESUMEN VIGILANCIA'!Z50),"",'RESUMEN VIGILANCIA'!Z50)</f>
        <v/>
      </c>
      <c r="AB45" s="492" t="str">
        <f>IF(ISBLANK('RESUMEN VIGILANCIA'!AA50),"",'RESUMEN VIGILANCIA'!AA50)</f>
        <v/>
      </c>
      <c r="AC45" s="493" t="str">
        <f>IF(ISBLANK('RESUMEN VIGILANCIA'!AB50),"",'RESUMEN VIGILANCIA'!AB50)</f>
        <v/>
      </c>
      <c r="AD45" s="506" t="str">
        <f>IF(ISBLANK('RESUMEN VIGILANCIA'!AC50),"",'RESUMEN VIGILANCIA'!AC50)</f>
        <v/>
      </c>
      <c r="AE45" s="507" t="str">
        <f>IF(ISBLANK('RESUMEN VIGILANCIA'!AD50),"",'RESUMEN VIGILANCIA'!AD50)</f>
        <v/>
      </c>
      <c r="AF45" s="507" t="str">
        <f>IF(ISBLANK('RESUMEN VIGILANCIA'!AE50),"",'RESUMEN VIGILANCIA'!AE50)</f>
        <v/>
      </c>
      <c r="AG45" s="507" t="str">
        <f>IF(ISBLANK('RESUMEN VIGILANCIA'!AF50),"",'RESUMEN VIGILANCIA'!AF50)</f>
        <v/>
      </c>
      <c r="AH45" s="507" t="str">
        <f>IF(ISBLANK('RESUMEN VIGILANCIA'!AG50),"",'RESUMEN VIGILANCIA'!AG50)</f>
        <v/>
      </c>
      <c r="AI45" s="507" t="str">
        <f>IF(ISBLANK('RESUMEN VIGILANCIA'!AH50),"",'RESUMEN VIGILANCIA'!AH50)</f>
        <v/>
      </c>
      <c r="AJ45" s="507" t="str">
        <f>IF(ISBLANK('RESUMEN VIGILANCIA'!AI50),"",'RESUMEN VIGILANCIA'!AI50)</f>
        <v/>
      </c>
      <c r="AK45" s="507" t="str">
        <f>IF(ISBLANK('RESUMEN VIGILANCIA'!AJ50),"",'RESUMEN VIGILANCIA'!AJ50)</f>
        <v/>
      </c>
      <c r="AL45" s="507" t="str">
        <f>IF(ISBLANK('RESUMEN VIGILANCIA'!AK50),"",'RESUMEN VIGILANCIA'!AK50)</f>
        <v/>
      </c>
      <c r="AM45" s="507" t="str">
        <f>IF(ISBLANK('RESUMEN VIGILANCIA'!AL50),"",'RESUMEN VIGILANCIA'!AL50)</f>
        <v/>
      </c>
      <c r="AN45" s="507" t="str">
        <f>IF(ISBLANK('RESUMEN VIGILANCIA'!AM50),"",'RESUMEN VIGILANCIA'!AM50)</f>
        <v/>
      </c>
      <c r="AO45" s="658" t="str">
        <f>IF(ISBLANK('RESUMEN VIGILANCIA'!AN50),"",'RESUMEN VIGILANCIA'!AN50)</f>
        <v/>
      </c>
      <c r="AP45" s="399">
        <f>IF(ISBLANK('RESUMEN VIGILANCIA'!AO50),"",'RESUMEN VIGILANCIA'!AO50)</f>
        <v>136250</v>
      </c>
      <c r="AQ45" s="405">
        <f>IF(ISBLANK('RESUMEN VIGILANCIA'!AP50),"",'RESUMEN VIGILANCIA'!AP50)</f>
        <v>136250</v>
      </c>
      <c r="AR45" s="405" t="str">
        <f>IF(ISBLANK('RESUMEN VIGILANCIA'!AQ50),"",'RESUMEN VIGILANCIA'!AQ50)</f>
        <v/>
      </c>
      <c r="AS45" s="405" t="str">
        <f>IF(ISBLANK('RESUMEN VIGILANCIA'!AR50),"",'RESUMEN VIGILANCIA'!AR50)</f>
        <v/>
      </c>
      <c r="AT45" s="405" t="str">
        <f>IF(ISBLANK('RESUMEN VIGILANCIA'!AS50),"",'RESUMEN VIGILANCIA'!AS50)</f>
        <v/>
      </c>
      <c r="AU45" s="405" t="str">
        <f>IF(ISBLANK('RESUMEN VIGILANCIA'!AT50),"",'RESUMEN VIGILANCIA'!AT50)</f>
        <v/>
      </c>
      <c r="AV45" s="405" t="str">
        <f>IF(ISBLANK('RESUMEN VIGILANCIA'!AU50),"",'RESUMEN VIGILANCIA'!AU50)</f>
        <v/>
      </c>
      <c r="AW45" s="405" t="str">
        <f>IF(ISBLANK('RESUMEN VIGILANCIA'!AV50),"",'RESUMEN VIGILANCIA'!AV50)</f>
        <v/>
      </c>
      <c r="AX45" s="400" t="str">
        <f>IF(ISBLANK('RESUMEN VIGILANCIA'!AW50),"",'RESUMEN VIGILANCIA'!AW50)</f>
        <v/>
      </c>
      <c r="AY45" s="400" t="str">
        <f>IF(ISBLANK('RESUMEN VIGILANCIA'!AX50),"",'RESUMEN VIGILANCIA'!AX50)</f>
        <v/>
      </c>
      <c r="AZ45" s="400" t="str">
        <f>IF(ISBLANK('RESUMEN VIGILANCIA'!AY50),"",'RESUMEN VIGILANCIA'!AY50)</f>
        <v/>
      </c>
      <c r="BA45" s="401" t="str">
        <f>IF(ISBLANK('RESUMEN VIGILANCIA'!AZ50),"",'RESUMEN VIGILANCIA'!AZ50)</f>
        <v/>
      </c>
      <c r="BB45" s="243">
        <f t="shared" ref="BB45" si="3">SUM(E45:AO45)</f>
        <v>0</v>
      </c>
      <c r="BC45" s="112">
        <v>43831</v>
      </c>
      <c r="BD45" s="112"/>
    </row>
    <row r="46" spans="1:56" s="29" customFormat="1" ht="20.100000000000001" customHeight="1" x14ac:dyDescent="0.25">
      <c r="A46" s="30" t="str">
        <f>'RESUMEN VIGILANCIA'!A65</f>
        <v>Familia Zavarce Pérez</v>
      </c>
      <c r="B46" s="31" t="str">
        <f>'RESUMEN VIGILANCIA'!B65</f>
        <v>Calle Guacara Nro. 90-35</v>
      </c>
      <c r="C46" s="452" t="s">
        <v>1269</v>
      </c>
      <c r="D46" s="460" t="s">
        <v>1268</v>
      </c>
      <c r="E46" s="440" t="str">
        <f>IF(ISBLANK('RESUMEN VIGILANCIA'!D65),"",'RESUMEN VIGILANCIA'!D65)</f>
        <v/>
      </c>
      <c r="F46" s="270">
        <f>IF(ISBLANK('RESUMEN VIGILANCIA'!E65),"",'RESUMEN VIGILANCIA'!E65)</f>
        <v>0.17</v>
      </c>
      <c r="G46" s="182">
        <f>IF(ISBLANK('RESUMEN VIGILANCIA'!F65),"",'RESUMEN VIGILANCIA'!F65)</f>
        <v>0.17</v>
      </c>
      <c r="H46" s="182">
        <f>IF(ISBLANK('RESUMEN VIGILANCIA'!G65),"",'RESUMEN VIGILANCIA'!G65)</f>
        <v>0.17</v>
      </c>
      <c r="I46" s="182">
        <f>IF(ISBLANK('RESUMEN VIGILANCIA'!H65),"",'RESUMEN VIGILANCIA'!H65)</f>
        <v>0.17</v>
      </c>
      <c r="J46" s="182">
        <f>IF(ISBLANK('RESUMEN VIGILANCIA'!I65),"",'RESUMEN VIGILANCIA'!I65)</f>
        <v>0.26</v>
      </c>
      <c r="K46" s="182">
        <f>IF(ISBLANK('RESUMEN VIGILANCIA'!J65),"",'RESUMEN VIGILANCIA'!J65)</f>
        <v>0.26</v>
      </c>
      <c r="L46" s="182">
        <f>IF(ISBLANK('RESUMEN VIGILANCIA'!K65),"",'RESUMEN VIGILANCIA'!K65)</f>
        <v>0.35</v>
      </c>
      <c r="M46" s="182">
        <f>IF(ISBLANK('RESUMEN VIGILANCIA'!L65),"",'RESUMEN VIGILANCIA'!L65)</f>
        <v>0.35</v>
      </c>
      <c r="N46" s="182">
        <f>IF(ISBLANK('RESUMEN VIGILANCIA'!M65),"",'RESUMEN VIGILANCIA'!M65)</f>
        <v>0.35</v>
      </c>
      <c r="O46" s="182">
        <f>IF(ISBLANK('RESUMEN VIGILANCIA'!N65),"",'RESUMEN VIGILANCIA'!N65)</f>
        <v>0.35</v>
      </c>
      <c r="P46" s="271">
        <f>IF(ISBLANK('RESUMEN VIGILANCIA'!O65),"",'RESUMEN VIGILANCIA'!O65)</f>
        <v>0.5</v>
      </c>
      <c r="Q46" s="180">
        <f>IF(ISBLANK('RESUMEN VIGILANCIA'!P65),"",'RESUMEN VIGILANCIA'!P65)</f>
        <v>0.5</v>
      </c>
      <c r="R46" s="272">
        <f>IF(ISBLANK('RESUMEN VIGILANCIA'!Q65),"",'RESUMEN VIGILANCIA'!Q65)</f>
        <v>0.8</v>
      </c>
      <c r="S46" s="271">
        <f>IF(ISBLANK('RESUMEN VIGILANCIA'!R65),"",'RESUMEN VIGILANCIA'!R65)</f>
        <v>0.8</v>
      </c>
      <c r="T46" s="271">
        <f>IF(ISBLANK('RESUMEN VIGILANCIA'!S65),"",'RESUMEN VIGILANCIA'!S65)</f>
        <v>1.4</v>
      </c>
      <c r="U46" s="271">
        <f>IF(ISBLANK('RESUMEN VIGILANCIA'!T65),"",'RESUMEN VIGILANCIA'!T65)</f>
        <v>1.4</v>
      </c>
      <c r="V46" s="271">
        <f>IF(ISBLANK('RESUMEN VIGILANCIA'!U65),"",'RESUMEN VIGILANCIA'!U65)</f>
        <v>4</v>
      </c>
      <c r="W46" s="271">
        <f>IF(ISBLANK('RESUMEN VIGILANCIA'!V65),"",'RESUMEN VIGILANCIA'!V65)</f>
        <v>6.25</v>
      </c>
      <c r="X46" s="271">
        <f>IF(ISBLANK('RESUMEN VIGILANCIA'!W65),"",'RESUMEN VIGILANCIA'!W65)</f>
        <v>10</v>
      </c>
      <c r="Y46" s="271">
        <f>IF(ISBLANK('RESUMEN VIGILANCIA'!X65),"",'RESUMEN VIGILANCIA'!X65)</f>
        <v>12</v>
      </c>
      <c r="Z46" s="481">
        <f>IF(ISBLANK('RESUMEN VIGILANCIA'!Y65),"",'RESUMEN VIGILANCIA'!Y65)</f>
        <v>320</v>
      </c>
      <c r="AA46" s="481">
        <f>IF(ISBLANK('RESUMEN VIGILANCIA'!Z65),"",'RESUMEN VIGILANCIA'!Z65)</f>
        <v>320</v>
      </c>
      <c r="AB46" s="481">
        <f>IF(ISBLANK('RESUMEN VIGILANCIA'!AA65),"",'RESUMEN VIGILANCIA'!AA65)</f>
        <v>320</v>
      </c>
      <c r="AC46" s="482">
        <f>IF(ISBLANK('RESUMEN VIGILANCIA'!AB65),"",'RESUMEN VIGILANCIA'!AB65)</f>
        <v>800</v>
      </c>
      <c r="AD46" s="399">
        <f>IF(ISBLANK('RESUMEN VIGILANCIA'!AC65),"",'RESUMEN VIGILANCIA'!AC65)</f>
        <v>3000</v>
      </c>
      <c r="AE46" s="400">
        <f>IF(ISBLANK('RESUMEN VIGILANCIA'!AD65),"",'RESUMEN VIGILANCIA'!AD65)</f>
        <v>3000</v>
      </c>
      <c r="AF46" s="400">
        <f>IF(ISBLANK('RESUMEN VIGILANCIA'!AE65),"",'RESUMEN VIGILANCIA'!AE65)</f>
        <v>3000</v>
      </c>
      <c r="AG46" s="400">
        <f>IF(ISBLANK('RESUMEN VIGILANCIA'!AF65),"",'RESUMEN VIGILANCIA'!AF65)</f>
        <v>5000</v>
      </c>
      <c r="AH46" s="400">
        <f>IF(ISBLANK('RESUMEN VIGILANCIA'!AG65),"",'RESUMEN VIGILANCIA'!AG65)</f>
        <v>8000</v>
      </c>
      <c r="AI46" s="400">
        <f>IF(ISBLANK('RESUMEN VIGILANCIA'!AH65),"",'RESUMEN VIGILANCIA'!AH65)</f>
        <v>8000</v>
      </c>
      <c r="AJ46" s="400">
        <f>IF(ISBLANK('RESUMEN VIGILANCIA'!AI65),"",'RESUMEN VIGILANCIA'!AI65)</f>
        <v>10000</v>
      </c>
      <c r="AK46" s="400">
        <f>IF(ISBLANK('RESUMEN VIGILANCIA'!AJ65),"",'RESUMEN VIGILANCIA'!AJ65)</f>
        <v>10000</v>
      </c>
      <c r="AL46" s="400">
        <f>IF(ISBLANK('RESUMEN VIGILANCIA'!AK65),"",'RESUMEN VIGILANCIA'!AK65)</f>
        <v>23400</v>
      </c>
      <c r="AM46" s="400">
        <f>IF(ISBLANK('RESUMEN VIGILANCIA'!AL65),"",'RESUMEN VIGILANCIA'!AL65)</f>
        <v>21100</v>
      </c>
      <c r="AN46" s="400">
        <f>IF(ISBLANK('RESUMEN VIGILANCIA'!AM65),"",'RESUMEN VIGILANCIA'!AM65)</f>
        <v>56250</v>
      </c>
      <c r="AO46" s="401">
        <f>IF(ISBLANK('RESUMEN VIGILANCIA'!AN65),"",'RESUMEN VIGILANCIA'!AN65)</f>
        <v>105250</v>
      </c>
      <c r="AP46" s="399">
        <f>IF(ISBLANK('RESUMEN VIGILANCIA'!AO65),"",'RESUMEN VIGILANCIA'!AO65)</f>
        <v>105250</v>
      </c>
      <c r="AQ46" s="400">
        <f>IF(ISBLANK('RESUMEN VIGILANCIA'!AP65),"",'RESUMEN VIGILANCIA'!AP65)</f>
        <v>136250</v>
      </c>
      <c r="AR46" s="400">
        <f>IF(ISBLANK('RESUMEN VIGILANCIA'!AQ65),"",'RESUMEN VIGILANCIA'!AQ65)</f>
        <v>200000</v>
      </c>
      <c r="AS46" s="400" t="str">
        <f>IF(ISBLANK('RESUMEN VIGILANCIA'!AR65),"",'RESUMEN VIGILANCIA'!AR65)</f>
        <v/>
      </c>
      <c r="AT46" s="400" t="str">
        <f>IF(ISBLANK('RESUMEN VIGILANCIA'!AS65),"",'RESUMEN VIGILANCIA'!AS65)</f>
        <v/>
      </c>
      <c r="AU46" s="400" t="str">
        <f>IF(ISBLANK('RESUMEN VIGILANCIA'!AT65),"",'RESUMEN VIGILANCIA'!AT65)</f>
        <v/>
      </c>
      <c r="AV46" s="400" t="str">
        <f>IF(ISBLANK('RESUMEN VIGILANCIA'!AU65),"",'RESUMEN VIGILANCIA'!AU65)</f>
        <v/>
      </c>
      <c r="AW46" s="400" t="str">
        <f>IF(ISBLANK('RESUMEN VIGILANCIA'!AV65),"",'RESUMEN VIGILANCIA'!AV65)</f>
        <v/>
      </c>
      <c r="AX46" s="400" t="str">
        <f>IF(ISBLANK('RESUMEN VIGILANCIA'!AW65),"",'RESUMEN VIGILANCIA'!AW65)</f>
        <v/>
      </c>
      <c r="AY46" s="400" t="str">
        <f>IF(ISBLANK('RESUMEN VIGILANCIA'!AX65),"",'RESUMEN VIGILANCIA'!AX65)</f>
        <v/>
      </c>
      <c r="AZ46" s="400" t="str">
        <f>IF(ISBLANK('RESUMEN VIGILANCIA'!AY65),"",'RESUMEN VIGILANCIA'!AY65)</f>
        <v/>
      </c>
      <c r="BA46" s="401" t="str">
        <f>IF(ISBLANK('RESUMEN VIGILANCIA'!AZ65),"",'RESUMEN VIGILANCIA'!AZ65)</f>
        <v/>
      </c>
      <c r="BB46" s="243">
        <f t="shared" si="1"/>
        <v>257800.25</v>
      </c>
      <c r="BC46" s="112"/>
      <c r="BD46" s="112"/>
    </row>
    <row r="47" spans="1:56" s="29" customFormat="1" ht="20.100000000000001" customHeight="1" x14ac:dyDescent="0.25">
      <c r="A47" s="29" t="str">
        <f>'RESUMEN VIGILANCIA'!A66</f>
        <v>Familia Castro Jiménez</v>
      </c>
      <c r="B47" s="31" t="str">
        <f>'RESUMEN VIGILANCIA'!B66</f>
        <v>Calle Guacara Nro. 90-51</v>
      </c>
      <c r="C47" s="452" t="s">
        <v>1269</v>
      </c>
      <c r="D47" s="460" t="s">
        <v>1268</v>
      </c>
      <c r="E47" s="440" t="str">
        <f>IF(ISBLANK('RESUMEN VIGILANCIA'!D66),"",'RESUMEN VIGILANCIA'!D66)</f>
        <v/>
      </c>
      <c r="F47" s="270">
        <f>IF(ISBLANK('RESUMEN VIGILANCIA'!E66),"",'RESUMEN VIGILANCIA'!E66)</f>
        <v>0.16999999999999998</v>
      </c>
      <c r="G47" s="182">
        <f>IF(ISBLANK('RESUMEN VIGILANCIA'!F66),"",'RESUMEN VIGILANCIA'!F66)</f>
        <v>0.17</v>
      </c>
      <c r="H47" s="182">
        <f>IF(ISBLANK('RESUMEN VIGILANCIA'!G66),"",'RESUMEN VIGILANCIA'!G66)</f>
        <v>0.17</v>
      </c>
      <c r="I47" s="182">
        <f>IF(ISBLANK('RESUMEN VIGILANCIA'!H66),"",'RESUMEN VIGILANCIA'!H66)</f>
        <v>0.17</v>
      </c>
      <c r="J47" s="182">
        <f>IF(ISBLANK('RESUMEN VIGILANCIA'!I66),"",'RESUMEN VIGILANCIA'!I66)</f>
        <v>0.26</v>
      </c>
      <c r="K47" s="182">
        <f>IF(ISBLANK('RESUMEN VIGILANCIA'!J66),"",'RESUMEN VIGILANCIA'!J66)</f>
        <v>0.26</v>
      </c>
      <c r="L47" s="182">
        <f>IF(ISBLANK('RESUMEN VIGILANCIA'!K66),"",'RESUMEN VIGILANCIA'!K66)</f>
        <v>0.35</v>
      </c>
      <c r="M47" s="182">
        <f>IF(ISBLANK('RESUMEN VIGILANCIA'!L66),"",'RESUMEN VIGILANCIA'!L66)</f>
        <v>0.35</v>
      </c>
      <c r="N47" s="182">
        <f>IF(ISBLANK('RESUMEN VIGILANCIA'!M66),"",'RESUMEN VIGILANCIA'!M66)</f>
        <v>0.35</v>
      </c>
      <c r="O47" s="182">
        <f>IF(ISBLANK('RESUMEN VIGILANCIA'!N66),"",'RESUMEN VIGILANCIA'!N66)</f>
        <v>0.35</v>
      </c>
      <c r="P47" s="271">
        <f>IF(ISBLANK('RESUMEN VIGILANCIA'!O66),"",'RESUMEN VIGILANCIA'!O66)</f>
        <v>0.5</v>
      </c>
      <c r="Q47" s="180">
        <f>IF(ISBLANK('RESUMEN VIGILANCIA'!P66),"",'RESUMEN VIGILANCIA'!P66)</f>
        <v>0.5</v>
      </c>
      <c r="R47" s="272">
        <f>IF(ISBLANK('RESUMEN VIGILANCIA'!Q66),"",'RESUMEN VIGILANCIA'!Q66)</f>
        <v>0.8</v>
      </c>
      <c r="S47" s="271">
        <f>IF(ISBLANK('RESUMEN VIGILANCIA'!R66),"",'RESUMEN VIGILANCIA'!R66)</f>
        <v>0.8</v>
      </c>
      <c r="T47" s="271">
        <f>IF(ISBLANK('RESUMEN VIGILANCIA'!S66),"",'RESUMEN VIGILANCIA'!S66)</f>
        <v>1.5</v>
      </c>
      <c r="U47" s="271">
        <f>IF(ISBLANK('RESUMEN VIGILANCIA'!T66),"",'RESUMEN VIGILANCIA'!T66)</f>
        <v>1.5</v>
      </c>
      <c r="V47" s="271">
        <f>IF(ISBLANK('RESUMEN VIGILANCIA'!U66),"",'RESUMEN VIGILANCIA'!U66)</f>
        <v>4</v>
      </c>
      <c r="W47" s="271">
        <f>IF(ISBLANK('RESUMEN VIGILANCIA'!V66),"",'RESUMEN VIGILANCIA'!V66)</f>
        <v>6.25</v>
      </c>
      <c r="X47" s="271">
        <f>IF(ISBLANK('RESUMEN VIGILANCIA'!W66),"",'RESUMEN VIGILANCIA'!W66)</f>
        <v>10</v>
      </c>
      <c r="Y47" s="271">
        <f>IF(ISBLANK('RESUMEN VIGILANCIA'!X66),"",'RESUMEN VIGILANCIA'!X66)</f>
        <v>12</v>
      </c>
      <c r="Z47" s="481">
        <f>IF(ISBLANK('RESUMEN VIGILANCIA'!Y66),"",'RESUMEN VIGILANCIA'!Y66)</f>
        <v>320</v>
      </c>
      <c r="AA47" s="481">
        <f>IF(ISBLANK('RESUMEN VIGILANCIA'!Z66),"",'RESUMEN VIGILANCIA'!Z66)</f>
        <v>320</v>
      </c>
      <c r="AB47" s="481">
        <f>IF(ISBLANK('RESUMEN VIGILANCIA'!AA66),"",'RESUMEN VIGILANCIA'!AA66)</f>
        <v>320</v>
      </c>
      <c r="AC47" s="482">
        <f>IF(ISBLANK('RESUMEN VIGILANCIA'!AB66),"",'RESUMEN VIGILANCIA'!AB66)</f>
        <v>800</v>
      </c>
      <c r="AD47" s="399">
        <f>IF(ISBLANK('RESUMEN VIGILANCIA'!AC66),"",'RESUMEN VIGILANCIA'!AC66)</f>
        <v>3000</v>
      </c>
      <c r="AE47" s="400">
        <f>IF(ISBLANK('RESUMEN VIGILANCIA'!AD66),"",'RESUMEN VIGILANCIA'!AD66)</f>
        <v>3000</v>
      </c>
      <c r="AF47" s="400">
        <f>IF(ISBLANK('RESUMEN VIGILANCIA'!AE66),"",'RESUMEN VIGILANCIA'!AE66)</f>
        <v>3000</v>
      </c>
      <c r="AG47" s="400">
        <f>IF(ISBLANK('RESUMEN VIGILANCIA'!AF66),"",'RESUMEN VIGILANCIA'!AF66)</f>
        <v>5000</v>
      </c>
      <c r="AH47" s="400">
        <f>IF(ISBLANK('RESUMEN VIGILANCIA'!AG66),"",'RESUMEN VIGILANCIA'!AG66)</f>
        <v>8000</v>
      </c>
      <c r="AI47" s="400">
        <f>IF(ISBLANK('RESUMEN VIGILANCIA'!AH66),"",'RESUMEN VIGILANCIA'!AH66)</f>
        <v>8000</v>
      </c>
      <c r="AJ47" s="400">
        <f>IF(ISBLANK('RESUMEN VIGILANCIA'!AI66),"",'RESUMEN VIGILANCIA'!AI66)</f>
        <v>10000</v>
      </c>
      <c r="AK47" s="400">
        <f>IF(ISBLANK('RESUMEN VIGILANCIA'!AJ66),"",'RESUMEN VIGILANCIA'!AJ66)</f>
        <v>10000</v>
      </c>
      <c r="AL47" s="400">
        <f>IF(ISBLANK('RESUMEN VIGILANCIA'!AK66),"",'RESUMEN VIGILANCIA'!AK66)</f>
        <v>21000</v>
      </c>
      <c r="AM47" s="400">
        <f>IF(ISBLANK('RESUMEN VIGILANCIA'!AL66),"",'RESUMEN VIGILANCIA'!AL66)</f>
        <v>48365</v>
      </c>
      <c r="AN47" s="400">
        <f>IF(ISBLANK('RESUMEN VIGILANCIA'!AM66),"",'RESUMEN VIGILANCIA'!AM66)</f>
        <v>75000</v>
      </c>
      <c r="AO47" s="401">
        <f>IF(ISBLANK('RESUMEN VIGILANCIA'!AN66),"",'RESUMEN VIGILANCIA'!AN66)</f>
        <v>105250</v>
      </c>
      <c r="AP47" s="399">
        <f>IF(ISBLANK('RESUMEN VIGILANCIA'!AO66),"",'RESUMEN VIGILANCIA'!AO66)</f>
        <v>150000</v>
      </c>
      <c r="AQ47" s="400">
        <f>IF(ISBLANK('RESUMEN VIGILANCIA'!AP66),"",'RESUMEN VIGILANCIA'!AP66)</f>
        <v>150000</v>
      </c>
      <c r="AR47" s="400" t="str">
        <f>IF(ISBLANK('RESUMEN VIGILANCIA'!AQ66),"",'RESUMEN VIGILANCIA'!AQ66)</f>
        <v/>
      </c>
      <c r="AS47" s="400" t="str">
        <f>IF(ISBLANK('RESUMEN VIGILANCIA'!AR66),"",'RESUMEN VIGILANCIA'!AR66)</f>
        <v/>
      </c>
      <c r="AT47" s="400" t="str">
        <f>IF(ISBLANK('RESUMEN VIGILANCIA'!AS66),"",'RESUMEN VIGILANCIA'!AS66)</f>
        <v/>
      </c>
      <c r="AU47" s="400" t="str">
        <f>IF(ISBLANK('RESUMEN VIGILANCIA'!AT66),"",'RESUMEN VIGILANCIA'!AT66)</f>
        <v/>
      </c>
      <c r="AV47" s="400" t="str">
        <f>IF(ISBLANK('RESUMEN VIGILANCIA'!AU66),"",'RESUMEN VIGILANCIA'!AU66)</f>
        <v/>
      </c>
      <c r="AW47" s="400" t="str">
        <f>IF(ISBLANK('RESUMEN VIGILANCIA'!AV66),"",'RESUMEN VIGILANCIA'!AV66)</f>
        <v/>
      </c>
      <c r="AX47" s="400" t="str">
        <f>IF(ISBLANK('RESUMEN VIGILANCIA'!AW66),"",'RESUMEN VIGILANCIA'!AW66)</f>
        <v/>
      </c>
      <c r="AY47" s="400" t="str">
        <f>IF(ISBLANK('RESUMEN VIGILANCIA'!AX66),"",'RESUMEN VIGILANCIA'!AX66)</f>
        <v/>
      </c>
      <c r="AZ47" s="400" t="str">
        <f>IF(ISBLANK('RESUMEN VIGILANCIA'!AY66),"",'RESUMEN VIGILANCIA'!AY66)</f>
        <v/>
      </c>
      <c r="BA47" s="401" t="str">
        <f>IF(ISBLANK('RESUMEN VIGILANCIA'!AZ66),"",'RESUMEN VIGILANCIA'!AZ66)</f>
        <v/>
      </c>
      <c r="BB47" s="243">
        <f t="shared" si="1"/>
        <v>301415.45</v>
      </c>
      <c r="BC47" s="112"/>
      <c r="BD47" s="112"/>
    </row>
    <row r="48" spans="1:56" s="29" customFormat="1" ht="20.100000000000001" customHeight="1" x14ac:dyDescent="0.25">
      <c r="A48" s="33" t="str">
        <f>'RESUMEN VIGILANCIA'!A67</f>
        <v>Familia Triana González</v>
      </c>
      <c r="B48" s="34" t="str">
        <f>'RESUMEN VIGILANCIA'!B67</f>
        <v>Calle Guacara Nro. 90-61</v>
      </c>
      <c r="C48" s="451" t="s">
        <v>1271</v>
      </c>
      <c r="D48" s="461" t="s">
        <v>1268</v>
      </c>
      <c r="E48" s="439" t="str">
        <f>IF(ISBLANK('RESUMEN VIGILANCIA'!D67),"",'RESUMEN VIGILANCIA'!D67)</f>
        <v/>
      </c>
      <c r="F48" s="267">
        <f>IF(ISBLANK('RESUMEN VIGILANCIA'!E67),"",'RESUMEN VIGILANCIA'!E67)</f>
        <v>0.02</v>
      </c>
      <c r="G48" s="189">
        <f>IF(ISBLANK('RESUMEN VIGILANCIA'!F67),"",'RESUMEN VIGILANCIA'!F67)</f>
        <v>0.02</v>
      </c>
      <c r="H48" s="189">
        <f>IF(ISBLANK('RESUMEN VIGILANCIA'!G67),"",'RESUMEN VIGILANCIA'!G67)</f>
        <v>0.02</v>
      </c>
      <c r="I48" s="189">
        <f>IF(ISBLANK('RESUMEN VIGILANCIA'!H67),"",'RESUMEN VIGILANCIA'!H67)</f>
        <v>0.02</v>
      </c>
      <c r="J48" s="189">
        <f>IF(ISBLANK('RESUMEN VIGILANCIA'!I67),"",'RESUMEN VIGILANCIA'!I67)</f>
        <v>0.02</v>
      </c>
      <c r="K48" s="189" t="str">
        <f>IF(ISBLANK('RESUMEN VIGILANCIA'!J67),"",'RESUMEN VIGILANCIA'!J67)</f>
        <v/>
      </c>
      <c r="L48" s="189" t="str">
        <f>IF(ISBLANK('RESUMEN VIGILANCIA'!K67),"",'RESUMEN VIGILANCIA'!K67)</f>
        <v/>
      </c>
      <c r="M48" s="189" t="str">
        <f>IF(ISBLANK('RESUMEN VIGILANCIA'!L67),"",'RESUMEN VIGILANCIA'!L67)</f>
        <v/>
      </c>
      <c r="N48" s="189" t="str">
        <f>IF(ISBLANK('RESUMEN VIGILANCIA'!M67),"",'RESUMEN VIGILANCIA'!M67)</f>
        <v/>
      </c>
      <c r="O48" s="189" t="str">
        <f>IF(ISBLANK('RESUMEN VIGILANCIA'!N67),"",'RESUMEN VIGILANCIA'!N67)</f>
        <v/>
      </c>
      <c r="P48" s="268" t="str">
        <f>IF(ISBLANK('RESUMEN VIGILANCIA'!O67),"",'RESUMEN VIGILANCIA'!O67)</f>
        <v/>
      </c>
      <c r="Q48" s="187" t="str">
        <f>IF(ISBLANK('RESUMEN VIGILANCIA'!P67),"",'RESUMEN VIGILANCIA'!P67)</f>
        <v/>
      </c>
      <c r="R48" s="269" t="str">
        <f>IF(ISBLANK('RESUMEN VIGILANCIA'!Q67),"",'RESUMEN VIGILANCIA'!Q67)</f>
        <v/>
      </c>
      <c r="S48" s="268" t="str">
        <f>IF(ISBLANK('RESUMEN VIGILANCIA'!R67),"",'RESUMEN VIGILANCIA'!R67)</f>
        <v/>
      </c>
      <c r="T48" s="268" t="str">
        <f>IF(ISBLANK('RESUMEN VIGILANCIA'!S67),"",'RESUMEN VIGILANCIA'!S67)</f>
        <v/>
      </c>
      <c r="U48" s="268">
        <f>IF(ISBLANK('RESUMEN VIGILANCIA'!T67),"",'RESUMEN VIGILANCIA'!T67)</f>
        <v>1.4</v>
      </c>
      <c r="V48" s="268">
        <f>IF(ISBLANK('RESUMEN VIGILANCIA'!U67),"",'RESUMEN VIGILANCIA'!U67)</f>
        <v>1</v>
      </c>
      <c r="W48" s="268">
        <f>IF(ISBLANK('RESUMEN VIGILANCIA'!V67),"",'RESUMEN VIGILANCIA'!V67)</f>
        <v>1</v>
      </c>
      <c r="X48" s="268">
        <f>IF(ISBLANK('RESUMEN VIGILANCIA'!W67),"",'RESUMEN VIGILANCIA'!W67)</f>
        <v>2</v>
      </c>
      <c r="Y48" s="268">
        <f>IF(ISBLANK('RESUMEN VIGILANCIA'!X67),"",'RESUMEN VIGILANCIA'!X67)</f>
        <v>12</v>
      </c>
      <c r="Z48" s="485">
        <f>IF(ISBLANK('RESUMEN VIGILANCIA'!Y67),"",'RESUMEN VIGILANCIA'!Y67)</f>
        <v>100</v>
      </c>
      <c r="AA48" s="485">
        <f>IF(ISBLANK('RESUMEN VIGILANCIA'!Z67),"",'RESUMEN VIGILANCIA'!Z67)</f>
        <v>100</v>
      </c>
      <c r="AB48" s="485">
        <f>IF(ISBLANK('RESUMEN VIGILANCIA'!AA67),"",'RESUMEN VIGILANCIA'!AA67)</f>
        <v>320</v>
      </c>
      <c r="AC48" s="486">
        <f>IF(ISBLANK('RESUMEN VIGILANCIA'!AB67),"",'RESUMEN VIGILANCIA'!AB67)</f>
        <v>800</v>
      </c>
      <c r="AD48" s="396">
        <f>IF(ISBLANK('RESUMEN VIGILANCIA'!AC67),"",'RESUMEN VIGILANCIA'!AC67)</f>
        <v>3000</v>
      </c>
      <c r="AE48" s="397">
        <f>IF(ISBLANK('RESUMEN VIGILANCIA'!AD67),"",'RESUMEN VIGILANCIA'!AD67)</f>
        <v>3000</v>
      </c>
      <c r="AF48" s="397">
        <f>IF(ISBLANK('RESUMEN VIGILANCIA'!AE67),"",'RESUMEN VIGILANCIA'!AE67)</f>
        <v>3000</v>
      </c>
      <c r="AG48" s="397">
        <f>IF(ISBLANK('RESUMEN VIGILANCIA'!AF67),"",'RESUMEN VIGILANCIA'!AF67)</f>
        <v>5000</v>
      </c>
      <c r="AH48" s="397">
        <f>IF(ISBLANK('RESUMEN VIGILANCIA'!AG67),"",'RESUMEN VIGILANCIA'!AG67)</f>
        <v>4880</v>
      </c>
      <c r="AI48" s="397">
        <f>IF(ISBLANK('RESUMEN VIGILANCIA'!AH67),"",'RESUMEN VIGILANCIA'!AH67)</f>
        <v>8000</v>
      </c>
      <c r="AJ48" s="397">
        <f>IF(ISBLANK('RESUMEN VIGILANCIA'!AI67),"",'RESUMEN VIGILANCIA'!AI67)</f>
        <v>10000</v>
      </c>
      <c r="AK48" s="397">
        <f>IF(ISBLANK('RESUMEN VIGILANCIA'!AJ67),"",'RESUMEN VIGILANCIA'!AJ67)</f>
        <v>10000</v>
      </c>
      <c r="AL48" s="397">
        <f>IF(ISBLANK('RESUMEN VIGILANCIA'!AK67),"",'RESUMEN VIGILANCIA'!AK67)</f>
        <v>23500</v>
      </c>
      <c r="AM48" s="397">
        <f>IF(ISBLANK('RESUMEN VIGILANCIA'!AL67),"",'RESUMEN VIGILANCIA'!AL67)</f>
        <v>48100</v>
      </c>
      <c r="AN48" s="397">
        <f>IF(ISBLANK('RESUMEN VIGILANCIA'!AM67),"",'RESUMEN VIGILANCIA'!AM67)</f>
        <v>56300</v>
      </c>
      <c r="AO48" s="398">
        <f>IF(ISBLANK('RESUMEN VIGILANCIA'!AN67),"",'RESUMEN VIGILANCIA'!AN67)</f>
        <v>81750</v>
      </c>
      <c r="AP48" s="396">
        <f>IF(ISBLANK('RESUMEN VIGILANCIA'!AO67),"",'RESUMEN VIGILANCIA'!AO67)</f>
        <v>136250</v>
      </c>
      <c r="AQ48" s="397">
        <f>IF(ISBLANK('RESUMEN VIGILANCIA'!AP67),"",'RESUMEN VIGILANCIA'!AP67)</f>
        <v>136250</v>
      </c>
      <c r="AR48" s="397">
        <f>IF(ISBLANK('RESUMEN VIGILANCIA'!AQ67),"",'RESUMEN VIGILANCIA'!AQ67)</f>
        <v>185250</v>
      </c>
      <c r="AS48" s="397" t="str">
        <f>IF(ISBLANK('RESUMEN VIGILANCIA'!AR67),"",'RESUMEN VIGILANCIA'!AR67)</f>
        <v/>
      </c>
      <c r="AT48" s="397" t="str">
        <f>IF(ISBLANK('RESUMEN VIGILANCIA'!AS67),"",'RESUMEN VIGILANCIA'!AS67)</f>
        <v/>
      </c>
      <c r="AU48" s="397" t="str">
        <f>IF(ISBLANK('RESUMEN VIGILANCIA'!AT67),"",'RESUMEN VIGILANCIA'!AT67)</f>
        <v/>
      </c>
      <c r="AV48" s="397" t="str">
        <f>IF(ISBLANK('RESUMEN VIGILANCIA'!AU67),"",'RESUMEN VIGILANCIA'!AU67)</f>
        <v/>
      </c>
      <c r="AW48" s="397" t="str">
        <f>IF(ISBLANK('RESUMEN VIGILANCIA'!AV67),"",'RESUMEN VIGILANCIA'!AV67)</f>
        <v/>
      </c>
      <c r="AX48" s="397" t="str">
        <f>IF(ISBLANK('RESUMEN VIGILANCIA'!AW67),"",'RESUMEN VIGILANCIA'!AW67)</f>
        <v/>
      </c>
      <c r="AY48" s="397" t="str">
        <f>IF(ISBLANK('RESUMEN VIGILANCIA'!AX67),"",'RESUMEN VIGILANCIA'!AX67)</f>
        <v/>
      </c>
      <c r="AZ48" s="397" t="str">
        <f>IF(ISBLANK('RESUMEN VIGILANCIA'!AY67),"",'RESUMEN VIGILANCIA'!AY67)</f>
        <v/>
      </c>
      <c r="BA48" s="398" t="str">
        <f>IF(ISBLANK('RESUMEN VIGILANCIA'!AZ67),"",'RESUMEN VIGILANCIA'!AZ67)</f>
        <v/>
      </c>
      <c r="BB48" s="242">
        <f t="shared" si="1"/>
        <v>257867.5</v>
      </c>
      <c r="BC48" s="111"/>
      <c r="BD48" s="111"/>
    </row>
    <row r="49" spans="1:56" s="29" customFormat="1" ht="20.100000000000001" customHeight="1" x14ac:dyDescent="0.25">
      <c r="A49" s="30" t="str">
        <f>'RESUMEN VIGILANCIA'!A68</f>
        <v>Neira Chacón</v>
      </c>
      <c r="B49" s="31" t="str">
        <f>'RESUMEN VIGILANCIA'!B68</f>
        <v>Calle Guacara Nro. 90-71</v>
      </c>
      <c r="C49" s="452" t="s">
        <v>1270</v>
      </c>
      <c r="D49" s="460" t="s">
        <v>1268</v>
      </c>
      <c r="E49" s="440" t="str">
        <f>IF(ISBLANK('RESUMEN VIGILANCIA'!D68),"",'RESUMEN VIGILANCIA'!D68)</f>
        <v/>
      </c>
      <c r="F49" s="270" t="str">
        <f>IF(ISBLANK('RESUMEN VIGILANCIA'!E68),"",'RESUMEN VIGILANCIA'!E68)</f>
        <v/>
      </c>
      <c r="G49" s="182" t="str">
        <f>IF(ISBLANK('RESUMEN VIGILANCIA'!F68),"",'RESUMEN VIGILANCIA'!F68)</f>
        <v/>
      </c>
      <c r="H49" s="182" t="str">
        <f>IF(ISBLANK('RESUMEN VIGILANCIA'!G68),"",'RESUMEN VIGILANCIA'!G68)</f>
        <v/>
      </c>
      <c r="I49" s="182" t="str">
        <f>IF(ISBLANK('RESUMEN VIGILANCIA'!H68),"",'RESUMEN VIGILANCIA'!H68)</f>
        <v/>
      </c>
      <c r="J49" s="182" t="str">
        <f>IF(ISBLANK('RESUMEN VIGILANCIA'!I68),"",'RESUMEN VIGILANCIA'!I68)</f>
        <v/>
      </c>
      <c r="K49" s="182" t="str">
        <f>IF(ISBLANK('RESUMEN VIGILANCIA'!J68),"",'RESUMEN VIGILANCIA'!J68)</f>
        <v/>
      </c>
      <c r="L49" s="182" t="str">
        <f>IF(ISBLANK('RESUMEN VIGILANCIA'!K68),"",'RESUMEN VIGILANCIA'!K68)</f>
        <v/>
      </c>
      <c r="M49" s="182" t="str">
        <f>IF(ISBLANK('RESUMEN VIGILANCIA'!L68),"",'RESUMEN VIGILANCIA'!L68)</f>
        <v/>
      </c>
      <c r="N49" s="182" t="str">
        <f>IF(ISBLANK('RESUMEN VIGILANCIA'!M68),"",'RESUMEN VIGILANCIA'!M68)</f>
        <v/>
      </c>
      <c r="O49" s="182" t="str">
        <f>IF(ISBLANK('RESUMEN VIGILANCIA'!N68),"",'RESUMEN VIGILANCIA'!N68)</f>
        <v/>
      </c>
      <c r="P49" s="271" t="str">
        <f>IF(ISBLANK('RESUMEN VIGILANCIA'!O68),"",'RESUMEN VIGILANCIA'!O68)</f>
        <v/>
      </c>
      <c r="Q49" s="180" t="str">
        <f>IF(ISBLANK('RESUMEN VIGILANCIA'!P68),"",'RESUMEN VIGILANCIA'!P68)</f>
        <v/>
      </c>
      <c r="R49" s="272" t="str">
        <f>IF(ISBLANK('RESUMEN VIGILANCIA'!Q68),"",'RESUMEN VIGILANCIA'!Q68)</f>
        <v/>
      </c>
      <c r="S49" s="271" t="str">
        <f>IF(ISBLANK('RESUMEN VIGILANCIA'!R68),"",'RESUMEN VIGILANCIA'!R68)</f>
        <v/>
      </c>
      <c r="T49" s="271" t="str">
        <f>IF(ISBLANK('RESUMEN VIGILANCIA'!S68),"",'RESUMEN VIGILANCIA'!S68)</f>
        <v/>
      </c>
      <c r="U49" s="271" t="str">
        <f>IF(ISBLANK('RESUMEN VIGILANCIA'!T68),"",'RESUMEN VIGILANCIA'!T68)</f>
        <v/>
      </c>
      <c r="V49" s="271" t="str">
        <f>IF(ISBLANK('RESUMEN VIGILANCIA'!U68),"",'RESUMEN VIGILANCIA'!U68)</f>
        <v/>
      </c>
      <c r="W49" s="271" t="str">
        <f>IF(ISBLANK('RESUMEN VIGILANCIA'!V68),"",'RESUMEN VIGILANCIA'!V68)</f>
        <v/>
      </c>
      <c r="X49" s="271" t="str">
        <f>IF(ISBLANK('RESUMEN VIGILANCIA'!W68),"",'RESUMEN VIGILANCIA'!W68)</f>
        <v/>
      </c>
      <c r="Y49" s="271" t="str">
        <f>IF(ISBLANK('RESUMEN VIGILANCIA'!X68),"",'RESUMEN VIGILANCIA'!X68)</f>
        <v/>
      </c>
      <c r="Z49" s="481" t="str">
        <f>IF(ISBLANK('RESUMEN VIGILANCIA'!Y68),"",'RESUMEN VIGILANCIA'!Y68)</f>
        <v/>
      </c>
      <c r="AA49" s="481" t="str">
        <f>IF(ISBLANK('RESUMEN VIGILANCIA'!Z68),"",'RESUMEN VIGILANCIA'!Z68)</f>
        <v/>
      </c>
      <c r="AB49" s="481" t="str">
        <f>IF(ISBLANK('RESUMEN VIGILANCIA'!AA68),"",'RESUMEN VIGILANCIA'!AA68)</f>
        <v/>
      </c>
      <c r="AC49" s="482" t="str">
        <f>IF(ISBLANK('RESUMEN VIGILANCIA'!AB68),"",'RESUMEN VIGILANCIA'!AB68)</f>
        <v/>
      </c>
      <c r="AD49" s="399" t="str">
        <f>IF(ISBLANK('RESUMEN VIGILANCIA'!AC68),"",'RESUMEN VIGILANCIA'!AC68)</f>
        <v/>
      </c>
      <c r="AE49" s="400" t="str">
        <f>IF(ISBLANK('RESUMEN VIGILANCIA'!AD68),"",'RESUMEN VIGILANCIA'!AD68)</f>
        <v/>
      </c>
      <c r="AF49" s="400" t="str">
        <f>IF(ISBLANK('RESUMEN VIGILANCIA'!AE68),"",'RESUMEN VIGILANCIA'!AE68)</f>
        <v/>
      </c>
      <c r="AG49" s="400" t="str">
        <f>IF(ISBLANK('RESUMEN VIGILANCIA'!AF68),"",'RESUMEN VIGILANCIA'!AF68)</f>
        <v/>
      </c>
      <c r="AH49" s="400" t="str">
        <f>IF(ISBLANK('RESUMEN VIGILANCIA'!AG68),"",'RESUMEN VIGILANCIA'!AG68)</f>
        <v/>
      </c>
      <c r="AI49" s="400" t="str">
        <f>IF(ISBLANK('RESUMEN VIGILANCIA'!AH68),"",'RESUMEN VIGILANCIA'!AH68)</f>
        <v/>
      </c>
      <c r="AJ49" s="400" t="str">
        <f>IF(ISBLANK('RESUMEN VIGILANCIA'!AI68),"",'RESUMEN VIGILANCIA'!AI68)</f>
        <v/>
      </c>
      <c r="AK49" s="400" t="str">
        <f>IF(ISBLANK('RESUMEN VIGILANCIA'!AJ68),"",'RESUMEN VIGILANCIA'!AJ68)</f>
        <v/>
      </c>
      <c r="AL49" s="400" t="str">
        <f>IF(ISBLANK('RESUMEN VIGILANCIA'!AK68),"",'RESUMEN VIGILANCIA'!AK68)</f>
        <v/>
      </c>
      <c r="AM49" s="400" t="str">
        <f>IF(ISBLANK('RESUMEN VIGILANCIA'!AL68),"",'RESUMEN VIGILANCIA'!AL68)</f>
        <v/>
      </c>
      <c r="AN49" s="400" t="str">
        <f>IF(ISBLANK('RESUMEN VIGILANCIA'!AM68),"",'RESUMEN VIGILANCIA'!AM68)</f>
        <v/>
      </c>
      <c r="AO49" s="401" t="str">
        <f>IF(ISBLANK('RESUMEN VIGILANCIA'!AN68),"",'RESUMEN VIGILANCIA'!AN68)</f>
        <v/>
      </c>
      <c r="AP49" s="399" t="str">
        <f>IF(ISBLANK('RESUMEN VIGILANCIA'!AO68),"",'RESUMEN VIGILANCIA'!AO68)</f>
        <v/>
      </c>
      <c r="AQ49" s="400" t="str">
        <f>IF(ISBLANK('RESUMEN VIGILANCIA'!AP68),"",'RESUMEN VIGILANCIA'!AP68)</f>
        <v/>
      </c>
      <c r="AR49" s="400" t="str">
        <f>IF(ISBLANK('RESUMEN VIGILANCIA'!AQ68),"",'RESUMEN VIGILANCIA'!AQ68)</f>
        <v/>
      </c>
      <c r="AS49" s="400" t="str">
        <f>IF(ISBLANK('RESUMEN VIGILANCIA'!AR68),"",'RESUMEN VIGILANCIA'!AR68)</f>
        <v/>
      </c>
      <c r="AT49" s="400" t="str">
        <f>IF(ISBLANK('RESUMEN VIGILANCIA'!AS68),"",'RESUMEN VIGILANCIA'!AS68)</f>
        <v/>
      </c>
      <c r="AU49" s="400" t="str">
        <f>IF(ISBLANK('RESUMEN VIGILANCIA'!AT68),"",'RESUMEN VIGILANCIA'!AT68)</f>
        <v/>
      </c>
      <c r="AV49" s="400" t="str">
        <f>IF(ISBLANK('RESUMEN VIGILANCIA'!AU68),"",'RESUMEN VIGILANCIA'!AU68)</f>
        <v/>
      </c>
      <c r="AW49" s="400" t="str">
        <f>IF(ISBLANK('RESUMEN VIGILANCIA'!AV68),"",'RESUMEN VIGILANCIA'!AV68)</f>
        <v/>
      </c>
      <c r="AX49" s="400" t="str">
        <f>IF(ISBLANK('RESUMEN VIGILANCIA'!AW68),"",'RESUMEN VIGILANCIA'!AW68)</f>
        <v/>
      </c>
      <c r="AY49" s="400" t="str">
        <f>IF(ISBLANK('RESUMEN VIGILANCIA'!AX68),"",'RESUMEN VIGILANCIA'!AX68)</f>
        <v/>
      </c>
      <c r="AZ49" s="400" t="str">
        <f>IF(ISBLANK('RESUMEN VIGILANCIA'!AY68),"",'RESUMEN VIGILANCIA'!AY68)</f>
        <v/>
      </c>
      <c r="BA49" s="401" t="str">
        <f>IF(ISBLANK('RESUMEN VIGILANCIA'!AZ68),"",'RESUMEN VIGILANCIA'!AZ68)</f>
        <v/>
      </c>
      <c r="BB49" s="243">
        <f t="shared" si="1"/>
        <v>0</v>
      </c>
      <c r="BC49" s="112"/>
      <c r="BD49" s="112"/>
    </row>
    <row r="50" spans="1:56" s="29" customFormat="1" ht="20.100000000000001" customHeight="1" x14ac:dyDescent="0.25">
      <c r="A50" s="33" t="str">
        <f>'RESUMEN VIGILANCIA'!A70</f>
        <v>Familia Santos Carrillo</v>
      </c>
      <c r="B50" s="34" t="str">
        <f>'RESUMEN VIGILANCIA'!B70</f>
        <v>Calle Guacara Nro. 90-93</v>
      </c>
      <c r="C50" s="451" t="s">
        <v>1270</v>
      </c>
      <c r="D50" s="461" t="s">
        <v>1268</v>
      </c>
      <c r="E50" s="439">
        <f>IF(ISBLANK('RESUMEN VIGILANCIA'!D70),"",'RESUMEN VIGILANCIA'!D70)</f>
        <v>0.04</v>
      </c>
      <c r="F50" s="267">
        <f>IF(ISBLANK('RESUMEN VIGILANCIA'!E70),"",'RESUMEN VIGILANCIA'!E70)</f>
        <v>0.03</v>
      </c>
      <c r="G50" s="189">
        <f>IF(ISBLANK('RESUMEN VIGILANCIA'!F70),"",'RESUMEN VIGILANCIA'!F70)</f>
        <v>0.03</v>
      </c>
      <c r="H50" s="189">
        <f>IF(ISBLANK('RESUMEN VIGILANCIA'!G70),"",'RESUMEN VIGILANCIA'!G70)</f>
        <v>0.03</v>
      </c>
      <c r="I50" s="189">
        <f>IF(ISBLANK('RESUMEN VIGILANCIA'!H70),"",'RESUMEN VIGILANCIA'!H70)</f>
        <v>0.03</v>
      </c>
      <c r="J50" s="189">
        <f>IF(ISBLANK('RESUMEN VIGILANCIA'!I70),"",'RESUMEN VIGILANCIA'!I70)</f>
        <v>0.03</v>
      </c>
      <c r="K50" s="189">
        <f>IF(ISBLANK('RESUMEN VIGILANCIA'!J70),"",'RESUMEN VIGILANCIA'!J70)</f>
        <v>0.03</v>
      </c>
      <c r="L50" s="189">
        <f>IF(ISBLANK('RESUMEN VIGILANCIA'!K70),"",'RESUMEN VIGILANCIA'!K70)</f>
        <v>0.06</v>
      </c>
      <c r="M50" s="189">
        <f>IF(ISBLANK('RESUMEN VIGILANCIA'!L70),"",'RESUMEN VIGILANCIA'!L70)</f>
        <v>6.5000000000000002E-2</v>
      </c>
      <c r="N50" s="189">
        <f>IF(ISBLANK('RESUMEN VIGILANCIA'!M70),"",'RESUMEN VIGILANCIA'!M70)</f>
        <v>0.14899999999999999</v>
      </c>
      <c r="O50" s="189">
        <f>IF(ISBLANK('RESUMEN VIGILANCIA'!N70),"",'RESUMEN VIGILANCIA'!N70)</f>
        <v>0.2</v>
      </c>
      <c r="P50" s="268">
        <f>IF(ISBLANK('RESUMEN VIGILANCIA'!O70),"",'RESUMEN VIGILANCIA'!O70)</f>
        <v>0.18</v>
      </c>
      <c r="Q50" s="187">
        <f>IF(ISBLANK('RESUMEN VIGILANCIA'!P70),"",'RESUMEN VIGILANCIA'!P70)</f>
        <v>0.2</v>
      </c>
      <c r="R50" s="269">
        <f>IF(ISBLANK('RESUMEN VIGILANCIA'!Q70),"",'RESUMEN VIGILANCIA'!Q70)</f>
        <v>0.2</v>
      </c>
      <c r="S50" s="268">
        <f>IF(ISBLANK('RESUMEN VIGILANCIA'!R70),"",'RESUMEN VIGILANCIA'!R70)</f>
        <v>0.2</v>
      </c>
      <c r="T50" s="268">
        <f>IF(ISBLANK('RESUMEN VIGILANCIA'!S70),"",'RESUMEN VIGILANCIA'!S70)</f>
        <v>1.4</v>
      </c>
      <c r="U50" s="268">
        <f>IF(ISBLANK('RESUMEN VIGILANCIA'!T70),"",'RESUMEN VIGILANCIA'!T70)</f>
        <v>1.4</v>
      </c>
      <c r="V50" s="268" t="str">
        <f>IF(ISBLANK('RESUMEN VIGILANCIA'!U70),"",'RESUMEN VIGILANCIA'!U70)</f>
        <v/>
      </c>
      <c r="W50" s="268" t="str">
        <f>IF(ISBLANK('RESUMEN VIGILANCIA'!V70),"",'RESUMEN VIGILANCIA'!V70)</f>
        <v/>
      </c>
      <c r="X50" s="268" t="str">
        <f>IF(ISBLANK('RESUMEN VIGILANCIA'!W70),"",'RESUMEN VIGILANCIA'!W70)</f>
        <v/>
      </c>
      <c r="Y50" s="268" t="str">
        <f>IF(ISBLANK('RESUMEN VIGILANCIA'!X70),"",'RESUMEN VIGILANCIA'!X70)</f>
        <v/>
      </c>
      <c r="Z50" s="485" t="str">
        <f>IF(ISBLANK('RESUMEN VIGILANCIA'!Y70),"",'RESUMEN VIGILANCIA'!Y70)</f>
        <v/>
      </c>
      <c r="AA50" s="485" t="str">
        <f>IF(ISBLANK('RESUMEN VIGILANCIA'!Z70),"",'RESUMEN VIGILANCIA'!Z70)</f>
        <v/>
      </c>
      <c r="AB50" s="485" t="str">
        <f>IF(ISBLANK('RESUMEN VIGILANCIA'!AA70),"",'RESUMEN VIGILANCIA'!AA70)</f>
        <v/>
      </c>
      <c r="AC50" s="486" t="str">
        <f>IF(ISBLANK('RESUMEN VIGILANCIA'!AB70),"",'RESUMEN VIGILANCIA'!AB70)</f>
        <v/>
      </c>
      <c r="AD50" s="396" t="str">
        <f>IF(ISBLANK('RESUMEN VIGILANCIA'!AC70),"",'RESUMEN VIGILANCIA'!AC70)</f>
        <v/>
      </c>
      <c r="AE50" s="397" t="str">
        <f>IF(ISBLANK('RESUMEN VIGILANCIA'!AD70),"",'RESUMEN VIGILANCIA'!AD70)</f>
        <v/>
      </c>
      <c r="AF50" s="397" t="str">
        <f>IF(ISBLANK('RESUMEN VIGILANCIA'!AE70),"",'RESUMEN VIGILANCIA'!AE70)</f>
        <v/>
      </c>
      <c r="AG50" s="397" t="str">
        <f>IF(ISBLANK('RESUMEN VIGILANCIA'!AF70),"",'RESUMEN VIGILANCIA'!AF70)</f>
        <v/>
      </c>
      <c r="AH50" s="397" t="str">
        <f>IF(ISBLANK('RESUMEN VIGILANCIA'!AG70),"",'RESUMEN VIGILANCIA'!AG70)</f>
        <v/>
      </c>
      <c r="AI50" s="397" t="str">
        <f>IF(ISBLANK('RESUMEN VIGILANCIA'!AH70),"",'RESUMEN VIGILANCIA'!AH70)</f>
        <v/>
      </c>
      <c r="AJ50" s="397" t="str">
        <f>IF(ISBLANK('RESUMEN VIGILANCIA'!AI70),"",'RESUMEN VIGILANCIA'!AI70)</f>
        <v/>
      </c>
      <c r="AK50" s="397" t="str">
        <f>IF(ISBLANK('RESUMEN VIGILANCIA'!AJ70),"",'RESUMEN VIGILANCIA'!AJ70)</f>
        <v/>
      </c>
      <c r="AL50" s="397" t="str">
        <f>IF(ISBLANK('RESUMEN VIGILANCIA'!AK70),"",'RESUMEN VIGILANCIA'!AK70)</f>
        <v/>
      </c>
      <c r="AM50" s="397" t="str">
        <f>IF(ISBLANK('RESUMEN VIGILANCIA'!AL70),"",'RESUMEN VIGILANCIA'!AL70)</f>
        <v/>
      </c>
      <c r="AN50" s="397" t="str">
        <f>IF(ISBLANK('RESUMEN VIGILANCIA'!AM70),"",'RESUMEN VIGILANCIA'!AM70)</f>
        <v/>
      </c>
      <c r="AO50" s="398" t="str">
        <f>IF(ISBLANK('RESUMEN VIGILANCIA'!AN70),"",'RESUMEN VIGILANCIA'!AN70)</f>
        <v/>
      </c>
      <c r="AP50" s="396" t="str">
        <f>IF(ISBLANK('RESUMEN VIGILANCIA'!AO70),"",'RESUMEN VIGILANCIA'!AO70)</f>
        <v/>
      </c>
      <c r="AQ50" s="397" t="str">
        <f>IF(ISBLANK('RESUMEN VIGILANCIA'!AP70),"",'RESUMEN VIGILANCIA'!AP70)</f>
        <v/>
      </c>
      <c r="AR50" s="397" t="str">
        <f>IF(ISBLANK('RESUMEN VIGILANCIA'!AQ70),"",'RESUMEN VIGILANCIA'!AQ70)</f>
        <v/>
      </c>
      <c r="AS50" s="397" t="str">
        <f>IF(ISBLANK('RESUMEN VIGILANCIA'!AR70),"",'RESUMEN VIGILANCIA'!AR70)</f>
        <v/>
      </c>
      <c r="AT50" s="397" t="str">
        <f>IF(ISBLANK('RESUMEN VIGILANCIA'!AS70),"",'RESUMEN VIGILANCIA'!AS70)</f>
        <v/>
      </c>
      <c r="AU50" s="397" t="str">
        <f>IF(ISBLANK('RESUMEN VIGILANCIA'!AT70),"",'RESUMEN VIGILANCIA'!AT70)</f>
        <v/>
      </c>
      <c r="AV50" s="397" t="str">
        <f>IF(ISBLANK('RESUMEN VIGILANCIA'!AU70),"",'RESUMEN VIGILANCIA'!AU70)</f>
        <v/>
      </c>
      <c r="AW50" s="397" t="str">
        <f>IF(ISBLANK('RESUMEN VIGILANCIA'!AV70),"",'RESUMEN VIGILANCIA'!AV70)</f>
        <v/>
      </c>
      <c r="AX50" s="397" t="str">
        <f>IF(ISBLANK('RESUMEN VIGILANCIA'!AW70),"",'RESUMEN VIGILANCIA'!AW70)</f>
        <v/>
      </c>
      <c r="AY50" s="397" t="str">
        <f>IF(ISBLANK('RESUMEN VIGILANCIA'!AX70),"",'RESUMEN VIGILANCIA'!AX70)</f>
        <v/>
      </c>
      <c r="AZ50" s="397" t="str">
        <f>IF(ISBLANK('RESUMEN VIGILANCIA'!AY70),"",'RESUMEN VIGILANCIA'!AY70)</f>
        <v/>
      </c>
      <c r="BA50" s="398" t="str">
        <f>IF(ISBLANK('RESUMEN VIGILANCIA'!AZ70),"",'RESUMEN VIGILANCIA'!AZ70)</f>
        <v/>
      </c>
      <c r="BB50" s="242">
        <f t="shared" si="1"/>
        <v>4.2739999999999991</v>
      </c>
      <c r="BC50" s="111"/>
      <c r="BD50" s="111"/>
    </row>
    <row r="51" spans="1:56" s="29" customFormat="1" ht="20.100000000000001" customHeight="1" x14ac:dyDescent="0.25">
      <c r="A51" s="30" t="str">
        <f>'RESUMEN VIGILANCIA'!A69</f>
        <v>Wu Hung Fung</v>
      </c>
      <c r="B51" s="31" t="str">
        <f>'RESUMEN VIGILANCIA'!B69</f>
        <v>Calle Guacara Nro. 90-81</v>
      </c>
      <c r="C51" s="452" t="s">
        <v>1269</v>
      </c>
      <c r="D51" s="460"/>
      <c r="E51" s="440" t="str">
        <f>IF(ISBLANK('RESUMEN VIGILANCIA'!D69),"",'RESUMEN VIGILANCIA'!D69)</f>
        <v/>
      </c>
      <c r="F51" s="270">
        <f>IF(ISBLANK('RESUMEN VIGILANCIA'!E69),"",'RESUMEN VIGILANCIA'!E69)</f>
        <v>0.17</v>
      </c>
      <c r="G51" s="182">
        <f>IF(ISBLANK('RESUMEN VIGILANCIA'!F69),"",'RESUMEN VIGILANCIA'!F69)</f>
        <v>0.17</v>
      </c>
      <c r="H51" s="182">
        <f>IF(ISBLANK('RESUMEN VIGILANCIA'!G69),"",'RESUMEN VIGILANCIA'!G69)</f>
        <v>0.19</v>
      </c>
      <c r="I51" s="182">
        <f>IF(ISBLANK('RESUMEN VIGILANCIA'!H69),"",'RESUMEN VIGILANCIA'!H69)</f>
        <v>0.17</v>
      </c>
      <c r="J51" s="182">
        <f>IF(ISBLANK('RESUMEN VIGILANCIA'!I69),"",'RESUMEN VIGILANCIA'!I69)</f>
        <v>0.26</v>
      </c>
      <c r="K51" s="182">
        <f>IF(ISBLANK('RESUMEN VIGILANCIA'!J69),"",'RESUMEN VIGILANCIA'!J69)</f>
        <v>0.26</v>
      </c>
      <c r="L51" s="182">
        <f>IF(ISBLANK('RESUMEN VIGILANCIA'!K69),"",'RESUMEN VIGILANCIA'!K69)</f>
        <v>0.35</v>
      </c>
      <c r="M51" s="182">
        <f>IF(ISBLANK('RESUMEN VIGILANCIA'!L69),"",'RESUMEN VIGILANCIA'!L69)</f>
        <v>0.35</v>
      </c>
      <c r="N51" s="182">
        <f>IF(ISBLANK('RESUMEN VIGILANCIA'!M69),"",'RESUMEN VIGILANCIA'!M69)</f>
        <v>0.35</v>
      </c>
      <c r="O51" s="182">
        <f>IF(ISBLANK('RESUMEN VIGILANCIA'!N69),"",'RESUMEN VIGILANCIA'!N69)</f>
        <v>0.35</v>
      </c>
      <c r="P51" s="271">
        <f>IF(ISBLANK('RESUMEN VIGILANCIA'!O69),"",'RESUMEN VIGILANCIA'!O69)</f>
        <v>0.5</v>
      </c>
      <c r="Q51" s="180">
        <f>IF(ISBLANK('RESUMEN VIGILANCIA'!P69),"",'RESUMEN VIGILANCIA'!P69)</f>
        <v>0.5</v>
      </c>
      <c r="R51" s="272">
        <f>IF(ISBLANK('RESUMEN VIGILANCIA'!Q69),"",'RESUMEN VIGILANCIA'!Q69)</f>
        <v>0.8</v>
      </c>
      <c r="S51" s="271">
        <f>IF(ISBLANK('RESUMEN VIGILANCIA'!R69),"",'RESUMEN VIGILANCIA'!R69)</f>
        <v>1</v>
      </c>
      <c r="T51" s="271">
        <f>IF(ISBLANK('RESUMEN VIGILANCIA'!S69),"",'RESUMEN VIGILANCIA'!S69)</f>
        <v>1.4</v>
      </c>
      <c r="U51" s="271">
        <f>IF(ISBLANK('RESUMEN VIGILANCIA'!T69),"",'RESUMEN VIGILANCIA'!T69)</f>
        <v>1.4</v>
      </c>
      <c r="V51" s="271">
        <f>IF(ISBLANK('RESUMEN VIGILANCIA'!U69),"",'RESUMEN VIGILANCIA'!U69)</f>
        <v>4</v>
      </c>
      <c r="W51" s="271">
        <f>IF(ISBLANK('RESUMEN VIGILANCIA'!V69),"",'RESUMEN VIGILANCIA'!V69)</f>
        <v>6.25</v>
      </c>
      <c r="X51" s="271">
        <f>IF(ISBLANK('RESUMEN VIGILANCIA'!W69),"",'RESUMEN VIGILANCIA'!W69)</f>
        <v>10</v>
      </c>
      <c r="Y51" s="271">
        <f>IF(ISBLANK('RESUMEN VIGILANCIA'!X69),"",'RESUMEN VIGILANCIA'!X69)</f>
        <v>12</v>
      </c>
      <c r="Z51" s="481">
        <f>IF(ISBLANK('RESUMEN VIGILANCIA'!Y69),"",'RESUMEN VIGILANCIA'!Y69)</f>
        <v>320</v>
      </c>
      <c r="AA51" s="481">
        <f>IF(ISBLANK('RESUMEN VIGILANCIA'!Z69),"",'RESUMEN VIGILANCIA'!Z69)</f>
        <v>320.5</v>
      </c>
      <c r="AB51" s="481">
        <f>IF(ISBLANK('RESUMEN VIGILANCIA'!AA69),"",'RESUMEN VIGILANCIA'!AA69)</f>
        <v>320</v>
      </c>
      <c r="AC51" s="482">
        <f>IF(ISBLANK('RESUMEN VIGILANCIA'!AB69),"",'RESUMEN VIGILANCIA'!AB69)</f>
        <v>800</v>
      </c>
      <c r="AD51" s="399">
        <f>IF(ISBLANK('RESUMEN VIGILANCIA'!AC69),"",'RESUMEN VIGILANCIA'!AC69)</f>
        <v>3000</v>
      </c>
      <c r="AE51" s="400">
        <f>IF(ISBLANK('RESUMEN VIGILANCIA'!AD69),"",'RESUMEN VIGILANCIA'!AD69)</f>
        <v>5000</v>
      </c>
      <c r="AF51" s="400">
        <f>IF(ISBLANK('RESUMEN VIGILANCIA'!AE69),"",'RESUMEN VIGILANCIA'!AE69)</f>
        <v>5000</v>
      </c>
      <c r="AG51" s="400">
        <f>IF(ISBLANK('RESUMEN VIGILANCIA'!AF69),"",'RESUMEN VIGILANCIA'!AF69)</f>
        <v>5000</v>
      </c>
      <c r="AH51" s="400">
        <f>IF(ISBLANK('RESUMEN VIGILANCIA'!AG69),"",'RESUMEN VIGILANCIA'!AG69)</f>
        <v>8000</v>
      </c>
      <c r="AI51" s="400">
        <f>IF(ISBLANK('RESUMEN VIGILANCIA'!AH69),"",'RESUMEN VIGILANCIA'!AH69)</f>
        <v>8000</v>
      </c>
      <c r="AJ51" s="400">
        <f>IF(ISBLANK('RESUMEN VIGILANCIA'!AI69),"",'RESUMEN VIGILANCIA'!AI69)</f>
        <v>15000</v>
      </c>
      <c r="AK51" s="400">
        <f>IF(ISBLANK('RESUMEN VIGILANCIA'!AJ69),"",'RESUMEN VIGILANCIA'!AJ69)</f>
        <v>15000</v>
      </c>
      <c r="AL51" s="400">
        <f>IF(ISBLANK('RESUMEN VIGILANCIA'!AK69),"",'RESUMEN VIGILANCIA'!AK69)</f>
        <v>19800</v>
      </c>
      <c r="AM51" s="400">
        <f>IF(ISBLANK('RESUMEN VIGILANCIA'!AL69),"",'RESUMEN VIGILANCIA'!AL69)</f>
        <v>60000</v>
      </c>
      <c r="AN51" s="400">
        <f>IF(ISBLANK('RESUMEN VIGILANCIA'!AM69),"",'RESUMEN VIGILANCIA'!AM69)</f>
        <v>100000</v>
      </c>
      <c r="AO51" s="401">
        <f>IF(ISBLANK('RESUMEN VIGILANCIA'!AN69),"",'RESUMEN VIGILANCIA'!AN69)</f>
        <v>150000</v>
      </c>
      <c r="AP51" s="399">
        <f>IF(ISBLANK('RESUMEN VIGILANCIA'!AO69),"",'RESUMEN VIGILANCIA'!AO69)</f>
        <v>150000</v>
      </c>
      <c r="AQ51" s="400">
        <f>IF(ISBLANK('RESUMEN VIGILANCIA'!AP69),"",'RESUMEN VIGILANCIA'!AP69)</f>
        <v>150000</v>
      </c>
      <c r="AR51" s="400" t="str">
        <f>IF(ISBLANK('RESUMEN VIGILANCIA'!AQ69),"",'RESUMEN VIGILANCIA'!AQ69)</f>
        <v/>
      </c>
      <c r="AS51" s="400" t="str">
        <f>IF(ISBLANK('RESUMEN VIGILANCIA'!AR69),"",'RESUMEN VIGILANCIA'!AR69)</f>
        <v/>
      </c>
      <c r="AT51" s="400" t="str">
        <f>IF(ISBLANK('RESUMEN VIGILANCIA'!AS69),"",'RESUMEN VIGILANCIA'!AS69)</f>
        <v/>
      </c>
      <c r="AU51" s="400" t="str">
        <f>IF(ISBLANK('RESUMEN VIGILANCIA'!AT69),"",'RESUMEN VIGILANCIA'!AT69)</f>
        <v/>
      </c>
      <c r="AV51" s="400" t="str">
        <f>IF(ISBLANK('RESUMEN VIGILANCIA'!AU69),"",'RESUMEN VIGILANCIA'!AU69)</f>
        <v/>
      </c>
      <c r="AW51" s="400" t="str">
        <f>IF(ISBLANK('RESUMEN VIGILANCIA'!AV69),"",'RESUMEN VIGILANCIA'!AV69)</f>
        <v/>
      </c>
      <c r="AX51" s="400" t="str">
        <f>IF(ISBLANK('RESUMEN VIGILANCIA'!AW69),"",'RESUMEN VIGILANCIA'!AW69)</f>
        <v/>
      </c>
      <c r="AY51" s="400" t="str">
        <f>IF(ISBLANK('RESUMEN VIGILANCIA'!AX69),"",'RESUMEN VIGILANCIA'!AX69)</f>
        <v/>
      </c>
      <c r="AZ51" s="400" t="str">
        <f>IF(ISBLANK('RESUMEN VIGILANCIA'!AY69),"",'RESUMEN VIGILANCIA'!AY69)</f>
        <v/>
      </c>
      <c r="BA51" s="401" t="str">
        <f>IF(ISBLANK('RESUMEN VIGILANCIA'!AZ69),"",'RESUMEN VIGILANCIA'!AZ69)</f>
        <v/>
      </c>
      <c r="BB51" s="243">
        <f t="shared" si="1"/>
        <v>395600.97</v>
      </c>
      <c r="BC51" s="112"/>
      <c r="BD51" s="112"/>
    </row>
    <row r="52" spans="1:56" s="29" customFormat="1" ht="20.100000000000001" customHeight="1" x14ac:dyDescent="0.25">
      <c r="A52" s="30" t="str">
        <f>'RESUMEN VIGILANCIA'!A64</f>
        <v>Beatriz Lara</v>
      </c>
      <c r="B52" s="31" t="str">
        <f>'RESUMEN VIGILANCIA'!B64</f>
        <v>Calle Guacara Nro. 89-130</v>
      </c>
      <c r="C52" s="452" t="s">
        <v>1269</v>
      </c>
      <c r="D52" s="460" t="s">
        <v>1268</v>
      </c>
      <c r="E52" s="440" t="str">
        <f>IF(ISBLANK('RESUMEN VIGILANCIA'!D64),"",'RESUMEN VIGILANCIA'!D64)</f>
        <v/>
      </c>
      <c r="F52" s="270">
        <f>IF(ISBLANK('RESUMEN VIGILANCIA'!E64),"",'RESUMEN VIGILANCIA'!E64)</f>
        <v>0.17</v>
      </c>
      <c r="G52" s="182">
        <f>IF(ISBLANK('RESUMEN VIGILANCIA'!F64),"",'RESUMEN VIGILANCIA'!F64)</f>
        <v>0.17</v>
      </c>
      <c r="H52" s="182">
        <f>IF(ISBLANK('RESUMEN VIGILANCIA'!G64),"",'RESUMEN VIGILANCIA'!G64)</f>
        <v>0.17</v>
      </c>
      <c r="I52" s="182">
        <f>IF(ISBLANK('RESUMEN VIGILANCIA'!H64),"",'RESUMEN VIGILANCIA'!H64)</f>
        <v>0.17</v>
      </c>
      <c r="J52" s="182">
        <f>IF(ISBLANK('RESUMEN VIGILANCIA'!I64),"",'RESUMEN VIGILANCIA'!I64)</f>
        <v>0.26</v>
      </c>
      <c r="K52" s="182">
        <f>IF(ISBLANK('RESUMEN VIGILANCIA'!J64),"",'RESUMEN VIGILANCIA'!J64)</f>
        <v>0.26</v>
      </c>
      <c r="L52" s="182">
        <f>IF(ISBLANK('RESUMEN VIGILANCIA'!K64),"",'RESUMEN VIGILANCIA'!K64)</f>
        <v>0.35</v>
      </c>
      <c r="M52" s="182">
        <f>IF(ISBLANK('RESUMEN VIGILANCIA'!L64),"",'RESUMEN VIGILANCIA'!L64)</f>
        <v>0.35</v>
      </c>
      <c r="N52" s="182">
        <f>IF(ISBLANK('RESUMEN VIGILANCIA'!M64),"",'RESUMEN VIGILANCIA'!M64)</f>
        <v>0.35</v>
      </c>
      <c r="O52" s="182">
        <f>IF(ISBLANK('RESUMEN VIGILANCIA'!N64),"",'RESUMEN VIGILANCIA'!N64)</f>
        <v>0.35</v>
      </c>
      <c r="P52" s="271">
        <f>IF(ISBLANK('RESUMEN VIGILANCIA'!O64),"",'RESUMEN VIGILANCIA'!O64)</f>
        <v>0.5</v>
      </c>
      <c r="Q52" s="180">
        <f>IF(ISBLANK('RESUMEN VIGILANCIA'!P64),"",'RESUMEN VIGILANCIA'!P64)</f>
        <v>0.5</v>
      </c>
      <c r="R52" s="272">
        <f>IF(ISBLANK('RESUMEN VIGILANCIA'!Q64),"",'RESUMEN VIGILANCIA'!Q64)</f>
        <v>0.8</v>
      </c>
      <c r="S52" s="271">
        <f>IF(ISBLANK('RESUMEN VIGILANCIA'!R64),"",'RESUMEN VIGILANCIA'!R64)</f>
        <v>0.8</v>
      </c>
      <c r="T52" s="271">
        <f>IF(ISBLANK('RESUMEN VIGILANCIA'!S64),"",'RESUMEN VIGILANCIA'!S64)</f>
        <v>1.4</v>
      </c>
      <c r="U52" s="271">
        <f>IF(ISBLANK('RESUMEN VIGILANCIA'!T64),"",'RESUMEN VIGILANCIA'!T64)</f>
        <v>1.4</v>
      </c>
      <c r="V52" s="271">
        <f>IF(ISBLANK('RESUMEN VIGILANCIA'!U64),"",'RESUMEN VIGILANCIA'!U64)</f>
        <v>4</v>
      </c>
      <c r="W52" s="271">
        <f>IF(ISBLANK('RESUMEN VIGILANCIA'!V64),"",'RESUMEN VIGILANCIA'!V64)</f>
        <v>6.5</v>
      </c>
      <c r="X52" s="271">
        <f>IF(ISBLANK('RESUMEN VIGILANCIA'!W64),"",'RESUMEN VIGILANCIA'!W64)</f>
        <v>10</v>
      </c>
      <c r="Y52" s="271">
        <f>IF(ISBLANK('RESUMEN VIGILANCIA'!X64),"",'RESUMEN VIGILANCIA'!X64)</f>
        <v>12</v>
      </c>
      <c r="Z52" s="481">
        <f>IF(ISBLANK('RESUMEN VIGILANCIA'!Y64),"",'RESUMEN VIGILANCIA'!Y64)</f>
        <v>320</v>
      </c>
      <c r="AA52" s="481">
        <f>IF(ISBLANK('RESUMEN VIGILANCIA'!Z64),"",'RESUMEN VIGILANCIA'!Z64)</f>
        <v>320</v>
      </c>
      <c r="AB52" s="481">
        <f>IF(ISBLANK('RESUMEN VIGILANCIA'!AA64),"",'RESUMEN VIGILANCIA'!AA64)</f>
        <v>320</v>
      </c>
      <c r="AC52" s="482">
        <f>IF(ISBLANK('RESUMEN VIGILANCIA'!AB64),"",'RESUMEN VIGILANCIA'!AB64)</f>
        <v>800</v>
      </c>
      <c r="AD52" s="399">
        <f>IF(ISBLANK('RESUMEN VIGILANCIA'!AC64),"",'RESUMEN VIGILANCIA'!AC64)</f>
        <v>3000</v>
      </c>
      <c r="AE52" s="400">
        <f>IF(ISBLANK('RESUMEN VIGILANCIA'!AD64),"",'RESUMEN VIGILANCIA'!AD64)</f>
        <v>3000</v>
      </c>
      <c r="AF52" s="400">
        <f>IF(ISBLANK('RESUMEN VIGILANCIA'!AE64),"",'RESUMEN VIGILANCIA'!AE64)</f>
        <v>3000</v>
      </c>
      <c r="AG52" s="400">
        <f>IF(ISBLANK('RESUMEN VIGILANCIA'!AF64),"",'RESUMEN VIGILANCIA'!AF64)</f>
        <v>5000</v>
      </c>
      <c r="AH52" s="400">
        <f>IF(ISBLANK('RESUMEN VIGILANCIA'!AG64),"",'RESUMEN VIGILANCIA'!AG64)</f>
        <v>8000</v>
      </c>
      <c r="AI52" s="400">
        <f>IF(ISBLANK('RESUMEN VIGILANCIA'!AH64),"",'RESUMEN VIGILANCIA'!AH64)</f>
        <v>8000</v>
      </c>
      <c r="AJ52" s="400">
        <f>IF(ISBLANK('RESUMEN VIGILANCIA'!AI64),"",'RESUMEN VIGILANCIA'!AI64)</f>
        <v>10000</v>
      </c>
      <c r="AK52" s="400">
        <f>IF(ISBLANK('RESUMEN VIGILANCIA'!AJ64),"",'RESUMEN VIGILANCIA'!AJ64)</f>
        <v>10000</v>
      </c>
      <c r="AL52" s="400">
        <f>IF(ISBLANK('RESUMEN VIGILANCIA'!AK64),"",'RESUMEN VIGILANCIA'!AK64)</f>
        <v>20500</v>
      </c>
      <c r="AM52" s="400">
        <f>IF(ISBLANK('RESUMEN VIGILANCIA'!AL64),"",'RESUMEN VIGILANCIA'!AL64)</f>
        <v>47000</v>
      </c>
      <c r="AN52" s="400">
        <f>IF(ISBLANK('RESUMEN VIGILANCIA'!AM64),"",'RESUMEN VIGILANCIA'!AM64)</f>
        <v>64500</v>
      </c>
      <c r="AO52" s="401">
        <f>IF(ISBLANK('RESUMEN VIGILANCIA'!AN64),"",'RESUMEN VIGILANCIA'!AN64)</f>
        <v>97500</v>
      </c>
      <c r="AP52" s="399">
        <f>IF(ISBLANK('RESUMEN VIGILANCIA'!AO64),"",'RESUMEN VIGILANCIA'!AO64)</f>
        <v>136250</v>
      </c>
      <c r="AQ52" s="400">
        <f>IF(ISBLANK('RESUMEN VIGILANCIA'!AP64),"",'RESUMEN VIGILANCIA'!AP64)</f>
        <v>136250</v>
      </c>
      <c r="AR52" s="400">
        <f>IF(ISBLANK('RESUMEN VIGILANCIA'!AQ64),"",'RESUMEN VIGILANCIA'!AQ64)</f>
        <v>186000</v>
      </c>
      <c r="AS52" s="400" t="str">
        <f>IF(ISBLANK('RESUMEN VIGILANCIA'!AR64),"",'RESUMEN VIGILANCIA'!AR64)</f>
        <v/>
      </c>
      <c r="AT52" s="400" t="str">
        <f>IF(ISBLANK('RESUMEN VIGILANCIA'!AS64),"",'RESUMEN VIGILANCIA'!AS64)</f>
        <v/>
      </c>
      <c r="AU52" s="400" t="str">
        <f>IF(ISBLANK('RESUMEN VIGILANCIA'!AT64),"",'RESUMEN VIGILANCIA'!AT64)</f>
        <v/>
      </c>
      <c r="AV52" s="400" t="str">
        <f>IF(ISBLANK('RESUMEN VIGILANCIA'!AU64),"",'RESUMEN VIGILANCIA'!AU64)</f>
        <v/>
      </c>
      <c r="AW52" s="400" t="str">
        <f>IF(ISBLANK('RESUMEN VIGILANCIA'!AV64),"",'RESUMEN VIGILANCIA'!AV64)</f>
        <v/>
      </c>
      <c r="AX52" s="400" t="str">
        <f>IF(ISBLANK('RESUMEN VIGILANCIA'!AW64),"",'RESUMEN VIGILANCIA'!AW64)</f>
        <v/>
      </c>
      <c r="AY52" s="400" t="str">
        <f>IF(ISBLANK('RESUMEN VIGILANCIA'!AX64),"",'RESUMEN VIGILANCIA'!AX64)</f>
        <v/>
      </c>
      <c r="AZ52" s="400" t="str">
        <f>IF(ISBLANK('RESUMEN VIGILANCIA'!AY64),"",'RESUMEN VIGILANCIA'!AY64)</f>
        <v/>
      </c>
      <c r="BA52" s="401" t="str">
        <f>IF(ISBLANK('RESUMEN VIGILANCIA'!AZ64),"",'RESUMEN VIGILANCIA'!AZ64)</f>
        <v/>
      </c>
      <c r="BB52" s="243">
        <f t="shared" si="1"/>
        <v>281300.5</v>
      </c>
      <c r="BC52" s="112"/>
      <c r="BD52" s="112"/>
    </row>
    <row r="53" spans="1:56" s="29" customFormat="1" ht="20.100000000000001" customHeight="1" x14ac:dyDescent="0.25">
      <c r="A53" s="30" t="str">
        <f>'RESUMEN VIGILANCIA'!A73</f>
        <v>Familia Ledezma Hernández</v>
      </c>
      <c r="B53" s="31" t="str">
        <f>'RESUMEN VIGILANCIA'!B73</f>
        <v>Calle Guacara Nro. 145-30</v>
      </c>
      <c r="C53" s="452" t="s">
        <v>1270</v>
      </c>
      <c r="D53" s="460" t="s">
        <v>1268</v>
      </c>
      <c r="E53" s="440" t="str">
        <f>IF(ISBLANK('RESUMEN VIGILANCIA'!D73),"",'RESUMEN VIGILANCIA'!D73)</f>
        <v/>
      </c>
      <c r="F53" s="270" t="str">
        <f>IF(ISBLANK('RESUMEN VIGILANCIA'!E73),"",'RESUMEN VIGILANCIA'!E73)</f>
        <v/>
      </c>
      <c r="G53" s="182" t="str">
        <f>IF(ISBLANK('RESUMEN VIGILANCIA'!F73),"",'RESUMEN VIGILANCIA'!F73)</f>
        <v/>
      </c>
      <c r="H53" s="182" t="str">
        <f>IF(ISBLANK('RESUMEN VIGILANCIA'!G73),"",'RESUMEN VIGILANCIA'!G73)</f>
        <v/>
      </c>
      <c r="I53" s="182" t="str">
        <f>IF(ISBLANK('RESUMEN VIGILANCIA'!H73),"",'RESUMEN VIGILANCIA'!H73)</f>
        <v/>
      </c>
      <c r="J53" s="182" t="str">
        <f>IF(ISBLANK('RESUMEN VIGILANCIA'!I73),"",'RESUMEN VIGILANCIA'!I73)</f>
        <v/>
      </c>
      <c r="K53" s="182" t="str">
        <f>IF(ISBLANK('RESUMEN VIGILANCIA'!J73),"",'RESUMEN VIGILANCIA'!J73)</f>
        <v/>
      </c>
      <c r="L53" s="182" t="str">
        <f>IF(ISBLANK('RESUMEN VIGILANCIA'!K73),"",'RESUMEN VIGILANCIA'!K73)</f>
        <v/>
      </c>
      <c r="M53" s="182" t="str">
        <f>IF(ISBLANK('RESUMEN VIGILANCIA'!L73),"",'RESUMEN VIGILANCIA'!L73)</f>
        <v/>
      </c>
      <c r="N53" s="182" t="str">
        <f>IF(ISBLANK('RESUMEN VIGILANCIA'!M73),"",'RESUMEN VIGILANCIA'!M73)</f>
        <v/>
      </c>
      <c r="O53" s="182" t="str">
        <f>IF(ISBLANK('RESUMEN VIGILANCIA'!N73),"",'RESUMEN VIGILANCIA'!N73)</f>
        <v/>
      </c>
      <c r="P53" s="271" t="str">
        <f>IF(ISBLANK('RESUMEN VIGILANCIA'!O73),"",'RESUMEN VIGILANCIA'!O73)</f>
        <v/>
      </c>
      <c r="Q53" s="180" t="str">
        <f>IF(ISBLANK('RESUMEN VIGILANCIA'!P73),"",'RESUMEN VIGILANCIA'!P73)</f>
        <v/>
      </c>
      <c r="R53" s="272" t="str">
        <f>IF(ISBLANK('RESUMEN VIGILANCIA'!Q73),"",'RESUMEN VIGILANCIA'!Q73)</f>
        <v/>
      </c>
      <c r="S53" s="271" t="str">
        <f>IF(ISBLANK('RESUMEN VIGILANCIA'!R73),"",'RESUMEN VIGILANCIA'!R73)</f>
        <v/>
      </c>
      <c r="T53" s="271" t="str">
        <f>IF(ISBLANK('RESUMEN VIGILANCIA'!S73),"",'RESUMEN VIGILANCIA'!S73)</f>
        <v/>
      </c>
      <c r="U53" s="271" t="str">
        <f>IF(ISBLANK('RESUMEN VIGILANCIA'!T73),"",'RESUMEN VIGILANCIA'!T73)</f>
        <v/>
      </c>
      <c r="V53" s="271" t="str">
        <f>IF(ISBLANK('RESUMEN VIGILANCIA'!U73),"",'RESUMEN VIGILANCIA'!U73)</f>
        <v/>
      </c>
      <c r="W53" s="271" t="str">
        <f>IF(ISBLANK('RESUMEN VIGILANCIA'!V73),"",'RESUMEN VIGILANCIA'!V73)</f>
        <v/>
      </c>
      <c r="X53" s="271" t="str">
        <f>IF(ISBLANK('RESUMEN VIGILANCIA'!W73),"",'RESUMEN VIGILANCIA'!W73)</f>
        <v/>
      </c>
      <c r="Y53" s="271" t="str">
        <f>IF(ISBLANK('RESUMEN VIGILANCIA'!X73),"",'RESUMEN VIGILANCIA'!X73)</f>
        <v/>
      </c>
      <c r="Z53" s="481" t="str">
        <f>IF(ISBLANK('RESUMEN VIGILANCIA'!Y73),"",'RESUMEN VIGILANCIA'!Y73)</f>
        <v/>
      </c>
      <c r="AA53" s="481" t="str">
        <f>IF(ISBLANK('RESUMEN VIGILANCIA'!Z73),"",'RESUMEN VIGILANCIA'!Z73)</f>
        <v/>
      </c>
      <c r="AB53" s="481" t="str">
        <f>IF(ISBLANK('RESUMEN VIGILANCIA'!AA73),"",'RESUMEN VIGILANCIA'!AA73)</f>
        <v/>
      </c>
      <c r="AC53" s="482" t="str">
        <f>IF(ISBLANK('RESUMEN VIGILANCIA'!AB73),"",'RESUMEN VIGILANCIA'!AB73)</f>
        <v/>
      </c>
      <c r="AD53" s="399" t="str">
        <f>IF(ISBLANK('RESUMEN VIGILANCIA'!AC73),"",'RESUMEN VIGILANCIA'!AC73)</f>
        <v/>
      </c>
      <c r="AE53" s="400" t="str">
        <f>IF(ISBLANK('RESUMEN VIGILANCIA'!AD73),"",'RESUMEN VIGILANCIA'!AD73)</f>
        <v/>
      </c>
      <c r="AF53" s="400" t="str">
        <f>IF(ISBLANK('RESUMEN VIGILANCIA'!AE73),"",'RESUMEN VIGILANCIA'!AE73)</f>
        <v/>
      </c>
      <c r="AG53" s="400" t="str">
        <f>IF(ISBLANK('RESUMEN VIGILANCIA'!AF73),"",'RESUMEN VIGILANCIA'!AF73)</f>
        <v/>
      </c>
      <c r="AH53" s="400" t="str">
        <f>IF(ISBLANK('RESUMEN VIGILANCIA'!AG73),"",'RESUMEN VIGILANCIA'!AG73)</f>
        <v/>
      </c>
      <c r="AI53" s="400" t="str">
        <f>IF(ISBLANK('RESUMEN VIGILANCIA'!AH73),"",'RESUMEN VIGILANCIA'!AH73)</f>
        <v/>
      </c>
      <c r="AJ53" s="400" t="str">
        <f>IF(ISBLANK('RESUMEN VIGILANCIA'!AI73),"",'RESUMEN VIGILANCIA'!AI73)</f>
        <v/>
      </c>
      <c r="AK53" s="400" t="str">
        <f>IF(ISBLANK('RESUMEN VIGILANCIA'!AJ73),"",'RESUMEN VIGILANCIA'!AJ73)</f>
        <v/>
      </c>
      <c r="AL53" s="400" t="str">
        <f>IF(ISBLANK('RESUMEN VIGILANCIA'!AK73),"",'RESUMEN VIGILANCIA'!AK73)</f>
        <v/>
      </c>
      <c r="AM53" s="400" t="str">
        <f>IF(ISBLANK('RESUMEN VIGILANCIA'!AL73),"",'RESUMEN VIGILANCIA'!AL73)</f>
        <v/>
      </c>
      <c r="AN53" s="400" t="str">
        <f>IF(ISBLANK('RESUMEN VIGILANCIA'!AM73),"",'RESUMEN VIGILANCIA'!AM73)</f>
        <v/>
      </c>
      <c r="AO53" s="401" t="str">
        <f>IF(ISBLANK('RESUMEN VIGILANCIA'!AN73),"",'RESUMEN VIGILANCIA'!AN73)</f>
        <v/>
      </c>
      <c r="AP53" s="399" t="str">
        <f>IF(ISBLANK('RESUMEN VIGILANCIA'!AO73),"",'RESUMEN VIGILANCIA'!AO73)</f>
        <v/>
      </c>
      <c r="AQ53" s="400" t="str">
        <f>IF(ISBLANK('RESUMEN VIGILANCIA'!AP73),"",'RESUMEN VIGILANCIA'!AP73)</f>
        <v/>
      </c>
      <c r="AR53" s="400" t="str">
        <f>IF(ISBLANK('RESUMEN VIGILANCIA'!AQ73),"",'RESUMEN VIGILANCIA'!AQ73)</f>
        <v/>
      </c>
      <c r="AS53" s="400" t="str">
        <f>IF(ISBLANK('RESUMEN VIGILANCIA'!AR73),"",'RESUMEN VIGILANCIA'!AR73)</f>
        <v/>
      </c>
      <c r="AT53" s="400" t="str">
        <f>IF(ISBLANK('RESUMEN VIGILANCIA'!AS73),"",'RESUMEN VIGILANCIA'!AS73)</f>
        <v/>
      </c>
      <c r="AU53" s="400" t="str">
        <f>IF(ISBLANK('RESUMEN VIGILANCIA'!AT73),"",'RESUMEN VIGILANCIA'!AT73)</f>
        <v/>
      </c>
      <c r="AV53" s="400" t="str">
        <f>IF(ISBLANK('RESUMEN VIGILANCIA'!AU73),"",'RESUMEN VIGILANCIA'!AU73)</f>
        <v/>
      </c>
      <c r="AW53" s="400" t="str">
        <f>IF(ISBLANK('RESUMEN VIGILANCIA'!AV73),"",'RESUMEN VIGILANCIA'!AV73)</f>
        <v/>
      </c>
      <c r="AX53" s="400" t="str">
        <f>IF(ISBLANK('RESUMEN VIGILANCIA'!AW73),"",'RESUMEN VIGILANCIA'!AW73)</f>
        <v/>
      </c>
      <c r="AY53" s="400" t="str">
        <f>IF(ISBLANK('RESUMEN VIGILANCIA'!AX73),"",'RESUMEN VIGILANCIA'!AX73)</f>
        <v/>
      </c>
      <c r="AZ53" s="400" t="str">
        <f>IF(ISBLANK('RESUMEN VIGILANCIA'!AY73),"",'RESUMEN VIGILANCIA'!AY73)</f>
        <v/>
      </c>
      <c r="BA53" s="401" t="str">
        <f>IF(ISBLANK('RESUMEN VIGILANCIA'!AZ73),"",'RESUMEN VIGILANCIA'!AZ73)</f>
        <v/>
      </c>
      <c r="BB53" s="243">
        <f t="shared" si="1"/>
        <v>0</v>
      </c>
      <c r="BC53" s="112"/>
      <c r="BD53" s="112"/>
    </row>
    <row r="54" spans="1:56" s="29" customFormat="1" ht="20.100000000000001" customHeight="1" x14ac:dyDescent="0.25">
      <c r="A54" s="30" t="str">
        <f>'RESUMEN VIGILANCIA'!A63</f>
        <v>Familia Aparicio. Anexo</v>
      </c>
      <c r="B54" s="31" t="str">
        <f>'RESUMEN VIGILANCIA'!B63</f>
        <v>Calle Guacara Nro. 89-129</v>
      </c>
      <c r="C54" s="452" t="s">
        <v>1272</v>
      </c>
      <c r="D54" s="460" t="s">
        <v>1268</v>
      </c>
      <c r="E54" s="440" t="str">
        <f>IF(ISBLANK('RESUMEN VIGILANCIA'!D63),"",'RESUMEN VIGILANCIA'!D63)</f>
        <v/>
      </c>
      <c r="F54" s="270" t="str">
        <f>IF(ISBLANK('RESUMEN VIGILANCIA'!E63),"",'RESUMEN VIGILANCIA'!E63)</f>
        <v/>
      </c>
      <c r="G54" s="182" t="str">
        <f>IF(ISBLANK('RESUMEN VIGILANCIA'!F63),"",'RESUMEN VIGILANCIA'!F63)</f>
        <v/>
      </c>
      <c r="H54" s="182" t="str">
        <f>IF(ISBLANK('RESUMEN VIGILANCIA'!G63),"",'RESUMEN VIGILANCIA'!G63)</f>
        <v/>
      </c>
      <c r="I54" s="182" t="str">
        <f>IF(ISBLANK('RESUMEN VIGILANCIA'!H63),"",'RESUMEN VIGILANCIA'!H63)</f>
        <v/>
      </c>
      <c r="J54" s="182" t="str">
        <f>IF(ISBLANK('RESUMEN VIGILANCIA'!I63),"",'RESUMEN VIGILANCIA'!I63)</f>
        <v/>
      </c>
      <c r="K54" s="182" t="str">
        <f>IF(ISBLANK('RESUMEN VIGILANCIA'!J63),"",'RESUMEN VIGILANCIA'!J63)</f>
        <v/>
      </c>
      <c r="L54" s="182" t="str">
        <f>IF(ISBLANK('RESUMEN VIGILANCIA'!K63),"",'RESUMEN VIGILANCIA'!K63)</f>
        <v/>
      </c>
      <c r="M54" s="182" t="str">
        <f>IF(ISBLANK('RESUMEN VIGILANCIA'!L63),"",'RESUMEN VIGILANCIA'!L63)</f>
        <v/>
      </c>
      <c r="N54" s="182" t="str">
        <f>IF(ISBLANK('RESUMEN VIGILANCIA'!M63),"",'RESUMEN VIGILANCIA'!M63)</f>
        <v/>
      </c>
      <c r="O54" s="182" t="str">
        <f>IF(ISBLANK('RESUMEN VIGILANCIA'!N63),"",'RESUMEN VIGILANCIA'!N63)</f>
        <v/>
      </c>
      <c r="P54" s="271" t="str">
        <f>IF(ISBLANK('RESUMEN VIGILANCIA'!O63),"",'RESUMEN VIGILANCIA'!O63)</f>
        <v/>
      </c>
      <c r="Q54" s="180" t="str">
        <f>IF(ISBLANK('RESUMEN VIGILANCIA'!P63),"",'RESUMEN VIGILANCIA'!P63)</f>
        <v/>
      </c>
      <c r="R54" s="272" t="str">
        <f>IF(ISBLANK('RESUMEN VIGILANCIA'!Q63),"",'RESUMEN VIGILANCIA'!Q63)</f>
        <v/>
      </c>
      <c r="S54" s="271" t="str">
        <f>IF(ISBLANK('RESUMEN VIGILANCIA'!R63),"",'RESUMEN VIGILANCIA'!R63)</f>
        <v/>
      </c>
      <c r="T54" s="271" t="str">
        <f>IF(ISBLANK('RESUMEN VIGILANCIA'!S63),"",'RESUMEN VIGILANCIA'!S63)</f>
        <v/>
      </c>
      <c r="U54" s="271" t="str">
        <f>IF(ISBLANK('RESUMEN VIGILANCIA'!T63),"",'RESUMEN VIGILANCIA'!T63)</f>
        <v/>
      </c>
      <c r="V54" s="271" t="str">
        <f>IF(ISBLANK('RESUMEN VIGILANCIA'!U63),"",'RESUMEN VIGILANCIA'!U63)</f>
        <v/>
      </c>
      <c r="W54" s="271" t="str">
        <f>IF(ISBLANK('RESUMEN VIGILANCIA'!V63),"",'RESUMEN VIGILANCIA'!V63)</f>
        <v/>
      </c>
      <c r="X54" s="271" t="str">
        <f>IF(ISBLANK('RESUMEN VIGILANCIA'!W63),"",'RESUMEN VIGILANCIA'!W63)</f>
        <v/>
      </c>
      <c r="Y54" s="271" t="str">
        <f>IF(ISBLANK('RESUMEN VIGILANCIA'!X63),"",'RESUMEN VIGILANCIA'!X63)</f>
        <v/>
      </c>
      <c r="Z54" s="481" t="str">
        <f>IF(ISBLANK('RESUMEN VIGILANCIA'!Y63),"",'RESUMEN VIGILANCIA'!Y63)</f>
        <v/>
      </c>
      <c r="AA54" s="481" t="str">
        <f>IF(ISBLANK('RESUMEN VIGILANCIA'!Z63),"",'RESUMEN VIGILANCIA'!Z63)</f>
        <v/>
      </c>
      <c r="AB54" s="481" t="str">
        <f>IF(ISBLANK('RESUMEN VIGILANCIA'!AA63),"",'RESUMEN VIGILANCIA'!AA63)</f>
        <v/>
      </c>
      <c r="AC54" s="482" t="str">
        <f>IF(ISBLANK('RESUMEN VIGILANCIA'!AB63),"",'RESUMEN VIGILANCIA'!AB63)</f>
        <v/>
      </c>
      <c r="AD54" s="399" t="str">
        <f>IF(ISBLANK('RESUMEN VIGILANCIA'!AC63),"",'RESUMEN VIGILANCIA'!AC63)</f>
        <v/>
      </c>
      <c r="AE54" s="400" t="str">
        <f>IF(ISBLANK('RESUMEN VIGILANCIA'!AD63),"",'RESUMEN VIGILANCIA'!AD63)</f>
        <v/>
      </c>
      <c r="AF54" s="400" t="str">
        <f>IF(ISBLANK('RESUMEN VIGILANCIA'!AE63),"",'RESUMEN VIGILANCIA'!AE63)</f>
        <v/>
      </c>
      <c r="AG54" s="400" t="str">
        <f>IF(ISBLANK('RESUMEN VIGILANCIA'!AF63),"",'RESUMEN VIGILANCIA'!AF63)</f>
        <v/>
      </c>
      <c r="AH54" s="400" t="str">
        <f>IF(ISBLANK('RESUMEN VIGILANCIA'!AG63),"",'RESUMEN VIGILANCIA'!AG63)</f>
        <v/>
      </c>
      <c r="AI54" s="400" t="str">
        <f>IF(ISBLANK('RESUMEN VIGILANCIA'!AH63),"",'RESUMEN VIGILANCIA'!AH63)</f>
        <v/>
      </c>
      <c r="AJ54" s="400" t="str">
        <f>IF(ISBLANK('RESUMEN VIGILANCIA'!AI63),"",'RESUMEN VIGILANCIA'!AI63)</f>
        <v/>
      </c>
      <c r="AK54" s="400" t="str">
        <f>IF(ISBLANK('RESUMEN VIGILANCIA'!AJ63),"",'RESUMEN VIGILANCIA'!AJ63)</f>
        <v/>
      </c>
      <c r="AL54" s="400" t="str">
        <f>IF(ISBLANK('RESUMEN VIGILANCIA'!AK63),"",'RESUMEN VIGILANCIA'!AK63)</f>
        <v/>
      </c>
      <c r="AM54" s="400" t="str">
        <f>IF(ISBLANK('RESUMEN VIGILANCIA'!AL63),"",'RESUMEN VIGILANCIA'!AL63)</f>
        <v/>
      </c>
      <c r="AN54" s="400" t="str">
        <f>IF(ISBLANK('RESUMEN VIGILANCIA'!AM63),"",'RESUMEN VIGILANCIA'!AM63)</f>
        <v/>
      </c>
      <c r="AO54" s="401" t="str">
        <f>IF(ISBLANK('RESUMEN VIGILANCIA'!AN63),"",'RESUMEN VIGILANCIA'!AN63)</f>
        <v/>
      </c>
      <c r="AP54" s="399" t="str">
        <f>IF(ISBLANK('RESUMEN VIGILANCIA'!AO63),"",'RESUMEN VIGILANCIA'!AO63)</f>
        <v/>
      </c>
      <c r="AQ54" s="400" t="str">
        <f>IF(ISBLANK('RESUMEN VIGILANCIA'!AP63),"",'RESUMEN VIGILANCIA'!AP63)</f>
        <v/>
      </c>
      <c r="AR54" s="400" t="str">
        <f>IF(ISBLANK('RESUMEN VIGILANCIA'!AQ63),"",'RESUMEN VIGILANCIA'!AQ63)</f>
        <v/>
      </c>
      <c r="AS54" s="400" t="str">
        <f>IF(ISBLANK('RESUMEN VIGILANCIA'!AR63),"",'RESUMEN VIGILANCIA'!AR63)</f>
        <v/>
      </c>
      <c r="AT54" s="400" t="str">
        <f>IF(ISBLANK('RESUMEN VIGILANCIA'!AS63),"",'RESUMEN VIGILANCIA'!AS63)</f>
        <v/>
      </c>
      <c r="AU54" s="400" t="str">
        <f>IF(ISBLANK('RESUMEN VIGILANCIA'!AT63),"",'RESUMEN VIGILANCIA'!AT63)</f>
        <v/>
      </c>
      <c r="AV54" s="400" t="str">
        <f>IF(ISBLANK('RESUMEN VIGILANCIA'!AU63),"",'RESUMEN VIGILANCIA'!AU63)</f>
        <v/>
      </c>
      <c r="AW54" s="400" t="str">
        <f>IF(ISBLANK('RESUMEN VIGILANCIA'!AV63),"",'RESUMEN VIGILANCIA'!AV63)</f>
        <v/>
      </c>
      <c r="AX54" s="400" t="str">
        <f>IF(ISBLANK('RESUMEN VIGILANCIA'!AW63),"",'RESUMEN VIGILANCIA'!AW63)</f>
        <v/>
      </c>
      <c r="AY54" s="400" t="str">
        <f>IF(ISBLANK('RESUMEN VIGILANCIA'!AX63),"",'RESUMEN VIGILANCIA'!AX63)</f>
        <v/>
      </c>
      <c r="AZ54" s="400" t="str">
        <f>IF(ISBLANK('RESUMEN VIGILANCIA'!AY63),"",'RESUMEN VIGILANCIA'!AY63)</f>
        <v/>
      </c>
      <c r="BA54" s="401" t="str">
        <f>IF(ISBLANK('RESUMEN VIGILANCIA'!AZ63),"",'RESUMEN VIGILANCIA'!AZ63)</f>
        <v/>
      </c>
      <c r="BB54" s="243">
        <f t="shared" si="1"/>
        <v>0</v>
      </c>
      <c r="BC54" s="112"/>
      <c r="BD54" s="112"/>
    </row>
    <row r="55" spans="1:56" s="29" customFormat="1" ht="20.100000000000001" customHeight="1" x14ac:dyDescent="0.25">
      <c r="A55" s="30" t="str">
        <f>'RESUMEN VIGILANCIA'!A19</f>
        <v>Familia Aponte . Anexo</v>
      </c>
      <c r="B55" s="31" t="str">
        <f>'RESUMEN VIGILANCIA'!B19</f>
        <v>Calle Guacara Nro. 87-05</v>
      </c>
      <c r="C55" s="452" t="s">
        <v>1272</v>
      </c>
      <c r="D55" s="460" t="s">
        <v>1268</v>
      </c>
      <c r="E55" s="440" t="str">
        <f>IF(ISBLANK('RESUMEN VIGILANCIA'!D19),"",'RESUMEN VIGILANCIA'!D19)</f>
        <v/>
      </c>
      <c r="F55" s="270" t="str">
        <f>IF(ISBLANK('RESUMEN VIGILANCIA'!E19),"",'RESUMEN VIGILANCIA'!E19)</f>
        <v/>
      </c>
      <c r="G55" s="182" t="str">
        <f>IF(ISBLANK('RESUMEN VIGILANCIA'!F19),"",'RESUMEN VIGILANCIA'!F19)</f>
        <v/>
      </c>
      <c r="H55" s="182" t="str">
        <f>IF(ISBLANK('RESUMEN VIGILANCIA'!G19),"",'RESUMEN VIGILANCIA'!G19)</f>
        <v/>
      </c>
      <c r="I55" s="182" t="str">
        <f>IF(ISBLANK('RESUMEN VIGILANCIA'!H19),"",'RESUMEN VIGILANCIA'!H19)</f>
        <v/>
      </c>
      <c r="J55" s="182" t="str">
        <f>IF(ISBLANK('RESUMEN VIGILANCIA'!I19),"",'RESUMEN VIGILANCIA'!I19)</f>
        <v/>
      </c>
      <c r="K55" s="182" t="str">
        <f>IF(ISBLANK('RESUMEN VIGILANCIA'!J19),"",'RESUMEN VIGILANCIA'!J19)</f>
        <v/>
      </c>
      <c r="L55" s="182" t="str">
        <f>IF(ISBLANK('RESUMEN VIGILANCIA'!K19),"",'RESUMEN VIGILANCIA'!K19)</f>
        <v/>
      </c>
      <c r="M55" s="182" t="str">
        <f>IF(ISBLANK('RESUMEN VIGILANCIA'!L19),"",'RESUMEN VIGILANCIA'!L19)</f>
        <v/>
      </c>
      <c r="N55" s="182" t="str">
        <f>IF(ISBLANK('RESUMEN VIGILANCIA'!M19),"",'RESUMEN VIGILANCIA'!M19)</f>
        <v/>
      </c>
      <c r="O55" s="182" t="str">
        <f>IF(ISBLANK('RESUMEN VIGILANCIA'!N19),"",'RESUMEN VIGILANCIA'!N19)</f>
        <v/>
      </c>
      <c r="P55" s="271" t="str">
        <f>IF(ISBLANK('RESUMEN VIGILANCIA'!O19),"",'RESUMEN VIGILANCIA'!O19)</f>
        <v/>
      </c>
      <c r="Q55" s="180" t="str">
        <f>IF(ISBLANK('RESUMEN VIGILANCIA'!P19),"",'RESUMEN VIGILANCIA'!P19)</f>
        <v/>
      </c>
      <c r="R55" s="272" t="str">
        <f>IF(ISBLANK('RESUMEN VIGILANCIA'!Q19),"",'RESUMEN VIGILANCIA'!Q19)</f>
        <v/>
      </c>
      <c r="S55" s="271" t="str">
        <f>IF(ISBLANK('RESUMEN VIGILANCIA'!R19),"",'RESUMEN VIGILANCIA'!R19)</f>
        <v/>
      </c>
      <c r="T55" s="271" t="str">
        <f>IF(ISBLANK('RESUMEN VIGILANCIA'!S19),"",'RESUMEN VIGILANCIA'!S19)</f>
        <v/>
      </c>
      <c r="U55" s="271" t="str">
        <f>IF(ISBLANK('RESUMEN VIGILANCIA'!T19),"",'RESUMEN VIGILANCIA'!T19)</f>
        <v/>
      </c>
      <c r="V55" s="271" t="str">
        <f>IF(ISBLANK('RESUMEN VIGILANCIA'!U19),"",'RESUMEN VIGILANCIA'!U19)</f>
        <v/>
      </c>
      <c r="W55" s="271" t="str">
        <f>IF(ISBLANK('RESUMEN VIGILANCIA'!V19),"",'RESUMEN VIGILANCIA'!V19)</f>
        <v/>
      </c>
      <c r="X55" s="271" t="str">
        <f>IF(ISBLANK('RESUMEN VIGILANCIA'!W19),"",'RESUMEN VIGILANCIA'!W19)</f>
        <v/>
      </c>
      <c r="Y55" s="271" t="str">
        <f>IF(ISBLANK('RESUMEN VIGILANCIA'!X19),"",'RESUMEN VIGILANCIA'!X19)</f>
        <v/>
      </c>
      <c r="Z55" s="481" t="str">
        <f>IF(ISBLANK('RESUMEN VIGILANCIA'!Y19),"",'RESUMEN VIGILANCIA'!Y19)</f>
        <v/>
      </c>
      <c r="AA55" s="481" t="str">
        <f>IF(ISBLANK('RESUMEN VIGILANCIA'!Z19),"",'RESUMEN VIGILANCIA'!Z19)</f>
        <v/>
      </c>
      <c r="AB55" s="481" t="str">
        <f>IF(ISBLANK('RESUMEN VIGILANCIA'!AA19),"",'RESUMEN VIGILANCIA'!AA19)</f>
        <v/>
      </c>
      <c r="AC55" s="482" t="str">
        <f>IF(ISBLANK('RESUMEN VIGILANCIA'!AB19),"",'RESUMEN VIGILANCIA'!AB19)</f>
        <v/>
      </c>
      <c r="AD55" s="399" t="str">
        <f>IF(ISBLANK('RESUMEN VIGILANCIA'!AC19),"",'RESUMEN VIGILANCIA'!AC19)</f>
        <v/>
      </c>
      <c r="AE55" s="400" t="str">
        <f>IF(ISBLANK('RESUMEN VIGILANCIA'!AD19),"",'RESUMEN VIGILANCIA'!AD19)</f>
        <v/>
      </c>
      <c r="AF55" s="400" t="str">
        <f>IF(ISBLANK('RESUMEN VIGILANCIA'!AE19),"",'RESUMEN VIGILANCIA'!AE19)</f>
        <v/>
      </c>
      <c r="AG55" s="400" t="str">
        <f>IF(ISBLANK('RESUMEN VIGILANCIA'!AF19),"",'RESUMEN VIGILANCIA'!AF19)</f>
        <v/>
      </c>
      <c r="AH55" s="400" t="str">
        <f>IF(ISBLANK('RESUMEN VIGILANCIA'!AG19),"",'RESUMEN VIGILANCIA'!AG19)</f>
        <v/>
      </c>
      <c r="AI55" s="400" t="str">
        <f>IF(ISBLANK('RESUMEN VIGILANCIA'!AH19),"",'RESUMEN VIGILANCIA'!AH19)</f>
        <v/>
      </c>
      <c r="AJ55" s="400" t="str">
        <f>IF(ISBLANK('RESUMEN VIGILANCIA'!AI19),"",'RESUMEN VIGILANCIA'!AI19)</f>
        <v/>
      </c>
      <c r="AK55" s="400" t="str">
        <f>IF(ISBLANK('RESUMEN VIGILANCIA'!AJ19),"",'RESUMEN VIGILANCIA'!AJ19)</f>
        <v/>
      </c>
      <c r="AL55" s="400" t="str">
        <f>IF(ISBLANK('RESUMEN VIGILANCIA'!AK19),"",'RESUMEN VIGILANCIA'!AK19)</f>
        <v/>
      </c>
      <c r="AM55" s="400" t="str">
        <f>IF(ISBLANK('RESUMEN VIGILANCIA'!AL19),"",'RESUMEN VIGILANCIA'!AL19)</f>
        <v/>
      </c>
      <c r="AN55" s="400" t="str">
        <f>IF(ISBLANK('RESUMEN VIGILANCIA'!AM19),"",'RESUMEN VIGILANCIA'!AM19)</f>
        <v/>
      </c>
      <c r="AO55" s="401" t="str">
        <f>IF(ISBLANK('RESUMEN VIGILANCIA'!AN19),"",'RESUMEN VIGILANCIA'!AN19)</f>
        <v/>
      </c>
      <c r="AP55" s="399" t="str">
        <f>IF(ISBLANK('RESUMEN VIGILANCIA'!AO19),"",'RESUMEN VIGILANCIA'!AO19)</f>
        <v/>
      </c>
      <c r="AQ55" s="400" t="str">
        <f>IF(ISBLANK('RESUMEN VIGILANCIA'!AP19),"",'RESUMEN VIGILANCIA'!AP19)</f>
        <v/>
      </c>
      <c r="AR55" s="400" t="str">
        <f>IF(ISBLANK('RESUMEN VIGILANCIA'!AQ19),"",'RESUMEN VIGILANCIA'!AQ19)</f>
        <v/>
      </c>
      <c r="AS55" s="400" t="str">
        <f>IF(ISBLANK('RESUMEN VIGILANCIA'!AR19),"",'RESUMEN VIGILANCIA'!AR19)</f>
        <v/>
      </c>
      <c r="AT55" s="400" t="str">
        <f>IF(ISBLANK('RESUMEN VIGILANCIA'!AS19),"",'RESUMEN VIGILANCIA'!AS19)</f>
        <v/>
      </c>
      <c r="AU55" s="400" t="str">
        <f>IF(ISBLANK('RESUMEN VIGILANCIA'!AT19),"",'RESUMEN VIGILANCIA'!AT19)</f>
        <v/>
      </c>
      <c r="AV55" s="400" t="str">
        <f>IF(ISBLANK('RESUMEN VIGILANCIA'!AU19),"",'RESUMEN VIGILANCIA'!AU19)</f>
        <v/>
      </c>
      <c r="AW55" s="400" t="str">
        <f>IF(ISBLANK('RESUMEN VIGILANCIA'!AV19),"",'RESUMEN VIGILANCIA'!AV19)</f>
        <v/>
      </c>
      <c r="AX55" s="400" t="str">
        <f>IF(ISBLANK('RESUMEN VIGILANCIA'!AW19),"",'RESUMEN VIGILANCIA'!AW19)</f>
        <v/>
      </c>
      <c r="AY55" s="400" t="str">
        <f>IF(ISBLANK('RESUMEN VIGILANCIA'!AX19),"",'RESUMEN VIGILANCIA'!AX19)</f>
        <v/>
      </c>
      <c r="AZ55" s="400" t="str">
        <f>IF(ISBLANK('RESUMEN VIGILANCIA'!AY19),"",'RESUMEN VIGILANCIA'!AY19)</f>
        <v/>
      </c>
      <c r="BA55" s="401" t="str">
        <f>IF(ISBLANK('RESUMEN VIGILANCIA'!AZ19),"",'RESUMEN VIGILANCIA'!AZ19)</f>
        <v/>
      </c>
      <c r="BB55" s="243">
        <f t="shared" si="1"/>
        <v>0</v>
      </c>
      <c r="BC55" s="112"/>
      <c r="BD55" s="112"/>
    </row>
    <row r="56" spans="1:56" s="29" customFormat="1" ht="20.100000000000001" customHeight="1" x14ac:dyDescent="0.25">
      <c r="A56" s="59" t="str">
        <f>'RESUMEN VIGILANCIA'!A51</f>
        <v>Familia Zampini Scaccia</v>
      </c>
      <c r="B56" s="60" t="str">
        <f>'RESUMEN VIGILANCIA'!B51</f>
        <v>Calle Guacara Nro. 88-A-10</v>
      </c>
      <c r="C56" s="452" t="s">
        <v>1269</v>
      </c>
      <c r="D56" s="460" t="s">
        <v>1268</v>
      </c>
      <c r="E56" s="440" t="str">
        <f>IF(ISBLANK('RESUMEN VIGILANCIA'!D51),"",'RESUMEN VIGILANCIA'!D51)</f>
        <v/>
      </c>
      <c r="F56" s="270" t="str">
        <f>IF(ISBLANK('RESUMEN VIGILANCIA'!E51),"",'RESUMEN VIGILANCIA'!E51)</f>
        <v/>
      </c>
      <c r="G56" s="182" t="str">
        <f>IF(ISBLANK('RESUMEN VIGILANCIA'!F51),"",'RESUMEN VIGILANCIA'!F51)</f>
        <v/>
      </c>
      <c r="H56" s="182" t="str">
        <f>IF(ISBLANK('RESUMEN VIGILANCIA'!G51),"",'RESUMEN VIGILANCIA'!G51)</f>
        <v/>
      </c>
      <c r="I56" s="182" t="str">
        <f>IF(ISBLANK('RESUMEN VIGILANCIA'!H51),"",'RESUMEN VIGILANCIA'!H51)</f>
        <v/>
      </c>
      <c r="J56" s="182" t="str">
        <f>IF(ISBLANK('RESUMEN VIGILANCIA'!I51),"",'RESUMEN VIGILANCIA'!I51)</f>
        <v/>
      </c>
      <c r="K56" s="182" t="str">
        <f>IF(ISBLANK('RESUMEN VIGILANCIA'!J51),"",'RESUMEN VIGILANCIA'!J51)</f>
        <v/>
      </c>
      <c r="L56" s="182" t="str">
        <f>IF(ISBLANK('RESUMEN VIGILANCIA'!K51),"",'RESUMEN VIGILANCIA'!K51)</f>
        <v/>
      </c>
      <c r="M56" s="182" t="str">
        <f>IF(ISBLANK('RESUMEN VIGILANCIA'!L51),"",'RESUMEN VIGILANCIA'!L51)</f>
        <v/>
      </c>
      <c r="N56" s="182" t="str">
        <f>IF(ISBLANK('RESUMEN VIGILANCIA'!M51),"",'RESUMEN VIGILANCIA'!M51)</f>
        <v/>
      </c>
      <c r="O56" s="182" t="str">
        <f>IF(ISBLANK('RESUMEN VIGILANCIA'!N51),"",'RESUMEN VIGILANCIA'!N51)</f>
        <v/>
      </c>
      <c r="P56" s="271" t="str">
        <f>IF(ISBLANK('RESUMEN VIGILANCIA'!O51),"",'RESUMEN VIGILANCIA'!O51)</f>
        <v/>
      </c>
      <c r="Q56" s="180" t="str">
        <f>IF(ISBLANK('RESUMEN VIGILANCIA'!P51),"",'RESUMEN VIGILANCIA'!P51)</f>
        <v/>
      </c>
      <c r="R56" s="272" t="str">
        <f>IF(ISBLANK('RESUMEN VIGILANCIA'!Q51),"",'RESUMEN VIGILANCIA'!Q51)</f>
        <v/>
      </c>
      <c r="S56" s="271" t="str">
        <f>IF(ISBLANK('RESUMEN VIGILANCIA'!R51),"",'RESUMEN VIGILANCIA'!R51)</f>
        <v/>
      </c>
      <c r="T56" s="271" t="str">
        <f>IF(ISBLANK('RESUMEN VIGILANCIA'!S51),"",'RESUMEN VIGILANCIA'!S51)</f>
        <v/>
      </c>
      <c r="U56" s="271" t="str">
        <f>IF(ISBLANK('RESUMEN VIGILANCIA'!T51),"",'RESUMEN VIGILANCIA'!T51)</f>
        <v/>
      </c>
      <c r="V56" s="271" t="str">
        <f>IF(ISBLANK('RESUMEN VIGILANCIA'!U51),"",'RESUMEN VIGILANCIA'!U51)</f>
        <v/>
      </c>
      <c r="W56" s="271" t="str">
        <f>IF(ISBLANK('RESUMEN VIGILANCIA'!V51),"",'RESUMEN VIGILANCIA'!V51)</f>
        <v/>
      </c>
      <c r="X56" s="275" t="str">
        <f>IF(ISBLANK('RESUMEN VIGILANCIA'!W51),"",'RESUMEN VIGILANCIA'!W51)</f>
        <v>VENDIDA</v>
      </c>
      <c r="Y56" s="282" t="str">
        <f>IF(ISBLANK('RESUMEN VIGILANCIA'!X51),"",'RESUMEN VIGILANCIA'!X51)</f>
        <v/>
      </c>
      <c r="Z56" s="490" t="str">
        <f>IF(ISBLANK('RESUMEN VIGILANCIA'!Y51),"",'RESUMEN VIGILANCIA'!Y51)</f>
        <v/>
      </c>
      <c r="AA56" s="490" t="str">
        <f>IF(ISBLANK('RESUMEN VIGILANCIA'!Z51),"",'RESUMEN VIGILANCIA'!Z51)</f>
        <v/>
      </c>
      <c r="AB56" s="490" t="str">
        <f>IF(ISBLANK('RESUMEN VIGILANCIA'!AA51),"",'RESUMEN VIGILANCIA'!AA51)</f>
        <v/>
      </c>
      <c r="AC56" s="491" t="str">
        <f>IF(ISBLANK('RESUMEN VIGILANCIA'!AB51),"",'RESUMEN VIGILANCIA'!AB51)</f>
        <v/>
      </c>
      <c r="AD56" s="413" t="str">
        <f>IF(ISBLANK('RESUMEN VIGILANCIA'!AC51),"",'RESUMEN VIGILANCIA'!AC51)</f>
        <v/>
      </c>
      <c r="AE56" s="403" t="str">
        <f>IF(ISBLANK('RESUMEN VIGILANCIA'!AD51),"",'RESUMEN VIGILANCIA'!AD51)</f>
        <v/>
      </c>
      <c r="AF56" s="403" t="str">
        <f>IF(ISBLANK('RESUMEN VIGILANCIA'!AE51),"",'RESUMEN VIGILANCIA'!AE51)</f>
        <v/>
      </c>
      <c r="AG56" s="403" t="str">
        <f>IF(ISBLANK('RESUMEN VIGILANCIA'!AF51),"",'RESUMEN VIGILANCIA'!AF51)</f>
        <v/>
      </c>
      <c r="AH56" s="403" t="str">
        <f>IF(ISBLANK('RESUMEN VIGILANCIA'!AG51),"",'RESUMEN VIGILANCIA'!AG51)</f>
        <v/>
      </c>
      <c r="AI56" s="403" t="str">
        <f>IF(ISBLANK('RESUMEN VIGILANCIA'!AH51),"",'RESUMEN VIGILANCIA'!AH51)</f>
        <v/>
      </c>
      <c r="AJ56" s="403" t="str">
        <f>IF(ISBLANK('RESUMEN VIGILANCIA'!AI51),"",'RESUMEN VIGILANCIA'!AI51)</f>
        <v/>
      </c>
      <c r="AK56" s="403" t="str">
        <f>IF(ISBLANK('RESUMEN VIGILANCIA'!AJ51),"",'RESUMEN VIGILANCIA'!AJ51)</f>
        <v/>
      </c>
      <c r="AL56" s="403" t="str">
        <f>IF(ISBLANK('RESUMEN VIGILANCIA'!AK51),"",'RESUMEN VIGILANCIA'!AK51)</f>
        <v/>
      </c>
      <c r="AM56" s="403" t="str">
        <f>IF(ISBLANK('RESUMEN VIGILANCIA'!AL51),"",'RESUMEN VIGILANCIA'!AL51)</f>
        <v/>
      </c>
      <c r="AN56" s="403" t="str">
        <f>IF(ISBLANK('RESUMEN VIGILANCIA'!AM51),"",'RESUMEN VIGILANCIA'!AM51)</f>
        <v/>
      </c>
      <c r="AO56" s="414" t="str">
        <f>IF(ISBLANK('RESUMEN VIGILANCIA'!AN51),"",'RESUMEN VIGILANCIA'!AN51)</f>
        <v/>
      </c>
      <c r="AP56" s="413" t="str">
        <f>IF(ISBLANK('RESUMEN VIGILANCIA'!AO51),"",'RESUMEN VIGILANCIA'!AO51)</f>
        <v/>
      </c>
      <c r="AQ56" s="403" t="str">
        <f>IF(ISBLANK('RESUMEN VIGILANCIA'!AP51),"",'RESUMEN VIGILANCIA'!AP51)</f>
        <v/>
      </c>
      <c r="AR56" s="403" t="str">
        <f>IF(ISBLANK('RESUMEN VIGILANCIA'!AQ51),"",'RESUMEN VIGILANCIA'!AQ51)</f>
        <v/>
      </c>
      <c r="AS56" s="403" t="str">
        <f>IF(ISBLANK('RESUMEN VIGILANCIA'!AR51),"",'RESUMEN VIGILANCIA'!AR51)</f>
        <v/>
      </c>
      <c r="AT56" s="403" t="str">
        <f>IF(ISBLANK('RESUMEN VIGILANCIA'!AS51),"",'RESUMEN VIGILANCIA'!AS51)</f>
        <v/>
      </c>
      <c r="AU56" s="403" t="str">
        <f>IF(ISBLANK('RESUMEN VIGILANCIA'!AT51),"",'RESUMEN VIGILANCIA'!AT51)</f>
        <v/>
      </c>
      <c r="AV56" s="403" t="str">
        <f>IF(ISBLANK('RESUMEN VIGILANCIA'!AU51),"",'RESUMEN VIGILANCIA'!AU51)</f>
        <v/>
      </c>
      <c r="AW56" s="403" t="str">
        <f>IF(ISBLANK('RESUMEN VIGILANCIA'!AV51),"",'RESUMEN VIGILANCIA'!AV51)</f>
        <v/>
      </c>
      <c r="AX56" s="403" t="str">
        <f>IF(ISBLANK('RESUMEN VIGILANCIA'!AW51),"",'RESUMEN VIGILANCIA'!AW51)</f>
        <v/>
      </c>
      <c r="AY56" s="403" t="str">
        <f>IF(ISBLANK('RESUMEN VIGILANCIA'!AX51),"",'RESUMEN VIGILANCIA'!AX51)</f>
        <v/>
      </c>
      <c r="AZ56" s="403" t="str">
        <f>IF(ISBLANK('RESUMEN VIGILANCIA'!AY51),"",'RESUMEN VIGILANCIA'!AY51)</f>
        <v/>
      </c>
      <c r="BA56" s="414" t="str">
        <f>IF(ISBLANK('RESUMEN VIGILANCIA'!AZ51),"",'RESUMEN VIGILANCIA'!AZ51)</f>
        <v/>
      </c>
      <c r="BB56" s="243">
        <f t="shared" si="1"/>
        <v>0</v>
      </c>
      <c r="BC56" s="112"/>
      <c r="BD56" s="112">
        <v>43252</v>
      </c>
    </row>
    <row r="57" spans="1:56" s="29" customFormat="1" ht="20.100000000000001" customHeight="1" x14ac:dyDescent="0.25">
      <c r="A57" s="30" t="str">
        <f>'RESUMEN VIGILANCIA'!A52</f>
        <v>Familia Wu Acevedo</v>
      </c>
      <c r="B57" s="31" t="str">
        <f>'RESUMEN VIGILANCIA'!B52</f>
        <v>Calle Guacara Nro. 88-A-10</v>
      </c>
      <c r="C57" s="452" t="s">
        <v>1269</v>
      </c>
      <c r="D57" s="460" t="s">
        <v>17</v>
      </c>
      <c r="E57" s="442" t="str">
        <f>IF(ISBLANK('RESUMEN VIGILANCIA'!D52),"",'RESUMEN VIGILANCIA'!D52)</f>
        <v/>
      </c>
      <c r="F57" s="283" t="str">
        <f>IF(ISBLANK('RESUMEN VIGILANCIA'!E52),"",'RESUMEN VIGILANCIA'!E52)</f>
        <v/>
      </c>
      <c r="G57" s="210" t="str">
        <f>IF(ISBLANK('RESUMEN VIGILANCIA'!F52),"",'RESUMEN VIGILANCIA'!F52)</f>
        <v/>
      </c>
      <c r="H57" s="210" t="str">
        <f>IF(ISBLANK('RESUMEN VIGILANCIA'!G52),"",'RESUMEN VIGILANCIA'!G52)</f>
        <v/>
      </c>
      <c r="I57" s="217" t="str">
        <f>IF(ISBLANK('RESUMEN VIGILANCIA'!H52),"",'RESUMEN VIGILANCIA'!H52)</f>
        <v/>
      </c>
      <c r="J57" s="217" t="str">
        <f>IF(ISBLANK('RESUMEN VIGILANCIA'!I52),"",'RESUMEN VIGILANCIA'!I52)</f>
        <v/>
      </c>
      <c r="K57" s="217" t="str">
        <f>IF(ISBLANK('RESUMEN VIGILANCIA'!J52),"",'RESUMEN VIGILANCIA'!J52)</f>
        <v/>
      </c>
      <c r="L57" s="217" t="str">
        <f>IF(ISBLANK('RESUMEN VIGILANCIA'!K52),"",'RESUMEN VIGILANCIA'!K52)</f>
        <v/>
      </c>
      <c r="M57" s="217" t="str">
        <f>IF(ISBLANK('RESUMEN VIGILANCIA'!L52),"",'RESUMEN VIGILANCIA'!L52)</f>
        <v/>
      </c>
      <c r="N57" s="217" t="str">
        <f>IF(ISBLANK('RESUMEN VIGILANCIA'!M52),"",'RESUMEN VIGILANCIA'!M52)</f>
        <v/>
      </c>
      <c r="O57" s="217" t="str">
        <f>IF(ISBLANK('RESUMEN VIGILANCIA'!N52),"",'RESUMEN VIGILANCIA'!N52)</f>
        <v/>
      </c>
      <c r="P57" s="284" t="str">
        <f>IF(ISBLANK('RESUMEN VIGILANCIA'!O52),"",'RESUMEN VIGILANCIA'!O52)</f>
        <v/>
      </c>
      <c r="Q57" s="215" t="str">
        <f>IF(ISBLANK('RESUMEN VIGILANCIA'!P52),"",'RESUMEN VIGILANCIA'!P52)</f>
        <v/>
      </c>
      <c r="R57" s="285" t="str">
        <f>IF(ISBLANK('RESUMEN VIGILANCIA'!Q52),"",'RESUMEN VIGILANCIA'!Q52)</f>
        <v/>
      </c>
      <c r="S57" s="284" t="str">
        <f>IF(ISBLANK('RESUMEN VIGILANCIA'!R52),"",'RESUMEN VIGILANCIA'!R52)</f>
        <v/>
      </c>
      <c r="T57" s="284" t="str">
        <f>IF(ISBLANK('RESUMEN VIGILANCIA'!S52),"",'RESUMEN VIGILANCIA'!S52)</f>
        <v/>
      </c>
      <c r="U57" s="284" t="str">
        <f>IF(ISBLANK('RESUMEN VIGILANCIA'!T52),"",'RESUMEN VIGILANCIA'!T52)</f>
        <v/>
      </c>
      <c r="V57" s="284" t="str">
        <f>IF(ISBLANK('RESUMEN VIGILANCIA'!U52),"",'RESUMEN VIGILANCIA'!U52)</f>
        <v/>
      </c>
      <c r="W57" s="284" t="str">
        <f>IF(ISBLANK('RESUMEN VIGILANCIA'!V52),"",'RESUMEN VIGILANCIA'!V52)</f>
        <v/>
      </c>
      <c r="X57" s="271">
        <f>IF(ISBLANK('RESUMEN VIGILANCIA'!W52),"",'RESUMEN VIGILANCIA'!W52)</f>
        <v>10</v>
      </c>
      <c r="Y57" s="271">
        <f>IF(ISBLANK('RESUMEN VIGILANCIA'!X52),"",'RESUMEN VIGILANCIA'!X52)</f>
        <v>12</v>
      </c>
      <c r="Z57" s="481">
        <f>IF(ISBLANK('RESUMEN VIGILANCIA'!Y52),"",'RESUMEN VIGILANCIA'!Y52)</f>
        <v>320</v>
      </c>
      <c r="AA57" s="481">
        <f>IF(ISBLANK('RESUMEN VIGILANCIA'!Z52),"",'RESUMEN VIGILANCIA'!Z52)</f>
        <v>320</v>
      </c>
      <c r="AB57" s="481">
        <f>IF(ISBLANK('RESUMEN VIGILANCIA'!AA52),"",'RESUMEN VIGILANCIA'!AA52)</f>
        <v>320</v>
      </c>
      <c r="AC57" s="482">
        <f>IF(ISBLANK('RESUMEN VIGILANCIA'!AB52),"",'RESUMEN VIGILANCIA'!AB52)</f>
        <v>1000</v>
      </c>
      <c r="AD57" s="399">
        <f>IF(ISBLANK('RESUMEN VIGILANCIA'!AC52),"",'RESUMEN VIGILANCIA'!AC52)</f>
        <v>3000</v>
      </c>
      <c r="AE57" s="400">
        <f>IF(ISBLANK('RESUMEN VIGILANCIA'!AD52),"",'RESUMEN VIGILANCIA'!AD52)</f>
        <v>3000</v>
      </c>
      <c r="AF57" s="400">
        <f>IF(ISBLANK('RESUMEN VIGILANCIA'!AE52),"",'RESUMEN VIGILANCIA'!AE52)</f>
        <v>3000</v>
      </c>
      <c r="AG57" s="400">
        <f>IF(ISBLANK('RESUMEN VIGILANCIA'!AF52),"",'RESUMEN VIGILANCIA'!AF52)</f>
        <v>5000</v>
      </c>
      <c r="AH57" s="400">
        <f>IF(ISBLANK('RESUMEN VIGILANCIA'!AG52),"",'RESUMEN VIGILANCIA'!AG52)</f>
        <v>10000</v>
      </c>
      <c r="AI57" s="400">
        <f>IF(ISBLANK('RESUMEN VIGILANCIA'!AH52),"",'RESUMEN VIGILANCIA'!AH52)</f>
        <v>10000</v>
      </c>
      <c r="AJ57" s="400">
        <f>IF(ISBLANK('RESUMEN VIGILANCIA'!AI52),"",'RESUMEN VIGILANCIA'!AI52)</f>
        <v>10000</v>
      </c>
      <c r="AK57" s="400">
        <f>IF(ISBLANK('RESUMEN VIGILANCIA'!AJ52),"",'RESUMEN VIGILANCIA'!AJ52)</f>
        <v>10000</v>
      </c>
      <c r="AL57" s="400">
        <f>IF(ISBLANK('RESUMEN VIGILANCIA'!AK52),"",'RESUMEN VIGILANCIA'!AK52)</f>
        <v>21600</v>
      </c>
      <c r="AM57" s="400">
        <f>IF(ISBLANK('RESUMEN VIGILANCIA'!AL52),"",'RESUMEN VIGILANCIA'!AL52)</f>
        <v>47000</v>
      </c>
      <c r="AN57" s="400">
        <f>IF(ISBLANK('RESUMEN VIGILANCIA'!AM52),"",'RESUMEN VIGILANCIA'!AM52)</f>
        <v>51250</v>
      </c>
      <c r="AO57" s="401">
        <f>IF(ISBLANK('RESUMEN VIGILANCIA'!AN52),"",'RESUMEN VIGILANCIA'!AN52)</f>
        <v>81750</v>
      </c>
      <c r="AP57" s="399">
        <f>IF(ISBLANK('RESUMEN VIGILANCIA'!AO52),"",'RESUMEN VIGILANCIA'!AO52)</f>
        <v>136250</v>
      </c>
      <c r="AQ57" s="400">
        <f>IF(ISBLANK('RESUMEN VIGILANCIA'!AP52),"",'RESUMEN VIGILANCIA'!AP52)</f>
        <v>64405.8</v>
      </c>
      <c r="AR57" s="400" t="str">
        <f>IF(ISBLANK('RESUMEN VIGILANCIA'!AQ52),"",'RESUMEN VIGILANCIA'!AQ52)</f>
        <v/>
      </c>
      <c r="AS57" s="400" t="str">
        <f>IF(ISBLANK('RESUMEN VIGILANCIA'!AR52),"",'RESUMEN VIGILANCIA'!AR52)</f>
        <v/>
      </c>
      <c r="AT57" s="400" t="str">
        <f>IF(ISBLANK('RESUMEN VIGILANCIA'!AS52),"",'RESUMEN VIGILANCIA'!AS52)</f>
        <v/>
      </c>
      <c r="AU57" s="400" t="str">
        <f>IF(ISBLANK('RESUMEN VIGILANCIA'!AT52),"",'RESUMEN VIGILANCIA'!AT52)</f>
        <v/>
      </c>
      <c r="AV57" s="400" t="str">
        <f>IF(ISBLANK('RESUMEN VIGILANCIA'!AU52),"",'RESUMEN VIGILANCIA'!AU52)</f>
        <v/>
      </c>
      <c r="AW57" s="400" t="str">
        <f>IF(ISBLANK('RESUMEN VIGILANCIA'!AV52),"",'RESUMEN VIGILANCIA'!AV52)</f>
        <v/>
      </c>
      <c r="AX57" s="400" t="str">
        <f>IF(ISBLANK('RESUMEN VIGILANCIA'!AW52),"",'RESUMEN VIGILANCIA'!AW52)</f>
        <v/>
      </c>
      <c r="AY57" s="400" t="str">
        <f>IF(ISBLANK('RESUMEN VIGILANCIA'!AX52),"",'RESUMEN VIGILANCIA'!AX52)</f>
        <v/>
      </c>
      <c r="AZ57" s="400" t="str">
        <f>IF(ISBLANK('RESUMEN VIGILANCIA'!AY52),"",'RESUMEN VIGILANCIA'!AY52)</f>
        <v/>
      </c>
      <c r="BA57" s="401" t="str">
        <f>IF(ISBLANK('RESUMEN VIGILANCIA'!AZ52),"",'RESUMEN VIGILANCIA'!AZ52)</f>
        <v/>
      </c>
      <c r="BB57" s="243">
        <f t="shared" si="1"/>
        <v>257582</v>
      </c>
      <c r="BC57" s="112">
        <v>43282</v>
      </c>
      <c r="BD57" s="112"/>
    </row>
    <row r="58" spans="1:56" s="29" customFormat="1" ht="20.100000000000001" customHeight="1" x14ac:dyDescent="0.25">
      <c r="A58" s="380" t="str">
        <f>'RESUMEN VIGILANCIA'!A8</f>
        <v>Familia Flores Montagne</v>
      </c>
      <c r="B58" s="381" t="str">
        <f>'RESUMEN VIGILANCIA'!B8</f>
        <v>Av. "M" Nro. 146-20</v>
      </c>
      <c r="C58" s="453" t="s">
        <v>1269</v>
      </c>
      <c r="D58" s="459" t="s">
        <v>1268</v>
      </c>
      <c r="E58" s="439" t="str">
        <f>IF(ISBLANK('RESUMEN VIGILANCIA'!D8),"",'RESUMEN VIGILANCIA'!D8)</f>
        <v/>
      </c>
      <c r="F58" s="267">
        <f>IF(ISBLANK('RESUMEN VIGILANCIA'!E8),"",'RESUMEN VIGILANCIA'!E8)</f>
        <v>0.02</v>
      </c>
      <c r="G58" s="189">
        <f>IF(ISBLANK('RESUMEN VIGILANCIA'!F8),"",'RESUMEN VIGILANCIA'!F8)</f>
        <v>0.02</v>
      </c>
      <c r="H58" s="189">
        <f>IF(ISBLANK('RESUMEN VIGILANCIA'!G8),"",'RESUMEN VIGILANCIA'!G8)</f>
        <v>0.03</v>
      </c>
      <c r="I58" s="189">
        <f>IF(ISBLANK('RESUMEN VIGILANCIA'!H8),"",'RESUMEN VIGILANCIA'!H8)</f>
        <v>0.03</v>
      </c>
      <c r="J58" s="189">
        <f>IF(ISBLANK('RESUMEN VIGILANCIA'!I8),"",'RESUMEN VIGILANCIA'!I8)</f>
        <v>0.04</v>
      </c>
      <c r="K58" s="189">
        <f>IF(ISBLANK('RESUMEN VIGILANCIA'!J8),"",'RESUMEN VIGILANCIA'!J8)</f>
        <v>0.04</v>
      </c>
      <c r="L58" s="189">
        <f>IF(ISBLANK('RESUMEN VIGILANCIA'!K8),"",'RESUMEN VIGILANCIA'!K8)</f>
        <v>0.04</v>
      </c>
      <c r="M58" s="189">
        <f>IF(ISBLANK('RESUMEN VIGILANCIA'!L8),"",'RESUMEN VIGILANCIA'!L8)</f>
        <v>0.04</v>
      </c>
      <c r="N58" s="189">
        <f>IF(ISBLANK('RESUMEN VIGILANCIA'!M8),"",'RESUMEN VIGILANCIA'!M8)</f>
        <v>0.03</v>
      </c>
      <c r="O58" s="189">
        <f>IF(ISBLANK('RESUMEN VIGILANCIA'!N8),"",'RESUMEN VIGILANCIA'!N8)</f>
        <v>0.05</v>
      </c>
      <c r="P58" s="268" t="str">
        <f>IF(ISBLANK('RESUMEN VIGILANCIA'!O8),"",'RESUMEN VIGILANCIA'!O8)</f>
        <v>- - -</v>
      </c>
      <c r="Q58" s="187" t="str">
        <f>IF(ISBLANK('RESUMEN VIGILANCIA'!P8),"",'RESUMEN VIGILANCIA'!P8)</f>
        <v>- - -</v>
      </c>
      <c r="R58" s="272">
        <f>IF(ISBLANK('RESUMEN VIGILANCIA'!Q8),"",'RESUMEN VIGILANCIA'!Q8)</f>
        <v>0.8</v>
      </c>
      <c r="S58" s="271">
        <f>IF(ISBLANK('RESUMEN VIGILANCIA'!R8),"",'RESUMEN VIGILANCIA'!R8)</f>
        <v>0.8</v>
      </c>
      <c r="T58" s="271">
        <f>IF(ISBLANK('RESUMEN VIGILANCIA'!S8),"",'RESUMEN VIGILANCIA'!S8)</f>
        <v>1.4</v>
      </c>
      <c r="U58" s="271">
        <f>IF(ISBLANK('RESUMEN VIGILANCIA'!T8),"",'RESUMEN VIGILANCIA'!T8)</f>
        <v>1.4</v>
      </c>
      <c r="V58" s="271">
        <f>IF(ISBLANK('RESUMEN VIGILANCIA'!U8),"",'RESUMEN VIGILANCIA'!U8)</f>
        <v>4</v>
      </c>
      <c r="W58" s="271">
        <f>IF(ISBLANK('RESUMEN VIGILANCIA'!V8),"",'RESUMEN VIGILANCIA'!V8)</f>
        <v>6.25</v>
      </c>
      <c r="X58" s="271">
        <f>IF(ISBLANK('RESUMEN VIGILANCIA'!W8),"",'RESUMEN VIGILANCIA'!W8)</f>
        <v>10</v>
      </c>
      <c r="Y58" s="271">
        <f>IF(ISBLANK('RESUMEN VIGILANCIA'!X8),"",'RESUMEN VIGILANCIA'!X8)</f>
        <v>12</v>
      </c>
      <c r="Z58" s="481">
        <f>IF(ISBLANK('RESUMEN VIGILANCIA'!Y8),"",'RESUMEN VIGILANCIA'!Y8)</f>
        <v>320</v>
      </c>
      <c r="AA58" s="481">
        <f>IF(ISBLANK('RESUMEN VIGILANCIA'!Z8),"",'RESUMEN VIGILANCIA'!Z8)</f>
        <v>320</v>
      </c>
      <c r="AB58" s="481">
        <f>IF(ISBLANK('RESUMEN VIGILANCIA'!AA8),"",'RESUMEN VIGILANCIA'!AA8)</f>
        <v>320</v>
      </c>
      <c r="AC58" s="482">
        <f>IF(ISBLANK('RESUMEN VIGILANCIA'!AB8),"",'RESUMEN VIGILANCIA'!AB8)</f>
        <v>800</v>
      </c>
      <c r="AD58" s="399">
        <f>IF(ISBLANK('RESUMEN VIGILANCIA'!AC8),"",'RESUMEN VIGILANCIA'!AC8)</f>
        <v>3000</v>
      </c>
      <c r="AE58" s="400">
        <f>IF(ISBLANK('RESUMEN VIGILANCIA'!AD8),"",'RESUMEN VIGILANCIA'!AD8)</f>
        <v>3000</v>
      </c>
      <c r="AF58" s="400">
        <f>IF(ISBLANK('RESUMEN VIGILANCIA'!AE8),"",'RESUMEN VIGILANCIA'!AE8)</f>
        <v>3000</v>
      </c>
      <c r="AG58" s="400">
        <f>IF(ISBLANK('RESUMEN VIGILANCIA'!AF8),"",'RESUMEN VIGILANCIA'!AF8)</f>
        <v>5000</v>
      </c>
      <c r="AH58" s="400">
        <f>IF(ISBLANK('RESUMEN VIGILANCIA'!AG8),"",'RESUMEN VIGILANCIA'!AG8)</f>
        <v>8000</v>
      </c>
      <c r="AI58" s="400">
        <f>IF(ISBLANK('RESUMEN VIGILANCIA'!AH8),"",'RESUMEN VIGILANCIA'!AH8)</f>
        <v>8000</v>
      </c>
      <c r="AJ58" s="400">
        <f>IF(ISBLANK('RESUMEN VIGILANCIA'!AI8),"",'RESUMEN VIGILANCIA'!AI8)</f>
        <v>10000</v>
      </c>
      <c r="AK58" s="400">
        <f>IF(ISBLANK('RESUMEN VIGILANCIA'!AJ8),"",'RESUMEN VIGILANCIA'!AJ8)</f>
        <v>10000</v>
      </c>
      <c r="AL58" s="400">
        <f>IF(ISBLANK('RESUMEN VIGILANCIA'!AK8),"",'RESUMEN VIGILANCIA'!AK8)</f>
        <v>19800</v>
      </c>
      <c r="AM58" s="400">
        <f>IF(ISBLANK('RESUMEN VIGILANCIA'!AL8),"",'RESUMEN VIGILANCIA'!AL8)</f>
        <v>51250</v>
      </c>
      <c r="AN58" s="400">
        <f>IF(ISBLANK('RESUMEN VIGILANCIA'!AM8),"",'RESUMEN VIGILANCIA'!AM8)</f>
        <v>81750</v>
      </c>
      <c r="AO58" s="401">
        <f>IF(ISBLANK('RESUMEN VIGILANCIA'!AN8),"",'RESUMEN VIGILANCIA'!AN8)</f>
        <v>105250</v>
      </c>
      <c r="AP58" s="399">
        <f>IF(ISBLANK('RESUMEN VIGILANCIA'!AO8),"",'RESUMEN VIGILANCIA'!AO8)</f>
        <v>136250</v>
      </c>
      <c r="AQ58" s="400" t="str">
        <f>IF(ISBLANK('RESUMEN VIGILANCIA'!AP8),"",'RESUMEN VIGILANCIA'!AP8)</f>
        <v/>
      </c>
      <c r="AR58" s="400" t="str">
        <f>IF(ISBLANK('RESUMEN VIGILANCIA'!AQ8),"",'RESUMEN VIGILANCIA'!AQ8)</f>
        <v/>
      </c>
      <c r="AS58" s="400" t="str">
        <f>IF(ISBLANK('RESUMEN VIGILANCIA'!AR8),"",'RESUMEN VIGILANCIA'!AR8)</f>
        <v/>
      </c>
      <c r="AT58" s="400" t="str">
        <f>IF(ISBLANK('RESUMEN VIGILANCIA'!AS8),"",'RESUMEN VIGILANCIA'!AS8)</f>
        <v/>
      </c>
      <c r="AU58" s="400" t="str">
        <f>IF(ISBLANK('RESUMEN VIGILANCIA'!AT8),"",'RESUMEN VIGILANCIA'!AT8)</f>
        <v/>
      </c>
      <c r="AV58" s="400" t="str">
        <f>IF(ISBLANK('RESUMEN VIGILANCIA'!AU8),"",'RESUMEN VIGILANCIA'!AU8)</f>
        <v/>
      </c>
      <c r="AW58" s="400" t="str">
        <f>IF(ISBLANK('RESUMEN VIGILANCIA'!AV8),"",'RESUMEN VIGILANCIA'!AV8)</f>
        <v/>
      </c>
      <c r="AX58" s="400" t="str">
        <f>IF(ISBLANK('RESUMEN VIGILANCIA'!AW8),"",'RESUMEN VIGILANCIA'!AW8)</f>
        <v/>
      </c>
      <c r="AY58" s="400" t="str">
        <f>IF(ISBLANK('RESUMEN VIGILANCIA'!AX8),"",'RESUMEN VIGILANCIA'!AX8)</f>
        <v/>
      </c>
      <c r="AZ58" s="400" t="str">
        <f>IF(ISBLANK('RESUMEN VIGILANCIA'!AY8),"",'RESUMEN VIGILANCIA'!AY8)</f>
        <v/>
      </c>
      <c r="BA58" s="401" t="str">
        <f>IF(ISBLANK('RESUMEN VIGILANCIA'!AZ8),"",'RESUMEN VIGILANCIA'!AZ8)</f>
        <v/>
      </c>
      <c r="BB58" s="243">
        <f t="shared" si="1"/>
        <v>309846.99</v>
      </c>
      <c r="BC58" s="112"/>
      <c r="BD58" s="112"/>
    </row>
    <row r="59" spans="1:56" s="29" customFormat="1" ht="20.100000000000001" customHeight="1" x14ac:dyDescent="0.25">
      <c r="A59" s="380" t="str">
        <f>'RESUMEN VIGILANCIA'!A16</f>
        <v>Familia Hurtado</v>
      </c>
      <c r="B59" s="381" t="str">
        <f>'RESUMEN VIGILANCIA'!B16</f>
        <v>Av. "O" Nro. 146-11</v>
      </c>
      <c r="C59" s="453" t="s">
        <v>1269</v>
      </c>
      <c r="D59" s="459" t="s">
        <v>1268</v>
      </c>
      <c r="E59" s="439" t="str">
        <f>IF(ISBLANK('RESUMEN VIGILANCIA'!D16),"",'RESUMEN VIGILANCIA'!D16)</f>
        <v/>
      </c>
      <c r="F59" s="267">
        <f>IF(ISBLANK('RESUMEN VIGILANCIA'!E16),"",'RESUMEN VIGILANCIA'!E16)</f>
        <v>0.105</v>
      </c>
      <c r="G59" s="189">
        <f>IF(ISBLANK('RESUMEN VIGILANCIA'!F16),"",'RESUMEN VIGILANCIA'!F16)</f>
        <v>0.16999999999999998</v>
      </c>
      <c r="H59" s="189">
        <f>IF(ISBLANK('RESUMEN VIGILANCIA'!G16),"",'RESUMEN VIGILANCIA'!G16)</f>
        <v>0.105</v>
      </c>
      <c r="I59" s="189">
        <f>IF(ISBLANK('RESUMEN VIGILANCIA'!H16),"",'RESUMEN VIGILANCIA'!H16)</f>
        <v>0.17</v>
      </c>
      <c r="J59" s="189">
        <f>IF(ISBLANK('RESUMEN VIGILANCIA'!I16),"",'RESUMEN VIGILANCIA'!I16)</f>
        <v>0.26</v>
      </c>
      <c r="K59" s="189">
        <f>IF(ISBLANK('RESUMEN VIGILANCIA'!J16),"",'RESUMEN VIGILANCIA'!J16)</f>
        <v>0.26</v>
      </c>
      <c r="L59" s="189">
        <f>IF(ISBLANK('RESUMEN VIGILANCIA'!K16),"",'RESUMEN VIGILANCIA'!K16)</f>
        <v>0.35</v>
      </c>
      <c r="M59" s="182">
        <f>IF(ISBLANK('RESUMEN VIGILANCIA'!L16),"",'RESUMEN VIGILANCIA'!L16)</f>
        <v>0.35</v>
      </c>
      <c r="N59" s="182">
        <f>IF(ISBLANK('RESUMEN VIGILANCIA'!M16),"",'RESUMEN VIGILANCIA'!M16)</f>
        <v>0.35</v>
      </c>
      <c r="O59" s="182">
        <f>IF(ISBLANK('RESUMEN VIGILANCIA'!N16),"",'RESUMEN VIGILANCIA'!N16)</f>
        <v>0.35</v>
      </c>
      <c r="P59" s="271">
        <f>IF(ISBLANK('RESUMEN VIGILANCIA'!O16),"",'RESUMEN VIGILANCIA'!O16)</f>
        <v>0.5</v>
      </c>
      <c r="Q59" s="180">
        <f>IF(ISBLANK('RESUMEN VIGILANCIA'!P16),"",'RESUMEN VIGILANCIA'!P16)</f>
        <v>0.5</v>
      </c>
      <c r="R59" s="272">
        <f>IF(ISBLANK('RESUMEN VIGILANCIA'!Q16),"",'RESUMEN VIGILANCIA'!Q16)</f>
        <v>0.8</v>
      </c>
      <c r="S59" s="271">
        <f>IF(ISBLANK('RESUMEN VIGILANCIA'!R16),"",'RESUMEN VIGILANCIA'!R16)</f>
        <v>0.8</v>
      </c>
      <c r="T59" s="271">
        <f>IF(ISBLANK('RESUMEN VIGILANCIA'!S16),"",'RESUMEN VIGILANCIA'!S16)</f>
        <v>1.4</v>
      </c>
      <c r="U59" s="271">
        <f>IF(ISBLANK('RESUMEN VIGILANCIA'!T16),"",'RESUMEN VIGILANCIA'!T16)</f>
        <v>1.4</v>
      </c>
      <c r="V59" s="271">
        <f>IF(ISBLANK('RESUMEN VIGILANCIA'!U16),"",'RESUMEN VIGILANCIA'!U16)</f>
        <v>4</v>
      </c>
      <c r="W59" s="271">
        <f>IF(ISBLANK('RESUMEN VIGILANCIA'!V16),"",'RESUMEN VIGILANCIA'!V16)</f>
        <v>6.25</v>
      </c>
      <c r="X59" s="271">
        <f>IF(ISBLANK('RESUMEN VIGILANCIA'!W16),"",'RESUMEN VIGILANCIA'!W16)</f>
        <v>10</v>
      </c>
      <c r="Y59" s="271">
        <f>IF(ISBLANK('RESUMEN VIGILANCIA'!X16),"",'RESUMEN VIGILANCIA'!X16)</f>
        <v>12</v>
      </c>
      <c r="Z59" s="481">
        <f>IF(ISBLANK('RESUMEN VIGILANCIA'!Y16),"",'RESUMEN VIGILANCIA'!Y16)</f>
        <v>320</v>
      </c>
      <c r="AA59" s="481">
        <f>IF(ISBLANK('RESUMEN VIGILANCIA'!Z16),"",'RESUMEN VIGILANCIA'!Z16)</f>
        <v>320</v>
      </c>
      <c r="AB59" s="481">
        <f>IF(ISBLANK('RESUMEN VIGILANCIA'!AA16),"",'RESUMEN VIGILANCIA'!AA16)</f>
        <v>320</v>
      </c>
      <c r="AC59" s="482">
        <f>IF(ISBLANK('RESUMEN VIGILANCIA'!AB16),"",'RESUMEN VIGILANCIA'!AB16)</f>
        <v>800</v>
      </c>
      <c r="AD59" s="399">
        <f>IF(ISBLANK('RESUMEN VIGILANCIA'!AC16),"",'RESUMEN VIGILANCIA'!AC16)</f>
        <v>3000</v>
      </c>
      <c r="AE59" s="400">
        <f>IF(ISBLANK('RESUMEN VIGILANCIA'!AD16),"",'RESUMEN VIGILANCIA'!AD16)</f>
        <v>3000</v>
      </c>
      <c r="AF59" s="400">
        <f>IF(ISBLANK('RESUMEN VIGILANCIA'!AE16),"",'RESUMEN VIGILANCIA'!AE16)</f>
        <v>3000</v>
      </c>
      <c r="AG59" s="400">
        <f>IF(ISBLANK('RESUMEN VIGILANCIA'!AF16),"",'RESUMEN VIGILANCIA'!AF16)</f>
        <v>5000</v>
      </c>
      <c r="AH59" s="400">
        <f>IF(ISBLANK('RESUMEN VIGILANCIA'!AG16),"",'RESUMEN VIGILANCIA'!AG16)</f>
        <v>8000</v>
      </c>
      <c r="AI59" s="400">
        <f>IF(ISBLANK('RESUMEN VIGILANCIA'!AH16),"",'RESUMEN VIGILANCIA'!AH16)</f>
        <v>8000</v>
      </c>
      <c r="AJ59" s="400">
        <f>IF(ISBLANK('RESUMEN VIGILANCIA'!AI16),"",'RESUMEN VIGILANCIA'!AI16)</f>
        <v>10000</v>
      </c>
      <c r="AK59" s="400">
        <f>IF(ISBLANK('RESUMEN VIGILANCIA'!AJ16),"",'RESUMEN VIGILANCIA'!AJ16)</f>
        <v>10000</v>
      </c>
      <c r="AL59" s="400">
        <f>IF(ISBLANK('RESUMEN VIGILANCIA'!AK16),"",'RESUMEN VIGILANCIA'!AK16)</f>
        <v>20300</v>
      </c>
      <c r="AM59" s="400">
        <f>IF(ISBLANK('RESUMEN VIGILANCIA'!AL16),"",'RESUMEN VIGILANCIA'!AL16)</f>
        <v>64500</v>
      </c>
      <c r="AN59" s="400">
        <f>IF(ISBLANK('RESUMEN VIGILANCIA'!AM16),"",'RESUMEN VIGILANCIA'!AM16)</f>
        <v>105250</v>
      </c>
      <c r="AO59" s="401">
        <f>IF(ISBLANK('RESUMEN VIGILANCIA'!AN16),"",'RESUMEN VIGILANCIA'!AN16)</f>
        <v>105250</v>
      </c>
      <c r="AP59" s="399">
        <f>IF(ISBLANK('RESUMEN VIGILANCIA'!AO16),"",'RESUMEN VIGILANCIA'!AO16)</f>
        <v>136250</v>
      </c>
      <c r="AQ59" s="400" t="str">
        <f>IF(ISBLANK('RESUMEN VIGILANCIA'!AP16),"",'RESUMEN VIGILANCIA'!AP16)</f>
        <v/>
      </c>
      <c r="AR59" s="400" t="str">
        <f>IF(ISBLANK('RESUMEN VIGILANCIA'!AQ16),"",'RESUMEN VIGILANCIA'!AQ16)</f>
        <v/>
      </c>
      <c r="AS59" s="400" t="str">
        <f>IF(ISBLANK('RESUMEN VIGILANCIA'!AR16),"",'RESUMEN VIGILANCIA'!AR16)</f>
        <v/>
      </c>
      <c r="AT59" s="400" t="str">
        <f>IF(ISBLANK('RESUMEN VIGILANCIA'!AS16),"",'RESUMEN VIGILANCIA'!AS16)</f>
        <v/>
      </c>
      <c r="AU59" s="400" t="str">
        <f>IF(ISBLANK('RESUMEN VIGILANCIA'!AT16),"",'RESUMEN VIGILANCIA'!AT16)</f>
        <v/>
      </c>
      <c r="AV59" s="400" t="str">
        <f>IF(ISBLANK('RESUMEN VIGILANCIA'!AU16),"",'RESUMEN VIGILANCIA'!AU16)</f>
        <v/>
      </c>
      <c r="AW59" s="400" t="str">
        <f>IF(ISBLANK('RESUMEN VIGILANCIA'!AV16),"",'RESUMEN VIGILANCIA'!AV16)</f>
        <v/>
      </c>
      <c r="AX59" s="400" t="str">
        <f>IF(ISBLANK('RESUMEN VIGILANCIA'!AW16),"",'RESUMEN VIGILANCIA'!AW16)</f>
        <v/>
      </c>
      <c r="AY59" s="400" t="str">
        <f>IF(ISBLANK('RESUMEN VIGILANCIA'!AX16),"",'RESUMEN VIGILANCIA'!AX16)</f>
        <v/>
      </c>
      <c r="AZ59" s="400" t="str">
        <f>IF(ISBLANK('RESUMEN VIGILANCIA'!AY16),"",'RESUMEN VIGILANCIA'!AY16)</f>
        <v/>
      </c>
      <c r="BA59" s="401" t="str">
        <f>IF(ISBLANK('RESUMEN VIGILANCIA'!AZ16),"",'RESUMEN VIGILANCIA'!AZ16)</f>
        <v/>
      </c>
      <c r="BB59" s="243">
        <f t="shared" si="1"/>
        <v>347100.12</v>
      </c>
      <c r="BC59" s="112"/>
      <c r="BD59" s="112"/>
    </row>
    <row r="60" spans="1:56" s="29" customFormat="1" ht="20.100000000000001" customHeight="1" x14ac:dyDescent="0.25">
      <c r="A60" s="30" t="str">
        <f>'RESUMEN VIGILANCIA'!A9</f>
        <v>Judith Lazo</v>
      </c>
      <c r="B60" s="31" t="str">
        <f>'RESUMEN VIGILANCIA'!B9</f>
        <v>Av. "M" Nro. 146-25</v>
      </c>
      <c r="C60" s="452" t="s">
        <v>1273</v>
      </c>
      <c r="D60" s="460" t="s">
        <v>17</v>
      </c>
      <c r="E60" s="440" t="str">
        <f>IF(ISBLANK('RESUMEN VIGILANCIA'!D9),"",'RESUMEN VIGILANCIA'!D9)</f>
        <v/>
      </c>
      <c r="F60" s="270" t="str">
        <f>IF(ISBLANK('RESUMEN VIGILANCIA'!E9),"",'RESUMEN VIGILANCIA'!E9)</f>
        <v/>
      </c>
      <c r="G60" s="182" t="str">
        <f>IF(ISBLANK('RESUMEN VIGILANCIA'!F9),"",'RESUMEN VIGILANCIA'!F9)</f>
        <v/>
      </c>
      <c r="H60" s="182" t="str">
        <f>IF(ISBLANK('RESUMEN VIGILANCIA'!G9),"",'RESUMEN VIGILANCIA'!G9)</f>
        <v/>
      </c>
      <c r="I60" s="182" t="str">
        <f>IF(ISBLANK('RESUMEN VIGILANCIA'!H9),"",'RESUMEN VIGILANCIA'!H9)</f>
        <v/>
      </c>
      <c r="J60" s="182" t="str">
        <f>IF(ISBLANK('RESUMEN VIGILANCIA'!I9),"",'RESUMEN VIGILANCIA'!I9)</f>
        <v/>
      </c>
      <c r="K60" s="182" t="str">
        <f>IF(ISBLANK('RESUMEN VIGILANCIA'!J9),"",'RESUMEN VIGILANCIA'!J9)</f>
        <v/>
      </c>
      <c r="L60" s="182" t="str">
        <f>IF(ISBLANK('RESUMEN VIGILANCIA'!K9),"",'RESUMEN VIGILANCIA'!K9)</f>
        <v/>
      </c>
      <c r="M60" s="182" t="str">
        <f>IF(ISBLANK('RESUMEN VIGILANCIA'!L9),"",'RESUMEN VIGILANCIA'!L9)</f>
        <v/>
      </c>
      <c r="N60" s="182" t="str">
        <f>IF(ISBLANK('RESUMEN VIGILANCIA'!M9),"",'RESUMEN VIGILANCIA'!M9)</f>
        <v/>
      </c>
      <c r="O60" s="182" t="str">
        <f>IF(ISBLANK('RESUMEN VIGILANCIA'!N9),"",'RESUMEN VIGILANCIA'!N9)</f>
        <v/>
      </c>
      <c r="P60" s="271" t="str">
        <f>IF(ISBLANK('RESUMEN VIGILANCIA'!O9),"",'RESUMEN VIGILANCIA'!O9)</f>
        <v/>
      </c>
      <c r="Q60" s="180" t="str">
        <f>IF(ISBLANK('RESUMEN VIGILANCIA'!P9),"",'RESUMEN VIGILANCIA'!P9)</f>
        <v/>
      </c>
      <c r="R60" s="272" t="str">
        <f>IF(ISBLANK('RESUMEN VIGILANCIA'!Q9),"",'RESUMEN VIGILANCIA'!Q9)</f>
        <v/>
      </c>
      <c r="S60" s="271" t="str">
        <f>IF(ISBLANK('RESUMEN VIGILANCIA'!R9),"",'RESUMEN VIGILANCIA'!R9)</f>
        <v/>
      </c>
      <c r="T60" s="271" t="str">
        <f>IF(ISBLANK('RESUMEN VIGILANCIA'!S9),"",'RESUMEN VIGILANCIA'!S9)</f>
        <v/>
      </c>
      <c r="U60" s="271" t="str">
        <f>IF(ISBLANK('RESUMEN VIGILANCIA'!T9),"",'RESUMEN VIGILANCIA'!T9)</f>
        <v/>
      </c>
      <c r="V60" s="271" t="str">
        <f>IF(ISBLANK('RESUMEN VIGILANCIA'!U9),"",'RESUMEN VIGILANCIA'!U9)</f>
        <v/>
      </c>
      <c r="W60" s="271" t="str">
        <f>IF(ISBLANK('RESUMEN VIGILANCIA'!V9),"",'RESUMEN VIGILANCIA'!V9)</f>
        <v/>
      </c>
      <c r="X60" s="271" t="str">
        <f>IF(ISBLANK('RESUMEN VIGILANCIA'!W9),"",'RESUMEN VIGILANCIA'!W9)</f>
        <v/>
      </c>
      <c r="Y60" s="271" t="str">
        <f>IF(ISBLANK('RESUMEN VIGILANCIA'!X9),"",'RESUMEN VIGILANCIA'!X9)</f>
        <v/>
      </c>
      <c r="Z60" s="481" t="str">
        <f>IF(ISBLANK('RESUMEN VIGILANCIA'!Y9),"",'RESUMEN VIGILANCIA'!Y9)</f>
        <v/>
      </c>
      <c r="AA60" s="481" t="str">
        <f>IF(ISBLANK('RESUMEN VIGILANCIA'!Z9),"",'RESUMEN VIGILANCIA'!Z9)</f>
        <v/>
      </c>
      <c r="AB60" s="481" t="str">
        <f>IF(ISBLANK('RESUMEN VIGILANCIA'!AA9),"",'RESUMEN VIGILANCIA'!AA9)</f>
        <v/>
      </c>
      <c r="AC60" s="482" t="str">
        <f>IF(ISBLANK('RESUMEN VIGILANCIA'!AB9),"",'RESUMEN VIGILANCIA'!AB9)</f>
        <v/>
      </c>
      <c r="AD60" s="399" t="str">
        <f>IF(ISBLANK('RESUMEN VIGILANCIA'!AC9),"",'RESUMEN VIGILANCIA'!AC9)</f>
        <v/>
      </c>
      <c r="AE60" s="400" t="str">
        <f>IF(ISBLANK('RESUMEN VIGILANCIA'!AD9),"",'RESUMEN VIGILANCIA'!AD9)</f>
        <v/>
      </c>
      <c r="AF60" s="400" t="str">
        <f>IF(ISBLANK('RESUMEN VIGILANCIA'!AE9),"",'RESUMEN VIGILANCIA'!AE9)</f>
        <v/>
      </c>
      <c r="AG60" s="400" t="str">
        <f>IF(ISBLANK('RESUMEN VIGILANCIA'!AF9),"",'RESUMEN VIGILANCIA'!AF9)</f>
        <v/>
      </c>
      <c r="AH60" s="400" t="str">
        <f>IF(ISBLANK('RESUMEN VIGILANCIA'!AG9),"",'RESUMEN VIGILANCIA'!AG9)</f>
        <v/>
      </c>
      <c r="AI60" s="400" t="str">
        <f>IF(ISBLANK('RESUMEN VIGILANCIA'!AH9),"",'RESUMEN VIGILANCIA'!AH9)</f>
        <v/>
      </c>
      <c r="AJ60" s="400" t="str">
        <f>IF(ISBLANK('RESUMEN VIGILANCIA'!AI9),"",'RESUMEN VIGILANCIA'!AI9)</f>
        <v/>
      </c>
      <c r="AK60" s="400" t="str">
        <f>IF(ISBLANK('RESUMEN VIGILANCIA'!AJ9),"",'RESUMEN VIGILANCIA'!AJ9)</f>
        <v/>
      </c>
      <c r="AL60" s="400" t="str">
        <f>IF(ISBLANK('RESUMEN VIGILANCIA'!AK9),"",'RESUMEN VIGILANCIA'!AK9)</f>
        <v/>
      </c>
      <c r="AM60" s="400" t="str">
        <f>IF(ISBLANK('RESUMEN VIGILANCIA'!AL9),"",'RESUMEN VIGILANCIA'!AL9)</f>
        <v/>
      </c>
      <c r="AN60" s="400" t="str">
        <f>IF(ISBLANK('RESUMEN VIGILANCIA'!AM9),"",'RESUMEN VIGILANCIA'!AM9)</f>
        <v/>
      </c>
      <c r="AO60" s="401" t="str">
        <f>IF(ISBLANK('RESUMEN VIGILANCIA'!AN9),"",'RESUMEN VIGILANCIA'!AN9)</f>
        <v/>
      </c>
      <c r="AP60" s="399" t="str">
        <f>IF(ISBLANK('RESUMEN VIGILANCIA'!AO9),"",'RESUMEN VIGILANCIA'!AO9)</f>
        <v/>
      </c>
      <c r="AQ60" s="400" t="str">
        <f>IF(ISBLANK('RESUMEN VIGILANCIA'!AP9),"",'RESUMEN VIGILANCIA'!AP9)</f>
        <v/>
      </c>
      <c r="AR60" s="400" t="str">
        <f>IF(ISBLANK('RESUMEN VIGILANCIA'!AQ9),"",'RESUMEN VIGILANCIA'!AQ9)</f>
        <v/>
      </c>
      <c r="AS60" s="400" t="str">
        <f>IF(ISBLANK('RESUMEN VIGILANCIA'!AR9),"",'RESUMEN VIGILANCIA'!AR9)</f>
        <v/>
      </c>
      <c r="AT60" s="400" t="str">
        <f>IF(ISBLANK('RESUMEN VIGILANCIA'!AS9),"",'RESUMEN VIGILANCIA'!AS9)</f>
        <v/>
      </c>
      <c r="AU60" s="400" t="str">
        <f>IF(ISBLANK('RESUMEN VIGILANCIA'!AT9),"",'RESUMEN VIGILANCIA'!AT9)</f>
        <v/>
      </c>
      <c r="AV60" s="400" t="str">
        <f>IF(ISBLANK('RESUMEN VIGILANCIA'!AU9),"",'RESUMEN VIGILANCIA'!AU9)</f>
        <v/>
      </c>
      <c r="AW60" s="400" t="str">
        <f>IF(ISBLANK('RESUMEN VIGILANCIA'!AV9),"",'RESUMEN VIGILANCIA'!AV9)</f>
        <v/>
      </c>
      <c r="AX60" s="400" t="str">
        <f>IF(ISBLANK('RESUMEN VIGILANCIA'!AW9),"",'RESUMEN VIGILANCIA'!AW9)</f>
        <v/>
      </c>
      <c r="AY60" s="400" t="str">
        <f>IF(ISBLANK('RESUMEN VIGILANCIA'!AX9),"",'RESUMEN VIGILANCIA'!AX9)</f>
        <v/>
      </c>
      <c r="AZ60" s="400" t="str">
        <f>IF(ISBLANK('RESUMEN VIGILANCIA'!AY9),"",'RESUMEN VIGILANCIA'!AY9)</f>
        <v/>
      </c>
      <c r="BA60" s="401" t="str">
        <f>IF(ISBLANK('RESUMEN VIGILANCIA'!AZ9),"",'RESUMEN VIGILANCIA'!AZ9)</f>
        <v/>
      </c>
      <c r="BB60" s="243">
        <f t="shared" si="1"/>
        <v>0</v>
      </c>
      <c r="BC60" s="112"/>
      <c r="BD60" s="112"/>
    </row>
    <row r="61" spans="1:56" s="29" customFormat="1" ht="20.100000000000001" customHeight="1" x14ac:dyDescent="0.25">
      <c r="A61" s="30" t="str">
        <f>'RESUMEN VIGILANCIA'!A7</f>
        <v>Familia Barreto Pérez</v>
      </c>
      <c r="B61" s="31" t="str">
        <f>'RESUMEN VIGILANCIA'!B7</f>
        <v>Av. "M" Nro. 146-15</v>
      </c>
      <c r="C61" s="452" t="s">
        <v>1269</v>
      </c>
      <c r="D61" s="460" t="s">
        <v>1268</v>
      </c>
      <c r="E61" s="440" t="str">
        <f>IF(ISBLANK('RESUMEN VIGILANCIA'!D7),"",'RESUMEN VIGILANCIA'!D7)</f>
        <v/>
      </c>
      <c r="F61" s="270">
        <f>IF(ISBLANK('RESUMEN VIGILANCIA'!E7),"",'RESUMEN VIGILANCIA'!E7)</f>
        <v>0.16999999999999998</v>
      </c>
      <c r="G61" s="182">
        <f>IF(ISBLANK('RESUMEN VIGILANCIA'!F7),"",'RESUMEN VIGILANCIA'!F7)</f>
        <v>0.17</v>
      </c>
      <c r="H61" s="182">
        <f>IF(ISBLANK('RESUMEN VIGILANCIA'!G7),"",'RESUMEN VIGILANCIA'!G7)</f>
        <v>0.17</v>
      </c>
      <c r="I61" s="182">
        <f>IF(ISBLANK('RESUMEN VIGILANCIA'!H7),"",'RESUMEN VIGILANCIA'!H7)</f>
        <v>0.17</v>
      </c>
      <c r="J61" s="182">
        <f>IF(ISBLANK('RESUMEN VIGILANCIA'!I7),"",'RESUMEN VIGILANCIA'!I7)</f>
        <v>0.26</v>
      </c>
      <c r="K61" s="182">
        <f>IF(ISBLANK('RESUMEN VIGILANCIA'!J7),"",'RESUMEN VIGILANCIA'!J7)</f>
        <v>0.26</v>
      </c>
      <c r="L61" s="182">
        <f>IF(ISBLANK('RESUMEN VIGILANCIA'!K7),"",'RESUMEN VIGILANCIA'!K7)</f>
        <v>0.35</v>
      </c>
      <c r="M61" s="182">
        <f>IF(ISBLANK('RESUMEN VIGILANCIA'!L7),"",'RESUMEN VIGILANCIA'!L7)</f>
        <v>0.35</v>
      </c>
      <c r="N61" s="182">
        <f>IF(ISBLANK('RESUMEN VIGILANCIA'!M7),"",'RESUMEN VIGILANCIA'!M7)</f>
        <v>0.35</v>
      </c>
      <c r="O61" s="182">
        <f>IF(ISBLANK('RESUMEN VIGILANCIA'!N7),"",'RESUMEN VIGILANCIA'!N7)</f>
        <v>0.35</v>
      </c>
      <c r="P61" s="271">
        <f>IF(ISBLANK('RESUMEN VIGILANCIA'!O7),"",'RESUMEN VIGILANCIA'!O7)</f>
        <v>0.5</v>
      </c>
      <c r="Q61" s="180">
        <f>IF(ISBLANK('RESUMEN VIGILANCIA'!P7),"",'RESUMEN VIGILANCIA'!P7)</f>
        <v>0.5</v>
      </c>
      <c r="R61" s="272">
        <f>IF(ISBLANK('RESUMEN VIGILANCIA'!Q7),"",'RESUMEN VIGILANCIA'!Q7)</f>
        <v>0.8</v>
      </c>
      <c r="S61" s="271">
        <f>IF(ISBLANK('RESUMEN VIGILANCIA'!R7),"",'RESUMEN VIGILANCIA'!R7)</f>
        <v>0.8</v>
      </c>
      <c r="T61" s="271">
        <f>IF(ISBLANK('RESUMEN VIGILANCIA'!S7),"",'RESUMEN VIGILANCIA'!S7)</f>
        <v>1.4</v>
      </c>
      <c r="U61" s="271">
        <f>IF(ISBLANK('RESUMEN VIGILANCIA'!T7),"",'RESUMEN VIGILANCIA'!T7)</f>
        <v>1.4</v>
      </c>
      <c r="V61" s="271">
        <f>IF(ISBLANK('RESUMEN VIGILANCIA'!U7),"",'RESUMEN VIGILANCIA'!U7)</f>
        <v>4</v>
      </c>
      <c r="W61" s="271">
        <f>IF(ISBLANK('RESUMEN VIGILANCIA'!V7),"",'RESUMEN VIGILANCIA'!V7)</f>
        <v>6.25</v>
      </c>
      <c r="X61" s="271">
        <f>IF(ISBLANK('RESUMEN VIGILANCIA'!W7),"",'RESUMEN VIGILANCIA'!W7)</f>
        <v>10</v>
      </c>
      <c r="Y61" s="271">
        <f>IF(ISBLANK('RESUMEN VIGILANCIA'!X7),"",'RESUMEN VIGILANCIA'!X7)</f>
        <v>12</v>
      </c>
      <c r="Z61" s="481">
        <f>IF(ISBLANK('RESUMEN VIGILANCIA'!Y7),"",'RESUMEN VIGILANCIA'!Y7)</f>
        <v>320</v>
      </c>
      <c r="AA61" s="481">
        <f>IF(ISBLANK('RESUMEN VIGILANCIA'!Z7),"",'RESUMEN VIGILANCIA'!Z7)</f>
        <v>320</v>
      </c>
      <c r="AB61" s="481">
        <f>IF(ISBLANK('RESUMEN VIGILANCIA'!AA7),"",'RESUMEN VIGILANCIA'!AA7)</f>
        <v>320</v>
      </c>
      <c r="AC61" s="482">
        <f>IF(ISBLANK('RESUMEN VIGILANCIA'!AB7),"",'RESUMEN VIGILANCIA'!AB7)</f>
        <v>800</v>
      </c>
      <c r="AD61" s="399">
        <f>IF(ISBLANK('RESUMEN VIGILANCIA'!AC7),"",'RESUMEN VIGILANCIA'!AC7)</f>
        <v>3000</v>
      </c>
      <c r="AE61" s="400">
        <f>IF(ISBLANK('RESUMEN VIGILANCIA'!AD7),"",'RESUMEN VIGILANCIA'!AD7)</f>
        <v>3000</v>
      </c>
      <c r="AF61" s="400">
        <f>IF(ISBLANK('RESUMEN VIGILANCIA'!AE7),"",'RESUMEN VIGILANCIA'!AE7)</f>
        <v>3000</v>
      </c>
      <c r="AG61" s="400">
        <f>IF(ISBLANK('RESUMEN VIGILANCIA'!AF7),"",'RESUMEN VIGILANCIA'!AF7)</f>
        <v>5000</v>
      </c>
      <c r="AH61" s="400">
        <f>IF(ISBLANK('RESUMEN VIGILANCIA'!AG7),"",'RESUMEN VIGILANCIA'!AG7)</f>
        <v>8000</v>
      </c>
      <c r="AI61" s="400">
        <f>IF(ISBLANK('RESUMEN VIGILANCIA'!AH7),"",'RESUMEN VIGILANCIA'!AH7)</f>
        <v>8000</v>
      </c>
      <c r="AJ61" s="400">
        <f>IF(ISBLANK('RESUMEN VIGILANCIA'!AI7),"",'RESUMEN VIGILANCIA'!AI7)</f>
        <v>10000</v>
      </c>
      <c r="AK61" s="400">
        <f>IF(ISBLANK('RESUMEN VIGILANCIA'!AJ7),"",'RESUMEN VIGILANCIA'!AJ7)</f>
        <v>10000</v>
      </c>
      <c r="AL61" s="400">
        <f>IF(ISBLANK('RESUMEN VIGILANCIA'!AK7),"",'RESUMEN VIGILANCIA'!AK7)</f>
        <v>22000</v>
      </c>
      <c r="AM61" s="400">
        <f>IF(ISBLANK('RESUMEN VIGILANCIA'!AL7),"",'RESUMEN VIGILANCIA'!AL7)</f>
        <v>47000</v>
      </c>
      <c r="AN61" s="400">
        <f>IF(ISBLANK('RESUMEN VIGILANCIA'!AM7),"",'RESUMEN VIGILANCIA'!AM7)</f>
        <v>51250</v>
      </c>
      <c r="AO61" s="401">
        <f>IF(ISBLANK('RESUMEN VIGILANCIA'!AN7),"",'RESUMEN VIGILANCIA'!AN7)</f>
        <v>81750</v>
      </c>
      <c r="AP61" s="399">
        <f>IF(ISBLANK('RESUMEN VIGILANCIA'!AO7),"",'RESUMEN VIGILANCIA'!AO7)</f>
        <v>136250</v>
      </c>
      <c r="AQ61" s="400">
        <f>IF(ISBLANK('RESUMEN VIGILANCIA'!AP7),"",'RESUMEN VIGILANCIA'!AP7)</f>
        <v>136250</v>
      </c>
      <c r="AR61" s="400" t="str">
        <f>IF(ISBLANK('RESUMEN VIGILANCIA'!AQ7),"",'RESUMEN VIGILANCIA'!AQ7)</f>
        <v/>
      </c>
      <c r="AS61" s="400" t="str">
        <f>IF(ISBLANK('RESUMEN VIGILANCIA'!AR7),"",'RESUMEN VIGILANCIA'!AR7)</f>
        <v/>
      </c>
      <c r="AT61" s="400" t="str">
        <f>IF(ISBLANK('RESUMEN VIGILANCIA'!AS7),"",'RESUMEN VIGILANCIA'!AS7)</f>
        <v/>
      </c>
      <c r="AU61" s="400" t="str">
        <f>IF(ISBLANK('RESUMEN VIGILANCIA'!AT7),"",'RESUMEN VIGILANCIA'!AT7)</f>
        <v/>
      </c>
      <c r="AV61" s="400" t="str">
        <f>IF(ISBLANK('RESUMEN VIGILANCIA'!AU7),"",'RESUMEN VIGILANCIA'!AU7)</f>
        <v/>
      </c>
      <c r="AW61" s="400" t="str">
        <f>IF(ISBLANK('RESUMEN VIGILANCIA'!AV7),"",'RESUMEN VIGILANCIA'!AV7)</f>
        <v/>
      </c>
      <c r="AX61" s="400" t="str">
        <f>IF(ISBLANK('RESUMEN VIGILANCIA'!AW7),"",'RESUMEN VIGILANCIA'!AW7)</f>
        <v/>
      </c>
      <c r="AY61" s="400" t="str">
        <f>IF(ISBLANK('RESUMEN VIGILANCIA'!AX7),"",'RESUMEN VIGILANCIA'!AX7)</f>
        <v/>
      </c>
      <c r="AZ61" s="400" t="str">
        <f>IF(ISBLANK('RESUMEN VIGILANCIA'!AY7),"",'RESUMEN VIGILANCIA'!AY7)</f>
        <v/>
      </c>
      <c r="BA61" s="401" t="str">
        <f>IF(ISBLANK('RESUMEN VIGILANCIA'!AZ7),"",'RESUMEN VIGILANCIA'!AZ7)</f>
        <v/>
      </c>
      <c r="BB61" s="243">
        <f t="shared" si="1"/>
        <v>253800.25</v>
      </c>
      <c r="BC61" s="112"/>
      <c r="BD61" s="112"/>
    </row>
    <row r="62" spans="1:56" s="29" customFormat="1" ht="20.100000000000001" customHeight="1" x14ac:dyDescent="0.25">
      <c r="A62" s="30" t="str">
        <f>'RESUMEN VIGILANCIA'!A15</f>
        <v>Familia Coronel</v>
      </c>
      <c r="B62" s="31" t="str">
        <f>'RESUMEN VIGILANCIA'!B15</f>
        <v>Av. "O" Nro. 146-10</v>
      </c>
      <c r="C62" s="452" t="s">
        <v>1273</v>
      </c>
      <c r="D62" s="460" t="s">
        <v>17</v>
      </c>
      <c r="E62" s="440" t="str">
        <f>IF(ISBLANK('RESUMEN VIGILANCIA'!D15),"",'RESUMEN VIGILANCIA'!D15)</f>
        <v/>
      </c>
      <c r="F62" s="270" t="str">
        <f>IF(ISBLANK('RESUMEN VIGILANCIA'!E15),"",'RESUMEN VIGILANCIA'!E15)</f>
        <v/>
      </c>
      <c r="G62" s="182" t="str">
        <f>IF(ISBLANK('RESUMEN VIGILANCIA'!F15),"",'RESUMEN VIGILANCIA'!F15)</f>
        <v/>
      </c>
      <c r="H62" s="182" t="str">
        <f>IF(ISBLANK('RESUMEN VIGILANCIA'!G15),"",'RESUMEN VIGILANCIA'!G15)</f>
        <v/>
      </c>
      <c r="I62" s="182" t="str">
        <f>IF(ISBLANK('RESUMEN VIGILANCIA'!H15),"",'RESUMEN VIGILANCIA'!H15)</f>
        <v/>
      </c>
      <c r="J62" s="182" t="str">
        <f>IF(ISBLANK('RESUMEN VIGILANCIA'!I15),"",'RESUMEN VIGILANCIA'!I15)</f>
        <v/>
      </c>
      <c r="K62" s="182" t="str">
        <f>IF(ISBLANK('RESUMEN VIGILANCIA'!J15),"",'RESUMEN VIGILANCIA'!J15)</f>
        <v/>
      </c>
      <c r="L62" s="182" t="str">
        <f>IF(ISBLANK('RESUMEN VIGILANCIA'!K15),"",'RESUMEN VIGILANCIA'!K15)</f>
        <v/>
      </c>
      <c r="M62" s="182" t="str">
        <f>IF(ISBLANK('RESUMEN VIGILANCIA'!L15),"",'RESUMEN VIGILANCIA'!L15)</f>
        <v/>
      </c>
      <c r="N62" s="182" t="str">
        <f>IF(ISBLANK('RESUMEN VIGILANCIA'!M15),"",'RESUMEN VIGILANCIA'!M15)</f>
        <v/>
      </c>
      <c r="O62" s="182" t="str">
        <f>IF(ISBLANK('RESUMEN VIGILANCIA'!N15),"",'RESUMEN VIGILANCIA'!N15)</f>
        <v/>
      </c>
      <c r="P62" s="271" t="str">
        <f>IF(ISBLANK('RESUMEN VIGILANCIA'!O15),"",'RESUMEN VIGILANCIA'!O15)</f>
        <v/>
      </c>
      <c r="Q62" s="180" t="str">
        <f>IF(ISBLANK('RESUMEN VIGILANCIA'!P15),"",'RESUMEN VIGILANCIA'!P15)</f>
        <v/>
      </c>
      <c r="R62" s="272" t="str">
        <f>IF(ISBLANK('RESUMEN VIGILANCIA'!Q15),"",'RESUMEN VIGILANCIA'!Q15)</f>
        <v/>
      </c>
      <c r="S62" s="271" t="str">
        <f>IF(ISBLANK('RESUMEN VIGILANCIA'!R15),"",'RESUMEN VIGILANCIA'!R15)</f>
        <v/>
      </c>
      <c r="T62" s="271" t="str">
        <f>IF(ISBLANK('RESUMEN VIGILANCIA'!S15),"",'RESUMEN VIGILANCIA'!S15)</f>
        <v/>
      </c>
      <c r="U62" s="271" t="str">
        <f>IF(ISBLANK('RESUMEN VIGILANCIA'!T15),"",'RESUMEN VIGILANCIA'!T15)</f>
        <v/>
      </c>
      <c r="V62" s="271" t="str">
        <f>IF(ISBLANK('RESUMEN VIGILANCIA'!U15),"",'RESUMEN VIGILANCIA'!U15)</f>
        <v/>
      </c>
      <c r="W62" s="271" t="str">
        <f>IF(ISBLANK('RESUMEN VIGILANCIA'!V15),"",'RESUMEN VIGILANCIA'!V15)</f>
        <v/>
      </c>
      <c r="X62" s="271" t="str">
        <f>IF(ISBLANK('RESUMEN VIGILANCIA'!W15),"",'RESUMEN VIGILANCIA'!W15)</f>
        <v/>
      </c>
      <c r="Y62" s="271" t="str">
        <f>IF(ISBLANK('RESUMEN VIGILANCIA'!X15),"",'RESUMEN VIGILANCIA'!X15)</f>
        <v/>
      </c>
      <c r="Z62" s="481" t="str">
        <f>IF(ISBLANK('RESUMEN VIGILANCIA'!Y15),"",'RESUMEN VIGILANCIA'!Y15)</f>
        <v/>
      </c>
      <c r="AA62" s="481" t="str">
        <f>IF(ISBLANK('RESUMEN VIGILANCIA'!Z15),"",'RESUMEN VIGILANCIA'!Z15)</f>
        <v/>
      </c>
      <c r="AB62" s="481" t="str">
        <f>IF(ISBLANK('RESUMEN VIGILANCIA'!AA15),"",'RESUMEN VIGILANCIA'!AA15)</f>
        <v/>
      </c>
      <c r="AC62" s="482" t="str">
        <f>IF(ISBLANK('RESUMEN VIGILANCIA'!AB15),"",'RESUMEN VIGILANCIA'!AB15)</f>
        <v/>
      </c>
      <c r="AD62" s="399" t="str">
        <f>IF(ISBLANK('RESUMEN VIGILANCIA'!AC15),"",'RESUMEN VIGILANCIA'!AC15)</f>
        <v/>
      </c>
      <c r="AE62" s="400" t="str">
        <f>IF(ISBLANK('RESUMEN VIGILANCIA'!AD15),"",'RESUMEN VIGILANCIA'!AD15)</f>
        <v/>
      </c>
      <c r="AF62" s="400" t="str">
        <f>IF(ISBLANK('RESUMEN VIGILANCIA'!AE15),"",'RESUMEN VIGILANCIA'!AE15)</f>
        <v/>
      </c>
      <c r="AG62" s="400" t="str">
        <f>IF(ISBLANK('RESUMEN VIGILANCIA'!AF15),"",'RESUMEN VIGILANCIA'!AF15)</f>
        <v/>
      </c>
      <c r="AH62" s="400" t="str">
        <f>IF(ISBLANK('RESUMEN VIGILANCIA'!AG15),"",'RESUMEN VIGILANCIA'!AG15)</f>
        <v/>
      </c>
      <c r="AI62" s="400" t="str">
        <f>IF(ISBLANK('RESUMEN VIGILANCIA'!AH15),"",'RESUMEN VIGILANCIA'!AH15)</f>
        <v/>
      </c>
      <c r="AJ62" s="400" t="str">
        <f>IF(ISBLANK('RESUMEN VIGILANCIA'!AI15),"",'RESUMEN VIGILANCIA'!AI15)</f>
        <v/>
      </c>
      <c r="AK62" s="400" t="str">
        <f>IF(ISBLANK('RESUMEN VIGILANCIA'!AJ15),"",'RESUMEN VIGILANCIA'!AJ15)</f>
        <v/>
      </c>
      <c r="AL62" s="400" t="str">
        <f>IF(ISBLANK('RESUMEN VIGILANCIA'!AK15),"",'RESUMEN VIGILANCIA'!AK15)</f>
        <v/>
      </c>
      <c r="AM62" s="400" t="str">
        <f>IF(ISBLANK('RESUMEN VIGILANCIA'!AL15),"",'RESUMEN VIGILANCIA'!AL15)</f>
        <v/>
      </c>
      <c r="AN62" s="400" t="str">
        <f>IF(ISBLANK('RESUMEN VIGILANCIA'!AM15),"",'RESUMEN VIGILANCIA'!AM15)</f>
        <v/>
      </c>
      <c r="AO62" s="401" t="str">
        <f>IF(ISBLANK('RESUMEN VIGILANCIA'!AN15),"",'RESUMEN VIGILANCIA'!AN15)</f>
        <v/>
      </c>
      <c r="AP62" s="399" t="str">
        <f>IF(ISBLANK('RESUMEN VIGILANCIA'!AO15),"",'RESUMEN VIGILANCIA'!AO15)</f>
        <v/>
      </c>
      <c r="AQ62" s="400" t="str">
        <f>IF(ISBLANK('RESUMEN VIGILANCIA'!AP15),"",'RESUMEN VIGILANCIA'!AP15)</f>
        <v/>
      </c>
      <c r="AR62" s="400" t="str">
        <f>IF(ISBLANK('RESUMEN VIGILANCIA'!AQ15),"",'RESUMEN VIGILANCIA'!AQ15)</f>
        <v/>
      </c>
      <c r="AS62" s="400" t="str">
        <f>IF(ISBLANK('RESUMEN VIGILANCIA'!AR15),"",'RESUMEN VIGILANCIA'!AR15)</f>
        <v/>
      </c>
      <c r="AT62" s="400" t="str">
        <f>IF(ISBLANK('RESUMEN VIGILANCIA'!AS15),"",'RESUMEN VIGILANCIA'!AS15)</f>
        <v/>
      </c>
      <c r="AU62" s="400" t="str">
        <f>IF(ISBLANK('RESUMEN VIGILANCIA'!AT15),"",'RESUMEN VIGILANCIA'!AT15)</f>
        <v/>
      </c>
      <c r="AV62" s="400" t="str">
        <f>IF(ISBLANK('RESUMEN VIGILANCIA'!AU15),"",'RESUMEN VIGILANCIA'!AU15)</f>
        <v/>
      </c>
      <c r="AW62" s="400" t="str">
        <f>IF(ISBLANK('RESUMEN VIGILANCIA'!AV15),"",'RESUMEN VIGILANCIA'!AV15)</f>
        <v/>
      </c>
      <c r="AX62" s="400" t="str">
        <f>IF(ISBLANK('RESUMEN VIGILANCIA'!AW15),"",'RESUMEN VIGILANCIA'!AW15)</f>
        <v/>
      </c>
      <c r="AY62" s="400" t="str">
        <f>IF(ISBLANK('RESUMEN VIGILANCIA'!AX15),"",'RESUMEN VIGILANCIA'!AX15)</f>
        <v/>
      </c>
      <c r="AZ62" s="400" t="str">
        <f>IF(ISBLANK('RESUMEN VIGILANCIA'!AY15),"",'RESUMEN VIGILANCIA'!AY15)</f>
        <v/>
      </c>
      <c r="BA62" s="401" t="str">
        <f>IF(ISBLANK('RESUMEN VIGILANCIA'!AZ15),"",'RESUMEN VIGILANCIA'!AZ15)</f>
        <v/>
      </c>
      <c r="BB62" s="243">
        <f t="shared" si="1"/>
        <v>0</v>
      </c>
      <c r="BC62" s="112"/>
      <c r="BD62" s="112"/>
    </row>
    <row r="63" spans="1:56" s="29" customFormat="1" ht="20.100000000000001" customHeight="1" x14ac:dyDescent="0.25">
      <c r="A63" s="30" t="str">
        <f>'RESUMEN VIGILANCIA'!A2</f>
        <v>Familia Scabuzzo Gómez</v>
      </c>
      <c r="B63" s="31" t="str">
        <f>'RESUMEN VIGILANCIA'!B2</f>
        <v>Av. "I" Nro. 146-20</v>
      </c>
      <c r="C63" s="452" t="s">
        <v>1269</v>
      </c>
      <c r="D63" s="460"/>
      <c r="E63" s="440" t="str">
        <f>IF(ISBLANK('RESUMEN VIGILANCIA'!D2),"",'RESUMEN VIGILANCIA'!D2)</f>
        <v/>
      </c>
      <c r="F63" s="270">
        <f>IF(ISBLANK('RESUMEN VIGILANCIA'!E2),"",'RESUMEN VIGILANCIA'!E2)</f>
        <v>0.17</v>
      </c>
      <c r="G63" s="182">
        <f>IF(ISBLANK('RESUMEN VIGILANCIA'!F2),"",'RESUMEN VIGILANCIA'!F2)</f>
        <v>0.17</v>
      </c>
      <c r="H63" s="182">
        <f>IF(ISBLANK('RESUMEN VIGILANCIA'!G2),"",'RESUMEN VIGILANCIA'!G2)</f>
        <v>0.17</v>
      </c>
      <c r="I63" s="182">
        <f>IF(ISBLANK('RESUMEN VIGILANCIA'!H2),"",'RESUMEN VIGILANCIA'!H2)</f>
        <v>0.17</v>
      </c>
      <c r="J63" s="183">
        <f>IF(ISBLANK('RESUMEN VIGILANCIA'!I2),"",'RESUMEN VIGILANCIA'!I2)</f>
        <v>0.17</v>
      </c>
      <c r="K63" s="182">
        <f>IF(ISBLANK('RESUMEN VIGILANCIA'!J2),"",'RESUMEN VIGILANCIA'!J2)</f>
        <v>0.26</v>
      </c>
      <c r="L63" s="182">
        <f>IF(ISBLANK('RESUMEN VIGILANCIA'!K2),"",'RESUMEN VIGILANCIA'!K2)</f>
        <v>0.35</v>
      </c>
      <c r="M63" s="182">
        <f>IF(ISBLANK('RESUMEN VIGILANCIA'!L2),"",'RESUMEN VIGILANCIA'!L2)</f>
        <v>0.35</v>
      </c>
      <c r="N63" s="182">
        <f>IF(ISBLANK('RESUMEN VIGILANCIA'!M2),"",'RESUMEN VIGILANCIA'!M2)</f>
        <v>0.35</v>
      </c>
      <c r="O63" s="182">
        <f>IF(ISBLANK('RESUMEN VIGILANCIA'!N2),"",'RESUMEN VIGILANCIA'!N2)</f>
        <v>0.35</v>
      </c>
      <c r="P63" s="271">
        <f>IF(ISBLANK('RESUMEN VIGILANCIA'!O2),"",'RESUMEN VIGILANCIA'!O2)</f>
        <v>0.5</v>
      </c>
      <c r="Q63" s="180">
        <f>IF(ISBLANK('RESUMEN VIGILANCIA'!P2),"",'RESUMEN VIGILANCIA'!P2)</f>
        <v>0.5</v>
      </c>
      <c r="R63" s="272">
        <f>IF(ISBLANK('RESUMEN VIGILANCIA'!Q2),"",'RESUMEN VIGILANCIA'!Q2)</f>
        <v>0.8</v>
      </c>
      <c r="S63" s="271">
        <f>IF(ISBLANK('RESUMEN VIGILANCIA'!R2),"",'RESUMEN VIGILANCIA'!R2)</f>
        <v>0.8</v>
      </c>
      <c r="T63" s="271">
        <f>IF(ISBLANK('RESUMEN VIGILANCIA'!S2),"",'RESUMEN VIGILANCIA'!S2)</f>
        <v>1.4</v>
      </c>
      <c r="U63" s="271">
        <f>IF(ISBLANK('RESUMEN VIGILANCIA'!T2),"",'RESUMEN VIGILANCIA'!T2)</f>
        <v>1.4</v>
      </c>
      <c r="V63" s="271">
        <f>IF(ISBLANK('RESUMEN VIGILANCIA'!U2),"",'RESUMEN VIGILANCIA'!U2)</f>
        <v>4</v>
      </c>
      <c r="W63" s="271">
        <f>IF(ISBLANK('RESUMEN VIGILANCIA'!V2),"",'RESUMEN VIGILANCIA'!V2)</f>
        <v>6.25</v>
      </c>
      <c r="X63" s="271">
        <f>IF(ISBLANK('RESUMEN VIGILANCIA'!W2),"",'RESUMEN VIGILANCIA'!W2)</f>
        <v>10</v>
      </c>
      <c r="Y63" s="271">
        <f>IF(ISBLANK('RESUMEN VIGILANCIA'!X2),"",'RESUMEN VIGILANCIA'!X2)</f>
        <v>12</v>
      </c>
      <c r="Z63" s="481">
        <f>IF(ISBLANK('RESUMEN VIGILANCIA'!Y2),"",'RESUMEN VIGILANCIA'!Y2)</f>
        <v>320</v>
      </c>
      <c r="AA63" s="481">
        <f>IF(ISBLANK('RESUMEN VIGILANCIA'!Z2),"",'RESUMEN VIGILANCIA'!Z2)</f>
        <v>320</v>
      </c>
      <c r="AB63" s="481">
        <f>IF(ISBLANK('RESUMEN VIGILANCIA'!AA2),"",'RESUMEN VIGILANCIA'!AA2)</f>
        <v>350</v>
      </c>
      <c r="AC63" s="482">
        <f>IF(ISBLANK('RESUMEN VIGILANCIA'!AB2),"",'RESUMEN VIGILANCIA'!AB2)</f>
        <v>800</v>
      </c>
      <c r="AD63" s="399">
        <f>IF(ISBLANK('RESUMEN VIGILANCIA'!AC2),"",'RESUMEN VIGILANCIA'!AC2)</f>
        <v>3000</v>
      </c>
      <c r="AE63" s="400">
        <f>IF(ISBLANK('RESUMEN VIGILANCIA'!AD2),"",'RESUMEN VIGILANCIA'!AD2)</f>
        <v>3000</v>
      </c>
      <c r="AF63" s="400">
        <f>IF(ISBLANK('RESUMEN VIGILANCIA'!AE2),"",'RESUMEN VIGILANCIA'!AE2)</f>
        <v>3000</v>
      </c>
      <c r="AG63" s="400">
        <f>IF(ISBLANK('RESUMEN VIGILANCIA'!AF2),"",'RESUMEN VIGILANCIA'!AF2)</f>
        <v>5000</v>
      </c>
      <c r="AH63" s="400">
        <f>IF(ISBLANK('RESUMEN VIGILANCIA'!AG2),"",'RESUMEN VIGILANCIA'!AG2)</f>
        <v>8000</v>
      </c>
      <c r="AI63" s="400">
        <f>IF(ISBLANK('RESUMEN VIGILANCIA'!AH2),"",'RESUMEN VIGILANCIA'!AH2)</f>
        <v>8000</v>
      </c>
      <c r="AJ63" s="400">
        <f>IF(ISBLANK('RESUMEN VIGILANCIA'!AI2),"",'RESUMEN VIGILANCIA'!AI2)</f>
        <v>10000</v>
      </c>
      <c r="AK63" s="400">
        <f>IF(ISBLANK('RESUMEN VIGILANCIA'!AJ2),"",'RESUMEN VIGILANCIA'!AJ2)</f>
        <v>10000</v>
      </c>
      <c r="AL63" s="400">
        <f>IF(ISBLANK('RESUMEN VIGILANCIA'!AK2),"",'RESUMEN VIGILANCIA'!AK2)</f>
        <v>21100</v>
      </c>
      <c r="AM63" s="400">
        <f>IF(ISBLANK('RESUMEN VIGILANCIA'!AL2),"",'RESUMEN VIGILANCIA'!AL2)</f>
        <v>51250</v>
      </c>
      <c r="AN63" s="400">
        <f>IF(ISBLANK('RESUMEN VIGILANCIA'!AM2),"",'RESUMEN VIGILANCIA'!AM2)</f>
        <v>73500</v>
      </c>
      <c r="AO63" s="401" t="str">
        <f>IF(ISBLANK('RESUMEN VIGILANCIA'!AN2),"",'RESUMEN VIGILANCIA'!AN2)</f>
        <v/>
      </c>
      <c r="AP63" s="399" t="str">
        <f>IF(ISBLANK('RESUMEN VIGILANCIA'!AO2),"",'RESUMEN VIGILANCIA'!AO2)</f>
        <v/>
      </c>
      <c r="AQ63" s="400" t="str">
        <f>IF(ISBLANK('RESUMEN VIGILANCIA'!AP2),"",'RESUMEN VIGILANCIA'!AP2)</f>
        <v/>
      </c>
      <c r="AR63" s="400" t="str">
        <f>IF(ISBLANK('RESUMEN VIGILANCIA'!AQ2),"",'RESUMEN VIGILANCIA'!AQ2)</f>
        <v/>
      </c>
      <c r="AS63" s="400" t="str">
        <f>IF(ISBLANK('RESUMEN VIGILANCIA'!AR2),"",'RESUMEN VIGILANCIA'!AR2)</f>
        <v/>
      </c>
      <c r="AT63" s="400" t="str">
        <f>IF(ISBLANK('RESUMEN VIGILANCIA'!AS2),"",'RESUMEN VIGILANCIA'!AS2)</f>
        <v/>
      </c>
      <c r="AU63" s="400" t="str">
        <f>IF(ISBLANK('RESUMEN VIGILANCIA'!AT2),"",'RESUMEN VIGILANCIA'!AT2)</f>
        <v/>
      </c>
      <c r="AV63" s="400" t="str">
        <f>IF(ISBLANK('RESUMEN VIGILANCIA'!AU2),"",'RESUMEN VIGILANCIA'!AU2)</f>
        <v/>
      </c>
      <c r="AW63" s="400" t="str">
        <f>IF(ISBLANK('RESUMEN VIGILANCIA'!AV2),"",'RESUMEN VIGILANCIA'!AV2)</f>
        <v/>
      </c>
      <c r="AX63" s="400" t="str">
        <f>IF(ISBLANK('RESUMEN VIGILANCIA'!AW2),"",'RESUMEN VIGILANCIA'!AW2)</f>
        <v/>
      </c>
      <c r="AY63" s="400" t="str">
        <f>IF(ISBLANK('RESUMEN VIGILANCIA'!AX2),"",'RESUMEN VIGILANCIA'!AX2)</f>
        <v/>
      </c>
      <c r="AZ63" s="400" t="str">
        <f>IF(ISBLANK('RESUMEN VIGILANCIA'!AY2),"",'RESUMEN VIGILANCIA'!AY2)</f>
        <v/>
      </c>
      <c r="BA63" s="401" t="str">
        <f>IF(ISBLANK('RESUMEN VIGILANCIA'!AZ2),"",'RESUMEN VIGILANCIA'!AZ2)</f>
        <v/>
      </c>
      <c r="BB63" s="241">
        <f t="shared" si="1"/>
        <v>197680.16</v>
      </c>
      <c r="BC63" s="114"/>
      <c r="BD63" s="114"/>
    </row>
    <row r="64" spans="1:56" s="29" customFormat="1" ht="20.100000000000001" customHeight="1" x14ac:dyDescent="0.25">
      <c r="A64" s="33" t="str">
        <f>'RESUMEN VIGILANCIA'!A3</f>
        <v>Familia Hoyte Rafmari</v>
      </c>
      <c r="B64" s="34" t="str">
        <f>'RESUMEN VIGILANCIA'!B3</f>
        <v>Av. "I" Nro. 146-30</v>
      </c>
      <c r="C64" s="451" t="s">
        <v>1270</v>
      </c>
      <c r="D64" s="461" t="s">
        <v>1268</v>
      </c>
      <c r="E64" s="439" t="str">
        <f>IF(ISBLANK('RESUMEN VIGILANCIA'!D3),"",'RESUMEN VIGILANCIA'!D3)</f>
        <v/>
      </c>
      <c r="F64" s="267">
        <f>IF(ISBLANK('RESUMEN VIGILANCIA'!E3),"",'RESUMEN VIGILANCIA'!E3)</f>
        <v>0.105</v>
      </c>
      <c r="G64" s="189">
        <f>IF(ISBLANK('RESUMEN VIGILANCIA'!F3),"",'RESUMEN VIGILANCIA'!F3)</f>
        <v>0.105</v>
      </c>
      <c r="H64" s="189">
        <f>IF(ISBLANK('RESUMEN VIGILANCIA'!G3),"",'RESUMEN VIGILANCIA'!G3)</f>
        <v>0.105</v>
      </c>
      <c r="I64" s="189" t="str">
        <f>IF(ISBLANK('RESUMEN VIGILANCIA'!H3),"",'RESUMEN VIGILANCIA'!H3)</f>
        <v/>
      </c>
      <c r="J64" s="189" t="str">
        <f>IF(ISBLANK('RESUMEN VIGILANCIA'!I3),"",'RESUMEN VIGILANCIA'!I3)</f>
        <v/>
      </c>
      <c r="K64" s="189" t="str">
        <f>IF(ISBLANK('RESUMEN VIGILANCIA'!J3),"",'RESUMEN VIGILANCIA'!J3)</f>
        <v/>
      </c>
      <c r="L64" s="189" t="str">
        <f>IF(ISBLANK('RESUMEN VIGILANCIA'!K3),"",'RESUMEN VIGILANCIA'!K3)</f>
        <v/>
      </c>
      <c r="M64" s="189" t="str">
        <f>IF(ISBLANK('RESUMEN VIGILANCIA'!L3),"",'RESUMEN VIGILANCIA'!L3)</f>
        <v/>
      </c>
      <c r="N64" s="189" t="str">
        <f>IF(ISBLANK('RESUMEN VIGILANCIA'!M3),"",'RESUMEN VIGILANCIA'!M3)</f>
        <v/>
      </c>
      <c r="O64" s="189" t="str">
        <f>IF(ISBLANK('RESUMEN VIGILANCIA'!N3),"",'RESUMEN VIGILANCIA'!N3)</f>
        <v/>
      </c>
      <c r="P64" s="268" t="str">
        <f>IF(ISBLANK('RESUMEN VIGILANCIA'!O3),"",'RESUMEN VIGILANCIA'!O3)</f>
        <v/>
      </c>
      <c r="Q64" s="187" t="str">
        <f>IF(ISBLANK('RESUMEN VIGILANCIA'!P3),"",'RESUMEN VIGILANCIA'!P3)</f>
        <v/>
      </c>
      <c r="R64" s="269" t="str">
        <f>IF(ISBLANK('RESUMEN VIGILANCIA'!Q3),"",'RESUMEN VIGILANCIA'!Q3)</f>
        <v/>
      </c>
      <c r="S64" s="268" t="str">
        <f>IF(ISBLANK('RESUMEN VIGILANCIA'!R3),"",'RESUMEN VIGILANCIA'!R3)</f>
        <v/>
      </c>
      <c r="T64" s="268" t="str">
        <f>IF(ISBLANK('RESUMEN VIGILANCIA'!S3),"",'RESUMEN VIGILANCIA'!S3)</f>
        <v/>
      </c>
      <c r="U64" s="268" t="str">
        <f>IF(ISBLANK('RESUMEN VIGILANCIA'!T3),"",'RESUMEN VIGILANCIA'!T3)</f>
        <v/>
      </c>
      <c r="V64" s="268" t="str">
        <f>IF(ISBLANK('RESUMEN VIGILANCIA'!U3),"",'RESUMEN VIGILANCIA'!U3)</f>
        <v/>
      </c>
      <c r="W64" s="268" t="str">
        <f>IF(ISBLANK('RESUMEN VIGILANCIA'!V3),"",'RESUMEN VIGILANCIA'!V3)</f>
        <v/>
      </c>
      <c r="X64" s="268" t="str">
        <f>IF(ISBLANK('RESUMEN VIGILANCIA'!W3),"",'RESUMEN VIGILANCIA'!W3)</f>
        <v/>
      </c>
      <c r="Y64" s="268" t="str">
        <f>IF(ISBLANK('RESUMEN VIGILANCIA'!X3),"",'RESUMEN VIGILANCIA'!X3)</f>
        <v/>
      </c>
      <c r="Z64" s="485" t="str">
        <f>IF(ISBLANK('RESUMEN VIGILANCIA'!Y3),"",'RESUMEN VIGILANCIA'!Y3)</f>
        <v/>
      </c>
      <c r="AA64" s="485" t="str">
        <f>IF(ISBLANK('RESUMEN VIGILANCIA'!Z3),"",'RESUMEN VIGILANCIA'!Z3)</f>
        <v/>
      </c>
      <c r="AB64" s="485" t="str">
        <f>IF(ISBLANK('RESUMEN VIGILANCIA'!AA3),"",'RESUMEN VIGILANCIA'!AA3)</f>
        <v/>
      </c>
      <c r="AC64" s="486" t="str">
        <f>IF(ISBLANK('RESUMEN VIGILANCIA'!AB3),"",'RESUMEN VIGILANCIA'!AB3)</f>
        <v/>
      </c>
      <c r="AD64" s="396" t="str">
        <f>IF(ISBLANK('RESUMEN VIGILANCIA'!AC3),"",'RESUMEN VIGILANCIA'!AC3)</f>
        <v/>
      </c>
      <c r="AE64" s="397" t="str">
        <f>IF(ISBLANK('RESUMEN VIGILANCIA'!AD3),"",'RESUMEN VIGILANCIA'!AD3)</f>
        <v/>
      </c>
      <c r="AF64" s="397" t="str">
        <f>IF(ISBLANK('RESUMEN VIGILANCIA'!AE3),"",'RESUMEN VIGILANCIA'!AE3)</f>
        <v/>
      </c>
      <c r="AG64" s="397" t="str">
        <f>IF(ISBLANK('RESUMEN VIGILANCIA'!AF3),"",'RESUMEN VIGILANCIA'!AF3)</f>
        <v/>
      </c>
      <c r="AH64" s="397" t="str">
        <f>IF(ISBLANK('RESUMEN VIGILANCIA'!AG3),"",'RESUMEN VIGILANCIA'!AG3)</f>
        <v/>
      </c>
      <c r="AI64" s="397" t="str">
        <f>IF(ISBLANK('RESUMEN VIGILANCIA'!AH3),"",'RESUMEN VIGILANCIA'!AH3)</f>
        <v/>
      </c>
      <c r="AJ64" s="397" t="str">
        <f>IF(ISBLANK('RESUMEN VIGILANCIA'!AI3),"",'RESUMEN VIGILANCIA'!AI3)</f>
        <v/>
      </c>
      <c r="AK64" s="397" t="str">
        <f>IF(ISBLANK('RESUMEN VIGILANCIA'!AJ3),"",'RESUMEN VIGILANCIA'!AJ3)</f>
        <v/>
      </c>
      <c r="AL64" s="397" t="str">
        <f>IF(ISBLANK('RESUMEN VIGILANCIA'!AK3),"",'RESUMEN VIGILANCIA'!AK3)</f>
        <v/>
      </c>
      <c r="AM64" s="397" t="str">
        <f>IF(ISBLANK('RESUMEN VIGILANCIA'!AL3),"",'RESUMEN VIGILANCIA'!AL3)</f>
        <v/>
      </c>
      <c r="AN64" s="397" t="str">
        <f>IF(ISBLANK('RESUMEN VIGILANCIA'!AM3),"",'RESUMEN VIGILANCIA'!AM3)</f>
        <v/>
      </c>
      <c r="AO64" s="398" t="str">
        <f>IF(ISBLANK('RESUMEN VIGILANCIA'!AN3),"",'RESUMEN VIGILANCIA'!AN3)</f>
        <v/>
      </c>
      <c r="AP64" s="396" t="str">
        <f>IF(ISBLANK('RESUMEN VIGILANCIA'!AO3),"",'RESUMEN VIGILANCIA'!AO3)</f>
        <v/>
      </c>
      <c r="AQ64" s="397" t="str">
        <f>IF(ISBLANK('RESUMEN VIGILANCIA'!AP3),"",'RESUMEN VIGILANCIA'!AP3)</f>
        <v/>
      </c>
      <c r="AR64" s="397" t="str">
        <f>IF(ISBLANK('RESUMEN VIGILANCIA'!AQ3),"",'RESUMEN VIGILANCIA'!AQ3)</f>
        <v/>
      </c>
      <c r="AS64" s="397" t="str">
        <f>IF(ISBLANK('RESUMEN VIGILANCIA'!AR3),"",'RESUMEN VIGILANCIA'!AR3)</f>
        <v/>
      </c>
      <c r="AT64" s="397" t="str">
        <f>IF(ISBLANK('RESUMEN VIGILANCIA'!AS3),"",'RESUMEN VIGILANCIA'!AS3)</f>
        <v/>
      </c>
      <c r="AU64" s="397" t="str">
        <f>IF(ISBLANK('RESUMEN VIGILANCIA'!AT3),"",'RESUMEN VIGILANCIA'!AT3)</f>
        <v/>
      </c>
      <c r="AV64" s="397" t="str">
        <f>IF(ISBLANK('RESUMEN VIGILANCIA'!AU3),"",'RESUMEN VIGILANCIA'!AU3)</f>
        <v/>
      </c>
      <c r="AW64" s="397" t="str">
        <f>IF(ISBLANK('RESUMEN VIGILANCIA'!AV3),"",'RESUMEN VIGILANCIA'!AV3)</f>
        <v/>
      </c>
      <c r="AX64" s="397" t="str">
        <f>IF(ISBLANK('RESUMEN VIGILANCIA'!AW3),"",'RESUMEN VIGILANCIA'!AW3)</f>
        <v/>
      </c>
      <c r="AY64" s="397" t="str">
        <f>IF(ISBLANK('RESUMEN VIGILANCIA'!AX3),"",'RESUMEN VIGILANCIA'!AX3)</f>
        <v/>
      </c>
      <c r="AZ64" s="397" t="str">
        <f>IF(ISBLANK('RESUMEN VIGILANCIA'!AY3),"",'RESUMEN VIGILANCIA'!AY3)</f>
        <v/>
      </c>
      <c r="BA64" s="398" t="str">
        <f>IF(ISBLANK('RESUMEN VIGILANCIA'!AZ3),"",'RESUMEN VIGILANCIA'!AZ3)</f>
        <v/>
      </c>
      <c r="BB64" s="242">
        <f t="shared" si="1"/>
        <v>0.315</v>
      </c>
      <c r="BC64" s="111"/>
      <c r="BD64" s="111"/>
    </row>
    <row r="65" spans="1:56" s="29" customFormat="1" ht="20.100000000000001" customHeight="1" x14ac:dyDescent="0.25">
      <c r="A65" s="30" t="str">
        <f>'RESUMEN VIGILANCIA'!A4</f>
        <v>Familia Il Grande Franceschi</v>
      </c>
      <c r="B65" s="31" t="str">
        <f>'RESUMEN VIGILANCIA'!B4</f>
        <v>Av. "I" Nro. 146-40</v>
      </c>
      <c r="C65" s="452" t="s">
        <v>1269</v>
      </c>
      <c r="D65" s="460" t="s">
        <v>17</v>
      </c>
      <c r="E65" s="440" t="str">
        <f>IF(ISBLANK('RESUMEN VIGILANCIA'!D4),"",'RESUMEN VIGILANCIA'!D4)</f>
        <v/>
      </c>
      <c r="F65" s="270">
        <f>IF(ISBLANK('RESUMEN VIGILANCIA'!E4),"",'RESUMEN VIGILANCIA'!E4)</f>
        <v>0.17</v>
      </c>
      <c r="G65" s="182">
        <f>IF(ISBLANK('RESUMEN VIGILANCIA'!F4),"",'RESUMEN VIGILANCIA'!F4)</f>
        <v>0.17</v>
      </c>
      <c r="H65" s="182">
        <f>IF(ISBLANK('RESUMEN VIGILANCIA'!G4),"",'RESUMEN VIGILANCIA'!G4)</f>
        <v>0.17</v>
      </c>
      <c r="I65" s="182">
        <f>IF(ISBLANK('RESUMEN VIGILANCIA'!H4),"",'RESUMEN VIGILANCIA'!H4)</f>
        <v>0.17</v>
      </c>
      <c r="J65" s="182">
        <f>IF(ISBLANK('RESUMEN VIGILANCIA'!I4),"",'RESUMEN VIGILANCIA'!I4)</f>
        <v>0.26</v>
      </c>
      <c r="K65" s="182">
        <f>IF(ISBLANK('RESUMEN VIGILANCIA'!J4),"",'RESUMEN VIGILANCIA'!J4)</f>
        <v>0.26</v>
      </c>
      <c r="L65" s="182">
        <f>IF(ISBLANK('RESUMEN VIGILANCIA'!K4),"",'RESUMEN VIGILANCIA'!K4)</f>
        <v>0.35</v>
      </c>
      <c r="M65" s="182">
        <f>IF(ISBLANK('RESUMEN VIGILANCIA'!L4),"",'RESUMEN VIGILANCIA'!L4)</f>
        <v>0.35000000000000003</v>
      </c>
      <c r="N65" s="182">
        <f>IF(ISBLANK('RESUMEN VIGILANCIA'!M4),"",'RESUMEN VIGILANCIA'!M4)</f>
        <v>0.35000000000000003</v>
      </c>
      <c r="O65" s="182">
        <f>IF(ISBLANK('RESUMEN VIGILANCIA'!N4),"",'RESUMEN VIGILANCIA'!N4)</f>
        <v>0.35</v>
      </c>
      <c r="P65" s="271">
        <f>IF(ISBLANK('RESUMEN VIGILANCIA'!O4),"",'RESUMEN VIGILANCIA'!O4)</f>
        <v>0.5</v>
      </c>
      <c r="Q65" s="180">
        <f>IF(ISBLANK('RESUMEN VIGILANCIA'!P4),"",'RESUMEN VIGILANCIA'!P4)</f>
        <v>0.5</v>
      </c>
      <c r="R65" s="272">
        <f>IF(ISBLANK('RESUMEN VIGILANCIA'!Q4),"",'RESUMEN VIGILANCIA'!Q4)</f>
        <v>0.8</v>
      </c>
      <c r="S65" s="271">
        <f>IF(ISBLANK('RESUMEN VIGILANCIA'!R4),"",'RESUMEN VIGILANCIA'!R4)</f>
        <v>0.8</v>
      </c>
      <c r="T65" s="271">
        <f>IF(ISBLANK('RESUMEN VIGILANCIA'!S4),"",'RESUMEN VIGILANCIA'!S4)</f>
        <v>1.4</v>
      </c>
      <c r="U65" s="271">
        <f>IF(ISBLANK('RESUMEN VIGILANCIA'!T4),"",'RESUMEN VIGILANCIA'!T4)</f>
        <v>1.4</v>
      </c>
      <c r="V65" s="271">
        <f>IF(ISBLANK('RESUMEN VIGILANCIA'!U4),"",'RESUMEN VIGILANCIA'!U4)</f>
        <v>4</v>
      </c>
      <c r="W65" s="271">
        <f>IF(ISBLANK('RESUMEN VIGILANCIA'!V4),"",'RESUMEN VIGILANCIA'!V4)</f>
        <v>6.25</v>
      </c>
      <c r="X65" s="271">
        <f>IF(ISBLANK('RESUMEN VIGILANCIA'!W4),"",'RESUMEN VIGILANCIA'!W4)</f>
        <v>10</v>
      </c>
      <c r="Y65" s="271">
        <f>IF(ISBLANK('RESUMEN VIGILANCIA'!X4),"",'RESUMEN VIGILANCIA'!X4)</f>
        <v>12</v>
      </c>
      <c r="Z65" s="481">
        <f>IF(ISBLANK('RESUMEN VIGILANCIA'!Y4),"",'RESUMEN VIGILANCIA'!Y4)</f>
        <v>320.01</v>
      </c>
      <c r="AA65" s="481">
        <f>IF(ISBLANK('RESUMEN VIGILANCIA'!Z4),"",'RESUMEN VIGILANCIA'!Z4)</f>
        <v>320</v>
      </c>
      <c r="AB65" s="481">
        <f>IF(ISBLANK('RESUMEN VIGILANCIA'!AA4),"",'RESUMEN VIGILANCIA'!AA4)</f>
        <v>320</v>
      </c>
      <c r="AC65" s="482">
        <f>IF(ISBLANK('RESUMEN VIGILANCIA'!AB4),"",'RESUMEN VIGILANCIA'!AB4)</f>
        <v>800</v>
      </c>
      <c r="AD65" s="399">
        <f>IF(ISBLANK('RESUMEN VIGILANCIA'!AC4),"",'RESUMEN VIGILANCIA'!AC4)</f>
        <v>3000</v>
      </c>
      <c r="AE65" s="400">
        <f>IF(ISBLANK('RESUMEN VIGILANCIA'!AD4),"",'RESUMEN VIGILANCIA'!AD4)</f>
        <v>3000</v>
      </c>
      <c r="AF65" s="400">
        <f>IF(ISBLANK('RESUMEN VIGILANCIA'!AE4),"",'RESUMEN VIGILANCIA'!AE4)</f>
        <v>3000</v>
      </c>
      <c r="AG65" s="400">
        <f>IF(ISBLANK('RESUMEN VIGILANCIA'!AF4),"",'RESUMEN VIGILANCIA'!AF4)</f>
        <v>5000</v>
      </c>
      <c r="AH65" s="400">
        <f>IF(ISBLANK('RESUMEN VIGILANCIA'!AG4),"",'RESUMEN VIGILANCIA'!AG4)</f>
        <v>8000</v>
      </c>
      <c r="AI65" s="400">
        <f>IF(ISBLANK('RESUMEN VIGILANCIA'!AH4),"",'RESUMEN VIGILANCIA'!AH4)</f>
        <v>8000</v>
      </c>
      <c r="AJ65" s="400">
        <f>IF(ISBLANK('RESUMEN VIGILANCIA'!AI4),"",'RESUMEN VIGILANCIA'!AI4)</f>
        <v>10000</v>
      </c>
      <c r="AK65" s="400">
        <f>IF(ISBLANK('RESUMEN VIGILANCIA'!AJ4),"",'RESUMEN VIGILANCIA'!AJ4)</f>
        <v>10000</v>
      </c>
      <c r="AL65" s="400">
        <f>IF(ISBLANK('RESUMEN VIGILANCIA'!AK4),"",'RESUMEN VIGILANCIA'!AK4)</f>
        <v>20482.22</v>
      </c>
      <c r="AM65" s="400">
        <f>IF(ISBLANK('RESUMEN VIGILANCIA'!AL4),"",'RESUMEN VIGILANCIA'!AL4)</f>
        <v>51250</v>
      </c>
      <c r="AN65" s="400">
        <f>IF(ISBLANK('RESUMEN VIGILANCIA'!AM4),"",'RESUMEN VIGILANCIA'!AM4)</f>
        <v>105250</v>
      </c>
      <c r="AO65" s="401">
        <f>IF(ISBLANK('RESUMEN VIGILANCIA'!AN4),"",'RESUMEN VIGILANCIA'!AN4)</f>
        <v>136250</v>
      </c>
      <c r="AP65" s="399">
        <f>IF(ISBLANK('RESUMEN VIGILANCIA'!AO4),"",'RESUMEN VIGILANCIA'!AO4)</f>
        <v>136250</v>
      </c>
      <c r="AQ65" s="400">
        <f>IF(ISBLANK('RESUMEN VIGILANCIA'!AP4),"",'RESUMEN VIGILANCIA'!AP4)</f>
        <v>136250</v>
      </c>
      <c r="AR65" s="400">
        <f>IF(ISBLANK('RESUMEN VIGILANCIA'!AQ4),"",'RESUMEN VIGILANCIA'!AQ4)</f>
        <v>31000</v>
      </c>
      <c r="AS65" s="400" t="str">
        <f>IF(ISBLANK('RESUMEN VIGILANCIA'!AR4),"",'RESUMEN VIGILANCIA'!AR4)</f>
        <v/>
      </c>
      <c r="AT65" s="400" t="str">
        <f>IF(ISBLANK('RESUMEN VIGILANCIA'!AS4),"",'RESUMEN VIGILANCIA'!AS4)</f>
        <v/>
      </c>
      <c r="AU65" s="400" t="str">
        <f>IF(ISBLANK('RESUMEN VIGILANCIA'!AT4),"",'RESUMEN VIGILANCIA'!AT4)</f>
        <v/>
      </c>
      <c r="AV65" s="400" t="str">
        <f>IF(ISBLANK('RESUMEN VIGILANCIA'!AU4),"",'RESUMEN VIGILANCIA'!AU4)</f>
        <v/>
      </c>
      <c r="AW65" s="400" t="str">
        <f>IF(ISBLANK('RESUMEN VIGILANCIA'!AV4),"",'RESUMEN VIGILANCIA'!AV4)</f>
        <v/>
      </c>
      <c r="AX65" s="400" t="str">
        <f>IF(ISBLANK('RESUMEN VIGILANCIA'!AW4),"",'RESUMEN VIGILANCIA'!AW4)</f>
        <v/>
      </c>
      <c r="AY65" s="400" t="str">
        <f>IF(ISBLANK('RESUMEN VIGILANCIA'!AX4),"",'RESUMEN VIGILANCIA'!AX4)</f>
        <v/>
      </c>
      <c r="AZ65" s="400" t="str">
        <f>IF(ISBLANK('RESUMEN VIGILANCIA'!AY4),"",'RESUMEN VIGILANCIA'!AY4)</f>
        <v/>
      </c>
      <c r="BA65" s="401" t="str">
        <f>IF(ISBLANK('RESUMEN VIGILANCIA'!AZ4),"",'RESUMEN VIGILANCIA'!AZ4)</f>
        <v/>
      </c>
      <c r="BB65" s="243">
        <f t="shared" si="1"/>
        <v>365032.48</v>
      </c>
      <c r="BC65" s="112"/>
      <c r="BD65" s="112"/>
    </row>
    <row r="66" spans="1:56" s="29" customFormat="1" ht="20.100000000000001" customHeight="1" x14ac:dyDescent="0.25">
      <c r="A66" s="30" t="str">
        <f>'RESUMEN VIGILANCIA'!A14</f>
        <v>Familia González López</v>
      </c>
      <c r="B66" s="31" t="str">
        <f>'RESUMEN VIGILANCIA'!B14</f>
        <v>Av. "Ñ" Nro. 145-27</v>
      </c>
      <c r="C66" s="452" t="s">
        <v>1270</v>
      </c>
      <c r="D66" s="460" t="s">
        <v>1268</v>
      </c>
      <c r="E66" s="440" t="str">
        <f>IF(ISBLANK('RESUMEN VIGILANCIA'!D14),"",'RESUMEN VIGILANCIA'!D14)</f>
        <v/>
      </c>
      <c r="F66" s="270" t="str">
        <f>IF(ISBLANK('RESUMEN VIGILANCIA'!E14),"",'RESUMEN VIGILANCIA'!E14)</f>
        <v/>
      </c>
      <c r="G66" s="182" t="str">
        <f>IF(ISBLANK('RESUMEN VIGILANCIA'!F14),"",'RESUMEN VIGILANCIA'!F14)</f>
        <v/>
      </c>
      <c r="H66" s="182" t="str">
        <f>IF(ISBLANK('RESUMEN VIGILANCIA'!G14),"",'RESUMEN VIGILANCIA'!G14)</f>
        <v/>
      </c>
      <c r="I66" s="182" t="str">
        <f>IF(ISBLANK('RESUMEN VIGILANCIA'!H14),"",'RESUMEN VIGILANCIA'!H14)</f>
        <v/>
      </c>
      <c r="J66" s="182" t="str">
        <f>IF(ISBLANK('RESUMEN VIGILANCIA'!I14),"",'RESUMEN VIGILANCIA'!I14)</f>
        <v/>
      </c>
      <c r="K66" s="182" t="str">
        <f>IF(ISBLANK('RESUMEN VIGILANCIA'!J14),"",'RESUMEN VIGILANCIA'!J14)</f>
        <v/>
      </c>
      <c r="L66" s="182" t="str">
        <f>IF(ISBLANK('RESUMEN VIGILANCIA'!K14),"",'RESUMEN VIGILANCIA'!K14)</f>
        <v/>
      </c>
      <c r="M66" s="182" t="str">
        <f>IF(ISBLANK('RESUMEN VIGILANCIA'!L14),"",'RESUMEN VIGILANCIA'!L14)</f>
        <v/>
      </c>
      <c r="N66" s="182" t="str">
        <f>IF(ISBLANK('RESUMEN VIGILANCIA'!M14),"",'RESUMEN VIGILANCIA'!M14)</f>
        <v/>
      </c>
      <c r="O66" s="182" t="str">
        <f>IF(ISBLANK('RESUMEN VIGILANCIA'!N14),"",'RESUMEN VIGILANCIA'!N14)</f>
        <v/>
      </c>
      <c r="P66" s="271" t="str">
        <f>IF(ISBLANK('RESUMEN VIGILANCIA'!O14),"",'RESUMEN VIGILANCIA'!O14)</f>
        <v/>
      </c>
      <c r="Q66" s="180" t="str">
        <f>IF(ISBLANK('RESUMEN VIGILANCIA'!P14),"",'RESUMEN VIGILANCIA'!P14)</f>
        <v/>
      </c>
      <c r="R66" s="272" t="str">
        <f>IF(ISBLANK('RESUMEN VIGILANCIA'!Q14),"",'RESUMEN VIGILANCIA'!Q14)</f>
        <v/>
      </c>
      <c r="S66" s="271" t="str">
        <f>IF(ISBLANK('RESUMEN VIGILANCIA'!R14),"",'RESUMEN VIGILANCIA'!R14)</f>
        <v/>
      </c>
      <c r="T66" s="271" t="str">
        <f>IF(ISBLANK('RESUMEN VIGILANCIA'!S14),"",'RESUMEN VIGILANCIA'!S14)</f>
        <v/>
      </c>
      <c r="U66" s="271" t="str">
        <f>IF(ISBLANK('RESUMEN VIGILANCIA'!T14),"",'RESUMEN VIGILANCIA'!T14)</f>
        <v/>
      </c>
      <c r="V66" s="271" t="str">
        <f>IF(ISBLANK('RESUMEN VIGILANCIA'!U14),"",'RESUMEN VIGILANCIA'!U14)</f>
        <v/>
      </c>
      <c r="W66" s="271" t="str">
        <f>IF(ISBLANK('RESUMEN VIGILANCIA'!V14),"",'RESUMEN VIGILANCIA'!V14)</f>
        <v/>
      </c>
      <c r="X66" s="271" t="str">
        <f>IF(ISBLANK('RESUMEN VIGILANCIA'!W14),"",'RESUMEN VIGILANCIA'!W14)</f>
        <v/>
      </c>
      <c r="Y66" s="271" t="str">
        <f>IF(ISBLANK('RESUMEN VIGILANCIA'!X14),"",'RESUMEN VIGILANCIA'!X14)</f>
        <v/>
      </c>
      <c r="Z66" s="481" t="str">
        <f>IF(ISBLANK('RESUMEN VIGILANCIA'!Y14),"",'RESUMEN VIGILANCIA'!Y14)</f>
        <v/>
      </c>
      <c r="AA66" s="481" t="str">
        <f>IF(ISBLANK('RESUMEN VIGILANCIA'!Z14),"",'RESUMEN VIGILANCIA'!Z14)</f>
        <v/>
      </c>
      <c r="AB66" s="481" t="str">
        <f>IF(ISBLANK('RESUMEN VIGILANCIA'!AA14),"",'RESUMEN VIGILANCIA'!AA14)</f>
        <v/>
      </c>
      <c r="AC66" s="482" t="str">
        <f>IF(ISBLANK('RESUMEN VIGILANCIA'!AB14),"",'RESUMEN VIGILANCIA'!AB14)</f>
        <v/>
      </c>
      <c r="AD66" s="399" t="str">
        <f>IF(ISBLANK('RESUMEN VIGILANCIA'!AC14),"",'RESUMEN VIGILANCIA'!AC14)</f>
        <v/>
      </c>
      <c r="AE66" s="400" t="str">
        <f>IF(ISBLANK('RESUMEN VIGILANCIA'!AD14),"",'RESUMEN VIGILANCIA'!AD14)</f>
        <v/>
      </c>
      <c r="AF66" s="400" t="str">
        <f>IF(ISBLANK('RESUMEN VIGILANCIA'!AE14),"",'RESUMEN VIGILANCIA'!AE14)</f>
        <v/>
      </c>
      <c r="AG66" s="400" t="str">
        <f>IF(ISBLANK('RESUMEN VIGILANCIA'!AF14),"",'RESUMEN VIGILANCIA'!AF14)</f>
        <v/>
      </c>
      <c r="AH66" s="400" t="str">
        <f>IF(ISBLANK('RESUMEN VIGILANCIA'!AG14),"",'RESUMEN VIGILANCIA'!AG14)</f>
        <v/>
      </c>
      <c r="AI66" s="400" t="str">
        <f>IF(ISBLANK('RESUMEN VIGILANCIA'!AH14),"",'RESUMEN VIGILANCIA'!AH14)</f>
        <v/>
      </c>
      <c r="AJ66" s="400" t="str">
        <f>IF(ISBLANK('RESUMEN VIGILANCIA'!AI14),"",'RESUMEN VIGILANCIA'!AI14)</f>
        <v/>
      </c>
      <c r="AK66" s="400" t="str">
        <f>IF(ISBLANK('RESUMEN VIGILANCIA'!AJ14),"",'RESUMEN VIGILANCIA'!AJ14)</f>
        <v/>
      </c>
      <c r="AL66" s="400" t="str">
        <f>IF(ISBLANK('RESUMEN VIGILANCIA'!AK14),"",'RESUMEN VIGILANCIA'!AK14)</f>
        <v/>
      </c>
      <c r="AM66" s="400" t="str">
        <f>IF(ISBLANK('RESUMEN VIGILANCIA'!AL14),"",'RESUMEN VIGILANCIA'!AL14)</f>
        <v/>
      </c>
      <c r="AN66" s="400" t="str">
        <f>IF(ISBLANK('RESUMEN VIGILANCIA'!AM14),"",'RESUMEN VIGILANCIA'!AM14)</f>
        <v/>
      </c>
      <c r="AO66" s="401" t="str">
        <f>IF(ISBLANK('RESUMEN VIGILANCIA'!AN14),"",'RESUMEN VIGILANCIA'!AN14)</f>
        <v/>
      </c>
      <c r="AP66" s="399" t="str">
        <f>IF(ISBLANK('RESUMEN VIGILANCIA'!AO14),"",'RESUMEN VIGILANCIA'!AO14)</f>
        <v/>
      </c>
      <c r="AQ66" s="400" t="str">
        <f>IF(ISBLANK('RESUMEN VIGILANCIA'!AP14),"",'RESUMEN VIGILANCIA'!AP14)</f>
        <v/>
      </c>
      <c r="AR66" s="400" t="str">
        <f>IF(ISBLANK('RESUMEN VIGILANCIA'!AQ14),"",'RESUMEN VIGILANCIA'!AQ14)</f>
        <v/>
      </c>
      <c r="AS66" s="400" t="str">
        <f>IF(ISBLANK('RESUMEN VIGILANCIA'!AR14),"",'RESUMEN VIGILANCIA'!AR14)</f>
        <v/>
      </c>
      <c r="AT66" s="400" t="str">
        <f>IF(ISBLANK('RESUMEN VIGILANCIA'!AS14),"",'RESUMEN VIGILANCIA'!AS14)</f>
        <v/>
      </c>
      <c r="AU66" s="400" t="str">
        <f>IF(ISBLANK('RESUMEN VIGILANCIA'!AT14),"",'RESUMEN VIGILANCIA'!AT14)</f>
        <v/>
      </c>
      <c r="AV66" s="400" t="str">
        <f>IF(ISBLANK('RESUMEN VIGILANCIA'!AU14),"",'RESUMEN VIGILANCIA'!AU14)</f>
        <v/>
      </c>
      <c r="AW66" s="400" t="str">
        <f>IF(ISBLANK('RESUMEN VIGILANCIA'!AV14),"",'RESUMEN VIGILANCIA'!AV14)</f>
        <v/>
      </c>
      <c r="AX66" s="400" t="str">
        <f>IF(ISBLANK('RESUMEN VIGILANCIA'!AW14),"",'RESUMEN VIGILANCIA'!AW14)</f>
        <v/>
      </c>
      <c r="AY66" s="400" t="str">
        <f>IF(ISBLANK('RESUMEN VIGILANCIA'!AX14),"",'RESUMEN VIGILANCIA'!AX14)</f>
        <v/>
      </c>
      <c r="AZ66" s="400" t="str">
        <f>IF(ISBLANK('RESUMEN VIGILANCIA'!AY14),"",'RESUMEN VIGILANCIA'!AY14)</f>
        <v/>
      </c>
      <c r="BA66" s="401" t="str">
        <f>IF(ISBLANK('RESUMEN VIGILANCIA'!AZ14),"",'RESUMEN VIGILANCIA'!AZ14)</f>
        <v/>
      </c>
      <c r="BB66" s="243">
        <f t="shared" si="1"/>
        <v>0</v>
      </c>
      <c r="BC66" s="112"/>
      <c r="BD66" s="112"/>
    </row>
    <row r="67" spans="1:56" s="29" customFormat="1" ht="20.100000000000001" customHeight="1" x14ac:dyDescent="0.25">
      <c r="A67" s="59" t="str">
        <f>'RESUMEN VIGILANCIA'!A10</f>
        <v>La Casita Encantada</v>
      </c>
      <c r="B67" s="60" t="str">
        <f>'RESUMEN VIGILANCIA'!B10</f>
        <v>Av. "M" Nro. 146-30</v>
      </c>
      <c r="C67" s="452" t="s">
        <v>1269</v>
      </c>
      <c r="D67" s="460" t="s">
        <v>1268</v>
      </c>
      <c r="E67" s="440" t="str">
        <f>IF(ISBLANK('RESUMEN VIGILANCIA'!D10),"",'RESUMEN VIGILANCIA'!D10)</f>
        <v/>
      </c>
      <c r="F67" s="274">
        <f>IF(ISBLANK('RESUMEN VIGILANCIA'!E10),"",'RESUMEN VIGILANCIA'!E10)</f>
        <v>0.12</v>
      </c>
      <c r="G67" s="182">
        <f>IF(ISBLANK('RESUMEN VIGILANCIA'!F10),"",'RESUMEN VIGILANCIA'!F10)</f>
        <v>0.2</v>
      </c>
      <c r="H67" s="182">
        <f>IF(ISBLANK('RESUMEN VIGILANCIA'!G10),"",'RESUMEN VIGILANCIA'!G10)</f>
        <v>0.2</v>
      </c>
      <c r="I67" s="182">
        <f>IF(ISBLANK('RESUMEN VIGILANCIA'!H10),"",'RESUMEN VIGILANCIA'!H10)</f>
        <v>0.2</v>
      </c>
      <c r="J67" s="182">
        <f>IF(ISBLANK('RESUMEN VIGILANCIA'!I10),"",'RESUMEN VIGILANCIA'!I10)</f>
        <v>0.3</v>
      </c>
      <c r="K67" s="182">
        <f>IF(ISBLANK('RESUMEN VIGILANCIA'!J10),"",'RESUMEN VIGILANCIA'!J10)</f>
        <v>0.3</v>
      </c>
      <c r="L67" s="182">
        <f>IF(ISBLANK('RESUMEN VIGILANCIA'!K10),"",'RESUMEN VIGILANCIA'!K10)</f>
        <v>0.4</v>
      </c>
      <c r="M67" s="182">
        <f>IF(ISBLANK('RESUMEN VIGILANCIA'!L10),"",'RESUMEN VIGILANCIA'!L10)</f>
        <v>0.4</v>
      </c>
      <c r="N67" s="182">
        <f>IF(ISBLANK('RESUMEN VIGILANCIA'!M10),"",'RESUMEN VIGILANCIA'!M10)</f>
        <v>0.4</v>
      </c>
      <c r="O67" s="182">
        <f>IF(ISBLANK('RESUMEN VIGILANCIA'!N10),"",'RESUMEN VIGILANCIA'!N10)</f>
        <v>0.4</v>
      </c>
      <c r="P67" s="271">
        <f>IF(ISBLANK('RESUMEN VIGILANCIA'!O10),"",'RESUMEN VIGILANCIA'!O10)</f>
        <v>0.54</v>
      </c>
      <c r="Q67" s="180">
        <f>IF(ISBLANK('RESUMEN VIGILANCIA'!P10),"",'RESUMEN VIGILANCIA'!P10)</f>
        <v>0.54</v>
      </c>
      <c r="R67" s="272">
        <f>IF(ISBLANK('RESUMEN VIGILANCIA'!Q10),"",'RESUMEN VIGILANCIA'!Q10)</f>
        <v>0.86399999999999999</v>
      </c>
      <c r="S67" s="271">
        <f>IF(ISBLANK('RESUMEN VIGILANCIA'!R10),"",'RESUMEN VIGILANCIA'!R10)</f>
        <v>0.86399999999999999</v>
      </c>
      <c r="T67" s="271">
        <f>IF(ISBLANK('RESUMEN VIGILANCIA'!S10),"",'RESUMEN VIGILANCIA'!S10)</f>
        <v>1.55</v>
      </c>
      <c r="U67" s="271">
        <f>IF(ISBLANK('RESUMEN VIGILANCIA'!T10),"",'RESUMEN VIGILANCIA'!T10)</f>
        <v>1.55</v>
      </c>
      <c r="V67" s="271">
        <f>IF(ISBLANK('RESUMEN VIGILANCIA'!U10),"",'RESUMEN VIGILANCIA'!U10)</f>
        <v>4</v>
      </c>
      <c r="W67" s="271">
        <f>IF(ISBLANK('RESUMEN VIGILANCIA'!V10),"",'RESUMEN VIGILANCIA'!V10)</f>
        <v>6.9</v>
      </c>
      <c r="X67" s="271">
        <f>IF(ISBLANK('RESUMEN VIGILANCIA'!W10),"",'RESUMEN VIGILANCIA'!W10)</f>
        <v>11</v>
      </c>
      <c r="Y67" s="271">
        <f>IF(ISBLANK('RESUMEN VIGILANCIA'!X10),"",'RESUMEN VIGILANCIA'!X10)</f>
        <v>13.2</v>
      </c>
      <c r="Z67" s="481">
        <f>IF(ISBLANK('RESUMEN VIGILANCIA'!Y10),"",'RESUMEN VIGILANCIA'!Y10)</f>
        <v>320</v>
      </c>
      <c r="AA67" s="481">
        <f>IF(ISBLANK('RESUMEN VIGILANCIA'!Z10),"",'RESUMEN VIGILANCIA'!Z10)</f>
        <v>355</v>
      </c>
      <c r="AB67" s="481">
        <f>IF(ISBLANK('RESUMEN VIGILANCIA'!AA10),"",'RESUMEN VIGILANCIA'!AA10)</f>
        <v>355</v>
      </c>
      <c r="AC67" s="482">
        <f>IF(ISBLANK('RESUMEN VIGILANCIA'!AB10),"",'RESUMEN VIGILANCIA'!AB10)</f>
        <v>800</v>
      </c>
      <c r="AD67" s="402" t="str">
        <f>IF(ISBLANK('RESUMEN VIGILANCIA'!AC10),"",'RESUMEN VIGILANCIA'!AC10)</f>
        <v>CESE DE OPERACIONES</v>
      </c>
      <c r="AE67" s="403" t="str">
        <f>IF(ISBLANK('RESUMEN VIGILANCIA'!AD10),"",'RESUMEN VIGILANCIA'!AD10)</f>
        <v/>
      </c>
      <c r="AF67" s="403" t="str">
        <f>IF(ISBLANK('RESUMEN VIGILANCIA'!AE10),"",'RESUMEN VIGILANCIA'!AE10)</f>
        <v/>
      </c>
      <c r="AG67" s="403" t="str">
        <f>IF(ISBLANK('RESUMEN VIGILANCIA'!AF10),"",'RESUMEN VIGILANCIA'!AF10)</f>
        <v/>
      </c>
      <c r="AH67" s="403" t="str">
        <f>IF(ISBLANK('RESUMEN VIGILANCIA'!AG10),"",'RESUMEN VIGILANCIA'!AG10)</f>
        <v/>
      </c>
      <c r="AI67" s="403" t="str">
        <f>IF(ISBLANK('RESUMEN VIGILANCIA'!AH10),"",'RESUMEN VIGILANCIA'!AH10)</f>
        <v/>
      </c>
      <c r="AJ67" s="403" t="str">
        <f>IF(ISBLANK('RESUMEN VIGILANCIA'!AI10),"",'RESUMEN VIGILANCIA'!AI10)</f>
        <v/>
      </c>
      <c r="AK67" s="403" t="str">
        <f>IF(ISBLANK('RESUMEN VIGILANCIA'!AJ10),"",'RESUMEN VIGILANCIA'!AJ10)</f>
        <v/>
      </c>
      <c r="AL67" s="403" t="str">
        <f>IF(ISBLANK('RESUMEN VIGILANCIA'!AK10),"",'RESUMEN VIGILANCIA'!AK10)</f>
        <v/>
      </c>
      <c r="AM67" s="403" t="str">
        <f>IF(ISBLANK('RESUMEN VIGILANCIA'!AL10),"",'RESUMEN VIGILANCIA'!AL10)</f>
        <v/>
      </c>
      <c r="AN67" s="403" t="str">
        <f>IF(ISBLANK('RESUMEN VIGILANCIA'!AM10),"",'RESUMEN VIGILANCIA'!AM10)</f>
        <v/>
      </c>
      <c r="AO67" s="414" t="str">
        <f>IF(ISBLANK('RESUMEN VIGILANCIA'!AN10),"",'RESUMEN VIGILANCIA'!AN10)</f>
        <v/>
      </c>
      <c r="AP67" s="402" t="str">
        <f>IF(ISBLANK('RESUMEN VIGILANCIA'!AO10),"",'RESUMEN VIGILANCIA'!AO10)</f>
        <v/>
      </c>
      <c r="AQ67" s="403" t="str">
        <f>IF(ISBLANK('RESUMEN VIGILANCIA'!AP10),"",'RESUMEN VIGILANCIA'!AP10)</f>
        <v/>
      </c>
      <c r="AR67" s="403" t="str">
        <f>IF(ISBLANK('RESUMEN VIGILANCIA'!AQ10),"",'RESUMEN VIGILANCIA'!AQ10)</f>
        <v/>
      </c>
      <c r="AS67" s="403" t="str">
        <f>IF(ISBLANK('RESUMEN VIGILANCIA'!AR10),"",'RESUMEN VIGILANCIA'!AR10)</f>
        <v/>
      </c>
      <c r="AT67" s="403" t="str">
        <f>IF(ISBLANK('RESUMEN VIGILANCIA'!AS10),"",'RESUMEN VIGILANCIA'!AS10)</f>
        <v/>
      </c>
      <c r="AU67" s="403" t="str">
        <f>IF(ISBLANK('RESUMEN VIGILANCIA'!AT10),"",'RESUMEN VIGILANCIA'!AT10)</f>
        <v/>
      </c>
      <c r="AV67" s="403" t="str">
        <f>IF(ISBLANK('RESUMEN VIGILANCIA'!AU10),"",'RESUMEN VIGILANCIA'!AU10)</f>
        <v/>
      </c>
      <c r="AW67" s="403" t="str">
        <f>IF(ISBLANK('RESUMEN VIGILANCIA'!AV10),"",'RESUMEN VIGILANCIA'!AV10)</f>
        <v/>
      </c>
      <c r="AX67" s="403" t="str">
        <f>IF(ISBLANK('RESUMEN VIGILANCIA'!AW10),"",'RESUMEN VIGILANCIA'!AW10)</f>
        <v/>
      </c>
      <c r="AY67" s="403" t="str">
        <f>IF(ISBLANK('RESUMEN VIGILANCIA'!AX10),"",'RESUMEN VIGILANCIA'!AX10)</f>
        <v/>
      </c>
      <c r="AZ67" s="403" t="str">
        <f>IF(ISBLANK('RESUMEN VIGILANCIA'!AY10),"",'RESUMEN VIGILANCIA'!AY10)</f>
        <v/>
      </c>
      <c r="BA67" s="414" t="str">
        <f>IF(ISBLANK('RESUMEN VIGILANCIA'!AZ10),"",'RESUMEN VIGILANCIA'!AZ10)</f>
        <v/>
      </c>
      <c r="BB67" s="243">
        <f t="shared" si="1"/>
        <v>1873.9279999999999</v>
      </c>
      <c r="BC67" s="112"/>
      <c r="BD67" s="112">
        <v>43465</v>
      </c>
    </row>
    <row r="68" spans="1:56" s="29" customFormat="1" ht="20.100000000000001" customHeight="1" x14ac:dyDescent="0.25">
      <c r="A68" s="552" t="str">
        <f>'RESUMEN VIGILANCIA'!A11</f>
        <v>Familia Calzadilla Trujillo</v>
      </c>
      <c r="B68" s="553" t="str">
        <f>'RESUMEN VIGILANCIA'!B11</f>
        <v>Av. "M" Nro. 146-30</v>
      </c>
      <c r="C68" s="452" t="s">
        <v>1269</v>
      </c>
      <c r="D68" s="460" t="s">
        <v>1268</v>
      </c>
      <c r="E68" s="443" t="str">
        <f>IF(ISBLANK('RESUMEN VIGILANCIA'!D11),"",'RESUMEN VIGILANCIA'!D11)</f>
        <v/>
      </c>
      <c r="F68" s="298" t="str">
        <f>IF(ISBLANK('RESUMEN VIGILANCIA'!E11),"",'RESUMEN VIGILANCIA'!E11)</f>
        <v/>
      </c>
      <c r="G68" s="217" t="str">
        <f>IF(ISBLANK('RESUMEN VIGILANCIA'!F11),"",'RESUMEN VIGILANCIA'!F11)</f>
        <v/>
      </c>
      <c r="H68" s="217" t="str">
        <f>IF(ISBLANK('RESUMEN VIGILANCIA'!G11),"",'RESUMEN VIGILANCIA'!G11)</f>
        <v/>
      </c>
      <c r="I68" s="217" t="str">
        <f>IF(ISBLANK('RESUMEN VIGILANCIA'!H11),"",'RESUMEN VIGILANCIA'!H11)</f>
        <v/>
      </c>
      <c r="J68" s="217" t="str">
        <f>IF(ISBLANK('RESUMEN VIGILANCIA'!I11),"",'RESUMEN VIGILANCIA'!I11)</f>
        <v/>
      </c>
      <c r="K68" s="217" t="str">
        <f>IF(ISBLANK('RESUMEN VIGILANCIA'!J11),"",'RESUMEN VIGILANCIA'!J11)</f>
        <v/>
      </c>
      <c r="L68" s="217" t="str">
        <f>IF(ISBLANK('RESUMEN VIGILANCIA'!K11),"",'RESUMEN VIGILANCIA'!K11)</f>
        <v/>
      </c>
      <c r="M68" s="217" t="str">
        <f>IF(ISBLANK('RESUMEN VIGILANCIA'!L11),"",'RESUMEN VIGILANCIA'!L11)</f>
        <v/>
      </c>
      <c r="N68" s="217" t="str">
        <f>IF(ISBLANK('RESUMEN VIGILANCIA'!M11),"",'RESUMEN VIGILANCIA'!M11)</f>
        <v/>
      </c>
      <c r="O68" s="217" t="str">
        <f>IF(ISBLANK('RESUMEN VIGILANCIA'!N11),"",'RESUMEN VIGILANCIA'!N11)</f>
        <v/>
      </c>
      <c r="P68" s="284" t="str">
        <f>IF(ISBLANK('RESUMEN VIGILANCIA'!O11),"",'RESUMEN VIGILANCIA'!O11)</f>
        <v/>
      </c>
      <c r="Q68" s="215" t="str">
        <f>IF(ISBLANK('RESUMEN VIGILANCIA'!P11),"",'RESUMEN VIGILANCIA'!P11)</f>
        <v/>
      </c>
      <c r="R68" s="285" t="str">
        <f>IF(ISBLANK('RESUMEN VIGILANCIA'!Q11),"",'RESUMEN VIGILANCIA'!Q11)</f>
        <v/>
      </c>
      <c r="S68" s="284" t="str">
        <f>IF(ISBLANK('RESUMEN VIGILANCIA'!R11),"",'RESUMEN VIGILANCIA'!R11)</f>
        <v/>
      </c>
      <c r="T68" s="284" t="str">
        <f>IF(ISBLANK('RESUMEN VIGILANCIA'!S11),"",'RESUMEN VIGILANCIA'!S11)</f>
        <v/>
      </c>
      <c r="U68" s="284" t="str">
        <f>IF(ISBLANK('RESUMEN VIGILANCIA'!T11),"",'RESUMEN VIGILANCIA'!T11)</f>
        <v/>
      </c>
      <c r="V68" s="284" t="str">
        <f>IF(ISBLANK('RESUMEN VIGILANCIA'!U11),"",'RESUMEN VIGILANCIA'!U11)</f>
        <v/>
      </c>
      <c r="W68" s="284" t="str">
        <f>IF(ISBLANK('RESUMEN VIGILANCIA'!V11),"",'RESUMEN VIGILANCIA'!V11)</f>
        <v/>
      </c>
      <c r="X68" s="284" t="str">
        <f>IF(ISBLANK('RESUMEN VIGILANCIA'!W11),"",'RESUMEN VIGILANCIA'!W11)</f>
        <v/>
      </c>
      <c r="Y68" s="284" t="str">
        <f>IF(ISBLANK('RESUMEN VIGILANCIA'!X11),"",'RESUMEN VIGILANCIA'!X11)</f>
        <v/>
      </c>
      <c r="Z68" s="492" t="str">
        <f>IF(ISBLANK('RESUMEN VIGILANCIA'!Y11),"",'RESUMEN VIGILANCIA'!Y11)</f>
        <v/>
      </c>
      <c r="AA68" s="492" t="str">
        <f>IF(ISBLANK('RESUMEN VIGILANCIA'!Z11),"",'RESUMEN VIGILANCIA'!Z11)</f>
        <v/>
      </c>
      <c r="AB68" s="492" t="str">
        <f>IF(ISBLANK('RESUMEN VIGILANCIA'!AA11),"",'RESUMEN VIGILANCIA'!AA11)</f>
        <v/>
      </c>
      <c r="AC68" s="493" t="str">
        <f>IF(ISBLANK('RESUMEN VIGILANCIA'!AB11),"",'RESUMEN VIGILANCIA'!AB11)</f>
        <v/>
      </c>
      <c r="AD68" s="399">
        <f>IF(ISBLANK('RESUMEN VIGILANCIA'!AC11),"",'RESUMEN VIGILANCIA'!AC11)</f>
        <v>3000</v>
      </c>
      <c r="AE68" s="400">
        <f>IF(ISBLANK('RESUMEN VIGILANCIA'!AD11),"",'RESUMEN VIGILANCIA'!AD11)</f>
        <v>3000</v>
      </c>
      <c r="AF68" s="400">
        <f>IF(ISBLANK('RESUMEN VIGILANCIA'!AE11),"",'RESUMEN VIGILANCIA'!AE11)</f>
        <v>3000</v>
      </c>
      <c r="AG68" s="400">
        <f>IF(ISBLANK('RESUMEN VIGILANCIA'!AF11),"",'RESUMEN VIGILANCIA'!AF11)</f>
        <v>5000</v>
      </c>
      <c r="AH68" s="400">
        <f>IF(ISBLANK('RESUMEN VIGILANCIA'!AG11),"",'RESUMEN VIGILANCIA'!AG11)</f>
        <v>8000</v>
      </c>
      <c r="AI68" s="400">
        <f>IF(ISBLANK('RESUMEN VIGILANCIA'!AH11),"",'RESUMEN VIGILANCIA'!AH11)</f>
        <v>8000</v>
      </c>
      <c r="AJ68" s="536" t="str">
        <f>IF(ISBLANK('RESUMEN VIGILANCIA'!AI11),"",'RESUMEN VIGILANCIA'!AI11)</f>
        <v>VENDIDA</v>
      </c>
      <c r="AK68" s="403" t="str">
        <f>IF(ISBLANK('RESUMEN VIGILANCIA'!AJ11),"",'RESUMEN VIGILANCIA'!AJ11)</f>
        <v/>
      </c>
      <c r="AL68" s="403" t="str">
        <f>IF(ISBLANK('RESUMEN VIGILANCIA'!AK11),"",'RESUMEN VIGILANCIA'!AK11)</f>
        <v/>
      </c>
      <c r="AM68" s="403" t="str">
        <f>IF(ISBLANK('RESUMEN VIGILANCIA'!AL11),"",'RESUMEN VIGILANCIA'!AL11)</f>
        <v/>
      </c>
      <c r="AN68" s="403" t="str">
        <f>IF(ISBLANK('RESUMEN VIGILANCIA'!AM11),"",'RESUMEN VIGILANCIA'!AM11)</f>
        <v/>
      </c>
      <c r="AO68" s="414" t="str">
        <f>IF(ISBLANK('RESUMEN VIGILANCIA'!AN11),"",'RESUMEN VIGILANCIA'!AN11)</f>
        <v/>
      </c>
      <c r="AP68" s="402" t="str">
        <f>IF(ISBLANK('RESUMEN VIGILANCIA'!AO11),"",'RESUMEN VIGILANCIA'!AO11)</f>
        <v/>
      </c>
      <c r="AQ68" s="403" t="str">
        <f>IF(ISBLANK('RESUMEN VIGILANCIA'!AP11),"",'RESUMEN VIGILANCIA'!AP11)</f>
        <v/>
      </c>
      <c r="AR68" s="403" t="str">
        <f>IF(ISBLANK('RESUMEN VIGILANCIA'!AQ11),"",'RESUMEN VIGILANCIA'!AQ11)</f>
        <v/>
      </c>
      <c r="AS68" s="403" t="str">
        <f>IF(ISBLANK('RESUMEN VIGILANCIA'!AR11),"",'RESUMEN VIGILANCIA'!AR11)</f>
        <v/>
      </c>
      <c r="AT68" s="403" t="str">
        <f>IF(ISBLANK('RESUMEN VIGILANCIA'!AS11),"",'RESUMEN VIGILANCIA'!AS11)</f>
        <v/>
      </c>
      <c r="AU68" s="403" t="str">
        <f>IF(ISBLANK('RESUMEN VIGILANCIA'!AT11),"",'RESUMEN VIGILANCIA'!AT11)</f>
        <v/>
      </c>
      <c r="AV68" s="536" t="str">
        <f>IF(ISBLANK('RESUMEN VIGILANCIA'!AU11),"",'RESUMEN VIGILANCIA'!AU11)</f>
        <v/>
      </c>
      <c r="AW68" s="403" t="str">
        <f>IF(ISBLANK('RESUMEN VIGILANCIA'!AV11),"",'RESUMEN VIGILANCIA'!AV11)</f>
        <v/>
      </c>
      <c r="AX68" s="403" t="str">
        <f>IF(ISBLANK('RESUMEN VIGILANCIA'!AW11),"",'RESUMEN VIGILANCIA'!AW11)</f>
        <v/>
      </c>
      <c r="AY68" s="403" t="str">
        <f>IF(ISBLANK('RESUMEN VIGILANCIA'!AX11),"",'RESUMEN VIGILANCIA'!AX11)</f>
        <v/>
      </c>
      <c r="AZ68" s="403" t="str">
        <f>IF(ISBLANK('RESUMEN VIGILANCIA'!AY11),"",'RESUMEN VIGILANCIA'!AY11)</f>
        <v/>
      </c>
      <c r="BA68" s="414" t="str">
        <f>IF(ISBLANK('RESUMEN VIGILANCIA'!AZ11),"",'RESUMEN VIGILANCIA'!AZ11)</f>
        <v/>
      </c>
      <c r="BB68" s="243">
        <f t="shared" ref="BB68:BB101" si="4">SUM(E68:AO68)</f>
        <v>30000</v>
      </c>
      <c r="BC68" s="112">
        <v>43466</v>
      </c>
      <c r="BD68" s="112">
        <v>43617</v>
      </c>
    </row>
    <row r="69" spans="1:56" s="29" customFormat="1" ht="20.100000000000001" customHeight="1" x14ac:dyDescent="0.25">
      <c r="A69" s="383" t="str">
        <f>'RESUMEN VIGILANCIA'!A12</f>
        <v>Santiago Varela</v>
      </c>
      <c r="B69" s="384" t="str">
        <f>'RESUMEN VIGILANCIA'!B12</f>
        <v>Av. "M" Nro. 146-30</v>
      </c>
      <c r="C69" s="452" t="s">
        <v>1269</v>
      </c>
      <c r="D69" s="460" t="s">
        <v>1268</v>
      </c>
      <c r="E69" s="443" t="str">
        <f>IF(ISBLANK('RESUMEN VIGILANCIA'!D12),"",'RESUMEN VIGILANCIA'!D12)</f>
        <v/>
      </c>
      <c r="F69" s="298" t="str">
        <f>IF(ISBLANK('RESUMEN VIGILANCIA'!E12),"",'RESUMEN VIGILANCIA'!E12)</f>
        <v/>
      </c>
      <c r="G69" s="217" t="str">
        <f>IF(ISBLANK('RESUMEN VIGILANCIA'!F12),"",'RESUMEN VIGILANCIA'!F12)</f>
        <v/>
      </c>
      <c r="H69" s="217" t="str">
        <f>IF(ISBLANK('RESUMEN VIGILANCIA'!G12),"",'RESUMEN VIGILANCIA'!G12)</f>
        <v/>
      </c>
      <c r="I69" s="217" t="str">
        <f>IF(ISBLANK('RESUMEN VIGILANCIA'!H12),"",'RESUMEN VIGILANCIA'!H12)</f>
        <v/>
      </c>
      <c r="J69" s="217" t="str">
        <f>IF(ISBLANK('RESUMEN VIGILANCIA'!I12),"",'RESUMEN VIGILANCIA'!I12)</f>
        <v/>
      </c>
      <c r="K69" s="217" t="str">
        <f>IF(ISBLANK('RESUMEN VIGILANCIA'!J12),"",'RESUMEN VIGILANCIA'!J12)</f>
        <v/>
      </c>
      <c r="L69" s="217" t="str">
        <f>IF(ISBLANK('RESUMEN VIGILANCIA'!K12),"",'RESUMEN VIGILANCIA'!K12)</f>
        <v/>
      </c>
      <c r="M69" s="217" t="str">
        <f>IF(ISBLANK('RESUMEN VIGILANCIA'!L12),"",'RESUMEN VIGILANCIA'!L12)</f>
        <v/>
      </c>
      <c r="N69" s="217" t="str">
        <f>IF(ISBLANK('RESUMEN VIGILANCIA'!M12),"",'RESUMEN VIGILANCIA'!M12)</f>
        <v/>
      </c>
      <c r="O69" s="217" t="str">
        <f>IF(ISBLANK('RESUMEN VIGILANCIA'!N12),"",'RESUMEN VIGILANCIA'!N12)</f>
        <v/>
      </c>
      <c r="P69" s="284" t="str">
        <f>IF(ISBLANK('RESUMEN VIGILANCIA'!O12),"",'RESUMEN VIGILANCIA'!O12)</f>
        <v/>
      </c>
      <c r="Q69" s="215" t="str">
        <f>IF(ISBLANK('RESUMEN VIGILANCIA'!P12),"",'RESUMEN VIGILANCIA'!P12)</f>
        <v/>
      </c>
      <c r="R69" s="285" t="str">
        <f>IF(ISBLANK('RESUMEN VIGILANCIA'!Q12),"",'RESUMEN VIGILANCIA'!Q12)</f>
        <v/>
      </c>
      <c r="S69" s="284" t="str">
        <f>IF(ISBLANK('RESUMEN VIGILANCIA'!R12),"",'RESUMEN VIGILANCIA'!R12)</f>
        <v/>
      </c>
      <c r="T69" s="284" t="str">
        <f>IF(ISBLANK('RESUMEN VIGILANCIA'!S12),"",'RESUMEN VIGILANCIA'!S12)</f>
        <v/>
      </c>
      <c r="U69" s="284" t="str">
        <f>IF(ISBLANK('RESUMEN VIGILANCIA'!T12),"",'RESUMEN VIGILANCIA'!T12)</f>
        <v/>
      </c>
      <c r="V69" s="284" t="str">
        <f>IF(ISBLANK('RESUMEN VIGILANCIA'!U12),"",'RESUMEN VIGILANCIA'!U12)</f>
        <v/>
      </c>
      <c r="W69" s="284" t="str">
        <f>IF(ISBLANK('RESUMEN VIGILANCIA'!V12),"",'RESUMEN VIGILANCIA'!V12)</f>
        <v/>
      </c>
      <c r="X69" s="284" t="str">
        <f>IF(ISBLANK('RESUMEN VIGILANCIA'!W12),"",'RESUMEN VIGILANCIA'!W12)</f>
        <v/>
      </c>
      <c r="Y69" s="284" t="str">
        <f>IF(ISBLANK('RESUMEN VIGILANCIA'!X12),"",'RESUMEN VIGILANCIA'!X12)</f>
        <v/>
      </c>
      <c r="Z69" s="492" t="str">
        <f>IF(ISBLANK('RESUMEN VIGILANCIA'!Y12),"",'RESUMEN VIGILANCIA'!Y12)</f>
        <v/>
      </c>
      <c r="AA69" s="492" t="str">
        <f>IF(ISBLANK('RESUMEN VIGILANCIA'!Z12),"",'RESUMEN VIGILANCIA'!Z12)</f>
        <v/>
      </c>
      <c r="AB69" s="492" t="str">
        <f>IF(ISBLANK('RESUMEN VIGILANCIA'!AA12),"",'RESUMEN VIGILANCIA'!AA12)</f>
        <v/>
      </c>
      <c r="AC69" s="493" t="str">
        <f>IF(ISBLANK('RESUMEN VIGILANCIA'!AB12),"",'RESUMEN VIGILANCIA'!AB12)</f>
        <v/>
      </c>
      <c r="AD69" s="506" t="str">
        <f>IF(ISBLANK('RESUMEN VIGILANCIA'!AC12),"",'RESUMEN VIGILANCIA'!AC12)</f>
        <v/>
      </c>
      <c r="AE69" s="507" t="str">
        <f>IF(ISBLANK('RESUMEN VIGILANCIA'!AD12),"",'RESUMEN VIGILANCIA'!AD12)</f>
        <v/>
      </c>
      <c r="AF69" s="507" t="str">
        <f>IF(ISBLANK('RESUMEN VIGILANCIA'!AE12),"",'RESUMEN VIGILANCIA'!AE12)</f>
        <v/>
      </c>
      <c r="AG69" s="507" t="str">
        <f>IF(ISBLANK('RESUMEN VIGILANCIA'!AF12),"",'RESUMEN VIGILANCIA'!AF12)</f>
        <v/>
      </c>
      <c r="AH69" s="507" t="str">
        <f>IF(ISBLANK('RESUMEN VIGILANCIA'!AG12),"",'RESUMEN VIGILANCIA'!AG12)</f>
        <v/>
      </c>
      <c r="AI69" s="507" t="str">
        <f>IF(ISBLANK('RESUMEN VIGILANCIA'!AH12),"",'RESUMEN VIGILANCIA'!AH12)</f>
        <v/>
      </c>
      <c r="AJ69" s="400">
        <f>IF(ISBLANK('RESUMEN VIGILANCIA'!AI12),"",'RESUMEN VIGILANCIA'!AI12)</f>
        <v>10000</v>
      </c>
      <c r="AK69" s="400">
        <f>IF(ISBLANK('RESUMEN VIGILANCIA'!AJ12),"",'RESUMEN VIGILANCIA'!AJ12)</f>
        <v>10000</v>
      </c>
      <c r="AL69" s="400">
        <f>IF(ISBLANK('RESUMEN VIGILANCIA'!AK12),"",'RESUMEN VIGILANCIA'!AK12)</f>
        <v>19800</v>
      </c>
      <c r="AM69" s="400">
        <f>IF(ISBLANK('RESUMEN VIGILANCIA'!AL12),"",'RESUMEN VIGILANCIA'!AL12)</f>
        <v>51250</v>
      </c>
      <c r="AN69" s="400">
        <f>IF(ISBLANK('RESUMEN VIGILANCIA'!AM12),"",'RESUMEN VIGILANCIA'!AM12)</f>
        <v>81750</v>
      </c>
      <c r="AO69" s="401">
        <f>IF(ISBLANK('RESUMEN VIGILANCIA'!AN12),"",'RESUMEN VIGILANCIA'!AN12)</f>
        <v>81750</v>
      </c>
      <c r="AP69" s="399">
        <f>IF(ISBLANK('RESUMEN VIGILANCIA'!AO12),"",'RESUMEN VIGILANCIA'!AO12)</f>
        <v>136250</v>
      </c>
      <c r="AQ69" s="400">
        <f>IF(ISBLANK('RESUMEN VIGILANCIA'!AP12),"",'RESUMEN VIGILANCIA'!AP12)</f>
        <v>136250</v>
      </c>
      <c r="AR69" s="400" t="str">
        <f>IF(ISBLANK('RESUMEN VIGILANCIA'!AQ12),"",'RESUMEN VIGILANCIA'!AQ12)</f>
        <v/>
      </c>
      <c r="AS69" s="400" t="str">
        <f>IF(ISBLANK('RESUMEN VIGILANCIA'!AR12),"",'RESUMEN VIGILANCIA'!AR12)</f>
        <v/>
      </c>
      <c r="AT69" s="400" t="str">
        <f>IF(ISBLANK('RESUMEN VIGILANCIA'!AS12),"",'RESUMEN VIGILANCIA'!AS12)</f>
        <v/>
      </c>
      <c r="AU69" s="400" t="str">
        <f>IF(ISBLANK('RESUMEN VIGILANCIA'!AT12),"",'RESUMEN VIGILANCIA'!AT12)</f>
        <v/>
      </c>
      <c r="AV69" s="400" t="str">
        <f>IF(ISBLANK('RESUMEN VIGILANCIA'!AU12),"",'RESUMEN VIGILANCIA'!AU12)</f>
        <v/>
      </c>
      <c r="AW69" s="400" t="str">
        <f>IF(ISBLANK('RESUMEN VIGILANCIA'!AV12),"",'RESUMEN VIGILANCIA'!AV12)</f>
        <v/>
      </c>
      <c r="AX69" s="400" t="str">
        <f>IF(ISBLANK('RESUMEN VIGILANCIA'!AW12),"",'RESUMEN VIGILANCIA'!AW12)</f>
        <v/>
      </c>
      <c r="AY69" s="400" t="str">
        <f>IF(ISBLANK('RESUMEN VIGILANCIA'!AX12),"",'RESUMEN VIGILANCIA'!AX12)</f>
        <v/>
      </c>
      <c r="AZ69" s="400" t="str">
        <f>IF(ISBLANK('RESUMEN VIGILANCIA'!AY12),"",'RESUMEN VIGILANCIA'!AY12)</f>
        <v/>
      </c>
      <c r="BA69" s="401" t="str">
        <f>IF(ISBLANK('RESUMEN VIGILANCIA'!AZ12),"",'RESUMEN VIGILANCIA'!AZ12)</f>
        <v/>
      </c>
      <c r="BB69" s="243">
        <f t="shared" ref="BB69" si="5">SUM(E69:AO69)</f>
        <v>254550</v>
      </c>
      <c r="BC69" s="112">
        <v>43647</v>
      </c>
      <c r="BD69" s="112"/>
    </row>
    <row r="70" spans="1:56" s="29" customFormat="1" ht="20.100000000000001" customHeight="1" x14ac:dyDescent="0.25">
      <c r="A70" s="30" t="str">
        <f>'RESUMEN VIGILANCIA'!A6</f>
        <v>Sra. Reina Meléndez</v>
      </c>
      <c r="B70" s="31" t="str">
        <f>'RESUMEN VIGILANCIA'!B6</f>
        <v>Av. "M" Nro. 145-10</v>
      </c>
      <c r="C70" s="452" t="s">
        <v>1269</v>
      </c>
      <c r="D70" s="460" t="s">
        <v>1268</v>
      </c>
      <c r="E70" s="440" t="str">
        <f>IF(ISBLANK('RESUMEN VIGILANCIA'!D6),"",'RESUMEN VIGILANCIA'!D6)</f>
        <v/>
      </c>
      <c r="F70" s="270">
        <f>IF(ISBLANK('RESUMEN VIGILANCIA'!E6),"",'RESUMEN VIGILANCIA'!E6)</f>
        <v>0.17</v>
      </c>
      <c r="G70" s="182">
        <f>IF(ISBLANK('RESUMEN VIGILANCIA'!F6),"",'RESUMEN VIGILANCIA'!F6)</f>
        <v>0.17</v>
      </c>
      <c r="H70" s="182">
        <f>IF(ISBLANK('RESUMEN VIGILANCIA'!G6),"",'RESUMEN VIGILANCIA'!G6)</f>
        <v>0.17</v>
      </c>
      <c r="I70" s="182">
        <f>IF(ISBLANK('RESUMEN VIGILANCIA'!H6),"",'RESUMEN VIGILANCIA'!H6)</f>
        <v>0.17</v>
      </c>
      <c r="J70" s="182">
        <f>IF(ISBLANK('RESUMEN VIGILANCIA'!I6),"",'RESUMEN VIGILANCIA'!I6)</f>
        <v>0.26</v>
      </c>
      <c r="K70" s="182">
        <f>IF(ISBLANK('RESUMEN VIGILANCIA'!J6),"",'RESUMEN VIGILANCIA'!J6)</f>
        <v>0.26</v>
      </c>
      <c r="L70" s="182">
        <f>IF(ISBLANK('RESUMEN VIGILANCIA'!K6),"",'RESUMEN VIGILANCIA'!K6)</f>
        <v>0.35</v>
      </c>
      <c r="M70" s="182">
        <f>IF(ISBLANK('RESUMEN VIGILANCIA'!L6),"",'RESUMEN VIGILANCIA'!L6)</f>
        <v>0.35</v>
      </c>
      <c r="N70" s="182">
        <f>IF(ISBLANK('RESUMEN VIGILANCIA'!M6),"",'RESUMEN VIGILANCIA'!M6)</f>
        <v>0.35</v>
      </c>
      <c r="O70" s="182">
        <f>IF(ISBLANK('RESUMEN VIGILANCIA'!N6),"",'RESUMEN VIGILANCIA'!N6)</f>
        <v>0.35</v>
      </c>
      <c r="P70" s="271">
        <f>IF(ISBLANK('RESUMEN VIGILANCIA'!O6),"",'RESUMEN VIGILANCIA'!O6)</f>
        <v>0.5</v>
      </c>
      <c r="Q70" s="180">
        <f>IF(ISBLANK('RESUMEN VIGILANCIA'!P6),"",'RESUMEN VIGILANCIA'!P6)</f>
        <v>0.5</v>
      </c>
      <c r="R70" s="272">
        <f>IF(ISBLANK('RESUMEN VIGILANCIA'!Q6),"",'RESUMEN VIGILANCIA'!Q6)</f>
        <v>0.8</v>
      </c>
      <c r="S70" s="271">
        <f>IF(ISBLANK('RESUMEN VIGILANCIA'!R6),"",'RESUMEN VIGILANCIA'!R6)</f>
        <v>0.8</v>
      </c>
      <c r="T70" s="271">
        <f>IF(ISBLANK('RESUMEN VIGILANCIA'!S6),"",'RESUMEN VIGILANCIA'!S6)</f>
        <v>1.4</v>
      </c>
      <c r="U70" s="271">
        <f>IF(ISBLANK('RESUMEN VIGILANCIA'!T6),"",'RESUMEN VIGILANCIA'!T6)</f>
        <v>1.4</v>
      </c>
      <c r="V70" s="271">
        <f>IF(ISBLANK('RESUMEN VIGILANCIA'!U6),"",'RESUMEN VIGILANCIA'!U6)</f>
        <v>4</v>
      </c>
      <c r="W70" s="271">
        <f>IF(ISBLANK('RESUMEN VIGILANCIA'!V6),"",'RESUMEN VIGILANCIA'!V6)</f>
        <v>6.25</v>
      </c>
      <c r="X70" s="271">
        <f>IF(ISBLANK('RESUMEN VIGILANCIA'!W6),"",'RESUMEN VIGILANCIA'!W6)</f>
        <v>10</v>
      </c>
      <c r="Y70" s="271">
        <f>IF(ISBLANK('RESUMEN VIGILANCIA'!X6),"",'RESUMEN VIGILANCIA'!X6)</f>
        <v>12</v>
      </c>
      <c r="Z70" s="481">
        <f>IF(ISBLANK('RESUMEN VIGILANCIA'!Y6),"",'RESUMEN VIGILANCIA'!Y6)</f>
        <v>320</v>
      </c>
      <c r="AA70" s="481">
        <f>IF(ISBLANK('RESUMEN VIGILANCIA'!Z6),"",'RESUMEN VIGILANCIA'!Z6)</f>
        <v>320</v>
      </c>
      <c r="AB70" s="481">
        <f>IF(ISBLANK('RESUMEN VIGILANCIA'!AA6),"",'RESUMEN VIGILANCIA'!AA6)</f>
        <v>320</v>
      </c>
      <c r="AC70" s="482">
        <f>IF(ISBLANK('RESUMEN VIGILANCIA'!AB6),"",'RESUMEN VIGILANCIA'!AB6)</f>
        <v>800</v>
      </c>
      <c r="AD70" s="399">
        <f>IF(ISBLANK('RESUMEN VIGILANCIA'!AC6),"",'RESUMEN VIGILANCIA'!AC6)</f>
        <v>3000</v>
      </c>
      <c r="AE70" s="400">
        <f>IF(ISBLANK('RESUMEN VIGILANCIA'!AD6),"",'RESUMEN VIGILANCIA'!AD6)</f>
        <v>3000</v>
      </c>
      <c r="AF70" s="400">
        <f>IF(ISBLANK('RESUMEN VIGILANCIA'!AE6),"",'RESUMEN VIGILANCIA'!AE6)</f>
        <v>3000</v>
      </c>
      <c r="AG70" s="400">
        <f>IF(ISBLANK('RESUMEN VIGILANCIA'!AF6),"",'RESUMEN VIGILANCIA'!AF6)</f>
        <v>5000</v>
      </c>
      <c r="AH70" s="400">
        <f>IF(ISBLANK('RESUMEN VIGILANCIA'!AG6),"",'RESUMEN VIGILANCIA'!AG6)</f>
        <v>8000</v>
      </c>
      <c r="AI70" s="400">
        <f>IF(ISBLANK('RESUMEN VIGILANCIA'!AH6),"",'RESUMEN VIGILANCIA'!AH6)</f>
        <v>8000</v>
      </c>
      <c r="AJ70" s="400">
        <f>IF(ISBLANK('RESUMEN VIGILANCIA'!AI6),"",'RESUMEN VIGILANCIA'!AI6)</f>
        <v>10000</v>
      </c>
      <c r="AK70" s="400">
        <f>IF(ISBLANK('RESUMEN VIGILANCIA'!AJ6),"",'RESUMEN VIGILANCIA'!AJ6)</f>
        <v>10000</v>
      </c>
      <c r="AL70" s="400">
        <f>IF(ISBLANK('RESUMEN VIGILANCIA'!AK6),"",'RESUMEN VIGILANCIA'!AK6)</f>
        <v>22000</v>
      </c>
      <c r="AM70" s="400">
        <f>IF(ISBLANK('RESUMEN VIGILANCIA'!AL6),"",'RESUMEN VIGILANCIA'!AL6)</f>
        <v>47000</v>
      </c>
      <c r="AN70" s="400">
        <f>IF(ISBLANK('RESUMEN VIGILANCIA'!AM6),"",'RESUMEN VIGILANCIA'!AM6)</f>
        <v>56250</v>
      </c>
      <c r="AO70" s="401">
        <f>IF(ISBLANK('RESUMEN VIGILANCIA'!AN6),"",'RESUMEN VIGILANCIA'!AN6)</f>
        <v>97500</v>
      </c>
      <c r="AP70" s="399">
        <f>IF(ISBLANK('RESUMEN VIGILANCIA'!AO6),"",'RESUMEN VIGILANCIA'!AO6)</f>
        <v>136250</v>
      </c>
      <c r="AQ70" s="400">
        <f>IF(ISBLANK('RESUMEN VIGILANCIA'!AP6),"",'RESUMEN VIGILANCIA'!AP6)</f>
        <v>136250</v>
      </c>
      <c r="AR70" s="400">
        <f>IF(ISBLANK('RESUMEN VIGILANCIA'!AQ6),"",'RESUMEN VIGILANCIA'!AQ6)</f>
        <v>185250</v>
      </c>
      <c r="AS70" s="400" t="str">
        <f>IF(ISBLANK('RESUMEN VIGILANCIA'!AR6),"",'RESUMEN VIGILANCIA'!AR6)</f>
        <v/>
      </c>
      <c r="AT70" s="400" t="str">
        <f>IF(ISBLANK('RESUMEN VIGILANCIA'!AS6),"",'RESUMEN VIGILANCIA'!AS6)</f>
        <v/>
      </c>
      <c r="AU70" s="400" t="str">
        <f>IF(ISBLANK('RESUMEN VIGILANCIA'!AT6),"",'RESUMEN VIGILANCIA'!AT6)</f>
        <v/>
      </c>
      <c r="AV70" s="400" t="str">
        <f>IF(ISBLANK('RESUMEN VIGILANCIA'!AU6),"",'RESUMEN VIGILANCIA'!AU6)</f>
        <v/>
      </c>
      <c r="AW70" s="400" t="str">
        <f>IF(ISBLANK('RESUMEN VIGILANCIA'!AV6),"",'RESUMEN VIGILANCIA'!AV6)</f>
        <v/>
      </c>
      <c r="AX70" s="400" t="str">
        <f>IF(ISBLANK('RESUMEN VIGILANCIA'!AW6),"",'RESUMEN VIGILANCIA'!AW6)</f>
        <v/>
      </c>
      <c r="AY70" s="400" t="str">
        <f>IF(ISBLANK('RESUMEN VIGILANCIA'!AX6),"",'RESUMEN VIGILANCIA'!AX6)</f>
        <v/>
      </c>
      <c r="AZ70" s="400" t="str">
        <f>IF(ISBLANK('RESUMEN VIGILANCIA'!AY6),"",'RESUMEN VIGILANCIA'!AY6)</f>
        <v/>
      </c>
      <c r="BA70" s="401" t="str">
        <f>IF(ISBLANK('RESUMEN VIGILANCIA'!AZ6),"",'RESUMEN VIGILANCIA'!AZ6)</f>
        <v/>
      </c>
      <c r="BB70" s="243">
        <f t="shared" si="4"/>
        <v>274550.25</v>
      </c>
      <c r="BC70" s="112"/>
      <c r="BD70" s="112"/>
    </row>
    <row r="71" spans="1:56" s="29" customFormat="1" ht="20.100000000000001" customHeight="1" x14ac:dyDescent="0.25">
      <c r="A71" s="30" t="str">
        <f>'RESUMEN VIGILANCIA'!A17</f>
        <v>Ana de González</v>
      </c>
      <c r="B71" s="31" t="str">
        <f>'RESUMEN VIGILANCIA'!B17</f>
        <v>Av. "O" Nro. 146-17</v>
      </c>
      <c r="C71" s="452" t="s">
        <v>1269</v>
      </c>
      <c r="D71" s="460" t="s">
        <v>1268</v>
      </c>
      <c r="E71" s="440" t="str">
        <f>IF(ISBLANK('RESUMEN VIGILANCIA'!D17),"",'RESUMEN VIGILANCIA'!D17)</f>
        <v/>
      </c>
      <c r="F71" s="270">
        <f>IF(ISBLANK('RESUMEN VIGILANCIA'!E17),"",'RESUMEN VIGILANCIA'!E17)</f>
        <v>0.17</v>
      </c>
      <c r="G71" s="182">
        <f>IF(ISBLANK('RESUMEN VIGILANCIA'!F17),"",'RESUMEN VIGILANCIA'!F17)</f>
        <v>0.17</v>
      </c>
      <c r="H71" s="182">
        <f>IF(ISBLANK('RESUMEN VIGILANCIA'!G17),"",'RESUMEN VIGILANCIA'!G17)</f>
        <v>0.17</v>
      </c>
      <c r="I71" s="182">
        <f>IF(ISBLANK('RESUMEN VIGILANCIA'!H17),"",'RESUMEN VIGILANCIA'!H17)</f>
        <v>0.17</v>
      </c>
      <c r="J71" s="182">
        <f>IF(ISBLANK('RESUMEN VIGILANCIA'!I17),"",'RESUMEN VIGILANCIA'!I17)</f>
        <v>0.26</v>
      </c>
      <c r="K71" s="182">
        <f>IF(ISBLANK('RESUMEN VIGILANCIA'!J17),"",'RESUMEN VIGILANCIA'!J17)</f>
        <v>0.26</v>
      </c>
      <c r="L71" s="182">
        <f>IF(ISBLANK('RESUMEN VIGILANCIA'!K17),"",'RESUMEN VIGILANCIA'!K17)</f>
        <v>0.35</v>
      </c>
      <c r="M71" s="182">
        <f>IF(ISBLANK('RESUMEN VIGILANCIA'!L17),"",'RESUMEN VIGILANCIA'!L17)</f>
        <v>0.35</v>
      </c>
      <c r="N71" s="182">
        <f>IF(ISBLANK('RESUMEN VIGILANCIA'!M17),"",'RESUMEN VIGILANCIA'!M17)</f>
        <v>0.35</v>
      </c>
      <c r="O71" s="182">
        <f>IF(ISBLANK('RESUMEN VIGILANCIA'!N17),"",'RESUMEN VIGILANCIA'!N17)</f>
        <v>0.35</v>
      </c>
      <c r="P71" s="271">
        <f>IF(ISBLANK('RESUMEN VIGILANCIA'!O17),"",'RESUMEN VIGILANCIA'!O17)</f>
        <v>0.5</v>
      </c>
      <c r="Q71" s="180">
        <f>IF(ISBLANK('RESUMEN VIGILANCIA'!P17),"",'RESUMEN VIGILANCIA'!P17)</f>
        <v>0.5</v>
      </c>
      <c r="R71" s="272">
        <f>IF(ISBLANK('RESUMEN VIGILANCIA'!Q17),"",'RESUMEN VIGILANCIA'!Q17)</f>
        <v>0.8</v>
      </c>
      <c r="S71" s="271">
        <f>IF(ISBLANK('RESUMEN VIGILANCIA'!R17),"",'RESUMEN VIGILANCIA'!R17)</f>
        <v>0.8</v>
      </c>
      <c r="T71" s="271">
        <f>IF(ISBLANK('RESUMEN VIGILANCIA'!S17),"",'RESUMEN VIGILANCIA'!S17)</f>
        <v>1.4</v>
      </c>
      <c r="U71" s="271">
        <f>IF(ISBLANK('RESUMEN VIGILANCIA'!T17),"",'RESUMEN VIGILANCIA'!T17)</f>
        <v>1.4</v>
      </c>
      <c r="V71" s="271">
        <f>IF(ISBLANK('RESUMEN VIGILANCIA'!U17),"",'RESUMEN VIGILANCIA'!U17)</f>
        <v>4</v>
      </c>
      <c r="W71" s="271">
        <f>IF(ISBLANK('RESUMEN VIGILANCIA'!V17),"",'RESUMEN VIGILANCIA'!V17)</f>
        <v>6.25</v>
      </c>
      <c r="X71" s="271">
        <f>IF(ISBLANK('RESUMEN VIGILANCIA'!W17),"",'RESUMEN VIGILANCIA'!W17)</f>
        <v>10</v>
      </c>
      <c r="Y71" s="271">
        <f>IF(ISBLANK('RESUMEN VIGILANCIA'!X17),"",'RESUMEN VIGILANCIA'!X17)</f>
        <v>12</v>
      </c>
      <c r="Z71" s="481">
        <f>IF(ISBLANK('RESUMEN VIGILANCIA'!Y17),"",'RESUMEN VIGILANCIA'!Y17)</f>
        <v>320</v>
      </c>
      <c r="AA71" s="481">
        <f>IF(ISBLANK('RESUMEN VIGILANCIA'!Z17),"",'RESUMEN VIGILANCIA'!Z17)</f>
        <v>320</v>
      </c>
      <c r="AB71" s="481">
        <f>IF(ISBLANK('RESUMEN VIGILANCIA'!AA17),"",'RESUMEN VIGILANCIA'!AA17)</f>
        <v>320</v>
      </c>
      <c r="AC71" s="482">
        <f>IF(ISBLANK('RESUMEN VIGILANCIA'!AB17),"",'RESUMEN VIGILANCIA'!AB17)</f>
        <v>800</v>
      </c>
      <c r="AD71" s="399">
        <f>IF(ISBLANK('RESUMEN VIGILANCIA'!AC17),"",'RESUMEN VIGILANCIA'!AC17)</f>
        <v>3000</v>
      </c>
      <c r="AE71" s="400">
        <f>IF(ISBLANK('RESUMEN VIGILANCIA'!AD17),"",'RESUMEN VIGILANCIA'!AD17)</f>
        <v>3000</v>
      </c>
      <c r="AF71" s="400">
        <f>IF(ISBLANK('RESUMEN VIGILANCIA'!AE17),"",'RESUMEN VIGILANCIA'!AE17)</f>
        <v>3000</v>
      </c>
      <c r="AG71" s="400">
        <f>IF(ISBLANK('RESUMEN VIGILANCIA'!AF17),"",'RESUMEN VIGILANCIA'!AF17)</f>
        <v>5000</v>
      </c>
      <c r="AH71" s="400">
        <f>IF(ISBLANK('RESUMEN VIGILANCIA'!AG17),"",'RESUMEN VIGILANCIA'!AG17)</f>
        <v>8000</v>
      </c>
      <c r="AI71" s="400">
        <f>IF(ISBLANK('RESUMEN VIGILANCIA'!AH17),"",'RESUMEN VIGILANCIA'!AH17)</f>
        <v>2000</v>
      </c>
      <c r="AJ71" s="400">
        <f>IF(ISBLANK('RESUMEN VIGILANCIA'!AI17),"",'RESUMEN VIGILANCIA'!AI17)</f>
        <v>10000</v>
      </c>
      <c r="AK71" s="400">
        <f>IF(ISBLANK('RESUMEN VIGILANCIA'!AJ17),"",'RESUMEN VIGILANCIA'!AJ17)</f>
        <v>10000</v>
      </c>
      <c r="AL71" s="400">
        <f>IF(ISBLANK('RESUMEN VIGILANCIA'!AK17),"",'RESUMEN VIGILANCIA'!AK17)</f>
        <v>21600</v>
      </c>
      <c r="AM71" s="400">
        <f>IF(ISBLANK('RESUMEN VIGILANCIA'!AL17),"",'RESUMEN VIGILANCIA'!AL17)</f>
        <v>51250</v>
      </c>
      <c r="AN71" s="400">
        <f>IF(ISBLANK('RESUMEN VIGILANCIA'!AM17),"",'RESUMEN VIGILANCIA'!AM17)</f>
        <v>73500</v>
      </c>
      <c r="AO71" s="401">
        <f>IF(ISBLANK('RESUMEN VIGILANCIA'!AN17),"",'RESUMEN VIGILANCIA'!AN17)</f>
        <v>136250</v>
      </c>
      <c r="AP71" s="399">
        <f>IF(ISBLANK('RESUMEN VIGILANCIA'!AO17),"",'RESUMEN VIGILANCIA'!AO17)</f>
        <v>136250</v>
      </c>
      <c r="AQ71" s="400">
        <f>IF(ISBLANK('RESUMEN VIGILANCIA'!AP17),"",'RESUMEN VIGILANCIA'!AP17)</f>
        <v>136250</v>
      </c>
      <c r="AR71" s="400" t="str">
        <f>IF(ISBLANK('RESUMEN VIGILANCIA'!AQ17),"",'RESUMEN VIGILANCIA'!AQ17)</f>
        <v/>
      </c>
      <c r="AS71" s="400" t="str">
        <f>IF(ISBLANK('RESUMEN VIGILANCIA'!AR17),"",'RESUMEN VIGILANCIA'!AR17)</f>
        <v/>
      </c>
      <c r="AT71" s="400" t="str">
        <f>IF(ISBLANK('RESUMEN VIGILANCIA'!AS17),"",'RESUMEN VIGILANCIA'!AS17)</f>
        <v/>
      </c>
      <c r="AU71" s="400" t="str">
        <f>IF(ISBLANK('RESUMEN VIGILANCIA'!AT17),"",'RESUMEN VIGILANCIA'!AT17)</f>
        <v/>
      </c>
      <c r="AV71" s="400" t="str">
        <f>IF(ISBLANK('RESUMEN VIGILANCIA'!AU17),"",'RESUMEN VIGILANCIA'!AU17)</f>
        <v/>
      </c>
      <c r="AW71" s="400" t="str">
        <f>IF(ISBLANK('RESUMEN VIGILANCIA'!AV17),"",'RESUMEN VIGILANCIA'!AV17)</f>
        <v/>
      </c>
      <c r="AX71" s="400" t="str">
        <f>IF(ISBLANK('RESUMEN VIGILANCIA'!AW17),"",'RESUMEN VIGILANCIA'!AW17)</f>
        <v/>
      </c>
      <c r="AY71" s="400" t="str">
        <f>IF(ISBLANK('RESUMEN VIGILANCIA'!AX17),"",'RESUMEN VIGILANCIA'!AX17)</f>
        <v/>
      </c>
      <c r="AZ71" s="400" t="str">
        <f>IF(ISBLANK('RESUMEN VIGILANCIA'!AY17),"",'RESUMEN VIGILANCIA'!AY17)</f>
        <v/>
      </c>
      <c r="BA71" s="401" t="str">
        <f>IF(ISBLANK('RESUMEN VIGILANCIA'!AZ17),"",'RESUMEN VIGILANCIA'!AZ17)</f>
        <v/>
      </c>
      <c r="BB71" s="243">
        <f t="shared" si="4"/>
        <v>328400.25</v>
      </c>
      <c r="BC71" s="112"/>
      <c r="BD71" s="112"/>
    </row>
    <row r="72" spans="1:56" s="29" customFormat="1" ht="20.100000000000001" customHeight="1" x14ac:dyDescent="0.25">
      <c r="A72" s="30" t="str">
        <f>'RESUMEN VIGILANCIA'!A13</f>
        <v>Ely Saúl Rivero Gómez</v>
      </c>
      <c r="B72" s="31" t="str">
        <f>'RESUMEN VIGILANCIA'!B13</f>
        <v>Av. "Ñ" Nro. 145-25</v>
      </c>
      <c r="C72" s="452" t="s">
        <v>1269</v>
      </c>
      <c r="D72" s="460" t="s">
        <v>1268</v>
      </c>
      <c r="E72" s="440" t="str">
        <f>IF(ISBLANK('RESUMEN VIGILANCIA'!D13),"",'RESUMEN VIGILANCIA'!D13)</f>
        <v/>
      </c>
      <c r="F72" s="270">
        <f>IF(ISBLANK('RESUMEN VIGILANCIA'!E13),"",'RESUMEN VIGILANCIA'!E13)</f>
        <v>0.17</v>
      </c>
      <c r="G72" s="182">
        <f>IF(ISBLANK('RESUMEN VIGILANCIA'!F13),"",'RESUMEN VIGILANCIA'!F13)</f>
        <v>0.17</v>
      </c>
      <c r="H72" s="182">
        <f>IF(ISBLANK('RESUMEN VIGILANCIA'!G13),"",'RESUMEN VIGILANCIA'!G13)</f>
        <v>0.17</v>
      </c>
      <c r="I72" s="182">
        <f>IF(ISBLANK('RESUMEN VIGILANCIA'!H13),"",'RESUMEN VIGILANCIA'!H13)</f>
        <v>0.17</v>
      </c>
      <c r="J72" s="182">
        <f>IF(ISBLANK('RESUMEN VIGILANCIA'!I13),"",'RESUMEN VIGILANCIA'!I13)</f>
        <v>0.26</v>
      </c>
      <c r="K72" s="182">
        <f>IF(ISBLANK('RESUMEN VIGILANCIA'!J13),"",'RESUMEN VIGILANCIA'!J13)</f>
        <v>0.26</v>
      </c>
      <c r="L72" s="182">
        <f>IF(ISBLANK('RESUMEN VIGILANCIA'!K13),"",'RESUMEN VIGILANCIA'!K13)</f>
        <v>0.35</v>
      </c>
      <c r="M72" s="182">
        <f>IF(ISBLANK('RESUMEN VIGILANCIA'!L13),"",'RESUMEN VIGILANCIA'!L13)</f>
        <v>0.35</v>
      </c>
      <c r="N72" s="182">
        <f>IF(ISBLANK('RESUMEN VIGILANCIA'!M13),"",'RESUMEN VIGILANCIA'!M13)</f>
        <v>0.35</v>
      </c>
      <c r="O72" s="182">
        <f>IF(ISBLANK('RESUMEN VIGILANCIA'!N13),"",'RESUMEN VIGILANCIA'!N13)</f>
        <v>0.35</v>
      </c>
      <c r="P72" s="271">
        <f>IF(ISBLANK('RESUMEN VIGILANCIA'!O13),"",'RESUMEN VIGILANCIA'!O13)</f>
        <v>0.5</v>
      </c>
      <c r="Q72" s="180">
        <f>IF(ISBLANK('RESUMEN VIGILANCIA'!P13),"",'RESUMEN VIGILANCIA'!P13)</f>
        <v>0.5</v>
      </c>
      <c r="R72" s="272">
        <f>IF(ISBLANK('RESUMEN VIGILANCIA'!Q13),"",'RESUMEN VIGILANCIA'!Q13)</f>
        <v>0.8</v>
      </c>
      <c r="S72" s="271">
        <f>IF(ISBLANK('RESUMEN VIGILANCIA'!R13),"",'RESUMEN VIGILANCIA'!R13)</f>
        <v>0.8</v>
      </c>
      <c r="T72" s="271">
        <f>IF(ISBLANK('RESUMEN VIGILANCIA'!S13),"",'RESUMEN VIGILANCIA'!S13)</f>
        <v>1.4</v>
      </c>
      <c r="U72" s="271">
        <f>IF(ISBLANK('RESUMEN VIGILANCIA'!T13),"",'RESUMEN VIGILANCIA'!T13)</f>
        <v>1.4</v>
      </c>
      <c r="V72" s="271">
        <f>IF(ISBLANK('RESUMEN VIGILANCIA'!U13),"",'RESUMEN VIGILANCIA'!U13)</f>
        <v>4</v>
      </c>
      <c r="W72" s="271">
        <f>IF(ISBLANK('RESUMEN VIGILANCIA'!V13),"",'RESUMEN VIGILANCIA'!V13)</f>
        <v>6.25</v>
      </c>
      <c r="X72" s="271">
        <f>IF(ISBLANK('RESUMEN VIGILANCIA'!W13),"",'RESUMEN VIGILANCIA'!W13)</f>
        <v>10</v>
      </c>
      <c r="Y72" s="271">
        <f>IF(ISBLANK('RESUMEN VIGILANCIA'!X13),"",'RESUMEN VIGILANCIA'!X13)</f>
        <v>12</v>
      </c>
      <c r="Z72" s="481">
        <f>IF(ISBLANK('RESUMEN VIGILANCIA'!Y13),"",'RESUMEN VIGILANCIA'!Y13)</f>
        <v>320</v>
      </c>
      <c r="AA72" s="481">
        <f>IF(ISBLANK('RESUMEN VIGILANCIA'!Z13),"",'RESUMEN VIGILANCIA'!Z13)</f>
        <v>320</v>
      </c>
      <c r="AB72" s="481">
        <f>IF(ISBLANK('RESUMEN VIGILANCIA'!AA13),"",'RESUMEN VIGILANCIA'!AA13)</f>
        <v>320</v>
      </c>
      <c r="AC72" s="482">
        <f>IF(ISBLANK('RESUMEN VIGILANCIA'!AB13),"",'RESUMEN VIGILANCIA'!AB13)</f>
        <v>800</v>
      </c>
      <c r="AD72" s="399">
        <f>IF(ISBLANK('RESUMEN VIGILANCIA'!AC13),"",'RESUMEN VIGILANCIA'!AC13)</f>
        <v>3000</v>
      </c>
      <c r="AE72" s="400">
        <f>IF(ISBLANK('RESUMEN VIGILANCIA'!AD13),"",'RESUMEN VIGILANCIA'!AD13)</f>
        <v>3000</v>
      </c>
      <c r="AF72" s="400">
        <f>IF(ISBLANK('RESUMEN VIGILANCIA'!AE13),"",'RESUMEN VIGILANCIA'!AE13)</f>
        <v>3000</v>
      </c>
      <c r="AG72" s="400">
        <f>IF(ISBLANK('RESUMEN VIGILANCIA'!AF13),"",'RESUMEN VIGILANCIA'!AF13)</f>
        <v>5000</v>
      </c>
      <c r="AH72" s="400">
        <f>IF(ISBLANK('RESUMEN VIGILANCIA'!AG13),"",'RESUMEN VIGILANCIA'!AG13)</f>
        <v>8000</v>
      </c>
      <c r="AI72" s="400">
        <f>IF(ISBLANK('RESUMEN VIGILANCIA'!AH13),"",'RESUMEN VIGILANCIA'!AH13)</f>
        <v>8000</v>
      </c>
      <c r="AJ72" s="400">
        <f>IF(ISBLANK('RESUMEN VIGILANCIA'!AI13),"",'RESUMEN VIGILANCIA'!AI13)</f>
        <v>10000</v>
      </c>
      <c r="AK72" s="400">
        <f>IF(ISBLANK('RESUMEN VIGILANCIA'!AJ13),"",'RESUMEN VIGILANCIA'!AJ13)</f>
        <v>10000</v>
      </c>
      <c r="AL72" s="400">
        <f>IF(ISBLANK('RESUMEN VIGILANCIA'!AK13),"",'RESUMEN VIGILANCIA'!AK13)</f>
        <v>23400</v>
      </c>
      <c r="AM72" s="400">
        <f>IF(ISBLANK('RESUMEN VIGILANCIA'!AL13),"",'RESUMEN VIGILANCIA'!AL13)</f>
        <v>47000</v>
      </c>
      <c r="AN72" s="400">
        <f>IF(ISBLANK('RESUMEN VIGILANCIA'!AM13),"",'RESUMEN VIGILANCIA'!AM13)</f>
        <v>73500</v>
      </c>
      <c r="AO72" s="401">
        <f>IF(ISBLANK('RESUMEN VIGILANCIA'!AN13),"",'RESUMEN VIGILANCIA'!AN13)</f>
        <v>105250</v>
      </c>
      <c r="AP72" s="399">
        <f>IF(ISBLANK('RESUMEN VIGILANCIA'!AO13),"",'RESUMEN VIGILANCIA'!AO13)</f>
        <v>136250</v>
      </c>
      <c r="AQ72" s="400">
        <f>IF(ISBLANK('RESUMEN VIGILANCIA'!AP13),"",'RESUMEN VIGILANCIA'!AP13)</f>
        <v>136250</v>
      </c>
      <c r="AR72" s="400">
        <f>IF(ISBLANK('RESUMEN VIGILANCIA'!AQ13),"",'RESUMEN VIGILANCIA'!AQ13)</f>
        <v>185250</v>
      </c>
      <c r="AS72" s="400" t="str">
        <f>IF(ISBLANK('RESUMEN VIGILANCIA'!AR13),"",'RESUMEN VIGILANCIA'!AR13)</f>
        <v/>
      </c>
      <c r="AT72" s="400" t="str">
        <f>IF(ISBLANK('RESUMEN VIGILANCIA'!AS13),"",'RESUMEN VIGILANCIA'!AS13)</f>
        <v/>
      </c>
      <c r="AU72" s="400" t="str">
        <f>IF(ISBLANK('RESUMEN VIGILANCIA'!AT13),"",'RESUMEN VIGILANCIA'!AT13)</f>
        <v/>
      </c>
      <c r="AV72" s="400" t="str">
        <f>IF(ISBLANK('RESUMEN VIGILANCIA'!AU13),"",'RESUMEN VIGILANCIA'!AU13)</f>
        <v/>
      </c>
      <c r="AW72" s="400" t="str">
        <f>IF(ISBLANK('RESUMEN VIGILANCIA'!AV13),"",'RESUMEN VIGILANCIA'!AV13)</f>
        <v/>
      </c>
      <c r="AX72" s="400" t="str">
        <f>IF(ISBLANK('RESUMEN VIGILANCIA'!AW13),"",'RESUMEN VIGILANCIA'!AW13)</f>
        <v/>
      </c>
      <c r="AY72" s="400" t="str">
        <f>IF(ISBLANK('RESUMEN VIGILANCIA'!AX13),"",'RESUMEN VIGILANCIA'!AX13)</f>
        <v/>
      </c>
      <c r="AZ72" s="400" t="str">
        <f>IF(ISBLANK('RESUMEN VIGILANCIA'!AY13),"",'RESUMEN VIGILANCIA'!AY13)</f>
        <v/>
      </c>
      <c r="BA72" s="401" t="str">
        <f>IF(ISBLANK('RESUMEN VIGILANCIA'!AZ13),"",'RESUMEN VIGILANCIA'!AZ13)</f>
        <v/>
      </c>
      <c r="BB72" s="243">
        <f t="shared" si="4"/>
        <v>300950.25</v>
      </c>
      <c r="BC72" s="112"/>
      <c r="BD72" s="112"/>
    </row>
    <row r="73" spans="1:56" s="29" customFormat="1" ht="20.100000000000001" customHeight="1" x14ac:dyDescent="0.25">
      <c r="A73" s="30" t="str">
        <f>'RESUMEN VIGILANCIA'!A5</f>
        <v>Jocsan Orta Correa</v>
      </c>
      <c r="B73" s="31" t="str">
        <f>'RESUMEN VIGILANCIA'!B5</f>
        <v>Av. "L" anexo de Los Tronquitos</v>
      </c>
      <c r="C73" s="452" t="s">
        <v>1269</v>
      </c>
      <c r="D73" s="460"/>
      <c r="E73" s="443" t="str">
        <f>IF(ISBLANK('RESUMEN VIGILANCIA'!D5),"",'RESUMEN VIGILANCIA'!D5)</f>
        <v/>
      </c>
      <c r="F73" s="298" t="str">
        <f>IF(ISBLANK('RESUMEN VIGILANCIA'!E5),"",'RESUMEN VIGILANCIA'!E5)</f>
        <v/>
      </c>
      <c r="G73" s="217" t="str">
        <f>IF(ISBLANK('RESUMEN VIGILANCIA'!F5),"",'RESUMEN VIGILANCIA'!F5)</f>
        <v/>
      </c>
      <c r="H73" s="217" t="str">
        <f>IF(ISBLANK('RESUMEN VIGILANCIA'!G5),"",'RESUMEN VIGILANCIA'!G5)</f>
        <v/>
      </c>
      <c r="I73" s="217" t="str">
        <f>IF(ISBLANK('RESUMEN VIGILANCIA'!H5),"",'RESUMEN VIGILANCIA'!H5)</f>
        <v/>
      </c>
      <c r="J73" s="217" t="str">
        <f>IF(ISBLANK('RESUMEN VIGILANCIA'!I5),"",'RESUMEN VIGILANCIA'!I5)</f>
        <v/>
      </c>
      <c r="K73" s="217" t="str">
        <f>IF(ISBLANK('RESUMEN VIGILANCIA'!J5),"",'RESUMEN VIGILANCIA'!J5)</f>
        <v/>
      </c>
      <c r="L73" s="217" t="str">
        <f>IF(ISBLANK('RESUMEN VIGILANCIA'!K5),"",'RESUMEN VIGILANCIA'!K5)</f>
        <v/>
      </c>
      <c r="M73" s="217" t="str">
        <f>IF(ISBLANK('RESUMEN VIGILANCIA'!L5),"",'RESUMEN VIGILANCIA'!L5)</f>
        <v/>
      </c>
      <c r="N73" s="217" t="str">
        <f>IF(ISBLANK('RESUMEN VIGILANCIA'!M5),"",'RESUMEN VIGILANCIA'!M5)</f>
        <v/>
      </c>
      <c r="O73" s="217" t="str">
        <f>IF(ISBLANK('RESUMEN VIGILANCIA'!N5),"",'RESUMEN VIGILANCIA'!N5)</f>
        <v/>
      </c>
      <c r="P73" s="284" t="str">
        <f>IF(ISBLANK('RESUMEN VIGILANCIA'!O5),"",'RESUMEN VIGILANCIA'!O5)</f>
        <v/>
      </c>
      <c r="Q73" s="215" t="str">
        <f>IF(ISBLANK('RESUMEN VIGILANCIA'!P5),"",'RESUMEN VIGILANCIA'!P5)</f>
        <v/>
      </c>
      <c r="R73" s="285" t="str">
        <f>IF(ISBLANK('RESUMEN VIGILANCIA'!Q5),"",'RESUMEN VIGILANCIA'!Q5)</f>
        <v/>
      </c>
      <c r="S73" s="284" t="str">
        <f>IF(ISBLANK('RESUMEN VIGILANCIA'!R5),"",'RESUMEN VIGILANCIA'!R5)</f>
        <v/>
      </c>
      <c r="T73" s="284" t="str">
        <f>IF(ISBLANK('RESUMEN VIGILANCIA'!S5),"",'RESUMEN VIGILANCIA'!S5)</f>
        <v/>
      </c>
      <c r="U73" s="284" t="str">
        <f>IF(ISBLANK('RESUMEN VIGILANCIA'!T5),"",'RESUMEN VIGILANCIA'!T5)</f>
        <v/>
      </c>
      <c r="V73" s="284" t="str">
        <f>IF(ISBLANK('RESUMEN VIGILANCIA'!U5),"",'RESUMEN VIGILANCIA'!U5)</f>
        <v/>
      </c>
      <c r="W73" s="284" t="str">
        <f>IF(ISBLANK('RESUMEN VIGILANCIA'!V5),"",'RESUMEN VIGILANCIA'!V5)</f>
        <v/>
      </c>
      <c r="X73" s="284" t="str">
        <f>IF(ISBLANK('RESUMEN VIGILANCIA'!W5),"",'RESUMEN VIGILANCIA'!W5)</f>
        <v/>
      </c>
      <c r="Y73" s="284" t="str">
        <f>IF(ISBLANK('RESUMEN VIGILANCIA'!X5),"",'RESUMEN VIGILANCIA'!X5)</f>
        <v/>
      </c>
      <c r="Z73" s="492" t="str">
        <f>IF(ISBLANK('RESUMEN VIGILANCIA'!Y5),"",'RESUMEN VIGILANCIA'!Y5)</f>
        <v/>
      </c>
      <c r="AA73" s="492" t="str">
        <f>IF(ISBLANK('RESUMEN VIGILANCIA'!Z5),"",'RESUMEN VIGILANCIA'!Z5)</f>
        <v/>
      </c>
      <c r="AB73" s="492" t="str">
        <f>IF(ISBLANK('RESUMEN VIGILANCIA'!AA5),"",'RESUMEN VIGILANCIA'!AA5)</f>
        <v/>
      </c>
      <c r="AC73" s="493" t="str">
        <f>IF(ISBLANK('RESUMEN VIGILANCIA'!AB5),"",'RESUMEN VIGILANCIA'!AB5)</f>
        <v/>
      </c>
      <c r="AD73" s="506" t="str">
        <f>IF(ISBLANK('RESUMEN VIGILANCIA'!AC5),"",'RESUMEN VIGILANCIA'!AC5)</f>
        <v/>
      </c>
      <c r="AE73" s="507" t="str">
        <f>IF(ISBLANK('RESUMEN VIGILANCIA'!AD5),"",'RESUMEN VIGILANCIA'!AD5)</f>
        <v/>
      </c>
      <c r="AF73" s="507" t="str">
        <f>IF(ISBLANK('RESUMEN VIGILANCIA'!AE5),"",'RESUMEN VIGILANCIA'!AE5)</f>
        <v/>
      </c>
      <c r="AG73" s="507" t="str">
        <f>IF(ISBLANK('RESUMEN VIGILANCIA'!AF5),"",'RESUMEN VIGILANCIA'!AF5)</f>
        <v/>
      </c>
      <c r="AH73" s="400">
        <f>IF(ISBLANK('RESUMEN VIGILANCIA'!AG5),"",'RESUMEN VIGILANCIA'!AG5)</f>
        <v>8000</v>
      </c>
      <c r="AI73" s="400">
        <f>IF(ISBLANK('RESUMEN VIGILANCIA'!AH5),"",'RESUMEN VIGILANCIA'!AH5)</f>
        <v>8000</v>
      </c>
      <c r="AJ73" s="400">
        <f>IF(ISBLANK('RESUMEN VIGILANCIA'!AI5),"",'RESUMEN VIGILANCIA'!AI5)</f>
        <v>10000</v>
      </c>
      <c r="AK73" s="400">
        <f>IF(ISBLANK('RESUMEN VIGILANCIA'!AJ5),"",'RESUMEN VIGILANCIA'!AJ5)</f>
        <v>10000</v>
      </c>
      <c r="AL73" s="400">
        <f>IF(ISBLANK('RESUMEN VIGILANCIA'!AK5),"",'RESUMEN VIGILANCIA'!AK5)</f>
        <v>19800</v>
      </c>
      <c r="AM73" s="400">
        <f>IF(ISBLANK('RESUMEN VIGILANCIA'!AL5),"",'RESUMEN VIGILANCIA'!AL5)</f>
        <v>51300</v>
      </c>
      <c r="AN73" s="400">
        <f>IF(ISBLANK('RESUMEN VIGILANCIA'!AM5),"",'RESUMEN VIGILANCIA'!AM5)</f>
        <v>73500</v>
      </c>
      <c r="AO73" s="401">
        <f>IF(ISBLANK('RESUMEN VIGILANCIA'!AN5),"",'RESUMEN VIGILANCIA'!AN5)</f>
        <v>97500</v>
      </c>
      <c r="AP73" s="399">
        <f>IF(ISBLANK('RESUMEN VIGILANCIA'!AO5),"",'RESUMEN VIGILANCIA'!AO5)</f>
        <v>136250</v>
      </c>
      <c r="AQ73" s="400">
        <f>IF(ISBLANK('RESUMEN VIGILANCIA'!AP5),"",'RESUMEN VIGILANCIA'!AP5)</f>
        <v>136250</v>
      </c>
      <c r="AR73" s="400" t="str">
        <f>IF(ISBLANK('RESUMEN VIGILANCIA'!AQ5),"",'RESUMEN VIGILANCIA'!AQ5)</f>
        <v/>
      </c>
      <c r="AS73" s="400" t="str">
        <f>IF(ISBLANK('RESUMEN VIGILANCIA'!AR5),"",'RESUMEN VIGILANCIA'!AR5)</f>
        <v/>
      </c>
      <c r="AT73" s="400" t="str">
        <f>IF(ISBLANK('RESUMEN VIGILANCIA'!AS5),"",'RESUMEN VIGILANCIA'!AS5)</f>
        <v/>
      </c>
      <c r="AU73" s="400" t="str">
        <f>IF(ISBLANK('RESUMEN VIGILANCIA'!AT5),"",'RESUMEN VIGILANCIA'!AT5)</f>
        <v/>
      </c>
      <c r="AV73" s="400" t="str">
        <f>IF(ISBLANK('RESUMEN VIGILANCIA'!AU5),"",'RESUMEN VIGILANCIA'!AU5)</f>
        <v/>
      </c>
      <c r="AW73" s="400" t="str">
        <f>IF(ISBLANK('RESUMEN VIGILANCIA'!AV5),"",'RESUMEN VIGILANCIA'!AV5)</f>
        <v/>
      </c>
      <c r="AX73" s="400" t="str">
        <f>IF(ISBLANK('RESUMEN VIGILANCIA'!AW5),"",'RESUMEN VIGILANCIA'!AW5)</f>
        <v/>
      </c>
      <c r="AY73" s="400" t="str">
        <f>IF(ISBLANK('RESUMEN VIGILANCIA'!AX5),"",'RESUMEN VIGILANCIA'!AX5)</f>
        <v/>
      </c>
      <c r="AZ73" s="400" t="str">
        <f>IF(ISBLANK('RESUMEN VIGILANCIA'!AY5),"",'RESUMEN VIGILANCIA'!AY5)</f>
        <v/>
      </c>
      <c r="BA73" s="401" t="str">
        <f>IF(ISBLANK('RESUMEN VIGILANCIA'!AZ5),"",'RESUMEN VIGILANCIA'!AZ5)</f>
        <v/>
      </c>
      <c r="BB73" s="243">
        <f t="shared" ref="BB73" si="6">SUM(E73:AO73)</f>
        <v>278100</v>
      </c>
      <c r="BC73" s="112">
        <v>43586</v>
      </c>
      <c r="BD73" s="112"/>
    </row>
    <row r="74" spans="1:56" s="29" customFormat="1" ht="20.100000000000001" customHeight="1" x14ac:dyDescent="0.25">
      <c r="A74" s="30" t="str">
        <f>'RESUMEN VIGILANCIA'!A140</f>
        <v>Alexander Pena</v>
      </c>
      <c r="B74" s="31" t="str">
        <f>'RESUMEN VIGILANCIA'!B140</f>
        <v>Calle Güigüe Nro. 89-126</v>
      </c>
      <c r="C74" s="452" t="s">
        <v>1270</v>
      </c>
      <c r="D74" s="460" t="s">
        <v>1268</v>
      </c>
      <c r="E74" s="440" t="str">
        <f>IF(ISBLANK('RESUMEN VIGILANCIA'!D140),"",'RESUMEN VIGILANCIA'!D140)</f>
        <v/>
      </c>
      <c r="F74" s="270" t="str">
        <f>IF(ISBLANK('RESUMEN VIGILANCIA'!E140),"",'RESUMEN VIGILANCIA'!E140)</f>
        <v/>
      </c>
      <c r="G74" s="182" t="str">
        <f>IF(ISBLANK('RESUMEN VIGILANCIA'!F140),"",'RESUMEN VIGILANCIA'!F140)</f>
        <v/>
      </c>
      <c r="H74" s="182" t="str">
        <f>IF(ISBLANK('RESUMEN VIGILANCIA'!G140),"",'RESUMEN VIGILANCIA'!G140)</f>
        <v/>
      </c>
      <c r="I74" s="182" t="str">
        <f>IF(ISBLANK('RESUMEN VIGILANCIA'!H140),"",'RESUMEN VIGILANCIA'!H140)</f>
        <v/>
      </c>
      <c r="J74" s="182" t="str">
        <f>IF(ISBLANK('RESUMEN VIGILANCIA'!I140),"",'RESUMEN VIGILANCIA'!I140)</f>
        <v/>
      </c>
      <c r="K74" s="182" t="str">
        <f>IF(ISBLANK('RESUMEN VIGILANCIA'!J140),"",'RESUMEN VIGILANCIA'!J140)</f>
        <v/>
      </c>
      <c r="L74" s="182" t="str">
        <f>IF(ISBLANK('RESUMEN VIGILANCIA'!K140),"",'RESUMEN VIGILANCIA'!K140)</f>
        <v/>
      </c>
      <c r="M74" s="182" t="str">
        <f>IF(ISBLANK('RESUMEN VIGILANCIA'!L140),"",'RESUMEN VIGILANCIA'!L140)</f>
        <v/>
      </c>
      <c r="N74" s="182" t="str">
        <f>IF(ISBLANK('RESUMEN VIGILANCIA'!M140),"",'RESUMEN VIGILANCIA'!M140)</f>
        <v/>
      </c>
      <c r="O74" s="182" t="str">
        <f>IF(ISBLANK('RESUMEN VIGILANCIA'!N140),"",'RESUMEN VIGILANCIA'!N140)</f>
        <v/>
      </c>
      <c r="P74" s="271" t="str">
        <f>IF(ISBLANK('RESUMEN VIGILANCIA'!O140),"",'RESUMEN VIGILANCIA'!O140)</f>
        <v/>
      </c>
      <c r="Q74" s="180" t="str">
        <f>IF(ISBLANK('RESUMEN VIGILANCIA'!P140),"",'RESUMEN VIGILANCIA'!P140)</f>
        <v/>
      </c>
      <c r="R74" s="272" t="str">
        <f>IF(ISBLANK('RESUMEN VIGILANCIA'!Q140),"",'RESUMEN VIGILANCIA'!Q140)</f>
        <v/>
      </c>
      <c r="S74" s="271" t="str">
        <f>IF(ISBLANK('RESUMEN VIGILANCIA'!R140),"",'RESUMEN VIGILANCIA'!R140)</f>
        <v/>
      </c>
      <c r="T74" s="271" t="str">
        <f>IF(ISBLANK('RESUMEN VIGILANCIA'!S140),"",'RESUMEN VIGILANCIA'!S140)</f>
        <v/>
      </c>
      <c r="U74" s="271" t="str">
        <f>IF(ISBLANK('RESUMEN VIGILANCIA'!T140),"",'RESUMEN VIGILANCIA'!T140)</f>
        <v/>
      </c>
      <c r="V74" s="271" t="str">
        <f>IF(ISBLANK('RESUMEN VIGILANCIA'!U140),"",'RESUMEN VIGILANCIA'!U140)</f>
        <v/>
      </c>
      <c r="W74" s="271" t="str">
        <f>IF(ISBLANK('RESUMEN VIGILANCIA'!V140),"",'RESUMEN VIGILANCIA'!V140)</f>
        <v/>
      </c>
      <c r="X74" s="271" t="str">
        <f>IF(ISBLANK('RESUMEN VIGILANCIA'!W140),"",'RESUMEN VIGILANCIA'!W140)</f>
        <v/>
      </c>
      <c r="Y74" s="271" t="str">
        <f>IF(ISBLANK('RESUMEN VIGILANCIA'!X140),"",'RESUMEN VIGILANCIA'!X140)</f>
        <v/>
      </c>
      <c r="Z74" s="481" t="str">
        <f>IF(ISBLANK('RESUMEN VIGILANCIA'!Y140),"",'RESUMEN VIGILANCIA'!Y140)</f>
        <v/>
      </c>
      <c r="AA74" s="481" t="str">
        <f>IF(ISBLANK('RESUMEN VIGILANCIA'!Z140),"",'RESUMEN VIGILANCIA'!Z140)</f>
        <v/>
      </c>
      <c r="AB74" s="481" t="str">
        <f>IF(ISBLANK('RESUMEN VIGILANCIA'!AA140),"",'RESUMEN VIGILANCIA'!AA140)</f>
        <v/>
      </c>
      <c r="AC74" s="482" t="str">
        <f>IF(ISBLANK('RESUMEN VIGILANCIA'!AB140),"",'RESUMEN VIGILANCIA'!AB140)</f>
        <v/>
      </c>
      <c r="AD74" s="399" t="str">
        <f>IF(ISBLANK('RESUMEN VIGILANCIA'!AC140),"",'RESUMEN VIGILANCIA'!AC140)</f>
        <v/>
      </c>
      <c r="AE74" s="400" t="str">
        <f>IF(ISBLANK('RESUMEN VIGILANCIA'!AD140),"",'RESUMEN VIGILANCIA'!AD140)</f>
        <v/>
      </c>
      <c r="AF74" s="400" t="str">
        <f>IF(ISBLANK('RESUMEN VIGILANCIA'!AE140),"",'RESUMEN VIGILANCIA'!AE140)</f>
        <v/>
      </c>
      <c r="AG74" s="400" t="str">
        <f>IF(ISBLANK('RESUMEN VIGILANCIA'!AF140),"",'RESUMEN VIGILANCIA'!AF140)</f>
        <v/>
      </c>
      <c r="AH74" s="400" t="str">
        <f>IF(ISBLANK('RESUMEN VIGILANCIA'!AG140),"",'RESUMEN VIGILANCIA'!AG140)</f>
        <v/>
      </c>
      <c r="AI74" s="400" t="str">
        <f>IF(ISBLANK('RESUMEN VIGILANCIA'!AH140),"",'RESUMEN VIGILANCIA'!AH140)</f>
        <v/>
      </c>
      <c r="AJ74" s="400" t="str">
        <f>IF(ISBLANK('RESUMEN VIGILANCIA'!AI140),"",'RESUMEN VIGILANCIA'!AI140)</f>
        <v/>
      </c>
      <c r="AK74" s="400" t="str">
        <f>IF(ISBLANK('RESUMEN VIGILANCIA'!AJ140),"",'RESUMEN VIGILANCIA'!AJ140)</f>
        <v/>
      </c>
      <c r="AL74" s="400" t="str">
        <f>IF(ISBLANK('RESUMEN VIGILANCIA'!AK140),"",'RESUMEN VIGILANCIA'!AK140)</f>
        <v/>
      </c>
      <c r="AM74" s="400" t="str">
        <f>IF(ISBLANK('RESUMEN VIGILANCIA'!AL140),"",'RESUMEN VIGILANCIA'!AL140)</f>
        <v/>
      </c>
      <c r="AN74" s="400" t="str">
        <f>IF(ISBLANK('RESUMEN VIGILANCIA'!AM140),"",'RESUMEN VIGILANCIA'!AM140)</f>
        <v/>
      </c>
      <c r="AO74" s="401" t="str">
        <f>IF(ISBLANK('RESUMEN VIGILANCIA'!AN140),"",'RESUMEN VIGILANCIA'!AN140)</f>
        <v/>
      </c>
      <c r="AP74" s="399" t="str">
        <f>IF(ISBLANK('RESUMEN VIGILANCIA'!AO140),"",'RESUMEN VIGILANCIA'!AO140)</f>
        <v/>
      </c>
      <c r="AQ74" s="400" t="str">
        <f>IF(ISBLANK('RESUMEN VIGILANCIA'!AP140),"",'RESUMEN VIGILANCIA'!AP140)</f>
        <v/>
      </c>
      <c r="AR74" s="400" t="str">
        <f>IF(ISBLANK('RESUMEN VIGILANCIA'!AQ140),"",'RESUMEN VIGILANCIA'!AQ140)</f>
        <v/>
      </c>
      <c r="AS74" s="400" t="str">
        <f>IF(ISBLANK('RESUMEN VIGILANCIA'!AR140),"",'RESUMEN VIGILANCIA'!AR140)</f>
        <v/>
      </c>
      <c r="AT74" s="400" t="str">
        <f>IF(ISBLANK('RESUMEN VIGILANCIA'!AS140),"",'RESUMEN VIGILANCIA'!AS140)</f>
        <v/>
      </c>
      <c r="AU74" s="400" t="str">
        <f>IF(ISBLANK('RESUMEN VIGILANCIA'!AT140),"",'RESUMEN VIGILANCIA'!AT140)</f>
        <v/>
      </c>
      <c r="AV74" s="400" t="str">
        <f>IF(ISBLANK('RESUMEN VIGILANCIA'!AU140),"",'RESUMEN VIGILANCIA'!AU140)</f>
        <v/>
      </c>
      <c r="AW74" s="400" t="str">
        <f>IF(ISBLANK('RESUMEN VIGILANCIA'!AV140),"",'RESUMEN VIGILANCIA'!AV140)</f>
        <v/>
      </c>
      <c r="AX74" s="400" t="str">
        <f>IF(ISBLANK('RESUMEN VIGILANCIA'!AW140),"",'RESUMEN VIGILANCIA'!AW140)</f>
        <v/>
      </c>
      <c r="AY74" s="400" t="str">
        <f>IF(ISBLANK('RESUMEN VIGILANCIA'!AX140),"",'RESUMEN VIGILANCIA'!AX140)</f>
        <v/>
      </c>
      <c r="AZ74" s="400" t="str">
        <f>IF(ISBLANK('RESUMEN VIGILANCIA'!AY140),"",'RESUMEN VIGILANCIA'!AY140)</f>
        <v/>
      </c>
      <c r="BA74" s="401" t="str">
        <f>IF(ISBLANK('RESUMEN VIGILANCIA'!AZ140),"",'RESUMEN VIGILANCIA'!AZ140)</f>
        <v/>
      </c>
      <c r="BB74" s="243">
        <f t="shared" si="4"/>
        <v>0</v>
      </c>
      <c r="BC74" s="112"/>
      <c r="BD74" s="112"/>
    </row>
    <row r="75" spans="1:56" s="29" customFormat="1" ht="20.100000000000001" customHeight="1" x14ac:dyDescent="0.25">
      <c r="A75" s="29" t="str">
        <f>'RESUMEN VIGILANCIA'!A74</f>
        <v>Familia Narváez Caldera</v>
      </c>
      <c r="B75" s="31" t="str">
        <f>'RESUMEN VIGILANCIA'!B74</f>
        <v>Calle Güigüe Nro. 87-A-11</v>
      </c>
      <c r="C75" s="452" t="s">
        <v>1269</v>
      </c>
      <c r="D75" s="460" t="s">
        <v>1268</v>
      </c>
      <c r="E75" s="440" t="str">
        <f>IF(ISBLANK('RESUMEN VIGILANCIA'!D74),"",'RESUMEN VIGILANCIA'!D74)</f>
        <v/>
      </c>
      <c r="F75" s="270">
        <f>IF(ISBLANK('RESUMEN VIGILANCIA'!E74),"",'RESUMEN VIGILANCIA'!E74)</f>
        <v>0.17</v>
      </c>
      <c r="G75" s="182">
        <f>IF(ISBLANK('RESUMEN VIGILANCIA'!F74),"",'RESUMEN VIGILANCIA'!F74)</f>
        <v>0.17</v>
      </c>
      <c r="H75" s="182">
        <f>IF(ISBLANK('RESUMEN VIGILANCIA'!G74),"",'RESUMEN VIGILANCIA'!G74)</f>
        <v>0.17</v>
      </c>
      <c r="I75" s="182">
        <f>IF(ISBLANK('RESUMEN VIGILANCIA'!H74),"",'RESUMEN VIGILANCIA'!H74)</f>
        <v>0.17</v>
      </c>
      <c r="J75" s="182">
        <f>IF(ISBLANK('RESUMEN VIGILANCIA'!I74),"",'RESUMEN VIGILANCIA'!I74)</f>
        <v>0.26</v>
      </c>
      <c r="K75" s="182">
        <f>IF(ISBLANK('RESUMEN VIGILANCIA'!J74),"",'RESUMEN VIGILANCIA'!J74)</f>
        <v>0.26</v>
      </c>
      <c r="L75" s="182">
        <f>IF(ISBLANK('RESUMEN VIGILANCIA'!K74),"",'RESUMEN VIGILANCIA'!K74)</f>
        <v>0.35</v>
      </c>
      <c r="M75" s="182">
        <f>IF(ISBLANK('RESUMEN VIGILANCIA'!L74),"",'RESUMEN VIGILANCIA'!L74)</f>
        <v>0.35</v>
      </c>
      <c r="N75" s="182">
        <f>IF(ISBLANK('RESUMEN VIGILANCIA'!M74),"",'RESUMEN VIGILANCIA'!M74)</f>
        <v>0.35</v>
      </c>
      <c r="O75" s="182">
        <f>IF(ISBLANK('RESUMEN VIGILANCIA'!N74),"",'RESUMEN VIGILANCIA'!N74)</f>
        <v>0.35</v>
      </c>
      <c r="P75" s="271">
        <f>IF(ISBLANK('RESUMEN VIGILANCIA'!O74),"",'RESUMEN VIGILANCIA'!O74)</f>
        <v>0.5</v>
      </c>
      <c r="Q75" s="180">
        <f>IF(ISBLANK('RESUMEN VIGILANCIA'!P74),"",'RESUMEN VIGILANCIA'!P74)</f>
        <v>0.5</v>
      </c>
      <c r="R75" s="272">
        <f>IF(ISBLANK('RESUMEN VIGILANCIA'!Q74),"",'RESUMEN VIGILANCIA'!Q74)</f>
        <v>0.8</v>
      </c>
      <c r="S75" s="271">
        <f>IF(ISBLANK('RESUMEN VIGILANCIA'!R74),"",'RESUMEN VIGILANCIA'!R74)</f>
        <v>0.8</v>
      </c>
      <c r="T75" s="271">
        <f>IF(ISBLANK('RESUMEN VIGILANCIA'!S74),"",'RESUMEN VIGILANCIA'!S74)</f>
        <v>1.4</v>
      </c>
      <c r="U75" s="271">
        <f>IF(ISBLANK('RESUMEN VIGILANCIA'!T74),"",'RESUMEN VIGILANCIA'!T74)</f>
        <v>1.4</v>
      </c>
      <c r="V75" s="271">
        <f>IF(ISBLANK('RESUMEN VIGILANCIA'!U74),"",'RESUMEN VIGILANCIA'!U74)</f>
        <v>4</v>
      </c>
      <c r="W75" s="271">
        <f>IF(ISBLANK('RESUMEN VIGILANCIA'!V74),"",'RESUMEN VIGILANCIA'!V74)</f>
        <v>6.25</v>
      </c>
      <c r="X75" s="271">
        <f>IF(ISBLANK('RESUMEN VIGILANCIA'!W74),"",'RESUMEN VIGILANCIA'!W74)</f>
        <v>10</v>
      </c>
      <c r="Y75" s="271">
        <f>IF(ISBLANK('RESUMEN VIGILANCIA'!X74),"",'RESUMEN VIGILANCIA'!X74)</f>
        <v>12</v>
      </c>
      <c r="Z75" s="481">
        <f>IF(ISBLANK('RESUMEN VIGILANCIA'!Y74),"",'RESUMEN VIGILANCIA'!Y74)</f>
        <v>320</v>
      </c>
      <c r="AA75" s="481">
        <v>320</v>
      </c>
      <c r="AB75" s="481">
        <f>IF(ISBLANK('RESUMEN VIGILANCIA'!AA74),"",'RESUMEN VIGILANCIA'!AA74)</f>
        <v>320</v>
      </c>
      <c r="AC75" s="482">
        <f>IF(ISBLANK('RESUMEN VIGILANCIA'!AB74),"",'RESUMEN VIGILANCIA'!AB74)</f>
        <v>800</v>
      </c>
      <c r="AD75" s="399">
        <f>IF(ISBLANK('RESUMEN VIGILANCIA'!AC74),"",'RESUMEN VIGILANCIA'!AC74)</f>
        <v>3000</v>
      </c>
      <c r="AE75" s="400">
        <f>IF(ISBLANK('RESUMEN VIGILANCIA'!AD74),"",'RESUMEN VIGILANCIA'!AD74)</f>
        <v>3000</v>
      </c>
      <c r="AF75" s="400">
        <f>IF(ISBLANK('RESUMEN VIGILANCIA'!AE74),"",'RESUMEN VIGILANCIA'!AE74)</f>
        <v>3000</v>
      </c>
      <c r="AG75" s="400">
        <f>IF(ISBLANK('RESUMEN VIGILANCIA'!AF74),"",'RESUMEN VIGILANCIA'!AF74)</f>
        <v>5000</v>
      </c>
      <c r="AH75" s="400">
        <f>IF(ISBLANK('RESUMEN VIGILANCIA'!AG74),"",'RESUMEN VIGILANCIA'!AG74)</f>
        <v>8000</v>
      </c>
      <c r="AI75" s="400">
        <f>IF(ISBLANK('RESUMEN VIGILANCIA'!AH74),"",'RESUMEN VIGILANCIA'!AH74)</f>
        <v>8000</v>
      </c>
      <c r="AJ75" s="400">
        <f>IF(ISBLANK('RESUMEN VIGILANCIA'!AI74),"",'RESUMEN VIGILANCIA'!AI74)</f>
        <v>10000</v>
      </c>
      <c r="AK75" s="400">
        <f>IF(ISBLANK('RESUMEN VIGILANCIA'!AJ74),"",'RESUMEN VIGILANCIA'!AJ74)</f>
        <v>10000</v>
      </c>
      <c r="AL75" s="400">
        <f>IF(ISBLANK('RESUMEN VIGILANCIA'!AK74),"",'RESUMEN VIGILANCIA'!AK74)</f>
        <v>23400</v>
      </c>
      <c r="AM75" s="400">
        <f>IF(ISBLANK('RESUMEN VIGILANCIA'!AL74),"",'RESUMEN VIGILANCIA'!AL74)</f>
        <v>51250</v>
      </c>
      <c r="AN75" s="400">
        <f>IF(ISBLANK('RESUMEN VIGILANCIA'!AM74),"",'RESUMEN VIGILANCIA'!AM74)</f>
        <v>56250</v>
      </c>
      <c r="AO75" s="401">
        <f>IF(ISBLANK('RESUMEN VIGILANCIA'!AN74),"",'RESUMEN VIGILANCIA'!AN74)</f>
        <v>136250</v>
      </c>
      <c r="AP75" s="399">
        <f>IF(ISBLANK('RESUMEN VIGILANCIA'!AO74),"",'RESUMEN VIGILANCIA'!AO74)</f>
        <v>136250</v>
      </c>
      <c r="AQ75" s="400">
        <f>IF(ISBLANK('RESUMEN VIGILANCIA'!AP74),"",'RESUMEN VIGILANCIA'!AP74)</f>
        <v>136250</v>
      </c>
      <c r="AR75" s="400" t="str">
        <f>IF(ISBLANK('RESUMEN VIGILANCIA'!AQ74),"",'RESUMEN VIGILANCIA'!AQ74)</f>
        <v/>
      </c>
      <c r="AS75" s="400" t="str">
        <f>IF(ISBLANK('RESUMEN VIGILANCIA'!AR74),"",'RESUMEN VIGILANCIA'!AR74)</f>
        <v/>
      </c>
      <c r="AT75" s="400" t="str">
        <f>IF(ISBLANK('RESUMEN VIGILANCIA'!AS74),"",'RESUMEN VIGILANCIA'!AS74)</f>
        <v/>
      </c>
      <c r="AU75" s="400" t="str">
        <f>IF(ISBLANK('RESUMEN VIGILANCIA'!AT74),"",'RESUMEN VIGILANCIA'!AT74)</f>
        <v/>
      </c>
      <c r="AV75" s="400" t="str">
        <f>IF(ISBLANK('RESUMEN VIGILANCIA'!AU74),"",'RESUMEN VIGILANCIA'!AU74)</f>
        <v/>
      </c>
      <c r="AW75" s="400" t="str">
        <f>IF(ISBLANK('RESUMEN VIGILANCIA'!AV74),"",'RESUMEN VIGILANCIA'!AV74)</f>
        <v/>
      </c>
      <c r="AX75" s="400" t="str">
        <f>IF(ISBLANK('RESUMEN VIGILANCIA'!AW74),"",'RESUMEN VIGILANCIA'!AW74)</f>
        <v/>
      </c>
      <c r="AY75" s="400" t="str">
        <f>IF(ISBLANK('RESUMEN VIGILANCIA'!AX74),"",'RESUMEN VIGILANCIA'!AX74)</f>
        <v/>
      </c>
      <c r="AZ75" s="400" t="str">
        <f>IF(ISBLANK('RESUMEN VIGILANCIA'!AY74),"",'RESUMEN VIGILANCIA'!AY74)</f>
        <v/>
      </c>
      <c r="BA75" s="401" t="str">
        <f>IF(ISBLANK('RESUMEN VIGILANCIA'!AZ74),"",'RESUMEN VIGILANCIA'!AZ74)</f>
        <v/>
      </c>
      <c r="BB75" s="243">
        <f t="shared" si="4"/>
        <v>318950.25</v>
      </c>
      <c r="BC75" s="112"/>
      <c r="BD75" s="112"/>
    </row>
    <row r="76" spans="1:56" s="29" customFormat="1" ht="20.100000000000001" customHeight="1" x14ac:dyDescent="0.25">
      <c r="A76" s="59" t="str">
        <f>'RESUMEN VIGILANCIA'!A75</f>
        <v>Claudia González</v>
      </c>
      <c r="B76" s="60" t="str">
        <f>'RESUMEN VIGILANCIA'!B75</f>
        <v>Calle Güigüe Nro. 88-06</v>
      </c>
      <c r="C76" s="452"/>
      <c r="D76" s="460" t="s">
        <v>1268</v>
      </c>
      <c r="E76" s="440" t="str">
        <f>IF(ISBLANK('RESUMEN VIGILANCIA'!D75),"",'RESUMEN VIGILANCIA'!D75)</f>
        <v/>
      </c>
      <c r="F76" s="270" t="str">
        <f>IF(ISBLANK('RESUMEN VIGILANCIA'!E75),"",'RESUMEN VIGILANCIA'!E75)</f>
        <v/>
      </c>
      <c r="G76" s="182" t="str">
        <f>IF(ISBLANK('RESUMEN VIGILANCIA'!F75),"",'RESUMEN VIGILANCIA'!F75)</f>
        <v/>
      </c>
      <c r="H76" s="182" t="str">
        <f>IF(ISBLANK('RESUMEN VIGILANCIA'!G75),"",'RESUMEN VIGILANCIA'!G75)</f>
        <v/>
      </c>
      <c r="I76" s="182" t="str">
        <f>IF(ISBLANK('RESUMEN VIGILANCIA'!H75),"",'RESUMEN VIGILANCIA'!H75)</f>
        <v/>
      </c>
      <c r="J76" s="182" t="str">
        <f>IF(ISBLANK('RESUMEN VIGILANCIA'!I75),"",'RESUMEN VIGILANCIA'!I75)</f>
        <v/>
      </c>
      <c r="K76" s="182" t="str">
        <f>IF(ISBLANK('RESUMEN VIGILANCIA'!J75),"",'RESUMEN VIGILANCIA'!J75)</f>
        <v/>
      </c>
      <c r="L76" s="182" t="str">
        <f>IF(ISBLANK('RESUMEN VIGILANCIA'!K75),"",'RESUMEN VIGILANCIA'!K75)</f>
        <v/>
      </c>
      <c r="M76" s="182" t="str">
        <f>IF(ISBLANK('RESUMEN VIGILANCIA'!L75),"",'RESUMEN VIGILANCIA'!L75)</f>
        <v/>
      </c>
      <c r="N76" s="182" t="str">
        <f>IF(ISBLANK('RESUMEN VIGILANCIA'!M75),"",'RESUMEN VIGILANCIA'!M75)</f>
        <v/>
      </c>
      <c r="O76" s="182" t="str">
        <f>IF(ISBLANK('RESUMEN VIGILANCIA'!N75),"",'RESUMEN VIGILANCIA'!N75)</f>
        <v/>
      </c>
      <c r="P76" s="275" t="str">
        <f>IF(ISBLANK('RESUMEN VIGILANCIA'!O75),"",'RESUMEN VIGILANCIA'!O75)</f>
        <v>VENDIDA</v>
      </c>
      <c r="Q76" s="286" t="str">
        <f>IF(ISBLANK('RESUMEN VIGILANCIA'!P75),"",'RESUMEN VIGILANCIA'!P75)</f>
        <v/>
      </c>
      <c r="R76" s="287" t="str">
        <f>IF(ISBLANK('RESUMEN VIGILANCIA'!Q75),"",'RESUMEN VIGILANCIA'!Q75)</f>
        <v/>
      </c>
      <c r="S76" s="275" t="str">
        <f>IF(ISBLANK('RESUMEN VIGILANCIA'!R75),"",'RESUMEN VIGILANCIA'!R75)</f>
        <v/>
      </c>
      <c r="T76" s="275" t="str">
        <f>IF(ISBLANK('RESUMEN VIGILANCIA'!S75),"",'RESUMEN VIGILANCIA'!S75)</f>
        <v/>
      </c>
      <c r="U76" s="275" t="str">
        <f>IF(ISBLANK('RESUMEN VIGILANCIA'!T75),"",'RESUMEN VIGILANCIA'!T75)</f>
        <v/>
      </c>
      <c r="V76" s="275" t="str">
        <f>IF(ISBLANK('RESUMEN VIGILANCIA'!U75),"",'RESUMEN VIGILANCIA'!U75)</f>
        <v/>
      </c>
      <c r="W76" s="275" t="str">
        <f>IF(ISBLANK('RESUMEN VIGILANCIA'!V75),"",'RESUMEN VIGILANCIA'!V75)</f>
        <v/>
      </c>
      <c r="X76" s="275" t="str">
        <f>IF(ISBLANK('RESUMEN VIGILANCIA'!W75),"",'RESUMEN VIGILANCIA'!W75)</f>
        <v/>
      </c>
      <c r="Y76" s="275" t="str">
        <f>IF(ISBLANK('RESUMEN VIGILANCIA'!X75),"",'RESUMEN VIGILANCIA'!X75)</f>
        <v/>
      </c>
      <c r="Z76" s="494" t="str">
        <f>IF(ISBLANK('RESUMEN VIGILANCIA'!Y75),"",'RESUMEN VIGILANCIA'!Y75)</f>
        <v/>
      </c>
      <c r="AA76" s="494" t="str">
        <f>IF(ISBLANK('RESUMEN VIGILANCIA'!Z75),"",'RESUMEN VIGILANCIA'!Z75)</f>
        <v/>
      </c>
      <c r="AB76" s="494" t="str">
        <f>IF(ISBLANK('RESUMEN VIGILANCIA'!AA75),"",'RESUMEN VIGILANCIA'!AA75)</f>
        <v/>
      </c>
      <c r="AC76" s="495" t="str">
        <f>IF(ISBLANK('RESUMEN VIGILANCIA'!AB75),"",'RESUMEN VIGILANCIA'!AB75)</f>
        <v/>
      </c>
      <c r="AD76" s="496" t="str">
        <f>IF(ISBLANK('RESUMEN VIGILANCIA'!AC75),"",'RESUMEN VIGILANCIA'!AC75)</f>
        <v/>
      </c>
      <c r="AE76" s="497" t="str">
        <f>IF(ISBLANK('RESUMEN VIGILANCIA'!AD75),"",'RESUMEN VIGILANCIA'!AD75)</f>
        <v/>
      </c>
      <c r="AF76" s="497" t="str">
        <f>IF(ISBLANK('RESUMEN VIGILANCIA'!AE75),"",'RESUMEN VIGILANCIA'!AE75)</f>
        <v/>
      </c>
      <c r="AG76" s="497" t="str">
        <f>IF(ISBLANK('RESUMEN VIGILANCIA'!AF75),"",'RESUMEN VIGILANCIA'!AF75)</f>
        <v/>
      </c>
      <c r="AH76" s="497" t="str">
        <f>IF(ISBLANK('RESUMEN VIGILANCIA'!AG75),"",'RESUMEN VIGILANCIA'!AG75)</f>
        <v/>
      </c>
      <c r="AI76" s="497" t="str">
        <f>IF(ISBLANK('RESUMEN VIGILANCIA'!AH75),"",'RESUMEN VIGILANCIA'!AH75)</f>
        <v/>
      </c>
      <c r="AJ76" s="497" t="str">
        <f>IF(ISBLANK('RESUMEN VIGILANCIA'!AI75),"",'RESUMEN VIGILANCIA'!AI75)</f>
        <v/>
      </c>
      <c r="AK76" s="497" t="str">
        <f>IF(ISBLANK('RESUMEN VIGILANCIA'!AJ75),"",'RESUMEN VIGILANCIA'!AJ75)</f>
        <v/>
      </c>
      <c r="AL76" s="497" t="str">
        <f>IF(ISBLANK('RESUMEN VIGILANCIA'!AK75),"",'RESUMEN VIGILANCIA'!AK75)</f>
        <v/>
      </c>
      <c r="AM76" s="497" t="str">
        <f>IF(ISBLANK('RESUMEN VIGILANCIA'!AL75),"",'RESUMEN VIGILANCIA'!AL75)</f>
        <v/>
      </c>
      <c r="AN76" s="497" t="str">
        <f>IF(ISBLANK('RESUMEN VIGILANCIA'!AM75),"",'RESUMEN VIGILANCIA'!AM75)</f>
        <v/>
      </c>
      <c r="AO76" s="498" t="str">
        <f>IF(ISBLANK('RESUMEN VIGILANCIA'!AN75),"",'RESUMEN VIGILANCIA'!AN75)</f>
        <v/>
      </c>
      <c r="AP76" s="496" t="str">
        <f>IF(ISBLANK('RESUMEN VIGILANCIA'!AO75),"",'RESUMEN VIGILANCIA'!AO75)</f>
        <v/>
      </c>
      <c r="AQ76" s="497" t="str">
        <f>IF(ISBLANK('RESUMEN VIGILANCIA'!AP75),"",'RESUMEN VIGILANCIA'!AP75)</f>
        <v/>
      </c>
      <c r="AR76" s="497" t="str">
        <f>IF(ISBLANK('RESUMEN VIGILANCIA'!AQ75),"",'RESUMEN VIGILANCIA'!AQ75)</f>
        <v/>
      </c>
      <c r="AS76" s="497" t="str">
        <f>IF(ISBLANK('RESUMEN VIGILANCIA'!AR75),"",'RESUMEN VIGILANCIA'!AR75)</f>
        <v/>
      </c>
      <c r="AT76" s="497" t="str">
        <f>IF(ISBLANK('RESUMEN VIGILANCIA'!AS75),"",'RESUMEN VIGILANCIA'!AS75)</f>
        <v/>
      </c>
      <c r="AU76" s="497" t="str">
        <f>IF(ISBLANK('RESUMEN VIGILANCIA'!AT75),"",'RESUMEN VIGILANCIA'!AT75)</f>
        <v/>
      </c>
      <c r="AV76" s="497" t="str">
        <f>IF(ISBLANK('RESUMEN VIGILANCIA'!AU75),"",'RESUMEN VIGILANCIA'!AU75)</f>
        <v/>
      </c>
      <c r="AW76" s="497" t="str">
        <f>IF(ISBLANK('RESUMEN VIGILANCIA'!AV75),"",'RESUMEN VIGILANCIA'!AV75)</f>
        <v/>
      </c>
      <c r="AX76" s="497" t="str">
        <f>IF(ISBLANK('RESUMEN VIGILANCIA'!AW75),"",'RESUMEN VIGILANCIA'!AW75)</f>
        <v/>
      </c>
      <c r="AY76" s="497" t="str">
        <f>IF(ISBLANK('RESUMEN VIGILANCIA'!AX75),"",'RESUMEN VIGILANCIA'!AX75)</f>
        <v/>
      </c>
      <c r="AZ76" s="497" t="str">
        <f>IF(ISBLANK('RESUMEN VIGILANCIA'!AY75),"",'RESUMEN VIGILANCIA'!AY75)</f>
        <v/>
      </c>
      <c r="BA76" s="498" t="str">
        <f>IF(ISBLANK('RESUMEN VIGILANCIA'!AZ75),"",'RESUMEN VIGILANCIA'!AZ75)</f>
        <v/>
      </c>
      <c r="BB76" s="243">
        <f t="shared" si="4"/>
        <v>0</v>
      </c>
      <c r="BC76" s="112"/>
      <c r="BD76" s="112">
        <v>43009</v>
      </c>
    </row>
    <row r="77" spans="1:56" s="29" customFormat="1" ht="20.100000000000001" customHeight="1" x14ac:dyDescent="0.25">
      <c r="A77" s="30" t="str">
        <f>'RESUMEN VIGILANCIA'!A76</f>
        <v>Familia Ozar Rivero</v>
      </c>
      <c r="B77" s="31" t="str">
        <f>'RESUMEN VIGILANCIA'!B76</f>
        <v>Calle Güigüe Nro. 88-06</v>
      </c>
      <c r="C77" s="452" t="s">
        <v>1269</v>
      </c>
      <c r="D77" s="460" t="s">
        <v>1268</v>
      </c>
      <c r="E77" s="442" t="str">
        <f>IF(ISBLANK('RESUMEN VIGILANCIA'!D76),"",'RESUMEN VIGILANCIA'!D76)</f>
        <v/>
      </c>
      <c r="F77" s="283" t="str">
        <f>IF(ISBLANK('RESUMEN VIGILANCIA'!E76),"",'RESUMEN VIGILANCIA'!E76)</f>
        <v/>
      </c>
      <c r="G77" s="210" t="str">
        <f>IF(ISBLANK('RESUMEN VIGILANCIA'!F76),"",'RESUMEN VIGILANCIA'!F76)</f>
        <v/>
      </c>
      <c r="H77" s="210" t="str">
        <f>IF(ISBLANK('RESUMEN VIGILANCIA'!G76),"",'RESUMEN VIGILANCIA'!G76)</f>
        <v/>
      </c>
      <c r="I77" s="210" t="str">
        <f>IF(ISBLANK('RESUMEN VIGILANCIA'!H76),"",'RESUMEN VIGILANCIA'!H76)</f>
        <v/>
      </c>
      <c r="J77" s="210" t="str">
        <f>IF(ISBLANK('RESUMEN VIGILANCIA'!I76),"",'RESUMEN VIGILANCIA'!I76)</f>
        <v/>
      </c>
      <c r="K77" s="210" t="str">
        <f>IF(ISBLANK('RESUMEN VIGILANCIA'!J76),"",'RESUMEN VIGILANCIA'!J76)</f>
        <v/>
      </c>
      <c r="L77" s="210" t="str">
        <f>IF(ISBLANK('RESUMEN VIGILANCIA'!K76),"",'RESUMEN VIGILANCIA'!K76)</f>
        <v/>
      </c>
      <c r="M77" s="210" t="str">
        <f>IF(ISBLANK('RESUMEN VIGILANCIA'!L76),"",'RESUMEN VIGILANCIA'!L76)</f>
        <v/>
      </c>
      <c r="N77" s="210" t="str">
        <f>IF(ISBLANK('RESUMEN VIGILANCIA'!M76),"",'RESUMEN VIGILANCIA'!M76)</f>
        <v/>
      </c>
      <c r="O77" s="210">
        <f>IF(ISBLANK('RESUMEN VIGILANCIA'!N76),"",'RESUMEN VIGILANCIA'!N76)</f>
        <v>0.35</v>
      </c>
      <c r="P77" s="271">
        <f>IF(ISBLANK('RESUMEN VIGILANCIA'!O76),"",'RESUMEN VIGILANCIA'!O76)</f>
        <v>0.5</v>
      </c>
      <c r="Q77" s="180">
        <f>IF(ISBLANK('RESUMEN VIGILANCIA'!P76),"",'RESUMEN VIGILANCIA'!P76)</f>
        <v>0.5</v>
      </c>
      <c r="R77" s="272">
        <f>IF(ISBLANK('RESUMEN VIGILANCIA'!Q76),"",'RESUMEN VIGILANCIA'!Q76)</f>
        <v>0.8</v>
      </c>
      <c r="S77" s="271">
        <f>IF(ISBLANK('RESUMEN VIGILANCIA'!R76),"",'RESUMEN VIGILANCIA'!R76)</f>
        <v>0.65</v>
      </c>
      <c r="T77" s="271">
        <f>IF(ISBLANK('RESUMEN VIGILANCIA'!S76),"",'RESUMEN VIGILANCIA'!S76)</f>
        <v>1.4</v>
      </c>
      <c r="U77" s="271">
        <f>IF(ISBLANK('RESUMEN VIGILANCIA'!T76),"",'RESUMEN VIGILANCIA'!T76)</f>
        <v>1.4</v>
      </c>
      <c r="V77" s="271">
        <f>IF(ISBLANK('RESUMEN VIGILANCIA'!U76),"",'RESUMEN VIGILANCIA'!U76)</f>
        <v>4</v>
      </c>
      <c r="W77" s="271">
        <f>IF(ISBLANK('RESUMEN VIGILANCIA'!V76),"",'RESUMEN VIGILANCIA'!V76)</f>
        <v>6.25</v>
      </c>
      <c r="X77" s="271">
        <f>IF(ISBLANK('RESUMEN VIGILANCIA'!W76),"",'RESUMEN VIGILANCIA'!W76)</f>
        <v>10</v>
      </c>
      <c r="Y77" s="271">
        <f>IF(ISBLANK('RESUMEN VIGILANCIA'!X76),"",'RESUMEN VIGILANCIA'!X76)</f>
        <v>12</v>
      </c>
      <c r="Z77" s="481">
        <f>IF(ISBLANK('RESUMEN VIGILANCIA'!Y76),"",'RESUMEN VIGILANCIA'!Y76)</f>
        <v>320</v>
      </c>
      <c r="AA77" s="481">
        <f>IF(ISBLANK('RESUMEN VIGILANCIA'!Z76),"",'RESUMEN VIGILANCIA'!Z76)</f>
        <v>320</v>
      </c>
      <c r="AB77" s="481">
        <f>IF(ISBLANK('RESUMEN VIGILANCIA'!AA76),"",'RESUMEN VIGILANCIA'!AA76)</f>
        <v>320</v>
      </c>
      <c r="AC77" s="482">
        <f>IF(ISBLANK('RESUMEN VIGILANCIA'!AB76),"",'RESUMEN VIGILANCIA'!AB76)</f>
        <v>800</v>
      </c>
      <c r="AD77" s="399">
        <f>IF(ISBLANK('RESUMEN VIGILANCIA'!AC76),"",'RESUMEN VIGILANCIA'!AC76)</f>
        <v>3000</v>
      </c>
      <c r="AE77" s="400">
        <f>IF(ISBLANK('RESUMEN VIGILANCIA'!AD76),"",'RESUMEN VIGILANCIA'!AD76)</f>
        <v>3000</v>
      </c>
      <c r="AF77" s="400">
        <f>IF(ISBLANK('RESUMEN VIGILANCIA'!AE76),"",'RESUMEN VIGILANCIA'!AE76)</f>
        <v>3000</v>
      </c>
      <c r="AG77" s="400">
        <f>IF(ISBLANK('RESUMEN VIGILANCIA'!AF76),"",'RESUMEN VIGILANCIA'!AF76)</f>
        <v>5000</v>
      </c>
      <c r="AH77" s="400">
        <f>IF(ISBLANK('RESUMEN VIGILANCIA'!AG76),"",'RESUMEN VIGILANCIA'!AG76)</f>
        <v>8000</v>
      </c>
      <c r="AI77" s="400">
        <f>IF(ISBLANK('RESUMEN VIGILANCIA'!AH76),"",'RESUMEN VIGILANCIA'!AH76)</f>
        <v>8000</v>
      </c>
      <c r="AJ77" s="400">
        <f>IF(ISBLANK('RESUMEN VIGILANCIA'!AI76),"",'RESUMEN VIGILANCIA'!AI76)</f>
        <v>10000</v>
      </c>
      <c r="AK77" s="400">
        <f>IF(ISBLANK('RESUMEN VIGILANCIA'!AJ76),"",'RESUMEN VIGILANCIA'!AJ76)</f>
        <v>10000</v>
      </c>
      <c r="AL77" s="400">
        <f>IF(ISBLANK('RESUMEN VIGILANCIA'!AK76),"",'RESUMEN VIGILANCIA'!AK76)</f>
        <v>22000</v>
      </c>
      <c r="AM77" s="400">
        <f>IF(ISBLANK('RESUMEN VIGILANCIA'!AL76),"",'RESUMEN VIGILANCIA'!AL76)</f>
        <v>51250</v>
      </c>
      <c r="AN77" s="400">
        <f>IF(ISBLANK('RESUMEN VIGILANCIA'!AM76),"",'RESUMEN VIGILANCIA'!AM76)</f>
        <v>73500</v>
      </c>
      <c r="AO77" s="401">
        <f>IF(ISBLANK('RESUMEN VIGILANCIA'!AN76),"",'RESUMEN VIGILANCIA'!AN76)</f>
        <v>136250</v>
      </c>
      <c r="AP77" s="399">
        <f>IF(ISBLANK('RESUMEN VIGILANCIA'!AO76),"",'RESUMEN VIGILANCIA'!AO76)</f>
        <v>136250</v>
      </c>
      <c r="AQ77" s="400">
        <f>IF(ISBLANK('RESUMEN VIGILANCIA'!AP76),"",'RESUMEN VIGILANCIA'!AP76)</f>
        <v>136250</v>
      </c>
      <c r="AR77" s="400" t="str">
        <f>IF(ISBLANK('RESUMEN VIGILANCIA'!AQ76),"",'RESUMEN VIGILANCIA'!AQ76)</f>
        <v/>
      </c>
      <c r="AS77" s="400" t="str">
        <f>IF(ISBLANK('RESUMEN VIGILANCIA'!AR76),"",'RESUMEN VIGILANCIA'!AR76)</f>
        <v/>
      </c>
      <c r="AT77" s="400" t="str">
        <f>IF(ISBLANK('RESUMEN VIGILANCIA'!AS76),"",'RESUMEN VIGILANCIA'!AS76)</f>
        <v/>
      </c>
      <c r="AU77" s="400" t="str">
        <f>IF(ISBLANK('RESUMEN VIGILANCIA'!AT76),"",'RESUMEN VIGILANCIA'!AT76)</f>
        <v/>
      </c>
      <c r="AV77" s="400" t="str">
        <f>IF(ISBLANK('RESUMEN VIGILANCIA'!AU76),"",'RESUMEN VIGILANCIA'!AU76)</f>
        <v/>
      </c>
      <c r="AW77" s="400" t="str">
        <f>IF(ISBLANK('RESUMEN VIGILANCIA'!AV76),"",'RESUMEN VIGILANCIA'!AV76)</f>
        <v/>
      </c>
      <c r="AX77" s="400" t="str">
        <f>IF(ISBLANK('RESUMEN VIGILANCIA'!AW76),"",'RESUMEN VIGILANCIA'!AW76)</f>
        <v/>
      </c>
      <c r="AY77" s="400" t="str">
        <f>IF(ISBLANK('RESUMEN VIGILANCIA'!AX76),"",'RESUMEN VIGILANCIA'!AX76)</f>
        <v/>
      </c>
      <c r="AZ77" s="400" t="str">
        <f>IF(ISBLANK('RESUMEN VIGILANCIA'!AY76),"",'RESUMEN VIGILANCIA'!AY76)</f>
        <v/>
      </c>
      <c r="BA77" s="401" t="str">
        <f>IF(ISBLANK('RESUMEN VIGILANCIA'!AZ76),"",'RESUMEN VIGILANCIA'!AZ76)</f>
        <v/>
      </c>
      <c r="BB77" s="243">
        <f t="shared" si="4"/>
        <v>334797.84999999998</v>
      </c>
      <c r="BC77" s="112">
        <v>43040</v>
      </c>
      <c r="BD77" s="112"/>
    </row>
    <row r="78" spans="1:56" s="29" customFormat="1" ht="20.100000000000001" customHeight="1" x14ac:dyDescent="0.25">
      <c r="A78" s="30" t="str">
        <f>'RESUMEN VIGILANCIA'!A77</f>
        <v>Familia Delgado Hidalgo</v>
      </c>
      <c r="B78" s="31" t="str">
        <f>'RESUMEN VIGILANCIA'!B77</f>
        <v>Calle Güigüe Nro. 88-10</v>
      </c>
      <c r="C78" s="452" t="s">
        <v>1269</v>
      </c>
      <c r="D78" s="460" t="s">
        <v>1268</v>
      </c>
      <c r="E78" s="440" t="str">
        <f>IF(ISBLANK('RESUMEN VIGILANCIA'!D77),"",'RESUMEN VIGILANCIA'!D77)</f>
        <v/>
      </c>
      <c r="F78" s="270">
        <f>IF(ISBLANK('RESUMEN VIGILANCIA'!E77),"",'RESUMEN VIGILANCIA'!E77)</f>
        <v>0.17</v>
      </c>
      <c r="G78" s="182">
        <f>IF(ISBLANK('RESUMEN VIGILANCIA'!F77),"",'RESUMEN VIGILANCIA'!F77)</f>
        <v>0.17</v>
      </c>
      <c r="H78" s="182">
        <f>IF(ISBLANK('RESUMEN VIGILANCIA'!G77),"",'RESUMEN VIGILANCIA'!G77)</f>
        <v>0.17</v>
      </c>
      <c r="I78" s="182">
        <f>IF(ISBLANK('RESUMEN VIGILANCIA'!H77),"",'RESUMEN VIGILANCIA'!H77)</f>
        <v>0.17</v>
      </c>
      <c r="J78" s="182">
        <f>IF(ISBLANK('RESUMEN VIGILANCIA'!I77),"",'RESUMEN VIGILANCIA'!I77)</f>
        <v>0.26</v>
      </c>
      <c r="K78" s="182">
        <f>IF(ISBLANK('RESUMEN VIGILANCIA'!J77),"",'RESUMEN VIGILANCIA'!J77)</f>
        <v>0.26</v>
      </c>
      <c r="L78" s="182">
        <f>IF(ISBLANK('RESUMEN VIGILANCIA'!K77),"",'RESUMEN VIGILANCIA'!K77)</f>
        <v>0.35</v>
      </c>
      <c r="M78" s="182">
        <f>IF(ISBLANK('RESUMEN VIGILANCIA'!L77),"",'RESUMEN VIGILANCIA'!L77)</f>
        <v>0.35</v>
      </c>
      <c r="N78" s="182">
        <f>IF(ISBLANK('RESUMEN VIGILANCIA'!M77),"",'RESUMEN VIGILANCIA'!M77)</f>
        <v>0.35</v>
      </c>
      <c r="O78" s="182">
        <f>IF(ISBLANK('RESUMEN VIGILANCIA'!N77),"",'RESUMEN VIGILANCIA'!N77)</f>
        <v>0.35</v>
      </c>
      <c r="P78" s="271">
        <f>IF(ISBLANK('RESUMEN VIGILANCIA'!O77),"",'RESUMEN VIGILANCIA'!O77)</f>
        <v>0.5</v>
      </c>
      <c r="Q78" s="180">
        <f>IF(ISBLANK('RESUMEN VIGILANCIA'!P77),"",'RESUMEN VIGILANCIA'!P77)</f>
        <v>0.5</v>
      </c>
      <c r="R78" s="272">
        <f>IF(ISBLANK('RESUMEN VIGILANCIA'!Q77),"",'RESUMEN VIGILANCIA'!Q77)</f>
        <v>0.8</v>
      </c>
      <c r="S78" s="271">
        <f>IF(ISBLANK('RESUMEN VIGILANCIA'!R77),"",'RESUMEN VIGILANCIA'!R77)</f>
        <v>0.8</v>
      </c>
      <c r="T78" s="271">
        <f>IF(ISBLANK('RESUMEN VIGILANCIA'!S77),"",'RESUMEN VIGILANCIA'!S77)</f>
        <v>1.4</v>
      </c>
      <c r="U78" s="271">
        <f>IF(ISBLANK('RESUMEN VIGILANCIA'!T77),"",'RESUMEN VIGILANCIA'!T77)</f>
        <v>1.4</v>
      </c>
      <c r="V78" s="271">
        <f>IF(ISBLANK('RESUMEN VIGILANCIA'!U77),"",'RESUMEN VIGILANCIA'!U77)</f>
        <v>4</v>
      </c>
      <c r="W78" s="271">
        <f>IF(ISBLANK('RESUMEN VIGILANCIA'!V77),"",'RESUMEN VIGILANCIA'!V77)</f>
        <v>6.25</v>
      </c>
      <c r="X78" s="271">
        <f>IF(ISBLANK('RESUMEN VIGILANCIA'!W77),"",'RESUMEN VIGILANCIA'!W77)</f>
        <v>10</v>
      </c>
      <c r="Y78" s="271">
        <f>IF(ISBLANK('RESUMEN VIGILANCIA'!X77),"",'RESUMEN VIGILANCIA'!X77)</f>
        <v>12</v>
      </c>
      <c r="Z78" s="481">
        <f>IF(ISBLANK('RESUMEN VIGILANCIA'!Y77),"",'RESUMEN VIGILANCIA'!Y77)</f>
        <v>320</v>
      </c>
      <c r="AA78" s="481">
        <f>IF(ISBLANK('RESUMEN VIGILANCIA'!Z77),"",'RESUMEN VIGILANCIA'!Z77)</f>
        <v>320</v>
      </c>
      <c r="AB78" s="481">
        <f>IF(ISBLANK('RESUMEN VIGILANCIA'!AA77),"",'RESUMEN VIGILANCIA'!AA77)</f>
        <v>320</v>
      </c>
      <c r="AC78" s="482">
        <f>IF(ISBLANK('RESUMEN VIGILANCIA'!AB77),"",'RESUMEN VIGILANCIA'!AB77)</f>
        <v>800</v>
      </c>
      <c r="AD78" s="399">
        <f>IF(ISBLANK('RESUMEN VIGILANCIA'!AC77),"",'RESUMEN VIGILANCIA'!AC77)</f>
        <v>3000</v>
      </c>
      <c r="AE78" s="400">
        <f>IF(ISBLANK('RESUMEN VIGILANCIA'!AD77),"",'RESUMEN VIGILANCIA'!AD77)</f>
        <v>3000</v>
      </c>
      <c r="AF78" s="400">
        <f>IF(ISBLANK('RESUMEN VIGILANCIA'!AE77),"",'RESUMEN VIGILANCIA'!AE77)</f>
        <v>3000</v>
      </c>
      <c r="AG78" s="400">
        <f>IF(ISBLANK('RESUMEN VIGILANCIA'!AF77),"",'RESUMEN VIGILANCIA'!AF77)</f>
        <v>5000</v>
      </c>
      <c r="AH78" s="400">
        <f>IF(ISBLANK('RESUMEN VIGILANCIA'!AG77),"",'RESUMEN VIGILANCIA'!AG77)</f>
        <v>8000</v>
      </c>
      <c r="AI78" s="400">
        <f>IF(ISBLANK('RESUMEN VIGILANCIA'!AH77),"",'RESUMEN VIGILANCIA'!AH77)</f>
        <v>8000</v>
      </c>
      <c r="AJ78" s="400">
        <f>IF(ISBLANK('RESUMEN VIGILANCIA'!AI77),"",'RESUMEN VIGILANCIA'!AI77)</f>
        <v>10000</v>
      </c>
      <c r="AK78" s="400">
        <f>IF(ISBLANK('RESUMEN VIGILANCIA'!AJ77),"",'RESUMEN VIGILANCIA'!AJ77)</f>
        <v>10000</v>
      </c>
      <c r="AL78" s="400">
        <f>IF(ISBLANK('RESUMEN VIGILANCIA'!AK77),"",'RESUMEN VIGILANCIA'!AK77)</f>
        <v>20500</v>
      </c>
      <c r="AM78" s="400">
        <f>IF(ISBLANK('RESUMEN VIGILANCIA'!AL77),"",'RESUMEN VIGILANCIA'!AL77)</f>
        <v>56260</v>
      </c>
      <c r="AN78" s="400">
        <f>IF(ISBLANK('RESUMEN VIGILANCIA'!AM77),"",'RESUMEN VIGILANCIA'!AM77)</f>
        <v>56250</v>
      </c>
      <c r="AO78" s="401">
        <f>IF(ISBLANK('RESUMEN VIGILANCIA'!AN77),"",'RESUMEN VIGILANCIA'!AN77)</f>
        <v>81750</v>
      </c>
      <c r="AP78" s="399">
        <f>IF(ISBLANK('RESUMEN VIGILANCIA'!AO77),"",'RESUMEN VIGILANCIA'!AO77)</f>
        <v>136250</v>
      </c>
      <c r="AQ78" s="400">
        <f>IF(ISBLANK('RESUMEN VIGILANCIA'!AP77),"",'RESUMEN VIGILANCIA'!AP77)</f>
        <v>136250</v>
      </c>
      <c r="AR78" s="400" t="str">
        <f>IF(ISBLANK('RESUMEN VIGILANCIA'!AQ77),"",'RESUMEN VIGILANCIA'!AQ77)</f>
        <v/>
      </c>
      <c r="AS78" s="400" t="str">
        <f>IF(ISBLANK('RESUMEN VIGILANCIA'!AR77),"",'RESUMEN VIGILANCIA'!AR77)</f>
        <v/>
      </c>
      <c r="AT78" s="400" t="str">
        <f>IF(ISBLANK('RESUMEN VIGILANCIA'!AS77),"",'RESUMEN VIGILANCIA'!AS77)</f>
        <v/>
      </c>
      <c r="AU78" s="400" t="str">
        <f>IF(ISBLANK('RESUMEN VIGILANCIA'!AT77),"",'RESUMEN VIGILANCIA'!AT77)</f>
        <v/>
      </c>
      <c r="AV78" s="400" t="str">
        <f>IF(ISBLANK('RESUMEN VIGILANCIA'!AU77),"",'RESUMEN VIGILANCIA'!AU77)</f>
        <v/>
      </c>
      <c r="AW78" s="400" t="str">
        <f>IF(ISBLANK('RESUMEN VIGILANCIA'!AV77),"",'RESUMEN VIGILANCIA'!AV77)</f>
        <v/>
      </c>
      <c r="AX78" s="400" t="str">
        <f>IF(ISBLANK('RESUMEN VIGILANCIA'!AW77),"",'RESUMEN VIGILANCIA'!AW77)</f>
        <v/>
      </c>
      <c r="AY78" s="400" t="str">
        <f>IF(ISBLANK('RESUMEN VIGILANCIA'!AX77),"",'RESUMEN VIGILANCIA'!AX77)</f>
        <v/>
      </c>
      <c r="AZ78" s="400" t="str">
        <f>IF(ISBLANK('RESUMEN VIGILANCIA'!AY77),"",'RESUMEN VIGILANCIA'!AY77)</f>
        <v/>
      </c>
      <c r="BA78" s="401" t="str">
        <f>IF(ISBLANK('RESUMEN VIGILANCIA'!AZ77),"",'RESUMEN VIGILANCIA'!AZ77)</f>
        <v/>
      </c>
      <c r="BB78" s="243">
        <f t="shared" si="4"/>
        <v>266560.25</v>
      </c>
      <c r="BC78" s="112"/>
      <c r="BD78" s="112"/>
    </row>
    <row r="79" spans="1:56" s="29" customFormat="1" ht="20.100000000000001" customHeight="1" x14ac:dyDescent="0.25">
      <c r="A79" s="30" t="str">
        <f>'RESUMEN VIGILANCIA'!A97</f>
        <v>Familia Castillo Mena</v>
      </c>
      <c r="B79" s="31" t="str">
        <f>'RESUMEN VIGILANCIA'!B97</f>
        <v>Calle Güigüe Nro. 88-101</v>
      </c>
      <c r="C79" s="452" t="s">
        <v>1269</v>
      </c>
      <c r="D79" s="460" t="s">
        <v>1268</v>
      </c>
      <c r="E79" s="440" t="str">
        <f>IF(ISBLANK('RESUMEN VIGILANCIA'!D97),"",'RESUMEN VIGILANCIA'!D97)</f>
        <v/>
      </c>
      <c r="F79" s="270">
        <f>IF(ISBLANK('RESUMEN VIGILANCIA'!E97),"",'RESUMEN VIGILANCIA'!E97)</f>
        <v>0.17</v>
      </c>
      <c r="G79" s="182">
        <f>IF(ISBLANK('RESUMEN VIGILANCIA'!F97),"",'RESUMEN VIGILANCIA'!F97)</f>
        <v>0.17</v>
      </c>
      <c r="H79" s="182">
        <f>IF(ISBLANK('RESUMEN VIGILANCIA'!G97),"",'RESUMEN VIGILANCIA'!G97)</f>
        <v>0.17</v>
      </c>
      <c r="I79" s="182">
        <f>IF(ISBLANK('RESUMEN VIGILANCIA'!H97),"",'RESUMEN VIGILANCIA'!H97)</f>
        <v>0.17</v>
      </c>
      <c r="J79" s="182">
        <f>IF(ISBLANK('RESUMEN VIGILANCIA'!I97),"",'RESUMEN VIGILANCIA'!I97)</f>
        <v>0.26</v>
      </c>
      <c r="K79" s="182">
        <f>IF(ISBLANK('RESUMEN VIGILANCIA'!J97),"",'RESUMEN VIGILANCIA'!J97)</f>
        <v>0.26</v>
      </c>
      <c r="L79" s="182">
        <f>IF(ISBLANK('RESUMEN VIGILANCIA'!K97),"",'RESUMEN VIGILANCIA'!K97)</f>
        <v>0.35</v>
      </c>
      <c r="M79" s="182">
        <f>IF(ISBLANK('RESUMEN VIGILANCIA'!L97),"",'RESUMEN VIGILANCIA'!L97)</f>
        <v>0.35</v>
      </c>
      <c r="N79" s="182">
        <f>IF(ISBLANK('RESUMEN VIGILANCIA'!M97),"",'RESUMEN VIGILANCIA'!M97)</f>
        <v>0.35</v>
      </c>
      <c r="O79" s="182">
        <f>IF(ISBLANK('RESUMEN VIGILANCIA'!N97),"",'RESUMEN VIGILANCIA'!N97)</f>
        <v>0.35</v>
      </c>
      <c r="P79" s="271">
        <f>IF(ISBLANK('RESUMEN VIGILANCIA'!O97),"",'RESUMEN VIGILANCIA'!O97)</f>
        <v>0.5</v>
      </c>
      <c r="Q79" s="180">
        <f>IF(ISBLANK('RESUMEN VIGILANCIA'!P97),"",'RESUMEN VIGILANCIA'!P97)</f>
        <v>0.5</v>
      </c>
      <c r="R79" s="272">
        <f>IF(ISBLANK('RESUMEN VIGILANCIA'!Q97),"",'RESUMEN VIGILANCIA'!Q97)</f>
        <v>0.8</v>
      </c>
      <c r="S79" s="271">
        <f>IF(ISBLANK('RESUMEN VIGILANCIA'!R97),"",'RESUMEN VIGILANCIA'!R97)</f>
        <v>0.8</v>
      </c>
      <c r="T79" s="271">
        <f>IF(ISBLANK('RESUMEN VIGILANCIA'!S97),"",'RESUMEN VIGILANCIA'!S97)</f>
        <v>1.4</v>
      </c>
      <c r="U79" s="271">
        <f>IF(ISBLANK('RESUMEN VIGILANCIA'!T97),"",'RESUMEN VIGILANCIA'!T97)</f>
        <v>1.4</v>
      </c>
      <c r="V79" s="271">
        <f>IF(ISBLANK('RESUMEN VIGILANCIA'!U97),"",'RESUMEN VIGILANCIA'!U97)</f>
        <v>4</v>
      </c>
      <c r="W79" s="271">
        <f>IF(ISBLANK('RESUMEN VIGILANCIA'!V97),"",'RESUMEN VIGILANCIA'!V97)</f>
        <v>6.25</v>
      </c>
      <c r="X79" s="271">
        <f>IF(ISBLANK('RESUMEN VIGILANCIA'!W97),"",'RESUMEN VIGILANCIA'!W97)</f>
        <v>10</v>
      </c>
      <c r="Y79" s="271">
        <f>IF(ISBLANK('RESUMEN VIGILANCIA'!X97),"",'RESUMEN VIGILANCIA'!X97)</f>
        <v>12</v>
      </c>
      <c r="Z79" s="481">
        <f>IF(ISBLANK('RESUMEN VIGILANCIA'!Y97),"",'RESUMEN VIGILANCIA'!Y97)</f>
        <v>320</v>
      </c>
      <c r="AA79" s="481">
        <f>IF(ISBLANK('RESUMEN VIGILANCIA'!Z97),"",'RESUMEN VIGILANCIA'!Z97)</f>
        <v>320</v>
      </c>
      <c r="AB79" s="481">
        <f>IF(ISBLANK('RESUMEN VIGILANCIA'!AA97),"",'RESUMEN VIGILANCIA'!AA97)</f>
        <v>320</v>
      </c>
      <c r="AC79" s="482">
        <f>IF(ISBLANK('RESUMEN VIGILANCIA'!AB97),"",'RESUMEN VIGILANCIA'!AB97)</f>
        <v>800</v>
      </c>
      <c r="AD79" s="399">
        <f>IF(ISBLANK('RESUMEN VIGILANCIA'!AC97),"",'RESUMEN VIGILANCIA'!AC97)</f>
        <v>3000</v>
      </c>
      <c r="AE79" s="400">
        <f>IF(ISBLANK('RESUMEN VIGILANCIA'!AD97),"",'RESUMEN VIGILANCIA'!AD97)</f>
        <v>3000</v>
      </c>
      <c r="AF79" s="400">
        <f>IF(ISBLANK('RESUMEN VIGILANCIA'!AE97),"",'RESUMEN VIGILANCIA'!AE97)</f>
        <v>3000</v>
      </c>
      <c r="AG79" s="400">
        <f>IF(ISBLANK('RESUMEN VIGILANCIA'!AF97),"",'RESUMEN VIGILANCIA'!AF97)</f>
        <v>5000</v>
      </c>
      <c r="AH79" s="400">
        <f>IF(ISBLANK('RESUMEN VIGILANCIA'!AG97),"",'RESUMEN VIGILANCIA'!AG97)</f>
        <v>8000</v>
      </c>
      <c r="AI79" s="400">
        <f>IF(ISBLANK('RESUMEN VIGILANCIA'!AH97),"",'RESUMEN VIGILANCIA'!AH97)</f>
        <v>8000</v>
      </c>
      <c r="AJ79" s="400">
        <f>IF(ISBLANK('RESUMEN VIGILANCIA'!AI97),"",'RESUMEN VIGILANCIA'!AI97)</f>
        <v>10000</v>
      </c>
      <c r="AK79" s="400">
        <f>IF(ISBLANK('RESUMEN VIGILANCIA'!AJ97),"",'RESUMEN VIGILANCIA'!AJ97)</f>
        <v>10000</v>
      </c>
      <c r="AL79" s="400">
        <f>IF(ISBLANK('RESUMEN VIGILANCIA'!AK97),"",'RESUMEN VIGILANCIA'!AK97)</f>
        <v>21100</v>
      </c>
      <c r="AM79" s="400">
        <f>IF(ISBLANK('RESUMEN VIGILANCIA'!AL97),"",'RESUMEN VIGILANCIA'!AL97)</f>
        <v>51250</v>
      </c>
      <c r="AN79" s="400">
        <f>IF(ISBLANK('RESUMEN VIGILANCIA'!AM97),"",'RESUMEN VIGILANCIA'!AM97)</f>
        <v>81750</v>
      </c>
      <c r="AO79" s="401">
        <f>IF(ISBLANK('RESUMEN VIGILANCIA'!AN97),"",'RESUMEN VIGILANCIA'!AN97)</f>
        <v>105250</v>
      </c>
      <c r="AP79" s="399">
        <f>IF(ISBLANK('RESUMEN VIGILANCIA'!AO97),"",'RESUMEN VIGILANCIA'!AO97)</f>
        <v>136250</v>
      </c>
      <c r="AQ79" s="400">
        <f>IF(ISBLANK('RESUMEN VIGILANCIA'!AP97),"",'RESUMEN VIGILANCIA'!AP97)</f>
        <v>136250</v>
      </c>
      <c r="AR79" s="400" t="str">
        <f>IF(ISBLANK('RESUMEN VIGILANCIA'!AQ97),"",'RESUMEN VIGILANCIA'!AQ97)</f>
        <v/>
      </c>
      <c r="AS79" s="400" t="str">
        <f>IF(ISBLANK('RESUMEN VIGILANCIA'!AR97),"",'RESUMEN VIGILANCIA'!AR97)</f>
        <v/>
      </c>
      <c r="AT79" s="400" t="str">
        <f>IF(ISBLANK('RESUMEN VIGILANCIA'!AS97),"",'RESUMEN VIGILANCIA'!AS97)</f>
        <v/>
      </c>
      <c r="AU79" s="400" t="str">
        <f>IF(ISBLANK('RESUMEN VIGILANCIA'!AT97),"",'RESUMEN VIGILANCIA'!AT97)</f>
        <v/>
      </c>
      <c r="AV79" s="400" t="str">
        <f>IF(ISBLANK('RESUMEN VIGILANCIA'!AU97),"",'RESUMEN VIGILANCIA'!AU97)</f>
        <v/>
      </c>
      <c r="AW79" s="400" t="str">
        <f>IF(ISBLANK('RESUMEN VIGILANCIA'!AV97),"",'RESUMEN VIGILANCIA'!AV97)</f>
        <v/>
      </c>
      <c r="AX79" s="400" t="str">
        <f>IF(ISBLANK('RESUMEN VIGILANCIA'!AW97),"",'RESUMEN VIGILANCIA'!AW97)</f>
        <v/>
      </c>
      <c r="AY79" s="400" t="str">
        <f>IF(ISBLANK('RESUMEN VIGILANCIA'!AX97),"",'RESUMEN VIGILANCIA'!AX97)</f>
        <v/>
      </c>
      <c r="AZ79" s="400" t="str">
        <f>IF(ISBLANK('RESUMEN VIGILANCIA'!AY97),"",'RESUMEN VIGILANCIA'!AY97)</f>
        <v/>
      </c>
      <c r="BA79" s="401" t="str">
        <f>IF(ISBLANK('RESUMEN VIGILANCIA'!AZ97),"",'RESUMEN VIGILANCIA'!AZ97)</f>
        <v/>
      </c>
      <c r="BB79" s="243">
        <f t="shared" si="4"/>
        <v>311150.25</v>
      </c>
      <c r="BC79" s="112"/>
      <c r="BD79" s="112"/>
    </row>
    <row r="80" spans="1:56" s="29" customFormat="1" ht="20.100000000000001" customHeight="1" x14ac:dyDescent="0.25">
      <c r="A80" s="30" t="str">
        <f>'RESUMEN VIGILANCIA'!A98</f>
        <v>Familia Centeno Rizzo</v>
      </c>
      <c r="B80" s="31" t="str">
        <f>'RESUMEN VIGILANCIA'!B98</f>
        <v>Calle Güigüe Nro. 88-102</v>
      </c>
      <c r="C80" s="452" t="s">
        <v>1270</v>
      </c>
      <c r="D80" s="460" t="s">
        <v>1268</v>
      </c>
      <c r="E80" s="440" t="str">
        <f>IF(ISBLANK('RESUMEN VIGILANCIA'!D98),"",'RESUMEN VIGILANCIA'!D98)</f>
        <v/>
      </c>
      <c r="F80" s="270" t="str">
        <f>IF(ISBLANK('RESUMEN VIGILANCIA'!E98),"",'RESUMEN VIGILANCIA'!E98)</f>
        <v/>
      </c>
      <c r="G80" s="182" t="str">
        <f>IF(ISBLANK('RESUMEN VIGILANCIA'!F98),"",'RESUMEN VIGILANCIA'!F98)</f>
        <v/>
      </c>
      <c r="H80" s="182" t="str">
        <f>IF(ISBLANK('RESUMEN VIGILANCIA'!G98),"",'RESUMEN VIGILANCIA'!G98)</f>
        <v/>
      </c>
      <c r="I80" s="182" t="str">
        <f>IF(ISBLANK('RESUMEN VIGILANCIA'!H98),"",'RESUMEN VIGILANCIA'!H98)</f>
        <v/>
      </c>
      <c r="J80" s="182" t="str">
        <f>IF(ISBLANK('RESUMEN VIGILANCIA'!I98),"",'RESUMEN VIGILANCIA'!I98)</f>
        <v/>
      </c>
      <c r="K80" s="182" t="str">
        <f>IF(ISBLANK('RESUMEN VIGILANCIA'!J98),"",'RESUMEN VIGILANCIA'!J98)</f>
        <v/>
      </c>
      <c r="L80" s="182" t="str">
        <f>IF(ISBLANK('RESUMEN VIGILANCIA'!K98),"",'RESUMEN VIGILANCIA'!K98)</f>
        <v/>
      </c>
      <c r="M80" s="182" t="str">
        <f>IF(ISBLANK('RESUMEN VIGILANCIA'!L98),"",'RESUMEN VIGILANCIA'!L98)</f>
        <v/>
      </c>
      <c r="N80" s="182" t="str">
        <f>IF(ISBLANK('RESUMEN VIGILANCIA'!M98),"",'RESUMEN VIGILANCIA'!M98)</f>
        <v/>
      </c>
      <c r="O80" s="182" t="str">
        <f>IF(ISBLANK('RESUMEN VIGILANCIA'!N98),"",'RESUMEN VIGILANCIA'!N98)</f>
        <v/>
      </c>
      <c r="P80" s="271" t="str">
        <f>IF(ISBLANK('RESUMEN VIGILANCIA'!O98),"",'RESUMEN VIGILANCIA'!O98)</f>
        <v/>
      </c>
      <c r="Q80" s="180" t="str">
        <f>IF(ISBLANK('RESUMEN VIGILANCIA'!P98),"",'RESUMEN VIGILANCIA'!P98)</f>
        <v/>
      </c>
      <c r="R80" s="272" t="str">
        <f>IF(ISBLANK('RESUMEN VIGILANCIA'!Q98),"",'RESUMEN VIGILANCIA'!Q98)</f>
        <v/>
      </c>
      <c r="S80" s="271" t="str">
        <f>IF(ISBLANK('RESUMEN VIGILANCIA'!R98),"",'RESUMEN VIGILANCIA'!R98)</f>
        <v/>
      </c>
      <c r="T80" s="271" t="str">
        <f>IF(ISBLANK('RESUMEN VIGILANCIA'!S98),"",'RESUMEN VIGILANCIA'!S98)</f>
        <v/>
      </c>
      <c r="U80" s="271" t="str">
        <f>IF(ISBLANK('RESUMEN VIGILANCIA'!T98),"",'RESUMEN VIGILANCIA'!T98)</f>
        <v/>
      </c>
      <c r="V80" s="271" t="str">
        <f>IF(ISBLANK('RESUMEN VIGILANCIA'!U98),"",'RESUMEN VIGILANCIA'!U98)</f>
        <v/>
      </c>
      <c r="W80" s="271" t="str">
        <f>IF(ISBLANK('RESUMEN VIGILANCIA'!V98),"",'RESUMEN VIGILANCIA'!V98)</f>
        <v/>
      </c>
      <c r="X80" s="271" t="str">
        <f>IF(ISBLANK('RESUMEN VIGILANCIA'!W98),"",'RESUMEN VIGILANCIA'!W98)</f>
        <v/>
      </c>
      <c r="Y80" s="271" t="str">
        <f>IF(ISBLANK('RESUMEN VIGILANCIA'!X98),"",'RESUMEN VIGILANCIA'!X98)</f>
        <v/>
      </c>
      <c r="Z80" s="481" t="str">
        <f>IF(ISBLANK('RESUMEN VIGILANCIA'!Y98),"",'RESUMEN VIGILANCIA'!Y98)</f>
        <v/>
      </c>
      <c r="AA80" s="481" t="str">
        <f>IF(ISBLANK('RESUMEN VIGILANCIA'!Z98),"",'RESUMEN VIGILANCIA'!Z98)</f>
        <v/>
      </c>
      <c r="AB80" s="481" t="str">
        <f>IF(ISBLANK('RESUMEN VIGILANCIA'!AA98),"",'RESUMEN VIGILANCIA'!AA98)</f>
        <v/>
      </c>
      <c r="AC80" s="482" t="str">
        <f>IF(ISBLANK('RESUMEN VIGILANCIA'!AB98),"",'RESUMEN VIGILANCIA'!AB98)</f>
        <v/>
      </c>
      <c r="AD80" s="399" t="str">
        <f>IF(ISBLANK('RESUMEN VIGILANCIA'!AC98),"",'RESUMEN VIGILANCIA'!AC98)</f>
        <v/>
      </c>
      <c r="AE80" s="400" t="str">
        <f>IF(ISBLANK('RESUMEN VIGILANCIA'!AD98),"",'RESUMEN VIGILANCIA'!AD98)</f>
        <v/>
      </c>
      <c r="AF80" s="400" t="str">
        <f>IF(ISBLANK('RESUMEN VIGILANCIA'!AE98),"",'RESUMEN VIGILANCIA'!AE98)</f>
        <v/>
      </c>
      <c r="AG80" s="400" t="str">
        <f>IF(ISBLANK('RESUMEN VIGILANCIA'!AF98),"",'RESUMEN VIGILANCIA'!AF98)</f>
        <v/>
      </c>
      <c r="AH80" s="400" t="str">
        <f>IF(ISBLANK('RESUMEN VIGILANCIA'!AG98),"",'RESUMEN VIGILANCIA'!AG98)</f>
        <v/>
      </c>
      <c r="AI80" s="400" t="str">
        <f>IF(ISBLANK('RESUMEN VIGILANCIA'!AH98),"",'RESUMEN VIGILANCIA'!AH98)</f>
        <v/>
      </c>
      <c r="AJ80" s="400" t="str">
        <f>IF(ISBLANK('RESUMEN VIGILANCIA'!AI98),"",'RESUMEN VIGILANCIA'!AI98)</f>
        <v/>
      </c>
      <c r="AK80" s="400" t="str">
        <f>IF(ISBLANK('RESUMEN VIGILANCIA'!AJ98),"",'RESUMEN VIGILANCIA'!AJ98)</f>
        <v/>
      </c>
      <c r="AL80" s="400" t="str">
        <f>IF(ISBLANK('RESUMEN VIGILANCIA'!AK98),"",'RESUMEN VIGILANCIA'!AK98)</f>
        <v/>
      </c>
      <c r="AM80" s="400" t="str">
        <f>IF(ISBLANK('RESUMEN VIGILANCIA'!AL98),"",'RESUMEN VIGILANCIA'!AL98)</f>
        <v/>
      </c>
      <c r="AN80" s="400" t="str">
        <f>IF(ISBLANK('RESUMEN VIGILANCIA'!AM98),"",'RESUMEN VIGILANCIA'!AM98)</f>
        <v/>
      </c>
      <c r="AO80" s="401" t="str">
        <f>IF(ISBLANK('RESUMEN VIGILANCIA'!AN98),"",'RESUMEN VIGILANCIA'!AN98)</f>
        <v/>
      </c>
      <c r="AP80" s="399" t="str">
        <f>IF(ISBLANK('RESUMEN VIGILANCIA'!AO98),"",'RESUMEN VIGILANCIA'!AO98)</f>
        <v/>
      </c>
      <c r="AQ80" s="400" t="str">
        <f>IF(ISBLANK('RESUMEN VIGILANCIA'!AP98),"",'RESUMEN VIGILANCIA'!AP98)</f>
        <v/>
      </c>
      <c r="AR80" s="400" t="str">
        <f>IF(ISBLANK('RESUMEN VIGILANCIA'!AQ98),"",'RESUMEN VIGILANCIA'!AQ98)</f>
        <v/>
      </c>
      <c r="AS80" s="400" t="str">
        <f>IF(ISBLANK('RESUMEN VIGILANCIA'!AR98),"",'RESUMEN VIGILANCIA'!AR98)</f>
        <v/>
      </c>
      <c r="AT80" s="400" t="str">
        <f>IF(ISBLANK('RESUMEN VIGILANCIA'!AS98),"",'RESUMEN VIGILANCIA'!AS98)</f>
        <v/>
      </c>
      <c r="AU80" s="400" t="str">
        <f>IF(ISBLANK('RESUMEN VIGILANCIA'!AT98),"",'RESUMEN VIGILANCIA'!AT98)</f>
        <v/>
      </c>
      <c r="AV80" s="400" t="str">
        <f>IF(ISBLANK('RESUMEN VIGILANCIA'!AU98),"",'RESUMEN VIGILANCIA'!AU98)</f>
        <v/>
      </c>
      <c r="AW80" s="400" t="str">
        <f>IF(ISBLANK('RESUMEN VIGILANCIA'!AV98),"",'RESUMEN VIGILANCIA'!AV98)</f>
        <v/>
      </c>
      <c r="AX80" s="400" t="str">
        <f>IF(ISBLANK('RESUMEN VIGILANCIA'!AW98),"",'RESUMEN VIGILANCIA'!AW98)</f>
        <v/>
      </c>
      <c r="AY80" s="400" t="str">
        <f>IF(ISBLANK('RESUMEN VIGILANCIA'!AX98),"",'RESUMEN VIGILANCIA'!AX98)</f>
        <v/>
      </c>
      <c r="AZ80" s="400" t="str">
        <f>IF(ISBLANK('RESUMEN VIGILANCIA'!AY98),"",'RESUMEN VIGILANCIA'!AY98)</f>
        <v/>
      </c>
      <c r="BA80" s="401" t="str">
        <f>IF(ISBLANK('RESUMEN VIGILANCIA'!AZ98),"",'RESUMEN VIGILANCIA'!AZ98)</f>
        <v/>
      </c>
      <c r="BB80" s="243">
        <f t="shared" si="4"/>
        <v>0</v>
      </c>
      <c r="BC80" s="112"/>
      <c r="BD80" s="112"/>
    </row>
    <row r="81" spans="1:56" s="29" customFormat="1" ht="20.100000000000001" customHeight="1" x14ac:dyDescent="0.25">
      <c r="A81" s="33" t="str">
        <f>'RESUMEN VIGILANCIA'!A99</f>
        <v>Familia Pérez Malpica</v>
      </c>
      <c r="B81" s="34" t="str">
        <f>'RESUMEN VIGILANCIA'!B99</f>
        <v>Calle Güigüe Nro. 88-110</v>
      </c>
      <c r="C81" s="451" t="s">
        <v>1270</v>
      </c>
      <c r="D81" s="461" t="s">
        <v>1268</v>
      </c>
      <c r="E81" s="439" t="str">
        <f>IF(ISBLANK('RESUMEN VIGILANCIA'!D99),"",'RESUMEN VIGILANCIA'!D99)</f>
        <v/>
      </c>
      <c r="F81" s="267">
        <f>IF(ISBLANK('RESUMEN VIGILANCIA'!E99),"",'RESUMEN VIGILANCIA'!E99)</f>
        <v>0.02</v>
      </c>
      <c r="G81" s="189" t="str">
        <f>IF(ISBLANK('RESUMEN VIGILANCIA'!F99),"",'RESUMEN VIGILANCIA'!F99)</f>
        <v/>
      </c>
      <c r="H81" s="189" t="str">
        <f>IF(ISBLANK('RESUMEN VIGILANCIA'!G99),"",'RESUMEN VIGILANCIA'!G99)</f>
        <v/>
      </c>
      <c r="I81" s="189" t="str">
        <f>IF(ISBLANK('RESUMEN VIGILANCIA'!H99),"",'RESUMEN VIGILANCIA'!H99)</f>
        <v/>
      </c>
      <c r="J81" s="189" t="str">
        <f>IF(ISBLANK('RESUMEN VIGILANCIA'!I99),"",'RESUMEN VIGILANCIA'!I99)</f>
        <v/>
      </c>
      <c r="K81" s="189" t="str">
        <f>IF(ISBLANK('RESUMEN VIGILANCIA'!J99),"",'RESUMEN VIGILANCIA'!J99)</f>
        <v/>
      </c>
      <c r="L81" s="189" t="str">
        <f>IF(ISBLANK('RESUMEN VIGILANCIA'!K99),"",'RESUMEN VIGILANCIA'!K99)</f>
        <v/>
      </c>
      <c r="M81" s="189" t="str">
        <f>IF(ISBLANK('RESUMEN VIGILANCIA'!L99),"",'RESUMEN VIGILANCIA'!L99)</f>
        <v/>
      </c>
      <c r="N81" s="189" t="str">
        <f>IF(ISBLANK('RESUMEN VIGILANCIA'!M99),"",'RESUMEN VIGILANCIA'!M99)</f>
        <v/>
      </c>
      <c r="O81" s="189" t="str">
        <f>IF(ISBLANK('RESUMEN VIGILANCIA'!N99),"",'RESUMEN VIGILANCIA'!N99)</f>
        <v/>
      </c>
      <c r="P81" s="268" t="str">
        <f>IF(ISBLANK('RESUMEN VIGILANCIA'!O99),"",'RESUMEN VIGILANCIA'!O99)</f>
        <v/>
      </c>
      <c r="Q81" s="187" t="str">
        <f>IF(ISBLANK('RESUMEN VIGILANCIA'!P99),"",'RESUMEN VIGILANCIA'!P99)</f>
        <v/>
      </c>
      <c r="R81" s="269" t="str">
        <f>IF(ISBLANK('RESUMEN VIGILANCIA'!Q99),"",'RESUMEN VIGILANCIA'!Q99)</f>
        <v/>
      </c>
      <c r="S81" s="268" t="str">
        <f>IF(ISBLANK('RESUMEN VIGILANCIA'!R99),"",'RESUMEN VIGILANCIA'!R99)</f>
        <v/>
      </c>
      <c r="T81" s="268" t="str">
        <f>IF(ISBLANK('RESUMEN VIGILANCIA'!S99),"",'RESUMEN VIGILANCIA'!S99)</f>
        <v/>
      </c>
      <c r="U81" s="268" t="str">
        <f>IF(ISBLANK('RESUMEN VIGILANCIA'!T99),"",'RESUMEN VIGILANCIA'!T99)</f>
        <v/>
      </c>
      <c r="V81" s="268" t="str">
        <f>IF(ISBLANK('RESUMEN VIGILANCIA'!U99),"",'RESUMEN VIGILANCIA'!U99)</f>
        <v/>
      </c>
      <c r="W81" s="268" t="str">
        <f>IF(ISBLANK('RESUMEN VIGILANCIA'!V99),"",'RESUMEN VIGILANCIA'!V99)</f>
        <v/>
      </c>
      <c r="X81" s="268" t="str">
        <f>IF(ISBLANK('RESUMEN VIGILANCIA'!W99),"",'RESUMEN VIGILANCIA'!W99)</f>
        <v/>
      </c>
      <c r="Y81" s="268" t="str">
        <f>IF(ISBLANK('RESUMEN VIGILANCIA'!X99),"",'RESUMEN VIGILANCIA'!X99)</f>
        <v/>
      </c>
      <c r="Z81" s="485" t="str">
        <f>IF(ISBLANK('RESUMEN VIGILANCIA'!Y99),"",'RESUMEN VIGILANCIA'!Y99)</f>
        <v/>
      </c>
      <c r="AA81" s="485" t="str">
        <f>IF(ISBLANK('RESUMEN VIGILANCIA'!Z99),"",'RESUMEN VIGILANCIA'!Z99)</f>
        <v/>
      </c>
      <c r="AB81" s="485" t="str">
        <f>IF(ISBLANK('RESUMEN VIGILANCIA'!AA99),"",'RESUMEN VIGILANCIA'!AA99)</f>
        <v/>
      </c>
      <c r="AC81" s="486" t="str">
        <f>IF(ISBLANK('RESUMEN VIGILANCIA'!AB99),"",'RESUMEN VIGILANCIA'!AB99)</f>
        <v/>
      </c>
      <c r="AD81" s="396" t="str">
        <f>IF(ISBLANK('RESUMEN VIGILANCIA'!AC99),"",'RESUMEN VIGILANCIA'!AC99)</f>
        <v/>
      </c>
      <c r="AE81" s="397" t="str">
        <f>IF(ISBLANK('RESUMEN VIGILANCIA'!AD99),"",'RESUMEN VIGILANCIA'!AD99)</f>
        <v/>
      </c>
      <c r="AF81" s="397" t="str">
        <f>IF(ISBLANK('RESUMEN VIGILANCIA'!AE99),"",'RESUMEN VIGILANCIA'!AE99)</f>
        <v/>
      </c>
      <c r="AG81" s="397" t="str">
        <f>IF(ISBLANK('RESUMEN VIGILANCIA'!AF99),"",'RESUMEN VIGILANCIA'!AF99)</f>
        <v/>
      </c>
      <c r="AH81" s="397" t="str">
        <f>IF(ISBLANK('RESUMEN VIGILANCIA'!AG99),"",'RESUMEN VIGILANCIA'!AG99)</f>
        <v/>
      </c>
      <c r="AI81" s="397" t="str">
        <f>IF(ISBLANK('RESUMEN VIGILANCIA'!AH99),"",'RESUMEN VIGILANCIA'!AH99)</f>
        <v/>
      </c>
      <c r="AJ81" s="397" t="str">
        <f>IF(ISBLANK('RESUMEN VIGILANCIA'!AI99),"",'RESUMEN VIGILANCIA'!AI99)</f>
        <v/>
      </c>
      <c r="AK81" s="397" t="str">
        <f>IF(ISBLANK('RESUMEN VIGILANCIA'!AJ99),"",'RESUMEN VIGILANCIA'!AJ99)</f>
        <v/>
      </c>
      <c r="AL81" s="397" t="str">
        <f>IF(ISBLANK('RESUMEN VIGILANCIA'!AK99),"",'RESUMEN VIGILANCIA'!AK99)</f>
        <v/>
      </c>
      <c r="AM81" s="397" t="str">
        <f>IF(ISBLANK('RESUMEN VIGILANCIA'!AL99),"",'RESUMEN VIGILANCIA'!AL99)</f>
        <v/>
      </c>
      <c r="AN81" s="397" t="str">
        <f>IF(ISBLANK('RESUMEN VIGILANCIA'!AM99),"",'RESUMEN VIGILANCIA'!AM99)</f>
        <v/>
      </c>
      <c r="AO81" s="398" t="str">
        <f>IF(ISBLANK('RESUMEN VIGILANCIA'!AN99),"",'RESUMEN VIGILANCIA'!AN99)</f>
        <v/>
      </c>
      <c r="AP81" s="396" t="str">
        <f>IF(ISBLANK('RESUMEN VIGILANCIA'!AO99),"",'RESUMEN VIGILANCIA'!AO99)</f>
        <v/>
      </c>
      <c r="AQ81" s="397" t="str">
        <f>IF(ISBLANK('RESUMEN VIGILANCIA'!AP99),"",'RESUMEN VIGILANCIA'!AP99)</f>
        <v/>
      </c>
      <c r="AR81" s="397" t="str">
        <f>IF(ISBLANK('RESUMEN VIGILANCIA'!AQ99),"",'RESUMEN VIGILANCIA'!AQ99)</f>
        <v/>
      </c>
      <c r="AS81" s="397" t="str">
        <f>IF(ISBLANK('RESUMEN VIGILANCIA'!AR99),"",'RESUMEN VIGILANCIA'!AR99)</f>
        <v/>
      </c>
      <c r="AT81" s="397" t="str">
        <f>IF(ISBLANK('RESUMEN VIGILANCIA'!AS99),"",'RESUMEN VIGILANCIA'!AS99)</f>
        <v/>
      </c>
      <c r="AU81" s="397" t="str">
        <f>IF(ISBLANK('RESUMEN VIGILANCIA'!AT99),"",'RESUMEN VIGILANCIA'!AT99)</f>
        <v/>
      </c>
      <c r="AV81" s="397" t="str">
        <f>IF(ISBLANK('RESUMEN VIGILANCIA'!AU99),"",'RESUMEN VIGILANCIA'!AU99)</f>
        <v/>
      </c>
      <c r="AW81" s="397" t="str">
        <f>IF(ISBLANK('RESUMEN VIGILANCIA'!AV99),"",'RESUMEN VIGILANCIA'!AV99)</f>
        <v/>
      </c>
      <c r="AX81" s="397" t="str">
        <f>IF(ISBLANK('RESUMEN VIGILANCIA'!AW99),"",'RESUMEN VIGILANCIA'!AW99)</f>
        <v/>
      </c>
      <c r="AY81" s="397" t="str">
        <f>IF(ISBLANK('RESUMEN VIGILANCIA'!AX99),"",'RESUMEN VIGILANCIA'!AX99)</f>
        <v/>
      </c>
      <c r="AZ81" s="397" t="str">
        <f>IF(ISBLANK('RESUMEN VIGILANCIA'!AY99),"",'RESUMEN VIGILANCIA'!AY99)</f>
        <v/>
      </c>
      <c r="BA81" s="398" t="str">
        <f>IF(ISBLANK('RESUMEN VIGILANCIA'!AZ99),"",'RESUMEN VIGILANCIA'!AZ99)</f>
        <v/>
      </c>
      <c r="BB81" s="242">
        <f t="shared" si="4"/>
        <v>0.02</v>
      </c>
      <c r="BC81" s="111"/>
      <c r="BD81" s="111"/>
    </row>
    <row r="82" spans="1:56" s="29" customFormat="1" ht="20.100000000000001" customHeight="1" x14ac:dyDescent="0.25">
      <c r="A82" s="30" t="str">
        <f>'RESUMEN VIGILANCIA'!A100</f>
        <v>Familia Astor Zamora</v>
      </c>
      <c r="B82" s="31" t="str">
        <f>'RESUMEN VIGILANCIA'!B100</f>
        <v>Calle Güigüe Nro. 88-111</v>
      </c>
      <c r="C82" s="452" t="s">
        <v>1270</v>
      </c>
      <c r="D82" s="460" t="s">
        <v>1268</v>
      </c>
      <c r="E82" s="440" t="str">
        <f>IF(ISBLANK('RESUMEN VIGILANCIA'!D100),"",'RESUMEN VIGILANCIA'!D100)</f>
        <v/>
      </c>
      <c r="F82" s="270">
        <f>IF(ISBLANK('RESUMEN VIGILANCIA'!E100),"",'RESUMEN VIGILANCIA'!E100)</f>
        <v>0.17</v>
      </c>
      <c r="G82" s="182">
        <f>IF(ISBLANK('RESUMEN VIGILANCIA'!F100),"",'RESUMEN VIGILANCIA'!F100)</f>
        <v>0.17</v>
      </c>
      <c r="H82" s="182">
        <f>IF(ISBLANK('RESUMEN VIGILANCIA'!G100),"",'RESUMEN VIGILANCIA'!G100)</f>
        <v>0.17</v>
      </c>
      <c r="I82" s="182">
        <f>IF(ISBLANK('RESUMEN VIGILANCIA'!H100),"",'RESUMEN VIGILANCIA'!H100)</f>
        <v>0.17</v>
      </c>
      <c r="J82" s="182">
        <f>IF(ISBLANK('RESUMEN VIGILANCIA'!I100),"",'RESUMEN VIGILANCIA'!I100)</f>
        <v>0.26</v>
      </c>
      <c r="K82" s="182">
        <f>IF(ISBLANK('RESUMEN VIGILANCIA'!J100),"",'RESUMEN VIGILANCIA'!J100)</f>
        <v>0.26</v>
      </c>
      <c r="L82" s="182">
        <f>IF(ISBLANK('RESUMEN VIGILANCIA'!K100),"",'RESUMEN VIGILANCIA'!K100)</f>
        <v>0.35</v>
      </c>
      <c r="M82" s="182">
        <f>IF(ISBLANK('RESUMEN VIGILANCIA'!L100),"",'RESUMEN VIGILANCIA'!L100)</f>
        <v>0.35</v>
      </c>
      <c r="N82" s="182" t="str">
        <f>IF(ISBLANK('RESUMEN VIGILANCIA'!M100),"",'RESUMEN VIGILANCIA'!M100)</f>
        <v/>
      </c>
      <c r="O82" s="182" t="str">
        <f>IF(ISBLANK('RESUMEN VIGILANCIA'!N100),"",'RESUMEN VIGILANCIA'!N100)</f>
        <v/>
      </c>
      <c r="P82" s="271" t="str">
        <f>IF(ISBLANK('RESUMEN VIGILANCIA'!O100),"",'RESUMEN VIGILANCIA'!O100)</f>
        <v/>
      </c>
      <c r="Q82" s="180" t="str">
        <f>IF(ISBLANK('RESUMEN VIGILANCIA'!P100),"",'RESUMEN VIGILANCIA'!P100)</f>
        <v/>
      </c>
      <c r="R82" s="272">
        <f>IF(ISBLANK('RESUMEN VIGILANCIA'!Q100),"",'RESUMEN VIGILANCIA'!Q100)</f>
        <v>0.8</v>
      </c>
      <c r="S82" s="271">
        <f>IF(ISBLANK('RESUMEN VIGILANCIA'!R100),"",'RESUMEN VIGILANCIA'!R100)</f>
        <v>0.8</v>
      </c>
      <c r="T82" s="271">
        <f>IF(ISBLANK('RESUMEN VIGILANCIA'!S100),"",'RESUMEN VIGILANCIA'!S100)</f>
        <v>1.4</v>
      </c>
      <c r="U82" s="271">
        <f>IF(ISBLANK('RESUMEN VIGILANCIA'!T100),"",'RESUMEN VIGILANCIA'!T100)</f>
        <v>1.4</v>
      </c>
      <c r="V82" s="271">
        <f>IF(ISBLANK('RESUMEN VIGILANCIA'!U100),"",'RESUMEN VIGILANCIA'!U100)</f>
        <v>4</v>
      </c>
      <c r="W82" s="271">
        <f>IF(ISBLANK('RESUMEN VIGILANCIA'!V100),"",'RESUMEN VIGILANCIA'!V100)</f>
        <v>3.25</v>
      </c>
      <c r="X82" s="271">
        <f>IF(ISBLANK('RESUMEN VIGILANCIA'!W100),"",'RESUMEN VIGILANCIA'!W100)</f>
        <v>10</v>
      </c>
      <c r="Y82" s="271">
        <f>IF(ISBLANK('RESUMEN VIGILANCIA'!X100),"",'RESUMEN VIGILANCIA'!X100)</f>
        <v>12</v>
      </c>
      <c r="Z82" s="481">
        <f>IF(ISBLANK('RESUMEN VIGILANCIA'!Y100),"",'RESUMEN VIGILANCIA'!Y100)</f>
        <v>320</v>
      </c>
      <c r="AA82" s="481">
        <f>IF(ISBLANK('RESUMEN VIGILANCIA'!Z100),"",'RESUMEN VIGILANCIA'!Z100)</f>
        <v>320</v>
      </c>
      <c r="AB82" s="481">
        <f>IF(ISBLANK('RESUMEN VIGILANCIA'!AA100),"",'RESUMEN VIGILANCIA'!AA100)</f>
        <v>320</v>
      </c>
      <c r="AC82" s="482">
        <f>IF(ISBLANK('RESUMEN VIGILANCIA'!AB100),"",'RESUMEN VIGILANCIA'!AB100)</f>
        <v>800</v>
      </c>
      <c r="AD82" s="399">
        <f>IF(ISBLANK('RESUMEN VIGILANCIA'!AC100),"",'RESUMEN VIGILANCIA'!AC100)</f>
        <v>3000</v>
      </c>
      <c r="AE82" s="400">
        <f>IF(ISBLANK('RESUMEN VIGILANCIA'!AD100),"",'RESUMEN VIGILANCIA'!AD100)</f>
        <v>3000</v>
      </c>
      <c r="AF82" s="400">
        <f>IF(ISBLANK('RESUMEN VIGILANCIA'!AE100),"",'RESUMEN VIGILANCIA'!AE100)</f>
        <v>3000</v>
      </c>
      <c r="AG82" s="400">
        <f>IF(ISBLANK('RESUMEN VIGILANCIA'!AF100),"",'RESUMEN VIGILANCIA'!AF100)</f>
        <v>5000</v>
      </c>
      <c r="AH82" s="400">
        <f>IF(ISBLANK('RESUMEN VIGILANCIA'!AG100),"",'RESUMEN VIGILANCIA'!AG100)</f>
        <v>8000</v>
      </c>
      <c r="AI82" s="400">
        <f>IF(ISBLANK('RESUMEN VIGILANCIA'!AH100),"",'RESUMEN VIGILANCIA'!AH100)</f>
        <v>8000</v>
      </c>
      <c r="AJ82" s="400">
        <f>IF(ISBLANK('RESUMEN VIGILANCIA'!AI100),"",'RESUMEN VIGILANCIA'!AI100)</f>
        <v>10000</v>
      </c>
      <c r="AK82" s="400">
        <f>IF(ISBLANK('RESUMEN VIGILANCIA'!AJ100),"",'RESUMEN VIGILANCIA'!AJ100)</f>
        <v>10000</v>
      </c>
      <c r="AL82" s="400">
        <f>IF(ISBLANK('RESUMEN VIGILANCIA'!AK100),"",'RESUMEN VIGILANCIA'!AK100)</f>
        <v>19800</v>
      </c>
      <c r="AM82" s="400">
        <f>IF(ISBLANK('RESUMEN VIGILANCIA'!AL100),"",'RESUMEN VIGILANCIA'!AL100)</f>
        <v>56250</v>
      </c>
      <c r="AN82" s="400" t="str">
        <f>IF(ISBLANK('RESUMEN VIGILANCIA'!AM100),"",'RESUMEN VIGILANCIA'!AM100)</f>
        <v/>
      </c>
      <c r="AO82" s="401" t="str">
        <f>IF(ISBLANK('RESUMEN VIGILANCIA'!AN100),"",'RESUMEN VIGILANCIA'!AN100)</f>
        <v/>
      </c>
      <c r="AP82" s="399" t="str">
        <f>IF(ISBLANK('RESUMEN VIGILANCIA'!AO100),"",'RESUMEN VIGILANCIA'!AO100)</f>
        <v/>
      </c>
      <c r="AQ82" s="400" t="str">
        <f>IF(ISBLANK('RESUMEN VIGILANCIA'!AP100),"",'RESUMEN VIGILANCIA'!AP100)</f>
        <v/>
      </c>
      <c r="AR82" s="400" t="str">
        <f>IF(ISBLANK('RESUMEN VIGILANCIA'!AQ100),"",'RESUMEN VIGILANCIA'!AQ100)</f>
        <v/>
      </c>
      <c r="AS82" s="400" t="str">
        <f>IF(ISBLANK('RESUMEN VIGILANCIA'!AR100),"",'RESUMEN VIGILANCIA'!AR100)</f>
        <v/>
      </c>
      <c r="AT82" s="400" t="str">
        <f>IF(ISBLANK('RESUMEN VIGILANCIA'!AS100),"",'RESUMEN VIGILANCIA'!AS100)</f>
        <v/>
      </c>
      <c r="AU82" s="400" t="str">
        <f>IF(ISBLANK('RESUMEN VIGILANCIA'!AT100),"",'RESUMEN VIGILANCIA'!AT100)</f>
        <v/>
      </c>
      <c r="AV82" s="400" t="str">
        <f>IF(ISBLANK('RESUMEN VIGILANCIA'!AU100),"",'RESUMEN VIGILANCIA'!AU100)</f>
        <v/>
      </c>
      <c r="AW82" s="400" t="str">
        <f>IF(ISBLANK('RESUMEN VIGILANCIA'!AV100),"",'RESUMEN VIGILANCIA'!AV100)</f>
        <v/>
      </c>
      <c r="AX82" s="400" t="str">
        <f>IF(ISBLANK('RESUMEN VIGILANCIA'!AW100),"",'RESUMEN VIGILANCIA'!AW100)</f>
        <v/>
      </c>
      <c r="AY82" s="400" t="str">
        <f>IF(ISBLANK('RESUMEN VIGILANCIA'!AX100),"",'RESUMEN VIGILANCIA'!AX100)</f>
        <v/>
      </c>
      <c r="AZ82" s="400" t="str">
        <f>IF(ISBLANK('RESUMEN VIGILANCIA'!AY100),"",'RESUMEN VIGILANCIA'!AY100)</f>
        <v/>
      </c>
      <c r="BA82" s="401" t="str">
        <f>IF(ISBLANK('RESUMEN VIGILANCIA'!AZ100),"",'RESUMEN VIGILANCIA'!AZ100)</f>
        <v/>
      </c>
      <c r="BB82" s="243">
        <f t="shared" si="4"/>
        <v>127845.55</v>
      </c>
      <c r="BC82" s="112"/>
      <c r="BD82" s="112"/>
    </row>
    <row r="83" spans="1:56" s="29" customFormat="1" ht="20.100000000000001" customHeight="1" x14ac:dyDescent="0.25">
      <c r="A83" s="30" t="str">
        <f>'RESUMEN VIGILANCIA'!A101</f>
        <v>Familia Díaz González</v>
      </c>
      <c r="B83" s="31" t="str">
        <f>'RESUMEN VIGILANCIA'!B101</f>
        <v>Calle Güigüe Nro. 88-116</v>
      </c>
      <c r="C83" s="452" t="s">
        <v>1269</v>
      </c>
      <c r="D83" s="460" t="s">
        <v>1268</v>
      </c>
      <c r="E83" s="440" t="str">
        <f>IF(ISBLANK('RESUMEN VIGILANCIA'!D101),"",'RESUMEN VIGILANCIA'!D101)</f>
        <v/>
      </c>
      <c r="F83" s="270">
        <f>IF(ISBLANK('RESUMEN VIGILANCIA'!E101),"",'RESUMEN VIGILANCIA'!E101)</f>
        <v>0.17</v>
      </c>
      <c r="G83" s="182">
        <f>IF(ISBLANK('RESUMEN VIGILANCIA'!F101),"",'RESUMEN VIGILANCIA'!F101)</f>
        <v>0.17</v>
      </c>
      <c r="H83" s="182">
        <f>IF(ISBLANK('RESUMEN VIGILANCIA'!G101),"",'RESUMEN VIGILANCIA'!G101)</f>
        <v>0.17</v>
      </c>
      <c r="I83" s="182">
        <f>IF(ISBLANK('RESUMEN VIGILANCIA'!H101),"",'RESUMEN VIGILANCIA'!H101)</f>
        <v>0.17</v>
      </c>
      <c r="J83" s="182">
        <f>IF(ISBLANK('RESUMEN VIGILANCIA'!I101),"",'RESUMEN VIGILANCIA'!I101)</f>
        <v>0.26</v>
      </c>
      <c r="K83" s="182">
        <f>IF(ISBLANK('RESUMEN VIGILANCIA'!J101),"",'RESUMEN VIGILANCIA'!J101)</f>
        <v>0.26</v>
      </c>
      <c r="L83" s="182">
        <f>IF(ISBLANK('RESUMEN VIGILANCIA'!K101),"",'RESUMEN VIGILANCIA'!K101)</f>
        <v>0.35</v>
      </c>
      <c r="M83" s="182">
        <f>IF(ISBLANK('RESUMEN VIGILANCIA'!L101),"",'RESUMEN VIGILANCIA'!L101)</f>
        <v>0.35</v>
      </c>
      <c r="N83" s="182">
        <f>IF(ISBLANK('RESUMEN VIGILANCIA'!M101),"",'RESUMEN VIGILANCIA'!M101)</f>
        <v>0.35</v>
      </c>
      <c r="O83" s="182">
        <f>IF(ISBLANK('RESUMEN VIGILANCIA'!N101),"",'RESUMEN VIGILANCIA'!N101)</f>
        <v>0.35</v>
      </c>
      <c r="P83" s="271">
        <f>IF(ISBLANK('RESUMEN VIGILANCIA'!O101),"",'RESUMEN VIGILANCIA'!O101)</f>
        <v>0.5</v>
      </c>
      <c r="Q83" s="180">
        <f>IF(ISBLANK('RESUMEN VIGILANCIA'!P101),"",'RESUMEN VIGILANCIA'!P101)</f>
        <v>0.5</v>
      </c>
      <c r="R83" s="272">
        <f>IF(ISBLANK('RESUMEN VIGILANCIA'!Q101),"",'RESUMEN VIGILANCIA'!Q101)</f>
        <v>0.8</v>
      </c>
      <c r="S83" s="271">
        <f>IF(ISBLANK('RESUMEN VIGILANCIA'!R101),"",'RESUMEN VIGILANCIA'!R101)</f>
        <v>0.8</v>
      </c>
      <c r="T83" s="271">
        <f>IF(ISBLANK('RESUMEN VIGILANCIA'!S101),"",'RESUMEN VIGILANCIA'!S101)</f>
        <v>1.4</v>
      </c>
      <c r="U83" s="271">
        <f>IF(ISBLANK('RESUMEN VIGILANCIA'!T101),"",'RESUMEN VIGILANCIA'!T101)</f>
        <v>1.4</v>
      </c>
      <c r="V83" s="271">
        <f>IF(ISBLANK('RESUMEN VIGILANCIA'!U101),"",'RESUMEN VIGILANCIA'!U101)</f>
        <v>4</v>
      </c>
      <c r="W83" s="271">
        <f>IF(ISBLANK('RESUMEN VIGILANCIA'!V101),"",'RESUMEN VIGILANCIA'!V101)</f>
        <v>6.25</v>
      </c>
      <c r="X83" s="271">
        <f>IF(ISBLANK('RESUMEN VIGILANCIA'!W101),"",'RESUMEN VIGILANCIA'!W101)</f>
        <v>10</v>
      </c>
      <c r="Y83" s="271">
        <f>IF(ISBLANK('RESUMEN VIGILANCIA'!X101),"",'RESUMEN VIGILANCIA'!X101)</f>
        <v>12</v>
      </c>
      <c r="Z83" s="481">
        <f>IF(ISBLANK('RESUMEN VIGILANCIA'!Y101),"",'RESUMEN VIGILANCIA'!Y101)</f>
        <v>320</v>
      </c>
      <c r="AA83" s="481">
        <f>IF(ISBLANK('RESUMEN VIGILANCIA'!Z101),"",'RESUMEN VIGILANCIA'!Z101)</f>
        <v>320</v>
      </c>
      <c r="AB83" s="481">
        <f>IF(ISBLANK('RESUMEN VIGILANCIA'!AA101),"",'RESUMEN VIGILANCIA'!AA101)</f>
        <v>320</v>
      </c>
      <c r="AC83" s="482">
        <f>IF(ISBLANK('RESUMEN VIGILANCIA'!AB101),"",'RESUMEN VIGILANCIA'!AB101)</f>
        <v>800</v>
      </c>
      <c r="AD83" s="399">
        <f>IF(ISBLANK('RESUMEN VIGILANCIA'!AC101),"",'RESUMEN VIGILANCIA'!AC101)</f>
        <v>3000</v>
      </c>
      <c r="AE83" s="400">
        <f>IF(ISBLANK('RESUMEN VIGILANCIA'!AD101),"",'RESUMEN VIGILANCIA'!AD101)</f>
        <v>3000</v>
      </c>
      <c r="AF83" s="400">
        <f>IF(ISBLANK('RESUMEN VIGILANCIA'!AE101),"",'RESUMEN VIGILANCIA'!AE101)</f>
        <v>3000</v>
      </c>
      <c r="AG83" s="400">
        <f>IF(ISBLANK('RESUMEN VIGILANCIA'!AF101),"",'RESUMEN VIGILANCIA'!AF101)</f>
        <v>5000</v>
      </c>
      <c r="AH83" s="400">
        <f>IF(ISBLANK('RESUMEN VIGILANCIA'!AG101),"",'RESUMEN VIGILANCIA'!AG101)</f>
        <v>8000</v>
      </c>
      <c r="AI83" s="400">
        <f>IF(ISBLANK('RESUMEN VIGILANCIA'!AH101),"",'RESUMEN VIGILANCIA'!AH101)</f>
        <v>8000</v>
      </c>
      <c r="AJ83" s="400">
        <f>IF(ISBLANK('RESUMEN VIGILANCIA'!AI101),"",'RESUMEN VIGILANCIA'!AI101)</f>
        <v>10000</v>
      </c>
      <c r="AK83" s="400">
        <f>IF(ISBLANK('RESUMEN VIGILANCIA'!AJ101),"",'RESUMEN VIGILANCIA'!AJ101)</f>
        <v>10000</v>
      </c>
      <c r="AL83" s="400">
        <f>IF(ISBLANK('RESUMEN VIGILANCIA'!AK101),"",'RESUMEN VIGILANCIA'!AK101)</f>
        <v>19800</v>
      </c>
      <c r="AM83" s="400">
        <f>IF(ISBLANK('RESUMEN VIGILANCIA'!AL101),"",'RESUMEN VIGILANCIA'!AL101)</f>
        <v>47000</v>
      </c>
      <c r="AN83" s="400">
        <f>IF(ISBLANK('RESUMEN VIGILANCIA'!AM101),"",'RESUMEN VIGILANCIA'!AM101)</f>
        <v>64500</v>
      </c>
      <c r="AO83" s="401">
        <f>IF(ISBLANK('RESUMEN VIGILANCIA'!AN101),"",'RESUMEN VIGILANCIA'!AN101)</f>
        <v>64500</v>
      </c>
      <c r="AP83" s="399">
        <f>IF(ISBLANK('RESUMEN VIGILANCIA'!AO101),"",'RESUMEN VIGILANCIA'!AO101)</f>
        <v>136250</v>
      </c>
      <c r="AQ83" s="400">
        <f>IF(ISBLANK('RESUMEN VIGILANCIA'!AP101),"",'RESUMEN VIGILANCIA'!AP101)</f>
        <v>136250</v>
      </c>
      <c r="AR83" s="400" t="str">
        <f>IF(ISBLANK('RESUMEN VIGILANCIA'!AQ101),"",'RESUMEN VIGILANCIA'!AQ101)</f>
        <v/>
      </c>
      <c r="AS83" s="400" t="str">
        <f>IF(ISBLANK('RESUMEN VIGILANCIA'!AR101),"",'RESUMEN VIGILANCIA'!AR101)</f>
        <v/>
      </c>
      <c r="AT83" s="400" t="str">
        <f>IF(ISBLANK('RESUMEN VIGILANCIA'!AS101),"",'RESUMEN VIGILANCIA'!AS101)</f>
        <v/>
      </c>
      <c r="AU83" s="400" t="str">
        <f>IF(ISBLANK('RESUMEN VIGILANCIA'!AT101),"",'RESUMEN VIGILANCIA'!AT101)</f>
        <v/>
      </c>
      <c r="AV83" s="400" t="str">
        <f>IF(ISBLANK('RESUMEN VIGILANCIA'!AU101),"",'RESUMEN VIGILANCIA'!AU101)</f>
        <v/>
      </c>
      <c r="AW83" s="400" t="str">
        <f>IF(ISBLANK('RESUMEN VIGILANCIA'!AV101),"",'RESUMEN VIGILANCIA'!AV101)</f>
        <v/>
      </c>
      <c r="AX83" s="400" t="str">
        <f>IF(ISBLANK('RESUMEN VIGILANCIA'!AW101),"",'RESUMEN VIGILANCIA'!AW101)</f>
        <v/>
      </c>
      <c r="AY83" s="400" t="str">
        <f>IF(ISBLANK('RESUMEN VIGILANCIA'!AX101),"",'RESUMEN VIGILANCIA'!AX101)</f>
        <v/>
      </c>
      <c r="AZ83" s="400" t="str">
        <f>IF(ISBLANK('RESUMEN VIGILANCIA'!AY101),"",'RESUMEN VIGILANCIA'!AY101)</f>
        <v/>
      </c>
      <c r="BA83" s="401" t="str">
        <f>IF(ISBLANK('RESUMEN VIGILANCIA'!AZ101),"",'RESUMEN VIGILANCIA'!AZ101)</f>
        <v/>
      </c>
      <c r="BB83" s="243">
        <f t="shared" si="4"/>
        <v>247600.25</v>
      </c>
      <c r="BC83" s="112"/>
      <c r="BD83" s="112"/>
    </row>
    <row r="84" spans="1:56" s="29" customFormat="1" ht="20.100000000000001" customHeight="1" x14ac:dyDescent="0.25">
      <c r="A84" s="30" t="str">
        <f>'RESUMEN VIGILANCIA'!A102</f>
        <v>Familia Loponte Arteaga</v>
      </c>
      <c r="B84" s="31" t="str">
        <f>'RESUMEN VIGILANCIA'!B102</f>
        <v>Calle Güigüe Nro. 88-120</v>
      </c>
      <c r="C84" s="452" t="s">
        <v>1269</v>
      </c>
      <c r="D84" s="460" t="s">
        <v>17</v>
      </c>
      <c r="E84" s="440" t="str">
        <f>IF(ISBLANK('RESUMEN VIGILANCIA'!D102),"",'RESUMEN VIGILANCIA'!D102)</f>
        <v/>
      </c>
      <c r="F84" s="274">
        <f>IF(ISBLANK('RESUMEN VIGILANCIA'!E102),"",'RESUMEN VIGILANCIA'!E102)</f>
        <v>0.105</v>
      </c>
      <c r="G84" s="182">
        <f>IF(ISBLANK('RESUMEN VIGILANCIA'!F102),"",'RESUMEN VIGILANCIA'!F102)</f>
        <v>0.17</v>
      </c>
      <c r="H84" s="182">
        <f>IF(ISBLANK('RESUMEN VIGILANCIA'!G102),"",'RESUMEN VIGILANCIA'!G102)</f>
        <v>0.17</v>
      </c>
      <c r="I84" s="182">
        <f>IF(ISBLANK('RESUMEN VIGILANCIA'!H102),"",'RESUMEN VIGILANCIA'!H102)</f>
        <v>0.17</v>
      </c>
      <c r="J84" s="182">
        <f>IF(ISBLANK('RESUMEN VIGILANCIA'!I102),"",'RESUMEN VIGILANCIA'!I102)</f>
        <v>0.26</v>
      </c>
      <c r="K84" s="182">
        <f>IF(ISBLANK('RESUMEN VIGILANCIA'!J102),"",'RESUMEN VIGILANCIA'!J102)</f>
        <v>0.26</v>
      </c>
      <c r="L84" s="227">
        <f>IF(ISBLANK('RESUMEN VIGILANCIA'!K102),"",'RESUMEN VIGILANCIA'!K102)</f>
        <v>0.26</v>
      </c>
      <c r="M84" s="182">
        <f>IF(ISBLANK('RESUMEN VIGILANCIA'!L102),"",'RESUMEN VIGILANCIA'!L102)</f>
        <v>0.35</v>
      </c>
      <c r="N84" s="182">
        <f>IF(ISBLANK('RESUMEN VIGILANCIA'!M102),"",'RESUMEN VIGILANCIA'!M102)</f>
        <v>0.35</v>
      </c>
      <c r="O84" s="182">
        <f>IF(ISBLANK('RESUMEN VIGILANCIA'!N102),"",'RESUMEN VIGILANCIA'!N102)</f>
        <v>0.35</v>
      </c>
      <c r="P84" s="271">
        <f>IF(ISBLANK('RESUMEN VIGILANCIA'!O102),"",'RESUMEN VIGILANCIA'!O102)</f>
        <v>0.5</v>
      </c>
      <c r="Q84" s="180">
        <f>IF(ISBLANK('RESUMEN VIGILANCIA'!P102),"",'RESUMEN VIGILANCIA'!P102)</f>
        <v>0.5</v>
      </c>
      <c r="R84" s="272">
        <f>IF(ISBLANK('RESUMEN VIGILANCIA'!Q102),"",'RESUMEN VIGILANCIA'!Q102)</f>
        <v>0.8</v>
      </c>
      <c r="S84" s="271">
        <f>IF(ISBLANK('RESUMEN VIGILANCIA'!R102),"",'RESUMEN VIGILANCIA'!R102)</f>
        <v>0.8</v>
      </c>
      <c r="T84" s="271">
        <f>IF(ISBLANK('RESUMEN VIGILANCIA'!S102),"",'RESUMEN VIGILANCIA'!S102)</f>
        <v>1.4</v>
      </c>
      <c r="U84" s="271">
        <f>IF(ISBLANK('RESUMEN VIGILANCIA'!T102),"",'RESUMEN VIGILANCIA'!T102)</f>
        <v>1.4</v>
      </c>
      <c r="V84" s="271">
        <f>IF(ISBLANK('RESUMEN VIGILANCIA'!U102),"",'RESUMEN VIGILANCIA'!U102)</f>
        <v>4</v>
      </c>
      <c r="W84" s="271">
        <f>IF(ISBLANK('RESUMEN VIGILANCIA'!V102),"",'RESUMEN VIGILANCIA'!V102)</f>
        <v>6.25</v>
      </c>
      <c r="X84" s="271">
        <f>IF(ISBLANK('RESUMEN VIGILANCIA'!W102),"",'RESUMEN VIGILANCIA'!W102)</f>
        <v>10</v>
      </c>
      <c r="Y84" s="271">
        <f>IF(ISBLANK('RESUMEN VIGILANCIA'!X102),"",'RESUMEN VIGILANCIA'!X102)</f>
        <v>12</v>
      </c>
      <c r="Z84" s="481">
        <f>IF(ISBLANK('RESUMEN VIGILANCIA'!Y102),"",'RESUMEN VIGILANCIA'!Y102)</f>
        <v>320</v>
      </c>
      <c r="AA84" s="481">
        <f>IF(ISBLANK('RESUMEN VIGILANCIA'!Z102),"",'RESUMEN VIGILANCIA'!Z102)</f>
        <v>320</v>
      </c>
      <c r="AB84" s="481">
        <f>IF(ISBLANK('RESUMEN VIGILANCIA'!AA102),"",'RESUMEN VIGILANCIA'!AA102)</f>
        <v>320</v>
      </c>
      <c r="AC84" s="482">
        <f>IF(ISBLANK('RESUMEN VIGILANCIA'!AB102),"",'RESUMEN VIGILANCIA'!AB102)</f>
        <v>500</v>
      </c>
      <c r="AD84" s="399">
        <f>IF(ISBLANK('RESUMEN VIGILANCIA'!AC102),"",'RESUMEN VIGILANCIA'!AC102)</f>
        <v>3000</v>
      </c>
      <c r="AE84" s="400">
        <f>IF(ISBLANK('RESUMEN VIGILANCIA'!AD102),"",'RESUMEN VIGILANCIA'!AD102)</f>
        <v>3000</v>
      </c>
      <c r="AF84" s="400">
        <f>IF(ISBLANK('RESUMEN VIGILANCIA'!AE102),"",'RESUMEN VIGILANCIA'!AE102)</f>
        <v>3000</v>
      </c>
      <c r="AG84" s="400">
        <f>IF(ISBLANK('RESUMEN VIGILANCIA'!AF102),"",'RESUMEN VIGILANCIA'!AF102)</f>
        <v>5000</v>
      </c>
      <c r="AH84" s="400">
        <f>IF(ISBLANK('RESUMEN VIGILANCIA'!AG102),"",'RESUMEN VIGILANCIA'!AG102)</f>
        <v>8000</v>
      </c>
      <c r="AI84" s="400">
        <f>IF(ISBLANK('RESUMEN VIGILANCIA'!AH102),"",'RESUMEN VIGILANCIA'!AH102)</f>
        <v>8000</v>
      </c>
      <c r="AJ84" s="400">
        <f>IF(ISBLANK('RESUMEN VIGILANCIA'!AI102),"",'RESUMEN VIGILANCIA'!AI102)</f>
        <v>10000</v>
      </c>
      <c r="AK84" s="400">
        <f>IF(ISBLANK('RESUMEN VIGILANCIA'!AJ102),"",'RESUMEN VIGILANCIA'!AJ102)</f>
        <v>10000</v>
      </c>
      <c r="AL84" s="400">
        <f>IF(ISBLANK('RESUMEN VIGILANCIA'!AK102),"",'RESUMEN VIGILANCIA'!AK102)</f>
        <v>20000</v>
      </c>
      <c r="AM84" s="400">
        <f>IF(ISBLANK('RESUMEN VIGILANCIA'!AL102),"",'RESUMEN VIGILANCIA'!AL102)</f>
        <v>47000</v>
      </c>
      <c r="AN84" s="400">
        <f>IF(ISBLANK('RESUMEN VIGILANCIA'!AM102),"",'RESUMEN VIGILANCIA'!AM102)</f>
        <v>56250</v>
      </c>
      <c r="AO84" s="401">
        <f>IF(ISBLANK('RESUMEN VIGILANCIA'!AN102),"",'RESUMEN VIGILANCIA'!AN102)</f>
        <v>97500</v>
      </c>
      <c r="AP84" s="399">
        <f>IF(ISBLANK('RESUMEN VIGILANCIA'!AO102),"",'RESUMEN VIGILANCIA'!AO102)</f>
        <v>136250</v>
      </c>
      <c r="AQ84" s="400">
        <f>IF(ISBLANK('RESUMEN VIGILANCIA'!AP102),"",'RESUMEN VIGILANCIA'!AP102)</f>
        <v>136250</v>
      </c>
      <c r="AR84" s="400">
        <f>IF(ISBLANK('RESUMEN VIGILANCIA'!AQ102),"",'RESUMEN VIGILANCIA'!AQ102)</f>
        <v>185250</v>
      </c>
      <c r="AS84" s="400" t="str">
        <f>IF(ISBLANK('RESUMEN VIGILANCIA'!AR102),"",'RESUMEN VIGILANCIA'!AR102)</f>
        <v/>
      </c>
      <c r="AT84" s="400" t="str">
        <f>IF(ISBLANK('RESUMEN VIGILANCIA'!AS102),"",'RESUMEN VIGILANCIA'!AS102)</f>
        <v/>
      </c>
      <c r="AU84" s="400" t="str">
        <f>IF(ISBLANK('RESUMEN VIGILANCIA'!AT102),"",'RESUMEN VIGILANCIA'!AT102)</f>
        <v/>
      </c>
      <c r="AV84" s="400" t="str">
        <f>IF(ISBLANK('RESUMEN VIGILANCIA'!AU102),"",'RESUMEN VIGILANCIA'!AU102)</f>
        <v/>
      </c>
      <c r="AW84" s="400" t="str">
        <f>IF(ISBLANK('RESUMEN VIGILANCIA'!AV102),"",'RESUMEN VIGILANCIA'!AV102)</f>
        <v/>
      </c>
      <c r="AX84" s="400" t="str">
        <f>IF(ISBLANK('RESUMEN VIGILANCIA'!AW102),"",'RESUMEN VIGILANCIA'!AW102)</f>
        <v/>
      </c>
      <c r="AY84" s="400" t="str">
        <f>IF(ISBLANK('RESUMEN VIGILANCIA'!AX102),"",'RESUMEN VIGILANCIA'!AX102)</f>
        <v/>
      </c>
      <c r="AZ84" s="400" t="str">
        <f>IF(ISBLANK('RESUMEN VIGILANCIA'!AY102),"",'RESUMEN VIGILANCIA'!AY102)</f>
        <v/>
      </c>
      <c r="BA84" s="401" t="str">
        <f>IF(ISBLANK('RESUMEN VIGILANCIA'!AZ102),"",'RESUMEN VIGILANCIA'!AZ102)</f>
        <v/>
      </c>
      <c r="BB84" s="243">
        <f t="shared" si="4"/>
        <v>272250.09499999997</v>
      </c>
      <c r="BC84" s="112"/>
      <c r="BD84" s="112"/>
    </row>
    <row r="85" spans="1:56" s="29" customFormat="1" ht="20.100000000000001" customHeight="1" x14ac:dyDescent="0.25">
      <c r="A85" s="33" t="str">
        <f>'RESUMEN VIGILANCIA'!A79</f>
        <v>Familia Chávez Hernández</v>
      </c>
      <c r="B85" s="34" t="str">
        <f>'RESUMEN VIGILANCIA'!B79</f>
        <v>Calle Güigüe Nro. 88-20</v>
      </c>
      <c r="C85" s="451" t="s">
        <v>1271</v>
      </c>
      <c r="D85" s="461" t="s">
        <v>1268</v>
      </c>
      <c r="E85" s="439">
        <f>IF(ISBLANK('RESUMEN VIGILANCIA'!D79),"",'RESUMEN VIGILANCIA'!D79)</f>
        <v>0.06</v>
      </c>
      <c r="F85" s="267">
        <f>IF(ISBLANK('RESUMEN VIGILANCIA'!E79),"",'RESUMEN VIGILANCIA'!E79)</f>
        <v>0.03</v>
      </c>
      <c r="G85" s="189">
        <f>IF(ISBLANK('RESUMEN VIGILANCIA'!F79),"",'RESUMEN VIGILANCIA'!F79)</f>
        <v>0.03</v>
      </c>
      <c r="H85" s="189">
        <f>IF(ISBLANK('RESUMEN VIGILANCIA'!G79),"",'RESUMEN VIGILANCIA'!G79)</f>
        <v>0.03</v>
      </c>
      <c r="I85" s="189">
        <f>IF(ISBLANK('RESUMEN VIGILANCIA'!H79),"",'RESUMEN VIGILANCIA'!H79)</f>
        <v>0.03</v>
      </c>
      <c r="J85" s="189">
        <f>IF(ISBLANK('RESUMEN VIGILANCIA'!I79),"",'RESUMEN VIGILANCIA'!I79)</f>
        <v>0.03</v>
      </c>
      <c r="K85" s="189">
        <f>IF(ISBLANK('RESUMEN VIGILANCIA'!J79),"",'RESUMEN VIGILANCIA'!J79)</f>
        <v>0.03</v>
      </c>
      <c r="L85" s="189">
        <f>IF(ISBLANK('RESUMEN VIGILANCIA'!K79),"",'RESUMEN VIGILANCIA'!K79)</f>
        <v>0.03</v>
      </c>
      <c r="M85" s="189">
        <f>IF(ISBLANK('RESUMEN VIGILANCIA'!L79),"",'RESUMEN VIGILANCIA'!L79)</f>
        <v>0.03</v>
      </c>
      <c r="N85" s="189">
        <f>IF(ISBLANK('RESUMEN VIGILANCIA'!M79),"",'RESUMEN VIGILANCIA'!M79)</f>
        <v>0.03</v>
      </c>
      <c r="O85" s="189">
        <f>IF(ISBLANK('RESUMEN VIGILANCIA'!N79),"",'RESUMEN VIGILANCIA'!N79)</f>
        <v>0.03</v>
      </c>
      <c r="P85" s="268">
        <f>IF(ISBLANK('RESUMEN VIGILANCIA'!O79),"",'RESUMEN VIGILANCIA'!O79)</f>
        <v>0.1</v>
      </c>
      <c r="Q85" s="187">
        <f>IF(ISBLANK('RESUMEN VIGILANCIA'!P79),"",'RESUMEN VIGILANCIA'!P79)</f>
        <v>0.1</v>
      </c>
      <c r="R85" s="269">
        <f>IF(ISBLANK('RESUMEN VIGILANCIA'!Q79),"",'RESUMEN VIGILANCIA'!Q79)</f>
        <v>0.1</v>
      </c>
      <c r="S85" s="268">
        <f>IF(ISBLANK('RESUMEN VIGILANCIA'!R79),"",'RESUMEN VIGILANCIA'!R79)</f>
        <v>0.1</v>
      </c>
      <c r="T85" s="268">
        <f>IF(ISBLANK('RESUMEN VIGILANCIA'!S79),"",'RESUMEN VIGILANCIA'!S79)</f>
        <v>0.3</v>
      </c>
      <c r="U85" s="268">
        <f>IF(ISBLANK('RESUMEN VIGILANCIA'!T79),"",'RESUMEN VIGILANCIA'!T79)</f>
        <v>0.3</v>
      </c>
      <c r="V85" s="268">
        <f>IF(ISBLANK('RESUMEN VIGILANCIA'!U79),"",'RESUMEN VIGILANCIA'!U79)</f>
        <v>0.5</v>
      </c>
      <c r="W85" s="268">
        <f>IF(ISBLANK('RESUMEN VIGILANCIA'!V79),"",'RESUMEN VIGILANCIA'!V79)</f>
        <v>0.5</v>
      </c>
      <c r="X85" s="268">
        <f>IF(ISBLANK('RESUMEN VIGILANCIA'!W79),"",'RESUMEN VIGILANCIA'!W79)</f>
        <v>1</v>
      </c>
      <c r="Y85" s="268">
        <f>IF(ISBLANK('RESUMEN VIGILANCIA'!X79),"",'RESUMEN VIGILANCIA'!X79)</f>
        <v>12</v>
      </c>
      <c r="Z85" s="485">
        <f>IF(ISBLANK('RESUMEN VIGILANCIA'!Y79),"",'RESUMEN VIGILANCIA'!Y79)</f>
        <v>100</v>
      </c>
      <c r="AA85" s="485">
        <f>IF(ISBLANK('RESUMEN VIGILANCIA'!Z79),"",'RESUMEN VIGILANCIA'!Z79)</f>
        <v>100</v>
      </c>
      <c r="AB85" s="485">
        <f>IF(ISBLANK('RESUMEN VIGILANCIA'!AA79),"",'RESUMEN VIGILANCIA'!AA79)</f>
        <v>100</v>
      </c>
      <c r="AC85" s="486">
        <f>IF(ISBLANK('RESUMEN VIGILANCIA'!AB79),"",'RESUMEN VIGILANCIA'!AB79)</f>
        <v>100</v>
      </c>
      <c r="AD85" s="396">
        <f>IF(ISBLANK('RESUMEN VIGILANCIA'!AC79),"",'RESUMEN VIGILANCIA'!AC79)</f>
        <v>300</v>
      </c>
      <c r="AE85" s="397">
        <f>IF(ISBLANK('RESUMEN VIGILANCIA'!AD79),"",'RESUMEN VIGILANCIA'!AD79)</f>
        <v>300</v>
      </c>
      <c r="AF85" s="397">
        <f>IF(ISBLANK('RESUMEN VIGILANCIA'!AE79),"",'RESUMEN VIGILANCIA'!AE79)</f>
        <v>300</v>
      </c>
      <c r="AG85" s="397">
        <f>IF(ISBLANK('RESUMEN VIGILANCIA'!AF79),"",'RESUMEN VIGILANCIA'!AF79)</f>
        <v>300</v>
      </c>
      <c r="AH85" s="397">
        <f>IF(ISBLANK('RESUMEN VIGILANCIA'!AG79),"",'RESUMEN VIGILANCIA'!AG79)</f>
        <v>1000</v>
      </c>
      <c r="AI85" s="397">
        <f>IF(ISBLANK('RESUMEN VIGILANCIA'!AH79),"",'RESUMEN VIGILANCIA'!AH79)</f>
        <v>3000</v>
      </c>
      <c r="AJ85" s="397">
        <f>IF(ISBLANK('RESUMEN VIGILANCIA'!AI79),"",'RESUMEN VIGILANCIA'!AI79)</f>
        <v>6000</v>
      </c>
      <c r="AK85" s="397">
        <f>IF(ISBLANK('RESUMEN VIGILANCIA'!AJ79),"",'RESUMEN VIGILANCIA'!AJ79)</f>
        <v>5000</v>
      </c>
      <c r="AL85" s="397">
        <f>IF(ISBLANK('RESUMEN VIGILANCIA'!AK79),"",'RESUMEN VIGILANCIA'!AK79)</f>
        <v>10000</v>
      </c>
      <c r="AM85" s="397">
        <f>IF(ISBLANK('RESUMEN VIGILANCIA'!AL79),"",'RESUMEN VIGILANCIA'!AL79)</f>
        <v>10000</v>
      </c>
      <c r="AN85" s="397">
        <f>IF(ISBLANK('RESUMEN VIGILANCIA'!AM79),"",'RESUMEN VIGILANCIA'!AM79)</f>
        <v>20000</v>
      </c>
      <c r="AO85" s="398">
        <f>IF(ISBLANK('RESUMEN VIGILANCIA'!AN79),"",'RESUMEN VIGILANCIA'!AN79)</f>
        <v>20000</v>
      </c>
      <c r="AP85" s="396">
        <f>IF(ISBLANK('RESUMEN VIGILANCIA'!AO79),"",'RESUMEN VIGILANCIA'!AO79)</f>
        <v>30000</v>
      </c>
      <c r="AQ85" s="397">
        <f>IF(ISBLANK('RESUMEN VIGILANCIA'!AP79),"",'RESUMEN VIGILANCIA'!AP79)</f>
        <v>40000</v>
      </c>
      <c r="AR85" s="397" t="str">
        <f>IF(ISBLANK('RESUMEN VIGILANCIA'!AQ79),"",'RESUMEN VIGILANCIA'!AQ79)</f>
        <v/>
      </c>
      <c r="AS85" s="397" t="str">
        <f>IF(ISBLANK('RESUMEN VIGILANCIA'!AR79),"",'RESUMEN VIGILANCIA'!AR79)</f>
        <v/>
      </c>
      <c r="AT85" s="397" t="str">
        <f>IF(ISBLANK('RESUMEN VIGILANCIA'!AS79),"",'RESUMEN VIGILANCIA'!AS79)</f>
        <v/>
      </c>
      <c r="AU85" s="397" t="str">
        <f>IF(ISBLANK('RESUMEN VIGILANCIA'!AT79),"",'RESUMEN VIGILANCIA'!AT79)</f>
        <v/>
      </c>
      <c r="AV85" s="397" t="str">
        <f>IF(ISBLANK('RESUMEN VIGILANCIA'!AU79),"",'RESUMEN VIGILANCIA'!AU79)</f>
        <v/>
      </c>
      <c r="AW85" s="397" t="str">
        <f>IF(ISBLANK('RESUMEN VIGILANCIA'!AV79),"",'RESUMEN VIGILANCIA'!AV79)</f>
        <v/>
      </c>
      <c r="AX85" s="397" t="str">
        <f>IF(ISBLANK('RESUMEN VIGILANCIA'!AW79),"",'RESUMEN VIGILANCIA'!AW79)</f>
        <v/>
      </c>
      <c r="AY85" s="397" t="str">
        <f>IF(ISBLANK('RESUMEN VIGILANCIA'!AX79),"",'RESUMEN VIGILANCIA'!AX79)</f>
        <v/>
      </c>
      <c r="AZ85" s="397" t="str">
        <f>IF(ISBLANK('RESUMEN VIGILANCIA'!AY79),"",'RESUMEN VIGILANCIA'!AY79)</f>
        <v/>
      </c>
      <c r="BA85" s="398" t="str">
        <f>IF(ISBLANK('RESUMEN VIGILANCIA'!AZ79),"",'RESUMEN VIGILANCIA'!AZ79)</f>
        <v/>
      </c>
      <c r="BB85" s="242">
        <f t="shared" si="4"/>
        <v>76615.360000000001</v>
      </c>
      <c r="BC85" s="111"/>
      <c r="BD85" s="111"/>
    </row>
    <row r="86" spans="1:56" s="29" customFormat="1" ht="20.100000000000001" customHeight="1" x14ac:dyDescent="0.25">
      <c r="A86" s="33" t="str">
        <f>'RESUMEN VIGILANCIA'!A80</f>
        <v>Ma. de Jesus Alonso</v>
      </c>
      <c r="B86" s="34" t="str">
        <f>'RESUMEN VIGILANCIA'!B80</f>
        <v>Calle Güigüe Nro. 88-30</v>
      </c>
      <c r="C86" s="453" t="s">
        <v>1270</v>
      </c>
      <c r="D86" s="459" t="s">
        <v>1268</v>
      </c>
      <c r="E86" s="444" t="str">
        <f>IF(ISBLANK('RESUMEN VIGILANCIA'!D80),"",'RESUMEN VIGILANCIA'!D80)</f>
        <v/>
      </c>
      <c r="F86" s="367">
        <f>IF(ISBLANK('RESUMEN VIGILANCIA'!E80),"",'RESUMEN VIGILANCIA'!E80)</f>
        <v>0.03</v>
      </c>
      <c r="G86" s="305">
        <f>IF(ISBLANK('RESUMEN VIGILANCIA'!F80),"",'RESUMEN VIGILANCIA'!F80)</f>
        <v>0.03</v>
      </c>
      <c r="H86" s="305">
        <f>IF(ISBLANK('RESUMEN VIGILANCIA'!G80),"",'RESUMEN VIGILANCIA'!G80)</f>
        <v>0.04</v>
      </c>
      <c r="I86" s="305">
        <f>IF(ISBLANK('RESUMEN VIGILANCIA'!H80),"",'RESUMEN VIGILANCIA'!H80)</f>
        <v>0.03</v>
      </c>
      <c r="J86" s="305">
        <f>IF(ISBLANK('RESUMEN VIGILANCIA'!I80),"",'RESUMEN VIGILANCIA'!I80)</f>
        <v>0.03</v>
      </c>
      <c r="K86" s="305">
        <f>IF(ISBLANK('RESUMEN VIGILANCIA'!J80),"",'RESUMEN VIGILANCIA'!J80)</f>
        <v>0.03</v>
      </c>
      <c r="L86" s="305">
        <f>IF(ISBLANK('RESUMEN VIGILANCIA'!K80),"",'RESUMEN VIGILANCIA'!K80)</f>
        <v>0.05</v>
      </c>
      <c r="M86" s="305">
        <f>IF(ISBLANK('RESUMEN VIGILANCIA'!L80),"",'RESUMEN VIGILANCIA'!L80)</f>
        <v>0.05</v>
      </c>
      <c r="N86" s="305">
        <f>IF(ISBLANK('RESUMEN VIGILANCIA'!M80),"",'RESUMEN VIGILANCIA'!M80)</f>
        <v>0.1</v>
      </c>
      <c r="O86" s="305">
        <f>IF(ISBLANK('RESUMEN VIGILANCIA'!N80),"",'RESUMEN VIGILANCIA'!N80)</f>
        <v>0.1</v>
      </c>
      <c r="P86" s="273">
        <f>IF(ISBLANK('RESUMEN VIGILANCIA'!O80),"",'RESUMEN VIGILANCIA'!O80)</f>
        <v>0.1</v>
      </c>
      <c r="Q86" s="366">
        <f>IF(ISBLANK('RESUMEN VIGILANCIA'!P80),"",'RESUMEN VIGILANCIA'!P80)</f>
        <v>0.1</v>
      </c>
      <c r="R86" s="347">
        <f>IF(ISBLANK('RESUMEN VIGILANCIA'!Q80),"",'RESUMEN VIGILANCIA'!Q80)</f>
        <v>0.1</v>
      </c>
      <c r="S86" s="273">
        <f>IF(ISBLANK('RESUMEN VIGILANCIA'!R80),"",'RESUMEN VIGILANCIA'!R80)</f>
        <v>0.30000000000000004</v>
      </c>
      <c r="T86" s="273">
        <f>IF(ISBLANK('RESUMEN VIGILANCIA'!S80),"",'RESUMEN VIGILANCIA'!S80)</f>
        <v>1.4</v>
      </c>
      <c r="U86" s="273">
        <f>IF(ISBLANK('RESUMEN VIGILANCIA'!T80),"",'RESUMEN VIGILANCIA'!T80)</f>
        <v>1.4</v>
      </c>
      <c r="V86" s="273">
        <f>IF(ISBLANK('RESUMEN VIGILANCIA'!U80),"",'RESUMEN VIGILANCIA'!U80)</f>
        <v>4</v>
      </c>
      <c r="W86" s="273">
        <f>IF(ISBLANK('RESUMEN VIGILANCIA'!V80),"",'RESUMEN VIGILANCIA'!V80)</f>
        <v>6.25</v>
      </c>
      <c r="X86" s="273">
        <f>IF(ISBLANK('RESUMEN VIGILANCIA'!W80),"",'RESUMEN VIGILANCIA'!W80)</f>
        <v>10</v>
      </c>
      <c r="Y86" s="273">
        <f>IF(ISBLANK('RESUMEN VIGILANCIA'!X80),"",'RESUMEN VIGILANCIA'!X80)</f>
        <v>12</v>
      </c>
      <c r="Z86" s="484">
        <f>IF(ISBLANK('RESUMEN VIGILANCIA'!Y80),"",'RESUMEN VIGILANCIA'!Y80)</f>
        <v>320</v>
      </c>
      <c r="AA86" s="484">
        <f>IF(ISBLANK('RESUMEN VIGILANCIA'!Z80),"",'RESUMEN VIGILANCIA'!Z80)</f>
        <v>320</v>
      </c>
      <c r="AB86" s="484">
        <f>IF(ISBLANK('RESUMEN VIGILANCIA'!AA80),"",'RESUMEN VIGILANCIA'!AA80)</f>
        <v>400</v>
      </c>
      <c r="AC86" s="483">
        <f>IF(ISBLANK('RESUMEN VIGILANCIA'!AB80),"",'RESUMEN VIGILANCIA'!AB80)</f>
        <v>800</v>
      </c>
      <c r="AD86" s="404">
        <f>IF(ISBLANK('RESUMEN VIGILANCIA'!AC80),"",'RESUMEN VIGILANCIA'!AC80)</f>
        <v>3000</v>
      </c>
      <c r="AE86" s="405">
        <f>IF(ISBLANK('RESUMEN VIGILANCIA'!AD80),"",'RESUMEN VIGILANCIA'!AD80)</f>
        <v>3000</v>
      </c>
      <c r="AF86" s="405">
        <f>IF(ISBLANK('RESUMEN VIGILANCIA'!AE80),"",'RESUMEN VIGILANCIA'!AE80)</f>
        <v>3000</v>
      </c>
      <c r="AG86" s="405">
        <f>IF(ISBLANK('RESUMEN VIGILANCIA'!AF80),"",'RESUMEN VIGILANCIA'!AF80)</f>
        <v>5000</v>
      </c>
      <c r="AH86" s="405">
        <f>IF(ISBLANK('RESUMEN VIGILANCIA'!AG80),"",'RESUMEN VIGILANCIA'!AG80)</f>
        <v>8000</v>
      </c>
      <c r="AI86" s="405">
        <f>IF(ISBLANK('RESUMEN VIGILANCIA'!AH80),"",'RESUMEN VIGILANCIA'!AH80)</f>
        <v>8000</v>
      </c>
      <c r="AJ86" s="405">
        <f>IF(ISBLANK('RESUMEN VIGILANCIA'!AI80),"",'RESUMEN VIGILANCIA'!AI80)</f>
        <v>10000</v>
      </c>
      <c r="AK86" s="405">
        <f>IF(ISBLANK('RESUMEN VIGILANCIA'!AJ80),"",'RESUMEN VIGILANCIA'!AJ80)</f>
        <v>10000</v>
      </c>
      <c r="AL86" s="405" t="str">
        <f>IF(ISBLANK('RESUMEN VIGILANCIA'!AK80),"",'RESUMEN VIGILANCIA'!AK80)</f>
        <v/>
      </c>
      <c r="AM86" s="405" t="str">
        <f>IF(ISBLANK('RESUMEN VIGILANCIA'!AL80),"",'RESUMEN VIGILANCIA'!AL80)</f>
        <v/>
      </c>
      <c r="AN86" s="405" t="str">
        <f>IF(ISBLANK('RESUMEN VIGILANCIA'!AM80),"",'RESUMEN VIGILANCIA'!AM80)</f>
        <v/>
      </c>
      <c r="AO86" s="410" t="str">
        <f>IF(ISBLANK('RESUMEN VIGILANCIA'!AN80),"",'RESUMEN VIGILANCIA'!AN80)</f>
        <v/>
      </c>
      <c r="AP86" s="404" t="str">
        <f>IF(ISBLANK('RESUMEN VIGILANCIA'!AO80),"",'RESUMEN VIGILANCIA'!AO80)</f>
        <v/>
      </c>
      <c r="AQ86" s="405" t="str">
        <f>IF(ISBLANK('RESUMEN VIGILANCIA'!AP80),"",'RESUMEN VIGILANCIA'!AP80)</f>
        <v/>
      </c>
      <c r="AR86" s="405" t="str">
        <f>IF(ISBLANK('RESUMEN VIGILANCIA'!AQ80),"",'RESUMEN VIGILANCIA'!AQ80)</f>
        <v/>
      </c>
      <c r="AS86" s="405" t="str">
        <f>IF(ISBLANK('RESUMEN VIGILANCIA'!AR80),"",'RESUMEN VIGILANCIA'!AR80)</f>
        <v/>
      </c>
      <c r="AT86" s="405" t="str">
        <f>IF(ISBLANK('RESUMEN VIGILANCIA'!AS80),"",'RESUMEN VIGILANCIA'!AS80)</f>
        <v/>
      </c>
      <c r="AU86" s="405" t="str">
        <f>IF(ISBLANK('RESUMEN VIGILANCIA'!AT80),"",'RESUMEN VIGILANCIA'!AT80)</f>
        <v/>
      </c>
      <c r="AV86" s="405" t="str">
        <f>IF(ISBLANK('RESUMEN VIGILANCIA'!AU80),"",'RESUMEN VIGILANCIA'!AU80)</f>
        <v/>
      </c>
      <c r="AW86" s="405" t="str">
        <f>IF(ISBLANK('RESUMEN VIGILANCIA'!AV80),"",'RESUMEN VIGILANCIA'!AV80)</f>
        <v/>
      </c>
      <c r="AX86" s="405" t="str">
        <f>IF(ISBLANK('RESUMEN VIGILANCIA'!AW80),"",'RESUMEN VIGILANCIA'!AW80)</f>
        <v/>
      </c>
      <c r="AY86" s="405" t="str">
        <f>IF(ISBLANK('RESUMEN VIGILANCIA'!AX80),"",'RESUMEN VIGILANCIA'!AX80)</f>
        <v/>
      </c>
      <c r="AZ86" s="405" t="str">
        <f>IF(ISBLANK('RESUMEN VIGILANCIA'!AY80),"",'RESUMEN VIGILANCIA'!AY80)</f>
        <v/>
      </c>
      <c r="BA86" s="410" t="str">
        <f>IF(ISBLANK('RESUMEN VIGILANCIA'!AZ80),"",'RESUMEN VIGILANCIA'!AZ80)</f>
        <v/>
      </c>
      <c r="BB86" s="368">
        <f t="shared" si="4"/>
        <v>51876.14</v>
      </c>
      <c r="BC86" s="369"/>
      <c r="BD86" s="369"/>
    </row>
    <row r="87" spans="1:56" s="29" customFormat="1" ht="20.100000000000001" customHeight="1" x14ac:dyDescent="0.25">
      <c r="A87" s="33" t="str">
        <f>'RESUMEN VIGILANCIA'!A81</f>
        <v>Familia Moyetones</v>
      </c>
      <c r="B87" s="34" t="str">
        <f>'RESUMEN VIGILANCIA'!B81</f>
        <v>Calle Güigüe Nro. 88-36</v>
      </c>
      <c r="C87" s="451" t="s">
        <v>1270</v>
      </c>
      <c r="D87" s="461" t="s">
        <v>1268</v>
      </c>
      <c r="E87" s="439" t="str">
        <f>IF(ISBLANK('RESUMEN VIGILANCIA'!D81),"",'RESUMEN VIGILANCIA'!D81)</f>
        <v/>
      </c>
      <c r="F87" s="267" t="str">
        <f>IF(ISBLANK('RESUMEN VIGILANCIA'!E81),"",'RESUMEN VIGILANCIA'!E81)</f>
        <v/>
      </c>
      <c r="G87" s="189" t="str">
        <f>IF(ISBLANK('RESUMEN VIGILANCIA'!F81),"",'RESUMEN VIGILANCIA'!F81)</f>
        <v/>
      </c>
      <c r="H87" s="189" t="str">
        <f>IF(ISBLANK('RESUMEN VIGILANCIA'!G81),"",'RESUMEN VIGILANCIA'!G81)</f>
        <v/>
      </c>
      <c r="I87" s="189" t="str">
        <f>IF(ISBLANK('RESUMEN VIGILANCIA'!H81),"",'RESUMEN VIGILANCIA'!H81)</f>
        <v/>
      </c>
      <c r="J87" s="189" t="str">
        <f>IF(ISBLANK('RESUMEN VIGILANCIA'!I81),"",'RESUMEN VIGILANCIA'!I81)</f>
        <v/>
      </c>
      <c r="K87" s="189" t="str">
        <f>IF(ISBLANK('RESUMEN VIGILANCIA'!J81),"",'RESUMEN VIGILANCIA'!J81)</f>
        <v/>
      </c>
      <c r="L87" s="189" t="str">
        <f>IF(ISBLANK('RESUMEN VIGILANCIA'!K81),"",'RESUMEN VIGILANCIA'!K81)</f>
        <v/>
      </c>
      <c r="M87" s="189" t="str">
        <f>IF(ISBLANK('RESUMEN VIGILANCIA'!L81),"",'RESUMEN VIGILANCIA'!L81)</f>
        <v/>
      </c>
      <c r="N87" s="189" t="str">
        <f>IF(ISBLANK('RESUMEN VIGILANCIA'!M81),"",'RESUMEN VIGILANCIA'!M81)</f>
        <v/>
      </c>
      <c r="O87" s="189" t="str">
        <f>IF(ISBLANK('RESUMEN VIGILANCIA'!N81),"",'RESUMEN VIGILANCIA'!N81)</f>
        <v/>
      </c>
      <c r="P87" s="268" t="str">
        <f>IF(ISBLANK('RESUMEN VIGILANCIA'!O81),"",'RESUMEN VIGILANCIA'!O81)</f>
        <v/>
      </c>
      <c r="Q87" s="187" t="str">
        <f>IF(ISBLANK('RESUMEN VIGILANCIA'!P81),"",'RESUMEN VIGILANCIA'!P81)</f>
        <v/>
      </c>
      <c r="R87" s="269" t="str">
        <f>IF(ISBLANK('RESUMEN VIGILANCIA'!Q81),"",'RESUMEN VIGILANCIA'!Q81)</f>
        <v/>
      </c>
      <c r="S87" s="268" t="str">
        <f>IF(ISBLANK('RESUMEN VIGILANCIA'!R81),"",'RESUMEN VIGILANCIA'!R81)</f>
        <v/>
      </c>
      <c r="T87" s="268" t="str">
        <f>IF(ISBLANK('RESUMEN VIGILANCIA'!S81),"",'RESUMEN VIGILANCIA'!S81)</f>
        <v/>
      </c>
      <c r="U87" s="268" t="str">
        <f>IF(ISBLANK('RESUMEN VIGILANCIA'!T81),"",'RESUMEN VIGILANCIA'!T81)</f>
        <v/>
      </c>
      <c r="V87" s="268" t="str">
        <f>IF(ISBLANK('RESUMEN VIGILANCIA'!U81),"",'RESUMEN VIGILANCIA'!U81)</f>
        <v/>
      </c>
      <c r="W87" s="268" t="str">
        <f>IF(ISBLANK('RESUMEN VIGILANCIA'!V81),"",'RESUMEN VIGILANCIA'!V81)</f>
        <v/>
      </c>
      <c r="X87" s="268" t="str">
        <f>IF(ISBLANK('RESUMEN VIGILANCIA'!W81),"",'RESUMEN VIGILANCIA'!W81)</f>
        <v/>
      </c>
      <c r="Y87" s="268" t="str">
        <f>IF(ISBLANK('RESUMEN VIGILANCIA'!X81),"",'RESUMEN VIGILANCIA'!X81)</f>
        <v/>
      </c>
      <c r="Z87" s="485" t="str">
        <f>IF(ISBLANK('RESUMEN VIGILANCIA'!Y81),"",'RESUMEN VIGILANCIA'!Y81)</f>
        <v/>
      </c>
      <c r="AA87" s="485" t="str">
        <f>IF(ISBLANK('RESUMEN VIGILANCIA'!Z81),"",'RESUMEN VIGILANCIA'!Z81)</f>
        <v/>
      </c>
      <c r="AB87" s="485" t="str">
        <f>IF(ISBLANK('RESUMEN VIGILANCIA'!AA81),"",'RESUMEN VIGILANCIA'!AA81)</f>
        <v/>
      </c>
      <c r="AC87" s="486" t="str">
        <f>IF(ISBLANK('RESUMEN VIGILANCIA'!AB81),"",'RESUMEN VIGILANCIA'!AB81)</f>
        <v/>
      </c>
      <c r="AD87" s="396" t="str">
        <f>IF(ISBLANK('RESUMEN VIGILANCIA'!AC81),"",'RESUMEN VIGILANCIA'!AC81)</f>
        <v/>
      </c>
      <c r="AE87" s="397" t="str">
        <f>IF(ISBLANK('RESUMEN VIGILANCIA'!AD81),"",'RESUMEN VIGILANCIA'!AD81)</f>
        <v/>
      </c>
      <c r="AF87" s="397" t="str">
        <f>IF(ISBLANK('RESUMEN VIGILANCIA'!AE81),"",'RESUMEN VIGILANCIA'!AE81)</f>
        <v/>
      </c>
      <c r="AG87" s="397" t="str">
        <f>IF(ISBLANK('RESUMEN VIGILANCIA'!AF81),"",'RESUMEN VIGILANCIA'!AF81)</f>
        <v/>
      </c>
      <c r="AH87" s="397" t="str">
        <f>IF(ISBLANK('RESUMEN VIGILANCIA'!AG81),"",'RESUMEN VIGILANCIA'!AG81)</f>
        <v/>
      </c>
      <c r="AI87" s="397" t="str">
        <f>IF(ISBLANK('RESUMEN VIGILANCIA'!AH81),"",'RESUMEN VIGILANCIA'!AH81)</f>
        <v/>
      </c>
      <c r="AJ87" s="397" t="str">
        <f>IF(ISBLANK('RESUMEN VIGILANCIA'!AI81),"",'RESUMEN VIGILANCIA'!AI81)</f>
        <v/>
      </c>
      <c r="AK87" s="397" t="str">
        <f>IF(ISBLANK('RESUMEN VIGILANCIA'!AJ81),"",'RESUMEN VIGILANCIA'!AJ81)</f>
        <v/>
      </c>
      <c r="AL87" s="397" t="str">
        <f>IF(ISBLANK('RESUMEN VIGILANCIA'!AK81),"",'RESUMEN VIGILANCIA'!AK81)</f>
        <v/>
      </c>
      <c r="AM87" s="397" t="str">
        <f>IF(ISBLANK('RESUMEN VIGILANCIA'!AL81),"",'RESUMEN VIGILANCIA'!AL81)</f>
        <v/>
      </c>
      <c r="AN87" s="397" t="str">
        <f>IF(ISBLANK('RESUMEN VIGILANCIA'!AM81),"",'RESUMEN VIGILANCIA'!AM81)</f>
        <v/>
      </c>
      <c r="AO87" s="398" t="str">
        <f>IF(ISBLANK('RESUMEN VIGILANCIA'!AN81),"",'RESUMEN VIGILANCIA'!AN81)</f>
        <v/>
      </c>
      <c r="AP87" s="396" t="str">
        <f>IF(ISBLANK('RESUMEN VIGILANCIA'!AO81),"",'RESUMEN VIGILANCIA'!AO81)</f>
        <v/>
      </c>
      <c r="AQ87" s="397" t="str">
        <f>IF(ISBLANK('RESUMEN VIGILANCIA'!AP81),"",'RESUMEN VIGILANCIA'!AP81)</f>
        <v/>
      </c>
      <c r="AR87" s="397" t="str">
        <f>IF(ISBLANK('RESUMEN VIGILANCIA'!AQ81),"",'RESUMEN VIGILANCIA'!AQ81)</f>
        <v/>
      </c>
      <c r="AS87" s="397" t="str">
        <f>IF(ISBLANK('RESUMEN VIGILANCIA'!AR81),"",'RESUMEN VIGILANCIA'!AR81)</f>
        <v/>
      </c>
      <c r="AT87" s="397" t="str">
        <f>IF(ISBLANK('RESUMEN VIGILANCIA'!AS81),"",'RESUMEN VIGILANCIA'!AS81)</f>
        <v/>
      </c>
      <c r="AU87" s="397" t="str">
        <f>IF(ISBLANK('RESUMEN VIGILANCIA'!AT81),"",'RESUMEN VIGILANCIA'!AT81)</f>
        <v/>
      </c>
      <c r="AV87" s="397" t="str">
        <f>IF(ISBLANK('RESUMEN VIGILANCIA'!AU81),"",'RESUMEN VIGILANCIA'!AU81)</f>
        <v/>
      </c>
      <c r="AW87" s="397" t="str">
        <f>IF(ISBLANK('RESUMEN VIGILANCIA'!AV81),"",'RESUMEN VIGILANCIA'!AV81)</f>
        <v/>
      </c>
      <c r="AX87" s="397" t="str">
        <f>IF(ISBLANK('RESUMEN VIGILANCIA'!AW81),"",'RESUMEN VIGILANCIA'!AW81)</f>
        <v/>
      </c>
      <c r="AY87" s="397" t="str">
        <f>IF(ISBLANK('RESUMEN VIGILANCIA'!AX81),"",'RESUMEN VIGILANCIA'!AX81)</f>
        <v/>
      </c>
      <c r="AZ87" s="397" t="str">
        <f>IF(ISBLANK('RESUMEN VIGILANCIA'!AY81),"",'RESUMEN VIGILANCIA'!AY81)</f>
        <v/>
      </c>
      <c r="BA87" s="398" t="str">
        <f>IF(ISBLANK('RESUMEN VIGILANCIA'!AZ81),"",'RESUMEN VIGILANCIA'!AZ81)</f>
        <v/>
      </c>
      <c r="BB87" s="242">
        <f t="shared" si="4"/>
        <v>0</v>
      </c>
      <c r="BC87" s="111"/>
      <c r="BD87" s="111"/>
    </row>
    <row r="88" spans="1:56" s="29" customFormat="1" ht="20.100000000000001" customHeight="1" x14ac:dyDescent="0.25">
      <c r="A88" s="33" t="str">
        <f>'RESUMEN VIGILANCIA'!A82</f>
        <v>Familia Rivero</v>
      </c>
      <c r="B88" s="34" t="str">
        <f>'RESUMEN VIGILANCIA'!B82</f>
        <v>Calle Güigüe Nro. 88-40</v>
      </c>
      <c r="C88" s="451" t="s">
        <v>1271</v>
      </c>
      <c r="D88" s="469" t="s">
        <v>17</v>
      </c>
      <c r="E88" s="439" t="str">
        <f>IF(ISBLANK('RESUMEN VIGILANCIA'!D82),"",'RESUMEN VIGILANCIA'!D82)</f>
        <v/>
      </c>
      <c r="F88" s="267">
        <f>IF(ISBLANK('RESUMEN VIGILANCIA'!E82),"",'RESUMEN VIGILANCIA'!E82)</f>
        <v>0.03</v>
      </c>
      <c r="G88" s="189">
        <f>IF(ISBLANK('RESUMEN VIGILANCIA'!F82),"",'RESUMEN VIGILANCIA'!F82)</f>
        <v>0.03</v>
      </c>
      <c r="H88" s="189">
        <f>IF(ISBLANK('RESUMEN VIGILANCIA'!G82),"",'RESUMEN VIGILANCIA'!G82)</f>
        <v>0.03</v>
      </c>
      <c r="I88" s="189">
        <f>IF(ISBLANK('RESUMEN VIGILANCIA'!H82),"",'RESUMEN VIGILANCIA'!H82)</f>
        <v>0.03</v>
      </c>
      <c r="J88" s="189">
        <f>IF(ISBLANK('RESUMEN VIGILANCIA'!I82),"",'RESUMEN VIGILANCIA'!I82)</f>
        <v>0.05</v>
      </c>
      <c r="K88" s="189">
        <f>IF(ISBLANK('RESUMEN VIGILANCIA'!J82),"",'RESUMEN VIGILANCIA'!J82)</f>
        <v>0.05</v>
      </c>
      <c r="L88" s="189">
        <f>IF(ISBLANK('RESUMEN VIGILANCIA'!K82),"",'RESUMEN VIGILANCIA'!K82)</f>
        <v>0.05</v>
      </c>
      <c r="M88" s="189">
        <f>IF(ISBLANK('RESUMEN VIGILANCIA'!L82),"",'RESUMEN VIGILANCIA'!L82)</f>
        <v>0.1</v>
      </c>
      <c r="N88" s="189">
        <f>IF(ISBLANK('RESUMEN VIGILANCIA'!M82),"",'RESUMEN VIGILANCIA'!M82)</f>
        <v>0.2</v>
      </c>
      <c r="O88" s="189">
        <f>IF(ISBLANK('RESUMEN VIGILANCIA'!N82),"",'RESUMEN VIGILANCIA'!N82)</f>
        <v>0.2</v>
      </c>
      <c r="P88" s="268">
        <f>IF(ISBLANK('RESUMEN VIGILANCIA'!O82),"",'RESUMEN VIGILANCIA'!O82)</f>
        <v>0.25</v>
      </c>
      <c r="Q88" s="187">
        <f>IF(ISBLANK('RESUMEN VIGILANCIA'!P82),"",'RESUMEN VIGILANCIA'!P82)</f>
        <v>0.3</v>
      </c>
      <c r="R88" s="269">
        <f>IF(ISBLANK('RESUMEN VIGILANCIA'!Q82),"",'RESUMEN VIGILANCIA'!Q82)</f>
        <v>0.3</v>
      </c>
      <c r="S88" s="268">
        <f>IF(ISBLANK('RESUMEN VIGILANCIA'!R82),"",'RESUMEN VIGILANCIA'!R82)</f>
        <v>0.3</v>
      </c>
      <c r="T88" s="268">
        <f>IF(ISBLANK('RESUMEN VIGILANCIA'!S82),"",'RESUMEN VIGILANCIA'!S82)</f>
        <v>0.3</v>
      </c>
      <c r="U88" s="268">
        <f>IF(ISBLANK('RESUMEN VIGILANCIA'!T82),"",'RESUMEN VIGILANCIA'!T82)</f>
        <v>0.3</v>
      </c>
      <c r="V88" s="268">
        <f>IF(ISBLANK('RESUMEN VIGILANCIA'!U82),"",'RESUMEN VIGILANCIA'!U82)</f>
        <v>0.3</v>
      </c>
      <c r="W88" s="268">
        <f>IF(ISBLANK('RESUMEN VIGILANCIA'!V82),"",'RESUMEN VIGILANCIA'!V82)</f>
        <v>0.4</v>
      </c>
      <c r="X88" s="268">
        <f>IF(ISBLANK('RESUMEN VIGILANCIA'!W82),"",'RESUMEN VIGILANCIA'!W82)</f>
        <v>10</v>
      </c>
      <c r="Y88" s="268">
        <f>IF(ISBLANK('RESUMEN VIGILANCIA'!X82),"",'RESUMEN VIGILANCIA'!X82)</f>
        <v>12</v>
      </c>
      <c r="Z88" s="485">
        <f>IF(ISBLANK('RESUMEN VIGILANCIA'!Y82),"",'RESUMEN VIGILANCIA'!Y82)</f>
        <v>78</v>
      </c>
      <c r="AA88" s="485" t="str">
        <f>IF(ISBLANK('RESUMEN VIGILANCIA'!Z82),"",'RESUMEN VIGILANCIA'!Z82)</f>
        <v/>
      </c>
      <c r="AB88" s="485" t="str">
        <f>IF(ISBLANK('RESUMEN VIGILANCIA'!AA82),"",'RESUMEN VIGILANCIA'!AA82)</f>
        <v/>
      </c>
      <c r="AC88" s="486" t="str">
        <f>IF(ISBLANK('RESUMEN VIGILANCIA'!AB82),"",'RESUMEN VIGILANCIA'!AB82)</f>
        <v/>
      </c>
      <c r="AD88" s="396" t="str">
        <f>IF(ISBLANK('RESUMEN VIGILANCIA'!AC82),"",'RESUMEN VIGILANCIA'!AC82)</f>
        <v/>
      </c>
      <c r="AE88" s="397" t="str">
        <f>IF(ISBLANK('RESUMEN VIGILANCIA'!AD82),"",'RESUMEN VIGILANCIA'!AD82)</f>
        <v/>
      </c>
      <c r="AF88" s="397" t="str">
        <f>IF(ISBLANK('RESUMEN VIGILANCIA'!AE82),"",'RESUMEN VIGILANCIA'!AE82)</f>
        <v/>
      </c>
      <c r="AG88" s="397" t="str">
        <f>IF(ISBLANK('RESUMEN VIGILANCIA'!AF82),"",'RESUMEN VIGILANCIA'!AF82)</f>
        <v/>
      </c>
      <c r="AH88" s="397" t="str">
        <f>IF(ISBLANK('RESUMEN VIGILANCIA'!AG82),"",'RESUMEN VIGILANCIA'!AG82)</f>
        <v/>
      </c>
      <c r="AI88" s="397" t="str">
        <f>IF(ISBLANK('RESUMEN VIGILANCIA'!AH82),"",'RESUMEN VIGILANCIA'!AH82)</f>
        <v/>
      </c>
      <c r="AJ88" s="397" t="str">
        <f>IF(ISBLANK('RESUMEN VIGILANCIA'!AI82),"",'RESUMEN VIGILANCIA'!AI82)</f>
        <v/>
      </c>
      <c r="AK88" s="397" t="str">
        <f>IF(ISBLANK('RESUMEN VIGILANCIA'!AJ82),"",'RESUMEN VIGILANCIA'!AJ82)</f>
        <v/>
      </c>
      <c r="AL88" s="397" t="str">
        <f>IF(ISBLANK('RESUMEN VIGILANCIA'!AK82),"",'RESUMEN VIGILANCIA'!AK82)</f>
        <v/>
      </c>
      <c r="AM88" s="397" t="str">
        <f>IF(ISBLANK('RESUMEN VIGILANCIA'!AL82),"",'RESUMEN VIGILANCIA'!AL82)</f>
        <v/>
      </c>
      <c r="AN88" s="397">
        <f>IF(ISBLANK('RESUMEN VIGILANCIA'!AM82),"",'RESUMEN VIGILANCIA'!AM82)</f>
        <v>20000</v>
      </c>
      <c r="AO88" s="398" t="str">
        <f>IF(ISBLANK('RESUMEN VIGILANCIA'!AN82),"",'RESUMEN VIGILANCIA'!AN82)</f>
        <v/>
      </c>
      <c r="AP88" s="396" t="str">
        <f>IF(ISBLANK('RESUMEN VIGILANCIA'!AO82),"",'RESUMEN VIGILANCIA'!AO82)</f>
        <v/>
      </c>
      <c r="AQ88" s="397" t="str">
        <f>IF(ISBLANK('RESUMEN VIGILANCIA'!AP82),"",'RESUMEN VIGILANCIA'!AP82)</f>
        <v/>
      </c>
      <c r="AR88" s="397" t="str">
        <f>IF(ISBLANK('RESUMEN VIGILANCIA'!AQ82),"",'RESUMEN VIGILANCIA'!AQ82)</f>
        <v/>
      </c>
      <c r="AS88" s="397" t="str">
        <f>IF(ISBLANK('RESUMEN VIGILANCIA'!AR82),"",'RESUMEN VIGILANCIA'!AR82)</f>
        <v/>
      </c>
      <c r="AT88" s="397" t="str">
        <f>IF(ISBLANK('RESUMEN VIGILANCIA'!AS82),"",'RESUMEN VIGILANCIA'!AS82)</f>
        <v/>
      </c>
      <c r="AU88" s="397" t="str">
        <f>IF(ISBLANK('RESUMEN VIGILANCIA'!AT82),"",'RESUMEN VIGILANCIA'!AT82)</f>
        <v/>
      </c>
      <c r="AV88" s="397" t="str">
        <f>IF(ISBLANK('RESUMEN VIGILANCIA'!AU82),"",'RESUMEN VIGILANCIA'!AU82)</f>
        <v/>
      </c>
      <c r="AW88" s="397" t="str">
        <f>IF(ISBLANK('RESUMEN VIGILANCIA'!AV82),"",'RESUMEN VIGILANCIA'!AV82)</f>
        <v/>
      </c>
      <c r="AX88" s="397" t="str">
        <f>IF(ISBLANK('RESUMEN VIGILANCIA'!AW82),"",'RESUMEN VIGILANCIA'!AW82)</f>
        <v/>
      </c>
      <c r="AY88" s="397" t="str">
        <f>IF(ISBLANK('RESUMEN VIGILANCIA'!AX82),"",'RESUMEN VIGILANCIA'!AX82)</f>
        <v/>
      </c>
      <c r="AZ88" s="397" t="str">
        <f>IF(ISBLANK('RESUMEN VIGILANCIA'!AY82),"",'RESUMEN VIGILANCIA'!AY82)</f>
        <v/>
      </c>
      <c r="BA88" s="398" t="str">
        <f>IF(ISBLANK('RESUMEN VIGILANCIA'!AZ82),"",'RESUMEN VIGILANCIA'!AZ82)</f>
        <v/>
      </c>
      <c r="BB88" s="242">
        <f t="shared" si="4"/>
        <v>20103.22</v>
      </c>
      <c r="BC88" s="111"/>
      <c r="BD88" s="111"/>
    </row>
    <row r="89" spans="1:56" s="29" customFormat="1" ht="20.100000000000001" customHeight="1" x14ac:dyDescent="0.25">
      <c r="A89" s="33" t="str">
        <f>'RESUMEN VIGILANCIA'!A86</f>
        <v>Dra. Lilia Magallanes</v>
      </c>
      <c r="B89" s="34" t="str">
        <f>'RESUMEN VIGILANCIA'!B86</f>
        <v>Calle Güigüe Nro. 88-51</v>
      </c>
      <c r="C89" s="453" t="s">
        <v>1269</v>
      </c>
      <c r="D89" s="459" t="s">
        <v>1268</v>
      </c>
      <c r="E89" s="444" t="str">
        <f>IF(ISBLANK('RESUMEN VIGILANCIA'!D86),"",'RESUMEN VIGILANCIA'!D86)</f>
        <v/>
      </c>
      <c r="F89" s="367">
        <f>IF(ISBLANK('RESUMEN VIGILANCIA'!E86),"",'RESUMEN VIGILANCIA'!E86)</f>
        <v>0.05</v>
      </c>
      <c r="G89" s="305">
        <f>IF(ISBLANK('RESUMEN VIGILANCIA'!F86),"",'RESUMEN VIGILANCIA'!F86)</f>
        <v>0.05</v>
      </c>
      <c r="H89" s="305">
        <f>IF(ISBLANK('RESUMEN VIGILANCIA'!G86),"",'RESUMEN VIGILANCIA'!G86)</f>
        <v>7.0000000000000007E-2</v>
      </c>
      <c r="I89" s="305">
        <f>IF(ISBLANK('RESUMEN VIGILANCIA'!H86),"",'RESUMEN VIGILANCIA'!H86)</f>
        <v>0.1</v>
      </c>
      <c r="J89" s="305">
        <f>IF(ISBLANK('RESUMEN VIGILANCIA'!I86),"",'RESUMEN VIGILANCIA'!I86)</f>
        <v>0.2</v>
      </c>
      <c r="K89" s="305">
        <f>IF(ISBLANK('RESUMEN VIGILANCIA'!J86),"",'RESUMEN VIGILANCIA'!J86)</f>
        <v>0.2</v>
      </c>
      <c r="L89" s="305">
        <f>IF(ISBLANK('RESUMEN VIGILANCIA'!K86),"",'RESUMEN VIGILANCIA'!K86)</f>
        <v>0.3</v>
      </c>
      <c r="M89" s="305">
        <f>IF(ISBLANK('RESUMEN VIGILANCIA'!L86),"",'RESUMEN VIGILANCIA'!L86)</f>
        <v>0.35</v>
      </c>
      <c r="N89" s="305">
        <f>IF(ISBLANK('RESUMEN VIGILANCIA'!M86),"",'RESUMEN VIGILANCIA'!M86)</f>
        <v>0.35</v>
      </c>
      <c r="O89" s="305">
        <f>IF(ISBLANK('RESUMEN VIGILANCIA'!N86),"",'RESUMEN VIGILANCIA'!N86)</f>
        <v>0.35</v>
      </c>
      <c r="P89" s="273">
        <f>IF(ISBLANK('RESUMEN VIGILANCIA'!O86),"",'RESUMEN VIGILANCIA'!O86)</f>
        <v>0.5</v>
      </c>
      <c r="Q89" s="366">
        <f>IF(ISBLANK('RESUMEN VIGILANCIA'!P86),"",'RESUMEN VIGILANCIA'!P86)</f>
        <v>0.5</v>
      </c>
      <c r="R89" s="347">
        <f>IF(ISBLANK('RESUMEN VIGILANCIA'!Q86),"",'RESUMEN VIGILANCIA'!Q86)</f>
        <v>0.8</v>
      </c>
      <c r="S89" s="273">
        <f>IF(ISBLANK('RESUMEN VIGILANCIA'!R86),"",'RESUMEN VIGILANCIA'!R86)</f>
        <v>0.8</v>
      </c>
      <c r="T89" s="273">
        <f>IF(ISBLANK('RESUMEN VIGILANCIA'!S86),"",'RESUMEN VIGILANCIA'!S86)</f>
        <v>1.4</v>
      </c>
      <c r="U89" s="273">
        <f>IF(ISBLANK('RESUMEN VIGILANCIA'!T86),"",'RESUMEN VIGILANCIA'!T86)</f>
        <v>1.4</v>
      </c>
      <c r="V89" s="273">
        <f>IF(ISBLANK('RESUMEN VIGILANCIA'!U86),"",'RESUMEN VIGILANCIA'!U86)</f>
        <v>4</v>
      </c>
      <c r="W89" s="273">
        <f>IF(ISBLANK('RESUMEN VIGILANCIA'!V86),"",'RESUMEN VIGILANCIA'!V86)</f>
        <v>6.25</v>
      </c>
      <c r="X89" s="273">
        <f>IF(ISBLANK('RESUMEN VIGILANCIA'!W86),"",'RESUMEN VIGILANCIA'!W86)</f>
        <v>10</v>
      </c>
      <c r="Y89" s="273">
        <f>IF(ISBLANK('RESUMEN VIGILANCIA'!X86),"",'RESUMEN VIGILANCIA'!X86)</f>
        <v>12</v>
      </c>
      <c r="Z89" s="484">
        <f>IF(ISBLANK('RESUMEN VIGILANCIA'!Y86),"",'RESUMEN VIGILANCIA'!Y86)</f>
        <v>320.05</v>
      </c>
      <c r="AA89" s="484">
        <f>IF(ISBLANK('RESUMEN VIGILANCIA'!Z86),"",'RESUMEN VIGILANCIA'!Z86)</f>
        <v>320</v>
      </c>
      <c r="AB89" s="484">
        <f>IF(ISBLANK('RESUMEN VIGILANCIA'!AA86),"",'RESUMEN VIGILANCIA'!AA86)</f>
        <v>320</v>
      </c>
      <c r="AC89" s="483">
        <f>IF(ISBLANK('RESUMEN VIGILANCIA'!AB86),"",'RESUMEN VIGILANCIA'!AB86)</f>
        <v>800</v>
      </c>
      <c r="AD89" s="404">
        <f>IF(ISBLANK('RESUMEN VIGILANCIA'!AC86),"",'RESUMEN VIGILANCIA'!AC86)</f>
        <v>3000</v>
      </c>
      <c r="AE89" s="405">
        <f>IF(ISBLANK('RESUMEN VIGILANCIA'!AD86),"",'RESUMEN VIGILANCIA'!AD86)</f>
        <v>3000</v>
      </c>
      <c r="AF89" s="405">
        <f>IF(ISBLANK('RESUMEN VIGILANCIA'!AE86),"",'RESUMEN VIGILANCIA'!AE86)</f>
        <v>3000</v>
      </c>
      <c r="AG89" s="405">
        <f>IF(ISBLANK('RESUMEN VIGILANCIA'!AF86),"",'RESUMEN VIGILANCIA'!AF86)</f>
        <v>5000</v>
      </c>
      <c r="AH89" s="405">
        <f>IF(ISBLANK('RESUMEN VIGILANCIA'!AG86),"",'RESUMEN VIGILANCIA'!AG86)</f>
        <v>8000</v>
      </c>
      <c r="AI89" s="405">
        <f>IF(ISBLANK('RESUMEN VIGILANCIA'!AH86),"",'RESUMEN VIGILANCIA'!AH86)</f>
        <v>8000</v>
      </c>
      <c r="AJ89" s="405">
        <f>IF(ISBLANK('RESUMEN VIGILANCIA'!AI86),"",'RESUMEN VIGILANCIA'!AI86)</f>
        <v>10000</v>
      </c>
      <c r="AK89" s="405">
        <f>IF(ISBLANK('RESUMEN VIGILANCIA'!AJ86),"",'RESUMEN VIGILANCIA'!AJ86)</f>
        <v>10000</v>
      </c>
      <c r="AL89" s="405">
        <f>IF(ISBLANK('RESUMEN VIGILANCIA'!AK86),"",'RESUMEN VIGILANCIA'!AK86)</f>
        <v>23400</v>
      </c>
      <c r="AM89" s="405">
        <f>IF(ISBLANK('RESUMEN VIGILANCIA'!AL86),"",'RESUMEN VIGILANCIA'!AL86)</f>
        <v>51265</v>
      </c>
      <c r="AN89" s="405">
        <f>IF(ISBLANK('RESUMEN VIGILANCIA'!AM86),"",'RESUMEN VIGILANCIA'!AM86)</f>
        <v>56250</v>
      </c>
      <c r="AO89" s="410">
        <f>IF(ISBLANK('RESUMEN VIGILANCIA'!AN86),"",'RESUMEN VIGILANCIA'!AN86)</f>
        <v>97500</v>
      </c>
      <c r="AP89" s="404">
        <f>IF(ISBLANK('RESUMEN VIGILANCIA'!AO86),"",'RESUMEN VIGILANCIA'!AO86)</f>
        <v>136250</v>
      </c>
      <c r="AQ89" s="405">
        <f>IF(ISBLANK('RESUMEN VIGILANCIA'!AP86),"",'RESUMEN VIGILANCIA'!AP86)</f>
        <v>136250</v>
      </c>
      <c r="AR89" s="405">
        <f>IF(ISBLANK('RESUMEN VIGILANCIA'!AQ86),"",'RESUMEN VIGILANCIA'!AQ86)</f>
        <v>185250</v>
      </c>
      <c r="AS89" s="405" t="str">
        <f>IF(ISBLANK('RESUMEN VIGILANCIA'!AR86),"",'RESUMEN VIGILANCIA'!AR86)</f>
        <v/>
      </c>
      <c r="AT89" s="405" t="str">
        <f>IF(ISBLANK('RESUMEN VIGILANCIA'!AS86),"",'RESUMEN VIGILANCIA'!AS86)</f>
        <v/>
      </c>
      <c r="AU89" s="405" t="str">
        <f>IF(ISBLANK('RESUMEN VIGILANCIA'!AT86),"",'RESUMEN VIGILANCIA'!AT86)</f>
        <v/>
      </c>
      <c r="AV89" s="405" t="str">
        <f>IF(ISBLANK('RESUMEN VIGILANCIA'!AU86),"",'RESUMEN VIGILANCIA'!AU86)</f>
        <v/>
      </c>
      <c r="AW89" s="405" t="str">
        <f>IF(ISBLANK('RESUMEN VIGILANCIA'!AV86),"",'RESUMEN VIGILANCIA'!AV86)</f>
        <v/>
      </c>
      <c r="AX89" s="405" t="str">
        <f>IF(ISBLANK('RESUMEN VIGILANCIA'!AW86),"",'RESUMEN VIGILANCIA'!AW86)</f>
        <v/>
      </c>
      <c r="AY89" s="405" t="str">
        <f>IF(ISBLANK('RESUMEN VIGILANCIA'!AX86),"",'RESUMEN VIGILANCIA'!AX86)</f>
        <v/>
      </c>
      <c r="AZ89" s="405" t="str">
        <f>IF(ISBLANK('RESUMEN VIGILANCIA'!AY86),"",'RESUMEN VIGILANCIA'!AY86)</f>
        <v/>
      </c>
      <c r="BA89" s="410" t="str">
        <f>IF(ISBLANK('RESUMEN VIGILANCIA'!AZ86),"",'RESUMEN VIGILANCIA'!AZ86)</f>
        <v/>
      </c>
      <c r="BB89" s="368">
        <f t="shared" si="4"/>
        <v>280214.71999999997</v>
      </c>
      <c r="BC89" s="369"/>
      <c r="BD89" s="369"/>
    </row>
    <row r="90" spans="1:56" s="29" customFormat="1" ht="20.100000000000001" customHeight="1" x14ac:dyDescent="0.25">
      <c r="A90" s="33" t="str">
        <f>'RESUMEN VIGILANCIA'!A83</f>
        <v>Thanya Albornoz</v>
      </c>
      <c r="B90" s="34" t="str">
        <f>'RESUMEN VIGILANCIA'!B83</f>
        <v>Calle Güigüe Nro. 88-42</v>
      </c>
      <c r="C90" s="451" t="s">
        <v>1270</v>
      </c>
      <c r="D90" s="461" t="s">
        <v>1268</v>
      </c>
      <c r="E90" s="439" t="str">
        <f>IF(ISBLANK('RESUMEN VIGILANCIA'!D83),"",'RESUMEN VIGILANCIA'!D83)</f>
        <v/>
      </c>
      <c r="F90" s="267" t="str">
        <f>IF(ISBLANK('RESUMEN VIGILANCIA'!E83),"",'RESUMEN VIGILANCIA'!E83)</f>
        <v/>
      </c>
      <c r="G90" s="189" t="str">
        <f>IF(ISBLANK('RESUMEN VIGILANCIA'!F83),"",'RESUMEN VIGILANCIA'!F83)</f>
        <v/>
      </c>
      <c r="H90" s="189" t="str">
        <f>IF(ISBLANK('RESUMEN VIGILANCIA'!G83),"",'RESUMEN VIGILANCIA'!G83)</f>
        <v/>
      </c>
      <c r="I90" s="189" t="str">
        <f>IF(ISBLANK('RESUMEN VIGILANCIA'!H83),"",'RESUMEN VIGILANCIA'!H83)</f>
        <v/>
      </c>
      <c r="J90" s="189" t="str">
        <f>IF(ISBLANK('RESUMEN VIGILANCIA'!I83),"",'RESUMEN VIGILANCIA'!I83)</f>
        <v/>
      </c>
      <c r="K90" s="189" t="str">
        <f>IF(ISBLANK('RESUMEN VIGILANCIA'!J83),"",'RESUMEN VIGILANCIA'!J83)</f>
        <v/>
      </c>
      <c r="L90" s="189" t="str">
        <f>IF(ISBLANK('RESUMEN VIGILANCIA'!K83),"",'RESUMEN VIGILANCIA'!K83)</f>
        <v/>
      </c>
      <c r="M90" s="189" t="str">
        <f>IF(ISBLANK('RESUMEN VIGILANCIA'!L83),"",'RESUMEN VIGILANCIA'!L83)</f>
        <v/>
      </c>
      <c r="N90" s="189" t="str">
        <f>IF(ISBLANK('RESUMEN VIGILANCIA'!M83),"",'RESUMEN VIGILANCIA'!M83)</f>
        <v/>
      </c>
      <c r="O90" s="189" t="str">
        <f>IF(ISBLANK('RESUMEN VIGILANCIA'!N83),"",'RESUMEN VIGILANCIA'!N83)</f>
        <v/>
      </c>
      <c r="P90" s="268" t="str">
        <f>IF(ISBLANK('RESUMEN VIGILANCIA'!O83),"",'RESUMEN VIGILANCIA'!O83)</f>
        <v/>
      </c>
      <c r="Q90" s="187" t="str">
        <f>IF(ISBLANK('RESUMEN VIGILANCIA'!P83),"",'RESUMEN VIGILANCIA'!P83)</f>
        <v/>
      </c>
      <c r="R90" s="269" t="str">
        <f>IF(ISBLANK('RESUMEN VIGILANCIA'!Q83),"",'RESUMEN VIGILANCIA'!Q83)</f>
        <v/>
      </c>
      <c r="S90" s="268" t="str">
        <f>IF(ISBLANK('RESUMEN VIGILANCIA'!R83),"",'RESUMEN VIGILANCIA'!R83)</f>
        <v/>
      </c>
      <c r="T90" s="268" t="str">
        <f>IF(ISBLANK('RESUMEN VIGILANCIA'!S83),"",'RESUMEN VIGILANCIA'!S83)</f>
        <v/>
      </c>
      <c r="U90" s="268" t="str">
        <f>IF(ISBLANK('RESUMEN VIGILANCIA'!T83),"",'RESUMEN VIGILANCIA'!T83)</f>
        <v/>
      </c>
      <c r="V90" s="268" t="str">
        <f>IF(ISBLANK('RESUMEN VIGILANCIA'!U83),"",'RESUMEN VIGILANCIA'!U83)</f>
        <v/>
      </c>
      <c r="W90" s="268" t="str">
        <f>IF(ISBLANK('RESUMEN VIGILANCIA'!V83),"",'RESUMEN VIGILANCIA'!V83)</f>
        <v/>
      </c>
      <c r="X90" s="268" t="str">
        <f>IF(ISBLANK('RESUMEN VIGILANCIA'!W83),"",'RESUMEN VIGILANCIA'!W83)</f>
        <v/>
      </c>
      <c r="Y90" s="268" t="str">
        <f>IF(ISBLANK('RESUMEN VIGILANCIA'!X83),"",'RESUMEN VIGILANCIA'!X83)</f>
        <v/>
      </c>
      <c r="Z90" s="485" t="str">
        <f>IF(ISBLANK('RESUMEN VIGILANCIA'!Y83),"",'RESUMEN VIGILANCIA'!Y83)</f>
        <v/>
      </c>
      <c r="AA90" s="485" t="str">
        <f>IF(ISBLANK('RESUMEN VIGILANCIA'!Z83),"",'RESUMEN VIGILANCIA'!Z83)</f>
        <v/>
      </c>
      <c r="AB90" s="485" t="str">
        <f>IF(ISBLANK('RESUMEN VIGILANCIA'!AA83),"",'RESUMEN VIGILANCIA'!AA83)</f>
        <v/>
      </c>
      <c r="AC90" s="486" t="str">
        <f>IF(ISBLANK('RESUMEN VIGILANCIA'!AB83),"",'RESUMEN VIGILANCIA'!AB83)</f>
        <v/>
      </c>
      <c r="AD90" s="396" t="str">
        <f>IF(ISBLANK('RESUMEN VIGILANCIA'!AC83),"",'RESUMEN VIGILANCIA'!AC83)</f>
        <v/>
      </c>
      <c r="AE90" s="397" t="str">
        <f>IF(ISBLANK('RESUMEN VIGILANCIA'!AD83),"",'RESUMEN VIGILANCIA'!AD83)</f>
        <v/>
      </c>
      <c r="AF90" s="397" t="str">
        <f>IF(ISBLANK('RESUMEN VIGILANCIA'!AE83),"",'RESUMEN VIGILANCIA'!AE83)</f>
        <v/>
      </c>
      <c r="AG90" s="397" t="str">
        <f>IF(ISBLANK('RESUMEN VIGILANCIA'!AF83),"",'RESUMEN VIGILANCIA'!AF83)</f>
        <v/>
      </c>
      <c r="AH90" s="397" t="str">
        <f>IF(ISBLANK('RESUMEN VIGILANCIA'!AG83),"",'RESUMEN VIGILANCIA'!AG83)</f>
        <v/>
      </c>
      <c r="AI90" s="397" t="str">
        <f>IF(ISBLANK('RESUMEN VIGILANCIA'!AH83),"",'RESUMEN VIGILANCIA'!AH83)</f>
        <v/>
      </c>
      <c r="AJ90" s="397" t="str">
        <f>IF(ISBLANK('RESUMEN VIGILANCIA'!AI83),"",'RESUMEN VIGILANCIA'!AI83)</f>
        <v/>
      </c>
      <c r="AK90" s="397" t="str">
        <f>IF(ISBLANK('RESUMEN VIGILANCIA'!AJ83),"",'RESUMEN VIGILANCIA'!AJ83)</f>
        <v/>
      </c>
      <c r="AL90" s="397" t="str">
        <f>IF(ISBLANK('RESUMEN VIGILANCIA'!AK83),"",'RESUMEN VIGILANCIA'!AK83)</f>
        <v/>
      </c>
      <c r="AM90" s="397" t="str">
        <f>IF(ISBLANK('RESUMEN VIGILANCIA'!AL83),"",'RESUMEN VIGILANCIA'!AL83)</f>
        <v/>
      </c>
      <c r="AN90" s="397" t="str">
        <f>IF(ISBLANK('RESUMEN VIGILANCIA'!AM83),"",'RESUMEN VIGILANCIA'!AM83)</f>
        <v/>
      </c>
      <c r="AO90" s="398" t="str">
        <f>IF(ISBLANK('RESUMEN VIGILANCIA'!AN83),"",'RESUMEN VIGILANCIA'!AN83)</f>
        <v/>
      </c>
      <c r="AP90" s="396" t="str">
        <f>IF(ISBLANK('RESUMEN VIGILANCIA'!AO83),"",'RESUMEN VIGILANCIA'!AO83)</f>
        <v/>
      </c>
      <c r="AQ90" s="397" t="str">
        <f>IF(ISBLANK('RESUMEN VIGILANCIA'!AP83),"",'RESUMEN VIGILANCIA'!AP83)</f>
        <v/>
      </c>
      <c r="AR90" s="397" t="str">
        <f>IF(ISBLANK('RESUMEN VIGILANCIA'!AQ83),"",'RESUMEN VIGILANCIA'!AQ83)</f>
        <v/>
      </c>
      <c r="AS90" s="397" t="str">
        <f>IF(ISBLANK('RESUMEN VIGILANCIA'!AR83),"",'RESUMEN VIGILANCIA'!AR83)</f>
        <v/>
      </c>
      <c r="AT90" s="397" t="str">
        <f>IF(ISBLANK('RESUMEN VIGILANCIA'!AS83),"",'RESUMEN VIGILANCIA'!AS83)</f>
        <v/>
      </c>
      <c r="AU90" s="397" t="str">
        <f>IF(ISBLANK('RESUMEN VIGILANCIA'!AT83),"",'RESUMEN VIGILANCIA'!AT83)</f>
        <v/>
      </c>
      <c r="AV90" s="397" t="str">
        <f>IF(ISBLANK('RESUMEN VIGILANCIA'!AU83),"",'RESUMEN VIGILANCIA'!AU83)</f>
        <v/>
      </c>
      <c r="AW90" s="397" t="str">
        <f>IF(ISBLANK('RESUMEN VIGILANCIA'!AV83),"",'RESUMEN VIGILANCIA'!AV83)</f>
        <v/>
      </c>
      <c r="AX90" s="397" t="str">
        <f>IF(ISBLANK('RESUMEN VIGILANCIA'!AW83),"",'RESUMEN VIGILANCIA'!AW83)</f>
        <v/>
      </c>
      <c r="AY90" s="397" t="str">
        <f>IF(ISBLANK('RESUMEN VIGILANCIA'!AX83),"",'RESUMEN VIGILANCIA'!AX83)</f>
        <v/>
      </c>
      <c r="AZ90" s="397" t="str">
        <f>IF(ISBLANK('RESUMEN VIGILANCIA'!AY83),"",'RESUMEN VIGILANCIA'!AY83)</f>
        <v/>
      </c>
      <c r="BA90" s="398" t="str">
        <f>IF(ISBLANK('RESUMEN VIGILANCIA'!AZ83),"",'RESUMEN VIGILANCIA'!AZ83)</f>
        <v/>
      </c>
      <c r="BB90" s="242">
        <f t="shared" si="4"/>
        <v>0</v>
      </c>
      <c r="BC90" s="111"/>
      <c r="BD90" s="111"/>
    </row>
    <row r="91" spans="1:56" s="29" customFormat="1" ht="20.100000000000001" customHeight="1" x14ac:dyDescent="0.25">
      <c r="A91" s="30" t="str">
        <f>'RESUMEN VIGILANCIA'!A84</f>
        <v>Familia Colosso Delgado</v>
      </c>
      <c r="B91" s="31" t="str">
        <f>'RESUMEN VIGILANCIA'!B84</f>
        <v>Calle Güigüe Nro. 88-44</v>
      </c>
      <c r="C91" s="452" t="s">
        <v>1269</v>
      </c>
      <c r="D91" s="460" t="s">
        <v>17</v>
      </c>
      <c r="E91" s="440" t="str">
        <f>IF(ISBLANK('RESUMEN VIGILANCIA'!D84),"",'RESUMEN VIGILANCIA'!D84)</f>
        <v/>
      </c>
      <c r="F91" s="270">
        <f>IF(ISBLANK('RESUMEN VIGILANCIA'!E84),"",'RESUMEN VIGILANCIA'!E84)</f>
        <v>0.16999999999999998</v>
      </c>
      <c r="G91" s="182">
        <f>IF(ISBLANK('RESUMEN VIGILANCIA'!F84),"",'RESUMEN VIGILANCIA'!F84)</f>
        <v>0.17</v>
      </c>
      <c r="H91" s="182">
        <f>IF(ISBLANK('RESUMEN VIGILANCIA'!G84),"",'RESUMEN VIGILANCIA'!G84)</f>
        <v>0.17</v>
      </c>
      <c r="I91" s="182">
        <f>IF(ISBLANK('RESUMEN VIGILANCIA'!H84),"",'RESUMEN VIGILANCIA'!H84)</f>
        <v>0.17</v>
      </c>
      <c r="J91" s="182">
        <f>IF(ISBLANK('RESUMEN VIGILANCIA'!I84),"",'RESUMEN VIGILANCIA'!I84)</f>
        <v>0.26</v>
      </c>
      <c r="K91" s="182">
        <f>IF(ISBLANK('RESUMEN VIGILANCIA'!J84),"",'RESUMEN VIGILANCIA'!J84)</f>
        <v>0.26</v>
      </c>
      <c r="L91" s="182">
        <f>IF(ISBLANK('RESUMEN VIGILANCIA'!K84),"",'RESUMEN VIGILANCIA'!K84)</f>
        <v>0.35</v>
      </c>
      <c r="M91" s="182">
        <f>IF(ISBLANK('RESUMEN VIGILANCIA'!L84),"",'RESUMEN VIGILANCIA'!L84)</f>
        <v>0.35</v>
      </c>
      <c r="N91" s="182">
        <f>IF(ISBLANK('RESUMEN VIGILANCIA'!M84),"",'RESUMEN VIGILANCIA'!M84)</f>
        <v>0.35</v>
      </c>
      <c r="O91" s="182">
        <f>IF(ISBLANK('RESUMEN VIGILANCIA'!N84),"",'RESUMEN VIGILANCIA'!N84)</f>
        <v>0.35</v>
      </c>
      <c r="P91" s="271">
        <f>IF(ISBLANK('RESUMEN VIGILANCIA'!O84),"",'RESUMEN VIGILANCIA'!O84)</f>
        <v>0.5</v>
      </c>
      <c r="Q91" s="180">
        <f>IF(ISBLANK('RESUMEN VIGILANCIA'!P84),"",'RESUMEN VIGILANCIA'!P84)</f>
        <v>0.5</v>
      </c>
      <c r="R91" s="272">
        <f>IF(ISBLANK('RESUMEN VIGILANCIA'!Q84),"",'RESUMEN VIGILANCIA'!Q84)</f>
        <v>0.8</v>
      </c>
      <c r="S91" s="271">
        <f>IF(ISBLANK('RESUMEN VIGILANCIA'!R84),"",'RESUMEN VIGILANCIA'!R84)</f>
        <v>0.8</v>
      </c>
      <c r="T91" s="271">
        <f>IF(ISBLANK('RESUMEN VIGILANCIA'!S84),"",'RESUMEN VIGILANCIA'!S84)</f>
        <v>1.4</v>
      </c>
      <c r="U91" s="271">
        <f>IF(ISBLANK('RESUMEN VIGILANCIA'!T84),"",'RESUMEN VIGILANCIA'!T84)</f>
        <v>1.4</v>
      </c>
      <c r="V91" s="271">
        <f>IF(ISBLANK('RESUMEN VIGILANCIA'!U84),"",'RESUMEN VIGILANCIA'!U84)</f>
        <v>4</v>
      </c>
      <c r="W91" s="271">
        <f>IF(ISBLANK('RESUMEN VIGILANCIA'!V84),"",'RESUMEN VIGILANCIA'!V84)</f>
        <v>6.25</v>
      </c>
      <c r="X91" s="271">
        <f>IF(ISBLANK('RESUMEN VIGILANCIA'!W84),"",'RESUMEN VIGILANCIA'!W84)</f>
        <v>10</v>
      </c>
      <c r="Y91" s="271">
        <f>IF(ISBLANK('RESUMEN VIGILANCIA'!X84),"",'RESUMEN VIGILANCIA'!X84)</f>
        <v>12</v>
      </c>
      <c r="Z91" s="481">
        <f>IF(ISBLANK('RESUMEN VIGILANCIA'!Y84),"",'RESUMEN VIGILANCIA'!Y84)</f>
        <v>320</v>
      </c>
      <c r="AA91" s="481">
        <f>IF(ISBLANK('RESUMEN VIGILANCIA'!Z84),"",'RESUMEN VIGILANCIA'!Z84)</f>
        <v>320</v>
      </c>
      <c r="AB91" s="481">
        <f>IF(ISBLANK('RESUMEN VIGILANCIA'!AA84),"",'RESUMEN VIGILANCIA'!AA84)</f>
        <v>320</v>
      </c>
      <c r="AC91" s="482">
        <f>IF(ISBLANK('RESUMEN VIGILANCIA'!AB84),"",'RESUMEN VIGILANCIA'!AB84)</f>
        <v>800</v>
      </c>
      <c r="AD91" s="399">
        <f>IF(ISBLANK('RESUMEN VIGILANCIA'!AC84),"",'RESUMEN VIGILANCIA'!AC84)</f>
        <v>3000</v>
      </c>
      <c r="AE91" s="400">
        <f>IF(ISBLANK('RESUMEN VIGILANCIA'!AD84),"",'RESUMEN VIGILANCIA'!AD84)</f>
        <v>3000</v>
      </c>
      <c r="AF91" s="400">
        <f>IF(ISBLANK('RESUMEN VIGILANCIA'!AE84),"",'RESUMEN VIGILANCIA'!AE84)</f>
        <v>3000</v>
      </c>
      <c r="AG91" s="400">
        <f>IF(ISBLANK('RESUMEN VIGILANCIA'!AF84),"",'RESUMEN VIGILANCIA'!AF84)</f>
        <v>5000</v>
      </c>
      <c r="AH91" s="400">
        <f>IF(ISBLANK('RESUMEN VIGILANCIA'!AG84),"",'RESUMEN VIGILANCIA'!AG84)</f>
        <v>8000</v>
      </c>
      <c r="AI91" s="400">
        <f>IF(ISBLANK('RESUMEN VIGILANCIA'!AH84),"",'RESUMEN VIGILANCIA'!AH84)</f>
        <v>8000</v>
      </c>
      <c r="AJ91" s="400">
        <f>IF(ISBLANK('RESUMEN VIGILANCIA'!AI84),"",'RESUMEN VIGILANCIA'!AI84)</f>
        <v>10000</v>
      </c>
      <c r="AK91" s="400">
        <f>IF(ISBLANK('RESUMEN VIGILANCIA'!AJ84),"",'RESUMEN VIGILANCIA'!AJ84)</f>
        <v>10000</v>
      </c>
      <c r="AL91" s="400">
        <f>IF(ISBLANK('RESUMEN VIGILANCIA'!AK84),"",'RESUMEN VIGILANCIA'!AK84)</f>
        <v>23400</v>
      </c>
      <c r="AM91" s="400">
        <f>IF(ISBLANK('RESUMEN VIGILANCIA'!AL84),"",'RESUMEN VIGILANCIA'!AL84)</f>
        <v>47000</v>
      </c>
      <c r="AN91" s="400">
        <f>IF(ISBLANK('RESUMEN VIGILANCIA'!AM84),"",'RESUMEN VIGILANCIA'!AM84)</f>
        <v>51250</v>
      </c>
      <c r="AO91" s="401">
        <f>IF(ISBLANK('RESUMEN VIGILANCIA'!AN84),"",'RESUMEN VIGILANCIA'!AN84)</f>
        <v>81750</v>
      </c>
      <c r="AP91" s="399">
        <f>IF(ISBLANK('RESUMEN VIGILANCIA'!AO84),"",'RESUMEN VIGILANCIA'!AO84)</f>
        <v>136250</v>
      </c>
      <c r="AQ91" s="400">
        <f>IF(ISBLANK('RESUMEN VIGILANCIA'!AP84),"",'RESUMEN VIGILANCIA'!AP84)</f>
        <v>136250</v>
      </c>
      <c r="AR91" s="400">
        <f>IF(ISBLANK('RESUMEN VIGILANCIA'!AQ84),"",'RESUMEN VIGILANCIA'!AQ84)</f>
        <v>185250</v>
      </c>
      <c r="AS91" s="400" t="str">
        <f>IF(ISBLANK('RESUMEN VIGILANCIA'!AR84),"",'RESUMEN VIGILANCIA'!AR84)</f>
        <v/>
      </c>
      <c r="AT91" s="400" t="str">
        <f>IF(ISBLANK('RESUMEN VIGILANCIA'!AS84),"",'RESUMEN VIGILANCIA'!AS84)</f>
        <v/>
      </c>
      <c r="AU91" s="400" t="str">
        <f>IF(ISBLANK('RESUMEN VIGILANCIA'!AT84),"",'RESUMEN VIGILANCIA'!AT84)</f>
        <v/>
      </c>
      <c r="AV91" s="400" t="str">
        <f>IF(ISBLANK('RESUMEN VIGILANCIA'!AU84),"",'RESUMEN VIGILANCIA'!AU84)</f>
        <v/>
      </c>
      <c r="AW91" s="400" t="str">
        <f>IF(ISBLANK('RESUMEN VIGILANCIA'!AV84),"",'RESUMEN VIGILANCIA'!AV84)</f>
        <v/>
      </c>
      <c r="AX91" s="400" t="str">
        <f>IF(ISBLANK('RESUMEN VIGILANCIA'!AW84),"",'RESUMEN VIGILANCIA'!AW84)</f>
        <v/>
      </c>
      <c r="AY91" s="400" t="str">
        <f>IF(ISBLANK('RESUMEN VIGILANCIA'!AX84),"",'RESUMEN VIGILANCIA'!AX84)</f>
        <v/>
      </c>
      <c r="AZ91" s="400" t="str">
        <f>IF(ISBLANK('RESUMEN VIGILANCIA'!AY84),"",'RESUMEN VIGILANCIA'!AY84)</f>
        <v/>
      </c>
      <c r="BA91" s="401" t="str">
        <f>IF(ISBLANK('RESUMEN VIGILANCIA'!AZ84),"",'RESUMEN VIGILANCIA'!AZ84)</f>
        <v/>
      </c>
      <c r="BB91" s="243">
        <f t="shared" si="4"/>
        <v>255200.25</v>
      </c>
      <c r="BC91" s="112"/>
      <c r="BD91" s="112"/>
    </row>
    <row r="92" spans="1:56" s="29" customFormat="1" ht="20.100000000000001" customHeight="1" x14ac:dyDescent="0.25">
      <c r="A92" s="30" t="str">
        <f>'RESUMEN VIGILANCIA'!A85</f>
        <v>Familia Jiménez Navarro</v>
      </c>
      <c r="B92" s="31" t="str">
        <f>'RESUMEN VIGILANCIA'!B85</f>
        <v>Calle Güigüe Nro. 88-50</v>
      </c>
      <c r="C92" s="452" t="s">
        <v>1269</v>
      </c>
      <c r="D92" s="460" t="s">
        <v>17</v>
      </c>
      <c r="E92" s="440" t="str">
        <f>IF(ISBLANK('RESUMEN VIGILANCIA'!D85),"",'RESUMEN VIGILANCIA'!D85)</f>
        <v/>
      </c>
      <c r="F92" s="270">
        <f>IF(ISBLANK('RESUMEN VIGILANCIA'!E85),"",'RESUMEN VIGILANCIA'!E85)</f>
        <v>0.17</v>
      </c>
      <c r="G92" s="182">
        <f>IF(ISBLANK('RESUMEN VIGILANCIA'!F85),"",'RESUMEN VIGILANCIA'!F85)</f>
        <v>0.17</v>
      </c>
      <c r="H92" s="182">
        <f>IF(ISBLANK('RESUMEN VIGILANCIA'!G85),"",'RESUMEN VIGILANCIA'!G85)</f>
        <v>0.17</v>
      </c>
      <c r="I92" s="182">
        <f>IF(ISBLANK('RESUMEN VIGILANCIA'!H85),"",'RESUMEN VIGILANCIA'!H85)</f>
        <v>0.17</v>
      </c>
      <c r="J92" s="182">
        <f>IF(ISBLANK('RESUMEN VIGILANCIA'!I85),"",'RESUMEN VIGILANCIA'!I85)</f>
        <v>0.26</v>
      </c>
      <c r="K92" s="226" t="str">
        <f>IF(ISBLANK('RESUMEN VIGILANCIA'!J85),"",'RESUMEN VIGILANCIA'!J85)</f>
        <v/>
      </c>
      <c r="L92" s="182">
        <f>IF(ISBLANK('RESUMEN VIGILANCIA'!K85),"",'RESUMEN VIGILANCIA'!K85)</f>
        <v>0.35</v>
      </c>
      <c r="M92" s="182">
        <f>IF(ISBLANK('RESUMEN VIGILANCIA'!L85),"",'RESUMEN VIGILANCIA'!L85)</f>
        <v>0.35</v>
      </c>
      <c r="N92" s="182">
        <f>IF(ISBLANK('RESUMEN VIGILANCIA'!M85),"",'RESUMEN VIGILANCIA'!M85)</f>
        <v>0.35</v>
      </c>
      <c r="O92" s="182">
        <f>IF(ISBLANK('RESUMEN VIGILANCIA'!N85),"",'RESUMEN VIGILANCIA'!N85)</f>
        <v>0.35</v>
      </c>
      <c r="P92" s="271">
        <f>IF(ISBLANK('RESUMEN VIGILANCIA'!O85),"",'RESUMEN VIGILANCIA'!O85)</f>
        <v>0.5</v>
      </c>
      <c r="Q92" s="180">
        <f>IF(ISBLANK('RESUMEN VIGILANCIA'!P85),"",'RESUMEN VIGILANCIA'!P85)</f>
        <v>0.5</v>
      </c>
      <c r="R92" s="272">
        <f>IF(ISBLANK('RESUMEN VIGILANCIA'!Q85),"",'RESUMEN VIGILANCIA'!Q85)</f>
        <v>0.8</v>
      </c>
      <c r="S92" s="271">
        <f>IF(ISBLANK('RESUMEN VIGILANCIA'!R85),"",'RESUMEN VIGILANCIA'!R85)</f>
        <v>0.8</v>
      </c>
      <c r="T92" s="271">
        <f>IF(ISBLANK('RESUMEN VIGILANCIA'!S85),"",'RESUMEN VIGILANCIA'!S85)</f>
        <v>1.4</v>
      </c>
      <c r="U92" s="271">
        <f>IF(ISBLANK('RESUMEN VIGILANCIA'!T85),"",'RESUMEN VIGILANCIA'!T85)</f>
        <v>3</v>
      </c>
      <c r="V92" s="271">
        <f>IF(ISBLANK('RESUMEN VIGILANCIA'!U85),"",'RESUMEN VIGILANCIA'!U85)</f>
        <v>4</v>
      </c>
      <c r="W92" s="271">
        <f>IF(ISBLANK('RESUMEN VIGILANCIA'!V85),"",'RESUMEN VIGILANCIA'!V85)</f>
        <v>10</v>
      </c>
      <c r="X92" s="271">
        <f>IF(ISBLANK('RESUMEN VIGILANCIA'!W85),"",'RESUMEN VIGILANCIA'!W85)</f>
        <v>10</v>
      </c>
      <c r="Y92" s="271">
        <f>IF(ISBLANK('RESUMEN VIGILANCIA'!X85),"",'RESUMEN VIGILANCIA'!X85)</f>
        <v>12</v>
      </c>
      <c r="Z92" s="481">
        <f>IF(ISBLANK('RESUMEN VIGILANCIA'!Y85),"",'RESUMEN VIGILANCIA'!Y85)</f>
        <v>320</v>
      </c>
      <c r="AA92" s="481">
        <f>IF(ISBLANK('RESUMEN VIGILANCIA'!Z85),"",'RESUMEN VIGILANCIA'!Z85)</f>
        <v>320</v>
      </c>
      <c r="AB92" s="481">
        <f>IF(ISBLANK('RESUMEN VIGILANCIA'!AA85),"",'RESUMEN VIGILANCIA'!AA85)</f>
        <v>320</v>
      </c>
      <c r="AC92" s="482">
        <f>IF(ISBLANK('RESUMEN VIGILANCIA'!AB85),"",'RESUMEN VIGILANCIA'!AB85)</f>
        <v>800</v>
      </c>
      <c r="AD92" s="399">
        <f>IF(ISBLANK('RESUMEN VIGILANCIA'!AC85),"",'RESUMEN VIGILANCIA'!AC85)</f>
        <v>3000</v>
      </c>
      <c r="AE92" s="400">
        <f>IF(ISBLANK('RESUMEN VIGILANCIA'!AD85),"",'RESUMEN VIGILANCIA'!AD85)</f>
        <v>3000</v>
      </c>
      <c r="AF92" s="400">
        <f>IF(ISBLANK('RESUMEN VIGILANCIA'!AE85),"",'RESUMEN VIGILANCIA'!AE85)</f>
        <v>3000</v>
      </c>
      <c r="AG92" s="400">
        <f>IF(ISBLANK('RESUMEN VIGILANCIA'!AF85),"",'RESUMEN VIGILANCIA'!AF85)</f>
        <v>5000</v>
      </c>
      <c r="AH92" s="400">
        <f>IF(ISBLANK('RESUMEN VIGILANCIA'!AG85),"",'RESUMEN VIGILANCIA'!AG85)</f>
        <v>8000</v>
      </c>
      <c r="AI92" s="400">
        <f>IF(ISBLANK('RESUMEN VIGILANCIA'!AH85),"",'RESUMEN VIGILANCIA'!AH85)</f>
        <v>8000</v>
      </c>
      <c r="AJ92" s="400">
        <f>IF(ISBLANK('RESUMEN VIGILANCIA'!AI85),"",'RESUMEN VIGILANCIA'!AI85)</f>
        <v>10000</v>
      </c>
      <c r="AK92" s="400">
        <f>IF(ISBLANK('RESUMEN VIGILANCIA'!AJ85),"",'RESUMEN VIGILANCIA'!AJ85)</f>
        <v>10000</v>
      </c>
      <c r="AL92" s="400">
        <f>IF(ISBLANK('RESUMEN VIGILANCIA'!AK85),"",'RESUMEN VIGILANCIA'!AK85)</f>
        <v>24000</v>
      </c>
      <c r="AM92" s="400">
        <f>IF(ISBLANK('RESUMEN VIGILANCIA'!AL85),"",'RESUMEN VIGILANCIA'!AL85)</f>
        <v>47000</v>
      </c>
      <c r="AN92" s="400">
        <f>IF(ISBLANK('RESUMEN VIGILANCIA'!AM85),"",'RESUMEN VIGILANCIA'!AM85)</f>
        <v>81750</v>
      </c>
      <c r="AO92" s="401">
        <f>IF(ISBLANK('RESUMEN VIGILANCIA'!AN85),"",'RESUMEN VIGILANCIA'!AN85)</f>
        <v>136500</v>
      </c>
      <c r="AP92" s="399">
        <f>IF(ISBLANK('RESUMEN VIGILANCIA'!AO85),"",'RESUMEN VIGILANCIA'!AO85)</f>
        <v>136500</v>
      </c>
      <c r="AQ92" s="400">
        <f>IF(ISBLANK('RESUMEN VIGILANCIA'!AP85),"",'RESUMEN VIGILANCIA'!AP85)</f>
        <v>190000</v>
      </c>
      <c r="AR92" s="400" t="str">
        <f>IF(ISBLANK('RESUMEN VIGILANCIA'!AQ85),"",'RESUMEN VIGILANCIA'!AQ85)</f>
        <v/>
      </c>
      <c r="AS92" s="400" t="str">
        <f>IF(ISBLANK('RESUMEN VIGILANCIA'!AR85),"",'RESUMEN VIGILANCIA'!AR85)</f>
        <v/>
      </c>
      <c r="AT92" s="400" t="str">
        <f>IF(ISBLANK('RESUMEN VIGILANCIA'!AS85),"",'RESUMEN VIGILANCIA'!AS85)</f>
        <v/>
      </c>
      <c r="AU92" s="400" t="str">
        <f>IF(ISBLANK('RESUMEN VIGILANCIA'!AT85),"",'RESUMEN VIGILANCIA'!AT85)</f>
        <v/>
      </c>
      <c r="AV92" s="400" t="str">
        <f>IF(ISBLANK('RESUMEN VIGILANCIA'!AU85),"",'RESUMEN VIGILANCIA'!AU85)</f>
        <v/>
      </c>
      <c r="AW92" s="400" t="str">
        <f>IF(ISBLANK('RESUMEN VIGILANCIA'!AV85),"",'RESUMEN VIGILANCIA'!AV85)</f>
        <v/>
      </c>
      <c r="AX92" s="400" t="str">
        <f>IF(ISBLANK('RESUMEN VIGILANCIA'!AW85),"",'RESUMEN VIGILANCIA'!AW85)</f>
        <v/>
      </c>
      <c r="AY92" s="400" t="str">
        <f>IF(ISBLANK('RESUMEN VIGILANCIA'!AX85),"",'RESUMEN VIGILANCIA'!AX85)</f>
        <v/>
      </c>
      <c r="AZ92" s="400" t="str">
        <f>IF(ISBLANK('RESUMEN VIGILANCIA'!AY85),"",'RESUMEN VIGILANCIA'!AY85)</f>
        <v/>
      </c>
      <c r="BA92" s="401" t="str">
        <f>IF(ISBLANK('RESUMEN VIGILANCIA'!AZ85),"",'RESUMEN VIGILANCIA'!AZ85)</f>
        <v/>
      </c>
      <c r="BB92" s="243">
        <f t="shared" si="4"/>
        <v>341055.33999999997</v>
      </c>
      <c r="BC92" s="112"/>
      <c r="BD92" s="112"/>
    </row>
    <row r="93" spans="1:56" s="29" customFormat="1" ht="20.100000000000001" customHeight="1" x14ac:dyDescent="0.25">
      <c r="A93" s="30" t="str">
        <f>'RESUMEN VIGILANCIA'!A87</f>
        <v>Familia Navarro Assing</v>
      </c>
      <c r="B93" s="31" t="str">
        <f>'RESUMEN VIGILANCIA'!B87</f>
        <v>Calle Güigüe Nro. 88-54</v>
      </c>
      <c r="C93" s="452" t="s">
        <v>1269</v>
      </c>
      <c r="D93" s="460" t="s">
        <v>17</v>
      </c>
      <c r="E93" s="440" t="str">
        <f>IF(ISBLANK('RESUMEN VIGILANCIA'!D87),"",'RESUMEN VIGILANCIA'!D87)</f>
        <v/>
      </c>
      <c r="F93" s="270">
        <f>IF(ISBLANK('RESUMEN VIGILANCIA'!E87),"",'RESUMEN VIGILANCIA'!E87)</f>
        <v>0.17</v>
      </c>
      <c r="G93" s="182">
        <f>IF(ISBLANK('RESUMEN VIGILANCIA'!F87),"",'RESUMEN VIGILANCIA'!F87)</f>
        <v>0.17</v>
      </c>
      <c r="H93" s="182">
        <f>IF(ISBLANK('RESUMEN VIGILANCIA'!G87),"",'RESUMEN VIGILANCIA'!G87)</f>
        <v>0.17</v>
      </c>
      <c r="I93" s="182">
        <f>IF(ISBLANK('RESUMEN VIGILANCIA'!H87),"",'RESUMEN VIGILANCIA'!H87)</f>
        <v>0.17</v>
      </c>
      <c r="J93" s="182">
        <f>IF(ISBLANK('RESUMEN VIGILANCIA'!I87),"",'RESUMEN VIGILANCIA'!I87)</f>
        <v>0.26</v>
      </c>
      <c r="K93" s="182">
        <f>IF(ISBLANK('RESUMEN VIGILANCIA'!J87),"",'RESUMEN VIGILANCIA'!J87)</f>
        <v>0.26</v>
      </c>
      <c r="L93" s="182">
        <f>IF(ISBLANK('RESUMEN VIGILANCIA'!K87),"",'RESUMEN VIGILANCIA'!K87)</f>
        <v>0.35</v>
      </c>
      <c r="M93" s="182">
        <f>IF(ISBLANK('RESUMEN VIGILANCIA'!L87),"",'RESUMEN VIGILANCIA'!L87)</f>
        <v>0.35</v>
      </c>
      <c r="N93" s="182">
        <f>IF(ISBLANK('RESUMEN VIGILANCIA'!M87),"",'RESUMEN VIGILANCIA'!M87)</f>
        <v>0.35</v>
      </c>
      <c r="O93" s="182">
        <f>IF(ISBLANK('RESUMEN VIGILANCIA'!N87),"",'RESUMEN VIGILANCIA'!N87)</f>
        <v>0.35</v>
      </c>
      <c r="P93" s="271">
        <f>IF(ISBLANK('RESUMEN VIGILANCIA'!O87),"",'RESUMEN VIGILANCIA'!O87)</f>
        <v>0.5</v>
      </c>
      <c r="Q93" s="180">
        <f>IF(ISBLANK('RESUMEN VIGILANCIA'!P87),"",'RESUMEN VIGILANCIA'!P87)</f>
        <v>0.5</v>
      </c>
      <c r="R93" s="272">
        <f>IF(ISBLANK('RESUMEN VIGILANCIA'!Q87),"",'RESUMEN VIGILANCIA'!Q87)</f>
        <v>0.8</v>
      </c>
      <c r="S93" s="271">
        <f>IF(ISBLANK('RESUMEN VIGILANCIA'!R87),"",'RESUMEN VIGILANCIA'!R87)</f>
        <v>0.8</v>
      </c>
      <c r="T93" s="271">
        <f>IF(ISBLANK('RESUMEN VIGILANCIA'!S87),"",'RESUMEN VIGILANCIA'!S87)</f>
        <v>1.4</v>
      </c>
      <c r="U93" s="271">
        <f>IF(ISBLANK('RESUMEN VIGILANCIA'!T87),"",'RESUMEN VIGILANCIA'!T87)</f>
        <v>1.4</v>
      </c>
      <c r="V93" s="271">
        <f>IF(ISBLANK('RESUMEN VIGILANCIA'!U87),"",'RESUMEN VIGILANCIA'!U87)</f>
        <v>4</v>
      </c>
      <c r="W93" s="271">
        <f>IF(ISBLANK('RESUMEN VIGILANCIA'!V87),"",'RESUMEN VIGILANCIA'!V87)</f>
        <v>6.5</v>
      </c>
      <c r="X93" s="271">
        <f>IF(ISBLANK('RESUMEN VIGILANCIA'!W87),"",'RESUMEN VIGILANCIA'!W87)</f>
        <v>10</v>
      </c>
      <c r="Y93" s="271">
        <f>IF(ISBLANK('RESUMEN VIGILANCIA'!X87),"",'RESUMEN VIGILANCIA'!X87)</f>
        <v>12</v>
      </c>
      <c r="Z93" s="481">
        <f>IF(ISBLANK('RESUMEN VIGILANCIA'!Y87),"",'RESUMEN VIGILANCIA'!Y87)</f>
        <v>320</v>
      </c>
      <c r="AA93" s="481">
        <f>IF(ISBLANK('RESUMEN VIGILANCIA'!Z87),"",'RESUMEN VIGILANCIA'!Z87)</f>
        <v>320</v>
      </c>
      <c r="AB93" s="481">
        <f>IF(ISBLANK('RESUMEN VIGILANCIA'!AA87),"",'RESUMEN VIGILANCIA'!AA87)</f>
        <v>320</v>
      </c>
      <c r="AC93" s="482">
        <f>IF(ISBLANK('RESUMEN VIGILANCIA'!AB87),"",'RESUMEN VIGILANCIA'!AB87)</f>
        <v>800</v>
      </c>
      <c r="AD93" s="399">
        <f>IF(ISBLANK('RESUMEN VIGILANCIA'!AC87),"",'RESUMEN VIGILANCIA'!AC87)</f>
        <v>3000</v>
      </c>
      <c r="AE93" s="400">
        <f>IF(ISBLANK('RESUMEN VIGILANCIA'!AD87),"",'RESUMEN VIGILANCIA'!AD87)</f>
        <v>3000</v>
      </c>
      <c r="AF93" s="400">
        <f>IF(ISBLANK('RESUMEN VIGILANCIA'!AE87),"",'RESUMEN VIGILANCIA'!AE87)</f>
        <v>3000</v>
      </c>
      <c r="AG93" s="400">
        <f>IF(ISBLANK('RESUMEN VIGILANCIA'!AF87),"",'RESUMEN VIGILANCIA'!AF87)</f>
        <v>5000</v>
      </c>
      <c r="AH93" s="400">
        <f>IF(ISBLANK('RESUMEN VIGILANCIA'!AG87),"",'RESUMEN VIGILANCIA'!AG87)</f>
        <v>8000</v>
      </c>
      <c r="AI93" s="400">
        <f>IF(ISBLANK('RESUMEN VIGILANCIA'!AH87),"",'RESUMEN VIGILANCIA'!AH87)</f>
        <v>8000</v>
      </c>
      <c r="AJ93" s="400">
        <f>IF(ISBLANK('RESUMEN VIGILANCIA'!AI87),"",'RESUMEN VIGILANCIA'!AI87)</f>
        <v>10000</v>
      </c>
      <c r="AK93" s="400">
        <f>IF(ISBLANK('RESUMEN VIGILANCIA'!AJ87),"",'RESUMEN VIGILANCIA'!AJ87)</f>
        <v>10000</v>
      </c>
      <c r="AL93" s="400">
        <f>IF(ISBLANK('RESUMEN VIGILANCIA'!AK87),"",'RESUMEN VIGILANCIA'!AK87)</f>
        <v>21600</v>
      </c>
      <c r="AM93" s="400">
        <f>IF(ISBLANK('RESUMEN VIGILANCIA'!AL87),"",'RESUMEN VIGILANCIA'!AL87)</f>
        <v>51250</v>
      </c>
      <c r="AN93" s="400">
        <f>IF(ISBLANK('RESUMEN VIGILANCIA'!AM87),"",'RESUMEN VIGILANCIA'!AM87)</f>
        <v>64550</v>
      </c>
      <c r="AO93" s="401">
        <f>IF(ISBLANK('RESUMEN VIGILANCIA'!AN87),"",'RESUMEN VIGILANCIA'!AN87)</f>
        <v>105500</v>
      </c>
      <c r="AP93" s="399">
        <f>IF(ISBLANK('RESUMEN VIGILANCIA'!AO87),"",'RESUMEN VIGILANCIA'!AO87)</f>
        <v>136250</v>
      </c>
      <c r="AQ93" s="400">
        <f>IF(ISBLANK('RESUMEN VIGILANCIA'!AP87),"",'RESUMEN VIGILANCIA'!AP87)</f>
        <v>136450</v>
      </c>
      <c r="AR93" s="400">
        <f>IF(ISBLANK('RESUMEN VIGILANCIA'!AQ87),"",'RESUMEN VIGILANCIA'!AQ87)</f>
        <v>185250</v>
      </c>
      <c r="AS93" s="400" t="str">
        <f>IF(ISBLANK('RESUMEN VIGILANCIA'!AR87),"",'RESUMEN VIGILANCIA'!AR87)</f>
        <v/>
      </c>
      <c r="AT93" s="400" t="str">
        <f>IF(ISBLANK('RESUMEN VIGILANCIA'!AS87),"",'RESUMEN VIGILANCIA'!AS87)</f>
        <v/>
      </c>
      <c r="AU93" s="400" t="str">
        <f>IF(ISBLANK('RESUMEN VIGILANCIA'!AT87),"",'RESUMEN VIGILANCIA'!AT87)</f>
        <v/>
      </c>
      <c r="AV93" s="400" t="str">
        <f>IF(ISBLANK('RESUMEN VIGILANCIA'!AU87),"",'RESUMEN VIGILANCIA'!AU87)</f>
        <v/>
      </c>
      <c r="AW93" s="400" t="str">
        <f>IF(ISBLANK('RESUMEN VIGILANCIA'!AV87),"",'RESUMEN VIGILANCIA'!AV87)</f>
        <v/>
      </c>
      <c r="AX93" s="400" t="str">
        <f>IF(ISBLANK('RESUMEN VIGILANCIA'!AW87),"",'RESUMEN VIGILANCIA'!AW87)</f>
        <v/>
      </c>
      <c r="AY93" s="400" t="str">
        <f>IF(ISBLANK('RESUMEN VIGILANCIA'!AX87),"",'RESUMEN VIGILANCIA'!AX87)</f>
        <v/>
      </c>
      <c r="AZ93" s="400" t="str">
        <f>IF(ISBLANK('RESUMEN VIGILANCIA'!AY87),"",'RESUMEN VIGILANCIA'!AY87)</f>
        <v/>
      </c>
      <c r="BA93" s="401" t="str">
        <f>IF(ISBLANK('RESUMEN VIGILANCIA'!AZ87),"",'RESUMEN VIGILANCIA'!AZ87)</f>
        <v/>
      </c>
      <c r="BB93" s="243">
        <f t="shared" si="4"/>
        <v>294700.5</v>
      </c>
      <c r="BC93" s="112"/>
      <c r="BD93" s="112"/>
    </row>
    <row r="94" spans="1:56" s="29" customFormat="1" ht="20.100000000000001" customHeight="1" x14ac:dyDescent="0.25">
      <c r="A94" s="30" t="str">
        <f>'RESUMEN VIGILANCIA'!A89</f>
        <v>Familia Ramírez</v>
      </c>
      <c r="B94" s="31" t="str">
        <f>'RESUMEN VIGILANCIA'!B89</f>
        <v>Calle Güigüe Nro. 88-61</v>
      </c>
      <c r="C94" s="452" t="s">
        <v>1273</v>
      </c>
      <c r="D94" s="468" t="s">
        <v>17</v>
      </c>
      <c r="E94" s="440" t="str">
        <f>IF(ISBLANK('RESUMEN VIGILANCIA'!D89),"",'RESUMEN VIGILANCIA'!D89)</f>
        <v/>
      </c>
      <c r="F94" s="270" t="str">
        <f>IF(ISBLANK('RESUMEN VIGILANCIA'!E89),"",'RESUMEN VIGILANCIA'!E89)</f>
        <v/>
      </c>
      <c r="G94" s="182" t="str">
        <f>IF(ISBLANK('RESUMEN VIGILANCIA'!F89),"",'RESUMEN VIGILANCIA'!F89)</f>
        <v/>
      </c>
      <c r="H94" s="182" t="str">
        <f>IF(ISBLANK('RESUMEN VIGILANCIA'!G89),"",'RESUMEN VIGILANCIA'!G89)</f>
        <v/>
      </c>
      <c r="I94" s="182" t="str">
        <f>IF(ISBLANK('RESUMEN VIGILANCIA'!H89),"",'RESUMEN VIGILANCIA'!H89)</f>
        <v/>
      </c>
      <c r="J94" s="182" t="str">
        <f>IF(ISBLANK('RESUMEN VIGILANCIA'!I89),"",'RESUMEN VIGILANCIA'!I89)</f>
        <v/>
      </c>
      <c r="K94" s="182" t="str">
        <f>IF(ISBLANK('RESUMEN VIGILANCIA'!J89),"",'RESUMEN VIGILANCIA'!J89)</f>
        <v/>
      </c>
      <c r="L94" s="182" t="str">
        <f>IF(ISBLANK('RESUMEN VIGILANCIA'!K89),"",'RESUMEN VIGILANCIA'!K89)</f>
        <v/>
      </c>
      <c r="M94" s="182" t="str">
        <f>IF(ISBLANK('RESUMEN VIGILANCIA'!L89),"",'RESUMEN VIGILANCIA'!L89)</f>
        <v/>
      </c>
      <c r="N94" s="182" t="str">
        <f>IF(ISBLANK('RESUMEN VIGILANCIA'!M89),"",'RESUMEN VIGILANCIA'!M89)</f>
        <v/>
      </c>
      <c r="O94" s="182" t="str">
        <f>IF(ISBLANK('RESUMEN VIGILANCIA'!N89),"",'RESUMEN VIGILANCIA'!N89)</f>
        <v/>
      </c>
      <c r="P94" s="271" t="str">
        <f>IF(ISBLANK('RESUMEN VIGILANCIA'!O89),"",'RESUMEN VIGILANCIA'!O89)</f>
        <v/>
      </c>
      <c r="Q94" s="180" t="str">
        <f>IF(ISBLANK('RESUMEN VIGILANCIA'!P89),"",'RESUMEN VIGILANCIA'!P89)</f>
        <v/>
      </c>
      <c r="R94" s="272" t="str">
        <f>IF(ISBLANK('RESUMEN VIGILANCIA'!Q89),"",'RESUMEN VIGILANCIA'!Q89)</f>
        <v/>
      </c>
      <c r="S94" s="271" t="str">
        <f>IF(ISBLANK('RESUMEN VIGILANCIA'!R89),"",'RESUMEN VIGILANCIA'!R89)</f>
        <v/>
      </c>
      <c r="T94" s="271" t="str">
        <f>IF(ISBLANK('RESUMEN VIGILANCIA'!S89),"",'RESUMEN VIGILANCIA'!S89)</f>
        <v/>
      </c>
      <c r="U94" s="271" t="str">
        <f>IF(ISBLANK('RESUMEN VIGILANCIA'!T89),"",'RESUMEN VIGILANCIA'!T89)</f>
        <v/>
      </c>
      <c r="V94" s="271" t="str">
        <f>IF(ISBLANK('RESUMEN VIGILANCIA'!U89),"",'RESUMEN VIGILANCIA'!U89)</f>
        <v/>
      </c>
      <c r="W94" s="271" t="str">
        <f>IF(ISBLANK('RESUMEN VIGILANCIA'!V89),"",'RESUMEN VIGILANCIA'!V89)</f>
        <v/>
      </c>
      <c r="X94" s="271" t="str">
        <f>IF(ISBLANK('RESUMEN VIGILANCIA'!W89),"",'RESUMEN VIGILANCIA'!W89)</f>
        <v/>
      </c>
      <c r="Y94" s="271" t="str">
        <f>IF(ISBLANK('RESUMEN VIGILANCIA'!X89),"",'RESUMEN VIGILANCIA'!X89)</f>
        <v/>
      </c>
      <c r="Z94" s="481" t="str">
        <f>IF(ISBLANK('RESUMEN VIGILANCIA'!Y89),"",'RESUMEN VIGILANCIA'!Y89)</f>
        <v/>
      </c>
      <c r="AA94" s="481" t="str">
        <f>IF(ISBLANK('RESUMEN VIGILANCIA'!Z89),"",'RESUMEN VIGILANCIA'!Z89)</f>
        <v/>
      </c>
      <c r="AB94" s="481" t="str">
        <f>IF(ISBLANK('RESUMEN VIGILANCIA'!AA89),"",'RESUMEN VIGILANCIA'!AA89)</f>
        <v/>
      </c>
      <c r="AC94" s="482" t="str">
        <f>IF(ISBLANK('RESUMEN VIGILANCIA'!AB89),"",'RESUMEN VIGILANCIA'!AB89)</f>
        <v/>
      </c>
      <c r="AD94" s="399" t="str">
        <f>IF(ISBLANK('RESUMEN VIGILANCIA'!AC89),"",'RESUMEN VIGILANCIA'!AC89)</f>
        <v/>
      </c>
      <c r="AE94" s="400" t="str">
        <f>IF(ISBLANK('RESUMEN VIGILANCIA'!AD89),"",'RESUMEN VIGILANCIA'!AD89)</f>
        <v/>
      </c>
      <c r="AF94" s="400" t="str">
        <f>IF(ISBLANK('RESUMEN VIGILANCIA'!AE89),"",'RESUMEN VIGILANCIA'!AE89)</f>
        <v/>
      </c>
      <c r="AG94" s="400" t="str">
        <f>IF(ISBLANK('RESUMEN VIGILANCIA'!AF89),"",'RESUMEN VIGILANCIA'!AF89)</f>
        <v/>
      </c>
      <c r="AH94" s="400" t="str">
        <f>IF(ISBLANK('RESUMEN VIGILANCIA'!AG89),"",'RESUMEN VIGILANCIA'!AG89)</f>
        <v/>
      </c>
      <c r="AI94" s="400" t="str">
        <f>IF(ISBLANK('RESUMEN VIGILANCIA'!AH89),"",'RESUMEN VIGILANCIA'!AH89)</f>
        <v/>
      </c>
      <c r="AJ94" s="400" t="str">
        <f>IF(ISBLANK('RESUMEN VIGILANCIA'!AI89),"",'RESUMEN VIGILANCIA'!AI89)</f>
        <v/>
      </c>
      <c r="AK94" s="400" t="str">
        <f>IF(ISBLANK('RESUMEN VIGILANCIA'!AJ89),"",'RESUMEN VIGILANCIA'!AJ89)</f>
        <v/>
      </c>
      <c r="AL94" s="400" t="str">
        <f>IF(ISBLANK('RESUMEN VIGILANCIA'!AK89),"",'RESUMEN VIGILANCIA'!AK89)</f>
        <v/>
      </c>
      <c r="AM94" s="400" t="str">
        <f>IF(ISBLANK('RESUMEN VIGILANCIA'!AL89),"",'RESUMEN VIGILANCIA'!AL89)</f>
        <v/>
      </c>
      <c r="AN94" s="400" t="str">
        <f>IF(ISBLANK('RESUMEN VIGILANCIA'!AM89),"",'RESUMEN VIGILANCIA'!AM89)</f>
        <v/>
      </c>
      <c r="AO94" s="401" t="str">
        <f>IF(ISBLANK('RESUMEN VIGILANCIA'!AN89),"",'RESUMEN VIGILANCIA'!AN89)</f>
        <v/>
      </c>
      <c r="AP94" s="399" t="str">
        <f>IF(ISBLANK('RESUMEN VIGILANCIA'!AO89),"",'RESUMEN VIGILANCIA'!AO89)</f>
        <v/>
      </c>
      <c r="AQ94" s="400" t="str">
        <f>IF(ISBLANK('RESUMEN VIGILANCIA'!AP89),"",'RESUMEN VIGILANCIA'!AP89)</f>
        <v/>
      </c>
      <c r="AR94" s="400" t="str">
        <f>IF(ISBLANK('RESUMEN VIGILANCIA'!AQ89),"",'RESUMEN VIGILANCIA'!AQ89)</f>
        <v/>
      </c>
      <c r="AS94" s="400" t="str">
        <f>IF(ISBLANK('RESUMEN VIGILANCIA'!AR89),"",'RESUMEN VIGILANCIA'!AR89)</f>
        <v/>
      </c>
      <c r="AT94" s="400" t="str">
        <f>IF(ISBLANK('RESUMEN VIGILANCIA'!AS89),"",'RESUMEN VIGILANCIA'!AS89)</f>
        <v/>
      </c>
      <c r="AU94" s="400" t="str">
        <f>IF(ISBLANK('RESUMEN VIGILANCIA'!AT89),"",'RESUMEN VIGILANCIA'!AT89)</f>
        <v/>
      </c>
      <c r="AV94" s="400" t="str">
        <f>IF(ISBLANK('RESUMEN VIGILANCIA'!AU89),"",'RESUMEN VIGILANCIA'!AU89)</f>
        <v/>
      </c>
      <c r="AW94" s="400" t="str">
        <f>IF(ISBLANK('RESUMEN VIGILANCIA'!AV89),"",'RESUMEN VIGILANCIA'!AV89)</f>
        <v/>
      </c>
      <c r="AX94" s="400" t="str">
        <f>IF(ISBLANK('RESUMEN VIGILANCIA'!AW89),"",'RESUMEN VIGILANCIA'!AW89)</f>
        <v/>
      </c>
      <c r="AY94" s="400" t="str">
        <f>IF(ISBLANK('RESUMEN VIGILANCIA'!AX89),"",'RESUMEN VIGILANCIA'!AX89)</f>
        <v/>
      </c>
      <c r="AZ94" s="400" t="str">
        <f>IF(ISBLANK('RESUMEN VIGILANCIA'!AY89),"",'RESUMEN VIGILANCIA'!AY89)</f>
        <v/>
      </c>
      <c r="BA94" s="401" t="str">
        <f>IF(ISBLANK('RESUMEN VIGILANCIA'!AZ89),"",'RESUMEN VIGILANCIA'!AZ89)</f>
        <v/>
      </c>
      <c r="BB94" s="243">
        <f t="shared" si="4"/>
        <v>0</v>
      </c>
      <c r="BC94" s="112"/>
      <c r="BD94" s="112"/>
    </row>
    <row r="95" spans="1:56" s="29" customFormat="1" ht="20.100000000000001" customHeight="1" x14ac:dyDescent="0.25">
      <c r="A95" s="30" t="str">
        <f>'RESUMEN VIGILANCIA'!A88</f>
        <v>Familia Rodríguez Aular</v>
      </c>
      <c r="B95" s="31" t="str">
        <f>'RESUMEN VIGILANCIA'!B88</f>
        <v>Calle Güigüe Nro. 88-58</v>
      </c>
      <c r="C95" s="452" t="s">
        <v>1269</v>
      </c>
      <c r="D95" s="460" t="s">
        <v>17</v>
      </c>
      <c r="E95" s="439" t="str">
        <f>IF(ISBLANK('RESUMEN VIGILANCIA'!D88),"",'RESUMEN VIGILANCIA'!D88)</f>
        <v/>
      </c>
      <c r="F95" s="267">
        <f>IF(ISBLANK('RESUMEN VIGILANCIA'!E88),"",'RESUMEN VIGILANCIA'!E88)</f>
        <v>0.105</v>
      </c>
      <c r="G95" s="189">
        <f>IF(ISBLANK('RESUMEN VIGILANCIA'!F88),"",'RESUMEN VIGILANCIA'!F88)</f>
        <v>0.12</v>
      </c>
      <c r="H95" s="189">
        <f>IF(ISBLANK('RESUMEN VIGILANCIA'!G88),"",'RESUMEN VIGILANCIA'!G88)</f>
        <v>0.12</v>
      </c>
      <c r="I95" s="189">
        <f>IF(ISBLANK('RESUMEN VIGILANCIA'!H88),"",'RESUMEN VIGILANCIA'!H88)</f>
        <v>0.12</v>
      </c>
      <c r="J95" s="189">
        <f>IF(ISBLANK('RESUMEN VIGILANCIA'!I88),"",'RESUMEN VIGILANCIA'!I88)</f>
        <v>0.12</v>
      </c>
      <c r="K95" s="189">
        <f>IF(ISBLANK('RESUMEN VIGILANCIA'!J88),"",'RESUMEN VIGILANCIA'!J88)</f>
        <v>0.15</v>
      </c>
      <c r="L95" s="189">
        <f>IF(ISBLANK('RESUMEN VIGILANCIA'!K88),"",'RESUMEN VIGILANCIA'!K88)</f>
        <v>0.15</v>
      </c>
      <c r="M95" s="189">
        <f>IF(ISBLANK('RESUMEN VIGILANCIA'!L88),"",'RESUMEN VIGILANCIA'!L88)</f>
        <v>0.18</v>
      </c>
      <c r="N95" s="189">
        <f>IF(ISBLANK('RESUMEN VIGILANCIA'!M88),"",'RESUMEN VIGILANCIA'!M88)</f>
        <v>0.2</v>
      </c>
      <c r="O95" s="189">
        <f>IF(ISBLANK('RESUMEN VIGILANCIA'!N88),"",'RESUMEN VIGILANCIA'!N88)</f>
        <v>0.2</v>
      </c>
      <c r="P95" s="268">
        <f>IF(ISBLANK('RESUMEN VIGILANCIA'!O88),"",'RESUMEN VIGILANCIA'!O88)</f>
        <v>0.3</v>
      </c>
      <c r="Q95" s="187">
        <f>IF(ISBLANK('RESUMEN VIGILANCIA'!P88),"",'RESUMEN VIGILANCIA'!P88)</f>
        <v>0.4</v>
      </c>
      <c r="R95" s="269">
        <f>IF(ISBLANK('RESUMEN VIGILANCIA'!Q88),"",'RESUMEN VIGILANCIA'!Q88)</f>
        <v>0.4</v>
      </c>
      <c r="S95" s="268">
        <f>IF(ISBLANK('RESUMEN VIGILANCIA'!R88),"",'RESUMEN VIGILANCIA'!R88)</f>
        <v>0.8</v>
      </c>
      <c r="T95" s="268">
        <f>IF(ISBLANK('RESUMEN VIGILANCIA'!S88),"",'RESUMEN VIGILANCIA'!S88)</f>
        <v>1.2</v>
      </c>
      <c r="U95" s="268">
        <f>IF(ISBLANK('RESUMEN VIGILANCIA'!T88),"",'RESUMEN VIGILANCIA'!T88)</f>
        <v>1.4</v>
      </c>
      <c r="V95" s="268">
        <f>IF(ISBLANK('RESUMEN VIGILANCIA'!U88),"",'RESUMEN VIGILANCIA'!U88)</f>
        <v>2</v>
      </c>
      <c r="W95" s="268">
        <f>IF(ISBLANK('RESUMEN VIGILANCIA'!V88),"",'RESUMEN VIGILANCIA'!V88)</f>
        <v>4</v>
      </c>
      <c r="X95" s="271">
        <f>IF(ISBLANK('RESUMEN VIGILANCIA'!W88),"",'RESUMEN VIGILANCIA'!W88)</f>
        <v>10</v>
      </c>
      <c r="Y95" s="271">
        <f>IF(ISBLANK('RESUMEN VIGILANCIA'!X88),"",'RESUMEN VIGILANCIA'!X88)</f>
        <v>12</v>
      </c>
      <c r="Z95" s="499" t="str">
        <f>IF(ISBLANK('RESUMEN VIGILANCIA'!Y88),"",'RESUMEN VIGILANCIA'!Y88)</f>
        <v/>
      </c>
      <c r="AA95" s="484">
        <f>IF(ISBLANK('RESUMEN VIGILANCIA'!Z88),"",'RESUMEN VIGILANCIA'!Z88)</f>
        <v>320</v>
      </c>
      <c r="AB95" s="484">
        <f>IF(ISBLANK('RESUMEN VIGILANCIA'!AA88),"",'RESUMEN VIGILANCIA'!AA88)</f>
        <v>320</v>
      </c>
      <c r="AC95" s="483">
        <f>IF(ISBLANK('RESUMEN VIGILANCIA'!AB88),"",'RESUMEN VIGILANCIA'!AB88)</f>
        <v>800</v>
      </c>
      <c r="AD95" s="404">
        <f>IF(ISBLANK('RESUMEN VIGILANCIA'!AC88),"",'RESUMEN VIGILANCIA'!AC88)</f>
        <v>3000</v>
      </c>
      <c r="AE95" s="405">
        <f>IF(ISBLANK('RESUMEN VIGILANCIA'!AD88),"",'RESUMEN VIGILANCIA'!AD88)</f>
        <v>3000</v>
      </c>
      <c r="AF95" s="405">
        <f>IF(ISBLANK('RESUMEN VIGILANCIA'!AE88),"",'RESUMEN VIGILANCIA'!AE88)</f>
        <v>3000</v>
      </c>
      <c r="AG95" s="405">
        <f>IF(ISBLANK('RESUMEN VIGILANCIA'!AF88),"",'RESUMEN VIGILANCIA'!AF88)</f>
        <v>5000</v>
      </c>
      <c r="AH95" s="405">
        <f>IF(ISBLANK('RESUMEN VIGILANCIA'!AG88),"",'RESUMEN VIGILANCIA'!AG88)</f>
        <v>8000</v>
      </c>
      <c r="AI95" s="405">
        <f>IF(ISBLANK('RESUMEN VIGILANCIA'!AH88),"",'RESUMEN VIGILANCIA'!AH88)</f>
        <v>8000</v>
      </c>
      <c r="AJ95" s="405">
        <f>IF(ISBLANK('RESUMEN VIGILANCIA'!AI88),"",'RESUMEN VIGILANCIA'!AI88)</f>
        <v>10000</v>
      </c>
      <c r="AK95" s="405">
        <f>IF(ISBLANK('RESUMEN VIGILANCIA'!AJ88),"",'RESUMEN VIGILANCIA'!AJ88)</f>
        <v>10000</v>
      </c>
      <c r="AL95" s="405">
        <f>IF(ISBLANK('RESUMEN VIGILANCIA'!AK88),"",'RESUMEN VIGILANCIA'!AK88)</f>
        <v>19800</v>
      </c>
      <c r="AM95" s="405">
        <f>IF(ISBLANK('RESUMEN VIGILANCIA'!AL88),"",'RESUMEN VIGILANCIA'!AL88)</f>
        <v>51250</v>
      </c>
      <c r="AN95" s="405">
        <f>IF(ISBLANK('RESUMEN VIGILANCIA'!AM88),"",'RESUMEN VIGILANCIA'!AM88)</f>
        <v>64500</v>
      </c>
      <c r="AO95" s="410">
        <f>IF(ISBLANK('RESUMEN VIGILANCIA'!AN88),"",'RESUMEN VIGILANCIA'!AN88)</f>
        <v>136250</v>
      </c>
      <c r="AP95" s="404">
        <f>IF(ISBLANK('RESUMEN VIGILANCIA'!AO88),"",'RESUMEN VIGILANCIA'!AO88)</f>
        <v>136250</v>
      </c>
      <c r="AQ95" s="405">
        <f>IF(ISBLANK('RESUMEN VIGILANCIA'!AP88),"",'RESUMEN VIGILANCIA'!AP88)</f>
        <v>136250</v>
      </c>
      <c r="AR95" s="405" t="str">
        <f>IF(ISBLANK('RESUMEN VIGILANCIA'!AQ88),"",'RESUMEN VIGILANCIA'!AQ88)</f>
        <v/>
      </c>
      <c r="AS95" s="405" t="str">
        <f>IF(ISBLANK('RESUMEN VIGILANCIA'!AR88),"",'RESUMEN VIGILANCIA'!AR88)</f>
        <v/>
      </c>
      <c r="AT95" s="405" t="str">
        <f>IF(ISBLANK('RESUMEN VIGILANCIA'!AS88),"",'RESUMEN VIGILANCIA'!AS88)</f>
        <v/>
      </c>
      <c r="AU95" s="405" t="str">
        <f>IF(ISBLANK('RESUMEN VIGILANCIA'!AT88),"",'RESUMEN VIGILANCIA'!AT88)</f>
        <v/>
      </c>
      <c r="AV95" s="405" t="str">
        <f>IF(ISBLANK('RESUMEN VIGILANCIA'!AU88),"",'RESUMEN VIGILANCIA'!AU88)</f>
        <v/>
      </c>
      <c r="AW95" s="405" t="str">
        <f>IF(ISBLANK('RESUMEN VIGILANCIA'!AV88),"",'RESUMEN VIGILANCIA'!AV88)</f>
        <v/>
      </c>
      <c r="AX95" s="405" t="str">
        <f>IF(ISBLANK('RESUMEN VIGILANCIA'!AW88),"",'RESUMEN VIGILANCIA'!AW88)</f>
        <v/>
      </c>
      <c r="AY95" s="405" t="str">
        <f>IF(ISBLANK('RESUMEN VIGILANCIA'!AX88),"",'RESUMEN VIGILANCIA'!AX88)</f>
        <v/>
      </c>
      <c r="AZ95" s="405" t="str">
        <f>IF(ISBLANK('RESUMEN VIGILANCIA'!AY88),"",'RESUMEN VIGILANCIA'!AY88)</f>
        <v/>
      </c>
      <c r="BA95" s="410" t="str">
        <f>IF(ISBLANK('RESUMEN VIGILANCIA'!AZ88),"",'RESUMEN VIGILANCIA'!AZ88)</f>
        <v/>
      </c>
      <c r="BB95" s="368">
        <f t="shared" si="4"/>
        <v>323273.96499999997</v>
      </c>
      <c r="BC95" s="369"/>
      <c r="BD95" s="369"/>
    </row>
    <row r="96" spans="1:56" s="29" customFormat="1" ht="20.100000000000001" customHeight="1" x14ac:dyDescent="0.25">
      <c r="A96" s="30" t="str">
        <f>'RESUMEN VIGILANCIA'!A90</f>
        <v>Familia Martínez Boada</v>
      </c>
      <c r="B96" s="31" t="str">
        <f>'RESUMEN VIGILANCIA'!B90</f>
        <v>Calle Güigüe Nro. 88-62</v>
      </c>
      <c r="C96" s="452" t="s">
        <v>1271</v>
      </c>
      <c r="D96" s="460" t="s">
        <v>1268</v>
      </c>
      <c r="E96" s="440" t="str">
        <f>IF(ISBLANK('RESUMEN VIGILANCIA'!D90),"",'RESUMEN VIGILANCIA'!D90)</f>
        <v/>
      </c>
      <c r="F96" s="270">
        <f>IF(ISBLANK('RESUMEN VIGILANCIA'!E90),"",'RESUMEN VIGILANCIA'!E90)</f>
        <v>0.16999999999999998</v>
      </c>
      <c r="G96" s="182">
        <f>IF(ISBLANK('RESUMEN VIGILANCIA'!F90),"",'RESUMEN VIGILANCIA'!F90)</f>
        <v>0.16999999999999998</v>
      </c>
      <c r="H96" s="182">
        <f>IF(ISBLANK('RESUMEN VIGILANCIA'!G90),"",'RESUMEN VIGILANCIA'!G90)</f>
        <v>0.17</v>
      </c>
      <c r="I96" s="182">
        <f>IF(ISBLANK('RESUMEN VIGILANCIA'!H90),"",'RESUMEN VIGILANCIA'!H90)</f>
        <v>0.17</v>
      </c>
      <c r="J96" s="182">
        <f>IF(ISBLANK('RESUMEN VIGILANCIA'!I90),"",'RESUMEN VIGILANCIA'!I90)</f>
        <v>0.26</v>
      </c>
      <c r="K96" s="182">
        <f>IF(ISBLANK('RESUMEN VIGILANCIA'!J90),"",'RESUMEN VIGILANCIA'!J90)</f>
        <v>0.26</v>
      </c>
      <c r="L96" s="182">
        <f>IF(ISBLANK('RESUMEN VIGILANCIA'!K90),"",'RESUMEN VIGILANCIA'!K90)</f>
        <v>0.35</v>
      </c>
      <c r="M96" s="182">
        <f>IF(ISBLANK('RESUMEN VIGILANCIA'!L90),"",'RESUMEN VIGILANCIA'!L90)</f>
        <v>0.35</v>
      </c>
      <c r="N96" s="182" t="str">
        <f>IF(ISBLANK('RESUMEN VIGILANCIA'!M90),"",'RESUMEN VIGILANCIA'!M90)</f>
        <v>- - -</v>
      </c>
      <c r="O96" s="182" t="str">
        <f>IF(ISBLANK('RESUMEN VIGILANCIA'!N90),"",'RESUMEN VIGILANCIA'!N90)</f>
        <v>- - -</v>
      </c>
      <c r="P96" s="271" t="str">
        <f>IF(ISBLANK('RESUMEN VIGILANCIA'!O90),"",'RESUMEN VIGILANCIA'!O90)</f>
        <v>- - -</v>
      </c>
      <c r="Q96" s="180" t="str">
        <f>IF(ISBLANK('RESUMEN VIGILANCIA'!P90),"",'RESUMEN VIGILANCIA'!P90)</f>
        <v>- - -</v>
      </c>
      <c r="R96" s="272">
        <f>IF(ISBLANK('RESUMEN VIGILANCIA'!Q90),"",'RESUMEN VIGILANCIA'!Q90)</f>
        <v>0.75</v>
      </c>
      <c r="S96" s="271">
        <f>IF(ISBLANK('RESUMEN VIGILANCIA'!R90),"",'RESUMEN VIGILANCIA'!R90)</f>
        <v>0.75</v>
      </c>
      <c r="T96" s="271">
        <f>IF(ISBLANK('RESUMEN VIGILANCIA'!S90),"",'RESUMEN VIGILANCIA'!S90)</f>
        <v>1</v>
      </c>
      <c r="U96" s="271">
        <f>IF(ISBLANK('RESUMEN VIGILANCIA'!T90),"",'RESUMEN VIGILANCIA'!T90)</f>
        <v>1</v>
      </c>
      <c r="V96" s="271">
        <f>IF(ISBLANK('RESUMEN VIGILANCIA'!U90),"",'RESUMEN VIGILANCIA'!U90)</f>
        <v>1</v>
      </c>
      <c r="W96" s="271">
        <f>IF(ISBLANK('RESUMEN VIGILANCIA'!V90),"",'RESUMEN VIGILANCIA'!V90)</f>
        <v>6</v>
      </c>
      <c r="X96" s="271">
        <f>IF(ISBLANK('RESUMEN VIGILANCIA'!W90),"",'RESUMEN VIGILANCIA'!W90)</f>
        <v>6</v>
      </c>
      <c r="Y96" s="271">
        <f>IF(ISBLANK('RESUMEN VIGILANCIA'!X90),"",'RESUMEN VIGILANCIA'!X90)</f>
        <v>12</v>
      </c>
      <c r="Z96" s="481">
        <f>IF(ISBLANK('RESUMEN VIGILANCIA'!Y90),"",'RESUMEN VIGILANCIA'!Y90)</f>
        <v>320</v>
      </c>
      <c r="AA96" s="481">
        <f>IF(ISBLANK('RESUMEN VIGILANCIA'!Z90),"",'RESUMEN VIGILANCIA'!Z90)</f>
        <v>268</v>
      </c>
      <c r="AB96" s="481">
        <f>IF(ISBLANK('RESUMEN VIGILANCIA'!AA90),"",'RESUMEN VIGILANCIA'!AA90)</f>
        <v>320</v>
      </c>
      <c r="AC96" s="482">
        <f>IF(ISBLANK('RESUMEN VIGILANCIA'!AB90),"",'RESUMEN VIGILANCIA'!AB90)</f>
        <v>680</v>
      </c>
      <c r="AD96" s="399">
        <f>IF(ISBLANK('RESUMEN VIGILANCIA'!AC90),"",'RESUMEN VIGILANCIA'!AC90)</f>
        <v>2000</v>
      </c>
      <c r="AE96" s="400">
        <f>IF(ISBLANK('RESUMEN VIGILANCIA'!AD90),"",'RESUMEN VIGILANCIA'!AD90)</f>
        <v>2000</v>
      </c>
      <c r="AF96" s="400">
        <f>IF(ISBLANK('RESUMEN VIGILANCIA'!AE90),"",'RESUMEN VIGILANCIA'!AE90)</f>
        <v>3000</v>
      </c>
      <c r="AG96" s="400">
        <f>IF(ISBLANK('RESUMEN VIGILANCIA'!AF90),"",'RESUMEN VIGILANCIA'!AF90)</f>
        <v>3000</v>
      </c>
      <c r="AH96" s="400">
        <f>IF(ISBLANK('RESUMEN VIGILANCIA'!AG90),"",'RESUMEN VIGILANCIA'!AG90)</f>
        <v>8000</v>
      </c>
      <c r="AI96" s="400">
        <f>IF(ISBLANK('RESUMEN VIGILANCIA'!AH90),"",'RESUMEN VIGILANCIA'!AH90)</f>
        <v>8000</v>
      </c>
      <c r="AJ96" s="400">
        <f>IF(ISBLANK('RESUMEN VIGILANCIA'!AI90),"",'RESUMEN VIGILANCIA'!AI90)</f>
        <v>10000</v>
      </c>
      <c r="AK96" s="400">
        <f>IF(ISBLANK('RESUMEN VIGILANCIA'!AJ90),"",'RESUMEN VIGILANCIA'!AJ90)</f>
        <v>10000</v>
      </c>
      <c r="AL96" s="400">
        <f>IF(ISBLANK('RESUMEN VIGILANCIA'!AK90),"",'RESUMEN VIGILANCIA'!AK90)</f>
        <v>21100</v>
      </c>
      <c r="AM96" s="400">
        <f>IF(ISBLANK('RESUMEN VIGILANCIA'!AL90),"",'RESUMEN VIGILANCIA'!AL90)</f>
        <v>32500</v>
      </c>
      <c r="AN96" s="400">
        <f>IF(ISBLANK('RESUMEN VIGILANCIA'!AM90),"",'RESUMEN VIGILANCIA'!AM90)</f>
        <v>32500</v>
      </c>
      <c r="AO96" s="401">
        <f>IF(ISBLANK('RESUMEN VIGILANCIA'!AN90),"",'RESUMEN VIGILANCIA'!AN90)</f>
        <v>32500</v>
      </c>
      <c r="AP96" s="399">
        <f>IF(ISBLANK('RESUMEN VIGILANCIA'!AO90),"",'RESUMEN VIGILANCIA'!AO90)</f>
        <v>136250</v>
      </c>
      <c r="AQ96" s="400">
        <f>IF(ISBLANK('RESUMEN VIGILANCIA'!AP90),"",'RESUMEN VIGILANCIA'!AP90)</f>
        <v>8750</v>
      </c>
      <c r="AR96" s="400" t="str">
        <f>IF(ISBLANK('RESUMEN VIGILANCIA'!AQ90),"",'RESUMEN VIGILANCIA'!AQ90)</f>
        <v/>
      </c>
      <c r="AS96" s="400" t="str">
        <f>IF(ISBLANK('RESUMEN VIGILANCIA'!AR90),"",'RESUMEN VIGILANCIA'!AR90)</f>
        <v/>
      </c>
      <c r="AT96" s="400" t="str">
        <f>IF(ISBLANK('RESUMEN VIGILANCIA'!AS90),"",'RESUMEN VIGILANCIA'!AS90)</f>
        <v/>
      </c>
      <c r="AU96" s="400" t="str">
        <f>IF(ISBLANK('RESUMEN VIGILANCIA'!AT90),"",'RESUMEN VIGILANCIA'!AT90)</f>
        <v/>
      </c>
      <c r="AV96" s="400" t="str">
        <f>IF(ISBLANK('RESUMEN VIGILANCIA'!AU90),"",'RESUMEN VIGILANCIA'!AU90)</f>
        <v/>
      </c>
      <c r="AW96" s="400" t="str">
        <f>IF(ISBLANK('RESUMEN VIGILANCIA'!AV90),"",'RESUMEN VIGILANCIA'!AV90)</f>
        <v/>
      </c>
      <c r="AX96" s="400" t="str">
        <f>IF(ISBLANK('RESUMEN VIGILANCIA'!AW90),"",'RESUMEN VIGILANCIA'!AW90)</f>
        <v/>
      </c>
      <c r="AY96" s="400" t="str">
        <f>IF(ISBLANK('RESUMEN VIGILANCIA'!AX90),"",'RESUMEN VIGILANCIA'!AX90)</f>
        <v/>
      </c>
      <c r="AZ96" s="400" t="str">
        <f>IF(ISBLANK('RESUMEN VIGILANCIA'!AY90),"",'RESUMEN VIGILANCIA'!AY90)</f>
        <v/>
      </c>
      <c r="BA96" s="401" t="str">
        <f>IF(ISBLANK('RESUMEN VIGILANCIA'!AZ90),"",'RESUMEN VIGILANCIA'!AZ90)</f>
        <v/>
      </c>
      <c r="BB96" s="243">
        <f t="shared" si="4"/>
        <v>166218.4</v>
      </c>
      <c r="BC96" s="112"/>
      <c r="BD96" s="112"/>
    </row>
    <row r="97" spans="1:56" s="29" customFormat="1" ht="20.100000000000001" customHeight="1" x14ac:dyDescent="0.25">
      <c r="A97" s="33" t="str">
        <f>'RESUMEN VIGILANCIA'!A91</f>
        <v>Familia Gascón Domínguez</v>
      </c>
      <c r="B97" s="34" t="str">
        <f>'RESUMEN VIGILANCIA'!B91</f>
        <v>Calle Güigüe Nro. 88-70</v>
      </c>
      <c r="C97" s="453" t="s">
        <v>1269</v>
      </c>
      <c r="D97" s="459" t="s">
        <v>17</v>
      </c>
      <c r="E97" s="444" t="str">
        <f>IF(ISBLANK('RESUMEN VIGILANCIA'!D91),"",'RESUMEN VIGILANCIA'!D91)</f>
        <v/>
      </c>
      <c r="F97" s="367">
        <f>IF(ISBLANK('RESUMEN VIGILANCIA'!E91),"",'RESUMEN VIGILANCIA'!E91)</f>
        <v>0.1</v>
      </c>
      <c r="G97" s="305">
        <f>IF(ISBLANK('RESUMEN VIGILANCIA'!F91),"",'RESUMEN VIGILANCIA'!F91)</f>
        <v>0.1</v>
      </c>
      <c r="H97" s="305">
        <f>IF(ISBLANK('RESUMEN VIGILANCIA'!G91),"",'RESUMEN VIGILANCIA'!G91)</f>
        <v>0.1</v>
      </c>
      <c r="I97" s="305">
        <f>IF(ISBLANK('RESUMEN VIGILANCIA'!H91),"",'RESUMEN VIGILANCIA'!H91)</f>
        <v>0.17</v>
      </c>
      <c r="J97" s="305">
        <f>IF(ISBLANK('RESUMEN VIGILANCIA'!I91),"",'RESUMEN VIGILANCIA'!I91)</f>
        <v>0.26</v>
      </c>
      <c r="K97" s="305">
        <f>IF(ISBLANK('RESUMEN VIGILANCIA'!J91),"",'RESUMEN VIGILANCIA'!J91)</f>
        <v>0.26</v>
      </c>
      <c r="L97" s="305">
        <f>IF(ISBLANK('RESUMEN VIGILANCIA'!K91),"",'RESUMEN VIGILANCIA'!K91)</f>
        <v>0.35</v>
      </c>
      <c r="M97" s="305">
        <f>IF(ISBLANK('RESUMEN VIGILANCIA'!L91),"",'RESUMEN VIGILANCIA'!L91)</f>
        <v>0.35</v>
      </c>
      <c r="N97" s="305">
        <f>IF(ISBLANK('RESUMEN VIGILANCIA'!M91),"",'RESUMEN VIGILANCIA'!M91)</f>
        <v>0.35</v>
      </c>
      <c r="O97" s="305">
        <f>IF(ISBLANK('RESUMEN VIGILANCIA'!N91),"",'RESUMEN VIGILANCIA'!N91)</f>
        <v>0.35</v>
      </c>
      <c r="P97" s="273">
        <f>IF(ISBLANK('RESUMEN VIGILANCIA'!O91),"",'RESUMEN VIGILANCIA'!O91)</f>
        <v>0.5</v>
      </c>
      <c r="Q97" s="366">
        <f>IF(ISBLANK('RESUMEN VIGILANCIA'!P91),"",'RESUMEN VIGILANCIA'!P91)</f>
        <v>0.5</v>
      </c>
      <c r="R97" s="347">
        <f>IF(ISBLANK('RESUMEN VIGILANCIA'!Q91),"",'RESUMEN VIGILANCIA'!Q91)</f>
        <v>0.8</v>
      </c>
      <c r="S97" s="273">
        <f>IF(ISBLANK('RESUMEN VIGILANCIA'!R91),"",'RESUMEN VIGILANCIA'!R91)</f>
        <v>0.8</v>
      </c>
      <c r="T97" s="273">
        <f>IF(ISBLANK('RESUMEN VIGILANCIA'!S91),"",'RESUMEN VIGILANCIA'!S91)</f>
        <v>1.4</v>
      </c>
      <c r="U97" s="273">
        <f>IF(ISBLANK('RESUMEN VIGILANCIA'!T91),"",'RESUMEN VIGILANCIA'!T91)</f>
        <v>1.4</v>
      </c>
      <c r="V97" s="273">
        <f>IF(ISBLANK('RESUMEN VIGILANCIA'!U91),"",'RESUMEN VIGILANCIA'!U91)</f>
        <v>4</v>
      </c>
      <c r="W97" s="273">
        <f>IF(ISBLANK('RESUMEN VIGILANCIA'!V91),"",'RESUMEN VIGILANCIA'!V91)</f>
        <v>6.25</v>
      </c>
      <c r="X97" s="273">
        <f>IF(ISBLANK('RESUMEN VIGILANCIA'!W91),"",'RESUMEN VIGILANCIA'!W91)</f>
        <v>10</v>
      </c>
      <c r="Y97" s="273">
        <f>IF(ISBLANK('RESUMEN VIGILANCIA'!X91),"",'RESUMEN VIGILANCIA'!X91)</f>
        <v>12</v>
      </c>
      <c r="Z97" s="484">
        <f>IF(ISBLANK('RESUMEN VIGILANCIA'!Y91),"",'RESUMEN VIGILANCIA'!Y91)</f>
        <v>320</v>
      </c>
      <c r="AA97" s="484">
        <f>IF(ISBLANK('RESUMEN VIGILANCIA'!Z91),"",'RESUMEN VIGILANCIA'!Z91)</f>
        <v>320</v>
      </c>
      <c r="AB97" s="484">
        <f>IF(ISBLANK('RESUMEN VIGILANCIA'!AA91),"",'RESUMEN VIGILANCIA'!AA91)</f>
        <v>320</v>
      </c>
      <c r="AC97" s="483">
        <f>IF(ISBLANK('RESUMEN VIGILANCIA'!AB91),"",'RESUMEN VIGILANCIA'!AB91)</f>
        <v>800</v>
      </c>
      <c r="AD97" s="404">
        <f>IF(ISBLANK('RESUMEN VIGILANCIA'!AC91),"",'RESUMEN VIGILANCIA'!AC91)</f>
        <v>3000</v>
      </c>
      <c r="AE97" s="405">
        <f>IF(ISBLANK('RESUMEN VIGILANCIA'!AD91),"",'RESUMEN VIGILANCIA'!AD91)</f>
        <v>3000</v>
      </c>
      <c r="AF97" s="405">
        <f>IF(ISBLANK('RESUMEN VIGILANCIA'!AE91),"",'RESUMEN VIGILANCIA'!AE91)</f>
        <v>3000</v>
      </c>
      <c r="AG97" s="405">
        <f>IF(ISBLANK('RESUMEN VIGILANCIA'!AF91),"",'RESUMEN VIGILANCIA'!AF91)</f>
        <v>5000</v>
      </c>
      <c r="AH97" s="405">
        <f>IF(ISBLANK('RESUMEN VIGILANCIA'!AG91),"",'RESUMEN VIGILANCIA'!AG91)</f>
        <v>8000</v>
      </c>
      <c r="AI97" s="405">
        <f>IF(ISBLANK('RESUMEN VIGILANCIA'!AH91),"",'RESUMEN VIGILANCIA'!AH91)</f>
        <v>8000</v>
      </c>
      <c r="AJ97" s="405">
        <f>IF(ISBLANK('RESUMEN VIGILANCIA'!AI91),"",'RESUMEN VIGILANCIA'!AI91)</f>
        <v>10000</v>
      </c>
      <c r="AK97" s="405">
        <f>IF(ISBLANK('RESUMEN VIGILANCIA'!AJ91),"",'RESUMEN VIGILANCIA'!AJ91)</f>
        <v>10000</v>
      </c>
      <c r="AL97" s="405">
        <f>IF(ISBLANK('RESUMEN VIGILANCIA'!AK91),"",'RESUMEN VIGILANCIA'!AK91)</f>
        <v>21600</v>
      </c>
      <c r="AM97" s="405">
        <f>IF(ISBLANK('RESUMEN VIGILANCIA'!AL91),"",'RESUMEN VIGILANCIA'!AL91)</f>
        <v>51250</v>
      </c>
      <c r="AN97" s="405">
        <f>IF(ISBLANK('RESUMEN VIGILANCIA'!AM91),"",'RESUMEN VIGILANCIA'!AM91)</f>
        <v>64500</v>
      </c>
      <c r="AO97" s="410">
        <f>IF(ISBLANK('RESUMEN VIGILANCIA'!AN91),"",'RESUMEN VIGILANCIA'!AN91)</f>
        <v>105250</v>
      </c>
      <c r="AP97" s="404">
        <f>IF(ISBLANK('RESUMEN VIGILANCIA'!AO91),"",'RESUMEN VIGILANCIA'!AO91)</f>
        <v>136250</v>
      </c>
      <c r="AQ97" s="405">
        <f>IF(ISBLANK('RESUMEN VIGILANCIA'!AP91),"",'RESUMEN VIGILANCIA'!AP91)</f>
        <v>136250</v>
      </c>
      <c r="AR97" s="405">
        <f>IF(ISBLANK('RESUMEN VIGILANCIA'!AQ91),"",'RESUMEN VIGILANCIA'!AQ91)</f>
        <v>185250</v>
      </c>
      <c r="AS97" s="405" t="str">
        <f>IF(ISBLANK('RESUMEN VIGILANCIA'!AR91),"",'RESUMEN VIGILANCIA'!AR91)</f>
        <v/>
      </c>
      <c r="AT97" s="405" t="str">
        <f>IF(ISBLANK('RESUMEN VIGILANCIA'!AS91),"",'RESUMEN VIGILANCIA'!AS91)</f>
        <v/>
      </c>
      <c r="AU97" s="405" t="str">
        <f>IF(ISBLANK('RESUMEN VIGILANCIA'!AT91),"",'RESUMEN VIGILANCIA'!AT91)</f>
        <v/>
      </c>
      <c r="AV97" s="405" t="str">
        <f>IF(ISBLANK('RESUMEN VIGILANCIA'!AU91),"",'RESUMEN VIGILANCIA'!AU91)</f>
        <v/>
      </c>
      <c r="AW97" s="405" t="str">
        <f>IF(ISBLANK('RESUMEN VIGILANCIA'!AV91),"",'RESUMEN VIGILANCIA'!AV91)</f>
        <v/>
      </c>
      <c r="AX97" s="405" t="str">
        <f>IF(ISBLANK('RESUMEN VIGILANCIA'!AW91),"",'RESUMEN VIGILANCIA'!AW91)</f>
        <v/>
      </c>
      <c r="AY97" s="405" t="str">
        <f>IF(ISBLANK('RESUMEN VIGILANCIA'!AX91),"",'RESUMEN VIGILANCIA'!AX91)</f>
        <v/>
      </c>
      <c r="AZ97" s="405" t="str">
        <f>IF(ISBLANK('RESUMEN VIGILANCIA'!AY91),"",'RESUMEN VIGILANCIA'!AY91)</f>
        <v/>
      </c>
      <c r="BA97" s="410" t="str">
        <f>IF(ISBLANK('RESUMEN VIGILANCIA'!AZ91),"",'RESUMEN VIGILANCIA'!AZ91)</f>
        <v/>
      </c>
      <c r="BB97" s="368">
        <f t="shared" si="4"/>
        <v>294400.04000000004</v>
      </c>
      <c r="BC97" s="369"/>
      <c r="BD97" s="369"/>
    </row>
    <row r="98" spans="1:56" s="29" customFormat="1" ht="20.100000000000001" customHeight="1" x14ac:dyDescent="0.25">
      <c r="A98" s="33" t="str">
        <f>'RESUMEN VIGILANCIA'!A93</f>
        <v>Zoraida Khair</v>
      </c>
      <c r="B98" s="34" t="str">
        <f>'RESUMEN VIGILANCIA'!B93</f>
        <v>Calle Güigüe Nro. 88-80</v>
      </c>
      <c r="C98" s="451" t="s">
        <v>1271</v>
      </c>
      <c r="D98" s="461" t="s">
        <v>1268</v>
      </c>
      <c r="E98" s="439" t="str">
        <f>IF(ISBLANK('RESUMEN VIGILANCIA'!D93),"",'RESUMEN VIGILANCIA'!D93)</f>
        <v/>
      </c>
      <c r="F98" s="267" t="str">
        <f>IF(ISBLANK('RESUMEN VIGILANCIA'!E93),"",'RESUMEN VIGILANCIA'!E93)</f>
        <v/>
      </c>
      <c r="G98" s="189">
        <f>IF(ISBLANK('RESUMEN VIGILANCIA'!F93),"",'RESUMEN VIGILANCIA'!F93)</f>
        <v>0.06</v>
      </c>
      <c r="H98" s="189" t="str">
        <f>IF(ISBLANK('RESUMEN VIGILANCIA'!G93),"",'RESUMEN VIGILANCIA'!G93)</f>
        <v/>
      </c>
      <c r="I98" s="189" t="str">
        <f>IF(ISBLANK('RESUMEN VIGILANCIA'!H93),"",'RESUMEN VIGILANCIA'!H93)</f>
        <v/>
      </c>
      <c r="J98" s="189">
        <f>IF(ISBLANK('RESUMEN VIGILANCIA'!I93),"",'RESUMEN VIGILANCIA'!I93)</f>
        <v>0.1</v>
      </c>
      <c r="K98" s="189">
        <f>IF(ISBLANK('RESUMEN VIGILANCIA'!J93),"",'RESUMEN VIGILANCIA'!J93)</f>
        <v>0.25</v>
      </c>
      <c r="L98" s="189">
        <f>IF(ISBLANK('RESUMEN VIGILANCIA'!K93),"",'RESUMEN VIGILANCIA'!K93)</f>
        <v>0.25</v>
      </c>
      <c r="M98" s="189">
        <f>IF(ISBLANK('RESUMEN VIGILANCIA'!L93),"",'RESUMEN VIGILANCIA'!L93)</f>
        <v>0.25</v>
      </c>
      <c r="N98" s="189">
        <f>IF(ISBLANK('RESUMEN VIGILANCIA'!M93),"",'RESUMEN VIGILANCIA'!M93)</f>
        <v>0.25</v>
      </c>
      <c r="O98" s="189">
        <f>IF(ISBLANK('RESUMEN VIGILANCIA'!N93),"",'RESUMEN VIGILANCIA'!N93)</f>
        <v>0.4</v>
      </c>
      <c r="P98" s="268">
        <f>IF(ISBLANK('RESUMEN VIGILANCIA'!O93),"",'RESUMEN VIGILANCIA'!O93)</f>
        <v>0.4</v>
      </c>
      <c r="Q98" s="187">
        <f>IF(ISBLANK('RESUMEN VIGILANCIA'!P93),"",'RESUMEN VIGILANCIA'!P93)</f>
        <v>0.4</v>
      </c>
      <c r="R98" s="269">
        <f>IF(ISBLANK('RESUMEN VIGILANCIA'!Q93),"",'RESUMEN VIGILANCIA'!Q93)</f>
        <v>1</v>
      </c>
      <c r="S98" s="268">
        <f>IF(ISBLANK('RESUMEN VIGILANCIA'!R93),"",'RESUMEN VIGILANCIA'!R93)</f>
        <v>1</v>
      </c>
      <c r="T98" s="268">
        <f>IF(ISBLANK('RESUMEN VIGILANCIA'!S93),"",'RESUMEN VIGILANCIA'!S93)</f>
        <v>1</v>
      </c>
      <c r="U98" s="268">
        <f>IF(ISBLANK('RESUMEN VIGILANCIA'!T93),"",'RESUMEN VIGILANCIA'!T93)</f>
        <v>1</v>
      </c>
      <c r="V98" s="268">
        <f>IF(ISBLANK('RESUMEN VIGILANCIA'!U93),"",'RESUMEN VIGILANCIA'!U93)</f>
        <v>4</v>
      </c>
      <c r="W98" s="268">
        <f>IF(ISBLANK('RESUMEN VIGILANCIA'!V93),"",'RESUMEN VIGILANCIA'!V93)</f>
        <v>6.25</v>
      </c>
      <c r="X98" s="268">
        <f>IF(ISBLANK('RESUMEN VIGILANCIA'!W93),"",'RESUMEN VIGILANCIA'!W93)</f>
        <v>10</v>
      </c>
      <c r="Y98" s="268">
        <f>IF(ISBLANK('RESUMEN VIGILANCIA'!X93),"",'RESUMEN VIGILANCIA'!X93)</f>
        <v>12</v>
      </c>
      <c r="Z98" s="485">
        <f>IF(ISBLANK('RESUMEN VIGILANCIA'!Y93),"",'RESUMEN VIGILANCIA'!Y93)</f>
        <v>320</v>
      </c>
      <c r="AA98" s="485">
        <f>IF(ISBLANK('RESUMEN VIGILANCIA'!Z93),"",'RESUMEN VIGILANCIA'!Z93)</f>
        <v>320</v>
      </c>
      <c r="AB98" s="485">
        <f>IF(ISBLANK('RESUMEN VIGILANCIA'!AA93),"",'RESUMEN VIGILANCIA'!AA93)</f>
        <v>320</v>
      </c>
      <c r="AC98" s="486">
        <f>IF(ISBLANK('RESUMEN VIGILANCIA'!AB93),"",'RESUMEN VIGILANCIA'!AB93)</f>
        <v>800</v>
      </c>
      <c r="AD98" s="396">
        <f>IF(ISBLANK('RESUMEN VIGILANCIA'!AC93),"",'RESUMEN VIGILANCIA'!AC93)</f>
        <v>3000</v>
      </c>
      <c r="AE98" s="397">
        <f>IF(ISBLANK('RESUMEN VIGILANCIA'!AD93),"",'RESUMEN VIGILANCIA'!AD93)</f>
        <v>3000</v>
      </c>
      <c r="AF98" s="397">
        <f>IF(ISBLANK('RESUMEN VIGILANCIA'!AE93),"",'RESUMEN VIGILANCIA'!AE93)</f>
        <v>2365.5500000000002</v>
      </c>
      <c r="AG98" s="397">
        <f>IF(ISBLANK('RESUMEN VIGILANCIA'!AF93),"",'RESUMEN VIGILANCIA'!AF93)</f>
        <v>5000</v>
      </c>
      <c r="AH98" s="397">
        <f>IF(ISBLANK('RESUMEN VIGILANCIA'!AG93),"",'RESUMEN VIGILANCIA'!AG93)</f>
        <v>8000</v>
      </c>
      <c r="AI98" s="397">
        <f>IF(ISBLANK('RESUMEN VIGILANCIA'!AH93),"",'RESUMEN VIGILANCIA'!AH93)</f>
        <v>8000</v>
      </c>
      <c r="AJ98" s="397">
        <f>IF(ISBLANK('RESUMEN VIGILANCIA'!AI93),"",'RESUMEN VIGILANCIA'!AI93)</f>
        <v>8000</v>
      </c>
      <c r="AK98" s="397">
        <f>IF(ISBLANK('RESUMEN VIGILANCIA'!AJ93),"",'RESUMEN VIGILANCIA'!AJ93)</f>
        <v>10000</v>
      </c>
      <c r="AL98" s="397">
        <f>IF(ISBLANK('RESUMEN VIGILANCIA'!AK93),"",'RESUMEN VIGILANCIA'!AK93)</f>
        <v>23000</v>
      </c>
      <c r="AM98" s="397">
        <f>IF(ISBLANK('RESUMEN VIGILANCIA'!AL93),"",'RESUMEN VIGILANCIA'!AL93)</f>
        <v>51250</v>
      </c>
      <c r="AN98" s="397">
        <f>IF(ISBLANK('RESUMEN VIGILANCIA'!AM93),"",'RESUMEN VIGILANCIA'!AM93)</f>
        <v>52000</v>
      </c>
      <c r="AO98" s="398">
        <f>IF(ISBLANK('RESUMEN VIGILANCIA'!AN93),"",'RESUMEN VIGILANCIA'!AN93)</f>
        <v>40000</v>
      </c>
      <c r="AP98" s="396">
        <f>IF(ISBLANK('RESUMEN VIGILANCIA'!AO93),"",'RESUMEN VIGILANCIA'!AO93)</f>
        <v>137000</v>
      </c>
      <c r="AQ98" s="397">
        <f>IF(ISBLANK('RESUMEN VIGILANCIA'!AP93),"",'RESUMEN VIGILANCIA'!AP93)</f>
        <v>185250</v>
      </c>
      <c r="AR98" s="397" t="str">
        <f>IF(ISBLANK('RESUMEN VIGILANCIA'!AQ93),"",'RESUMEN VIGILANCIA'!AQ93)</f>
        <v/>
      </c>
      <c r="AS98" s="397" t="str">
        <f>IF(ISBLANK('RESUMEN VIGILANCIA'!AR93),"",'RESUMEN VIGILANCIA'!AR93)</f>
        <v/>
      </c>
      <c r="AT98" s="397" t="str">
        <f>IF(ISBLANK('RESUMEN VIGILANCIA'!AS93),"",'RESUMEN VIGILANCIA'!AS93)</f>
        <v/>
      </c>
      <c r="AU98" s="397" t="str">
        <f>IF(ISBLANK('RESUMEN VIGILANCIA'!AT93),"",'RESUMEN VIGILANCIA'!AT93)</f>
        <v/>
      </c>
      <c r="AV98" s="397" t="str">
        <f>IF(ISBLANK('RESUMEN VIGILANCIA'!AU93),"",'RESUMEN VIGILANCIA'!AU93)</f>
        <v/>
      </c>
      <c r="AW98" s="397" t="str">
        <f>IF(ISBLANK('RESUMEN VIGILANCIA'!AV93),"",'RESUMEN VIGILANCIA'!AV93)</f>
        <v/>
      </c>
      <c r="AX98" s="397" t="str">
        <f>IF(ISBLANK('RESUMEN VIGILANCIA'!AW93),"",'RESUMEN VIGILANCIA'!AW93)</f>
        <v/>
      </c>
      <c r="AY98" s="397" t="str">
        <f>IF(ISBLANK('RESUMEN VIGILANCIA'!AX93),"",'RESUMEN VIGILANCIA'!AX93)</f>
        <v/>
      </c>
      <c r="AZ98" s="397" t="str">
        <f>IF(ISBLANK('RESUMEN VIGILANCIA'!AY93),"",'RESUMEN VIGILANCIA'!AY93)</f>
        <v/>
      </c>
      <c r="BA98" s="398" t="str">
        <f>IF(ISBLANK('RESUMEN VIGILANCIA'!AZ93),"",'RESUMEN VIGILANCIA'!AZ93)</f>
        <v/>
      </c>
      <c r="BB98" s="242">
        <f t="shared" si="4"/>
        <v>215414.16</v>
      </c>
      <c r="BC98" s="111"/>
      <c r="BD98" s="111"/>
    </row>
    <row r="99" spans="1:56" s="29" customFormat="1" ht="20.100000000000001" customHeight="1" x14ac:dyDescent="0.25">
      <c r="A99" s="30" t="str">
        <f>'RESUMEN VIGILANCIA'!A94</f>
        <v>Familia Matta Palomino</v>
      </c>
      <c r="B99" s="31" t="str">
        <f>'RESUMEN VIGILANCIA'!B94</f>
        <v>Calle Güigüe Nro. 88-90</v>
      </c>
      <c r="C99" s="452" t="s">
        <v>1269</v>
      </c>
      <c r="D99" s="460" t="s">
        <v>1268</v>
      </c>
      <c r="E99" s="440" t="str">
        <f>IF(ISBLANK('RESUMEN VIGILANCIA'!D94),"",'RESUMEN VIGILANCIA'!D94)</f>
        <v/>
      </c>
      <c r="F99" s="270">
        <f>IF(ISBLANK('RESUMEN VIGILANCIA'!E94),"",'RESUMEN VIGILANCIA'!E94)</f>
        <v>0.17</v>
      </c>
      <c r="G99" s="182">
        <f>IF(ISBLANK('RESUMEN VIGILANCIA'!F94),"",'RESUMEN VIGILANCIA'!F94)</f>
        <v>0.17</v>
      </c>
      <c r="H99" s="183">
        <f>IF(ISBLANK('RESUMEN VIGILANCIA'!G94),"",'RESUMEN VIGILANCIA'!G94)</f>
        <v>0.16</v>
      </c>
      <c r="I99" s="183">
        <f>IF(ISBLANK('RESUMEN VIGILANCIA'!H94),"",'RESUMEN VIGILANCIA'!H94)</f>
        <v>0.16</v>
      </c>
      <c r="J99" s="182">
        <f>IF(ISBLANK('RESUMEN VIGILANCIA'!I94),"",'RESUMEN VIGILANCIA'!I94)</f>
        <v>0.26</v>
      </c>
      <c r="K99" s="182">
        <f>IF(ISBLANK('RESUMEN VIGILANCIA'!J94),"",'RESUMEN VIGILANCIA'!J94)</f>
        <v>0.26</v>
      </c>
      <c r="L99" s="182">
        <f>IF(ISBLANK('RESUMEN VIGILANCIA'!K94),"",'RESUMEN VIGILANCIA'!K94)</f>
        <v>0.35</v>
      </c>
      <c r="M99" s="182">
        <f>IF(ISBLANK('RESUMEN VIGILANCIA'!L94),"",'RESUMEN VIGILANCIA'!L94)</f>
        <v>0.35</v>
      </c>
      <c r="N99" s="182">
        <f>IF(ISBLANK('RESUMEN VIGILANCIA'!M94),"",'RESUMEN VIGILANCIA'!M94)</f>
        <v>0.35000000000000003</v>
      </c>
      <c r="O99" s="182">
        <f>IF(ISBLANK('RESUMEN VIGILANCIA'!N94),"",'RESUMEN VIGILANCIA'!N94)</f>
        <v>0.35</v>
      </c>
      <c r="P99" s="271">
        <f>IF(ISBLANK('RESUMEN VIGILANCIA'!O94),"",'RESUMEN VIGILANCIA'!O94)</f>
        <v>0.5</v>
      </c>
      <c r="Q99" s="180">
        <f>IF(ISBLANK('RESUMEN VIGILANCIA'!P94),"",'RESUMEN VIGILANCIA'!P94)</f>
        <v>0.5</v>
      </c>
      <c r="R99" s="272">
        <f>IF(ISBLANK('RESUMEN VIGILANCIA'!Q94),"",'RESUMEN VIGILANCIA'!Q94)</f>
        <v>0.8</v>
      </c>
      <c r="S99" s="271">
        <f>IF(ISBLANK('RESUMEN VIGILANCIA'!R94),"",'RESUMEN VIGILANCIA'!R94)</f>
        <v>0.8</v>
      </c>
      <c r="T99" s="271">
        <f>IF(ISBLANK('RESUMEN VIGILANCIA'!S94),"",'RESUMEN VIGILANCIA'!S94)</f>
        <v>1.4</v>
      </c>
      <c r="U99" s="271">
        <f>IF(ISBLANK('RESUMEN VIGILANCIA'!T94),"",'RESUMEN VIGILANCIA'!T94)</f>
        <v>1.4</v>
      </c>
      <c r="V99" s="271">
        <f>IF(ISBLANK('RESUMEN VIGILANCIA'!U94),"",'RESUMEN VIGILANCIA'!U94)</f>
        <v>4</v>
      </c>
      <c r="W99" s="271">
        <f>IF(ISBLANK('RESUMEN VIGILANCIA'!V94),"",'RESUMEN VIGILANCIA'!V94)</f>
        <v>6.25</v>
      </c>
      <c r="X99" s="271">
        <f>IF(ISBLANK('RESUMEN VIGILANCIA'!W94),"",'RESUMEN VIGILANCIA'!W94)</f>
        <v>10</v>
      </c>
      <c r="Y99" s="271">
        <f>IF(ISBLANK('RESUMEN VIGILANCIA'!X94),"",'RESUMEN VIGILANCIA'!X94)</f>
        <v>12</v>
      </c>
      <c r="Z99" s="481">
        <f>IF(ISBLANK('RESUMEN VIGILANCIA'!Y94),"",'RESUMEN VIGILANCIA'!Y94)</f>
        <v>320</v>
      </c>
      <c r="AA99" s="481">
        <f>IF(ISBLANK('RESUMEN VIGILANCIA'!Z94),"",'RESUMEN VIGILANCIA'!Z94)</f>
        <v>320</v>
      </c>
      <c r="AB99" s="481">
        <f>IF(ISBLANK('RESUMEN VIGILANCIA'!AA94),"",'RESUMEN VIGILANCIA'!AA94)</f>
        <v>320</v>
      </c>
      <c r="AC99" s="482">
        <f>IF(ISBLANK('RESUMEN VIGILANCIA'!AB94),"",'RESUMEN VIGILANCIA'!AB94)</f>
        <v>800</v>
      </c>
      <c r="AD99" s="399">
        <f>IF(ISBLANK('RESUMEN VIGILANCIA'!AC94),"",'RESUMEN VIGILANCIA'!AC94)</f>
        <v>3000</v>
      </c>
      <c r="AE99" s="400">
        <f>IF(ISBLANK('RESUMEN VIGILANCIA'!AD94),"",'RESUMEN VIGILANCIA'!AD94)</f>
        <v>3000</v>
      </c>
      <c r="AF99" s="400">
        <f>IF(ISBLANK('RESUMEN VIGILANCIA'!AE94),"",'RESUMEN VIGILANCIA'!AE94)</f>
        <v>3000</v>
      </c>
      <c r="AG99" s="400">
        <f>IF(ISBLANK('RESUMEN VIGILANCIA'!AF94),"",'RESUMEN VIGILANCIA'!AF94)</f>
        <v>5000</v>
      </c>
      <c r="AH99" s="400">
        <f>IF(ISBLANK('RESUMEN VIGILANCIA'!AG94),"",'RESUMEN VIGILANCIA'!AG94)</f>
        <v>8000</v>
      </c>
      <c r="AI99" s="400">
        <f>IF(ISBLANK('RESUMEN VIGILANCIA'!AH94),"",'RESUMEN VIGILANCIA'!AH94)</f>
        <v>8000</v>
      </c>
      <c r="AJ99" s="400">
        <f>IF(ISBLANK('RESUMEN VIGILANCIA'!AI94),"",'RESUMEN VIGILANCIA'!AI94)</f>
        <v>10000</v>
      </c>
      <c r="AK99" s="400">
        <f>IF(ISBLANK('RESUMEN VIGILANCIA'!AJ94),"",'RESUMEN VIGILANCIA'!AJ94)</f>
        <v>10000</v>
      </c>
      <c r="AL99" s="400">
        <f>IF(ISBLANK('RESUMEN VIGILANCIA'!AK94),"",'RESUMEN VIGILANCIA'!AK94)</f>
        <v>21100</v>
      </c>
      <c r="AM99" s="400">
        <f>IF(ISBLANK('RESUMEN VIGILANCIA'!AL94),"",'RESUMEN VIGILANCIA'!AL94)</f>
        <v>59800</v>
      </c>
      <c r="AN99" s="400">
        <f>IF(ISBLANK('RESUMEN VIGILANCIA'!AM94),"",'RESUMEN VIGILANCIA'!AM94)</f>
        <v>97500</v>
      </c>
      <c r="AO99" s="401">
        <f>IF(ISBLANK('RESUMEN VIGILANCIA'!AN94),"",'RESUMEN VIGILANCIA'!AN94)</f>
        <v>136250</v>
      </c>
      <c r="AP99" s="399">
        <f>IF(ISBLANK('RESUMEN VIGILANCIA'!AO94),"",'RESUMEN VIGILANCIA'!AO94)</f>
        <v>136250</v>
      </c>
      <c r="AQ99" s="400">
        <f>IF(ISBLANK('RESUMEN VIGILANCIA'!AP94),"",'RESUMEN VIGILANCIA'!AP94)</f>
        <v>185250</v>
      </c>
      <c r="AR99" s="400" t="str">
        <f>IF(ISBLANK('RESUMEN VIGILANCIA'!AQ94),"",'RESUMEN VIGILANCIA'!AQ94)</f>
        <v/>
      </c>
      <c r="AS99" s="400" t="str">
        <f>IF(ISBLANK('RESUMEN VIGILANCIA'!AR94),"",'RESUMEN VIGILANCIA'!AR94)</f>
        <v/>
      </c>
      <c r="AT99" s="400" t="str">
        <f>IF(ISBLANK('RESUMEN VIGILANCIA'!AS94),"",'RESUMEN VIGILANCIA'!AS94)</f>
        <v/>
      </c>
      <c r="AU99" s="400" t="str">
        <f>IF(ISBLANK('RESUMEN VIGILANCIA'!AT94),"",'RESUMEN VIGILANCIA'!AT94)</f>
        <v/>
      </c>
      <c r="AV99" s="400" t="str">
        <f>IF(ISBLANK('RESUMEN VIGILANCIA'!AU94),"",'RESUMEN VIGILANCIA'!AU94)</f>
        <v/>
      </c>
      <c r="AW99" s="400" t="str">
        <f>IF(ISBLANK('RESUMEN VIGILANCIA'!AV94),"",'RESUMEN VIGILANCIA'!AV94)</f>
        <v/>
      </c>
      <c r="AX99" s="400" t="str">
        <f>IF(ISBLANK('RESUMEN VIGILANCIA'!AW94),"",'RESUMEN VIGILANCIA'!AW94)</f>
        <v/>
      </c>
      <c r="AY99" s="400" t="str">
        <f>IF(ISBLANK('RESUMEN VIGILANCIA'!AX94),"",'RESUMEN VIGILANCIA'!AX94)</f>
        <v/>
      </c>
      <c r="AZ99" s="400" t="str">
        <f>IF(ISBLANK('RESUMEN VIGILANCIA'!AY94),"",'RESUMEN VIGILANCIA'!AY94)</f>
        <v/>
      </c>
      <c r="BA99" s="401" t="str">
        <f>IF(ISBLANK('RESUMEN VIGILANCIA'!AZ94),"",'RESUMEN VIGILANCIA'!AZ94)</f>
        <v/>
      </c>
      <c r="BB99" s="243">
        <f t="shared" si="4"/>
        <v>366450.23</v>
      </c>
      <c r="BC99" s="112"/>
      <c r="BD99" s="112"/>
    </row>
    <row r="100" spans="1:56" s="29" customFormat="1" ht="20.100000000000001" customHeight="1" x14ac:dyDescent="0.25">
      <c r="A100" s="30" t="str">
        <f>'RESUMEN VIGILANCIA'!A96</f>
        <v>Familia Hernández Castillo</v>
      </c>
      <c r="B100" s="31" t="str">
        <f>'RESUMEN VIGILANCIA'!B96</f>
        <v>Calle Güigüe Nro. 88-94</v>
      </c>
      <c r="C100" s="452" t="s">
        <v>1270</v>
      </c>
      <c r="D100" s="460" t="s">
        <v>1268</v>
      </c>
      <c r="E100" s="440" t="str">
        <f>IF(ISBLANK('RESUMEN VIGILANCIA'!D96),"",'RESUMEN VIGILANCIA'!D96)</f>
        <v/>
      </c>
      <c r="F100" s="270" t="str">
        <f>IF(ISBLANK('RESUMEN VIGILANCIA'!E96),"",'RESUMEN VIGILANCIA'!E96)</f>
        <v/>
      </c>
      <c r="G100" s="182" t="str">
        <f>IF(ISBLANK('RESUMEN VIGILANCIA'!F96),"",'RESUMEN VIGILANCIA'!F96)</f>
        <v/>
      </c>
      <c r="H100" s="182" t="str">
        <f>IF(ISBLANK('RESUMEN VIGILANCIA'!G96),"",'RESUMEN VIGILANCIA'!G96)</f>
        <v/>
      </c>
      <c r="I100" s="182" t="str">
        <f>IF(ISBLANK('RESUMEN VIGILANCIA'!H96),"",'RESUMEN VIGILANCIA'!H96)</f>
        <v/>
      </c>
      <c r="J100" s="182" t="str">
        <f>IF(ISBLANK('RESUMEN VIGILANCIA'!I96),"",'RESUMEN VIGILANCIA'!I96)</f>
        <v/>
      </c>
      <c r="K100" s="182" t="str">
        <f>IF(ISBLANK('RESUMEN VIGILANCIA'!J96),"",'RESUMEN VIGILANCIA'!J96)</f>
        <v/>
      </c>
      <c r="L100" s="182" t="str">
        <f>IF(ISBLANK('RESUMEN VIGILANCIA'!K96),"",'RESUMEN VIGILANCIA'!K96)</f>
        <v/>
      </c>
      <c r="M100" s="182" t="str">
        <f>IF(ISBLANK('RESUMEN VIGILANCIA'!L96),"",'RESUMEN VIGILANCIA'!L96)</f>
        <v/>
      </c>
      <c r="N100" s="182" t="str">
        <f>IF(ISBLANK('RESUMEN VIGILANCIA'!M96),"",'RESUMEN VIGILANCIA'!M96)</f>
        <v/>
      </c>
      <c r="O100" s="182" t="str">
        <f>IF(ISBLANK('RESUMEN VIGILANCIA'!N96),"",'RESUMEN VIGILANCIA'!N96)</f>
        <v/>
      </c>
      <c r="P100" s="271" t="str">
        <f>IF(ISBLANK('RESUMEN VIGILANCIA'!O96),"",'RESUMEN VIGILANCIA'!O96)</f>
        <v/>
      </c>
      <c r="Q100" s="180" t="str">
        <f>IF(ISBLANK('RESUMEN VIGILANCIA'!P96),"",'RESUMEN VIGILANCIA'!P96)</f>
        <v/>
      </c>
      <c r="R100" s="272" t="str">
        <f>IF(ISBLANK('RESUMEN VIGILANCIA'!Q96),"",'RESUMEN VIGILANCIA'!Q96)</f>
        <v/>
      </c>
      <c r="S100" s="271" t="str">
        <f>IF(ISBLANK('RESUMEN VIGILANCIA'!R96),"",'RESUMEN VIGILANCIA'!R96)</f>
        <v/>
      </c>
      <c r="T100" s="271" t="str">
        <f>IF(ISBLANK('RESUMEN VIGILANCIA'!S96),"",'RESUMEN VIGILANCIA'!S96)</f>
        <v/>
      </c>
      <c r="U100" s="271" t="str">
        <f>IF(ISBLANK('RESUMEN VIGILANCIA'!T96),"",'RESUMEN VIGILANCIA'!T96)</f>
        <v/>
      </c>
      <c r="V100" s="271" t="str">
        <f>IF(ISBLANK('RESUMEN VIGILANCIA'!U96),"",'RESUMEN VIGILANCIA'!U96)</f>
        <v/>
      </c>
      <c r="W100" s="271" t="str">
        <f>IF(ISBLANK('RESUMEN VIGILANCIA'!V96),"",'RESUMEN VIGILANCIA'!V96)</f>
        <v/>
      </c>
      <c r="X100" s="271" t="str">
        <f>IF(ISBLANK('RESUMEN VIGILANCIA'!W96),"",'RESUMEN VIGILANCIA'!W96)</f>
        <v/>
      </c>
      <c r="Y100" s="271" t="str">
        <f>IF(ISBLANK('RESUMEN VIGILANCIA'!X96),"",'RESUMEN VIGILANCIA'!X96)</f>
        <v/>
      </c>
      <c r="Z100" s="481" t="str">
        <f>IF(ISBLANK('RESUMEN VIGILANCIA'!Y96),"",'RESUMEN VIGILANCIA'!Y96)</f>
        <v/>
      </c>
      <c r="AA100" s="481" t="str">
        <f>IF(ISBLANK('RESUMEN VIGILANCIA'!Z96),"",'RESUMEN VIGILANCIA'!Z96)</f>
        <v/>
      </c>
      <c r="AB100" s="481" t="str">
        <f>IF(ISBLANK('RESUMEN VIGILANCIA'!AA96),"",'RESUMEN VIGILANCIA'!AA96)</f>
        <v/>
      </c>
      <c r="AC100" s="482" t="str">
        <f>IF(ISBLANK('RESUMEN VIGILANCIA'!AB96),"",'RESUMEN VIGILANCIA'!AB96)</f>
        <v/>
      </c>
      <c r="AD100" s="399" t="str">
        <f>IF(ISBLANK('RESUMEN VIGILANCIA'!AC96),"",'RESUMEN VIGILANCIA'!AC96)</f>
        <v/>
      </c>
      <c r="AE100" s="400" t="str">
        <f>IF(ISBLANK('RESUMEN VIGILANCIA'!AD96),"",'RESUMEN VIGILANCIA'!AD96)</f>
        <v/>
      </c>
      <c r="AF100" s="400" t="str">
        <f>IF(ISBLANK('RESUMEN VIGILANCIA'!AE96),"",'RESUMEN VIGILANCIA'!AE96)</f>
        <v/>
      </c>
      <c r="AG100" s="400" t="str">
        <f>IF(ISBLANK('RESUMEN VIGILANCIA'!AF96),"",'RESUMEN VIGILANCIA'!AF96)</f>
        <v/>
      </c>
      <c r="AH100" s="400" t="str">
        <f>IF(ISBLANK('RESUMEN VIGILANCIA'!AG96),"",'RESUMEN VIGILANCIA'!AG96)</f>
        <v/>
      </c>
      <c r="AI100" s="400" t="str">
        <f>IF(ISBLANK('RESUMEN VIGILANCIA'!AH96),"",'RESUMEN VIGILANCIA'!AH96)</f>
        <v/>
      </c>
      <c r="AJ100" s="400" t="str">
        <f>IF(ISBLANK('RESUMEN VIGILANCIA'!AI96),"",'RESUMEN VIGILANCIA'!AI96)</f>
        <v/>
      </c>
      <c r="AK100" s="400" t="str">
        <f>IF(ISBLANK('RESUMEN VIGILANCIA'!AJ96),"",'RESUMEN VIGILANCIA'!AJ96)</f>
        <v/>
      </c>
      <c r="AL100" s="400" t="str">
        <f>IF(ISBLANK('RESUMEN VIGILANCIA'!AK96),"",'RESUMEN VIGILANCIA'!AK96)</f>
        <v/>
      </c>
      <c r="AM100" s="400" t="str">
        <f>IF(ISBLANK('RESUMEN VIGILANCIA'!AL96),"",'RESUMEN VIGILANCIA'!AL96)</f>
        <v/>
      </c>
      <c r="AN100" s="400" t="str">
        <f>IF(ISBLANK('RESUMEN VIGILANCIA'!AM96),"",'RESUMEN VIGILANCIA'!AM96)</f>
        <v/>
      </c>
      <c r="AO100" s="401" t="str">
        <f>IF(ISBLANK('RESUMEN VIGILANCIA'!AN96),"",'RESUMEN VIGILANCIA'!AN96)</f>
        <v/>
      </c>
      <c r="AP100" s="399" t="str">
        <f>IF(ISBLANK('RESUMEN VIGILANCIA'!AO96),"",'RESUMEN VIGILANCIA'!AO96)</f>
        <v/>
      </c>
      <c r="AQ100" s="400" t="str">
        <f>IF(ISBLANK('RESUMEN VIGILANCIA'!AP96),"",'RESUMEN VIGILANCIA'!AP96)</f>
        <v/>
      </c>
      <c r="AR100" s="400" t="str">
        <f>IF(ISBLANK('RESUMEN VIGILANCIA'!AQ96),"",'RESUMEN VIGILANCIA'!AQ96)</f>
        <v/>
      </c>
      <c r="AS100" s="400" t="str">
        <f>IF(ISBLANK('RESUMEN VIGILANCIA'!AR96),"",'RESUMEN VIGILANCIA'!AR96)</f>
        <v/>
      </c>
      <c r="AT100" s="400" t="str">
        <f>IF(ISBLANK('RESUMEN VIGILANCIA'!AS96),"",'RESUMEN VIGILANCIA'!AS96)</f>
        <v/>
      </c>
      <c r="AU100" s="400" t="str">
        <f>IF(ISBLANK('RESUMEN VIGILANCIA'!AT96),"",'RESUMEN VIGILANCIA'!AT96)</f>
        <v/>
      </c>
      <c r="AV100" s="400" t="str">
        <f>IF(ISBLANK('RESUMEN VIGILANCIA'!AU96),"",'RESUMEN VIGILANCIA'!AU96)</f>
        <v/>
      </c>
      <c r="AW100" s="400" t="str">
        <f>IF(ISBLANK('RESUMEN VIGILANCIA'!AV96),"",'RESUMEN VIGILANCIA'!AV96)</f>
        <v/>
      </c>
      <c r="AX100" s="400" t="str">
        <f>IF(ISBLANK('RESUMEN VIGILANCIA'!AW96),"",'RESUMEN VIGILANCIA'!AW96)</f>
        <v/>
      </c>
      <c r="AY100" s="400" t="str">
        <f>IF(ISBLANK('RESUMEN VIGILANCIA'!AX96),"",'RESUMEN VIGILANCIA'!AX96)</f>
        <v/>
      </c>
      <c r="AZ100" s="400" t="str">
        <f>IF(ISBLANK('RESUMEN VIGILANCIA'!AY96),"",'RESUMEN VIGILANCIA'!AY96)</f>
        <v/>
      </c>
      <c r="BA100" s="401" t="str">
        <f>IF(ISBLANK('RESUMEN VIGILANCIA'!AZ96),"",'RESUMEN VIGILANCIA'!AZ96)</f>
        <v/>
      </c>
      <c r="BB100" s="243">
        <f t="shared" si="4"/>
        <v>0</v>
      </c>
      <c r="BC100" s="112"/>
      <c r="BD100" s="112"/>
    </row>
    <row r="101" spans="1:56" s="29" customFormat="1" ht="20.100000000000001" customHeight="1" x14ac:dyDescent="0.25">
      <c r="A101" s="30" t="str">
        <f>'RESUMEN VIGILANCIA'!A105</f>
        <v>Familia Acosta Carpio</v>
      </c>
      <c r="B101" s="31" t="str">
        <f>'RESUMEN VIGILANCIA'!B105</f>
        <v>Calle Güigüe Nro. 89-10</v>
      </c>
      <c r="C101" s="452" t="s">
        <v>1269</v>
      </c>
      <c r="D101" s="460" t="s">
        <v>17</v>
      </c>
      <c r="E101" s="440" t="str">
        <f>IF(ISBLANK('RESUMEN VIGILANCIA'!D105),"",'RESUMEN VIGILANCIA'!D105)</f>
        <v/>
      </c>
      <c r="F101" s="270">
        <f>IF(ISBLANK('RESUMEN VIGILANCIA'!E105),"",'RESUMEN VIGILANCIA'!E105)</f>
        <v>0.17</v>
      </c>
      <c r="G101" s="182">
        <f>IF(ISBLANK('RESUMEN VIGILANCIA'!F105),"",'RESUMEN VIGILANCIA'!F105)</f>
        <v>0.17</v>
      </c>
      <c r="H101" s="182">
        <f>IF(ISBLANK('RESUMEN VIGILANCIA'!G105),"",'RESUMEN VIGILANCIA'!G105)</f>
        <v>0.17</v>
      </c>
      <c r="I101" s="182">
        <f>IF(ISBLANK('RESUMEN VIGILANCIA'!H105),"",'RESUMEN VIGILANCIA'!H105)</f>
        <v>0.17</v>
      </c>
      <c r="J101" s="182">
        <f>IF(ISBLANK('RESUMEN VIGILANCIA'!I105),"",'RESUMEN VIGILANCIA'!I105)</f>
        <v>0.26</v>
      </c>
      <c r="K101" s="182">
        <f>IF(ISBLANK('RESUMEN VIGILANCIA'!J105),"",'RESUMEN VIGILANCIA'!J105)</f>
        <v>0.26</v>
      </c>
      <c r="L101" s="182">
        <f>IF(ISBLANK('RESUMEN VIGILANCIA'!K105),"",'RESUMEN VIGILANCIA'!K105)</f>
        <v>0.35</v>
      </c>
      <c r="M101" s="182">
        <f>IF(ISBLANK('RESUMEN VIGILANCIA'!L105),"",'RESUMEN VIGILANCIA'!L105)</f>
        <v>0.35</v>
      </c>
      <c r="N101" s="182">
        <f>IF(ISBLANK('RESUMEN VIGILANCIA'!M105),"",'RESUMEN VIGILANCIA'!M105)</f>
        <v>0.35</v>
      </c>
      <c r="O101" s="182">
        <f>IF(ISBLANK('RESUMEN VIGILANCIA'!N105),"",'RESUMEN VIGILANCIA'!N105)</f>
        <v>0.35</v>
      </c>
      <c r="P101" s="271">
        <f>IF(ISBLANK('RESUMEN VIGILANCIA'!O105),"",'RESUMEN VIGILANCIA'!O105)</f>
        <v>0.5</v>
      </c>
      <c r="Q101" s="180">
        <f>IF(ISBLANK('RESUMEN VIGILANCIA'!P105),"",'RESUMEN VIGILANCIA'!P105)</f>
        <v>0.5</v>
      </c>
      <c r="R101" s="272">
        <f>IF(ISBLANK('RESUMEN VIGILANCIA'!Q105),"",'RESUMEN VIGILANCIA'!Q105)</f>
        <v>0.8</v>
      </c>
      <c r="S101" s="271">
        <f>IF(ISBLANK('RESUMEN VIGILANCIA'!R105),"",'RESUMEN VIGILANCIA'!R105)</f>
        <v>0.8</v>
      </c>
      <c r="T101" s="271">
        <f>IF(ISBLANK('RESUMEN VIGILANCIA'!S105),"",'RESUMEN VIGILANCIA'!S105)</f>
        <v>1.4</v>
      </c>
      <c r="U101" s="271">
        <f>IF(ISBLANK('RESUMEN VIGILANCIA'!T105),"",'RESUMEN VIGILANCIA'!T105)</f>
        <v>1.4</v>
      </c>
      <c r="V101" s="271">
        <f>IF(ISBLANK('RESUMEN VIGILANCIA'!U105),"",'RESUMEN VIGILANCIA'!U105)</f>
        <v>4</v>
      </c>
      <c r="W101" s="271">
        <f>IF(ISBLANK('RESUMEN VIGILANCIA'!V105),"",'RESUMEN VIGILANCIA'!V105)</f>
        <v>6.25</v>
      </c>
      <c r="X101" s="271">
        <f>IF(ISBLANK('RESUMEN VIGILANCIA'!W105),"",'RESUMEN VIGILANCIA'!W105)</f>
        <v>10</v>
      </c>
      <c r="Y101" s="271">
        <f>IF(ISBLANK('RESUMEN VIGILANCIA'!X105),"",'RESUMEN VIGILANCIA'!X105)</f>
        <v>12</v>
      </c>
      <c r="Z101" s="481">
        <f>IF(ISBLANK('RESUMEN VIGILANCIA'!Y105),"",'RESUMEN VIGILANCIA'!Y105)</f>
        <v>320</v>
      </c>
      <c r="AA101" s="481">
        <f>IF(ISBLANK('RESUMEN VIGILANCIA'!Z105),"",'RESUMEN VIGILANCIA'!Z105)</f>
        <v>320</v>
      </c>
      <c r="AB101" s="481" t="str">
        <f>IF(ISBLANK('RESUMEN VIGILANCIA'!AA105),"",'RESUMEN VIGILANCIA'!AA105)</f>
        <v/>
      </c>
      <c r="AC101" s="482">
        <f>IF(ISBLANK('RESUMEN VIGILANCIA'!AB105),"",'RESUMEN VIGILANCIA'!AB105)</f>
        <v>800</v>
      </c>
      <c r="AD101" s="399">
        <f>IF(ISBLANK('RESUMEN VIGILANCIA'!AC105),"",'RESUMEN VIGILANCIA'!AC105)</f>
        <v>3000</v>
      </c>
      <c r="AE101" s="400">
        <f>IF(ISBLANK('RESUMEN VIGILANCIA'!AD105),"",'RESUMEN VIGILANCIA'!AD105)</f>
        <v>3000</v>
      </c>
      <c r="AF101" s="400">
        <f>IF(ISBLANK('RESUMEN VIGILANCIA'!AE105),"",'RESUMEN VIGILANCIA'!AE105)</f>
        <v>3000</v>
      </c>
      <c r="AG101" s="400">
        <f>IF(ISBLANK('RESUMEN VIGILANCIA'!AF105),"",'RESUMEN VIGILANCIA'!AF105)</f>
        <v>5000</v>
      </c>
      <c r="AH101" s="400">
        <f>IF(ISBLANK('RESUMEN VIGILANCIA'!AG105),"",'RESUMEN VIGILANCIA'!AG105)</f>
        <v>8000</v>
      </c>
      <c r="AI101" s="400">
        <f>IF(ISBLANK('RESUMEN VIGILANCIA'!AH105),"",'RESUMEN VIGILANCIA'!AH105)</f>
        <v>8000</v>
      </c>
      <c r="AJ101" s="400">
        <f>IF(ISBLANK('RESUMEN VIGILANCIA'!AI105),"",'RESUMEN VIGILANCIA'!AI105)</f>
        <v>10000</v>
      </c>
      <c r="AK101" s="400">
        <f>IF(ISBLANK('RESUMEN VIGILANCIA'!AJ105),"",'RESUMEN VIGILANCIA'!AJ105)</f>
        <v>10000</v>
      </c>
      <c r="AL101" s="400">
        <f>IF(ISBLANK('RESUMEN VIGILANCIA'!AK105),"",'RESUMEN VIGILANCIA'!AK105)</f>
        <v>19800</v>
      </c>
      <c r="AM101" s="400">
        <f>IF(ISBLANK('RESUMEN VIGILANCIA'!AL105),"",'RESUMEN VIGILANCIA'!AL105)</f>
        <v>52000</v>
      </c>
      <c r="AN101" s="400">
        <f>IF(ISBLANK('RESUMEN VIGILANCIA'!AM105),"",'RESUMEN VIGILANCIA'!AM105)</f>
        <v>64500</v>
      </c>
      <c r="AO101" s="401">
        <f>IF(ISBLANK('RESUMEN VIGILANCIA'!AN105),"",'RESUMEN VIGILANCIA'!AN105)</f>
        <v>105250</v>
      </c>
      <c r="AP101" s="399" t="str">
        <f>IF(ISBLANK('RESUMEN VIGILANCIA'!AO105),"",'RESUMEN VIGILANCIA'!AO105)</f>
        <v/>
      </c>
      <c r="AQ101" s="400" t="str">
        <f>IF(ISBLANK('RESUMEN VIGILANCIA'!AP105),"",'RESUMEN VIGILANCIA'!AP105)</f>
        <v/>
      </c>
      <c r="AR101" s="400" t="str">
        <f>IF(ISBLANK('RESUMEN VIGILANCIA'!AQ105),"",'RESUMEN VIGILANCIA'!AQ105)</f>
        <v/>
      </c>
      <c r="AS101" s="400" t="str">
        <f>IF(ISBLANK('RESUMEN VIGILANCIA'!AR105),"",'RESUMEN VIGILANCIA'!AR105)</f>
        <v/>
      </c>
      <c r="AT101" s="400" t="str">
        <f>IF(ISBLANK('RESUMEN VIGILANCIA'!AS105),"",'RESUMEN VIGILANCIA'!AS105)</f>
        <v/>
      </c>
      <c r="AU101" s="400" t="str">
        <f>IF(ISBLANK('RESUMEN VIGILANCIA'!AT105),"",'RESUMEN VIGILANCIA'!AT105)</f>
        <v/>
      </c>
      <c r="AV101" s="400" t="str">
        <f>IF(ISBLANK('RESUMEN VIGILANCIA'!AU105),"",'RESUMEN VIGILANCIA'!AU105)</f>
        <v/>
      </c>
      <c r="AW101" s="400" t="str">
        <f>IF(ISBLANK('RESUMEN VIGILANCIA'!AV105),"",'RESUMEN VIGILANCIA'!AV105)</f>
        <v/>
      </c>
      <c r="AX101" s="400" t="str">
        <f>IF(ISBLANK('RESUMEN VIGILANCIA'!AW105),"",'RESUMEN VIGILANCIA'!AW105)</f>
        <v/>
      </c>
      <c r="AY101" s="400" t="str">
        <f>IF(ISBLANK('RESUMEN VIGILANCIA'!AX105),"",'RESUMEN VIGILANCIA'!AX105)</f>
        <v/>
      </c>
      <c r="AZ101" s="400" t="str">
        <f>IF(ISBLANK('RESUMEN VIGILANCIA'!AY105),"",'RESUMEN VIGILANCIA'!AY105)</f>
        <v/>
      </c>
      <c r="BA101" s="401" t="str">
        <f>IF(ISBLANK('RESUMEN VIGILANCIA'!AZ105),"",'RESUMEN VIGILANCIA'!AZ105)</f>
        <v/>
      </c>
      <c r="BB101" s="243">
        <f t="shared" si="4"/>
        <v>293030.25</v>
      </c>
      <c r="BC101" s="112"/>
      <c r="BD101" s="112">
        <v>43831</v>
      </c>
    </row>
    <row r="102" spans="1:56" s="29" customFormat="1" ht="20.100000000000001" customHeight="1" x14ac:dyDescent="0.25">
      <c r="A102" s="30" t="str">
        <f>'RESUMEN VIGILANCIA'!A106</f>
        <v>Familia Acosta Saravia</v>
      </c>
      <c r="B102" s="31" t="str">
        <f>'RESUMEN VIGILANCIA'!B106</f>
        <v>Calle Güigüe Nro. 89-10</v>
      </c>
      <c r="C102" s="452" t="s">
        <v>1269</v>
      </c>
      <c r="D102" s="460" t="s">
        <v>17</v>
      </c>
      <c r="E102" s="440" t="str">
        <f>IF(ISBLANK('RESUMEN VIGILANCIA'!D106),"",'RESUMEN VIGILANCIA'!D106)</f>
        <v/>
      </c>
      <c r="F102" s="270" t="str">
        <f>IF(ISBLANK('RESUMEN VIGILANCIA'!E106),"",'RESUMEN VIGILANCIA'!E106)</f>
        <v/>
      </c>
      <c r="G102" s="182" t="str">
        <f>IF(ISBLANK('RESUMEN VIGILANCIA'!F106),"",'RESUMEN VIGILANCIA'!F106)</f>
        <v/>
      </c>
      <c r="H102" s="182" t="str">
        <f>IF(ISBLANK('RESUMEN VIGILANCIA'!G106),"",'RESUMEN VIGILANCIA'!G106)</f>
        <v/>
      </c>
      <c r="I102" s="182" t="str">
        <f>IF(ISBLANK('RESUMEN VIGILANCIA'!H106),"",'RESUMEN VIGILANCIA'!H106)</f>
        <v/>
      </c>
      <c r="J102" s="182" t="str">
        <f>IF(ISBLANK('RESUMEN VIGILANCIA'!I106),"",'RESUMEN VIGILANCIA'!I106)</f>
        <v/>
      </c>
      <c r="K102" s="182" t="str">
        <f>IF(ISBLANK('RESUMEN VIGILANCIA'!J106),"",'RESUMEN VIGILANCIA'!J106)</f>
        <v/>
      </c>
      <c r="L102" s="182" t="str">
        <f>IF(ISBLANK('RESUMEN VIGILANCIA'!K106),"",'RESUMEN VIGILANCIA'!K106)</f>
        <v/>
      </c>
      <c r="M102" s="182" t="str">
        <f>IF(ISBLANK('RESUMEN VIGILANCIA'!L106),"",'RESUMEN VIGILANCIA'!L106)</f>
        <v/>
      </c>
      <c r="N102" s="182" t="str">
        <f>IF(ISBLANK('RESUMEN VIGILANCIA'!M106),"",'RESUMEN VIGILANCIA'!M106)</f>
        <v/>
      </c>
      <c r="O102" s="182" t="str">
        <f>IF(ISBLANK('RESUMEN VIGILANCIA'!N106),"",'RESUMEN VIGILANCIA'!N106)</f>
        <v/>
      </c>
      <c r="P102" s="271" t="str">
        <f>IF(ISBLANK('RESUMEN VIGILANCIA'!O106),"",'RESUMEN VIGILANCIA'!O106)</f>
        <v/>
      </c>
      <c r="Q102" s="180" t="str">
        <f>IF(ISBLANK('RESUMEN VIGILANCIA'!P106),"",'RESUMEN VIGILANCIA'!P106)</f>
        <v/>
      </c>
      <c r="R102" s="272" t="str">
        <f>IF(ISBLANK('RESUMEN VIGILANCIA'!Q106),"",'RESUMEN VIGILANCIA'!Q106)</f>
        <v/>
      </c>
      <c r="S102" s="271" t="str">
        <f>IF(ISBLANK('RESUMEN VIGILANCIA'!R106),"",'RESUMEN VIGILANCIA'!R106)</f>
        <v/>
      </c>
      <c r="T102" s="271" t="str">
        <f>IF(ISBLANK('RESUMEN VIGILANCIA'!S106),"",'RESUMEN VIGILANCIA'!S106)</f>
        <v/>
      </c>
      <c r="U102" s="271" t="str">
        <f>IF(ISBLANK('RESUMEN VIGILANCIA'!T106),"",'RESUMEN VIGILANCIA'!T106)</f>
        <v/>
      </c>
      <c r="V102" s="271" t="str">
        <f>IF(ISBLANK('RESUMEN VIGILANCIA'!U106),"",'RESUMEN VIGILANCIA'!U106)</f>
        <v/>
      </c>
      <c r="W102" s="271" t="str">
        <f>IF(ISBLANK('RESUMEN VIGILANCIA'!V106),"",'RESUMEN VIGILANCIA'!V106)</f>
        <v/>
      </c>
      <c r="X102" s="271" t="str">
        <f>IF(ISBLANK('RESUMEN VIGILANCIA'!W106),"",'RESUMEN VIGILANCIA'!W106)</f>
        <v/>
      </c>
      <c r="Y102" s="271" t="str">
        <f>IF(ISBLANK('RESUMEN VIGILANCIA'!X106),"",'RESUMEN VIGILANCIA'!X106)</f>
        <v/>
      </c>
      <c r="Z102" s="481" t="str">
        <f>IF(ISBLANK('RESUMEN VIGILANCIA'!Y106),"",'RESUMEN VIGILANCIA'!Y106)</f>
        <v/>
      </c>
      <c r="AA102" s="481" t="str">
        <f>IF(ISBLANK('RESUMEN VIGILANCIA'!Z106),"",'RESUMEN VIGILANCIA'!Z106)</f>
        <v/>
      </c>
      <c r="AB102" s="481" t="str">
        <f>IF(ISBLANK('RESUMEN VIGILANCIA'!AA106),"",'RESUMEN VIGILANCIA'!AA106)</f>
        <v/>
      </c>
      <c r="AC102" s="482" t="str">
        <f>IF(ISBLANK('RESUMEN VIGILANCIA'!AB106),"",'RESUMEN VIGILANCIA'!AB106)</f>
        <v/>
      </c>
      <c r="AD102" s="399" t="str">
        <f>IF(ISBLANK('RESUMEN VIGILANCIA'!AC106),"",'RESUMEN VIGILANCIA'!AC106)</f>
        <v/>
      </c>
      <c r="AE102" s="400" t="str">
        <f>IF(ISBLANK('RESUMEN VIGILANCIA'!AD106),"",'RESUMEN VIGILANCIA'!AD106)</f>
        <v/>
      </c>
      <c r="AF102" s="400" t="str">
        <f>IF(ISBLANK('RESUMEN VIGILANCIA'!AE106),"",'RESUMEN VIGILANCIA'!AE106)</f>
        <v/>
      </c>
      <c r="AG102" s="400" t="str">
        <f>IF(ISBLANK('RESUMEN VIGILANCIA'!AF106),"",'RESUMEN VIGILANCIA'!AF106)</f>
        <v/>
      </c>
      <c r="AH102" s="400" t="str">
        <f>IF(ISBLANK('RESUMEN VIGILANCIA'!AG106),"",'RESUMEN VIGILANCIA'!AG106)</f>
        <v/>
      </c>
      <c r="AI102" s="400" t="str">
        <f>IF(ISBLANK('RESUMEN VIGILANCIA'!AH106),"",'RESUMEN VIGILANCIA'!AH106)</f>
        <v/>
      </c>
      <c r="AJ102" s="400" t="str">
        <f>IF(ISBLANK('RESUMEN VIGILANCIA'!AI106),"",'RESUMEN VIGILANCIA'!AI106)</f>
        <v/>
      </c>
      <c r="AK102" s="400" t="str">
        <f>IF(ISBLANK('RESUMEN VIGILANCIA'!AJ106),"",'RESUMEN VIGILANCIA'!AJ106)</f>
        <v/>
      </c>
      <c r="AL102" s="400" t="str">
        <f>IF(ISBLANK('RESUMEN VIGILANCIA'!AK106),"",'RESUMEN VIGILANCIA'!AK106)</f>
        <v/>
      </c>
      <c r="AM102" s="400" t="str">
        <f>IF(ISBLANK('RESUMEN VIGILANCIA'!AL106),"",'RESUMEN VIGILANCIA'!AL106)</f>
        <v/>
      </c>
      <c r="AN102" s="400" t="str">
        <f>IF(ISBLANK('RESUMEN VIGILANCIA'!AM106),"",'RESUMEN VIGILANCIA'!AM106)</f>
        <v/>
      </c>
      <c r="AO102" s="401" t="str">
        <f>IF(ISBLANK('RESUMEN VIGILANCIA'!AN106),"",'RESUMEN VIGILANCIA'!AN106)</f>
        <v/>
      </c>
      <c r="AP102" s="399" t="str">
        <f>IF(ISBLANK('RESUMEN VIGILANCIA'!AO106),"",'RESUMEN VIGILANCIA'!AO106)</f>
        <v/>
      </c>
      <c r="AQ102" s="400">
        <f>IF(ISBLANK('RESUMEN VIGILANCIA'!AP106),"",'RESUMEN VIGILANCIA'!AP106)</f>
        <v>186000</v>
      </c>
      <c r="AR102" s="400">
        <f>IF(ISBLANK('RESUMEN VIGILANCIA'!AQ106),"",'RESUMEN VIGILANCIA'!AQ106)</f>
        <v>186000</v>
      </c>
      <c r="AS102" s="400" t="str">
        <f>IF(ISBLANK('RESUMEN VIGILANCIA'!AR106),"",'RESUMEN VIGILANCIA'!AR106)</f>
        <v/>
      </c>
      <c r="AT102" s="400" t="str">
        <f>IF(ISBLANK('RESUMEN VIGILANCIA'!AS106),"",'RESUMEN VIGILANCIA'!AS106)</f>
        <v/>
      </c>
      <c r="AU102" s="400" t="str">
        <f>IF(ISBLANK('RESUMEN VIGILANCIA'!AT106),"",'RESUMEN VIGILANCIA'!AT106)</f>
        <v/>
      </c>
      <c r="AV102" s="400" t="str">
        <f>IF(ISBLANK('RESUMEN VIGILANCIA'!AU106),"",'RESUMEN VIGILANCIA'!AU106)</f>
        <v/>
      </c>
      <c r="AW102" s="400" t="str">
        <f>IF(ISBLANK('RESUMEN VIGILANCIA'!AV106),"",'RESUMEN VIGILANCIA'!AV106)</f>
        <v/>
      </c>
      <c r="AX102" s="400" t="str">
        <f>IF(ISBLANK('RESUMEN VIGILANCIA'!AW106),"",'RESUMEN VIGILANCIA'!AW106)</f>
        <v/>
      </c>
      <c r="AY102" s="400" t="str">
        <f>IF(ISBLANK('RESUMEN VIGILANCIA'!AX106),"",'RESUMEN VIGILANCIA'!AX106)</f>
        <v/>
      </c>
      <c r="AZ102" s="400" t="str">
        <f>IF(ISBLANK('RESUMEN VIGILANCIA'!AY106),"",'RESUMEN VIGILANCIA'!AY106)</f>
        <v/>
      </c>
      <c r="BA102" s="401" t="str">
        <f>IF(ISBLANK('RESUMEN VIGILANCIA'!AZ106),"",'RESUMEN VIGILANCIA'!AZ106)</f>
        <v/>
      </c>
      <c r="BB102" s="243">
        <f t="shared" ref="BB102" si="7">SUM(E102:AO102)</f>
        <v>0</v>
      </c>
      <c r="BC102" s="112">
        <v>43862</v>
      </c>
      <c r="BD102" s="112"/>
    </row>
    <row r="103" spans="1:56" s="29" customFormat="1" ht="20.100000000000001" customHeight="1" x14ac:dyDescent="0.25">
      <c r="A103" s="33" t="str">
        <f>'RESUMEN VIGILANCIA'!A107</f>
        <v>Silvia Power</v>
      </c>
      <c r="B103" s="34" t="str">
        <f>'RESUMEN VIGILANCIA'!B107</f>
        <v>Calle Güigüe Nro. 89-16</v>
      </c>
      <c r="C103" s="451" t="s">
        <v>1271</v>
      </c>
      <c r="D103" s="469" t="s">
        <v>17</v>
      </c>
      <c r="E103" s="439" t="str">
        <f>IF(ISBLANK('RESUMEN VIGILANCIA'!D107),"",'RESUMEN VIGILANCIA'!D107)</f>
        <v/>
      </c>
      <c r="F103" s="267">
        <f>IF(ISBLANK('RESUMEN VIGILANCIA'!E107),"",'RESUMEN VIGILANCIA'!E107)</f>
        <v>1.4999999999999999E-2</v>
      </c>
      <c r="G103" s="189">
        <f>IF(ISBLANK('RESUMEN VIGILANCIA'!F107),"",'RESUMEN VIGILANCIA'!F107)</f>
        <v>1.4999999999999999E-2</v>
      </c>
      <c r="H103" s="228" t="str">
        <f>IF(ISBLANK('RESUMEN VIGILANCIA'!G107),"",'RESUMEN VIGILANCIA'!G107)</f>
        <v>ü</v>
      </c>
      <c r="I103" s="228" t="str">
        <f>IF(ISBLANK('RESUMEN VIGILANCIA'!H107),"",'RESUMEN VIGILANCIA'!H107)</f>
        <v>ü</v>
      </c>
      <c r="J103" s="228" t="str">
        <f>IF(ISBLANK('RESUMEN VIGILANCIA'!I107),"",'RESUMEN VIGILANCIA'!I107)</f>
        <v>ü</v>
      </c>
      <c r="K103" s="228" t="str">
        <f>IF(ISBLANK('RESUMEN VIGILANCIA'!J107),"",'RESUMEN VIGILANCIA'!J107)</f>
        <v>ü</v>
      </c>
      <c r="L103" s="228" t="str">
        <f>IF(ISBLANK('RESUMEN VIGILANCIA'!K107),"",'RESUMEN VIGILANCIA'!K107)</f>
        <v>ü</v>
      </c>
      <c r="M103" s="228" t="str">
        <f>IF(ISBLANK('RESUMEN VIGILANCIA'!L107),"",'RESUMEN VIGILANCIA'!L107)</f>
        <v>ü</v>
      </c>
      <c r="N103" s="228" t="str">
        <f>IF(ISBLANK('RESUMEN VIGILANCIA'!M107),"",'RESUMEN VIGILANCIA'!M107)</f>
        <v>ü</v>
      </c>
      <c r="O103" s="228" t="str">
        <f>IF(ISBLANK('RESUMEN VIGILANCIA'!N107),"",'RESUMEN VIGILANCIA'!N107)</f>
        <v>ü</v>
      </c>
      <c r="P103" s="288" t="str">
        <f>IF(ISBLANK('RESUMEN VIGILANCIA'!O107),"",'RESUMEN VIGILANCIA'!O107)</f>
        <v>ü</v>
      </c>
      <c r="Q103" s="229" t="str">
        <f>IF(ISBLANK('RESUMEN VIGILANCIA'!P107),"",'RESUMEN VIGILANCIA'!P107)</f>
        <v>ü</v>
      </c>
      <c r="R103" s="289" t="str">
        <f>IF(ISBLANK('RESUMEN VIGILANCIA'!Q107),"",'RESUMEN VIGILANCIA'!Q107)</f>
        <v>ü</v>
      </c>
      <c r="S103" s="268">
        <f>IF(ISBLANK('RESUMEN VIGILANCIA'!R107),"",'RESUMEN VIGILANCIA'!R107)</f>
        <v>0.8</v>
      </c>
      <c r="T103" s="268">
        <f>IF(ISBLANK('RESUMEN VIGILANCIA'!S107),"",'RESUMEN VIGILANCIA'!S107)</f>
        <v>1.4</v>
      </c>
      <c r="U103" s="268">
        <f>IF(ISBLANK('RESUMEN VIGILANCIA'!T107),"",'RESUMEN VIGILANCIA'!T107)</f>
        <v>1.4</v>
      </c>
      <c r="V103" s="268">
        <f>IF(ISBLANK('RESUMEN VIGILANCIA'!U107),"",'RESUMEN VIGILANCIA'!U107)</f>
        <v>2</v>
      </c>
      <c r="W103" s="268">
        <f>IF(ISBLANK('RESUMEN VIGILANCIA'!V107),"",'RESUMEN VIGILANCIA'!V107)</f>
        <v>4.25</v>
      </c>
      <c r="X103" s="268">
        <f>IF(ISBLANK('RESUMEN VIGILANCIA'!W107),"",'RESUMEN VIGILANCIA'!W107)</f>
        <v>10</v>
      </c>
      <c r="Y103" s="268" t="str">
        <f>IF(ISBLANK('RESUMEN VIGILANCIA'!X107),"",'RESUMEN VIGILANCIA'!X107)</f>
        <v/>
      </c>
      <c r="Z103" s="485" t="str">
        <f>IF(ISBLANK('RESUMEN VIGILANCIA'!Y107),"",'RESUMEN VIGILANCIA'!Y107)</f>
        <v/>
      </c>
      <c r="AA103" s="485" t="str">
        <f>IF(ISBLANK('RESUMEN VIGILANCIA'!Z107),"",'RESUMEN VIGILANCIA'!Z107)</f>
        <v/>
      </c>
      <c r="AB103" s="485" t="str">
        <f>IF(ISBLANK('RESUMEN VIGILANCIA'!AA107),"",'RESUMEN VIGILANCIA'!AA107)</f>
        <v/>
      </c>
      <c r="AC103" s="486" t="str">
        <f>IF(ISBLANK('RESUMEN VIGILANCIA'!AB107),"",'RESUMEN VIGILANCIA'!AB107)</f>
        <v/>
      </c>
      <c r="AD103" s="396" t="str">
        <f>IF(ISBLANK('RESUMEN VIGILANCIA'!AC107),"",'RESUMEN VIGILANCIA'!AC107)</f>
        <v/>
      </c>
      <c r="AE103" s="397" t="str">
        <f>IF(ISBLANK('RESUMEN VIGILANCIA'!AD107),"",'RESUMEN VIGILANCIA'!AD107)</f>
        <v/>
      </c>
      <c r="AF103" s="397" t="str">
        <f>IF(ISBLANK('RESUMEN VIGILANCIA'!AE107),"",'RESUMEN VIGILANCIA'!AE107)</f>
        <v/>
      </c>
      <c r="AG103" s="397">
        <f>IF(ISBLANK('RESUMEN VIGILANCIA'!AF107),"",'RESUMEN VIGILANCIA'!AF107)</f>
        <v>5000</v>
      </c>
      <c r="AH103" s="397">
        <f>IF(ISBLANK('RESUMEN VIGILANCIA'!AG107),"",'RESUMEN VIGILANCIA'!AG107)</f>
        <v>5000</v>
      </c>
      <c r="AI103" s="397">
        <f>IF(ISBLANK('RESUMEN VIGILANCIA'!AH107),"",'RESUMEN VIGILANCIA'!AH107)</f>
        <v>5000</v>
      </c>
      <c r="AJ103" s="397">
        <f>IF(ISBLANK('RESUMEN VIGILANCIA'!AI107),"",'RESUMEN VIGILANCIA'!AI107)</f>
        <v>5000</v>
      </c>
      <c r="AK103" s="397">
        <f>IF(ISBLANK('RESUMEN VIGILANCIA'!AJ107),"",'RESUMEN VIGILANCIA'!AJ107)</f>
        <v>5000</v>
      </c>
      <c r="AL103" s="397">
        <f>IF(ISBLANK('RESUMEN VIGILANCIA'!AK107),"",'RESUMEN VIGILANCIA'!AK107)</f>
        <v>3500</v>
      </c>
      <c r="AM103" s="397">
        <f>IF(ISBLANK('RESUMEN VIGILANCIA'!AL107),"",'RESUMEN VIGILANCIA'!AL107)</f>
        <v>16000</v>
      </c>
      <c r="AN103" s="397">
        <f>IF(ISBLANK('RESUMEN VIGILANCIA'!AM107),"",'RESUMEN VIGILANCIA'!AM107)</f>
        <v>17000</v>
      </c>
      <c r="AO103" s="398">
        <f>IF(ISBLANK('RESUMEN VIGILANCIA'!AN107),"",'RESUMEN VIGILANCIA'!AN107)</f>
        <v>17000</v>
      </c>
      <c r="AP103" s="396">
        <f>IF(ISBLANK('RESUMEN VIGILANCIA'!AO107),"",'RESUMEN VIGILANCIA'!AO107)</f>
        <v>91400</v>
      </c>
      <c r="AQ103" s="397">
        <f>IF(ISBLANK('RESUMEN VIGILANCIA'!AP107),"",'RESUMEN VIGILANCIA'!AP107)</f>
        <v>91400</v>
      </c>
      <c r="AR103" s="397" t="str">
        <f>IF(ISBLANK('RESUMEN VIGILANCIA'!AQ107),"",'RESUMEN VIGILANCIA'!AQ107)</f>
        <v/>
      </c>
      <c r="AS103" s="397" t="str">
        <f>IF(ISBLANK('RESUMEN VIGILANCIA'!AR107),"",'RESUMEN VIGILANCIA'!AR107)</f>
        <v/>
      </c>
      <c r="AT103" s="397" t="str">
        <f>IF(ISBLANK('RESUMEN VIGILANCIA'!AS107),"",'RESUMEN VIGILANCIA'!AS107)</f>
        <v/>
      </c>
      <c r="AU103" s="397" t="str">
        <f>IF(ISBLANK('RESUMEN VIGILANCIA'!AT107),"",'RESUMEN VIGILANCIA'!AT107)</f>
        <v/>
      </c>
      <c r="AV103" s="397" t="str">
        <f>IF(ISBLANK('RESUMEN VIGILANCIA'!AU107),"",'RESUMEN VIGILANCIA'!AU107)</f>
        <v/>
      </c>
      <c r="AW103" s="397" t="str">
        <f>IF(ISBLANK('RESUMEN VIGILANCIA'!AV107),"",'RESUMEN VIGILANCIA'!AV107)</f>
        <v/>
      </c>
      <c r="AX103" s="397" t="str">
        <f>IF(ISBLANK('RESUMEN VIGILANCIA'!AW107),"",'RESUMEN VIGILANCIA'!AW107)</f>
        <v/>
      </c>
      <c r="AY103" s="397" t="str">
        <f>IF(ISBLANK('RESUMEN VIGILANCIA'!AX107),"",'RESUMEN VIGILANCIA'!AX107)</f>
        <v/>
      </c>
      <c r="AZ103" s="397" t="str">
        <f>IF(ISBLANK('RESUMEN VIGILANCIA'!AY107),"",'RESUMEN VIGILANCIA'!AY107)</f>
        <v/>
      </c>
      <c r="BA103" s="398" t="str">
        <f>IF(ISBLANK('RESUMEN VIGILANCIA'!AZ107),"",'RESUMEN VIGILANCIA'!AZ107)</f>
        <v/>
      </c>
      <c r="BB103" s="242">
        <f t="shared" ref="BB103:BB137" si="8">SUM(E103:AO103)</f>
        <v>78519.88</v>
      </c>
      <c r="BC103" s="111"/>
      <c r="BD103" s="111"/>
    </row>
    <row r="104" spans="1:56" s="29" customFormat="1" ht="20.100000000000001" customHeight="1" x14ac:dyDescent="0.25">
      <c r="A104" s="33" t="str">
        <f>'RESUMEN VIGILANCIA'!A108</f>
        <v>Mibzar Cárdenas</v>
      </c>
      <c r="B104" s="34" t="str">
        <f>'RESUMEN VIGILANCIA'!B108</f>
        <v>Calle Güigüe Nro. 89-16</v>
      </c>
      <c r="C104" s="451" t="s">
        <v>1273</v>
      </c>
      <c r="D104" s="469" t="s">
        <v>17</v>
      </c>
      <c r="E104" s="439" t="str">
        <f>IF(ISBLANK('RESUMEN VIGILANCIA'!D108),"",'RESUMEN VIGILANCIA'!D108)</f>
        <v/>
      </c>
      <c r="F104" s="267" t="str">
        <f>IF(ISBLANK('RESUMEN VIGILANCIA'!E108),"",'RESUMEN VIGILANCIA'!E108)</f>
        <v/>
      </c>
      <c r="G104" s="189" t="str">
        <f>IF(ISBLANK('RESUMEN VIGILANCIA'!F108),"",'RESUMEN VIGILANCIA'!F108)</f>
        <v/>
      </c>
      <c r="H104" s="228" t="str">
        <f>IF(ISBLANK('RESUMEN VIGILANCIA'!G108),"",'RESUMEN VIGILANCIA'!G108)</f>
        <v/>
      </c>
      <c r="I104" s="228" t="str">
        <f>IF(ISBLANK('RESUMEN VIGILANCIA'!H108),"",'RESUMEN VIGILANCIA'!H108)</f>
        <v/>
      </c>
      <c r="J104" s="228" t="str">
        <f>IF(ISBLANK('RESUMEN VIGILANCIA'!I108),"",'RESUMEN VIGILANCIA'!I108)</f>
        <v/>
      </c>
      <c r="K104" s="228" t="str">
        <f>IF(ISBLANK('RESUMEN VIGILANCIA'!J108),"",'RESUMEN VIGILANCIA'!J108)</f>
        <v/>
      </c>
      <c r="L104" s="228" t="str">
        <f>IF(ISBLANK('RESUMEN VIGILANCIA'!K108),"",'RESUMEN VIGILANCIA'!K108)</f>
        <v/>
      </c>
      <c r="M104" s="228" t="str">
        <f>IF(ISBLANK('RESUMEN VIGILANCIA'!L108),"",'RESUMEN VIGILANCIA'!L108)</f>
        <v/>
      </c>
      <c r="N104" s="228" t="str">
        <f>IF(ISBLANK('RESUMEN VIGILANCIA'!M108),"",'RESUMEN VIGILANCIA'!M108)</f>
        <v/>
      </c>
      <c r="O104" s="228" t="str">
        <f>IF(ISBLANK('RESUMEN VIGILANCIA'!N108),"",'RESUMEN VIGILANCIA'!N108)</f>
        <v/>
      </c>
      <c r="P104" s="288" t="str">
        <f>IF(ISBLANK('RESUMEN VIGILANCIA'!O108),"",'RESUMEN VIGILANCIA'!O108)</f>
        <v/>
      </c>
      <c r="Q104" s="229" t="str">
        <f>IF(ISBLANK('RESUMEN VIGILANCIA'!P108),"",'RESUMEN VIGILANCIA'!P108)</f>
        <v/>
      </c>
      <c r="R104" s="289" t="str">
        <f>IF(ISBLANK('RESUMEN VIGILANCIA'!Q108),"",'RESUMEN VIGILANCIA'!Q108)</f>
        <v/>
      </c>
      <c r="S104" s="268" t="str">
        <f>IF(ISBLANK('RESUMEN VIGILANCIA'!R108),"",'RESUMEN VIGILANCIA'!R108)</f>
        <v/>
      </c>
      <c r="T104" s="268" t="str">
        <f>IF(ISBLANK('RESUMEN VIGILANCIA'!S108),"",'RESUMEN VIGILANCIA'!S108)</f>
        <v/>
      </c>
      <c r="U104" s="268" t="str">
        <f>IF(ISBLANK('RESUMEN VIGILANCIA'!T108),"",'RESUMEN VIGILANCIA'!T108)</f>
        <v/>
      </c>
      <c r="V104" s="268" t="str">
        <f>IF(ISBLANK('RESUMEN VIGILANCIA'!U108),"",'RESUMEN VIGILANCIA'!U108)</f>
        <v/>
      </c>
      <c r="W104" s="268" t="str">
        <f>IF(ISBLANK('RESUMEN VIGILANCIA'!V108),"",'RESUMEN VIGILANCIA'!V108)</f>
        <v/>
      </c>
      <c r="X104" s="268" t="str">
        <f>IF(ISBLANK('RESUMEN VIGILANCIA'!W108),"",'RESUMEN VIGILANCIA'!W108)</f>
        <v/>
      </c>
      <c r="Y104" s="268" t="str">
        <f>IF(ISBLANK('RESUMEN VIGILANCIA'!X108),"",'RESUMEN VIGILANCIA'!X108)</f>
        <v/>
      </c>
      <c r="Z104" s="485" t="str">
        <f>IF(ISBLANK('RESUMEN VIGILANCIA'!Y108),"",'RESUMEN VIGILANCIA'!Y108)</f>
        <v/>
      </c>
      <c r="AA104" s="485" t="str">
        <f>IF(ISBLANK('RESUMEN VIGILANCIA'!Z108),"",'RESUMEN VIGILANCIA'!Z108)</f>
        <v/>
      </c>
      <c r="AB104" s="485" t="str">
        <f>IF(ISBLANK('RESUMEN VIGILANCIA'!AA108),"",'RESUMEN VIGILANCIA'!AA108)</f>
        <v/>
      </c>
      <c r="AC104" s="486" t="str">
        <f>IF(ISBLANK('RESUMEN VIGILANCIA'!AB108),"",'RESUMEN VIGILANCIA'!AB108)</f>
        <v/>
      </c>
      <c r="AD104" s="396" t="str">
        <f>IF(ISBLANK('RESUMEN VIGILANCIA'!AC108),"",'RESUMEN VIGILANCIA'!AC108)</f>
        <v/>
      </c>
      <c r="AE104" s="397" t="str">
        <f>IF(ISBLANK('RESUMEN VIGILANCIA'!AD108),"",'RESUMEN VIGILANCIA'!AD108)</f>
        <v/>
      </c>
      <c r="AF104" s="397" t="str">
        <f>IF(ISBLANK('RESUMEN VIGILANCIA'!AE108),"",'RESUMEN VIGILANCIA'!AE108)</f>
        <v/>
      </c>
      <c r="AG104" s="397" t="str">
        <f>IF(ISBLANK('RESUMEN VIGILANCIA'!AF108),"",'RESUMEN VIGILANCIA'!AF108)</f>
        <v/>
      </c>
      <c r="AH104" s="397" t="str">
        <f>IF(ISBLANK('RESUMEN VIGILANCIA'!AG108),"",'RESUMEN VIGILANCIA'!AG108)</f>
        <v/>
      </c>
      <c r="AI104" s="397" t="str">
        <f>IF(ISBLANK('RESUMEN VIGILANCIA'!AH108),"",'RESUMEN VIGILANCIA'!AH108)</f>
        <v/>
      </c>
      <c r="AJ104" s="397" t="str">
        <f>IF(ISBLANK('RESUMEN VIGILANCIA'!AI108),"",'RESUMEN VIGILANCIA'!AI108)</f>
        <v/>
      </c>
      <c r="AK104" s="397" t="str">
        <f>IF(ISBLANK('RESUMEN VIGILANCIA'!AJ108),"",'RESUMEN VIGILANCIA'!AJ108)</f>
        <v/>
      </c>
      <c r="AL104" s="397" t="str">
        <f>IF(ISBLANK('RESUMEN VIGILANCIA'!AK108),"",'RESUMEN VIGILANCIA'!AK108)</f>
        <v/>
      </c>
      <c r="AM104" s="397" t="str">
        <f>IF(ISBLANK('RESUMEN VIGILANCIA'!AL108),"",'RESUMEN VIGILANCIA'!AL108)</f>
        <v/>
      </c>
      <c r="AN104" s="397" t="str">
        <f>IF(ISBLANK('RESUMEN VIGILANCIA'!AM108),"",'RESUMEN VIGILANCIA'!AM108)</f>
        <v/>
      </c>
      <c r="AO104" s="398" t="str">
        <f>IF(ISBLANK('RESUMEN VIGILANCIA'!AN108),"",'RESUMEN VIGILANCIA'!AN108)</f>
        <v/>
      </c>
      <c r="AP104" s="396" t="str">
        <f>IF(ISBLANK('RESUMEN VIGILANCIA'!AO108),"",'RESUMEN VIGILANCIA'!AO108)</f>
        <v/>
      </c>
      <c r="AQ104" s="397" t="str">
        <f>IF(ISBLANK('RESUMEN VIGILANCIA'!AP108),"",'RESUMEN VIGILANCIA'!AP108)</f>
        <v/>
      </c>
      <c r="AR104" s="397" t="str">
        <f>IF(ISBLANK('RESUMEN VIGILANCIA'!AQ108),"",'RESUMEN VIGILANCIA'!AQ108)</f>
        <v/>
      </c>
      <c r="AS104" s="397" t="str">
        <f>IF(ISBLANK('RESUMEN VIGILANCIA'!AR108),"",'RESUMEN VIGILANCIA'!AR108)</f>
        <v/>
      </c>
      <c r="AT104" s="397" t="str">
        <f>IF(ISBLANK('RESUMEN VIGILANCIA'!AS108),"",'RESUMEN VIGILANCIA'!AS108)</f>
        <v/>
      </c>
      <c r="AU104" s="397" t="str">
        <f>IF(ISBLANK('RESUMEN VIGILANCIA'!AT108),"",'RESUMEN VIGILANCIA'!AT108)</f>
        <v/>
      </c>
      <c r="AV104" s="397" t="str">
        <f>IF(ISBLANK('RESUMEN VIGILANCIA'!AU108),"",'RESUMEN VIGILANCIA'!AU108)</f>
        <v/>
      </c>
      <c r="AW104" s="397" t="str">
        <f>IF(ISBLANK('RESUMEN VIGILANCIA'!AV108),"",'RESUMEN VIGILANCIA'!AV108)</f>
        <v/>
      </c>
      <c r="AX104" s="397" t="str">
        <f>IF(ISBLANK('RESUMEN VIGILANCIA'!AW108),"",'RESUMEN VIGILANCIA'!AW108)</f>
        <v/>
      </c>
      <c r="AY104" s="397" t="str">
        <f>IF(ISBLANK('RESUMEN VIGILANCIA'!AX108),"",'RESUMEN VIGILANCIA'!AX108)</f>
        <v/>
      </c>
      <c r="AZ104" s="397" t="str">
        <f>IF(ISBLANK('RESUMEN VIGILANCIA'!AY108),"",'RESUMEN VIGILANCIA'!AY108)</f>
        <v/>
      </c>
      <c r="BA104" s="398" t="str">
        <f>IF(ISBLANK('RESUMEN VIGILANCIA'!AZ108),"",'RESUMEN VIGILANCIA'!AZ108)</f>
        <v/>
      </c>
      <c r="BB104" s="242">
        <f t="shared" ref="BB104" si="9">SUM(E104:AO104)</f>
        <v>0</v>
      </c>
      <c r="BC104" s="470"/>
      <c r="BD104" s="111"/>
    </row>
    <row r="105" spans="1:56" s="29" customFormat="1" ht="20.100000000000001" customHeight="1" x14ac:dyDescent="0.25">
      <c r="A105" s="30" t="str">
        <f>'RESUMEN VIGILANCIA'!A113</f>
        <v>Familia Molina Estopiñán</v>
      </c>
      <c r="B105" s="31" t="str">
        <f>'RESUMEN VIGILANCIA'!B113</f>
        <v>Calle Güigüe Nro. 89-30</v>
      </c>
      <c r="C105" s="452" t="s">
        <v>1273</v>
      </c>
      <c r="D105" s="468" t="s">
        <v>17</v>
      </c>
      <c r="E105" s="440" t="str">
        <f>IF(ISBLANK('RESUMEN VIGILANCIA'!D113),"",'RESUMEN VIGILANCIA'!D113)</f>
        <v/>
      </c>
      <c r="F105" s="270" t="str">
        <f>IF(ISBLANK('RESUMEN VIGILANCIA'!E113),"",'RESUMEN VIGILANCIA'!E113)</f>
        <v/>
      </c>
      <c r="G105" s="182" t="str">
        <f>IF(ISBLANK('RESUMEN VIGILANCIA'!F113),"",'RESUMEN VIGILANCIA'!F113)</f>
        <v/>
      </c>
      <c r="H105" s="182" t="str">
        <f>IF(ISBLANK('RESUMEN VIGILANCIA'!G113),"",'RESUMEN VIGILANCIA'!G113)</f>
        <v/>
      </c>
      <c r="I105" s="182" t="str">
        <f>IF(ISBLANK('RESUMEN VIGILANCIA'!H113),"",'RESUMEN VIGILANCIA'!H113)</f>
        <v/>
      </c>
      <c r="J105" s="182" t="str">
        <f>IF(ISBLANK('RESUMEN VIGILANCIA'!I113),"",'RESUMEN VIGILANCIA'!I113)</f>
        <v/>
      </c>
      <c r="K105" s="182" t="str">
        <f>IF(ISBLANK('RESUMEN VIGILANCIA'!J113),"",'RESUMEN VIGILANCIA'!J113)</f>
        <v/>
      </c>
      <c r="L105" s="182" t="str">
        <f>IF(ISBLANK('RESUMEN VIGILANCIA'!K113),"",'RESUMEN VIGILANCIA'!K113)</f>
        <v/>
      </c>
      <c r="M105" s="182" t="str">
        <f>IF(ISBLANK('RESUMEN VIGILANCIA'!L113),"",'RESUMEN VIGILANCIA'!L113)</f>
        <v/>
      </c>
      <c r="N105" s="182" t="str">
        <f>IF(ISBLANK('RESUMEN VIGILANCIA'!M113),"",'RESUMEN VIGILANCIA'!M113)</f>
        <v/>
      </c>
      <c r="O105" s="182" t="str">
        <f>IF(ISBLANK('RESUMEN VIGILANCIA'!N113),"",'RESUMEN VIGILANCIA'!N113)</f>
        <v/>
      </c>
      <c r="P105" s="271" t="str">
        <f>IF(ISBLANK('RESUMEN VIGILANCIA'!O113),"",'RESUMEN VIGILANCIA'!O113)</f>
        <v/>
      </c>
      <c r="Q105" s="180" t="str">
        <f>IF(ISBLANK('RESUMEN VIGILANCIA'!P113),"",'RESUMEN VIGILANCIA'!P113)</f>
        <v/>
      </c>
      <c r="R105" s="272" t="str">
        <f>IF(ISBLANK('RESUMEN VIGILANCIA'!Q113),"",'RESUMEN VIGILANCIA'!Q113)</f>
        <v/>
      </c>
      <c r="S105" s="271" t="str">
        <f>IF(ISBLANK('RESUMEN VIGILANCIA'!R113),"",'RESUMEN VIGILANCIA'!R113)</f>
        <v/>
      </c>
      <c r="T105" s="271" t="str">
        <f>IF(ISBLANK('RESUMEN VIGILANCIA'!S113),"",'RESUMEN VIGILANCIA'!S113)</f>
        <v/>
      </c>
      <c r="U105" s="271" t="str">
        <f>IF(ISBLANK('RESUMEN VIGILANCIA'!T113),"",'RESUMEN VIGILANCIA'!T113)</f>
        <v/>
      </c>
      <c r="V105" s="271" t="str">
        <f>IF(ISBLANK('RESUMEN VIGILANCIA'!U113),"",'RESUMEN VIGILANCIA'!U113)</f>
        <v/>
      </c>
      <c r="W105" s="271" t="str">
        <f>IF(ISBLANK('RESUMEN VIGILANCIA'!V113),"",'RESUMEN VIGILANCIA'!V113)</f>
        <v/>
      </c>
      <c r="X105" s="271" t="str">
        <f>IF(ISBLANK('RESUMEN VIGILANCIA'!W113),"",'RESUMEN VIGILANCIA'!W113)</f>
        <v/>
      </c>
      <c r="Y105" s="271" t="str">
        <f>IF(ISBLANK('RESUMEN VIGILANCIA'!X113),"",'RESUMEN VIGILANCIA'!X113)</f>
        <v/>
      </c>
      <c r="Z105" s="481" t="str">
        <f>IF(ISBLANK('RESUMEN VIGILANCIA'!Y113),"",'RESUMEN VIGILANCIA'!Y113)</f>
        <v/>
      </c>
      <c r="AA105" s="481" t="str">
        <f>IF(ISBLANK('RESUMEN VIGILANCIA'!Z113),"",'RESUMEN VIGILANCIA'!Z113)</f>
        <v/>
      </c>
      <c r="AB105" s="481" t="str">
        <f>IF(ISBLANK('RESUMEN VIGILANCIA'!AA113),"",'RESUMEN VIGILANCIA'!AA113)</f>
        <v/>
      </c>
      <c r="AC105" s="482" t="str">
        <f>IF(ISBLANK('RESUMEN VIGILANCIA'!AB113),"",'RESUMEN VIGILANCIA'!AB113)</f>
        <v/>
      </c>
      <c r="AD105" s="399" t="str">
        <f>IF(ISBLANK('RESUMEN VIGILANCIA'!AC113),"",'RESUMEN VIGILANCIA'!AC113)</f>
        <v/>
      </c>
      <c r="AE105" s="400" t="str">
        <f>IF(ISBLANK('RESUMEN VIGILANCIA'!AD113),"",'RESUMEN VIGILANCIA'!AD113)</f>
        <v/>
      </c>
      <c r="AF105" s="400" t="str">
        <f>IF(ISBLANK('RESUMEN VIGILANCIA'!AE113),"",'RESUMEN VIGILANCIA'!AE113)</f>
        <v/>
      </c>
      <c r="AG105" s="400" t="str">
        <f>IF(ISBLANK('RESUMEN VIGILANCIA'!AF113),"",'RESUMEN VIGILANCIA'!AF113)</f>
        <v/>
      </c>
      <c r="AH105" s="400" t="str">
        <f>IF(ISBLANK('RESUMEN VIGILANCIA'!AG113),"",'RESUMEN VIGILANCIA'!AG113)</f>
        <v/>
      </c>
      <c r="AI105" s="400" t="str">
        <f>IF(ISBLANK('RESUMEN VIGILANCIA'!AH113),"",'RESUMEN VIGILANCIA'!AH113)</f>
        <v/>
      </c>
      <c r="AJ105" s="400" t="str">
        <f>IF(ISBLANK('RESUMEN VIGILANCIA'!AI113),"",'RESUMEN VIGILANCIA'!AI113)</f>
        <v/>
      </c>
      <c r="AK105" s="400" t="str">
        <f>IF(ISBLANK('RESUMEN VIGILANCIA'!AJ113),"",'RESUMEN VIGILANCIA'!AJ113)</f>
        <v/>
      </c>
      <c r="AL105" s="400" t="str">
        <f>IF(ISBLANK('RESUMEN VIGILANCIA'!AK113),"",'RESUMEN VIGILANCIA'!AK113)</f>
        <v/>
      </c>
      <c r="AM105" s="400" t="str">
        <f>IF(ISBLANK('RESUMEN VIGILANCIA'!AL113),"",'RESUMEN VIGILANCIA'!AL113)</f>
        <v/>
      </c>
      <c r="AN105" s="400" t="str">
        <f>IF(ISBLANK('RESUMEN VIGILANCIA'!AM113),"",'RESUMEN VIGILANCIA'!AM113)</f>
        <v/>
      </c>
      <c r="AO105" s="401" t="str">
        <f>IF(ISBLANK('RESUMEN VIGILANCIA'!AN113),"",'RESUMEN VIGILANCIA'!AN113)</f>
        <v/>
      </c>
      <c r="AP105" s="399" t="str">
        <f>IF(ISBLANK('RESUMEN VIGILANCIA'!AO113),"",'RESUMEN VIGILANCIA'!AO113)</f>
        <v/>
      </c>
      <c r="AQ105" s="400" t="str">
        <f>IF(ISBLANK('RESUMEN VIGILANCIA'!AP113),"",'RESUMEN VIGILANCIA'!AP113)</f>
        <v/>
      </c>
      <c r="AR105" s="400" t="str">
        <f>IF(ISBLANK('RESUMEN VIGILANCIA'!AQ113),"",'RESUMEN VIGILANCIA'!AQ113)</f>
        <v/>
      </c>
      <c r="AS105" s="400" t="str">
        <f>IF(ISBLANK('RESUMEN VIGILANCIA'!AR113),"",'RESUMEN VIGILANCIA'!AR113)</f>
        <v/>
      </c>
      <c r="AT105" s="400" t="str">
        <f>IF(ISBLANK('RESUMEN VIGILANCIA'!AS113),"",'RESUMEN VIGILANCIA'!AS113)</f>
        <v/>
      </c>
      <c r="AU105" s="400" t="str">
        <f>IF(ISBLANK('RESUMEN VIGILANCIA'!AT113),"",'RESUMEN VIGILANCIA'!AT113)</f>
        <v/>
      </c>
      <c r="AV105" s="400" t="str">
        <f>IF(ISBLANK('RESUMEN VIGILANCIA'!AU113),"",'RESUMEN VIGILANCIA'!AU113)</f>
        <v/>
      </c>
      <c r="AW105" s="400" t="str">
        <f>IF(ISBLANK('RESUMEN VIGILANCIA'!AV113),"",'RESUMEN VIGILANCIA'!AV113)</f>
        <v/>
      </c>
      <c r="AX105" s="400" t="str">
        <f>IF(ISBLANK('RESUMEN VIGILANCIA'!AW113),"",'RESUMEN VIGILANCIA'!AW113)</f>
        <v/>
      </c>
      <c r="AY105" s="400" t="str">
        <f>IF(ISBLANK('RESUMEN VIGILANCIA'!AX113),"",'RESUMEN VIGILANCIA'!AX113)</f>
        <v/>
      </c>
      <c r="AZ105" s="400" t="str">
        <f>IF(ISBLANK('RESUMEN VIGILANCIA'!AY113),"",'RESUMEN VIGILANCIA'!AY113)</f>
        <v/>
      </c>
      <c r="BA105" s="401" t="str">
        <f>IF(ISBLANK('RESUMEN VIGILANCIA'!AZ113),"",'RESUMEN VIGILANCIA'!AZ113)</f>
        <v/>
      </c>
      <c r="BB105" s="243">
        <f t="shared" si="8"/>
        <v>0</v>
      </c>
      <c r="BC105" s="112"/>
      <c r="BD105" s="112"/>
    </row>
    <row r="106" spans="1:56" s="29" customFormat="1" ht="20.100000000000001" customHeight="1" x14ac:dyDescent="0.25">
      <c r="A106" s="33" t="str">
        <f>'RESUMEN VIGILANCIA'!A114</f>
        <v>Familia Sirit Palencia</v>
      </c>
      <c r="B106" s="34" t="str">
        <f>'RESUMEN VIGILANCIA'!B114</f>
        <v>Calle Güigüe Nro. 89-35</v>
      </c>
      <c r="C106" s="451" t="s">
        <v>1271</v>
      </c>
      <c r="D106" s="461" t="s">
        <v>1268</v>
      </c>
      <c r="E106" s="439" t="str">
        <f>IF(ISBLANK('RESUMEN VIGILANCIA'!D114),"",'RESUMEN VIGILANCIA'!D114)</f>
        <v/>
      </c>
      <c r="F106" s="267" t="str">
        <f>IF(ISBLANK('RESUMEN VIGILANCIA'!E114),"",'RESUMEN VIGILANCIA'!E114)</f>
        <v/>
      </c>
      <c r="G106" s="189" t="str">
        <f>IF(ISBLANK('RESUMEN VIGILANCIA'!F114),"",'RESUMEN VIGILANCIA'!F114)</f>
        <v/>
      </c>
      <c r="H106" s="189" t="str">
        <f>IF(ISBLANK('RESUMEN VIGILANCIA'!G114),"",'RESUMEN VIGILANCIA'!G114)</f>
        <v/>
      </c>
      <c r="I106" s="189">
        <f>IF(ISBLANK('RESUMEN VIGILANCIA'!H114),"",'RESUMEN VIGILANCIA'!H114)</f>
        <v>0.05</v>
      </c>
      <c r="J106" s="189" t="str">
        <f>IF(ISBLANK('RESUMEN VIGILANCIA'!I114),"",'RESUMEN VIGILANCIA'!I114)</f>
        <v/>
      </c>
      <c r="K106" s="189" t="str">
        <f>IF(ISBLANK('RESUMEN VIGILANCIA'!J114),"",'RESUMEN VIGILANCIA'!J114)</f>
        <v/>
      </c>
      <c r="L106" s="189" t="str">
        <f>IF(ISBLANK('RESUMEN VIGILANCIA'!K114),"",'RESUMEN VIGILANCIA'!K114)</f>
        <v/>
      </c>
      <c r="M106" s="189">
        <f>IF(ISBLANK('RESUMEN VIGILANCIA'!L114),"",'RESUMEN VIGILANCIA'!L114)</f>
        <v>0.1</v>
      </c>
      <c r="N106" s="189">
        <f>IF(ISBLANK('RESUMEN VIGILANCIA'!M114),"",'RESUMEN VIGILANCIA'!M114)</f>
        <v>0.1</v>
      </c>
      <c r="O106" s="189" t="str">
        <f>IF(ISBLANK('RESUMEN VIGILANCIA'!N114),"",'RESUMEN VIGILANCIA'!N114)</f>
        <v/>
      </c>
      <c r="P106" s="268" t="str">
        <f>IF(ISBLANK('RESUMEN VIGILANCIA'!O114),"",'RESUMEN VIGILANCIA'!O114)</f>
        <v/>
      </c>
      <c r="Q106" s="187" t="str">
        <f>IF(ISBLANK('RESUMEN VIGILANCIA'!P114),"",'RESUMEN VIGILANCIA'!P114)</f>
        <v/>
      </c>
      <c r="R106" s="269" t="str">
        <f>IF(ISBLANK('RESUMEN VIGILANCIA'!Q114),"",'RESUMEN VIGILANCIA'!Q114)</f>
        <v/>
      </c>
      <c r="S106" s="268" t="str">
        <f>IF(ISBLANK('RESUMEN VIGILANCIA'!R114),"",'RESUMEN VIGILANCIA'!R114)</f>
        <v/>
      </c>
      <c r="T106" s="268" t="str">
        <f>IF(ISBLANK('RESUMEN VIGILANCIA'!S114),"",'RESUMEN VIGILANCIA'!S114)</f>
        <v/>
      </c>
      <c r="U106" s="268" t="str">
        <f>IF(ISBLANK('RESUMEN VIGILANCIA'!T114),"",'RESUMEN VIGILANCIA'!T114)</f>
        <v/>
      </c>
      <c r="V106" s="268" t="str">
        <f>IF(ISBLANK('RESUMEN VIGILANCIA'!U114),"",'RESUMEN VIGILANCIA'!U114)</f>
        <v/>
      </c>
      <c r="W106" s="268" t="str">
        <f>IF(ISBLANK('RESUMEN VIGILANCIA'!V114),"",'RESUMEN VIGILANCIA'!V114)</f>
        <v/>
      </c>
      <c r="X106" s="268">
        <f>IF(ISBLANK('RESUMEN VIGILANCIA'!W114),"",'RESUMEN VIGILANCIA'!W114)</f>
        <v>5</v>
      </c>
      <c r="Y106" s="268" t="str">
        <f>IF(ISBLANK('RESUMEN VIGILANCIA'!X114),"",'RESUMEN VIGILANCIA'!X114)</f>
        <v/>
      </c>
      <c r="Z106" s="485" t="str">
        <f>IF(ISBLANK('RESUMEN VIGILANCIA'!Y114),"",'RESUMEN VIGILANCIA'!Y114)</f>
        <v/>
      </c>
      <c r="AA106" s="485">
        <f>IF(ISBLANK('RESUMEN VIGILANCIA'!Z114),"",'RESUMEN VIGILANCIA'!Z114)</f>
        <v>320</v>
      </c>
      <c r="AB106" s="485">
        <f>IF(ISBLANK('RESUMEN VIGILANCIA'!AA114),"",'RESUMEN VIGILANCIA'!AA114)</f>
        <v>320</v>
      </c>
      <c r="AC106" s="486">
        <f>IF(ISBLANK('RESUMEN VIGILANCIA'!AB114),"",'RESUMEN VIGILANCIA'!AB114)</f>
        <v>800</v>
      </c>
      <c r="AD106" s="396">
        <f>IF(ISBLANK('RESUMEN VIGILANCIA'!AC114),"",'RESUMEN VIGILANCIA'!AC114)</f>
        <v>960</v>
      </c>
      <c r="AE106" s="397">
        <f>IF(ISBLANK('RESUMEN VIGILANCIA'!AD114),"",'RESUMEN VIGILANCIA'!AD114)</f>
        <v>1500</v>
      </c>
      <c r="AF106" s="397">
        <f>IF(ISBLANK('RESUMEN VIGILANCIA'!AE114),"",'RESUMEN VIGILANCIA'!AE114)</f>
        <v>3000</v>
      </c>
      <c r="AG106" s="397">
        <f>IF(ISBLANK('RESUMEN VIGILANCIA'!AF114),"",'RESUMEN VIGILANCIA'!AF114)</f>
        <v>5000</v>
      </c>
      <c r="AH106" s="397">
        <f>IF(ISBLANK('RESUMEN VIGILANCIA'!AG114),"",'RESUMEN VIGILANCIA'!AG114)</f>
        <v>8000</v>
      </c>
      <c r="AI106" s="397">
        <f>IF(ISBLANK('RESUMEN VIGILANCIA'!AH114),"",'RESUMEN VIGILANCIA'!AH114)</f>
        <v>8000</v>
      </c>
      <c r="AJ106" s="397">
        <f>IF(ISBLANK('RESUMEN VIGILANCIA'!AI114),"",'RESUMEN VIGILANCIA'!AI114)</f>
        <v>10000</v>
      </c>
      <c r="AK106" s="397">
        <f>IF(ISBLANK('RESUMEN VIGILANCIA'!AJ114),"",'RESUMEN VIGILANCIA'!AJ114)</f>
        <v>10000</v>
      </c>
      <c r="AL106" s="397">
        <f>IF(ISBLANK('RESUMEN VIGILANCIA'!AK114),"",'RESUMEN VIGILANCIA'!AK114)</f>
        <v>21600</v>
      </c>
      <c r="AM106" s="397">
        <f>IF(ISBLANK('RESUMEN VIGILANCIA'!AL114),"",'RESUMEN VIGILANCIA'!AL114)</f>
        <v>21100</v>
      </c>
      <c r="AN106" s="397">
        <f>IF(ISBLANK('RESUMEN VIGILANCIA'!AM114),"",'RESUMEN VIGILANCIA'!AM114)</f>
        <v>100000</v>
      </c>
      <c r="AO106" s="398">
        <f>IF(ISBLANK('RESUMEN VIGILANCIA'!AN114),"",'RESUMEN VIGILANCIA'!AN114)</f>
        <v>100000</v>
      </c>
      <c r="AP106" s="396" t="str">
        <f>IF(ISBLANK('RESUMEN VIGILANCIA'!AO114),"",'RESUMEN VIGILANCIA'!AO114)</f>
        <v/>
      </c>
      <c r="AQ106" s="397" t="str">
        <f>IF(ISBLANK('RESUMEN VIGILANCIA'!AP114),"",'RESUMEN VIGILANCIA'!AP114)</f>
        <v/>
      </c>
      <c r="AR106" s="397" t="str">
        <f>IF(ISBLANK('RESUMEN VIGILANCIA'!AQ114),"",'RESUMEN VIGILANCIA'!AQ114)</f>
        <v/>
      </c>
      <c r="AS106" s="397" t="str">
        <f>IF(ISBLANK('RESUMEN VIGILANCIA'!AR114),"",'RESUMEN VIGILANCIA'!AR114)</f>
        <v/>
      </c>
      <c r="AT106" s="397" t="str">
        <f>IF(ISBLANK('RESUMEN VIGILANCIA'!AS114),"",'RESUMEN VIGILANCIA'!AS114)</f>
        <v/>
      </c>
      <c r="AU106" s="397" t="str">
        <f>IF(ISBLANK('RESUMEN VIGILANCIA'!AT114),"",'RESUMEN VIGILANCIA'!AT114)</f>
        <v/>
      </c>
      <c r="AV106" s="397" t="str">
        <f>IF(ISBLANK('RESUMEN VIGILANCIA'!AU114),"",'RESUMEN VIGILANCIA'!AU114)</f>
        <v/>
      </c>
      <c r="AW106" s="397" t="str">
        <f>IF(ISBLANK('RESUMEN VIGILANCIA'!AV114),"",'RESUMEN VIGILANCIA'!AV114)</f>
        <v/>
      </c>
      <c r="AX106" s="397" t="str">
        <f>IF(ISBLANK('RESUMEN VIGILANCIA'!AW114),"",'RESUMEN VIGILANCIA'!AW114)</f>
        <v/>
      </c>
      <c r="AY106" s="397" t="str">
        <f>IF(ISBLANK('RESUMEN VIGILANCIA'!AX114),"",'RESUMEN VIGILANCIA'!AX114)</f>
        <v/>
      </c>
      <c r="AZ106" s="397" t="str">
        <f>IF(ISBLANK('RESUMEN VIGILANCIA'!AY114),"",'RESUMEN VIGILANCIA'!AY114)</f>
        <v/>
      </c>
      <c r="BA106" s="398" t="str">
        <f>IF(ISBLANK('RESUMEN VIGILANCIA'!AZ114),"",'RESUMEN VIGILANCIA'!AZ114)</f>
        <v/>
      </c>
      <c r="BB106" s="242">
        <f t="shared" si="8"/>
        <v>290605.25</v>
      </c>
      <c r="BC106" s="111"/>
      <c r="BD106" s="111"/>
    </row>
    <row r="107" spans="1:56" s="29" customFormat="1" ht="20.100000000000001" customHeight="1" x14ac:dyDescent="0.25">
      <c r="A107" s="33" t="str">
        <f>'RESUMEN VIGILANCIA'!A137</f>
        <v>Familia Jiménez de Avila</v>
      </c>
      <c r="B107" s="34" t="str">
        <f>'RESUMEN VIGILANCIA'!B137</f>
        <v>Calle Güigüe Nro. 89-116</v>
      </c>
      <c r="C107" s="451" t="s">
        <v>1271</v>
      </c>
      <c r="D107" s="461" t="s">
        <v>1268</v>
      </c>
      <c r="E107" s="439" t="str">
        <f>IF(ISBLANK('RESUMEN VIGILANCIA'!D137),"",'RESUMEN VIGILANCIA'!D137)</f>
        <v/>
      </c>
      <c r="F107" s="267" t="str">
        <f>IF(ISBLANK('RESUMEN VIGILANCIA'!E137),"",'RESUMEN VIGILANCIA'!E137)</f>
        <v/>
      </c>
      <c r="G107" s="189" t="str">
        <f>IF(ISBLANK('RESUMEN VIGILANCIA'!F137),"",'RESUMEN VIGILANCIA'!F137)</f>
        <v/>
      </c>
      <c r="H107" s="189" t="str">
        <f>IF(ISBLANK('RESUMEN VIGILANCIA'!G137),"",'RESUMEN VIGILANCIA'!G137)</f>
        <v/>
      </c>
      <c r="I107" s="189" t="str">
        <f>IF(ISBLANK('RESUMEN VIGILANCIA'!H137),"",'RESUMEN VIGILANCIA'!H137)</f>
        <v/>
      </c>
      <c r="J107" s="189" t="str">
        <f>IF(ISBLANK('RESUMEN VIGILANCIA'!I137),"",'RESUMEN VIGILANCIA'!I137)</f>
        <v/>
      </c>
      <c r="K107" s="189" t="str">
        <f>IF(ISBLANK('RESUMEN VIGILANCIA'!J137),"",'RESUMEN VIGILANCIA'!J137)</f>
        <v/>
      </c>
      <c r="L107" s="189" t="str">
        <f>IF(ISBLANK('RESUMEN VIGILANCIA'!K137),"",'RESUMEN VIGILANCIA'!K137)</f>
        <v/>
      </c>
      <c r="M107" s="189" t="str">
        <f>IF(ISBLANK('RESUMEN VIGILANCIA'!L137),"",'RESUMEN VIGILANCIA'!L137)</f>
        <v/>
      </c>
      <c r="N107" s="189" t="str">
        <f>IF(ISBLANK('RESUMEN VIGILANCIA'!M137),"",'RESUMEN VIGILANCIA'!M137)</f>
        <v/>
      </c>
      <c r="O107" s="189" t="str">
        <f>IF(ISBLANK('RESUMEN VIGILANCIA'!N137),"",'RESUMEN VIGILANCIA'!N137)</f>
        <v/>
      </c>
      <c r="P107" s="268">
        <f>IF(ISBLANK('RESUMEN VIGILANCIA'!O137),"",'RESUMEN VIGILANCIA'!O137)</f>
        <v>0.3</v>
      </c>
      <c r="Q107" s="187" t="str">
        <f>IF(ISBLANK('RESUMEN VIGILANCIA'!P137),"",'RESUMEN VIGILANCIA'!P137)</f>
        <v>ü</v>
      </c>
      <c r="R107" s="538" t="str">
        <f>IF(ISBLANK('RESUMEN VIGILANCIA'!Q137),"",'RESUMEN VIGILANCIA'!Q137)</f>
        <v>ü</v>
      </c>
      <c r="S107" s="539" t="str">
        <f>IF(ISBLANK('RESUMEN VIGILANCIA'!R137),"",'RESUMEN VIGILANCIA'!R137)</f>
        <v>ü</v>
      </c>
      <c r="T107" s="539" t="str">
        <f>IF(ISBLANK('RESUMEN VIGILANCIA'!S137),"",'RESUMEN VIGILANCIA'!S137)</f>
        <v>ü</v>
      </c>
      <c r="U107" s="539" t="str">
        <f>IF(ISBLANK('RESUMEN VIGILANCIA'!T137),"",'RESUMEN VIGILANCIA'!T137)</f>
        <v>ü</v>
      </c>
      <c r="V107" s="539" t="str">
        <f>IF(ISBLANK('RESUMEN VIGILANCIA'!U137),"",'RESUMEN VIGILANCIA'!U137)</f>
        <v>ü</v>
      </c>
      <c r="W107" s="539" t="str">
        <f>IF(ISBLANK('RESUMEN VIGILANCIA'!V137),"",'RESUMEN VIGILANCIA'!V137)</f>
        <v>ü</v>
      </c>
      <c r="X107" s="539" t="str">
        <f>IF(ISBLANK('RESUMEN VIGILANCIA'!W137),"",'RESUMEN VIGILANCIA'!W137)</f>
        <v>ü</v>
      </c>
      <c r="Y107" s="539" t="str">
        <f>IF(ISBLANK('RESUMEN VIGILANCIA'!X137),"",'RESUMEN VIGILANCIA'!X137)</f>
        <v>ü</v>
      </c>
      <c r="Z107" s="540" t="str">
        <f>IF(ISBLANK('RESUMEN VIGILANCIA'!Y137),"",'RESUMEN VIGILANCIA'!Y137)</f>
        <v>ü</v>
      </c>
      <c r="AA107" s="540" t="str">
        <f>IF(ISBLANK('RESUMEN VIGILANCIA'!Z137),"",'RESUMEN VIGILANCIA'!Z137)</f>
        <v>ü</v>
      </c>
      <c r="AB107" s="485">
        <f>IF(ISBLANK('RESUMEN VIGILANCIA'!AA137),"",'RESUMEN VIGILANCIA'!AA137)</f>
        <v>1350</v>
      </c>
      <c r="AC107" s="541" t="str">
        <f>IF(ISBLANK('RESUMEN VIGILANCIA'!AB137),"",'RESUMEN VIGILANCIA'!AB137)</f>
        <v>ü</v>
      </c>
      <c r="AD107" s="542" t="str">
        <f>IF(ISBLANK('RESUMEN VIGILANCIA'!AC137),"",'RESUMEN VIGILANCIA'!AC137)</f>
        <v>ü</v>
      </c>
      <c r="AE107" s="543" t="str">
        <f>IF(ISBLANK('RESUMEN VIGILANCIA'!AD137),"",'RESUMEN VIGILANCIA'!AD137)</f>
        <v>ü</v>
      </c>
      <c r="AF107" s="543" t="str">
        <f>IF(ISBLANK('RESUMEN VIGILANCIA'!AE137),"",'RESUMEN VIGILANCIA'!AE137)</f>
        <v>ü</v>
      </c>
      <c r="AG107" s="543" t="str">
        <f>IF(ISBLANK('RESUMEN VIGILANCIA'!AF137),"",'RESUMEN VIGILANCIA'!AF137)</f>
        <v>ü</v>
      </c>
      <c r="AH107" s="543" t="str">
        <f>IF(ISBLANK('RESUMEN VIGILANCIA'!AG137),"",'RESUMEN VIGILANCIA'!AG137)</f>
        <v>ü</v>
      </c>
      <c r="AI107" s="543" t="str">
        <f>IF(ISBLANK('RESUMEN VIGILANCIA'!AH137),"",'RESUMEN VIGILANCIA'!AH137)</f>
        <v>ü</v>
      </c>
      <c r="AJ107" s="397">
        <f>IF(ISBLANK('RESUMEN VIGILANCIA'!AI137),"",'RESUMEN VIGILANCIA'!AI137)</f>
        <v>5000</v>
      </c>
      <c r="AK107" s="397">
        <f>IF(ISBLANK('RESUMEN VIGILANCIA'!AJ137),"",'RESUMEN VIGILANCIA'!AJ137)</f>
        <v>5000</v>
      </c>
      <c r="AL107" s="397">
        <f>IF(ISBLANK('RESUMEN VIGILANCIA'!AK137),"",'RESUMEN VIGILANCIA'!AK137)</f>
        <v>5000</v>
      </c>
      <c r="AM107" s="397">
        <f>IF(ISBLANK('RESUMEN VIGILANCIA'!AL137),"",'RESUMEN VIGILANCIA'!AL137)</f>
        <v>5000</v>
      </c>
      <c r="AN107" s="397">
        <f>IF(ISBLANK('RESUMEN VIGILANCIA'!AM137),"",'RESUMEN VIGILANCIA'!AM137)</f>
        <v>5000</v>
      </c>
      <c r="AO107" s="398">
        <f>IF(ISBLANK('RESUMEN VIGILANCIA'!AN137),"",'RESUMEN VIGILANCIA'!AN137)</f>
        <v>5000</v>
      </c>
      <c r="AP107" s="396">
        <f>IF(ISBLANK('RESUMEN VIGILANCIA'!AO137),"",'RESUMEN VIGILANCIA'!AO137)</f>
        <v>70000</v>
      </c>
      <c r="AQ107" s="397">
        <f>IF(ISBLANK('RESUMEN VIGILANCIA'!AP137),"",'RESUMEN VIGILANCIA'!AP137)</f>
        <v>70000</v>
      </c>
      <c r="AR107" s="397">
        <f>IF(ISBLANK('RESUMEN VIGILANCIA'!AQ137),"",'RESUMEN VIGILANCIA'!AQ137)</f>
        <v>70000</v>
      </c>
      <c r="AS107" s="543" t="str">
        <f>IF(ISBLANK('RESUMEN VIGILANCIA'!AR137),"",'RESUMEN VIGILANCIA'!AR137)</f>
        <v/>
      </c>
      <c r="AT107" s="543" t="str">
        <f>IF(ISBLANK('RESUMEN VIGILANCIA'!AS137),"",'RESUMEN VIGILANCIA'!AS137)</f>
        <v/>
      </c>
      <c r="AU107" s="543" t="str">
        <f>IF(ISBLANK('RESUMEN VIGILANCIA'!AT137),"",'RESUMEN VIGILANCIA'!AT137)</f>
        <v/>
      </c>
      <c r="AV107" s="397" t="str">
        <f>IF(ISBLANK('RESUMEN VIGILANCIA'!AU137),"",'RESUMEN VIGILANCIA'!AU137)</f>
        <v/>
      </c>
      <c r="AW107" s="397" t="str">
        <f>IF(ISBLANK('RESUMEN VIGILANCIA'!AV137),"",'RESUMEN VIGILANCIA'!AV137)</f>
        <v/>
      </c>
      <c r="AX107" s="397" t="str">
        <f>IF(ISBLANK('RESUMEN VIGILANCIA'!AW137),"",'RESUMEN VIGILANCIA'!AW137)</f>
        <v/>
      </c>
      <c r="AY107" s="397" t="str">
        <f>IF(ISBLANK('RESUMEN VIGILANCIA'!AX137),"",'RESUMEN VIGILANCIA'!AX137)</f>
        <v/>
      </c>
      <c r="AZ107" s="397" t="str">
        <f>IF(ISBLANK('RESUMEN VIGILANCIA'!AY137),"",'RESUMEN VIGILANCIA'!AY137)</f>
        <v/>
      </c>
      <c r="BA107" s="398" t="str">
        <f>IF(ISBLANK('RESUMEN VIGILANCIA'!AZ137),"",'RESUMEN VIGILANCIA'!AZ137)</f>
        <v/>
      </c>
      <c r="BB107" s="242">
        <f t="shared" si="8"/>
        <v>31350.3</v>
      </c>
      <c r="BC107" s="111"/>
      <c r="BD107" s="111"/>
    </row>
    <row r="108" spans="1:56" s="29" customFormat="1" ht="20.100000000000001" customHeight="1" x14ac:dyDescent="0.25">
      <c r="A108" s="40" t="str">
        <f>'RESUMEN VIGILANCIA'!A141</f>
        <v>Familia Pena Wierman</v>
      </c>
      <c r="B108" s="41" t="str">
        <f>'RESUMEN VIGILANCIA'!B141</f>
        <v>Calle Güigüe Nro. 89-126</v>
      </c>
      <c r="C108" s="454"/>
      <c r="D108" s="462" t="s">
        <v>1268</v>
      </c>
      <c r="E108" s="445" t="str">
        <f>IF(ISBLANK('RESUMEN VIGILANCIA'!D141),"",'RESUMEN VIGILANCIA'!D141)</f>
        <v/>
      </c>
      <c r="F108" s="290" t="str">
        <f>IF(ISBLANK('RESUMEN VIGILANCIA'!E141),"",'RESUMEN VIGILANCIA'!E141)</f>
        <v/>
      </c>
      <c r="G108" s="238" t="str">
        <f>IF(ISBLANK('RESUMEN VIGILANCIA'!F141),"",'RESUMEN VIGILANCIA'!F141)</f>
        <v/>
      </c>
      <c r="H108" s="238" t="str">
        <f>IF(ISBLANK('RESUMEN VIGILANCIA'!G141),"",'RESUMEN VIGILANCIA'!G141)</f>
        <v/>
      </c>
      <c r="I108" s="238" t="str">
        <f>IF(ISBLANK('RESUMEN VIGILANCIA'!H141),"",'RESUMEN VIGILANCIA'!H141)</f>
        <v/>
      </c>
      <c r="J108" s="238" t="str">
        <f>IF(ISBLANK('RESUMEN VIGILANCIA'!I141),"",'RESUMEN VIGILANCIA'!I141)</f>
        <v/>
      </c>
      <c r="K108" s="238" t="str">
        <f>IF(ISBLANK('RESUMEN VIGILANCIA'!J141),"",'RESUMEN VIGILANCIA'!J141)</f>
        <v/>
      </c>
      <c r="L108" s="238" t="str">
        <f>IF(ISBLANK('RESUMEN VIGILANCIA'!K141),"",'RESUMEN VIGILANCIA'!K141)</f>
        <v/>
      </c>
      <c r="M108" s="238" t="str">
        <f>IF(ISBLANK('RESUMEN VIGILANCIA'!L141),"",'RESUMEN VIGILANCIA'!L141)</f>
        <v/>
      </c>
      <c r="N108" s="238" t="str">
        <f>IF(ISBLANK('RESUMEN VIGILANCIA'!M141),"",'RESUMEN VIGILANCIA'!M141)</f>
        <v/>
      </c>
      <c r="O108" s="238" t="str">
        <f>IF(ISBLANK('RESUMEN VIGILANCIA'!N141),"",'RESUMEN VIGILANCIA'!N141)</f>
        <v/>
      </c>
      <c r="P108" s="291" t="str">
        <f>IF(ISBLANK('RESUMEN VIGILANCIA'!O141),"",'RESUMEN VIGILANCIA'!O141)</f>
        <v/>
      </c>
      <c r="Q108" s="236" t="str">
        <f>IF(ISBLANK('RESUMEN VIGILANCIA'!P141),"",'RESUMEN VIGILANCIA'!P141)</f>
        <v/>
      </c>
      <c r="R108" s="292" t="str">
        <f>IF(ISBLANK('RESUMEN VIGILANCIA'!Q141),"",'RESUMEN VIGILANCIA'!Q141)</f>
        <v/>
      </c>
      <c r="S108" s="291" t="str">
        <f>IF(ISBLANK('RESUMEN VIGILANCIA'!R141),"",'RESUMEN VIGILANCIA'!R141)</f>
        <v/>
      </c>
      <c r="T108" s="291" t="str">
        <f>IF(ISBLANK('RESUMEN VIGILANCIA'!S141),"",'RESUMEN VIGILANCIA'!S141)</f>
        <v/>
      </c>
      <c r="U108" s="291" t="str">
        <f>IF(ISBLANK('RESUMEN VIGILANCIA'!T141),"",'RESUMEN VIGILANCIA'!T141)</f>
        <v/>
      </c>
      <c r="V108" s="291" t="str">
        <f>IF(ISBLANK('RESUMEN VIGILANCIA'!U141),"",'RESUMEN VIGILANCIA'!U141)</f>
        <v/>
      </c>
      <c r="W108" s="291" t="str">
        <f>IF(ISBLANK('RESUMEN VIGILANCIA'!V141),"",'RESUMEN VIGILANCIA'!V141)</f>
        <v/>
      </c>
      <c r="X108" s="291" t="str">
        <f>IF(ISBLANK('RESUMEN VIGILANCIA'!W141),"",'RESUMEN VIGILANCIA'!W141)</f>
        <v/>
      </c>
      <c r="Y108" s="291" t="str">
        <f>IF(ISBLANK('RESUMEN VIGILANCIA'!X141),"",'RESUMEN VIGILANCIA'!X141)</f>
        <v/>
      </c>
      <c r="Z108" s="502" t="str">
        <f>IF(ISBLANK('RESUMEN VIGILANCIA'!Y141),"",'RESUMEN VIGILANCIA'!Y141)</f>
        <v/>
      </c>
      <c r="AA108" s="502" t="str">
        <f>IF(ISBLANK('RESUMEN VIGILANCIA'!Z141),"",'RESUMEN VIGILANCIA'!Z141)</f>
        <v/>
      </c>
      <c r="AB108" s="502" t="str">
        <f>IF(ISBLANK('RESUMEN VIGILANCIA'!AA141),"",'RESUMEN VIGILANCIA'!AA141)</f>
        <v/>
      </c>
      <c r="AC108" s="503" t="str">
        <f>IF(ISBLANK('RESUMEN VIGILANCIA'!AB141),"",'RESUMEN VIGILANCIA'!AB141)</f>
        <v/>
      </c>
      <c r="AD108" s="421" t="str">
        <f>IF(ISBLANK('RESUMEN VIGILANCIA'!AC141),"",'RESUMEN VIGILANCIA'!AC141)</f>
        <v/>
      </c>
      <c r="AE108" s="422" t="str">
        <f>IF(ISBLANK('RESUMEN VIGILANCIA'!AD141),"",'RESUMEN VIGILANCIA'!AD141)</f>
        <v/>
      </c>
      <c r="AF108" s="422" t="str">
        <f>IF(ISBLANK('RESUMEN VIGILANCIA'!AE141),"",'RESUMEN VIGILANCIA'!AE141)</f>
        <v/>
      </c>
      <c r="AG108" s="422" t="str">
        <f>IF(ISBLANK('RESUMEN VIGILANCIA'!AF141),"",'RESUMEN VIGILANCIA'!AF141)</f>
        <v/>
      </c>
      <c r="AH108" s="422" t="str">
        <f>IF(ISBLANK('RESUMEN VIGILANCIA'!AG141),"",'RESUMEN VIGILANCIA'!AG141)</f>
        <v/>
      </c>
      <c r="AI108" s="422" t="str">
        <f>IF(ISBLANK('RESUMEN VIGILANCIA'!AH141),"",'RESUMEN VIGILANCIA'!AH141)</f>
        <v/>
      </c>
      <c r="AJ108" s="422" t="str">
        <f>IF(ISBLANK('RESUMEN VIGILANCIA'!AI141),"",'RESUMEN VIGILANCIA'!AI141)</f>
        <v/>
      </c>
      <c r="AK108" s="422" t="str">
        <f>IF(ISBLANK('RESUMEN VIGILANCIA'!AJ141),"",'RESUMEN VIGILANCIA'!AJ141)</f>
        <v/>
      </c>
      <c r="AL108" s="422" t="str">
        <f>IF(ISBLANK('RESUMEN VIGILANCIA'!AK141),"",'RESUMEN VIGILANCIA'!AK141)</f>
        <v/>
      </c>
      <c r="AM108" s="422" t="str">
        <f>IF(ISBLANK('RESUMEN VIGILANCIA'!AL141),"",'RESUMEN VIGILANCIA'!AL141)</f>
        <v/>
      </c>
      <c r="AN108" s="422" t="str">
        <f>IF(ISBLANK('RESUMEN VIGILANCIA'!AM141),"",'RESUMEN VIGILANCIA'!AM141)</f>
        <v/>
      </c>
      <c r="AO108" s="423" t="str">
        <f>IF(ISBLANK('RESUMEN VIGILANCIA'!AN141),"",'RESUMEN VIGILANCIA'!AN141)</f>
        <v/>
      </c>
      <c r="AP108" s="421" t="str">
        <f>IF(ISBLANK('RESUMEN VIGILANCIA'!AO141),"",'RESUMEN VIGILANCIA'!AO141)</f>
        <v/>
      </c>
      <c r="AQ108" s="422" t="str">
        <f>IF(ISBLANK('RESUMEN VIGILANCIA'!AP141),"",'RESUMEN VIGILANCIA'!AP141)</f>
        <v/>
      </c>
      <c r="AR108" s="422" t="str">
        <f>IF(ISBLANK('RESUMEN VIGILANCIA'!AQ141),"",'RESUMEN VIGILANCIA'!AQ141)</f>
        <v/>
      </c>
      <c r="AS108" s="422" t="str">
        <f>IF(ISBLANK('RESUMEN VIGILANCIA'!AR141),"",'RESUMEN VIGILANCIA'!AR141)</f>
        <v/>
      </c>
      <c r="AT108" s="422" t="str">
        <f>IF(ISBLANK('RESUMEN VIGILANCIA'!AS141),"",'RESUMEN VIGILANCIA'!AS141)</f>
        <v/>
      </c>
      <c r="AU108" s="422" t="str">
        <f>IF(ISBLANK('RESUMEN VIGILANCIA'!AT141),"",'RESUMEN VIGILANCIA'!AT141)</f>
        <v/>
      </c>
      <c r="AV108" s="422" t="str">
        <f>IF(ISBLANK('RESUMEN VIGILANCIA'!AU141),"",'RESUMEN VIGILANCIA'!AU141)</f>
        <v/>
      </c>
      <c r="AW108" s="422" t="str">
        <f>IF(ISBLANK('RESUMEN VIGILANCIA'!AV141),"",'RESUMEN VIGILANCIA'!AV141)</f>
        <v/>
      </c>
      <c r="AX108" s="422" t="str">
        <f>IF(ISBLANK('RESUMEN VIGILANCIA'!AW141),"",'RESUMEN VIGILANCIA'!AW141)</f>
        <v/>
      </c>
      <c r="AY108" s="422" t="str">
        <f>IF(ISBLANK('RESUMEN VIGILANCIA'!AX141),"",'RESUMEN VIGILANCIA'!AX141)</f>
        <v/>
      </c>
      <c r="AZ108" s="422" t="str">
        <f>IF(ISBLANK('RESUMEN VIGILANCIA'!AY141),"",'RESUMEN VIGILANCIA'!AY141)</f>
        <v/>
      </c>
      <c r="BA108" s="423" t="str">
        <f>IF(ISBLANK('RESUMEN VIGILANCIA'!AZ141),"",'RESUMEN VIGILANCIA'!AZ141)</f>
        <v/>
      </c>
      <c r="BB108" s="247">
        <f t="shared" si="8"/>
        <v>0</v>
      </c>
      <c r="BC108" s="115"/>
      <c r="BD108" s="115">
        <v>43191</v>
      </c>
    </row>
    <row r="109" spans="1:56" s="29" customFormat="1" ht="20.100000000000001" customHeight="1" x14ac:dyDescent="0.25">
      <c r="A109" s="59" t="str">
        <f>'RESUMEN VIGILANCIA'!A103</f>
        <v>Familia Sayago Peñaranda</v>
      </c>
      <c r="B109" s="60" t="str">
        <f>'RESUMEN VIGILANCIA'!B103</f>
        <v>Calle Güigüe Nro. 89-04</v>
      </c>
      <c r="C109" s="452" t="s">
        <v>1269</v>
      </c>
      <c r="D109" s="460" t="s">
        <v>1268</v>
      </c>
      <c r="E109" s="440" t="str">
        <f>IF(ISBLANK('RESUMEN VIGILANCIA'!D103),"",'RESUMEN VIGILANCIA'!D103)</f>
        <v/>
      </c>
      <c r="F109" s="270">
        <f>IF(ISBLANK('RESUMEN VIGILANCIA'!E103),"",'RESUMEN VIGILANCIA'!E103)</f>
        <v>0.17</v>
      </c>
      <c r="G109" s="182">
        <f>IF(ISBLANK('RESUMEN VIGILANCIA'!F103),"",'RESUMEN VIGILANCIA'!F103)</f>
        <v>0.17</v>
      </c>
      <c r="H109" s="182">
        <f>IF(ISBLANK('RESUMEN VIGILANCIA'!G103),"",'RESUMEN VIGILANCIA'!G103)</f>
        <v>0.17</v>
      </c>
      <c r="I109" s="182">
        <f>IF(ISBLANK('RESUMEN VIGILANCIA'!H103),"",'RESUMEN VIGILANCIA'!H103)</f>
        <v>0.17</v>
      </c>
      <c r="J109" s="182">
        <f>IF(ISBLANK('RESUMEN VIGILANCIA'!I103),"",'RESUMEN VIGILANCIA'!I103)</f>
        <v>0.26</v>
      </c>
      <c r="K109" s="182">
        <f>IF(ISBLANK('RESUMEN VIGILANCIA'!J103),"",'RESUMEN VIGILANCIA'!J103)</f>
        <v>0.26</v>
      </c>
      <c r="L109" s="182">
        <f>IF(ISBLANK('RESUMEN VIGILANCIA'!K103),"",'RESUMEN VIGILANCIA'!K103)</f>
        <v>0.35</v>
      </c>
      <c r="M109" s="182">
        <f>IF(ISBLANK('RESUMEN VIGILANCIA'!L103),"",'RESUMEN VIGILANCIA'!L103)</f>
        <v>0.35</v>
      </c>
      <c r="N109" s="182">
        <f>IF(ISBLANK('RESUMEN VIGILANCIA'!M103),"",'RESUMEN VIGILANCIA'!M103)</f>
        <v>0.35</v>
      </c>
      <c r="O109" s="182">
        <f>IF(ISBLANK('RESUMEN VIGILANCIA'!N103),"",'RESUMEN VIGILANCIA'!N103)</f>
        <v>0.35</v>
      </c>
      <c r="P109" s="271">
        <f>IF(ISBLANK('RESUMEN VIGILANCIA'!O103),"",'RESUMEN VIGILANCIA'!O103)</f>
        <v>0.5</v>
      </c>
      <c r="Q109" s="180">
        <f>IF(ISBLANK('RESUMEN VIGILANCIA'!P103),"",'RESUMEN VIGILANCIA'!P103)</f>
        <v>0.5</v>
      </c>
      <c r="R109" s="272">
        <f>IF(ISBLANK('RESUMEN VIGILANCIA'!Q103),"",'RESUMEN VIGILANCIA'!Q103)</f>
        <v>0.8</v>
      </c>
      <c r="S109" s="271">
        <f>IF(ISBLANK('RESUMEN VIGILANCIA'!R103),"",'RESUMEN VIGILANCIA'!R103)</f>
        <v>0.8</v>
      </c>
      <c r="T109" s="271">
        <f>IF(ISBLANK('RESUMEN VIGILANCIA'!S103),"",'RESUMEN VIGILANCIA'!S103)</f>
        <v>1.4</v>
      </c>
      <c r="U109" s="271">
        <f>IF(ISBLANK('RESUMEN VIGILANCIA'!T103),"",'RESUMEN VIGILANCIA'!T103)</f>
        <v>1.4</v>
      </c>
      <c r="V109" s="275" t="s">
        <v>1177</v>
      </c>
      <c r="W109" s="276" t="str">
        <f>IF(ISBLANK('RESUMEN VIGILANCIA'!V103),"",'RESUMEN VIGILANCIA'!V103)</f>
        <v/>
      </c>
      <c r="X109" s="276" t="str">
        <f>IF(ISBLANK('RESUMEN VIGILANCIA'!W103),"",'RESUMEN VIGILANCIA'!W103)</f>
        <v/>
      </c>
      <c r="Y109" s="276" t="str">
        <f>IF(ISBLANK('RESUMEN VIGILANCIA'!X103),"",'RESUMEN VIGILANCIA'!X103)</f>
        <v/>
      </c>
      <c r="Z109" s="487" t="str">
        <f>IF(ISBLANK('RESUMEN VIGILANCIA'!Y103),"",'RESUMEN VIGILANCIA'!Y103)</f>
        <v/>
      </c>
      <c r="AA109" s="487" t="str">
        <f>IF(ISBLANK('RESUMEN VIGILANCIA'!Z103),"",'RESUMEN VIGILANCIA'!Z103)</f>
        <v/>
      </c>
      <c r="AB109" s="487" t="str">
        <f>IF(ISBLANK('RESUMEN VIGILANCIA'!AA103),"",'RESUMEN VIGILANCIA'!AA103)</f>
        <v/>
      </c>
      <c r="AC109" s="488" t="str">
        <f>IF(ISBLANK('RESUMEN VIGILANCIA'!AB103),"",'RESUMEN VIGILANCIA'!AB103)</f>
        <v/>
      </c>
      <c r="AD109" s="415" t="str">
        <f>IF(ISBLANK('RESUMEN VIGILANCIA'!AC103),"",'RESUMEN VIGILANCIA'!AC103)</f>
        <v/>
      </c>
      <c r="AE109" s="416" t="str">
        <f>IF(ISBLANK('RESUMEN VIGILANCIA'!AD103),"",'RESUMEN VIGILANCIA'!AD103)</f>
        <v/>
      </c>
      <c r="AF109" s="416" t="str">
        <f>IF(ISBLANK('RESUMEN VIGILANCIA'!AE103),"",'RESUMEN VIGILANCIA'!AE103)</f>
        <v/>
      </c>
      <c r="AG109" s="416" t="str">
        <f>IF(ISBLANK('RESUMEN VIGILANCIA'!AF103),"",'RESUMEN VIGILANCIA'!AF103)</f>
        <v/>
      </c>
      <c r="AH109" s="416" t="str">
        <f>IF(ISBLANK('RESUMEN VIGILANCIA'!AG103),"",'RESUMEN VIGILANCIA'!AG103)</f>
        <v/>
      </c>
      <c r="AI109" s="416" t="str">
        <f>IF(ISBLANK('RESUMEN VIGILANCIA'!AH103),"",'RESUMEN VIGILANCIA'!AH103)</f>
        <v/>
      </c>
      <c r="AJ109" s="416" t="str">
        <f>IF(ISBLANK('RESUMEN VIGILANCIA'!AI103),"",'RESUMEN VIGILANCIA'!AI103)</f>
        <v/>
      </c>
      <c r="AK109" s="416" t="str">
        <f>IF(ISBLANK('RESUMEN VIGILANCIA'!AJ103),"",'RESUMEN VIGILANCIA'!AJ103)</f>
        <v/>
      </c>
      <c r="AL109" s="416" t="str">
        <f>IF(ISBLANK('RESUMEN VIGILANCIA'!AK103),"",'RESUMEN VIGILANCIA'!AK103)</f>
        <v/>
      </c>
      <c r="AM109" s="416" t="str">
        <f>IF(ISBLANK('RESUMEN VIGILANCIA'!AL103),"",'RESUMEN VIGILANCIA'!AL103)</f>
        <v/>
      </c>
      <c r="AN109" s="416" t="str">
        <f>IF(ISBLANK('RESUMEN VIGILANCIA'!AM103),"",'RESUMEN VIGILANCIA'!AM103)</f>
        <v/>
      </c>
      <c r="AO109" s="417" t="str">
        <f>IF(ISBLANK('RESUMEN VIGILANCIA'!AN103),"",'RESUMEN VIGILANCIA'!AN103)</f>
        <v/>
      </c>
      <c r="AP109" s="415" t="str">
        <f>IF(ISBLANK('RESUMEN VIGILANCIA'!AO103),"",'RESUMEN VIGILANCIA'!AO103)</f>
        <v/>
      </c>
      <c r="AQ109" s="416" t="str">
        <f>IF(ISBLANK('RESUMEN VIGILANCIA'!AP103),"",'RESUMEN VIGILANCIA'!AP103)</f>
        <v/>
      </c>
      <c r="AR109" s="416" t="str">
        <f>IF(ISBLANK('RESUMEN VIGILANCIA'!AQ103),"",'RESUMEN VIGILANCIA'!AQ103)</f>
        <v/>
      </c>
      <c r="AS109" s="416" t="str">
        <f>IF(ISBLANK('RESUMEN VIGILANCIA'!AR103),"",'RESUMEN VIGILANCIA'!AR103)</f>
        <v/>
      </c>
      <c r="AT109" s="416" t="str">
        <f>IF(ISBLANK('RESUMEN VIGILANCIA'!AS103),"",'RESUMEN VIGILANCIA'!AS103)</f>
        <v/>
      </c>
      <c r="AU109" s="416" t="str">
        <f>IF(ISBLANK('RESUMEN VIGILANCIA'!AT103),"",'RESUMEN VIGILANCIA'!AT103)</f>
        <v/>
      </c>
      <c r="AV109" s="416" t="str">
        <f>IF(ISBLANK('RESUMEN VIGILANCIA'!AU103),"",'RESUMEN VIGILANCIA'!AU103)</f>
        <v/>
      </c>
      <c r="AW109" s="416" t="str">
        <f>IF(ISBLANK('RESUMEN VIGILANCIA'!AV103),"",'RESUMEN VIGILANCIA'!AV103)</f>
        <v/>
      </c>
      <c r="AX109" s="416" t="str">
        <f>IF(ISBLANK('RESUMEN VIGILANCIA'!AW103),"",'RESUMEN VIGILANCIA'!AW103)</f>
        <v/>
      </c>
      <c r="AY109" s="416" t="str">
        <f>IF(ISBLANK('RESUMEN VIGILANCIA'!AX103),"",'RESUMEN VIGILANCIA'!AX103)</f>
        <v/>
      </c>
      <c r="AZ109" s="416" t="str">
        <f>IF(ISBLANK('RESUMEN VIGILANCIA'!AY103),"",'RESUMEN VIGILANCIA'!AY103)</f>
        <v/>
      </c>
      <c r="BA109" s="417" t="str">
        <f>IF(ISBLANK('RESUMEN VIGILANCIA'!AZ103),"",'RESUMEN VIGILANCIA'!AZ103)</f>
        <v/>
      </c>
      <c r="BB109" s="243">
        <f t="shared" si="8"/>
        <v>8</v>
      </c>
      <c r="BC109" s="112"/>
      <c r="BD109" s="112">
        <v>43191</v>
      </c>
    </row>
    <row r="110" spans="1:56" s="29" customFormat="1" ht="20.100000000000001" customHeight="1" x14ac:dyDescent="0.25">
      <c r="A110" s="30" t="str">
        <f>'RESUMEN VIGILANCIA'!A104</f>
        <v>Carmen Moreno</v>
      </c>
      <c r="B110" s="31" t="str">
        <f>'RESUMEN VIGILANCIA'!B104</f>
        <v>Calle Güigüe Nro. 89-04</v>
      </c>
      <c r="C110" s="452" t="s">
        <v>1269</v>
      </c>
      <c r="D110" s="460" t="s">
        <v>17</v>
      </c>
      <c r="E110" s="442" t="str">
        <f>IF(ISBLANK('RESUMEN VIGILANCIA'!D104),"",'RESUMEN VIGILANCIA'!D104)</f>
        <v/>
      </c>
      <c r="F110" s="283" t="str">
        <f>IF(ISBLANK('RESUMEN VIGILANCIA'!E104),"",'RESUMEN VIGILANCIA'!E104)</f>
        <v/>
      </c>
      <c r="G110" s="210" t="str">
        <f>IF(ISBLANK('RESUMEN VIGILANCIA'!F104),"",'RESUMEN VIGILANCIA'!F104)</f>
        <v/>
      </c>
      <c r="H110" s="210" t="str">
        <f>IF(ISBLANK('RESUMEN VIGILANCIA'!G104),"",'RESUMEN VIGILANCIA'!G104)</f>
        <v/>
      </c>
      <c r="I110" s="210" t="str">
        <f>IF(ISBLANK('RESUMEN VIGILANCIA'!H104),"",'RESUMEN VIGILANCIA'!H104)</f>
        <v/>
      </c>
      <c r="J110" s="210" t="str">
        <f>IF(ISBLANK('RESUMEN VIGILANCIA'!I104),"",'RESUMEN VIGILANCIA'!I104)</f>
        <v/>
      </c>
      <c r="K110" s="210" t="str">
        <f>IF(ISBLANK('RESUMEN VIGILANCIA'!J104),"",'RESUMEN VIGILANCIA'!J104)</f>
        <v/>
      </c>
      <c r="L110" s="210" t="str">
        <f>IF(ISBLANK('RESUMEN VIGILANCIA'!K104),"",'RESUMEN VIGILANCIA'!K104)</f>
        <v/>
      </c>
      <c r="M110" s="210" t="str">
        <f>IF(ISBLANK('RESUMEN VIGILANCIA'!L104),"",'RESUMEN VIGILANCIA'!L104)</f>
        <v/>
      </c>
      <c r="N110" s="210" t="str">
        <f>IF(ISBLANK('RESUMEN VIGILANCIA'!M104),"",'RESUMEN VIGILANCIA'!M104)</f>
        <v/>
      </c>
      <c r="O110" s="210" t="str">
        <f>IF(ISBLANK('RESUMEN VIGILANCIA'!N104),"",'RESUMEN VIGILANCIA'!N104)</f>
        <v/>
      </c>
      <c r="P110" s="293" t="str">
        <f>IF(ISBLANK('RESUMEN VIGILANCIA'!O104),"",'RESUMEN VIGILANCIA'!O104)</f>
        <v/>
      </c>
      <c r="Q110" s="208" t="str">
        <f>IF(ISBLANK('RESUMEN VIGILANCIA'!P104),"",'RESUMEN VIGILANCIA'!P104)</f>
        <v/>
      </c>
      <c r="R110" s="294" t="str">
        <f>IF(ISBLANK('RESUMEN VIGILANCIA'!Q104),"",'RESUMEN VIGILANCIA'!Q104)</f>
        <v/>
      </c>
      <c r="S110" s="293" t="str">
        <f>IF(ISBLANK('RESUMEN VIGILANCIA'!R104),"",'RESUMEN VIGILANCIA'!R104)</f>
        <v/>
      </c>
      <c r="T110" s="293" t="str">
        <f>IF(ISBLANK('RESUMEN VIGILANCIA'!S104),"",'RESUMEN VIGILANCIA'!S104)</f>
        <v/>
      </c>
      <c r="U110" s="293" t="str">
        <f>IF(ISBLANK('RESUMEN VIGILANCIA'!T104),"",'RESUMEN VIGILANCIA'!T104)</f>
        <v/>
      </c>
      <c r="V110" s="271">
        <f>IF(ISBLANK('RESUMEN VIGILANCIA'!U104),"",'RESUMEN VIGILANCIA'!U104)</f>
        <v>4</v>
      </c>
      <c r="W110" s="271">
        <f>IF(ISBLANK('RESUMEN VIGILANCIA'!V104),"",'RESUMEN VIGILANCIA'!V104)</f>
        <v>6.25</v>
      </c>
      <c r="X110" s="271">
        <f>IF(ISBLANK('RESUMEN VIGILANCIA'!W104),"",'RESUMEN VIGILANCIA'!W104)</f>
        <v>10</v>
      </c>
      <c r="Y110" s="271">
        <f>IF(ISBLANK('RESUMEN VIGILANCIA'!X104),"",'RESUMEN VIGILANCIA'!X104)</f>
        <v>12</v>
      </c>
      <c r="Z110" s="481">
        <f>IF(ISBLANK('RESUMEN VIGILANCIA'!Y104),"",'RESUMEN VIGILANCIA'!Y104)</f>
        <v>320</v>
      </c>
      <c r="AA110" s="481">
        <f>IF(ISBLANK('RESUMEN VIGILANCIA'!Z104),"",'RESUMEN VIGILANCIA'!Z104)</f>
        <v>320</v>
      </c>
      <c r="AB110" s="481">
        <f>IF(ISBLANK('RESUMEN VIGILANCIA'!AA104),"",'RESUMEN VIGILANCIA'!AA104)</f>
        <v>320</v>
      </c>
      <c r="AC110" s="482">
        <f>IF(ISBLANK('RESUMEN VIGILANCIA'!AB104),"",'RESUMEN VIGILANCIA'!AB104)</f>
        <v>800</v>
      </c>
      <c r="AD110" s="399">
        <f>IF(ISBLANK('RESUMEN VIGILANCIA'!AC104),"",'RESUMEN VIGILANCIA'!AC104)</f>
        <v>3000</v>
      </c>
      <c r="AE110" s="400">
        <f>IF(ISBLANK('RESUMEN VIGILANCIA'!AD104),"",'RESUMEN VIGILANCIA'!AD104)</f>
        <v>3000</v>
      </c>
      <c r="AF110" s="400">
        <f>IF(ISBLANK('RESUMEN VIGILANCIA'!AE104),"",'RESUMEN VIGILANCIA'!AE104)</f>
        <v>3000</v>
      </c>
      <c r="AG110" s="400">
        <f>IF(ISBLANK('RESUMEN VIGILANCIA'!AF104),"",'RESUMEN VIGILANCIA'!AF104)</f>
        <v>5000</v>
      </c>
      <c r="AH110" s="400">
        <f>IF(ISBLANK('RESUMEN VIGILANCIA'!AG104),"",'RESUMEN VIGILANCIA'!AG104)</f>
        <v>8000</v>
      </c>
      <c r="AI110" s="400">
        <f>IF(ISBLANK('RESUMEN VIGILANCIA'!AH104),"",'RESUMEN VIGILANCIA'!AH104)</f>
        <v>8000</v>
      </c>
      <c r="AJ110" s="400">
        <f>IF(ISBLANK('RESUMEN VIGILANCIA'!AI104),"",'RESUMEN VIGILANCIA'!AI104)</f>
        <v>10000</v>
      </c>
      <c r="AK110" s="400">
        <f>IF(ISBLANK('RESUMEN VIGILANCIA'!AJ104),"",'RESUMEN VIGILANCIA'!AJ104)</f>
        <v>10000</v>
      </c>
      <c r="AL110" s="400">
        <f>IF(ISBLANK('RESUMEN VIGILANCIA'!AK104),"",'RESUMEN VIGILANCIA'!AK104)</f>
        <v>23400</v>
      </c>
      <c r="AM110" s="400">
        <f>IF(ISBLANK('RESUMEN VIGILANCIA'!AL104),"",'RESUMEN VIGILANCIA'!AL104)</f>
        <v>47000</v>
      </c>
      <c r="AN110" s="400">
        <f>IF(ISBLANK('RESUMEN VIGILANCIA'!AM104),"",'RESUMEN VIGILANCIA'!AM104)</f>
        <v>73500</v>
      </c>
      <c r="AO110" s="401">
        <f>IF(ISBLANK('RESUMEN VIGILANCIA'!AN104),"",'RESUMEN VIGILANCIA'!AN104)</f>
        <v>97500</v>
      </c>
      <c r="AP110" s="399">
        <f>IF(ISBLANK('RESUMEN VIGILANCIA'!AO104),"",'RESUMEN VIGILANCIA'!AO104)</f>
        <v>136250</v>
      </c>
      <c r="AQ110" s="400">
        <f>IF(ISBLANK('RESUMEN VIGILANCIA'!AP104),"",'RESUMEN VIGILANCIA'!AP104)</f>
        <v>136250</v>
      </c>
      <c r="AR110" s="400">
        <f>IF(ISBLANK('RESUMEN VIGILANCIA'!AQ104),"",'RESUMEN VIGILANCIA'!AQ104)</f>
        <v>185250</v>
      </c>
      <c r="AS110" s="400" t="str">
        <f>IF(ISBLANK('RESUMEN VIGILANCIA'!AR104),"",'RESUMEN VIGILANCIA'!AR104)</f>
        <v/>
      </c>
      <c r="AT110" s="400" t="str">
        <f>IF(ISBLANK('RESUMEN VIGILANCIA'!AS104),"",'RESUMEN VIGILANCIA'!AS104)</f>
        <v/>
      </c>
      <c r="AU110" s="400" t="str">
        <f>IF(ISBLANK('RESUMEN VIGILANCIA'!AT104),"",'RESUMEN VIGILANCIA'!AT104)</f>
        <v/>
      </c>
      <c r="AV110" s="400" t="str">
        <f>IF(ISBLANK('RESUMEN VIGILANCIA'!AU104),"",'RESUMEN VIGILANCIA'!AU104)</f>
        <v/>
      </c>
      <c r="AW110" s="400" t="str">
        <f>IF(ISBLANK('RESUMEN VIGILANCIA'!AV104),"",'RESUMEN VIGILANCIA'!AV104)</f>
        <v/>
      </c>
      <c r="AX110" s="400" t="str">
        <f>IF(ISBLANK('RESUMEN VIGILANCIA'!AW104),"",'RESUMEN VIGILANCIA'!AW104)</f>
        <v/>
      </c>
      <c r="AY110" s="400" t="str">
        <f>IF(ISBLANK('RESUMEN VIGILANCIA'!AX104),"",'RESUMEN VIGILANCIA'!AX104)</f>
        <v/>
      </c>
      <c r="AZ110" s="400" t="str">
        <f>IF(ISBLANK('RESUMEN VIGILANCIA'!AY104),"",'RESUMEN VIGILANCIA'!AY104)</f>
        <v/>
      </c>
      <c r="BA110" s="401" t="str">
        <f>IF(ISBLANK('RESUMEN VIGILANCIA'!AZ104),"",'RESUMEN VIGILANCIA'!AZ104)</f>
        <v/>
      </c>
      <c r="BB110" s="243">
        <f t="shared" si="8"/>
        <v>293192.25</v>
      </c>
      <c r="BC110" s="112">
        <v>43221</v>
      </c>
      <c r="BD110" s="112"/>
    </row>
    <row r="111" spans="1:56" s="29" customFormat="1" ht="20.100000000000001" customHeight="1" x14ac:dyDescent="0.25">
      <c r="A111" s="30" t="str">
        <f>'RESUMEN VIGILANCIA'!A115</f>
        <v>Familia Guerra Miret</v>
      </c>
      <c r="B111" s="31" t="str">
        <f>'RESUMEN VIGILANCIA'!B115</f>
        <v>Calle Güigüe Nro. 89-40</v>
      </c>
      <c r="C111" s="452" t="s">
        <v>1269</v>
      </c>
      <c r="D111" s="460"/>
      <c r="E111" s="440" t="str">
        <f>IF(ISBLANK('RESUMEN VIGILANCIA'!D115),"",'RESUMEN VIGILANCIA'!D115)</f>
        <v/>
      </c>
      <c r="F111" s="274">
        <f>IF(ISBLANK('RESUMEN VIGILANCIA'!E115),"",'RESUMEN VIGILANCIA'!E115)</f>
        <v>0.12</v>
      </c>
      <c r="G111" s="183">
        <f>IF(ISBLANK('RESUMEN VIGILANCIA'!F115),"",'RESUMEN VIGILANCIA'!F115)</f>
        <v>0.12</v>
      </c>
      <c r="H111" s="183">
        <f>IF(ISBLANK('RESUMEN VIGILANCIA'!G115),"",'RESUMEN VIGILANCIA'!G115)</f>
        <v>0.12</v>
      </c>
      <c r="I111" s="182">
        <f>IF(ISBLANK('RESUMEN VIGILANCIA'!H115),"",'RESUMEN VIGILANCIA'!H115)</f>
        <v>0.17</v>
      </c>
      <c r="J111" s="226" t="str">
        <f>IF(ISBLANK('RESUMEN VIGILANCIA'!I115),"",'RESUMEN VIGILANCIA'!I115)</f>
        <v/>
      </c>
      <c r="K111" s="182">
        <f>IF(ISBLANK('RESUMEN VIGILANCIA'!J115),"",'RESUMEN VIGILANCIA'!J115)</f>
        <v>0.26</v>
      </c>
      <c r="L111" s="182">
        <f>IF(ISBLANK('RESUMEN VIGILANCIA'!K115),"",'RESUMEN VIGILANCIA'!K115)</f>
        <v>0.35000000000000003</v>
      </c>
      <c r="M111" s="182">
        <f>IF(ISBLANK('RESUMEN VIGILANCIA'!L115),"",'RESUMEN VIGILANCIA'!L115)</f>
        <v>0.35000000000000003</v>
      </c>
      <c r="N111" s="182">
        <f>IF(ISBLANK('RESUMEN VIGILANCIA'!M115),"",'RESUMEN VIGILANCIA'!M115)</f>
        <v>0.35000000000000003</v>
      </c>
      <c r="O111" s="182">
        <f>IF(ISBLANK('RESUMEN VIGILANCIA'!N115),"",'RESUMEN VIGILANCIA'!N115)</f>
        <v>0.35000000000000003</v>
      </c>
      <c r="P111" s="271">
        <f>IF(ISBLANK('RESUMEN VIGILANCIA'!O115),"",'RESUMEN VIGILANCIA'!O115)</f>
        <v>0.5</v>
      </c>
      <c r="Q111" s="180">
        <f>IF(ISBLANK('RESUMEN VIGILANCIA'!P115),"",'RESUMEN VIGILANCIA'!P115)</f>
        <v>0.5</v>
      </c>
      <c r="R111" s="272">
        <f>IF(ISBLANK('RESUMEN VIGILANCIA'!Q115),"",'RESUMEN VIGILANCIA'!Q115)</f>
        <v>0.8</v>
      </c>
      <c r="S111" s="271">
        <f>IF(ISBLANK('RESUMEN VIGILANCIA'!R115),"",'RESUMEN VIGILANCIA'!R115)</f>
        <v>0.8</v>
      </c>
      <c r="T111" s="271">
        <f>IF(ISBLANK('RESUMEN VIGILANCIA'!S115),"",'RESUMEN VIGILANCIA'!S115)</f>
        <v>1.4</v>
      </c>
      <c r="U111" s="271">
        <f>IF(ISBLANK('RESUMEN VIGILANCIA'!T115),"",'RESUMEN VIGILANCIA'!T115)</f>
        <v>1.4</v>
      </c>
      <c r="V111" s="271">
        <f>IF(ISBLANK('RESUMEN VIGILANCIA'!U115),"",'RESUMEN VIGILANCIA'!U115)</f>
        <v>4</v>
      </c>
      <c r="W111" s="271">
        <f>IF(ISBLANK('RESUMEN VIGILANCIA'!V115),"",'RESUMEN VIGILANCIA'!V115)</f>
        <v>6.25</v>
      </c>
      <c r="X111" s="271">
        <f>IF(ISBLANK('RESUMEN VIGILANCIA'!W115),"",'RESUMEN VIGILANCIA'!W115)</f>
        <v>10</v>
      </c>
      <c r="Y111" s="271">
        <f>IF(ISBLANK('RESUMEN VIGILANCIA'!X115),"",'RESUMEN VIGILANCIA'!X115)</f>
        <v>12</v>
      </c>
      <c r="Z111" s="481">
        <f>IF(ISBLANK('RESUMEN VIGILANCIA'!Y115),"",'RESUMEN VIGILANCIA'!Y115)</f>
        <v>320</v>
      </c>
      <c r="AA111" s="481">
        <f>IF(ISBLANK('RESUMEN VIGILANCIA'!Z115),"",'RESUMEN VIGILANCIA'!Z115)</f>
        <v>320</v>
      </c>
      <c r="AB111" s="481">
        <f>IF(ISBLANK('RESUMEN VIGILANCIA'!AA115),"",'RESUMEN VIGILANCIA'!AA115)</f>
        <v>320</v>
      </c>
      <c r="AC111" s="482">
        <f>IF(ISBLANK('RESUMEN VIGILANCIA'!AB115),"",'RESUMEN VIGILANCIA'!AB115)</f>
        <v>800</v>
      </c>
      <c r="AD111" s="399">
        <f>IF(ISBLANK('RESUMEN VIGILANCIA'!AC115),"",'RESUMEN VIGILANCIA'!AC115)</f>
        <v>3000</v>
      </c>
      <c r="AE111" s="400">
        <f>IF(ISBLANK('RESUMEN VIGILANCIA'!AD115),"",'RESUMEN VIGILANCIA'!AD115)</f>
        <v>3000</v>
      </c>
      <c r="AF111" s="400">
        <f>IF(ISBLANK('RESUMEN VIGILANCIA'!AE115),"",'RESUMEN VIGILANCIA'!AE115)</f>
        <v>3000</v>
      </c>
      <c r="AG111" s="400">
        <f>IF(ISBLANK('RESUMEN VIGILANCIA'!AF115),"",'RESUMEN VIGILANCIA'!AF115)</f>
        <v>5000</v>
      </c>
      <c r="AH111" s="400">
        <f>IF(ISBLANK('RESUMEN VIGILANCIA'!AG115),"",'RESUMEN VIGILANCIA'!AG115)</f>
        <v>8000</v>
      </c>
      <c r="AI111" s="400">
        <f>IF(ISBLANK('RESUMEN VIGILANCIA'!AH115),"",'RESUMEN VIGILANCIA'!AH115)</f>
        <v>8000</v>
      </c>
      <c r="AJ111" s="400">
        <f>IF(ISBLANK('RESUMEN VIGILANCIA'!AI115),"",'RESUMEN VIGILANCIA'!AI115)</f>
        <v>10000</v>
      </c>
      <c r="AK111" s="400">
        <f>IF(ISBLANK('RESUMEN VIGILANCIA'!AJ115),"",'RESUMEN VIGILANCIA'!AJ115)</f>
        <v>10000</v>
      </c>
      <c r="AL111" s="400">
        <f>IF(ISBLANK('RESUMEN VIGILANCIA'!AK115),"",'RESUMEN VIGILANCIA'!AK115)</f>
        <v>23400</v>
      </c>
      <c r="AM111" s="400">
        <f>IF(ISBLANK('RESUMEN VIGILANCIA'!AL115),"",'RESUMEN VIGILANCIA'!AL115)</f>
        <v>51250</v>
      </c>
      <c r="AN111" s="400">
        <f>IF(ISBLANK('RESUMEN VIGILANCIA'!AM115),"",'RESUMEN VIGILANCIA'!AM115)</f>
        <v>51250</v>
      </c>
      <c r="AO111" s="401">
        <f>IF(ISBLANK('RESUMEN VIGILANCIA'!AN115),"",'RESUMEN VIGILANCIA'!AN115)</f>
        <v>81750</v>
      </c>
      <c r="AP111" s="399">
        <f>IF(ISBLANK('RESUMEN VIGILANCIA'!AO115),"",'RESUMEN VIGILANCIA'!AO115)</f>
        <v>105250</v>
      </c>
      <c r="AQ111" s="400">
        <f>IF(ISBLANK('RESUMEN VIGILANCIA'!AP115),"",'RESUMEN VIGILANCIA'!AP115)</f>
        <v>136250</v>
      </c>
      <c r="AR111" s="400">
        <f>IF(ISBLANK('RESUMEN VIGILANCIA'!AQ115),"",'RESUMEN VIGILANCIA'!AQ115)</f>
        <v>185250</v>
      </c>
      <c r="AS111" s="400" t="str">
        <f>IF(ISBLANK('RESUMEN VIGILANCIA'!AR115),"",'RESUMEN VIGILANCIA'!AR115)</f>
        <v/>
      </c>
      <c r="AT111" s="400" t="str">
        <f>IF(ISBLANK('RESUMEN VIGILANCIA'!AS115),"",'RESUMEN VIGILANCIA'!AS115)</f>
        <v/>
      </c>
      <c r="AU111" s="400" t="str">
        <f>IF(ISBLANK('RESUMEN VIGILANCIA'!AT115),"",'RESUMEN VIGILANCIA'!AT115)</f>
        <v/>
      </c>
      <c r="AV111" s="400" t="str">
        <f>IF(ISBLANK('RESUMEN VIGILANCIA'!AU115),"",'RESUMEN VIGILANCIA'!AU115)</f>
        <v/>
      </c>
      <c r="AW111" s="400" t="str">
        <f>IF(ISBLANK('RESUMEN VIGILANCIA'!AV115),"",'RESUMEN VIGILANCIA'!AV115)</f>
        <v/>
      </c>
      <c r="AX111" s="400" t="str">
        <f>IF(ISBLANK('RESUMEN VIGILANCIA'!AW115),"",'RESUMEN VIGILANCIA'!AW115)</f>
        <v/>
      </c>
      <c r="AY111" s="400" t="str">
        <f>IF(ISBLANK('RESUMEN VIGILANCIA'!AX115),"",'RESUMEN VIGILANCIA'!AX115)</f>
        <v/>
      </c>
      <c r="AZ111" s="400" t="str">
        <f>IF(ISBLANK('RESUMEN VIGILANCIA'!AY115),"",'RESUMEN VIGILANCIA'!AY115)</f>
        <v/>
      </c>
      <c r="BA111" s="401" t="str">
        <f>IF(ISBLANK('RESUMEN VIGILANCIA'!AZ115),"",'RESUMEN VIGILANCIA'!AZ115)</f>
        <v/>
      </c>
      <c r="BB111" s="243">
        <f t="shared" si="8"/>
        <v>259449.84</v>
      </c>
      <c r="BC111" s="112"/>
      <c r="BD111" s="112"/>
    </row>
    <row r="112" spans="1:56" s="29" customFormat="1" ht="20.100000000000001" customHeight="1" x14ac:dyDescent="0.25">
      <c r="A112" s="30" t="str">
        <f>'RESUMEN VIGILANCIA'!A116</f>
        <v>Familia Jiménez Salvatierra</v>
      </c>
      <c r="B112" s="31" t="str">
        <f>'RESUMEN VIGILANCIA'!B116</f>
        <v>Calle Güigüe Nro. 89-45</v>
      </c>
      <c r="C112" s="452" t="s">
        <v>1270</v>
      </c>
      <c r="D112" s="460" t="s">
        <v>1268</v>
      </c>
      <c r="E112" s="440" t="str">
        <f>IF(ISBLANK('RESUMEN VIGILANCIA'!D116),"",'RESUMEN VIGILANCIA'!D116)</f>
        <v/>
      </c>
      <c r="F112" s="270">
        <f>IF(ISBLANK('RESUMEN VIGILANCIA'!E116),"",'RESUMEN VIGILANCIA'!E116)</f>
        <v>0.17</v>
      </c>
      <c r="G112" s="182">
        <f>IF(ISBLANK('RESUMEN VIGILANCIA'!F116),"",'RESUMEN VIGILANCIA'!F116)</f>
        <v>0.17</v>
      </c>
      <c r="H112" s="182">
        <f>IF(ISBLANK('RESUMEN VIGILANCIA'!G116),"",'RESUMEN VIGILANCIA'!G116)</f>
        <v>0.17</v>
      </c>
      <c r="I112" s="182">
        <f>IF(ISBLANK('RESUMEN VIGILANCIA'!H116),"",'RESUMEN VIGILANCIA'!H116)</f>
        <v>0.17</v>
      </c>
      <c r="J112" s="182">
        <f>IF(ISBLANK('RESUMEN VIGILANCIA'!I116),"",'RESUMEN VIGILANCIA'!I116)</f>
        <v>0.26</v>
      </c>
      <c r="K112" s="182">
        <f>IF(ISBLANK('RESUMEN VIGILANCIA'!J116),"",'RESUMEN VIGILANCIA'!J116)</f>
        <v>0.26</v>
      </c>
      <c r="L112" s="182">
        <f>IF(ISBLANK('RESUMEN VIGILANCIA'!K116),"",'RESUMEN VIGILANCIA'!K116)</f>
        <v>0.35</v>
      </c>
      <c r="M112" s="182">
        <f>IF(ISBLANK('RESUMEN VIGILANCIA'!L116),"",'RESUMEN VIGILANCIA'!L116)</f>
        <v>0.35</v>
      </c>
      <c r="N112" s="182">
        <f>IF(ISBLANK('RESUMEN VIGILANCIA'!M116),"",'RESUMEN VIGILANCIA'!M116)</f>
        <v>0.35</v>
      </c>
      <c r="O112" s="182">
        <f>IF(ISBLANK('RESUMEN VIGILANCIA'!N116),"",'RESUMEN VIGILANCIA'!N116)</f>
        <v>0.35</v>
      </c>
      <c r="P112" s="271">
        <f>IF(ISBLANK('RESUMEN VIGILANCIA'!O116),"",'RESUMEN VIGILANCIA'!O116)</f>
        <v>0.5</v>
      </c>
      <c r="Q112" s="180">
        <f>IF(ISBLANK('RESUMEN VIGILANCIA'!P116),"",'RESUMEN VIGILANCIA'!P116)</f>
        <v>0.5</v>
      </c>
      <c r="R112" s="272">
        <f>IF(ISBLANK('RESUMEN VIGILANCIA'!Q116),"",'RESUMEN VIGILANCIA'!Q116)</f>
        <v>0.8</v>
      </c>
      <c r="S112" s="271">
        <f>IF(ISBLANK('RESUMEN VIGILANCIA'!R116),"",'RESUMEN VIGILANCIA'!R116)</f>
        <v>0.8</v>
      </c>
      <c r="T112" s="271">
        <f>IF(ISBLANK('RESUMEN VIGILANCIA'!S116),"",'RESUMEN VIGILANCIA'!S116)</f>
        <v>1.4</v>
      </c>
      <c r="U112" s="271">
        <f>IF(ISBLANK('RESUMEN VIGILANCIA'!T116),"",'RESUMEN VIGILANCIA'!T116)</f>
        <v>1.4</v>
      </c>
      <c r="V112" s="271">
        <f>IF(ISBLANK('RESUMEN VIGILANCIA'!U116),"",'RESUMEN VIGILANCIA'!U116)</f>
        <v>4</v>
      </c>
      <c r="W112" s="271">
        <f>IF(ISBLANK('RESUMEN VIGILANCIA'!V116),"",'RESUMEN VIGILANCIA'!V116)</f>
        <v>6.25</v>
      </c>
      <c r="X112" s="271">
        <f>IF(ISBLANK('RESUMEN VIGILANCIA'!W116),"",'RESUMEN VIGILANCIA'!W116)</f>
        <v>10</v>
      </c>
      <c r="Y112" s="271">
        <f>IF(ISBLANK('RESUMEN VIGILANCIA'!X116),"",'RESUMEN VIGILANCIA'!X116)</f>
        <v>12</v>
      </c>
      <c r="Z112" s="481" t="str">
        <f>IF(ISBLANK('RESUMEN VIGILANCIA'!Y116),"",'RESUMEN VIGILANCIA'!Y116)</f>
        <v/>
      </c>
      <c r="AA112" s="481" t="str">
        <f>IF(ISBLANK('RESUMEN VIGILANCIA'!Z116),"",'RESUMEN VIGILANCIA'!Z116)</f>
        <v/>
      </c>
      <c r="AB112" s="481" t="str">
        <f>IF(ISBLANK('RESUMEN VIGILANCIA'!AA116),"",'RESUMEN VIGILANCIA'!AA116)</f>
        <v/>
      </c>
      <c r="AC112" s="482" t="str">
        <f>IF(ISBLANK('RESUMEN VIGILANCIA'!AB116),"",'RESUMEN VIGILANCIA'!AB116)</f>
        <v/>
      </c>
      <c r="AD112" s="399" t="str">
        <f>IF(ISBLANK('RESUMEN VIGILANCIA'!AC116),"",'RESUMEN VIGILANCIA'!AC116)</f>
        <v/>
      </c>
      <c r="AE112" s="400" t="str">
        <f>IF(ISBLANK('RESUMEN VIGILANCIA'!AD116),"",'RESUMEN VIGILANCIA'!AD116)</f>
        <v/>
      </c>
      <c r="AF112" s="400" t="str">
        <f>IF(ISBLANK('RESUMEN VIGILANCIA'!AE116),"",'RESUMEN VIGILANCIA'!AE116)</f>
        <v/>
      </c>
      <c r="AG112" s="400" t="str">
        <f>IF(ISBLANK('RESUMEN VIGILANCIA'!AF116),"",'RESUMEN VIGILANCIA'!AF116)</f>
        <v/>
      </c>
      <c r="AH112" s="400" t="str">
        <f>IF(ISBLANK('RESUMEN VIGILANCIA'!AG116),"",'RESUMEN VIGILANCIA'!AG116)</f>
        <v/>
      </c>
      <c r="AI112" s="400" t="str">
        <f>IF(ISBLANK('RESUMEN VIGILANCIA'!AH116),"",'RESUMEN VIGILANCIA'!AH116)</f>
        <v/>
      </c>
      <c r="AJ112" s="400" t="str">
        <f>IF(ISBLANK('RESUMEN VIGILANCIA'!AI116),"",'RESUMEN VIGILANCIA'!AI116)</f>
        <v/>
      </c>
      <c r="AK112" s="400" t="str">
        <f>IF(ISBLANK('RESUMEN VIGILANCIA'!AJ116),"",'RESUMEN VIGILANCIA'!AJ116)</f>
        <v/>
      </c>
      <c r="AL112" s="400" t="str">
        <f>IF(ISBLANK('RESUMEN VIGILANCIA'!AK116),"",'RESUMEN VIGILANCIA'!AK116)</f>
        <v/>
      </c>
      <c r="AM112" s="400" t="str">
        <f>IF(ISBLANK('RESUMEN VIGILANCIA'!AL116),"",'RESUMEN VIGILANCIA'!AL116)</f>
        <v/>
      </c>
      <c r="AN112" s="400" t="str">
        <f>IF(ISBLANK('RESUMEN VIGILANCIA'!AM116),"",'RESUMEN VIGILANCIA'!AM116)</f>
        <v/>
      </c>
      <c r="AO112" s="401" t="str">
        <f>IF(ISBLANK('RESUMEN VIGILANCIA'!AN116),"",'RESUMEN VIGILANCIA'!AN116)</f>
        <v/>
      </c>
      <c r="AP112" s="399" t="str">
        <f>IF(ISBLANK('RESUMEN VIGILANCIA'!AO116),"",'RESUMEN VIGILANCIA'!AO116)</f>
        <v/>
      </c>
      <c r="AQ112" s="400" t="str">
        <f>IF(ISBLANK('RESUMEN VIGILANCIA'!AP116),"",'RESUMEN VIGILANCIA'!AP116)</f>
        <v/>
      </c>
      <c r="AR112" s="400" t="str">
        <f>IF(ISBLANK('RESUMEN VIGILANCIA'!AQ116),"",'RESUMEN VIGILANCIA'!AQ116)</f>
        <v/>
      </c>
      <c r="AS112" s="400" t="str">
        <f>IF(ISBLANK('RESUMEN VIGILANCIA'!AR116),"",'RESUMEN VIGILANCIA'!AR116)</f>
        <v/>
      </c>
      <c r="AT112" s="400" t="str">
        <f>IF(ISBLANK('RESUMEN VIGILANCIA'!AS116),"",'RESUMEN VIGILANCIA'!AS116)</f>
        <v/>
      </c>
      <c r="AU112" s="400" t="str">
        <f>IF(ISBLANK('RESUMEN VIGILANCIA'!AT116),"",'RESUMEN VIGILANCIA'!AT116)</f>
        <v/>
      </c>
      <c r="AV112" s="400" t="str">
        <f>IF(ISBLANK('RESUMEN VIGILANCIA'!AU116),"",'RESUMEN VIGILANCIA'!AU116)</f>
        <v/>
      </c>
      <c r="AW112" s="400" t="str">
        <f>IF(ISBLANK('RESUMEN VIGILANCIA'!AV116),"",'RESUMEN VIGILANCIA'!AV116)</f>
        <v/>
      </c>
      <c r="AX112" s="400" t="str">
        <f>IF(ISBLANK('RESUMEN VIGILANCIA'!AW116),"",'RESUMEN VIGILANCIA'!AW116)</f>
        <v/>
      </c>
      <c r="AY112" s="400" t="str">
        <f>IF(ISBLANK('RESUMEN VIGILANCIA'!AX116),"",'RESUMEN VIGILANCIA'!AX116)</f>
        <v/>
      </c>
      <c r="AZ112" s="400" t="str">
        <f>IF(ISBLANK('RESUMEN VIGILANCIA'!AY116),"",'RESUMEN VIGILANCIA'!AY116)</f>
        <v/>
      </c>
      <c r="BA112" s="401" t="str">
        <f>IF(ISBLANK('RESUMEN VIGILANCIA'!AZ116),"",'RESUMEN VIGILANCIA'!AZ116)</f>
        <v/>
      </c>
      <c r="BB112" s="243">
        <f t="shared" si="8"/>
        <v>40.25</v>
      </c>
      <c r="BC112" s="112"/>
      <c r="BD112" s="112"/>
    </row>
    <row r="113" spans="1:56" s="29" customFormat="1" ht="20.100000000000001" customHeight="1" x14ac:dyDescent="0.25">
      <c r="A113" s="30" t="str">
        <f>'RESUMEN VIGILANCIA'!A117</f>
        <v>Familia Alonso Rojas</v>
      </c>
      <c r="B113" s="31" t="str">
        <f>'RESUMEN VIGILANCIA'!B117</f>
        <v>Calle Güigüe Nro. 89-54</v>
      </c>
      <c r="C113" s="452" t="s">
        <v>1269</v>
      </c>
      <c r="D113" s="460" t="s">
        <v>1268</v>
      </c>
      <c r="E113" s="440" t="str">
        <f>IF(ISBLANK('RESUMEN VIGILANCIA'!D117),"",'RESUMEN VIGILANCIA'!D117)</f>
        <v/>
      </c>
      <c r="F113" s="270" t="str">
        <f>IF(ISBLANK('RESUMEN VIGILANCIA'!E117),"",'RESUMEN VIGILANCIA'!E117)</f>
        <v/>
      </c>
      <c r="G113" s="182" t="str">
        <f>IF(ISBLANK('RESUMEN VIGILANCIA'!F117),"",'RESUMEN VIGILANCIA'!F117)</f>
        <v/>
      </c>
      <c r="H113" s="182" t="str">
        <f>IF(ISBLANK('RESUMEN VIGILANCIA'!G117),"",'RESUMEN VIGILANCIA'!G117)</f>
        <v/>
      </c>
      <c r="I113" s="182" t="str">
        <f>IF(ISBLANK('RESUMEN VIGILANCIA'!H117),"",'RESUMEN VIGILANCIA'!H117)</f>
        <v/>
      </c>
      <c r="J113" s="182" t="str">
        <f>IF(ISBLANK('RESUMEN VIGILANCIA'!I117),"",'RESUMEN VIGILANCIA'!I117)</f>
        <v/>
      </c>
      <c r="K113" s="182" t="str">
        <f>IF(ISBLANK('RESUMEN VIGILANCIA'!J117),"",'RESUMEN VIGILANCIA'!J117)</f>
        <v/>
      </c>
      <c r="L113" s="182" t="str">
        <f>IF(ISBLANK('RESUMEN VIGILANCIA'!K117),"",'RESUMEN VIGILANCIA'!K117)</f>
        <v/>
      </c>
      <c r="M113" s="182" t="str">
        <f>IF(ISBLANK('RESUMEN VIGILANCIA'!L117),"",'RESUMEN VIGILANCIA'!L117)</f>
        <v/>
      </c>
      <c r="N113" s="182" t="str">
        <f>IF(ISBLANK('RESUMEN VIGILANCIA'!M117),"",'RESUMEN VIGILANCIA'!M117)</f>
        <v/>
      </c>
      <c r="O113" s="182" t="str">
        <f>IF(ISBLANK('RESUMEN VIGILANCIA'!N117),"",'RESUMEN VIGILANCIA'!N117)</f>
        <v/>
      </c>
      <c r="P113" s="271">
        <f>IF(ISBLANK('RESUMEN VIGILANCIA'!O117),"",'RESUMEN VIGILANCIA'!O117)</f>
        <v>0.5</v>
      </c>
      <c r="Q113" s="180">
        <f>IF(ISBLANK('RESUMEN VIGILANCIA'!P117),"",'RESUMEN VIGILANCIA'!P117)</f>
        <v>0.5</v>
      </c>
      <c r="R113" s="272">
        <f>IF(ISBLANK('RESUMEN VIGILANCIA'!Q117),"",'RESUMEN VIGILANCIA'!Q117)</f>
        <v>0.8</v>
      </c>
      <c r="S113" s="271">
        <f>IF(ISBLANK('RESUMEN VIGILANCIA'!R117),"",'RESUMEN VIGILANCIA'!R117)</f>
        <v>0.8</v>
      </c>
      <c r="T113" s="271">
        <f>IF(ISBLANK('RESUMEN VIGILANCIA'!S117),"",'RESUMEN VIGILANCIA'!S117)</f>
        <v>1.4</v>
      </c>
      <c r="U113" s="271">
        <f>IF(ISBLANK('RESUMEN VIGILANCIA'!T117),"",'RESUMEN VIGILANCIA'!T117)</f>
        <v>1.4</v>
      </c>
      <c r="V113" s="271">
        <f>IF(ISBLANK('RESUMEN VIGILANCIA'!U117),"",'RESUMEN VIGILANCIA'!U117)</f>
        <v>4</v>
      </c>
      <c r="W113" s="271">
        <f>IF(ISBLANK('RESUMEN VIGILANCIA'!V117),"",'RESUMEN VIGILANCIA'!V117)</f>
        <v>6.25</v>
      </c>
      <c r="X113" s="271">
        <f>IF(ISBLANK('RESUMEN VIGILANCIA'!W117),"",'RESUMEN VIGILANCIA'!W117)</f>
        <v>10</v>
      </c>
      <c r="Y113" s="271">
        <f>IF(ISBLANK('RESUMEN VIGILANCIA'!X117),"",'RESUMEN VIGILANCIA'!X117)</f>
        <v>15</v>
      </c>
      <c r="Z113" s="481">
        <f>IF(ISBLANK('RESUMEN VIGILANCIA'!Y117),"",'RESUMEN VIGILANCIA'!Y117)</f>
        <v>320</v>
      </c>
      <c r="AA113" s="481">
        <f>IF(ISBLANK('RESUMEN VIGILANCIA'!Z117),"",'RESUMEN VIGILANCIA'!Z117)</f>
        <v>320</v>
      </c>
      <c r="AB113" s="481">
        <f>IF(ISBLANK('RESUMEN VIGILANCIA'!AA117),"",'RESUMEN VIGILANCIA'!AA117)</f>
        <v>320</v>
      </c>
      <c r="AC113" s="482">
        <f>IF(ISBLANK('RESUMEN VIGILANCIA'!AB117),"",'RESUMEN VIGILANCIA'!AB117)</f>
        <v>500</v>
      </c>
      <c r="AD113" s="399">
        <f>IF(ISBLANK('RESUMEN VIGILANCIA'!AC117),"",'RESUMEN VIGILANCIA'!AC117)</f>
        <v>3000</v>
      </c>
      <c r="AE113" s="400">
        <f>IF(ISBLANK('RESUMEN VIGILANCIA'!AD117),"",'RESUMEN VIGILANCIA'!AD117)</f>
        <v>3000</v>
      </c>
      <c r="AF113" s="400">
        <f>IF(ISBLANK('RESUMEN VIGILANCIA'!AE117),"",'RESUMEN VIGILANCIA'!AE117)</f>
        <v>3000</v>
      </c>
      <c r="AG113" s="400">
        <f>IF(ISBLANK('RESUMEN VIGILANCIA'!AF117),"",'RESUMEN VIGILANCIA'!AF117)</f>
        <v>5000</v>
      </c>
      <c r="AH113" s="400">
        <f>IF(ISBLANK('RESUMEN VIGILANCIA'!AG117),"",'RESUMEN VIGILANCIA'!AG117)</f>
        <v>8000</v>
      </c>
      <c r="AI113" s="400">
        <f>IF(ISBLANK('RESUMEN VIGILANCIA'!AH117),"",'RESUMEN VIGILANCIA'!AH117)</f>
        <v>8000</v>
      </c>
      <c r="AJ113" s="400">
        <f>IF(ISBLANK('RESUMEN VIGILANCIA'!AI117),"",'RESUMEN VIGILANCIA'!AI117)</f>
        <v>10000</v>
      </c>
      <c r="AK113" s="400">
        <f>IF(ISBLANK('RESUMEN VIGILANCIA'!AJ117),"",'RESUMEN VIGILANCIA'!AJ117)</f>
        <v>10000</v>
      </c>
      <c r="AL113" s="400">
        <f>IF(ISBLANK('RESUMEN VIGILANCIA'!AK117),"",'RESUMEN VIGILANCIA'!AK117)</f>
        <v>20000</v>
      </c>
      <c r="AM113" s="400">
        <f>IF(ISBLANK('RESUMEN VIGILANCIA'!AL117),"",'RESUMEN VIGILANCIA'!AL117)</f>
        <v>56250</v>
      </c>
      <c r="AN113" s="400">
        <f>IF(ISBLANK('RESUMEN VIGILANCIA'!AM117),"",'RESUMEN VIGILANCIA'!AM117)</f>
        <v>56250</v>
      </c>
      <c r="AO113" s="401">
        <f>IF(ISBLANK('RESUMEN VIGILANCIA'!AN117),"",'RESUMEN VIGILANCIA'!AN117)</f>
        <v>105250</v>
      </c>
      <c r="AP113" s="399">
        <f>IF(ISBLANK('RESUMEN VIGILANCIA'!AO117),"",'RESUMEN VIGILANCIA'!AO117)</f>
        <v>136250</v>
      </c>
      <c r="AQ113" s="400">
        <f>IF(ISBLANK('RESUMEN VIGILANCIA'!AP117),"",'RESUMEN VIGILANCIA'!AP117)</f>
        <v>140000</v>
      </c>
      <c r="AR113" s="400">
        <f>IF(ISBLANK('RESUMEN VIGILANCIA'!AQ117),"",'RESUMEN VIGILANCIA'!AQ117)</f>
        <v>200000</v>
      </c>
      <c r="AS113" s="400" t="str">
        <f>IF(ISBLANK('RESUMEN VIGILANCIA'!AR117),"",'RESUMEN VIGILANCIA'!AR117)</f>
        <v/>
      </c>
      <c r="AT113" s="400" t="str">
        <f>IF(ISBLANK('RESUMEN VIGILANCIA'!AS117),"",'RESUMEN VIGILANCIA'!AS117)</f>
        <v/>
      </c>
      <c r="AU113" s="400" t="str">
        <f>IF(ISBLANK('RESUMEN VIGILANCIA'!AT117),"",'RESUMEN VIGILANCIA'!AT117)</f>
        <v/>
      </c>
      <c r="AV113" s="400" t="str">
        <f>IF(ISBLANK('RESUMEN VIGILANCIA'!AU117),"",'RESUMEN VIGILANCIA'!AU117)</f>
        <v/>
      </c>
      <c r="AW113" s="400" t="str">
        <f>IF(ISBLANK('RESUMEN VIGILANCIA'!AV117),"",'RESUMEN VIGILANCIA'!AV117)</f>
        <v/>
      </c>
      <c r="AX113" s="400" t="str">
        <f>IF(ISBLANK('RESUMEN VIGILANCIA'!AW117),"",'RESUMEN VIGILANCIA'!AW117)</f>
        <v/>
      </c>
      <c r="AY113" s="400" t="str">
        <f>IF(ISBLANK('RESUMEN VIGILANCIA'!AX117),"",'RESUMEN VIGILANCIA'!AX117)</f>
        <v/>
      </c>
      <c r="AZ113" s="400" t="str">
        <f>IF(ISBLANK('RESUMEN VIGILANCIA'!AY117),"",'RESUMEN VIGILANCIA'!AY117)</f>
        <v/>
      </c>
      <c r="BA113" s="401" t="str">
        <f>IF(ISBLANK('RESUMEN VIGILANCIA'!AZ117),"",'RESUMEN VIGILANCIA'!AZ117)</f>
        <v/>
      </c>
      <c r="BB113" s="243">
        <f t="shared" si="8"/>
        <v>289250.65000000002</v>
      </c>
      <c r="BC113" s="112"/>
      <c r="BD113" s="112"/>
    </row>
    <row r="114" spans="1:56" s="29" customFormat="1" ht="20.100000000000001" customHeight="1" x14ac:dyDescent="0.25">
      <c r="A114" s="30" t="str">
        <f>'RESUMEN VIGILANCIA'!A118</f>
        <v>Familia Fermín Rivas</v>
      </c>
      <c r="B114" s="31" t="str">
        <f>'RESUMEN VIGILANCIA'!B118</f>
        <v>Calle Güigüe Nro. 89-55</v>
      </c>
      <c r="C114" s="452" t="s">
        <v>1269</v>
      </c>
      <c r="D114" s="460" t="s">
        <v>17</v>
      </c>
      <c r="E114" s="440" t="str">
        <f>IF(ISBLANK('RESUMEN VIGILANCIA'!D118),"",'RESUMEN VIGILANCIA'!D118)</f>
        <v/>
      </c>
      <c r="F114" s="270">
        <f>IF(ISBLANK('RESUMEN VIGILANCIA'!E118),"",'RESUMEN VIGILANCIA'!E118)</f>
        <v>0.16999999999999998</v>
      </c>
      <c r="G114" s="182">
        <f>IF(ISBLANK('RESUMEN VIGILANCIA'!F118),"",'RESUMEN VIGILANCIA'!F118)</f>
        <v>0.16999999999999998</v>
      </c>
      <c r="H114" s="182">
        <f>IF(ISBLANK('RESUMEN VIGILANCIA'!G118),"",'RESUMEN VIGILANCIA'!G118)</f>
        <v>0.17</v>
      </c>
      <c r="I114" s="182">
        <f>IF(ISBLANK('RESUMEN VIGILANCIA'!H118),"",'RESUMEN VIGILANCIA'!H118)</f>
        <v>0.17</v>
      </c>
      <c r="J114" s="182">
        <f>IF(ISBLANK('RESUMEN VIGILANCIA'!I118),"",'RESUMEN VIGILANCIA'!I118)</f>
        <v>0.26</v>
      </c>
      <c r="K114" s="182">
        <f>IF(ISBLANK('RESUMEN VIGILANCIA'!J118),"",'RESUMEN VIGILANCIA'!J118)</f>
        <v>0.26</v>
      </c>
      <c r="L114" s="182">
        <f>IF(ISBLANK('RESUMEN VIGILANCIA'!K118),"",'RESUMEN VIGILANCIA'!K118)</f>
        <v>0.35</v>
      </c>
      <c r="M114" s="182">
        <f>IF(ISBLANK('RESUMEN VIGILANCIA'!L118),"",'RESUMEN VIGILANCIA'!L118)</f>
        <v>0.35</v>
      </c>
      <c r="N114" s="182">
        <f>IF(ISBLANK('RESUMEN VIGILANCIA'!M118),"",'RESUMEN VIGILANCIA'!M118)</f>
        <v>0.35</v>
      </c>
      <c r="O114" s="182">
        <f>IF(ISBLANK('RESUMEN VIGILANCIA'!N118),"",'RESUMEN VIGILANCIA'!N118)</f>
        <v>0.35</v>
      </c>
      <c r="P114" s="271">
        <f>IF(ISBLANK('RESUMEN VIGILANCIA'!O118),"",'RESUMEN VIGILANCIA'!O118)</f>
        <v>0.5</v>
      </c>
      <c r="Q114" s="180">
        <f>IF(ISBLANK('RESUMEN VIGILANCIA'!P118),"",'RESUMEN VIGILANCIA'!P118)</f>
        <v>0.5</v>
      </c>
      <c r="R114" s="272">
        <f>IF(ISBLANK('RESUMEN VIGILANCIA'!Q118),"",'RESUMEN VIGILANCIA'!Q118)</f>
        <v>0.8</v>
      </c>
      <c r="S114" s="271">
        <f>IF(ISBLANK('RESUMEN VIGILANCIA'!R118),"",'RESUMEN VIGILANCIA'!R118)</f>
        <v>0.8</v>
      </c>
      <c r="T114" s="271">
        <f>IF(ISBLANK('RESUMEN VIGILANCIA'!S118),"",'RESUMEN VIGILANCIA'!S118)</f>
        <v>1.4</v>
      </c>
      <c r="U114" s="271">
        <f>IF(ISBLANK('RESUMEN VIGILANCIA'!T118),"",'RESUMEN VIGILANCIA'!T118)</f>
        <v>1.4</v>
      </c>
      <c r="V114" s="271">
        <f>IF(ISBLANK('RESUMEN VIGILANCIA'!U118),"",'RESUMEN VIGILANCIA'!U118)</f>
        <v>4</v>
      </c>
      <c r="W114" s="271">
        <f>IF(ISBLANK('RESUMEN VIGILANCIA'!V118),"",'RESUMEN VIGILANCIA'!V118)</f>
        <v>6.25</v>
      </c>
      <c r="X114" s="271">
        <f>IF(ISBLANK('RESUMEN VIGILANCIA'!W118),"",'RESUMEN VIGILANCIA'!W118)</f>
        <v>10</v>
      </c>
      <c r="Y114" s="271">
        <f>IF(ISBLANK('RESUMEN VIGILANCIA'!X118),"",'RESUMEN VIGILANCIA'!X118)</f>
        <v>12</v>
      </c>
      <c r="Z114" s="481">
        <f>IF(ISBLANK('RESUMEN VIGILANCIA'!Y118),"",'RESUMEN VIGILANCIA'!Y118)</f>
        <v>320</v>
      </c>
      <c r="AA114" s="481">
        <f>IF(ISBLANK('RESUMEN VIGILANCIA'!Z118),"",'RESUMEN VIGILANCIA'!Z118)</f>
        <v>320</v>
      </c>
      <c r="AB114" s="481">
        <f>IF(ISBLANK('RESUMEN VIGILANCIA'!AA118),"",'RESUMEN VIGILANCIA'!AA118)</f>
        <v>320</v>
      </c>
      <c r="AC114" s="482">
        <f>IF(ISBLANK('RESUMEN VIGILANCIA'!AB118),"",'RESUMEN VIGILANCIA'!AB118)</f>
        <v>800</v>
      </c>
      <c r="AD114" s="399">
        <f>IF(ISBLANK('RESUMEN VIGILANCIA'!AC118),"",'RESUMEN VIGILANCIA'!AC118)</f>
        <v>3000</v>
      </c>
      <c r="AE114" s="400">
        <f>IF(ISBLANK('RESUMEN VIGILANCIA'!AD118),"",'RESUMEN VIGILANCIA'!AD118)</f>
        <v>3000</v>
      </c>
      <c r="AF114" s="400">
        <f>IF(ISBLANK('RESUMEN VIGILANCIA'!AE118),"",'RESUMEN VIGILANCIA'!AE118)</f>
        <v>3000</v>
      </c>
      <c r="AG114" s="400">
        <f>IF(ISBLANK('RESUMEN VIGILANCIA'!AF118),"",'RESUMEN VIGILANCIA'!AF118)</f>
        <v>8000</v>
      </c>
      <c r="AH114" s="400">
        <f>IF(ISBLANK('RESUMEN VIGILANCIA'!AG118),"",'RESUMEN VIGILANCIA'!AG118)</f>
        <v>8000</v>
      </c>
      <c r="AI114" s="400">
        <f>IF(ISBLANK('RESUMEN VIGILANCIA'!AH118),"",'RESUMEN VIGILANCIA'!AH118)</f>
        <v>8000</v>
      </c>
      <c r="AJ114" s="400">
        <f>IF(ISBLANK('RESUMEN VIGILANCIA'!AI118),"",'RESUMEN VIGILANCIA'!AI118)</f>
        <v>10000</v>
      </c>
      <c r="AK114" s="400">
        <f>IF(ISBLANK('RESUMEN VIGILANCIA'!AJ118),"",'RESUMEN VIGILANCIA'!AJ118)</f>
        <v>10000</v>
      </c>
      <c r="AL114" s="400">
        <f>IF(ISBLANK('RESUMEN VIGILANCIA'!AK118),"",'RESUMEN VIGILANCIA'!AK118)</f>
        <v>23401</v>
      </c>
      <c r="AM114" s="400">
        <f>IF(ISBLANK('RESUMEN VIGILANCIA'!AL118),"",'RESUMEN VIGILANCIA'!AL118)</f>
        <v>47000</v>
      </c>
      <c r="AN114" s="400">
        <f>IF(ISBLANK('RESUMEN VIGILANCIA'!AM118),"",'RESUMEN VIGILANCIA'!AM118)</f>
        <v>51250</v>
      </c>
      <c r="AO114" s="401">
        <f>IF(ISBLANK('RESUMEN VIGILANCIA'!AN118),"",'RESUMEN VIGILANCIA'!AN118)</f>
        <v>81750</v>
      </c>
      <c r="AP114" s="399">
        <f>IF(ISBLANK('RESUMEN VIGILANCIA'!AO118),"",'RESUMEN VIGILANCIA'!AO118)</f>
        <v>136250</v>
      </c>
      <c r="AQ114" s="400">
        <f>IF(ISBLANK('RESUMEN VIGILANCIA'!AP118),"",'RESUMEN VIGILANCIA'!AP118)</f>
        <v>136250</v>
      </c>
      <c r="AR114" s="400">
        <f>IF(ISBLANK('RESUMEN VIGILANCIA'!AQ118),"",'RESUMEN VIGILANCIA'!AQ118)</f>
        <v>185250</v>
      </c>
      <c r="AS114" s="400" t="str">
        <f>IF(ISBLANK('RESUMEN VIGILANCIA'!AR118),"",'RESUMEN VIGILANCIA'!AR118)</f>
        <v/>
      </c>
      <c r="AT114" s="400" t="str">
        <f>IF(ISBLANK('RESUMEN VIGILANCIA'!AS118),"",'RESUMEN VIGILANCIA'!AS118)</f>
        <v/>
      </c>
      <c r="AU114" s="400" t="str">
        <f>IF(ISBLANK('RESUMEN VIGILANCIA'!AT118),"",'RESUMEN VIGILANCIA'!AT118)</f>
        <v/>
      </c>
      <c r="AV114" s="400" t="str">
        <f>IF(ISBLANK('RESUMEN VIGILANCIA'!AU118),"",'RESUMEN VIGILANCIA'!AU118)</f>
        <v/>
      </c>
      <c r="AW114" s="400" t="str">
        <f>IF(ISBLANK('RESUMEN VIGILANCIA'!AV118),"",'RESUMEN VIGILANCIA'!AV118)</f>
        <v/>
      </c>
      <c r="AX114" s="400" t="str">
        <f>IF(ISBLANK('RESUMEN VIGILANCIA'!AW118),"",'RESUMEN VIGILANCIA'!AW118)</f>
        <v/>
      </c>
      <c r="AY114" s="400" t="str">
        <f>IF(ISBLANK('RESUMEN VIGILANCIA'!AX118),"",'RESUMEN VIGILANCIA'!AX118)</f>
        <v/>
      </c>
      <c r="AZ114" s="400" t="str">
        <f>IF(ISBLANK('RESUMEN VIGILANCIA'!AY118),"",'RESUMEN VIGILANCIA'!AY118)</f>
        <v/>
      </c>
      <c r="BA114" s="401" t="str">
        <f>IF(ISBLANK('RESUMEN VIGILANCIA'!AZ118),"",'RESUMEN VIGILANCIA'!AZ118)</f>
        <v/>
      </c>
      <c r="BB114" s="243">
        <f t="shared" si="8"/>
        <v>258201.25</v>
      </c>
      <c r="BC114" s="112"/>
      <c r="BD114" s="112"/>
    </row>
    <row r="115" spans="1:56" s="29" customFormat="1" ht="20.100000000000001" customHeight="1" x14ac:dyDescent="0.25">
      <c r="A115" s="30" t="str">
        <f>'RESUMEN VIGILANCIA'!A119</f>
        <v>Familia Blonval Hernández</v>
      </c>
      <c r="B115" s="31" t="str">
        <f>'RESUMEN VIGILANCIA'!B119</f>
        <v>Calle Güigüe Nro. 89-64</v>
      </c>
      <c r="C115" s="452" t="s">
        <v>1270</v>
      </c>
      <c r="D115" s="460" t="s">
        <v>1268</v>
      </c>
      <c r="E115" s="440" t="str">
        <f>IF(ISBLANK('RESUMEN VIGILANCIA'!D119),"",'RESUMEN VIGILANCIA'!D119)</f>
        <v/>
      </c>
      <c r="F115" s="270" t="str">
        <f>IF(ISBLANK('RESUMEN VIGILANCIA'!E119),"",'RESUMEN VIGILANCIA'!E119)</f>
        <v/>
      </c>
      <c r="G115" s="182" t="str">
        <f>IF(ISBLANK('RESUMEN VIGILANCIA'!F119),"",'RESUMEN VIGILANCIA'!F119)</f>
        <v/>
      </c>
      <c r="H115" s="182" t="str">
        <f>IF(ISBLANK('RESUMEN VIGILANCIA'!G119),"",'RESUMEN VIGILANCIA'!G119)</f>
        <v/>
      </c>
      <c r="I115" s="182" t="str">
        <f>IF(ISBLANK('RESUMEN VIGILANCIA'!H119),"",'RESUMEN VIGILANCIA'!H119)</f>
        <v/>
      </c>
      <c r="J115" s="182" t="str">
        <f>IF(ISBLANK('RESUMEN VIGILANCIA'!I119),"",'RESUMEN VIGILANCIA'!I119)</f>
        <v/>
      </c>
      <c r="K115" s="182" t="str">
        <f>IF(ISBLANK('RESUMEN VIGILANCIA'!J119),"",'RESUMEN VIGILANCIA'!J119)</f>
        <v/>
      </c>
      <c r="L115" s="182" t="str">
        <f>IF(ISBLANK('RESUMEN VIGILANCIA'!K119),"",'RESUMEN VIGILANCIA'!K119)</f>
        <v/>
      </c>
      <c r="M115" s="182" t="str">
        <f>IF(ISBLANK('RESUMEN VIGILANCIA'!L119),"",'RESUMEN VIGILANCIA'!L119)</f>
        <v/>
      </c>
      <c r="N115" s="182" t="str">
        <f>IF(ISBLANK('RESUMEN VIGILANCIA'!M119),"",'RESUMEN VIGILANCIA'!M119)</f>
        <v/>
      </c>
      <c r="O115" s="182" t="str">
        <f>IF(ISBLANK('RESUMEN VIGILANCIA'!N119),"",'RESUMEN VIGILANCIA'!N119)</f>
        <v/>
      </c>
      <c r="P115" s="271" t="str">
        <f>IF(ISBLANK('RESUMEN VIGILANCIA'!O119),"",'RESUMEN VIGILANCIA'!O119)</f>
        <v/>
      </c>
      <c r="Q115" s="180" t="str">
        <f>IF(ISBLANK('RESUMEN VIGILANCIA'!P119),"",'RESUMEN VIGILANCIA'!P119)</f>
        <v/>
      </c>
      <c r="R115" s="272" t="str">
        <f>IF(ISBLANK('RESUMEN VIGILANCIA'!Q119),"",'RESUMEN VIGILANCIA'!Q119)</f>
        <v/>
      </c>
      <c r="S115" s="271" t="str">
        <f>IF(ISBLANK('RESUMEN VIGILANCIA'!R119),"",'RESUMEN VIGILANCIA'!R119)</f>
        <v/>
      </c>
      <c r="T115" s="271" t="str">
        <f>IF(ISBLANK('RESUMEN VIGILANCIA'!S119),"",'RESUMEN VIGILANCIA'!S119)</f>
        <v/>
      </c>
      <c r="U115" s="271" t="str">
        <f>IF(ISBLANK('RESUMEN VIGILANCIA'!T119),"",'RESUMEN VIGILANCIA'!T119)</f>
        <v/>
      </c>
      <c r="V115" s="271" t="str">
        <f>IF(ISBLANK('RESUMEN VIGILANCIA'!U119),"",'RESUMEN VIGILANCIA'!U119)</f>
        <v/>
      </c>
      <c r="W115" s="271" t="str">
        <f>IF(ISBLANK('RESUMEN VIGILANCIA'!V119),"",'RESUMEN VIGILANCIA'!V119)</f>
        <v/>
      </c>
      <c r="X115" s="271" t="str">
        <f>IF(ISBLANK('RESUMEN VIGILANCIA'!W119),"",'RESUMEN VIGILANCIA'!W119)</f>
        <v/>
      </c>
      <c r="Y115" s="271" t="str">
        <f>IF(ISBLANK('RESUMEN VIGILANCIA'!X119),"",'RESUMEN VIGILANCIA'!X119)</f>
        <v/>
      </c>
      <c r="Z115" s="481" t="str">
        <f>IF(ISBLANK('RESUMEN VIGILANCIA'!Y119),"",'RESUMEN VIGILANCIA'!Y119)</f>
        <v/>
      </c>
      <c r="AA115" s="481" t="str">
        <f>IF(ISBLANK('RESUMEN VIGILANCIA'!Z119),"",'RESUMEN VIGILANCIA'!Z119)</f>
        <v/>
      </c>
      <c r="AB115" s="481" t="str">
        <f>IF(ISBLANK('RESUMEN VIGILANCIA'!AA119),"",'RESUMEN VIGILANCIA'!AA119)</f>
        <v/>
      </c>
      <c r="AC115" s="482" t="str">
        <f>IF(ISBLANK('RESUMEN VIGILANCIA'!AB119),"",'RESUMEN VIGILANCIA'!AB119)</f>
        <v/>
      </c>
      <c r="AD115" s="399" t="str">
        <f>IF(ISBLANK('RESUMEN VIGILANCIA'!AC119),"",'RESUMEN VIGILANCIA'!AC119)</f>
        <v/>
      </c>
      <c r="AE115" s="400" t="str">
        <f>IF(ISBLANK('RESUMEN VIGILANCIA'!AD119),"",'RESUMEN VIGILANCIA'!AD119)</f>
        <v/>
      </c>
      <c r="AF115" s="400" t="str">
        <f>IF(ISBLANK('RESUMEN VIGILANCIA'!AE119),"",'RESUMEN VIGILANCIA'!AE119)</f>
        <v/>
      </c>
      <c r="AG115" s="400" t="str">
        <f>IF(ISBLANK('RESUMEN VIGILANCIA'!AF119),"",'RESUMEN VIGILANCIA'!AF119)</f>
        <v/>
      </c>
      <c r="AH115" s="400" t="str">
        <f>IF(ISBLANK('RESUMEN VIGILANCIA'!AG119),"",'RESUMEN VIGILANCIA'!AG119)</f>
        <v/>
      </c>
      <c r="AI115" s="400" t="str">
        <f>IF(ISBLANK('RESUMEN VIGILANCIA'!AH119),"",'RESUMEN VIGILANCIA'!AH119)</f>
        <v/>
      </c>
      <c r="AJ115" s="400" t="str">
        <f>IF(ISBLANK('RESUMEN VIGILANCIA'!AI119),"",'RESUMEN VIGILANCIA'!AI119)</f>
        <v/>
      </c>
      <c r="AK115" s="400" t="str">
        <f>IF(ISBLANK('RESUMEN VIGILANCIA'!AJ119),"",'RESUMEN VIGILANCIA'!AJ119)</f>
        <v/>
      </c>
      <c r="AL115" s="400" t="str">
        <f>IF(ISBLANK('RESUMEN VIGILANCIA'!AK119),"",'RESUMEN VIGILANCIA'!AK119)</f>
        <v/>
      </c>
      <c r="AM115" s="400" t="str">
        <f>IF(ISBLANK('RESUMEN VIGILANCIA'!AL119),"",'RESUMEN VIGILANCIA'!AL119)</f>
        <v/>
      </c>
      <c r="AN115" s="400" t="str">
        <f>IF(ISBLANK('RESUMEN VIGILANCIA'!AM119),"",'RESUMEN VIGILANCIA'!AM119)</f>
        <v/>
      </c>
      <c r="AO115" s="401" t="str">
        <f>IF(ISBLANK('RESUMEN VIGILANCIA'!AN119),"",'RESUMEN VIGILANCIA'!AN119)</f>
        <v/>
      </c>
      <c r="AP115" s="399" t="str">
        <f>IF(ISBLANK('RESUMEN VIGILANCIA'!AO119),"",'RESUMEN VIGILANCIA'!AO119)</f>
        <v/>
      </c>
      <c r="AQ115" s="400" t="str">
        <f>IF(ISBLANK('RESUMEN VIGILANCIA'!AP119),"",'RESUMEN VIGILANCIA'!AP119)</f>
        <v/>
      </c>
      <c r="AR115" s="400" t="str">
        <f>IF(ISBLANK('RESUMEN VIGILANCIA'!AQ119),"",'RESUMEN VIGILANCIA'!AQ119)</f>
        <v/>
      </c>
      <c r="AS115" s="400" t="str">
        <f>IF(ISBLANK('RESUMEN VIGILANCIA'!AR119),"",'RESUMEN VIGILANCIA'!AR119)</f>
        <v/>
      </c>
      <c r="AT115" s="400" t="str">
        <f>IF(ISBLANK('RESUMEN VIGILANCIA'!AS119),"",'RESUMEN VIGILANCIA'!AS119)</f>
        <v/>
      </c>
      <c r="AU115" s="400" t="str">
        <f>IF(ISBLANK('RESUMEN VIGILANCIA'!AT119),"",'RESUMEN VIGILANCIA'!AT119)</f>
        <v/>
      </c>
      <c r="AV115" s="400" t="str">
        <f>IF(ISBLANK('RESUMEN VIGILANCIA'!AU119),"",'RESUMEN VIGILANCIA'!AU119)</f>
        <v/>
      </c>
      <c r="AW115" s="400" t="str">
        <f>IF(ISBLANK('RESUMEN VIGILANCIA'!AV119),"",'RESUMEN VIGILANCIA'!AV119)</f>
        <v/>
      </c>
      <c r="AX115" s="400" t="str">
        <f>IF(ISBLANK('RESUMEN VIGILANCIA'!AW119),"",'RESUMEN VIGILANCIA'!AW119)</f>
        <v/>
      </c>
      <c r="AY115" s="400" t="str">
        <f>IF(ISBLANK('RESUMEN VIGILANCIA'!AX119),"",'RESUMEN VIGILANCIA'!AX119)</f>
        <v/>
      </c>
      <c r="AZ115" s="400" t="str">
        <f>IF(ISBLANK('RESUMEN VIGILANCIA'!AY119),"",'RESUMEN VIGILANCIA'!AY119)</f>
        <v/>
      </c>
      <c r="BA115" s="401" t="str">
        <f>IF(ISBLANK('RESUMEN VIGILANCIA'!AZ119),"",'RESUMEN VIGILANCIA'!AZ119)</f>
        <v/>
      </c>
      <c r="BB115" s="243">
        <f t="shared" si="8"/>
        <v>0</v>
      </c>
      <c r="BC115" s="112"/>
      <c r="BD115" s="112"/>
    </row>
    <row r="116" spans="1:56" s="29" customFormat="1" ht="20.100000000000001" customHeight="1" x14ac:dyDescent="0.25">
      <c r="A116" s="30" t="str">
        <f>'RESUMEN VIGILANCIA'!A120</f>
        <v>Familia Milanés Carmona</v>
      </c>
      <c r="B116" s="31" t="str">
        <f>'RESUMEN VIGILANCIA'!B120</f>
        <v>Calle Güigüe Nro. 89-65</v>
      </c>
      <c r="C116" s="452" t="s">
        <v>1269</v>
      </c>
      <c r="D116" s="460" t="s">
        <v>17</v>
      </c>
      <c r="E116" s="440" t="str">
        <f>IF(ISBLANK('RESUMEN VIGILANCIA'!D120),"",'RESUMEN VIGILANCIA'!D120)</f>
        <v/>
      </c>
      <c r="F116" s="274" t="str">
        <f>IF(ISBLANK('RESUMEN VIGILANCIA'!E120),"",'RESUMEN VIGILANCIA'!E120)</f>
        <v/>
      </c>
      <c r="G116" s="183" t="str">
        <f>IF(ISBLANK('RESUMEN VIGILANCIA'!F120),"",'RESUMEN VIGILANCIA'!F120)</f>
        <v/>
      </c>
      <c r="H116" s="183" t="str">
        <f>IF(ISBLANK('RESUMEN VIGILANCIA'!G120),"",'RESUMEN VIGILANCIA'!G120)</f>
        <v/>
      </c>
      <c r="I116" s="183" t="str">
        <f>IF(ISBLANK('RESUMEN VIGILANCIA'!H120),"",'RESUMEN VIGILANCIA'!H120)</f>
        <v/>
      </c>
      <c r="J116" s="183" t="str">
        <f>IF(ISBLANK('RESUMEN VIGILANCIA'!I120),"",'RESUMEN VIGILANCIA'!I120)</f>
        <v/>
      </c>
      <c r="K116" s="182">
        <f>IF(ISBLANK('RESUMEN VIGILANCIA'!J120),"",'RESUMEN VIGILANCIA'!J120)</f>
        <v>0.26</v>
      </c>
      <c r="L116" s="182">
        <f>IF(ISBLANK('RESUMEN VIGILANCIA'!K120),"",'RESUMEN VIGILANCIA'!K120)</f>
        <v>0.35</v>
      </c>
      <c r="M116" s="182">
        <f>IF(ISBLANK('RESUMEN VIGILANCIA'!L120),"",'RESUMEN VIGILANCIA'!L120)</f>
        <v>0.35</v>
      </c>
      <c r="N116" s="182">
        <f>IF(ISBLANK('RESUMEN VIGILANCIA'!M120),"",'RESUMEN VIGILANCIA'!M120)</f>
        <v>0.35</v>
      </c>
      <c r="O116" s="182">
        <f>IF(ISBLANK('RESUMEN VIGILANCIA'!N120),"",'RESUMEN VIGILANCIA'!N120)</f>
        <v>0.35</v>
      </c>
      <c r="P116" s="271">
        <f>IF(ISBLANK('RESUMEN VIGILANCIA'!O120),"",'RESUMEN VIGILANCIA'!O120)</f>
        <v>0.5</v>
      </c>
      <c r="Q116" s="180">
        <f>IF(ISBLANK('RESUMEN VIGILANCIA'!P120),"",'RESUMEN VIGILANCIA'!P120)</f>
        <v>0.5</v>
      </c>
      <c r="R116" s="272">
        <f>IF(ISBLANK('RESUMEN VIGILANCIA'!Q120),"",'RESUMEN VIGILANCIA'!Q120)</f>
        <v>0.8</v>
      </c>
      <c r="S116" s="271">
        <f>IF(ISBLANK('RESUMEN VIGILANCIA'!R120),"",'RESUMEN VIGILANCIA'!R120)</f>
        <v>0.8</v>
      </c>
      <c r="T116" s="271">
        <f>IF(ISBLANK('RESUMEN VIGILANCIA'!S120),"",'RESUMEN VIGILANCIA'!S120)</f>
        <v>1.4</v>
      </c>
      <c r="U116" s="271">
        <f>IF(ISBLANK('RESUMEN VIGILANCIA'!T120),"",'RESUMEN VIGILANCIA'!T120)</f>
        <v>1.4</v>
      </c>
      <c r="V116" s="271">
        <f>IF(ISBLANK('RESUMEN VIGILANCIA'!U120),"",'RESUMEN VIGILANCIA'!U120)</f>
        <v>4</v>
      </c>
      <c r="W116" s="271">
        <f>IF(ISBLANK('RESUMEN VIGILANCIA'!V120),"",'RESUMEN VIGILANCIA'!V120)</f>
        <v>6.25</v>
      </c>
      <c r="X116" s="271">
        <f>IF(ISBLANK('RESUMEN VIGILANCIA'!W120),"",'RESUMEN VIGILANCIA'!W120)</f>
        <v>10</v>
      </c>
      <c r="Y116" s="271">
        <f>IF(ISBLANK('RESUMEN VIGILANCIA'!X120),"",'RESUMEN VIGILANCIA'!X120)</f>
        <v>12</v>
      </c>
      <c r="Z116" s="481">
        <f>IF(ISBLANK('RESUMEN VIGILANCIA'!Y120),"",'RESUMEN VIGILANCIA'!Y120)</f>
        <v>333</v>
      </c>
      <c r="AA116" s="481">
        <f>IF(ISBLANK('RESUMEN VIGILANCIA'!Z120),"",'RESUMEN VIGILANCIA'!Z120)</f>
        <v>320</v>
      </c>
      <c r="AB116" s="481">
        <f>IF(ISBLANK('RESUMEN VIGILANCIA'!AA120),"",'RESUMEN VIGILANCIA'!AA120)</f>
        <v>320</v>
      </c>
      <c r="AC116" s="482">
        <f>IF(ISBLANK('RESUMEN VIGILANCIA'!AB120),"",'RESUMEN VIGILANCIA'!AB120)</f>
        <v>800</v>
      </c>
      <c r="AD116" s="399">
        <f>IF(ISBLANK('RESUMEN VIGILANCIA'!AC120),"",'RESUMEN VIGILANCIA'!AC120)</f>
        <v>3000</v>
      </c>
      <c r="AE116" s="400">
        <f>IF(ISBLANK('RESUMEN VIGILANCIA'!AD120),"",'RESUMEN VIGILANCIA'!AD120)</f>
        <v>3000</v>
      </c>
      <c r="AF116" s="400">
        <f>IF(ISBLANK('RESUMEN VIGILANCIA'!AE120),"",'RESUMEN VIGILANCIA'!AE120)</f>
        <v>3000</v>
      </c>
      <c r="AG116" s="400">
        <f>IF(ISBLANK('RESUMEN VIGILANCIA'!AF120),"",'RESUMEN VIGILANCIA'!AF120)</f>
        <v>5000</v>
      </c>
      <c r="AH116" s="400">
        <f>IF(ISBLANK('RESUMEN VIGILANCIA'!AG120),"",'RESUMEN VIGILANCIA'!AG120)</f>
        <v>8000</v>
      </c>
      <c r="AI116" s="400">
        <f>IF(ISBLANK('RESUMEN VIGILANCIA'!AH120),"",'RESUMEN VIGILANCIA'!AH120)</f>
        <v>8000</v>
      </c>
      <c r="AJ116" s="400">
        <f>IF(ISBLANK('RESUMEN VIGILANCIA'!AI120),"",'RESUMEN VIGILANCIA'!AI120)</f>
        <v>10000</v>
      </c>
      <c r="AK116" s="400">
        <f>IF(ISBLANK('RESUMEN VIGILANCIA'!AJ120),"",'RESUMEN VIGILANCIA'!AJ120)</f>
        <v>10000</v>
      </c>
      <c r="AL116" s="400">
        <f>IF(ISBLANK('RESUMEN VIGILANCIA'!AK120),"",'RESUMEN VIGILANCIA'!AK120)</f>
        <v>19800</v>
      </c>
      <c r="AM116" s="400">
        <f>IF(ISBLANK('RESUMEN VIGILANCIA'!AL120),"",'RESUMEN VIGILANCIA'!AL120)</f>
        <v>50000</v>
      </c>
      <c r="AN116" s="400">
        <f>IF(ISBLANK('RESUMEN VIGILANCIA'!AM120),"",'RESUMEN VIGILANCIA'!AM120)</f>
        <v>60000</v>
      </c>
      <c r="AO116" s="401">
        <f>IF(ISBLANK('RESUMEN VIGILANCIA'!AN120),"",'RESUMEN VIGILANCIA'!AN120)</f>
        <v>105250</v>
      </c>
      <c r="AP116" s="399">
        <f>IF(ISBLANK('RESUMEN VIGILANCIA'!AO120),"",'RESUMEN VIGILANCIA'!AO120)</f>
        <v>136250</v>
      </c>
      <c r="AQ116" s="400">
        <f>IF(ISBLANK('RESUMEN VIGILANCIA'!AP120),"",'RESUMEN VIGILANCIA'!AP120)</f>
        <v>136250</v>
      </c>
      <c r="AR116" s="400" t="str">
        <f>IF(ISBLANK('RESUMEN VIGILANCIA'!AQ120),"",'RESUMEN VIGILANCIA'!AQ120)</f>
        <v/>
      </c>
      <c r="AS116" s="400" t="str">
        <f>IF(ISBLANK('RESUMEN VIGILANCIA'!AR120),"",'RESUMEN VIGILANCIA'!AR120)</f>
        <v/>
      </c>
      <c r="AT116" s="400" t="str">
        <f>IF(ISBLANK('RESUMEN VIGILANCIA'!AS120),"",'RESUMEN VIGILANCIA'!AS120)</f>
        <v/>
      </c>
      <c r="AU116" s="400" t="str">
        <f>IF(ISBLANK('RESUMEN VIGILANCIA'!AT120),"",'RESUMEN VIGILANCIA'!AT120)</f>
        <v/>
      </c>
      <c r="AV116" s="400" t="str">
        <f>IF(ISBLANK('RESUMEN VIGILANCIA'!AU120),"",'RESUMEN VIGILANCIA'!AU120)</f>
        <v/>
      </c>
      <c r="AW116" s="400" t="str">
        <f>IF(ISBLANK('RESUMEN VIGILANCIA'!AV120),"",'RESUMEN VIGILANCIA'!AV120)</f>
        <v/>
      </c>
      <c r="AX116" s="400" t="str">
        <f>IF(ISBLANK('RESUMEN VIGILANCIA'!AW120),"",'RESUMEN VIGILANCIA'!AW120)</f>
        <v/>
      </c>
      <c r="AY116" s="400" t="str">
        <f>IF(ISBLANK('RESUMEN VIGILANCIA'!AX120),"",'RESUMEN VIGILANCIA'!AX120)</f>
        <v/>
      </c>
      <c r="AZ116" s="400" t="str">
        <f>IF(ISBLANK('RESUMEN VIGILANCIA'!AY120),"",'RESUMEN VIGILANCIA'!AY120)</f>
        <v/>
      </c>
      <c r="BA116" s="401" t="str">
        <f>IF(ISBLANK('RESUMEN VIGILANCIA'!AZ120),"",'RESUMEN VIGILANCIA'!AZ120)</f>
        <v/>
      </c>
      <c r="BB116" s="243">
        <f t="shared" si="8"/>
        <v>286862.31</v>
      </c>
      <c r="BC116" s="112"/>
      <c r="BD116" s="112"/>
    </row>
    <row r="117" spans="1:56" s="29" customFormat="1" ht="20.100000000000001" customHeight="1" x14ac:dyDescent="0.25">
      <c r="A117" s="30" t="str">
        <f>'RESUMEN VIGILANCIA'!A121</f>
        <v>Familia Medina Colina</v>
      </c>
      <c r="B117" s="31" t="str">
        <f>'RESUMEN VIGILANCIA'!B121</f>
        <v>Calle Güigüe Nro. 89-70</v>
      </c>
      <c r="C117" s="452" t="s">
        <v>1270</v>
      </c>
      <c r="D117" s="460" t="s">
        <v>1268</v>
      </c>
      <c r="E117" s="440" t="str">
        <f>IF(ISBLANK('RESUMEN VIGILANCIA'!D121),"",'RESUMEN VIGILANCIA'!D121)</f>
        <v/>
      </c>
      <c r="F117" s="270">
        <f>IF(ISBLANK('RESUMEN VIGILANCIA'!E121),"",'RESUMEN VIGILANCIA'!E121)</f>
        <v>0.17</v>
      </c>
      <c r="G117" s="182">
        <f>IF(ISBLANK('RESUMEN VIGILANCIA'!F121),"",'RESUMEN VIGILANCIA'!F121)</f>
        <v>0.17</v>
      </c>
      <c r="H117" s="182" t="str">
        <f>IF(ISBLANK('RESUMEN VIGILANCIA'!G121),"",'RESUMEN VIGILANCIA'!G121)</f>
        <v/>
      </c>
      <c r="I117" s="182" t="str">
        <f>IF(ISBLANK('RESUMEN VIGILANCIA'!H121),"",'RESUMEN VIGILANCIA'!H121)</f>
        <v/>
      </c>
      <c r="J117" s="182" t="str">
        <f>IF(ISBLANK('RESUMEN VIGILANCIA'!I121),"",'RESUMEN VIGILANCIA'!I121)</f>
        <v/>
      </c>
      <c r="K117" s="182" t="str">
        <f>IF(ISBLANK('RESUMEN VIGILANCIA'!J121),"",'RESUMEN VIGILANCIA'!J121)</f>
        <v/>
      </c>
      <c r="L117" s="182" t="str">
        <f>IF(ISBLANK('RESUMEN VIGILANCIA'!K121),"",'RESUMEN VIGILANCIA'!K121)</f>
        <v/>
      </c>
      <c r="M117" s="182" t="str">
        <f>IF(ISBLANK('RESUMEN VIGILANCIA'!L121),"",'RESUMEN VIGILANCIA'!L121)</f>
        <v/>
      </c>
      <c r="N117" s="182" t="str">
        <f>IF(ISBLANK('RESUMEN VIGILANCIA'!M121),"",'RESUMEN VIGILANCIA'!M121)</f>
        <v/>
      </c>
      <c r="O117" s="182" t="str">
        <f>IF(ISBLANK('RESUMEN VIGILANCIA'!N121),"",'RESUMEN VIGILANCIA'!N121)</f>
        <v/>
      </c>
      <c r="P117" s="271" t="str">
        <f>IF(ISBLANK('RESUMEN VIGILANCIA'!O121),"",'RESUMEN VIGILANCIA'!O121)</f>
        <v/>
      </c>
      <c r="Q117" s="180" t="str">
        <f>IF(ISBLANK('RESUMEN VIGILANCIA'!P121),"",'RESUMEN VIGILANCIA'!P121)</f>
        <v/>
      </c>
      <c r="R117" s="295" t="str">
        <f>IF(ISBLANK('RESUMEN VIGILANCIA'!Q121),"",'RESUMEN VIGILANCIA'!Q121)</f>
        <v>ü</v>
      </c>
      <c r="S117" s="296" t="str">
        <f>IF(ISBLANK('RESUMEN VIGILANCIA'!R121),"",'RESUMEN VIGILANCIA'!R121)</f>
        <v>ü</v>
      </c>
      <c r="T117" s="296" t="str">
        <f>IF(ISBLANK('RESUMEN VIGILANCIA'!S121),"",'RESUMEN VIGILANCIA'!S121)</f>
        <v>ü</v>
      </c>
      <c r="U117" s="296" t="str">
        <f>IF(ISBLANK('RESUMEN VIGILANCIA'!T121),"",'RESUMEN VIGILANCIA'!T121)</f>
        <v>ü</v>
      </c>
      <c r="V117" s="296" t="str">
        <f>IF(ISBLANK('RESUMEN VIGILANCIA'!U121),"",'RESUMEN VIGILANCIA'!U121)</f>
        <v>ü</v>
      </c>
      <c r="W117" s="296" t="str">
        <f>IF(ISBLANK('RESUMEN VIGILANCIA'!V121),"",'RESUMEN VIGILANCIA'!V121)</f>
        <v>ü</v>
      </c>
      <c r="X117" s="296" t="str">
        <f>IF(ISBLANK('RESUMEN VIGILANCIA'!W121),"",'RESUMEN VIGILANCIA'!W121)</f>
        <v>ü</v>
      </c>
      <c r="Y117" s="296" t="str">
        <f>IF(ISBLANK('RESUMEN VIGILANCIA'!X121),"",'RESUMEN VIGILANCIA'!X121)</f>
        <v>ü</v>
      </c>
      <c r="Z117" s="500" t="str">
        <f>IF(ISBLANK('RESUMEN VIGILANCIA'!Y121),"",'RESUMEN VIGILANCIA'!Y121)</f>
        <v>ü</v>
      </c>
      <c r="AA117" s="500" t="str">
        <f>IF(ISBLANK('RESUMEN VIGILANCIA'!Z121),"",'RESUMEN VIGILANCIA'!Z121)</f>
        <v>ü</v>
      </c>
      <c r="AB117" s="500" t="str">
        <f>IF(ISBLANK('RESUMEN VIGILANCIA'!AA121),"",'RESUMEN VIGILANCIA'!AA121)</f>
        <v>ü</v>
      </c>
      <c r="AC117" s="501" t="str">
        <f>IF(ISBLANK('RESUMEN VIGILANCIA'!AB121),"",'RESUMEN VIGILANCIA'!AB121)</f>
        <v>ü</v>
      </c>
      <c r="AD117" s="418" t="str">
        <f>IF(ISBLANK('RESUMEN VIGILANCIA'!AC121),"",'RESUMEN VIGILANCIA'!AC121)</f>
        <v/>
      </c>
      <c r="AE117" s="419" t="str">
        <f>IF(ISBLANK('RESUMEN VIGILANCIA'!AD121),"",'RESUMEN VIGILANCIA'!AD121)</f>
        <v/>
      </c>
      <c r="AF117" s="419" t="str">
        <f>IF(ISBLANK('RESUMEN VIGILANCIA'!AE121),"",'RESUMEN VIGILANCIA'!AE121)</f>
        <v/>
      </c>
      <c r="AG117" s="419" t="str">
        <f>IF(ISBLANK('RESUMEN VIGILANCIA'!AF121),"",'RESUMEN VIGILANCIA'!AF121)</f>
        <v/>
      </c>
      <c r="AH117" s="419" t="str">
        <f>IF(ISBLANK('RESUMEN VIGILANCIA'!AG121),"",'RESUMEN VIGILANCIA'!AG121)</f>
        <v/>
      </c>
      <c r="AI117" s="419" t="str">
        <f>IF(ISBLANK('RESUMEN VIGILANCIA'!AH121),"",'RESUMEN VIGILANCIA'!AH121)</f>
        <v/>
      </c>
      <c r="AJ117" s="419" t="str">
        <f>IF(ISBLANK('RESUMEN VIGILANCIA'!AI121),"",'RESUMEN VIGILANCIA'!AI121)</f>
        <v/>
      </c>
      <c r="AK117" s="419" t="str">
        <f>IF(ISBLANK('RESUMEN VIGILANCIA'!AJ121),"",'RESUMEN VIGILANCIA'!AJ121)</f>
        <v/>
      </c>
      <c r="AL117" s="419" t="str">
        <f>IF(ISBLANK('RESUMEN VIGILANCIA'!AK121),"",'RESUMEN VIGILANCIA'!AK121)</f>
        <v/>
      </c>
      <c r="AM117" s="419" t="str">
        <f>IF(ISBLANK('RESUMEN VIGILANCIA'!AL121),"",'RESUMEN VIGILANCIA'!AL121)</f>
        <v/>
      </c>
      <c r="AN117" s="419" t="str">
        <f>IF(ISBLANK('RESUMEN VIGILANCIA'!AM121),"",'RESUMEN VIGILANCIA'!AM121)</f>
        <v/>
      </c>
      <c r="AO117" s="420" t="str">
        <f>IF(ISBLANK('RESUMEN VIGILANCIA'!AN121),"",'RESUMEN VIGILANCIA'!AN121)</f>
        <v/>
      </c>
      <c r="AP117" s="418" t="str">
        <f>IF(ISBLANK('RESUMEN VIGILANCIA'!AO121),"",'RESUMEN VIGILANCIA'!AO121)</f>
        <v/>
      </c>
      <c r="AQ117" s="419" t="str">
        <f>IF(ISBLANK('RESUMEN VIGILANCIA'!AP121),"",'RESUMEN VIGILANCIA'!AP121)</f>
        <v/>
      </c>
      <c r="AR117" s="419" t="str">
        <f>IF(ISBLANK('RESUMEN VIGILANCIA'!AQ121),"",'RESUMEN VIGILANCIA'!AQ121)</f>
        <v/>
      </c>
      <c r="AS117" s="419" t="str">
        <f>IF(ISBLANK('RESUMEN VIGILANCIA'!AR121),"",'RESUMEN VIGILANCIA'!AR121)</f>
        <v/>
      </c>
      <c r="AT117" s="419" t="str">
        <f>IF(ISBLANK('RESUMEN VIGILANCIA'!AS121),"",'RESUMEN VIGILANCIA'!AS121)</f>
        <v/>
      </c>
      <c r="AU117" s="419" t="str">
        <f>IF(ISBLANK('RESUMEN VIGILANCIA'!AT121),"",'RESUMEN VIGILANCIA'!AT121)</f>
        <v/>
      </c>
      <c r="AV117" s="419" t="str">
        <f>IF(ISBLANK('RESUMEN VIGILANCIA'!AU121),"",'RESUMEN VIGILANCIA'!AU121)</f>
        <v/>
      </c>
      <c r="AW117" s="419" t="str">
        <f>IF(ISBLANK('RESUMEN VIGILANCIA'!AV121),"",'RESUMEN VIGILANCIA'!AV121)</f>
        <v/>
      </c>
      <c r="AX117" s="419" t="str">
        <f>IF(ISBLANK('RESUMEN VIGILANCIA'!AW121),"",'RESUMEN VIGILANCIA'!AW121)</f>
        <v/>
      </c>
      <c r="AY117" s="419" t="str">
        <f>IF(ISBLANK('RESUMEN VIGILANCIA'!AX121),"",'RESUMEN VIGILANCIA'!AX121)</f>
        <v/>
      </c>
      <c r="AZ117" s="419" t="str">
        <f>IF(ISBLANK('RESUMEN VIGILANCIA'!AY121),"",'RESUMEN VIGILANCIA'!AY121)</f>
        <v/>
      </c>
      <c r="BA117" s="420" t="str">
        <f>IF(ISBLANK('RESUMEN VIGILANCIA'!AZ121),"",'RESUMEN VIGILANCIA'!AZ121)</f>
        <v/>
      </c>
      <c r="BB117" s="243">
        <f t="shared" si="8"/>
        <v>0.34</v>
      </c>
      <c r="BC117" s="112"/>
      <c r="BD117" s="112"/>
    </row>
    <row r="118" spans="1:56" s="29" customFormat="1" ht="20.100000000000001" customHeight="1" x14ac:dyDescent="0.25">
      <c r="A118" s="33" t="str">
        <f>'RESUMEN VIGILANCIA'!A122</f>
        <v>Gloria Molina</v>
      </c>
      <c r="B118" s="34" t="str">
        <f>'RESUMEN VIGILANCIA'!B122</f>
        <v>Calle Güigüe Nro. 89-71</v>
      </c>
      <c r="C118" s="451" t="s">
        <v>1271</v>
      </c>
      <c r="D118" s="461" t="s">
        <v>1268</v>
      </c>
      <c r="E118" s="439" t="str">
        <f>IF(ISBLANK('RESUMEN VIGILANCIA'!D122),"",'RESUMEN VIGILANCIA'!D122)</f>
        <v/>
      </c>
      <c r="F118" s="267">
        <f>IF(ISBLANK('RESUMEN VIGILANCIA'!E122),"",'RESUMEN VIGILANCIA'!E122)</f>
        <v>0.1</v>
      </c>
      <c r="G118" s="189">
        <f>IF(ISBLANK('RESUMEN VIGILANCIA'!F122),"",'RESUMEN VIGILANCIA'!F122)</f>
        <v>0.1</v>
      </c>
      <c r="H118" s="189">
        <f>IF(ISBLANK('RESUMEN VIGILANCIA'!G122),"",'RESUMEN VIGILANCIA'!G122)</f>
        <v>0.1</v>
      </c>
      <c r="I118" s="189">
        <f>IF(ISBLANK('RESUMEN VIGILANCIA'!H122),"",'RESUMEN VIGILANCIA'!H122)</f>
        <v>0.15</v>
      </c>
      <c r="J118" s="189">
        <f>IF(ISBLANK('RESUMEN VIGILANCIA'!I122),"",'RESUMEN VIGILANCIA'!I122)</f>
        <v>0.15</v>
      </c>
      <c r="K118" s="189">
        <f>IF(ISBLANK('RESUMEN VIGILANCIA'!J122),"",'RESUMEN VIGILANCIA'!J122)</f>
        <v>0.15</v>
      </c>
      <c r="L118" s="189">
        <f>IF(ISBLANK('RESUMEN VIGILANCIA'!K122),"",'RESUMEN VIGILANCIA'!K122)</f>
        <v>0.15</v>
      </c>
      <c r="M118" s="189">
        <f>IF(ISBLANK('RESUMEN VIGILANCIA'!L122),"",'RESUMEN VIGILANCIA'!L122)</f>
        <v>0.15</v>
      </c>
      <c r="N118" s="189">
        <f>IF(ISBLANK('RESUMEN VIGILANCIA'!M122),"",'RESUMEN VIGILANCIA'!M122)</f>
        <v>0.15</v>
      </c>
      <c r="O118" s="189">
        <f>IF(ISBLANK('RESUMEN VIGILANCIA'!N122),"",'RESUMEN VIGILANCIA'!N122)</f>
        <v>0.2</v>
      </c>
      <c r="P118" s="268">
        <f>IF(ISBLANK('RESUMEN VIGILANCIA'!O122),"",'RESUMEN VIGILANCIA'!O122)</f>
        <v>0.2</v>
      </c>
      <c r="Q118" s="187">
        <f>IF(ISBLANK('RESUMEN VIGILANCIA'!P122),"",'RESUMEN VIGILANCIA'!P122)</f>
        <v>0.2</v>
      </c>
      <c r="R118" s="269">
        <f>IF(ISBLANK('RESUMEN VIGILANCIA'!Q122),"",'RESUMEN VIGILANCIA'!Q122)</f>
        <v>0.5</v>
      </c>
      <c r="S118" s="268">
        <f>IF(ISBLANK('RESUMEN VIGILANCIA'!R122),"",'RESUMEN VIGILANCIA'!R122)</f>
        <v>0.5</v>
      </c>
      <c r="T118" s="268">
        <f>IF(ISBLANK('RESUMEN VIGILANCIA'!S122),"",'RESUMEN VIGILANCIA'!S122)</f>
        <v>1</v>
      </c>
      <c r="U118" s="268">
        <f>IF(ISBLANK('RESUMEN VIGILANCIA'!T122),"",'RESUMEN VIGILANCIA'!T122)</f>
        <v>1</v>
      </c>
      <c r="V118" s="268">
        <f>IF(ISBLANK('RESUMEN VIGILANCIA'!U122),"",'RESUMEN VIGILANCIA'!U122)</f>
        <v>2</v>
      </c>
      <c r="W118" s="268">
        <f>IF(ISBLANK('RESUMEN VIGILANCIA'!V122),"",'RESUMEN VIGILANCIA'!V122)</f>
        <v>4</v>
      </c>
      <c r="X118" s="268">
        <f>IF(ISBLANK('RESUMEN VIGILANCIA'!W122),"",'RESUMEN VIGILANCIA'!W122)</f>
        <v>5</v>
      </c>
      <c r="Y118" s="268">
        <f>IF(ISBLANK('RESUMEN VIGILANCIA'!X122),"",'RESUMEN VIGILANCIA'!X122)</f>
        <v>10</v>
      </c>
      <c r="Z118" s="485">
        <f>IF(ISBLANK('RESUMEN VIGILANCIA'!Y122),"",'RESUMEN VIGILANCIA'!Y122)</f>
        <v>300</v>
      </c>
      <c r="AA118" s="485">
        <f>IF(ISBLANK('RESUMEN VIGILANCIA'!Z122),"",'RESUMEN VIGILANCIA'!Z122)</f>
        <v>200</v>
      </c>
      <c r="AB118" s="485">
        <f>IF(ISBLANK('RESUMEN VIGILANCIA'!AA122),"",'RESUMEN VIGILANCIA'!AA122)</f>
        <v>200</v>
      </c>
      <c r="AC118" s="486">
        <f>IF(ISBLANK('RESUMEN VIGILANCIA'!AB122),"",'RESUMEN VIGILANCIA'!AB122)</f>
        <v>500</v>
      </c>
      <c r="AD118" s="396">
        <f>IF(ISBLANK('RESUMEN VIGILANCIA'!AC122),"",'RESUMEN VIGILANCIA'!AC122)</f>
        <v>1500</v>
      </c>
      <c r="AE118" s="397">
        <f>IF(ISBLANK('RESUMEN VIGILANCIA'!AD122),"",'RESUMEN VIGILANCIA'!AD122)</f>
        <v>1500</v>
      </c>
      <c r="AF118" s="397">
        <f>IF(ISBLANK('RESUMEN VIGILANCIA'!AE122),"",'RESUMEN VIGILANCIA'!AE122)</f>
        <v>3000</v>
      </c>
      <c r="AG118" s="397">
        <f>IF(ISBLANK('RESUMEN VIGILANCIA'!AF122),"",'RESUMEN VIGILANCIA'!AF122)</f>
        <v>3000</v>
      </c>
      <c r="AH118" s="405">
        <f>IF(ISBLANK('RESUMEN VIGILANCIA'!AG122),"",'RESUMEN VIGILANCIA'!AG122)</f>
        <v>8000</v>
      </c>
      <c r="AI118" s="405">
        <f>IF(ISBLANK('RESUMEN VIGILANCIA'!AH122),"",'RESUMEN VIGILANCIA'!AH122)</f>
        <v>8000</v>
      </c>
      <c r="AJ118" s="405">
        <f>IF(ISBLANK('RESUMEN VIGILANCIA'!AI122),"",'RESUMEN VIGILANCIA'!AI122)</f>
        <v>10000</v>
      </c>
      <c r="AK118" s="405">
        <f>IF(ISBLANK('RESUMEN VIGILANCIA'!AJ122),"",'RESUMEN VIGILANCIA'!AJ122)</f>
        <v>10000</v>
      </c>
      <c r="AL118" s="405">
        <f>IF(ISBLANK('RESUMEN VIGILANCIA'!AK122),"",'RESUMEN VIGILANCIA'!AK122)</f>
        <v>19800</v>
      </c>
      <c r="AM118" s="405">
        <f>IF(ISBLANK('RESUMEN VIGILANCIA'!AL122),"",'RESUMEN VIGILANCIA'!AL122)</f>
        <v>47000</v>
      </c>
      <c r="AN118" s="405">
        <f>IF(ISBLANK('RESUMEN VIGILANCIA'!AM122),"",'RESUMEN VIGILANCIA'!AM122)</f>
        <v>60000</v>
      </c>
      <c r="AO118" s="410">
        <f>IF(ISBLANK('RESUMEN VIGILANCIA'!AN122),"",'RESUMEN VIGILANCIA'!AN122)</f>
        <v>60000</v>
      </c>
      <c r="AP118" s="399">
        <f>IF(ISBLANK('RESUMEN VIGILANCIA'!AO122),"",'RESUMEN VIGILANCIA'!AO122)</f>
        <v>100000</v>
      </c>
      <c r="AQ118" s="400" t="str">
        <f>IF(ISBLANK('RESUMEN VIGILANCIA'!AP122),"",'RESUMEN VIGILANCIA'!AP122)</f>
        <v/>
      </c>
      <c r="AR118" s="400" t="str">
        <f>IF(ISBLANK('RESUMEN VIGILANCIA'!AQ122),"",'RESUMEN VIGILANCIA'!AQ122)</f>
        <v/>
      </c>
      <c r="AS118" s="400" t="str">
        <f>IF(ISBLANK('RESUMEN VIGILANCIA'!AR122),"",'RESUMEN VIGILANCIA'!AR122)</f>
        <v/>
      </c>
      <c r="AT118" s="400" t="str">
        <f>IF(ISBLANK('RESUMEN VIGILANCIA'!AS122),"",'RESUMEN VIGILANCIA'!AS122)</f>
        <v/>
      </c>
      <c r="AU118" s="400" t="str">
        <f>IF(ISBLANK('RESUMEN VIGILANCIA'!AT122),"",'RESUMEN VIGILANCIA'!AT122)</f>
        <v/>
      </c>
      <c r="AV118" s="400" t="str">
        <f>IF(ISBLANK('RESUMEN VIGILANCIA'!AU122),"",'RESUMEN VIGILANCIA'!AU122)</f>
        <v/>
      </c>
      <c r="AW118" s="400" t="str">
        <f>IF(ISBLANK('RESUMEN VIGILANCIA'!AV122),"",'RESUMEN VIGILANCIA'!AV122)</f>
        <v/>
      </c>
      <c r="AX118" s="400" t="str">
        <f>IF(ISBLANK('RESUMEN VIGILANCIA'!AW122),"",'RESUMEN VIGILANCIA'!AW122)</f>
        <v/>
      </c>
      <c r="AY118" s="400" t="str">
        <f>IF(ISBLANK('RESUMEN VIGILANCIA'!AX122),"",'RESUMEN VIGILANCIA'!AX122)</f>
        <v/>
      </c>
      <c r="AZ118" s="400" t="str">
        <f>IF(ISBLANK('RESUMEN VIGILANCIA'!AY122),"",'RESUMEN VIGILANCIA'!AY122)</f>
        <v/>
      </c>
      <c r="BA118" s="410" t="str">
        <f>IF(ISBLANK('RESUMEN VIGILANCIA'!AZ122),"",'RESUMEN VIGILANCIA'!AZ122)</f>
        <v/>
      </c>
      <c r="BB118" s="368">
        <f t="shared" si="8"/>
        <v>233025.8</v>
      </c>
      <c r="BC118" s="369"/>
      <c r="BD118" s="369"/>
    </row>
    <row r="119" spans="1:56" s="29" customFormat="1" ht="20.100000000000001" customHeight="1" x14ac:dyDescent="0.25">
      <c r="A119" s="30" t="str">
        <f>'RESUMEN VIGILANCIA'!A123</f>
        <v>Familia Gurmeitte</v>
      </c>
      <c r="B119" s="31" t="str">
        <f>'RESUMEN VIGILANCIA'!B123</f>
        <v>Calle Güigüe Nro. 89-74</v>
      </c>
      <c r="C119" s="452" t="s">
        <v>1270</v>
      </c>
      <c r="D119" s="460" t="s">
        <v>1268</v>
      </c>
      <c r="E119" s="440" t="str">
        <f>IF(ISBLANK('RESUMEN VIGILANCIA'!D123),"",'RESUMEN VIGILANCIA'!D123)</f>
        <v/>
      </c>
      <c r="F119" s="270" t="str">
        <f>IF(ISBLANK('RESUMEN VIGILANCIA'!E123),"",'RESUMEN VIGILANCIA'!E123)</f>
        <v/>
      </c>
      <c r="G119" s="182" t="str">
        <f>IF(ISBLANK('RESUMEN VIGILANCIA'!F123),"",'RESUMEN VIGILANCIA'!F123)</f>
        <v/>
      </c>
      <c r="H119" s="182" t="str">
        <f>IF(ISBLANK('RESUMEN VIGILANCIA'!G123),"",'RESUMEN VIGILANCIA'!G123)</f>
        <v/>
      </c>
      <c r="I119" s="182" t="str">
        <f>IF(ISBLANK('RESUMEN VIGILANCIA'!H123),"",'RESUMEN VIGILANCIA'!H123)</f>
        <v/>
      </c>
      <c r="J119" s="182" t="str">
        <f>IF(ISBLANK('RESUMEN VIGILANCIA'!I123),"",'RESUMEN VIGILANCIA'!I123)</f>
        <v/>
      </c>
      <c r="K119" s="182" t="str">
        <f>IF(ISBLANK('RESUMEN VIGILANCIA'!J123),"",'RESUMEN VIGILANCIA'!J123)</f>
        <v/>
      </c>
      <c r="L119" s="182" t="str">
        <f>IF(ISBLANK('RESUMEN VIGILANCIA'!K123),"",'RESUMEN VIGILANCIA'!K123)</f>
        <v/>
      </c>
      <c r="M119" s="182" t="str">
        <f>IF(ISBLANK('RESUMEN VIGILANCIA'!L123),"",'RESUMEN VIGILANCIA'!L123)</f>
        <v/>
      </c>
      <c r="N119" s="182" t="str">
        <f>IF(ISBLANK('RESUMEN VIGILANCIA'!M123),"",'RESUMEN VIGILANCIA'!M123)</f>
        <v/>
      </c>
      <c r="O119" s="182" t="str">
        <f>IF(ISBLANK('RESUMEN VIGILANCIA'!N123),"",'RESUMEN VIGILANCIA'!N123)</f>
        <v/>
      </c>
      <c r="P119" s="271" t="str">
        <f>IF(ISBLANK('RESUMEN VIGILANCIA'!O123),"",'RESUMEN VIGILANCIA'!O123)</f>
        <v/>
      </c>
      <c r="Q119" s="180" t="str">
        <f>IF(ISBLANK('RESUMEN VIGILANCIA'!P123),"",'RESUMEN VIGILANCIA'!P123)</f>
        <v/>
      </c>
      <c r="R119" s="272" t="str">
        <f>IF(ISBLANK('RESUMEN VIGILANCIA'!Q123),"",'RESUMEN VIGILANCIA'!Q123)</f>
        <v/>
      </c>
      <c r="S119" s="271" t="str">
        <f>IF(ISBLANK('RESUMEN VIGILANCIA'!R123),"",'RESUMEN VIGILANCIA'!R123)</f>
        <v/>
      </c>
      <c r="T119" s="271" t="str">
        <f>IF(ISBLANK('RESUMEN VIGILANCIA'!S123),"",'RESUMEN VIGILANCIA'!S123)</f>
        <v/>
      </c>
      <c r="U119" s="271" t="str">
        <f>IF(ISBLANK('RESUMEN VIGILANCIA'!T123),"",'RESUMEN VIGILANCIA'!T123)</f>
        <v/>
      </c>
      <c r="V119" s="271" t="str">
        <f>IF(ISBLANK('RESUMEN VIGILANCIA'!U123),"",'RESUMEN VIGILANCIA'!U123)</f>
        <v/>
      </c>
      <c r="W119" s="271" t="str">
        <f>IF(ISBLANK('RESUMEN VIGILANCIA'!V123),"",'RESUMEN VIGILANCIA'!V123)</f>
        <v/>
      </c>
      <c r="X119" s="271" t="str">
        <f>IF(ISBLANK('RESUMEN VIGILANCIA'!W123),"",'RESUMEN VIGILANCIA'!W123)</f>
        <v/>
      </c>
      <c r="Y119" s="271" t="str">
        <f>IF(ISBLANK('RESUMEN VIGILANCIA'!X123),"",'RESUMEN VIGILANCIA'!X123)</f>
        <v/>
      </c>
      <c r="Z119" s="481" t="str">
        <f>IF(ISBLANK('RESUMEN VIGILANCIA'!Y123),"",'RESUMEN VIGILANCIA'!Y123)</f>
        <v/>
      </c>
      <c r="AA119" s="481" t="str">
        <f>IF(ISBLANK('RESUMEN VIGILANCIA'!Z123),"",'RESUMEN VIGILANCIA'!Z123)</f>
        <v/>
      </c>
      <c r="AB119" s="481" t="str">
        <f>IF(ISBLANK('RESUMEN VIGILANCIA'!AA123),"",'RESUMEN VIGILANCIA'!AA123)</f>
        <v/>
      </c>
      <c r="AC119" s="482" t="str">
        <f>IF(ISBLANK('RESUMEN VIGILANCIA'!AB123),"",'RESUMEN VIGILANCIA'!AB123)</f>
        <v/>
      </c>
      <c r="AD119" s="399" t="str">
        <f>IF(ISBLANK('RESUMEN VIGILANCIA'!AC123),"",'RESUMEN VIGILANCIA'!AC123)</f>
        <v/>
      </c>
      <c r="AE119" s="400" t="str">
        <f>IF(ISBLANK('RESUMEN VIGILANCIA'!AD123),"",'RESUMEN VIGILANCIA'!AD123)</f>
        <v/>
      </c>
      <c r="AF119" s="400" t="str">
        <f>IF(ISBLANK('RESUMEN VIGILANCIA'!AE123),"",'RESUMEN VIGILANCIA'!AE123)</f>
        <v/>
      </c>
      <c r="AG119" s="400" t="str">
        <f>IF(ISBLANK('RESUMEN VIGILANCIA'!AF123),"",'RESUMEN VIGILANCIA'!AF123)</f>
        <v/>
      </c>
      <c r="AH119" s="400" t="str">
        <f>IF(ISBLANK('RESUMEN VIGILANCIA'!AG123),"",'RESUMEN VIGILANCIA'!AG123)</f>
        <v/>
      </c>
      <c r="AI119" s="400" t="str">
        <f>IF(ISBLANK('RESUMEN VIGILANCIA'!AH123),"",'RESUMEN VIGILANCIA'!AH123)</f>
        <v/>
      </c>
      <c r="AJ119" s="400" t="str">
        <f>IF(ISBLANK('RESUMEN VIGILANCIA'!AI123),"",'RESUMEN VIGILANCIA'!AI123)</f>
        <v/>
      </c>
      <c r="AK119" s="400" t="str">
        <f>IF(ISBLANK('RESUMEN VIGILANCIA'!AJ123),"",'RESUMEN VIGILANCIA'!AJ123)</f>
        <v/>
      </c>
      <c r="AL119" s="400" t="str">
        <f>IF(ISBLANK('RESUMEN VIGILANCIA'!AK123),"",'RESUMEN VIGILANCIA'!AK123)</f>
        <v/>
      </c>
      <c r="AM119" s="400" t="str">
        <f>IF(ISBLANK('RESUMEN VIGILANCIA'!AL123),"",'RESUMEN VIGILANCIA'!AL123)</f>
        <v/>
      </c>
      <c r="AN119" s="400" t="str">
        <f>IF(ISBLANK('RESUMEN VIGILANCIA'!AM123),"",'RESUMEN VIGILANCIA'!AM123)</f>
        <v/>
      </c>
      <c r="AO119" s="401" t="str">
        <f>IF(ISBLANK('RESUMEN VIGILANCIA'!AN123),"",'RESUMEN VIGILANCIA'!AN123)</f>
        <v/>
      </c>
      <c r="AP119" s="399" t="str">
        <f>IF(ISBLANK('RESUMEN VIGILANCIA'!AO123),"",'RESUMEN VIGILANCIA'!AO123)</f>
        <v/>
      </c>
      <c r="AQ119" s="400" t="str">
        <f>IF(ISBLANK('RESUMEN VIGILANCIA'!AP123),"",'RESUMEN VIGILANCIA'!AP123)</f>
        <v/>
      </c>
      <c r="AR119" s="400" t="str">
        <f>IF(ISBLANK('RESUMEN VIGILANCIA'!AQ123),"",'RESUMEN VIGILANCIA'!AQ123)</f>
        <v/>
      </c>
      <c r="AS119" s="400" t="str">
        <f>IF(ISBLANK('RESUMEN VIGILANCIA'!AR123),"",'RESUMEN VIGILANCIA'!AR123)</f>
        <v/>
      </c>
      <c r="AT119" s="400" t="str">
        <f>IF(ISBLANK('RESUMEN VIGILANCIA'!AS123),"",'RESUMEN VIGILANCIA'!AS123)</f>
        <v/>
      </c>
      <c r="AU119" s="400" t="str">
        <f>IF(ISBLANK('RESUMEN VIGILANCIA'!AT123),"",'RESUMEN VIGILANCIA'!AT123)</f>
        <v/>
      </c>
      <c r="AV119" s="400" t="str">
        <f>IF(ISBLANK('RESUMEN VIGILANCIA'!AU123),"",'RESUMEN VIGILANCIA'!AU123)</f>
        <v/>
      </c>
      <c r="AW119" s="400" t="str">
        <f>IF(ISBLANK('RESUMEN VIGILANCIA'!AV123),"",'RESUMEN VIGILANCIA'!AV123)</f>
        <v/>
      </c>
      <c r="AX119" s="400" t="str">
        <f>IF(ISBLANK('RESUMEN VIGILANCIA'!AW123),"",'RESUMEN VIGILANCIA'!AW123)</f>
        <v/>
      </c>
      <c r="AY119" s="400" t="str">
        <f>IF(ISBLANK('RESUMEN VIGILANCIA'!AX123),"",'RESUMEN VIGILANCIA'!AX123)</f>
        <v/>
      </c>
      <c r="AZ119" s="400" t="str">
        <f>IF(ISBLANK('RESUMEN VIGILANCIA'!AY123),"",'RESUMEN VIGILANCIA'!AY123)</f>
        <v/>
      </c>
      <c r="BA119" s="401" t="str">
        <f>IF(ISBLANK('RESUMEN VIGILANCIA'!AZ123),"",'RESUMEN VIGILANCIA'!AZ123)</f>
        <v/>
      </c>
      <c r="BB119" s="243">
        <f t="shared" si="8"/>
        <v>0</v>
      </c>
      <c r="BC119" s="112"/>
      <c r="BD119" s="112"/>
    </row>
    <row r="120" spans="1:56" s="29" customFormat="1" ht="20.100000000000001" customHeight="1" x14ac:dyDescent="0.25">
      <c r="A120" s="59" t="str">
        <f>'RESUMEN VIGILANCIA'!A138</f>
        <v>Familia Morales Sesar</v>
      </c>
      <c r="B120" s="60" t="str">
        <f>'RESUMEN VIGILANCIA'!B138</f>
        <v>Calle Güigüe Nro. 89-120</v>
      </c>
      <c r="C120" s="452" t="s">
        <v>1271</v>
      </c>
      <c r="D120" s="460" t="s">
        <v>1268</v>
      </c>
      <c r="E120" s="439" t="str">
        <f>IF(ISBLANK('RESUMEN VIGILANCIA'!D138),"",'RESUMEN VIGILANCIA'!D138)</f>
        <v/>
      </c>
      <c r="F120" s="267">
        <f>IF(ISBLANK('RESUMEN VIGILANCIA'!E138),"",'RESUMEN VIGILANCIA'!E138)</f>
        <v>0.17</v>
      </c>
      <c r="G120" s="189">
        <f>IF(ISBLANK('RESUMEN VIGILANCIA'!F138),"",'RESUMEN VIGILANCIA'!F138)</f>
        <v>0.17</v>
      </c>
      <c r="H120" s="189">
        <f>IF(ISBLANK('RESUMEN VIGILANCIA'!G138),"",'RESUMEN VIGILANCIA'!G138)</f>
        <v>0.17</v>
      </c>
      <c r="I120" s="189">
        <f>IF(ISBLANK('RESUMEN VIGILANCIA'!H138),"",'RESUMEN VIGILANCIA'!H138)</f>
        <v>0.17</v>
      </c>
      <c r="J120" s="189">
        <f>IF(ISBLANK('RESUMEN VIGILANCIA'!I138),"",'RESUMEN VIGILANCIA'!I138)</f>
        <v>0.26</v>
      </c>
      <c r="K120" s="222">
        <f>IF(ISBLANK('RESUMEN VIGILANCIA'!J138),"",'RESUMEN VIGILANCIA'!J138)</f>
        <v>0.26</v>
      </c>
      <c r="L120" s="234">
        <f>IF(ISBLANK('RESUMEN VIGILANCIA'!K138),"",'RESUMEN VIGILANCIA'!K138)</f>
        <v>0.18</v>
      </c>
      <c r="M120" s="234">
        <f>IF(ISBLANK('RESUMEN VIGILANCIA'!L138),"",'RESUMEN VIGILANCIA'!L138)</f>
        <v>0.15</v>
      </c>
      <c r="N120" s="234">
        <f>IF(ISBLANK('RESUMEN VIGILANCIA'!M138),"",'RESUMEN VIGILANCIA'!M138)</f>
        <v>0.15</v>
      </c>
      <c r="O120" s="234">
        <f>IF(ISBLANK('RESUMEN VIGILANCIA'!N138),"",'RESUMEN VIGILANCIA'!N138)</f>
        <v>0.25</v>
      </c>
      <c r="P120" s="276" t="str">
        <f>IF(ISBLANK('RESUMEN VIGILANCIA'!O138),"",'RESUMEN VIGILANCIA'!O138)</f>
        <v>- - -</v>
      </c>
      <c r="Q120" s="223" t="str">
        <f>IF(ISBLANK('RESUMEN VIGILANCIA'!P138),"",'RESUMEN VIGILANCIA'!P138)</f>
        <v>- - -</v>
      </c>
      <c r="R120" s="347">
        <f>IF(ISBLANK('RESUMEN VIGILANCIA'!Q138),"",'RESUMEN VIGILANCIA'!Q138)</f>
        <v>0.4</v>
      </c>
      <c r="S120" s="273">
        <f>IF(ISBLANK('RESUMEN VIGILANCIA'!R138),"",'RESUMEN VIGILANCIA'!R138)</f>
        <v>0.4</v>
      </c>
      <c r="T120" s="273">
        <f>IF(ISBLANK('RESUMEN VIGILANCIA'!S138),"",'RESUMEN VIGILANCIA'!S138)</f>
        <v>0.5</v>
      </c>
      <c r="U120" s="273">
        <f>IF(ISBLANK('RESUMEN VIGILANCIA'!T138),"",'RESUMEN VIGILANCIA'!T138)</f>
        <v>0.5</v>
      </c>
      <c r="V120" s="273">
        <f>IF(ISBLANK('RESUMEN VIGILANCIA'!U138),"",'RESUMEN VIGILANCIA'!U138)</f>
        <v>1</v>
      </c>
      <c r="W120" s="273">
        <f>IF(ISBLANK('RESUMEN VIGILANCIA'!V138),"",'RESUMEN VIGILANCIA'!V138)</f>
        <v>1</v>
      </c>
      <c r="X120" s="273" t="str">
        <f>IF(ISBLANK('RESUMEN VIGILANCIA'!W138),"",'RESUMEN VIGILANCIA'!W138)</f>
        <v/>
      </c>
      <c r="Y120" s="273" t="str">
        <f>IF(ISBLANK('RESUMEN VIGILANCIA'!X138),"",'RESUMEN VIGILANCIA'!X138)</f>
        <v/>
      </c>
      <c r="Z120" s="484" t="str">
        <f>IF(ISBLANK('RESUMEN VIGILANCIA'!Y138),"",'RESUMEN VIGILANCIA'!Y138)</f>
        <v/>
      </c>
      <c r="AA120" s="504" t="str">
        <f>IF(ISBLANK('RESUMEN VIGILANCIA'!Z138),"",'RESUMEN VIGILANCIA'!Z138)</f>
        <v>VENDIDA</v>
      </c>
      <c r="AB120" s="487" t="str">
        <f>IF(ISBLANK('RESUMEN VIGILANCIA'!AA138),"",'RESUMEN VIGILANCIA'!AA138)</f>
        <v/>
      </c>
      <c r="AC120" s="488" t="str">
        <f>IF(ISBLANK('RESUMEN VIGILANCIA'!AB138),"",'RESUMEN VIGILANCIA'!AB138)</f>
        <v/>
      </c>
      <c r="AD120" s="415" t="str">
        <f>IF(ISBLANK('RESUMEN VIGILANCIA'!AC138),"",'RESUMEN VIGILANCIA'!AC138)</f>
        <v/>
      </c>
      <c r="AE120" s="416" t="str">
        <f>IF(ISBLANK('RESUMEN VIGILANCIA'!AD138),"",'RESUMEN VIGILANCIA'!AD138)</f>
        <v/>
      </c>
      <c r="AF120" s="416" t="str">
        <f>IF(ISBLANK('RESUMEN VIGILANCIA'!AE138),"",'RESUMEN VIGILANCIA'!AE138)</f>
        <v/>
      </c>
      <c r="AG120" s="416" t="str">
        <f>IF(ISBLANK('RESUMEN VIGILANCIA'!AF138),"",'RESUMEN VIGILANCIA'!AF138)</f>
        <v/>
      </c>
      <c r="AH120" s="416" t="str">
        <f>IF(ISBLANK('RESUMEN VIGILANCIA'!AG138),"",'RESUMEN VIGILANCIA'!AG138)</f>
        <v/>
      </c>
      <c r="AI120" s="416" t="str">
        <f>IF(ISBLANK('RESUMEN VIGILANCIA'!AH138),"",'RESUMEN VIGILANCIA'!AH138)</f>
        <v/>
      </c>
      <c r="AJ120" s="416" t="str">
        <f>IF(ISBLANK('RESUMEN VIGILANCIA'!AI138),"",'RESUMEN VIGILANCIA'!AI138)</f>
        <v/>
      </c>
      <c r="AK120" s="416" t="str">
        <f>IF(ISBLANK('RESUMEN VIGILANCIA'!AJ138),"",'RESUMEN VIGILANCIA'!AJ138)</f>
        <v/>
      </c>
      <c r="AL120" s="416" t="str">
        <f>IF(ISBLANK('RESUMEN VIGILANCIA'!AK138),"",'RESUMEN VIGILANCIA'!AK138)</f>
        <v/>
      </c>
      <c r="AM120" s="416" t="str">
        <f>IF(ISBLANK('RESUMEN VIGILANCIA'!AL138),"",'RESUMEN VIGILANCIA'!AL138)</f>
        <v/>
      </c>
      <c r="AN120" s="416" t="str">
        <f>IF(ISBLANK('RESUMEN VIGILANCIA'!AM138),"",'RESUMEN VIGILANCIA'!AM138)</f>
        <v/>
      </c>
      <c r="AO120" s="417" t="str">
        <f>IF(ISBLANK('RESUMEN VIGILANCIA'!AN138),"",'RESUMEN VIGILANCIA'!AN138)</f>
        <v/>
      </c>
      <c r="AP120" s="415" t="str">
        <f>IF(ISBLANK('RESUMEN VIGILANCIA'!AO138),"",'RESUMEN VIGILANCIA'!AO138)</f>
        <v/>
      </c>
      <c r="AQ120" s="416" t="str">
        <f>IF(ISBLANK('RESUMEN VIGILANCIA'!AP138),"",'RESUMEN VIGILANCIA'!AP138)</f>
        <v/>
      </c>
      <c r="AR120" s="416" t="str">
        <f>IF(ISBLANK('RESUMEN VIGILANCIA'!AQ138),"",'RESUMEN VIGILANCIA'!AQ138)</f>
        <v/>
      </c>
      <c r="AS120" s="416" t="str">
        <f>IF(ISBLANK('RESUMEN VIGILANCIA'!AR138),"",'RESUMEN VIGILANCIA'!AR138)</f>
        <v/>
      </c>
      <c r="AT120" s="416" t="str">
        <f>IF(ISBLANK('RESUMEN VIGILANCIA'!AS138),"",'RESUMEN VIGILANCIA'!AS138)</f>
        <v/>
      </c>
      <c r="AU120" s="416" t="str">
        <f>IF(ISBLANK('RESUMEN VIGILANCIA'!AT138),"",'RESUMEN VIGILANCIA'!AT138)</f>
        <v/>
      </c>
      <c r="AV120" s="416" t="str">
        <f>IF(ISBLANK('RESUMEN VIGILANCIA'!AU138),"",'RESUMEN VIGILANCIA'!AU138)</f>
        <v/>
      </c>
      <c r="AW120" s="416" t="str">
        <f>IF(ISBLANK('RESUMEN VIGILANCIA'!AV138),"",'RESUMEN VIGILANCIA'!AV138)</f>
        <v/>
      </c>
      <c r="AX120" s="416" t="str">
        <f>IF(ISBLANK('RESUMEN VIGILANCIA'!AW138),"",'RESUMEN VIGILANCIA'!AW138)</f>
        <v/>
      </c>
      <c r="AY120" s="416" t="str">
        <f>IF(ISBLANK('RESUMEN VIGILANCIA'!AX138),"",'RESUMEN VIGILANCIA'!AX138)</f>
        <v/>
      </c>
      <c r="AZ120" s="416" t="str">
        <f>IF(ISBLANK('RESUMEN VIGILANCIA'!AY138),"",'RESUMEN VIGILANCIA'!AY138)</f>
        <v/>
      </c>
      <c r="BA120" s="417" t="str">
        <f>IF(ISBLANK('RESUMEN VIGILANCIA'!AZ138),"",'RESUMEN VIGILANCIA'!AZ138)</f>
        <v/>
      </c>
      <c r="BB120" s="243">
        <f t="shared" si="8"/>
        <v>5.73</v>
      </c>
      <c r="BC120" s="112"/>
      <c r="BD120" s="112">
        <v>43344</v>
      </c>
    </row>
    <row r="121" spans="1:56" s="29" customFormat="1" ht="20.100000000000001" customHeight="1" x14ac:dyDescent="0.25">
      <c r="A121" s="30" t="str">
        <f>'RESUMEN VIGILANCIA'!A139</f>
        <v>Familia Abbinante Pinto</v>
      </c>
      <c r="B121" s="31" t="str">
        <f>'RESUMEN VIGILANCIA'!B139</f>
        <v>Calle Güigüe Nro. 89-120</v>
      </c>
      <c r="C121" s="452" t="s">
        <v>1269</v>
      </c>
      <c r="D121" s="460" t="s">
        <v>1268</v>
      </c>
      <c r="E121" s="440" t="str">
        <f>IF(ISBLANK('RESUMEN VIGILANCIA'!D139),"",'RESUMEN VIGILANCIA'!D139)</f>
        <v/>
      </c>
      <c r="F121" s="270" t="str">
        <f>IF(ISBLANK('RESUMEN VIGILANCIA'!E139),"",'RESUMEN VIGILANCIA'!E139)</f>
        <v/>
      </c>
      <c r="G121" s="182" t="str">
        <f>IF(ISBLANK('RESUMEN VIGILANCIA'!F139),"",'RESUMEN VIGILANCIA'!F139)</f>
        <v/>
      </c>
      <c r="H121" s="182" t="str">
        <f>IF(ISBLANK('RESUMEN VIGILANCIA'!G139),"",'RESUMEN VIGILANCIA'!G139)</f>
        <v/>
      </c>
      <c r="I121" s="182" t="str">
        <f>IF(ISBLANK('RESUMEN VIGILANCIA'!H139),"",'RESUMEN VIGILANCIA'!H139)</f>
        <v/>
      </c>
      <c r="J121" s="182" t="str">
        <f>IF(ISBLANK('RESUMEN VIGILANCIA'!I139),"",'RESUMEN VIGILANCIA'!I139)</f>
        <v/>
      </c>
      <c r="K121" s="182" t="str">
        <f>IF(ISBLANK('RESUMEN VIGILANCIA'!J139),"",'RESUMEN VIGILANCIA'!J139)</f>
        <v/>
      </c>
      <c r="L121" s="227" t="str">
        <f>IF(ISBLANK('RESUMEN VIGILANCIA'!K139),"",'RESUMEN VIGILANCIA'!K139)</f>
        <v/>
      </c>
      <c r="M121" s="182" t="str">
        <f>IF(ISBLANK('RESUMEN VIGILANCIA'!L139),"",'RESUMEN VIGILANCIA'!L139)</f>
        <v/>
      </c>
      <c r="N121" s="182" t="str">
        <f>IF(ISBLANK('RESUMEN VIGILANCIA'!M139),"",'RESUMEN VIGILANCIA'!M139)</f>
        <v/>
      </c>
      <c r="O121" s="182" t="str">
        <f>IF(ISBLANK('RESUMEN VIGILANCIA'!N139),"",'RESUMEN VIGILANCIA'!N139)</f>
        <v/>
      </c>
      <c r="P121" s="271" t="str">
        <f>IF(ISBLANK('RESUMEN VIGILANCIA'!O139),"",'RESUMEN VIGILANCIA'!O139)</f>
        <v/>
      </c>
      <c r="Q121" s="180" t="str">
        <f>IF(ISBLANK('RESUMEN VIGILANCIA'!P139),"",'RESUMEN VIGILANCIA'!P139)</f>
        <v/>
      </c>
      <c r="R121" s="348" t="str">
        <f>IF(ISBLANK('RESUMEN VIGILANCIA'!Q139),"",'RESUMEN VIGILANCIA'!Q139)</f>
        <v/>
      </c>
      <c r="S121" s="282" t="str">
        <f>IF(ISBLANK('RESUMEN VIGILANCIA'!R139),"",'RESUMEN VIGILANCIA'!R139)</f>
        <v/>
      </c>
      <c r="T121" s="282" t="str">
        <f>IF(ISBLANK('RESUMEN VIGILANCIA'!S139),"",'RESUMEN VIGILANCIA'!S139)</f>
        <v/>
      </c>
      <c r="U121" s="282" t="str">
        <f>IF(ISBLANK('RESUMEN VIGILANCIA'!T139),"",'RESUMEN VIGILANCIA'!T139)</f>
        <v/>
      </c>
      <c r="V121" s="282" t="str">
        <f>IF(ISBLANK('RESUMEN VIGILANCIA'!U139),"",'RESUMEN VIGILANCIA'!U139)</f>
        <v/>
      </c>
      <c r="W121" s="282" t="str">
        <f>IF(ISBLANK('RESUMEN VIGILANCIA'!V139),"",'RESUMEN VIGILANCIA'!V139)</f>
        <v/>
      </c>
      <c r="X121" s="282" t="str">
        <f>IF(ISBLANK('RESUMEN VIGILANCIA'!W139),"",'RESUMEN VIGILANCIA'!W139)</f>
        <v/>
      </c>
      <c r="Y121" s="282" t="str">
        <f>IF(ISBLANK('RESUMEN VIGILANCIA'!X139),"",'RESUMEN VIGILANCIA'!X139)</f>
        <v/>
      </c>
      <c r="Z121" s="490" t="str">
        <f>IF(ISBLANK('RESUMEN VIGILANCIA'!Y139),"",'RESUMEN VIGILANCIA'!Y139)</f>
        <v/>
      </c>
      <c r="AA121" s="481">
        <f>IF(ISBLANK('RESUMEN VIGILANCIA'!Z139),"",'RESUMEN VIGILANCIA'!Z139)</f>
        <v>320</v>
      </c>
      <c r="AB121" s="481">
        <f>IF(ISBLANK('RESUMEN VIGILANCIA'!AA139),"",'RESUMEN VIGILANCIA'!AA139)</f>
        <v>320</v>
      </c>
      <c r="AC121" s="482">
        <f>IF(ISBLANK('RESUMEN VIGILANCIA'!AB139),"",'RESUMEN VIGILANCIA'!AB139)</f>
        <v>800</v>
      </c>
      <c r="AD121" s="399">
        <f>IF(ISBLANK('RESUMEN VIGILANCIA'!AC139),"",'RESUMEN VIGILANCIA'!AC139)</f>
        <v>3000</v>
      </c>
      <c r="AE121" s="400">
        <f>IF(ISBLANK('RESUMEN VIGILANCIA'!AD139),"",'RESUMEN VIGILANCIA'!AD139)</f>
        <v>3000</v>
      </c>
      <c r="AF121" s="400">
        <f>IF(ISBLANK('RESUMEN VIGILANCIA'!AE139),"",'RESUMEN VIGILANCIA'!AE139)</f>
        <v>3000</v>
      </c>
      <c r="AG121" s="400">
        <f>IF(ISBLANK('RESUMEN VIGILANCIA'!AF139),"",'RESUMEN VIGILANCIA'!AF139)</f>
        <v>5000</v>
      </c>
      <c r="AH121" s="400">
        <f>IF(ISBLANK('RESUMEN VIGILANCIA'!AG139),"",'RESUMEN VIGILANCIA'!AG139)</f>
        <v>8000</v>
      </c>
      <c r="AI121" s="400">
        <f>IF(ISBLANK('RESUMEN VIGILANCIA'!AH139),"",'RESUMEN VIGILANCIA'!AH139)</f>
        <v>8000</v>
      </c>
      <c r="AJ121" s="400">
        <f>IF(ISBLANK('RESUMEN VIGILANCIA'!AI139),"",'RESUMEN VIGILANCIA'!AI139)</f>
        <v>10000</v>
      </c>
      <c r="AK121" s="400">
        <f>IF(ISBLANK('RESUMEN VIGILANCIA'!AJ139),"",'RESUMEN VIGILANCIA'!AJ139)</f>
        <v>10000</v>
      </c>
      <c r="AL121" s="400">
        <f>IF(ISBLANK('RESUMEN VIGILANCIA'!AK139),"",'RESUMEN VIGILANCIA'!AK139)</f>
        <v>21600</v>
      </c>
      <c r="AM121" s="400">
        <f>IF(ISBLANK('RESUMEN VIGILANCIA'!AL139),"",'RESUMEN VIGILANCIA'!AL139)</f>
        <v>51250</v>
      </c>
      <c r="AN121" s="400">
        <f>IF(ISBLANK('RESUMEN VIGILANCIA'!AM139),"",'RESUMEN VIGILANCIA'!AM139)</f>
        <v>73500</v>
      </c>
      <c r="AO121" s="401">
        <f>IF(ISBLANK('RESUMEN VIGILANCIA'!AN139),"",'RESUMEN VIGILANCIA'!AN139)</f>
        <v>105250</v>
      </c>
      <c r="AP121" s="399">
        <f>IF(ISBLANK('RESUMEN VIGILANCIA'!AO139),"",'RESUMEN VIGILANCIA'!AO139)</f>
        <v>136250</v>
      </c>
      <c r="AQ121" s="400">
        <f>IF(ISBLANK('RESUMEN VIGILANCIA'!AP139),"",'RESUMEN VIGILANCIA'!AP139)</f>
        <v>185250</v>
      </c>
      <c r="AR121" s="400">
        <f>IF(ISBLANK('RESUMEN VIGILANCIA'!AQ139),"",'RESUMEN VIGILANCIA'!AQ139)</f>
        <v>185250</v>
      </c>
      <c r="AS121" s="400" t="str">
        <f>IF(ISBLANK('RESUMEN VIGILANCIA'!AR139),"",'RESUMEN VIGILANCIA'!AR139)</f>
        <v/>
      </c>
      <c r="AT121" s="400" t="str">
        <f>IF(ISBLANK('RESUMEN VIGILANCIA'!AS139),"",'RESUMEN VIGILANCIA'!AS139)</f>
        <v/>
      </c>
      <c r="AU121" s="400" t="str">
        <f>IF(ISBLANK('RESUMEN VIGILANCIA'!AT139),"",'RESUMEN VIGILANCIA'!AT139)</f>
        <v/>
      </c>
      <c r="AV121" s="400" t="str">
        <f>IF(ISBLANK('RESUMEN VIGILANCIA'!AU139),"",'RESUMEN VIGILANCIA'!AU139)</f>
        <v/>
      </c>
      <c r="AW121" s="400" t="str">
        <f>IF(ISBLANK('RESUMEN VIGILANCIA'!AV139),"",'RESUMEN VIGILANCIA'!AV139)</f>
        <v/>
      </c>
      <c r="AX121" s="400" t="str">
        <f>IF(ISBLANK('RESUMEN VIGILANCIA'!AW139),"",'RESUMEN VIGILANCIA'!AW139)</f>
        <v/>
      </c>
      <c r="AY121" s="400" t="str">
        <f>IF(ISBLANK('RESUMEN VIGILANCIA'!AX139),"",'RESUMEN VIGILANCIA'!AX139)</f>
        <v/>
      </c>
      <c r="AZ121" s="400" t="str">
        <f>IF(ISBLANK('RESUMEN VIGILANCIA'!AY139),"",'RESUMEN VIGILANCIA'!AY139)</f>
        <v/>
      </c>
      <c r="BA121" s="401" t="str">
        <f>IF(ISBLANK('RESUMEN VIGILANCIA'!AZ139),"",'RESUMEN VIGILANCIA'!AZ139)</f>
        <v/>
      </c>
      <c r="BB121" s="243">
        <f t="shared" si="8"/>
        <v>303040</v>
      </c>
      <c r="BC121" s="112">
        <v>43374</v>
      </c>
      <c r="BD121" s="112"/>
    </row>
    <row r="122" spans="1:56" s="29" customFormat="1" ht="20.100000000000001" customHeight="1" x14ac:dyDescent="0.25">
      <c r="A122" s="33" t="str">
        <f>'RESUMEN VIGILANCIA'!A125</f>
        <v>Familia Kablan Sarmiento</v>
      </c>
      <c r="B122" s="34" t="str">
        <f>'RESUMEN VIGILANCIA'!B125</f>
        <v>Calle Güigüe Nro. 89-80</v>
      </c>
      <c r="C122" s="453" t="s">
        <v>1269</v>
      </c>
      <c r="D122" s="459" t="s">
        <v>1268</v>
      </c>
      <c r="E122" s="439" t="str">
        <f>IF(ISBLANK('RESUMEN VIGILANCIA'!D125),"",'RESUMEN VIGILANCIA'!D125)</f>
        <v/>
      </c>
      <c r="F122" s="267">
        <f>IF(ISBLANK('RESUMEN VIGILANCIA'!E125),"",'RESUMEN VIGILANCIA'!E125)</f>
        <v>0.1</v>
      </c>
      <c r="G122" s="189">
        <f>IF(ISBLANK('RESUMEN VIGILANCIA'!F125),"",'RESUMEN VIGILANCIA'!F125)</f>
        <v>0.1</v>
      </c>
      <c r="H122" s="189">
        <f>IF(ISBLANK('RESUMEN VIGILANCIA'!G125),"",'RESUMEN VIGILANCIA'!G125)</f>
        <v>0.1</v>
      </c>
      <c r="I122" s="189">
        <f>IF(ISBLANK('RESUMEN VIGILANCIA'!H125),"",'RESUMEN VIGILANCIA'!H125)</f>
        <v>0.1</v>
      </c>
      <c r="J122" s="189">
        <f>IF(ISBLANK('RESUMEN VIGILANCIA'!I125),"",'RESUMEN VIGILANCIA'!I125)</f>
        <v>0.15</v>
      </c>
      <c r="K122" s="189">
        <f>IF(ISBLANK('RESUMEN VIGILANCIA'!J125),"",'RESUMEN VIGILANCIA'!J125)</f>
        <v>0.15</v>
      </c>
      <c r="L122" s="189">
        <f>IF(ISBLANK('RESUMEN VIGILANCIA'!K125),"",'RESUMEN VIGILANCIA'!K125)</f>
        <v>0.2</v>
      </c>
      <c r="M122" s="189">
        <f>IF(ISBLANK('RESUMEN VIGILANCIA'!L125),"",'RESUMEN VIGILANCIA'!L125)</f>
        <v>0.2</v>
      </c>
      <c r="N122" s="189">
        <f>IF(ISBLANK('RESUMEN VIGILANCIA'!M125),"",'RESUMEN VIGILANCIA'!M125)</f>
        <v>0.2</v>
      </c>
      <c r="O122" s="189">
        <f>IF(ISBLANK('RESUMEN VIGILANCIA'!N125),"",'RESUMEN VIGILANCIA'!N125)</f>
        <v>0.2</v>
      </c>
      <c r="P122" s="268">
        <f>IF(ISBLANK('RESUMEN VIGILANCIA'!O125),"",'RESUMEN VIGILANCIA'!O125)</f>
        <v>0.4</v>
      </c>
      <c r="Q122" s="187">
        <f>IF(ISBLANK('RESUMEN VIGILANCIA'!P125),"",'RESUMEN VIGILANCIA'!P125)</f>
        <v>0.4</v>
      </c>
      <c r="R122" s="347">
        <f>IF(ISBLANK('RESUMEN VIGILANCIA'!Q125),"",'RESUMEN VIGILANCIA'!Q125)</f>
        <v>0.8</v>
      </c>
      <c r="S122" s="273">
        <f>IF(ISBLANK('RESUMEN VIGILANCIA'!R125),"",'RESUMEN VIGILANCIA'!R125)</f>
        <v>0.8</v>
      </c>
      <c r="T122" s="273">
        <f>IF(ISBLANK('RESUMEN VIGILANCIA'!S125),"",'RESUMEN VIGILANCIA'!S125)</f>
        <v>1.4</v>
      </c>
      <c r="U122" s="273">
        <f>IF(ISBLANK('RESUMEN VIGILANCIA'!T125),"",'RESUMEN VIGILANCIA'!T125)</f>
        <v>1.4</v>
      </c>
      <c r="V122" s="273">
        <f>IF(ISBLANK('RESUMEN VIGILANCIA'!U125),"",'RESUMEN VIGILANCIA'!U125)</f>
        <v>4</v>
      </c>
      <c r="W122" s="273">
        <f>IF(ISBLANK('RESUMEN VIGILANCIA'!V125),"",'RESUMEN VIGILANCIA'!V125)</f>
        <v>6.25</v>
      </c>
      <c r="X122" s="273">
        <f>IF(ISBLANK('RESUMEN VIGILANCIA'!W125),"",'RESUMEN VIGILANCIA'!W125)</f>
        <v>10</v>
      </c>
      <c r="Y122" s="273">
        <f>IF(ISBLANK('RESUMEN VIGILANCIA'!X125),"",'RESUMEN VIGILANCIA'!X125)</f>
        <v>12</v>
      </c>
      <c r="Z122" s="484">
        <f>IF(ISBLANK('RESUMEN VIGILANCIA'!Y125),"",'RESUMEN VIGILANCIA'!Y125)</f>
        <v>320</v>
      </c>
      <c r="AA122" s="484">
        <f>IF(ISBLANK('RESUMEN VIGILANCIA'!Z125),"",'RESUMEN VIGILANCIA'!Z125)</f>
        <v>320</v>
      </c>
      <c r="AB122" s="484">
        <f>IF(ISBLANK('RESUMEN VIGILANCIA'!AA125),"",'RESUMEN VIGILANCIA'!AA125)</f>
        <v>320</v>
      </c>
      <c r="AC122" s="483">
        <f>IF(ISBLANK('RESUMEN VIGILANCIA'!AB125),"",'RESUMEN VIGILANCIA'!AB125)</f>
        <v>800</v>
      </c>
      <c r="AD122" s="404">
        <f>IF(ISBLANK('RESUMEN VIGILANCIA'!AC125),"",'RESUMEN VIGILANCIA'!AC125)</f>
        <v>3000</v>
      </c>
      <c r="AE122" s="405">
        <f>IF(ISBLANK('RESUMEN VIGILANCIA'!AD125),"",'RESUMEN VIGILANCIA'!AD125)</f>
        <v>3000</v>
      </c>
      <c r="AF122" s="405">
        <f>IF(ISBLANK('RESUMEN VIGILANCIA'!AE125),"",'RESUMEN VIGILANCIA'!AE125)</f>
        <v>3000</v>
      </c>
      <c r="AG122" s="405">
        <f>IF(ISBLANK('RESUMEN VIGILANCIA'!AF125),"",'RESUMEN VIGILANCIA'!AF125)</f>
        <v>5000</v>
      </c>
      <c r="AH122" s="405">
        <f>IF(ISBLANK('RESUMEN VIGILANCIA'!AG125),"",'RESUMEN VIGILANCIA'!AG125)</f>
        <v>8000</v>
      </c>
      <c r="AI122" s="405">
        <f>IF(ISBLANK('RESUMEN VIGILANCIA'!AH125),"",'RESUMEN VIGILANCIA'!AH125)</f>
        <v>8000</v>
      </c>
      <c r="AJ122" s="405">
        <f>IF(ISBLANK('RESUMEN VIGILANCIA'!AI125),"",'RESUMEN VIGILANCIA'!AI125)</f>
        <v>10000</v>
      </c>
      <c r="AK122" s="405">
        <f>IF(ISBLANK('RESUMEN VIGILANCIA'!AJ125),"",'RESUMEN VIGILANCIA'!AJ125)</f>
        <v>10000</v>
      </c>
      <c r="AL122" s="405">
        <f>IF(ISBLANK('RESUMEN VIGILANCIA'!AK125),"",'RESUMEN VIGILANCIA'!AK125)</f>
        <v>20000</v>
      </c>
      <c r="AM122" s="405">
        <f>IF(ISBLANK('RESUMEN VIGILANCIA'!AL125),"",'RESUMEN VIGILANCIA'!AL125)</f>
        <v>51000</v>
      </c>
      <c r="AN122" s="405">
        <f>IF(ISBLANK('RESUMEN VIGILANCIA'!AM125),"",'RESUMEN VIGILANCIA'!AM125)</f>
        <v>51250</v>
      </c>
      <c r="AO122" s="410">
        <f>IF(ISBLANK('RESUMEN VIGILANCIA'!AN125),"",'RESUMEN VIGILANCIA'!AN125)</f>
        <v>97500</v>
      </c>
      <c r="AP122" s="404">
        <f>IF(ISBLANK('RESUMEN VIGILANCIA'!AO125),"",'RESUMEN VIGILANCIA'!AO125)</f>
        <v>136250</v>
      </c>
      <c r="AQ122" s="405">
        <f>IF(ISBLANK('RESUMEN VIGILANCIA'!AP125),"",'RESUMEN VIGILANCIA'!AP125)</f>
        <v>136250</v>
      </c>
      <c r="AR122" s="405">
        <f>IF(ISBLANK('RESUMEN VIGILANCIA'!AQ125),"",'RESUMEN VIGILANCIA'!AQ125)</f>
        <v>185250</v>
      </c>
      <c r="AS122" s="405" t="str">
        <f>IF(ISBLANK('RESUMEN VIGILANCIA'!AR125),"",'RESUMEN VIGILANCIA'!AR125)</f>
        <v/>
      </c>
      <c r="AT122" s="405" t="str">
        <f>IF(ISBLANK('RESUMEN VIGILANCIA'!AS125),"",'RESUMEN VIGILANCIA'!AS125)</f>
        <v/>
      </c>
      <c r="AU122" s="405" t="str">
        <f>IF(ISBLANK('RESUMEN VIGILANCIA'!AT125),"",'RESUMEN VIGILANCIA'!AT125)</f>
        <v/>
      </c>
      <c r="AV122" s="405" t="str">
        <f>IF(ISBLANK('RESUMEN VIGILANCIA'!AU125),"",'RESUMEN VIGILANCIA'!AU125)</f>
        <v/>
      </c>
      <c r="AW122" s="405" t="str">
        <f>IF(ISBLANK('RESUMEN VIGILANCIA'!AV125),"",'RESUMEN VIGILANCIA'!AV125)</f>
        <v/>
      </c>
      <c r="AX122" s="405" t="str">
        <f>IF(ISBLANK('RESUMEN VIGILANCIA'!AW125),"",'RESUMEN VIGILANCIA'!AW125)</f>
        <v/>
      </c>
      <c r="AY122" s="405" t="str">
        <f>IF(ISBLANK('RESUMEN VIGILANCIA'!AX125),"",'RESUMEN VIGILANCIA'!AX125)</f>
        <v/>
      </c>
      <c r="AZ122" s="405" t="str">
        <f>IF(ISBLANK('RESUMEN VIGILANCIA'!AY125),"",'RESUMEN VIGILANCIA'!AY125)</f>
        <v/>
      </c>
      <c r="BA122" s="410" t="str">
        <f>IF(ISBLANK('RESUMEN VIGILANCIA'!AZ125),"",'RESUMEN VIGILANCIA'!AZ125)</f>
        <v/>
      </c>
      <c r="BB122" s="368">
        <f t="shared" si="8"/>
        <v>271548.95</v>
      </c>
      <c r="BC122" s="369"/>
      <c r="BD122" s="369"/>
    </row>
    <row r="123" spans="1:56" s="29" customFormat="1" ht="20.100000000000001" customHeight="1" x14ac:dyDescent="0.25">
      <c r="A123" s="30" t="str">
        <f>'RESUMEN VIGILANCIA'!A126</f>
        <v>Familia Ferrer Bahri</v>
      </c>
      <c r="B123" s="31" t="str">
        <f>'RESUMEN VIGILANCIA'!B126</f>
        <v>Calle Güigüe Nro. 89-83</v>
      </c>
      <c r="C123" s="452" t="s">
        <v>1269</v>
      </c>
      <c r="D123" s="460" t="s">
        <v>17</v>
      </c>
      <c r="E123" s="440" t="str">
        <f>IF(ISBLANK('RESUMEN VIGILANCIA'!D126),"",'RESUMEN VIGILANCIA'!D126)</f>
        <v/>
      </c>
      <c r="F123" s="270">
        <f>IF(ISBLANK('RESUMEN VIGILANCIA'!E126),"",'RESUMEN VIGILANCIA'!E126)</f>
        <v>0.17</v>
      </c>
      <c r="G123" s="182">
        <f>IF(ISBLANK('RESUMEN VIGILANCIA'!F126),"",'RESUMEN VIGILANCIA'!F126)</f>
        <v>0.17</v>
      </c>
      <c r="H123" s="182">
        <f>IF(ISBLANK('RESUMEN VIGILANCIA'!G126),"",'RESUMEN VIGILANCIA'!G126)</f>
        <v>0.17</v>
      </c>
      <c r="I123" s="182">
        <f>IF(ISBLANK('RESUMEN VIGILANCIA'!H126),"",'RESUMEN VIGILANCIA'!H126)</f>
        <v>0.17</v>
      </c>
      <c r="J123" s="182">
        <f>IF(ISBLANK('RESUMEN VIGILANCIA'!I126),"",'RESUMEN VIGILANCIA'!I126)</f>
        <v>0.26</v>
      </c>
      <c r="K123" s="182">
        <f>IF(ISBLANK('RESUMEN VIGILANCIA'!J126),"",'RESUMEN VIGILANCIA'!J126)</f>
        <v>0.26</v>
      </c>
      <c r="L123" s="182">
        <f>IF(ISBLANK('RESUMEN VIGILANCIA'!K126),"",'RESUMEN VIGILANCIA'!K126)</f>
        <v>0.35</v>
      </c>
      <c r="M123" s="182">
        <f>IF(ISBLANK('RESUMEN VIGILANCIA'!L126),"",'RESUMEN VIGILANCIA'!L126)</f>
        <v>0.35</v>
      </c>
      <c r="N123" s="182">
        <f>IF(ISBLANK('RESUMEN VIGILANCIA'!M126),"",'RESUMEN VIGILANCIA'!M126)</f>
        <v>0.35</v>
      </c>
      <c r="O123" s="182">
        <f>IF(ISBLANK('RESUMEN VIGILANCIA'!N126),"",'RESUMEN VIGILANCIA'!N126)</f>
        <v>0.35</v>
      </c>
      <c r="P123" s="271">
        <f>IF(ISBLANK('RESUMEN VIGILANCIA'!O126),"",'RESUMEN VIGILANCIA'!O126)</f>
        <v>0.5</v>
      </c>
      <c r="Q123" s="180">
        <f>IF(ISBLANK('RESUMEN VIGILANCIA'!P126),"",'RESUMEN VIGILANCIA'!P126)</f>
        <v>0.5</v>
      </c>
      <c r="R123" s="272">
        <f>IF(ISBLANK('RESUMEN VIGILANCIA'!Q126),"",'RESUMEN VIGILANCIA'!Q126)</f>
        <v>0.8</v>
      </c>
      <c r="S123" s="271">
        <f>IF(ISBLANK('RESUMEN VIGILANCIA'!R126),"",'RESUMEN VIGILANCIA'!R126)</f>
        <v>0.8</v>
      </c>
      <c r="T123" s="271">
        <f>IF(ISBLANK('RESUMEN VIGILANCIA'!S126),"",'RESUMEN VIGILANCIA'!S126)</f>
        <v>1.4</v>
      </c>
      <c r="U123" s="271">
        <f>IF(ISBLANK('RESUMEN VIGILANCIA'!T126),"",'RESUMEN VIGILANCIA'!T126)</f>
        <v>1.4</v>
      </c>
      <c r="V123" s="271">
        <f>IF(ISBLANK('RESUMEN VIGILANCIA'!U126),"",'RESUMEN VIGILANCIA'!U126)</f>
        <v>4</v>
      </c>
      <c r="W123" s="271">
        <f>IF(ISBLANK('RESUMEN VIGILANCIA'!V126),"",'RESUMEN VIGILANCIA'!V126)</f>
        <v>6.25</v>
      </c>
      <c r="X123" s="271">
        <f>IF(ISBLANK('RESUMEN VIGILANCIA'!W126),"",'RESUMEN VIGILANCIA'!W126)</f>
        <v>10</v>
      </c>
      <c r="Y123" s="271">
        <f>IF(ISBLANK('RESUMEN VIGILANCIA'!X126),"",'RESUMEN VIGILANCIA'!X126)</f>
        <v>12</v>
      </c>
      <c r="Z123" s="481">
        <f>IF(ISBLANK('RESUMEN VIGILANCIA'!Y126),"",'RESUMEN VIGILANCIA'!Y126)</f>
        <v>320</v>
      </c>
      <c r="AA123" s="481">
        <f>IF(ISBLANK('RESUMEN VIGILANCIA'!Z126),"",'RESUMEN VIGILANCIA'!Z126)</f>
        <v>320</v>
      </c>
      <c r="AB123" s="481">
        <f>IF(ISBLANK('RESUMEN VIGILANCIA'!AA126),"",'RESUMEN VIGILANCIA'!AA126)</f>
        <v>320</v>
      </c>
      <c r="AC123" s="482">
        <f>IF(ISBLANK('RESUMEN VIGILANCIA'!AB126),"",'RESUMEN VIGILANCIA'!AB126)</f>
        <v>800</v>
      </c>
      <c r="AD123" s="399">
        <f>IF(ISBLANK('RESUMEN VIGILANCIA'!AC126),"",'RESUMEN VIGILANCIA'!AC126)</f>
        <v>3000</v>
      </c>
      <c r="AE123" s="400">
        <f>IF(ISBLANK('RESUMEN VIGILANCIA'!AD126),"",'RESUMEN VIGILANCIA'!AD126)</f>
        <v>3000</v>
      </c>
      <c r="AF123" s="400">
        <f>IF(ISBLANK('RESUMEN VIGILANCIA'!AE126),"",'RESUMEN VIGILANCIA'!AE126)</f>
        <v>6000</v>
      </c>
      <c r="AG123" s="400">
        <f>IF(ISBLANK('RESUMEN VIGILANCIA'!AF126),"",'RESUMEN VIGILANCIA'!AF126)</f>
        <v>6000</v>
      </c>
      <c r="AH123" s="400">
        <f>IF(ISBLANK('RESUMEN VIGILANCIA'!AG126),"",'RESUMEN VIGILANCIA'!AG126)</f>
        <v>12000</v>
      </c>
      <c r="AI123" s="400">
        <f>IF(ISBLANK('RESUMEN VIGILANCIA'!AH126),"",'RESUMEN VIGILANCIA'!AH126)</f>
        <v>12000</v>
      </c>
      <c r="AJ123" s="400">
        <f>IF(ISBLANK('RESUMEN VIGILANCIA'!AI126),"",'RESUMEN VIGILANCIA'!AI126)</f>
        <v>20000</v>
      </c>
      <c r="AK123" s="400">
        <f>IF(ISBLANK('RESUMEN VIGILANCIA'!AJ126),"",'RESUMEN VIGILANCIA'!AJ126)</f>
        <v>20000</v>
      </c>
      <c r="AL123" s="400">
        <f>IF(ISBLANK('RESUMEN VIGILANCIA'!AK126),"",'RESUMEN VIGILANCIA'!AK126)</f>
        <v>23400</v>
      </c>
      <c r="AM123" s="400">
        <f>IF(ISBLANK('RESUMEN VIGILANCIA'!AL126),"",'RESUMEN VIGILANCIA'!AL126)</f>
        <v>47000</v>
      </c>
      <c r="AN123" s="400">
        <f>IF(ISBLANK('RESUMEN VIGILANCIA'!AM126),"",'RESUMEN VIGILANCIA'!AM126)</f>
        <v>60000</v>
      </c>
      <c r="AO123" s="401">
        <f>IF(ISBLANK('RESUMEN VIGILANCIA'!AN126),"",'RESUMEN VIGILANCIA'!AN126)</f>
        <v>150000</v>
      </c>
      <c r="AP123" s="399">
        <f>IF(ISBLANK('RESUMEN VIGILANCIA'!AO126),"",'RESUMEN VIGILANCIA'!AO126)</f>
        <v>150000</v>
      </c>
      <c r="AQ123" s="400">
        <f>IF(ISBLANK('RESUMEN VIGILANCIA'!AP126),"",'RESUMEN VIGILANCIA'!AP126)</f>
        <v>150000</v>
      </c>
      <c r="AR123" s="400">
        <f>IF(ISBLANK('RESUMEN VIGILANCIA'!AQ126),"",'RESUMEN VIGILANCIA'!AQ126)</f>
        <v>200000</v>
      </c>
      <c r="AS123" s="400" t="str">
        <f>IF(ISBLANK('RESUMEN VIGILANCIA'!AR126),"",'RESUMEN VIGILANCIA'!AR126)</f>
        <v/>
      </c>
      <c r="AT123" s="400" t="str">
        <f>IF(ISBLANK('RESUMEN VIGILANCIA'!AS126),"",'RESUMEN VIGILANCIA'!AS126)</f>
        <v/>
      </c>
      <c r="AU123" s="400" t="str">
        <f>IF(ISBLANK('RESUMEN VIGILANCIA'!AT126),"",'RESUMEN VIGILANCIA'!AT126)</f>
        <v/>
      </c>
      <c r="AV123" s="400" t="str">
        <f>IF(ISBLANK('RESUMEN VIGILANCIA'!AU126),"",'RESUMEN VIGILANCIA'!AU126)</f>
        <v/>
      </c>
      <c r="AW123" s="400" t="str">
        <f>IF(ISBLANK('RESUMEN VIGILANCIA'!AV126),"",'RESUMEN VIGILANCIA'!AV126)</f>
        <v/>
      </c>
      <c r="AX123" s="400" t="str">
        <f>IF(ISBLANK('RESUMEN VIGILANCIA'!AW126),"",'RESUMEN VIGILANCIA'!AW126)</f>
        <v/>
      </c>
      <c r="AY123" s="400" t="str">
        <f>IF(ISBLANK('RESUMEN VIGILANCIA'!AX126),"",'RESUMEN VIGILANCIA'!AX126)</f>
        <v/>
      </c>
      <c r="AZ123" s="400" t="str">
        <f>IF(ISBLANK('RESUMEN VIGILANCIA'!AY126),"",'RESUMEN VIGILANCIA'!AY126)</f>
        <v/>
      </c>
      <c r="BA123" s="401" t="str">
        <f>IF(ISBLANK('RESUMEN VIGILANCIA'!AZ126),"",'RESUMEN VIGILANCIA'!AZ126)</f>
        <v/>
      </c>
      <c r="BB123" s="243">
        <f t="shared" si="8"/>
        <v>364200.25</v>
      </c>
      <c r="BC123" s="112"/>
      <c r="BD123" s="112"/>
    </row>
    <row r="124" spans="1:56" s="29" customFormat="1" ht="20.100000000000001" customHeight="1" x14ac:dyDescent="0.25">
      <c r="A124" s="59" t="str">
        <f>'RESUMEN VIGILANCIA'!A130</f>
        <v>Familia Herrera Guada</v>
      </c>
      <c r="B124" s="60" t="str">
        <f>'RESUMEN VIGILANCIA'!B130</f>
        <v>Calle Güigüe Nro. 89-90</v>
      </c>
      <c r="C124" s="452"/>
      <c r="D124" s="460" t="s">
        <v>1268</v>
      </c>
      <c r="E124" s="439" t="str">
        <f>IF(ISBLANK('RESUMEN VIGILANCIA'!D130),"",'RESUMEN VIGILANCIA'!D130)</f>
        <v/>
      </c>
      <c r="F124" s="267">
        <f>IF(ISBLANK('RESUMEN VIGILANCIA'!E130),"",'RESUMEN VIGILANCIA'!E130)</f>
        <v>4.4999999999999998E-2</v>
      </c>
      <c r="G124" s="189">
        <f>IF(ISBLANK('RESUMEN VIGILANCIA'!F130),"",'RESUMEN VIGILANCIA'!F130)</f>
        <v>4.4999999999999998E-2</v>
      </c>
      <c r="H124" s="189">
        <f>IF(ISBLANK('RESUMEN VIGILANCIA'!G130),"",'RESUMEN VIGILANCIA'!G130)</f>
        <v>0.05</v>
      </c>
      <c r="I124" s="189">
        <f>IF(ISBLANK('RESUMEN VIGILANCIA'!H130),"",'RESUMEN VIGILANCIA'!H130)</f>
        <v>0.05</v>
      </c>
      <c r="J124" s="189">
        <f>IF(ISBLANK('RESUMEN VIGILANCIA'!I130),"",'RESUMEN VIGILANCIA'!I130)</f>
        <v>0.05</v>
      </c>
      <c r="K124" s="222" t="str">
        <f>IF(ISBLANK('RESUMEN VIGILANCIA'!J130),"",'RESUMEN VIGILANCIA'!J130)</f>
        <v>VENDIDA</v>
      </c>
      <c r="L124" s="234" t="str">
        <f>IF(ISBLANK('RESUMEN VIGILANCIA'!K130),"",'RESUMEN VIGILANCIA'!K130)</f>
        <v/>
      </c>
      <c r="M124" s="234" t="str">
        <f>IF(ISBLANK('RESUMEN VIGILANCIA'!L130),"",'RESUMEN VIGILANCIA'!L130)</f>
        <v/>
      </c>
      <c r="N124" s="234" t="str">
        <f>IF(ISBLANK('RESUMEN VIGILANCIA'!M130),"",'RESUMEN VIGILANCIA'!M130)</f>
        <v/>
      </c>
      <c r="O124" s="234" t="str">
        <f>IF(ISBLANK('RESUMEN VIGILANCIA'!N130),"",'RESUMEN VIGILANCIA'!N130)</f>
        <v/>
      </c>
      <c r="P124" s="276" t="str">
        <f>IF(ISBLANK('RESUMEN VIGILANCIA'!O130),"",'RESUMEN VIGILANCIA'!O130)</f>
        <v/>
      </c>
      <c r="Q124" s="223" t="str">
        <f>IF(ISBLANK('RESUMEN VIGILANCIA'!P130),"",'RESUMEN VIGILANCIA'!P130)</f>
        <v/>
      </c>
      <c r="R124" s="297" t="str">
        <f>IF(ISBLANK('RESUMEN VIGILANCIA'!Q130),"",'RESUMEN VIGILANCIA'!Q130)</f>
        <v/>
      </c>
      <c r="S124" s="276" t="str">
        <f>IF(ISBLANK('RESUMEN VIGILANCIA'!R130),"",'RESUMEN VIGILANCIA'!R130)</f>
        <v/>
      </c>
      <c r="T124" s="276" t="str">
        <f>IF(ISBLANK('RESUMEN VIGILANCIA'!S130),"",'RESUMEN VIGILANCIA'!S130)</f>
        <v/>
      </c>
      <c r="U124" s="276" t="str">
        <f>IF(ISBLANK('RESUMEN VIGILANCIA'!T130),"",'RESUMEN VIGILANCIA'!T130)</f>
        <v/>
      </c>
      <c r="V124" s="276" t="str">
        <f>IF(ISBLANK('RESUMEN VIGILANCIA'!U130),"",'RESUMEN VIGILANCIA'!U130)</f>
        <v/>
      </c>
      <c r="W124" s="276" t="str">
        <f>IF(ISBLANK('RESUMEN VIGILANCIA'!V130),"",'RESUMEN VIGILANCIA'!V130)</f>
        <v/>
      </c>
      <c r="X124" s="276" t="str">
        <f>IF(ISBLANK('RESUMEN VIGILANCIA'!W130),"",'RESUMEN VIGILANCIA'!W130)</f>
        <v/>
      </c>
      <c r="Y124" s="276" t="str">
        <f>IF(ISBLANK('RESUMEN VIGILANCIA'!X130),"",'RESUMEN VIGILANCIA'!X130)</f>
        <v/>
      </c>
      <c r="Z124" s="487" t="str">
        <f>IF(ISBLANK('RESUMEN VIGILANCIA'!Y130),"",'RESUMEN VIGILANCIA'!Y130)</f>
        <v/>
      </c>
      <c r="AA124" s="487" t="str">
        <f>IF(ISBLANK('RESUMEN VIGILANCIA'!Z130),"",'RESUMEN VIGILANCIA'!Z130)</f>
        <v/>
      </c>
      <c r="AB124" s="487" t="str">
        <f>IF(ISBLANK('RESUMEN VIGILANCIA'!AA130),"",'RESUMEN VIGILANCIA'!AA130)</f>
        <v/>
      </c>
      <c r="AC124" s="488" t="str">
        <f>IF(ISBLANK('RESUMEN VIGILANCIA'!AB130),"",'RESUMEN VIGILANCIA'!AB130)</f>
        <v/>
      </c>
      <c r="AD124" s="415" t="str">
        <f>IF(ISBLANK('RESUMEN VIGILANCIA'!AC130),"",'RESUMEN VIGILANCIA'!AC130)</f>
        <v/>
      </c>
      <c r="AE124" s="416" t="str">
        <f>IF(ISBLANK('RESUMEN VIGILANCIA'!AD130),"",'RESUMEN VIGILANCIA'!AD130)</f>
        <v/>
      </c>
      <c r="AF124" s="416" t="str">
        <f>IF(ISBLANK('RESUMEN VIGILANCIA'!AE130),"",'RESUMEN VIGILANCIA'!AE130)</f>
        <v/>
      </c>
      <c r="AG124" s="416" t="str">
        <f>IF(ISBLANK('RESUMEN VIGILANCIA'!AF130),"",'RESUMEN VIGILANCIA'!AF130)</f>
        <v/>
      </c>
      <c r="AH124" s="416" t="str">
        <f>IF(ISBLANK('RESUMEN VIGILANCIA'!AG130),"",'RESUMEN VIGILANCIA'!AG130)</f>
        <v/>
      </c>
      <c r="AI124" s="416" t="str">
        <f>IF(ISBLANK('RESUMEN VIGILANCIA'!AH130),"",'RESUMEN VIGILANCIA'!AH130)</f>
        <v/>
      </c>
      <c r="AJ124" s="416" t="str">
        <f>IF(ISBLANK('RESUMEN VIGILANCIA'!AI130),"",'RESUMEN VIGILANCIA'!AI130)</f>
        <v/>
      </c>
      <c r="AK124" s="416" t="str">
        <f>IF(ISBLANK('RESUMEN VIGILANCIA'!AJ130),"",'RESUMEN VIGILANCIA'!AJ130)</f>
        <v/>
      </c>
      <c r="AL124" s="416" t="str">
        <f>IF(ISBLANK('RESUMEN VIGILANCIA'!AK130),"",'RESUMEN VIGILANCIA'!AK130)</f>
        <v/>
      </c>
      <c r="AM124" s="416" t="str">
        <f>IF(ISBLANK('RESUMEN VIGILANCIA'!AL130),"",'RESUMEN VIGILANCIA'!AL130)</f>
        <v/>
      </c>
      <c r="AN124" s="416" t="str">
        <f>IF(ISBLANK('RESUMEN VIGILANCIA'!AM130),"",'RESUMEN VIGILANCIA'!AM130)</f>
        <v/>
      </c>
      <c r="AO124" s="417" t="str">
        <f>IF(ISBLANK('RESUMEN VIGILANCIA'!AN130),"",'RESUMEN VIGILANCIA'!AN130)</f>
        <v/>
      </c>
      <c r="AP124" s="415" t="str">
        <f>IF(ISBLANK('RESUMEN VIGILANCIA'!AO130),"",'RESUMEN VIGILANCIA'!AO130)</f>
        <v/>
      </c>
      <c r="AQ124" s="416" t="str">
        <f>IF(ISBLANK('RESUMEN VIGILANCIA'!AP130),"",'RESUMEN VIGILANCIA'!AP130)</f>
        <v/>
      </c>
      <c r="AR124" s="416" t="str">
        <f>IF(ISBLANK('RESUMEN VIGILANCIA'!AQ130),"",'RESUMEN VIGILANCIA'!AQ130)</f>
        <v/>
      </c>
      <c r="AS124" s="416" t="str">
        <f>IF(ISBLANK('RESUMEN VIGILANCIA'!AR130),"",'RESUMEN VIGILANCIA'!AR130)</f>
        <v/>
      </c>
      <c r="AT124" s="416" t="str">
        <f>IF(ISBLANK('RESUMEN VIGILANCIA'!AS130),"",'RESUMEN VIGILANCIA'!AS130)</f>
        <v/>
      </c>
      <c r="AU124" s="416" t="str">
        <f>IF(ISBLANK('RESUMEN VIGILANCIA'!AT130),"",'RESUMEN VIGILANCIA'!AT130)</f>
        <v/>
      </c>
      <c r="AV124" s="416" t="str">
        <f>IF(ISBLANK('RESUMEN VIGILANCIA'!AU130),"",'RESUMEN VIGILANCIA'!AU130)</f>
        <v/>
      </c>
      <c r="AW124" s="416" t="str">
        <f>IF(ISBLANK('RESUMEN VIGILANCIA'!AV130),"",'RESUMEN VIGILANCIA'!AV130)</f>
        <v/>
      </c>
      <c r="AX124" s="416" t="str">
        <f>IF(ISBLANK('RESUMEN VIGILANCIA'!AW130),"",'RESUMEN VIGILANCIA'!AW130)</f>
        <v/>
      </c>
      <c r="AY124" s="416" t="str">
        <f>IF(ISBLANK('RESUMEN VIGILANCIA'!AX130),"",'RESUMEN VIGILANCIA'!AX130)</f>
        <v/>
      </c>
      <c r="AZ124" s="416" t="str">
        <f>IF(ISBLANK('RESUMEN VIGILANCIA'!AY130),"",'RESUMEN VIGILANCIA'!AY130)</f>
        <v/>
      </c>
      <c r="BA124" s="417" t="str">
        <f>IF(ISBLANK('RESUMEN VIGILANCIA'!AZ130),"",'RESUMEN VIGILANCIA'!AZ130)</f>
        <v/>
      </c>
      <c r="BB124" s="243">
        <f t="shared" si="8"/>
        <v>0.24</v>
      </c>
      <c r="BC124" s="112"/>
      <c r="BD124" s="112">
        <v>42856</v>
      </c>
    </row>
    <row r="125" spans="1:56" s="29" customFormat="1" ht="20.100000000000001" customHeight="1" x14ac:dyDescent="0.25">
      <c r="A125" s="30" t="str">
        <f>'RESUMEN VIGILANCIA'!A131</f>
        <v>Familia Montilla García</v>
      </c>
      <c r="B125" s="31" t="str">
        <f>'RESUMEN VIGILANCIA'!B131</f>
        <v>Calle Güigüe Nro. 89-90</v>
      </c>
      <c r="C125" s="452" t="s">
        <v>1269</v>
      </c>
      <c r="D125" s="460" t="s">
        <v>1268</v>
      </c>
      <c r="E125" s="443" t="str">
        <f>IF(ISBLANK('RESUMEN VIGILANCIA'!D131),"",'RESUMEN VIGILANCIA'!D131)</f>
        <v/>
      </c>
      <c r="F125" s="298" t="str">
        <f>IF(ISBLANK('RESUMEN VIGILANCIA'!E131),"",'RESUMEN VIGILANCIA'!E131)</f>
        <v/>
      </c>
      <c r="G125" s="217" t="str">
        <f>IF(ISBLANK('RESUMEN VIGILANCIA'!F131),"",'RESUMEN VIGILANCIA'!F131)</f>
        <v/>
      </c>
      <c r="H125" s="217" t="str">
        <f>IF(ISBLANK('RESUMEN VIGILANCIA'!G131),"",'RESUMEN VIGILANCIA'!G131)</f>
        <v/>
      </c>
      <c r="I125" s="217" t="str">
        <f>IF(ISBLANK('RESUMEN VIGILANCIA'!H131),"",'RESUMEN VIGILANCIA'!H131)</f>
        <v/>
      </c>
      <c r="J125" s="217" t="str">
        <f>IF(ISBLANK('RESUMEN VIGILANCIA'!I131),"",'RESUMEN VIGILANCIA'!I131)</f>
        <v/>
      </c>
      <c r="K125" s="182">
        <f>IF(ISBLANK('RESUMEN VIGILANCIA'!J131),"",'RESUMEN VIGILANCIA'!J131)</f>
        <v>0.26</v>
      </c>
      <c r="L125" s="227">
        <f>IF(ISBLANK('RESUMEN VIGILANCIA'!K131),"",'RESUMEN VIGILANCIA'!K131)</f>
        <v>0.26</v>
      </c>
      <c r="M125" s="182">
        <f>IF(ISBLANK('RESUMEN VIGILANCIA'!L131),"",'RESUMEN VIGILANCIA'!L131)</f>
        <v>0.35</v>
      </c>
      <c r="N125" s="182">
        <f>IF(ISBLANK('RESUMEN VIGILANCIA'!M131),"",'RESUMEN VIGILANCIA'!M131)</f>
        <v>0.35</v>
      </c>
      <c r="O125" s="182">
        <f>IF(ISBLANK('RESUMEN VIGILANCIA'!N131),"",'RESUMEN VIGILANCIA'!N131)</f>
        <v>0.35</v>
      </c>
      <c r="P125" s="271">
        <f>IF(ISBLANK('RESUMEN VIGILANCIA'!O131),"",'RESUMEN VIGILANCIA'!O131)</f>
        <v>0.5</v>
      </c>
      <c r="Q125" s="180">
        <f>IF(ISBLANK('RESUMEN VIGILANCIA'!P131),"",'RESUMEN VIGILANCIA'!P131)</f>
        <v>0.5</v>
      </c>
      <c r="R125" s="272">
        <f>IF(ISBLANK('RESUMEN VIGILANCIA'!Q131),"",'RESUMEN VIGILANCIA'!Q131)</f>
        <v>0.8</v>
      </c>
      <c r="S125" s="271">
        <f>IF(ISBLANK('RESUMEN VIGILANCIA'!R131),"",'RESUMEN VIGILANCIA'!R131)</f>
        <v>0.8</v>
      </c>
      <c r="T125" s="271">
        <f>IF(ISBLANK('RESUMEN VIGILANCIA'!S131),"",'RESUMEN VIGILANCIA'!S131)</f>
        <v>1.4</v>
      </c>
      <c r="U125" s="271">
        <f>IF(ISBLANK('RESUMEN VIGILANCIA'!T131),"",'RESUMEN VIGILANCIA'!T131)</f>
        <v>1.4</v>
      </c>
      <c r="V125" s="271">
        <f>IF(ISBLANK('RESUMEN VIGILANCIA'!U131),"",'RESUMEN VIGILANCIA'!U131)</f>
        <v>4</v>
      </c>
      <c r="W125" s="271">
        <f>IF(ISBLANK('RESUMEN VIGILANCIA'!V131),"",'RESUMEN VIGILANCIA'!V131)</f>
        <v>6.25</v>
      </c>
      <c r="X125" s="271">
        <f>IF(ISBLANK('RESUMEN VIGILANCIA'!W131),"",'RESUMEN VIGILANCIA'!W131)</f>
        <v>10</v>
      </c>
      <c r="Y125" s="271">
        <f>IF(ISBLANK('RESUMEN VIGILANCIA'!X131),"",'RESUMEN VIGILANCIA'!X131)</f>
        <v>12</v>
      </c>
      <c r="Z125" s="481">
        <f>IF(ISBLANK('RESUMEN VIGILANCIA'!Y131),"",'RESUMEN VIGILANCIA'!Y131)</f>
        <v>320</v>
      </c>
      <c r="AA125" s="481">
        <f>IF(ISBLANK('RESUMEN VIGILANCIA'!Z131),"",'RESUMEN VIGILANCIA'!Z131)</f>
        <v>320</v>
      </c>
      <c r="AB125" s="481">
        <f>IF(ISBLANK('RESUMEN VIGILANCIA'!AA131),"",'RESUMEN VIGILANCIA'!AA131)</f>
        <v>320</v>
      </c>
      <c r="AC125" s="482">
        <f>IF(ISBLANK('RESUMEN VIGILANCIA'!AB131),"",'RESUMEN VIGILANCIA'!AB131)</f>
        <v>800</v>
      </c>
      <c r="AD125" s="399">
        <f>IF(ISBLANK('RESUMEN VIGILANCIA'!AC131),"",'RESUMEN VIGILANCIA'!AC131)</f>
        <v>3000</v>
      </c>
      <c r="AE125" s="400">
        <f>IF(ISBLANK('RESUMEN VIGILANCIA'!AD131),"",'RESUMEN VIGILANCIA'!AD131)</f>
        <v>3000</v>
      </c>
      <c r="AF125" s="400">
        <f>IF(ISBLANK('RESUMEN VIGILANCIA'!AE131),"",'RESUMEN VIGILANCIA'!AE131)</f>
        <v>3000</v>
      </c>
      <c r="AG125" s="400">
        <f>IF(ISBLANK('RESUMEN VIGILANCIA'!AF131),"",'RESUMEN VIGILANCIA'!AF131)</f>
        <v>5000</v>
      </c>
      <c r="AH125" s="400">
        <f>IF(ISBLANK('RESUMEN VIGILANCIA'!AG131),"",'RESUMEN VIGILANCIA'!AG131)</f>
        <v>8000</v>
      </c>
      <c r="AI125" s="400">
        <f>IF(ISBLANK('RESUMEN VIGILANCIA'!AH131),"",'RESUMEN VIGILANCIA'!AH131)</f>
        <v>8000</v>
      </c>
      <c r="AJ125" s="400">
        <f>IF(ISBLANK('RESUMEN VIGILANCIA'!AI131),"",'RESUMEN VIGILANCIA'!AI131)</f>
        <v>10000</v>
      </c>
      <c r="AK125" s="400">
        <f>IF(ISBLANK('RESUMEN VIGILANCIA'!AJ131),"",'RESUMEN VIGILANCIA'!AJ131)</f>
        <v>10000</v>
      </c>
      <c r="AL125" s="400">
        <f>IF(ISBLANK('RESUMEN VIGILANCIA'!AK131),"",'RESUMEN VIGILANCIA'!AK131)</f>
        <v>20500</v>
      </c>
      <c r="AM125" s="400">
        <f>IF(ISBLANK('RESUMEN VIGILANCIA'!AL131),"",'RESUMEN VIGILANCIA'!AL131)</f>
        <v>56250</v>
      </c>
      <c r="AN125" s="400">
        <f>IF(ISBLANK('RESUMEN VIGILANCIA'!AM131),"",'RESUMEN VIGILANCIA'!AM131)</f>
        <v>56250</v>
      </c>
      <c r="AO125" s="401">
        <f>IF(ISBLANK('RESUMEN VIGILANCIA'!AN131),"",'RESUMEN VIGILANCIA'!AN131)</f>
        <v>106000</v>
      </c>
      <c r="AP125" s="399">
        <f>IF(ISBLANK('RESUMEN VIGILANCIA'!AO131),"",'RESUMEN VIGILANCIA'!AO131)</f>
        <v>137000</v>
      </c>
      <c r="AQ125" s="400">
        <f>IF(ISBLANK('RESUMEN VIGILANCIA'!AP131),"",'RESUMEN VIGILANCIA'!AP131)</f>
        <v>136050</v>
      </c>
      <c r="AR125" s="400">
        <f>IF(ISBLANK('RESUMEN VIGILANCIA'!AQ131),"",'RESUMEN VIGILANCIA'!AQ131)</f>
        <v>185250</v>
      </c>
      <c r="AS125" s="400" t="str">
        <f>IF(ISBLANK('RESUMEN VIGILANCIA'!AR131),"",'RESUMEN VIGILANCIA'!AR131)</f>
        <v/>
      </c>
      <c r="AT125" s="400" t="str">
        <f>IF(ISBLANK('RESUMEN VIGILANCIA'!AS131),"",'RESUMEN VIGILANCIA'!AS131)</f>
        <v/>
      </c>
      <c r="AU125" s="400" t="str">
        <f>IF(ISBLANK('RESUMEN VIGILANCIA'!AT131),"",'RESUMEN VIGILANCIA'!AT131)</f>
        <v/>
      </c>
      <c r="AV125" s="400" t="str">
        <f>IF(ISBLANK('RESUMEN VIGILANCIA'!AU131),"",'RESUMEN VIGILANCIA'!AU131)</f>
        <v/>
      </c>
      <c r="AW125" s="400" t="str">
        <f>IF(ISBLANK('RESUMEN VIGILANCIA'!AV131),"",'RESUMEN VIGILANCIA'!AV131)</f>
        <v/>
      </c>
      <c r="AX125" s="400" t="str">
        <f>IF(ISBLANK('RESUMEN VIGILANCIA'!AW131),"",'RESUMEN VIGILANCIA'!AW131)</f>
        <v/>
      </c>
      <c r="AY125" s="400" t="str">
        <f>IF(ISBLANK('RESUMEN VIGILANCIA'!AX131),"",'RESUMEN VIGILANCIA'!AX131)</f>
        <v/>
      </c>
      <c r="AZ125" s="400" t="str">
        <f>IF(ISBLANK('RESUMEN VIGILANCIA'!AY131),"",'RESUMEN VIGILANCIA'!AY131)</f>
        <v/>
      </c>
      <c r="BA125" s="401" t="str">
        <f>IF(ISBLANK('RESUMEN VIGILANCIA'!AZ131),"",'RESUMEN VIGILANCIA'!AZ131)</f>
        <v/>
      </c>
      <c r="BB125" s="243">
        <f t="shared" si="8"/>
        <v>290799.21999999997</v>
      </c>
      <c r="BC125" s="112">
        <v>42887</v>
      </c>
      <c r="BD125" s="112"/>
    </row>
    <row r="126" spans="1:56" s="29" customFormat="1" ht="20.100000000000001" customHeight="1" x14ac:dyDescent="0.25">
      <c r="A126" s="30" t="str">
        <f>'RESUMEN VIGILANCIA'!A132</f>
        <v>Familia Kattar González</v>
      </c>
      <c r="B126" s="31" t="str">
        <f>'RESUMEN VIGILANCIA'!B132</f>
        <v>Calle Güigüe Nro. 89-95</v>
      </c>
      <c r="C126" s="452" t="s">
        <v>1269</v>
      </c>
      <c r="D126" s="460"/>
      <c r="E126" s="440" t="str">
        <f>IF(ISBLANK('RESUMEN VIGILANCIA'!D132),"",'RESUMEN VIGILANCIA'!D132)</f>
        <v/>
      </c>
      <c r="F126" s="270">
        <f>IF(ISBLANK('RESUMEN VIGILANCIA'!E132),"",'RESUMEN VIGILANCIA'!E132)</f>
        <v>0.17</v>
      </c>
      <c r="G126" s="183">
        <f>IF(ISBLANK('RESUMEN VIGILANCIA'!F132),"",'RESUMEN VIGILANCIA'!F132)</f>
        <v>0.12</v>
      </c>
      <c r="H126" s="183" t="str">
        <f>IF(ISBLANK('RESUMEN VIGILANCIA'!G132),"",'RESUMEN VIGILANCIA'!G132)</f>
        <v/>
      </c>
      <c r="I126" s="183" t="str">
        <f>IF(ISBLANK('RESUMEN VIGILANCIA'!H132),"",'RESUMEN VIGILANCIA'!H132)</f>
        <v/>
      </c>
      <c r="J126" s="182">
        <f>IF(ISBLANK('RESUMEN VIGILANCIA'!I132),"",'RESUMEN VIGILANCIA'!I132)</f>
        <v>0.26</v>
      </c>
      <c r="K126" s="182">
        <f>IF(ISBLANK('RESUMEN VIGILANCIA'!J132),"",'RESUMEN VIGILANCIA'!J132)</f>
        <v>0.26</v>
      </c>
      <c r="L126" s="182">
        <f>IF(ISBLANK('RESUMEN VIGILANCIA'!K132),"",'RESUMEN VIGILANCIA'!K132)</f>
        <v>0.35</v>
      </c>
      <c r="M126" s="182">
        <f>IF(ISBLANK('RESUMEN VIGILANCIA'!L132),"",'RESUMEN VIGILANCIA'!L132)</f>
        <v>0.35</v>
      </c>
      <c r="N126" s="182">
        <f>IF(ISBLANK('RESUMEN VIGILANCIA'!M132),"",'RESUMEN VIGILANCIA'!M132)</f>
        <v>0.35</v>
      </c>
      <c r="O126" s="182">
        <f>IF(ISBLANK('RESUMEN VIGILANCIA'!N132),"",'RESUMEN VIGILANCIA'!N132)</f>
        <v>0.35</v>
      </c>
      <c r="P126" s="271">
        <f>IF(ISBLANK('RESUMEN VIGILANCIA'!O132),"",'RESUMEN VIGILANCIA'!O132)</f>
        <v>0.5</v>
      </c>
      <c r="Q126" s="180">
        <f>IF(ISBLANK('RESUMEN VIGILANCIA'!P132),"",'RESUMEN VIGILANCIA'!P132)</f>
        <v>0.5</v>
      </c>
      <c r="R126" s="272">
        <f>IF(ISBLANK('RESUMEN VIGILANCIA'!Q132),"",'RESUMEN VIGILANCIA'!Q132)</f>
        <v>0.8</v>
      </c>
      <c r="S126" s="271">
        <f>IF(ISBLANK('RESUMEN VIGILANCIA'!R132),"",'RESUMEN VIGILANCIA'!R132)</f>
        <v>0.8</v>
      </c>
      <c r="T126" s="271">
        <f>IF(ISBLANK('RESUMEN VIGILANCIA'!S132),"",'RESUMEN VIGILANCIA'!S132)</f>
        <v>1.4</v>
      </c>
      <c r="U126" s="271">
        <f>IF(ISBLANK('RESUMEN VIGILANCIA'!T132),"",'RESUMEN VIGILANCIA'!T132)</f>
        <v>1.4</v>
      </c>
      <c r="V126" s="271">
        <f>IF(ISBLANK('RESUMEN VIGILANCIA'!U132),"",'RESUMEN VIGILANCIA'!U132)</f>
        <v>4</v>
      </c>
      <c r="W126" s="271">
        <f>IF(ISBLANK('RESUMEN VIGILANCIA'!V132),"",'RESUMEN VIGILANCIA'!V132)</f>
        <v>6.25</v>
      </c>
      <c r="X126" s="271">
        <f>IF(ISBLANK('RESUMEN VIGILANCIA'!W132),"",'RESUMEN VIGILANCIA'!W132)</f>
        <v>10</v>
      </c>
      <c r="Y126" s="271">
        <f>IF(ISBLANK('RESUMEN VIGILANCIA'!X132),"",'RESUMEN VIGILANCIA'!X132)</f>
        <v>12</v>
      </c>
      <c r="Z126" s="481">
        <f>IF(ISBLANK('RESUMEN VIGILANCIA'!Y132),"",'RESUMEN VIGILANCIA'!Y132)</f>
        <v>320</v>
      </c>
      <c r="AA126" s="481">
        <f>IF(ISBLANK('RESUMEN VIGILANCIA'!Z132),"",'RESUMEN VIGILANCIA'!Z132)</f>
        <v>320</v>
      </c>
      <c r="AB126" s="481">
        <f>IF(ISBLANK('RESUMEN VIGILANCIA'!AA132),"",'RESUMEN VIGILANCIA'!AA132)</f>
        <v>320</v>
      </c>
      <c r="AC126" s="482">
        <f>IF(ISBLANK('RESUMEN VIGILANCIA'!AB132),"",'RESUMEN VIGILANCIA'!AB132)</f>
        <v>800</v>
      </c>
      <c r="AD126" s="399">
        <f>IF(ISBLANK('RESUMEN VIGILANCIA'!AC132),"",'RESUMEN VIGILANCIA'!AC132)</f>
        <v>3044.2</v>
      </c>
      <c r="AE126" s="400">
        <f>IF(ISBLANK('RESUMEN VIGILANCIA'!AD132),"",'RESUMEN VIGILANCIA'!AD132)</f>
        <v>3000</v>
      </c>
      <c r="AF126" s="400">
        <f>IF(ISBLANK('RESUMEN VIGILANCIA'!AE132),"",'RESUMEN VIGILANCIA'!AE132)</f>
        <v>3000</v>
      </c>
      <c r="AG126" s="400">
        <f>IF(ISBLANK('RESUMEN VIGILANCIA'!AF132),"",'RESUMEN VIGILANCIA'!AF132)</f>
        <v>5000</v>
      </c>
      <c r="AH126" s="400">
        <f>IF(ISBLANK('RESUMEN VIGILANCIA'!AG132),"",'RESUMEN VIGILANCIA'!AG132)</f>
        <v>8000</v>
      </c>
      <c r="AI126" s="400">
        <f>IF(ISBLANK('RESUMEN VIGILANCIA'!AH132),"",'RESUMEN VIGILANCIA'!AH132)</f>
        <v>8000</v>
      </c>
      <c r="AJ126" s="400">
        <f>IF(ISBLANK('RESUMEN VIGILANCIA'!AI132),"",'RESUMEN VIGILANCIA'!AI132)</f>
        <v>10000</v>
      </c>
      <c r="AK126" s="400">
        <f>IF(ISBLANK('RESUMEN VIGILANCIA'!AJ132),"",'RESUMEN VIGILANCIA'!AJ132)</f>
        <v>3900</v>
      </c>
      <c r="AL126" s="400">
        <f>IF(ISBLANK('RESUMEN VIGILANCIA'!AK132),"",'RESUMEN VIGILANCIA'!AK132)</f>
        <v>20500</v>
      </c>
      <c r="AM126" s="400">
        <f>IF(ISBLANK('RESUMEN VIGILANCIA'!AL132),"",'RESUMEN VIGILANCIA'!AL132)</f>
        <v>48000</v>
      </c>
      <c r="AN126" s="400">
        <f>IF(ISBLANK('RESUMEN VIGILANCIA'!AM132),"",'RESUMEN VIGILANCIA'!AM132)</f>
        <v>81750</v>
      </c>
      <c r="AO126" s="401">
        <f>IF(ISBLANK('RESUMEN VIGILANCIA'!AN132),"",'RESUMEN VIGILANCIA'!AN132)</f>
        <v>137000</v>
      </c>
      <c r="AP126" s="399">
        <f>IF(ISBLANK('RESUMEN VIGILANCIA'!AO132),"",'RESUMEN VIGILANCIA'!AO132)</f>
        <v>136250</v>
      </c>
      <c r="AQ126" s="400">
        <f>IF(ISBLANK('RESUMEN VIGILANCIA'!AP132),"",'RESUMEN VIGILANCIA'!AP132)</f>
        <v>136000</v>
      </c>
      <c r="AR126" s="400">
        <f>IF(ISBLANK('RESUMEN VIGILANCIA'!AQ132),"",'RESUMEN VIGILANCIA'!AQ132)</f>
        <v>185250</v>
      </c>
      <c r="AS126" s="400" t="str">
        <f>IF(ISBLANK('RESUMEN VIGILANCIA'!AR132),"",'RESUMEN VIGILANCIA'!AR132)</f>
        <v/>
      </c>
      <c r="AT126" s="400" t="str">
        <f>IF(ISBLANK('RESUMEN VIGILANCIA'!AS132),"",'RESUMEN VIGILANCIA'!AS132)</f>
        <v/>
      </c>
      <c r="AU126" s="400" t="str">
        <f>IF(ISBLANK('RESUMEN VIGILANCIA'!AT132),"",'RESUMEN VIGILANCIA'!AT132)</f>
        <v/>
      </c>
      <c r="AV126" s="400" t="str">
        <f>IF(ISBLANK('RESUMEN VIGILANCIA'!AU132),"",'RESUMEN VIGILANCIA'!AU132)</f>
        <v/>
      </c>
      <c r="AW126" s="400" t="str">
        <f>IF(ISBLANK('RESUMEN VIGILANCIA'!AV132),"",'RESUMEN VIGILANCIA'!AV132)</f>
        <v/>
      </c>
      <c r="AX126" s="400" t="str">
        <f>IF(ISBLANK('RESUMEN VIGILANCIA'!AW132),"",'RESUMEN VIGILANCIA'!AW132)</f>
        <v/>
      </c>
      <c r="AY126" s="400" t="str">
        <f>IF(ISBLANK('RESUMEN VIGILANCIA'!AX132),"",'RESUMEN VIGILANCIA'!AX132)</f>
        <v/>
      </c>
      <c r="AZ126" s="400" t="str">
        <f>IF(ISBLANK('RESUMEN VIGILANCIA'!AY132),"",'RESUMEN VIGILANCIA'!AY132)</f>
        <v/>
      </c>
      <c r="BA126" s="401" t="str">
        <f>IF(ISBLANK('RESUMEN VIGILANCIA'!AZ132),"",'RESUMEN VIGILANCIA'!AZ132)</f>
        <v/>
      </c>
      <c r="BB126" s="243">
        <f t="shared" si="8"/>
        <v>332994.06</v>
      </c>
      <c r="BC126" s="112"/>
      <c r="BD126" s="112"/>
    </row>
    <row r="127" spans="1:56" s="29" customFormat="1" ht="20.100000000000001" customHeight="1" x14ac:dyDescent="0.25">
      <c r="A127" s="59" t="str">
        <f>'RESUMEN VIGILANCIA'!A135</f>
        <v>Anahiz Seijas</v>
      </c>
      <c r="B127" s="60" t="str">
        <f>'RESUMEN VIGILANCIA'!B135</f>
        <v>Calle Güigüe Nro. 89-106</v>
      </c>
      <c r="C127" s="452" t="s">
        <v>1269</v>
      </c>
      <c r="D127" s="460" t="s">
        <v>17</v>
      </c>
      <c r="E127" s="440" t="str">
        <f>IF(ISBLANK('RESUMEN VIGILANCIA'!D135),"",'RESUMEN VIGILANCIA'!D135)</f>
        <v/>
      </c>
      <c r="F127" s="270">
        <f>IF(ISBLANK('RESUMEN VIGILANCIA'!E135),"",'RESUMEN VIGILANCIA'!E135)</f>
        <v>0.17</v>
      </c>
      <c r="G127" s="182">
        <f>IF(ISBLANK('RESUMEN VIGILANCIA'!F135),"",'RESUMEN VIGILANCIA'!F135)</f>
        <v>0.17</v>
      </c>
      <c r="H127" s="182">
        <f>IF(ISBLANK('RESUMEN VIGILANCIA'!G135),"",'RESUMEN VIGILANCIA'!G135)</f>
        <v>0.17</v>
      </c>
      <c r="I127" s="182">
        <f>IF(ISBLANK('RESUMEN VIGILANCIA'!H135),"",'RESUMEN VIGILANCIA'!H135)</f>
        <v>0.17</v>
      </c>
      <c r="J127" s="182">
        <f>IF(ISBLANK('RESUMEN VIGILANCIA'!I135),"",'RESUMEN VIGILANCIA'!I135)</f>
        <v>0.26</v>
      </c>
      <c r="K127" s="182">
        <f>IF(ISBLANK('RESUMEN VIGILANCIA'!J135),"",'RESUMEN VIGILANCIA'!J135)</f>
        <v>0.26</v>
      </c>
      <c r="L127" s="182">
        <f>IF(ISBLANK('RESUMEN VIGILANCIA'!K135),"",'RESUMEN VIGILANCIA'!K135)</f>
        <v>0.35</v>
      </c>
      <c r="M127" s="182">
        <f>IF(ISBLANK('RESUMEN VIGILANCIA'!L135),"",'RESUMEN VIGILANCIA'!L135)</f>
        <v>0.35</v>
      </c>
      <c r="N127" s="182">
        <f>IF(ISBLANK('RESUMEN VIGILANCIA'!M135),"",'RESUMEN VIGILANCIA'!M135)</f>
        <v>0.35</v>
      </c>
      <c r="O127" s="182">
        <f>IF(ISBLANK('RESUMEN VIGILANCIA'!N135),"",'RESUMEN VIGILANCIA'!N135)</f>
        <v>0.35</v>
      </c>
      <c r="P127" s="271">
        <f>IF(ISBLANK('RESUMEN VIGILANCIA'!O135),"",'RESUMEN VIGILANCIA'!O135)</f>
        <v>0.5</v>
      </c>
      <c r="Q127" s="180">
        <f>IF(ISBLANK('RESUMEN VIGILANCIA'!P135),"",'RESUMEN VIGILANCIA'!P135)</f>
        <v>0.5</v>
      </c>
      <c r="R127" s="272">
        <f>IF(ISBLANK('RESUMEN VIGILANCIA'!Q135),"",'RESUMEN VIGILANCIA'!Q135)</f>
        <v>0.8</v>
      </c>
      <c r="S127" s="271">
        <f>IF(ISBLANK('RESUMEN VIGILANCIA'!R135),"",'RESUMEN VIGILANCIA'!R135)</f>
        <v>0.8</v>
      </c>
      <c r="T127" s="271">
        <f>IF(ISBLANK('RESUMEN VIGILANCIA'!S135),"",'RESUMEN VIGILANCIA'!S135)</f>
        <v>1.4</v>
      </c>
      <c r="U127" s="271">
        <f>IF(ISBLANK('RESUMEN VIGILANCIA'!T135),"",'RESUMEN VIGILANCIA'!T135)</f>
        <v>1.4</v>
      </c>
      <c r="V127" s="271">
        <f>IF(ISBLANK('RESUMEN VIGILANCIA'!U135),"",'RESUMEN VIGILANCIA'!U135)</f>
        <v>4</v>
      </c>
      <c r="W127" s="271">
        <f>IF(ISBLANK('RESUMEN VIGILANCIA'!V135),"",'RESUMEN VIGILANCIA'!V135)</f>
        <v>6.25</v>
      </c>
      <c r="X127" s="271">
        <f>IF(ISBLANK('RESUMEN VIGILANCIA'!W135),"",'RESUMEN VIGILANCIA'!W135)</f>
        <v>10</v>
      </c>
      <c r="Y127" s="271">
        <f>IF(ISBLANK('RESUMEN VIGILANCIA'!X135),"",'RESUMEN VIGILANCIA'!X135)</f>
        <v>10</v>
      </c>
      <c r="Z127" s="481">
        <f>IF(ISBLANK('RESUMEN VIGILANCIA'!Y135),"",'RESUMEN VIGILANCIA'!Y135)</f>
        <v>320</v>
      </c>
      <c r="AA127" s="481">
        <f>IF(ISBLANK('RESUMEN VIGILANCIA'!Z135),"",'RESUMEN VIGILANCIA'!Z135)</f>
        <v>320</v>
      </c>
      <c r="AB127" s="481">
        <f>IF(ISBLANK('RESUMEN VIGILANCIA'!AA135),"",'RESUMEN VIGILANCIA'!AA135)</f>
        <v>320</v>
      </c>
      <c r="AC127" s="482">
        <f>IF(ISBLANK('RESUMEN VIGILANCIA'!AB135),"",'RESUMEN VIGILANCIA'!AB135)</f>
        <v>800</v>
      </c>
      <c r="AD127" s="399">
        <f>IF(ISBLANK('RESUMEN VIGILANCIA'!AC135),"",'RESUMEN VIGILANCIA'!AC135)</f>
        <v>3000</v>
      </c>
      <c r="AE127" s="400">
        <f>IF(ISBLANK('RESUMEN VIGILANCIA'!AD135),"",'RESUMEN VIGILANCIA'!AD135)</f>
        <v>3000</v>
      </c>
      <c r="AF127" s="400">
        <f>IF(ISBLANK('RESUMEN VIGILANCIA'!AE135),"",'RESUMEN VIGILANCIA'!AE135)</f>
        <v>3000</v>
      </c>
      <c r="AG127" s="400">
        <f>IF(ISBLANK('RESUMEN VIGILANCIA'!AF135),"",'RESUMEN VIGILANCIA'!AF135)</f>
        <v>5000</v>
      </c>
      <c r="AH127" s="400">
        <f>IF(ISBLANK('RESUMEN VIGILANCIA'!AG135),"",'RESUMEN VIGILANCIA'!AG135)</f>
        <v>8000</v>
      </c>
      <c r="AI127" s="505" t="str">
        <f>IF(ISBLANK('RESUMEN VIGILANCIA'!AH135),"",'RESUMEN VIGILANCIA'!AH135)</f>
        <v>FIN DE CONTRATO DE ALQUILER</v>
      </c>
      <c r="AJ127" s="403" t="str">
        <f>IF(ISBLANK('RESUMEN VIGILANCIA'!AI135),"",'RESUMEN VIGILANCIA'!AI135)</f>
        <v/>
      </c>
      <c r="AK127" s="403" t="str">
        <f>IF(ISBLANK('RESUMEN VIGILANCIA'!AJ135),"",'RESUMEN VIGILANCIA'!AJ135)</f>
        <v/>
      </c>
      <c r="AL127" s="403" t="str">
        <f>IF(ISBLANK('RESUMEN VIGILANCIA'!AK135),"",'RESUMEN VIGILANCIA'!AK135)</f>
        <v/>
      </c>
      <c r="AM127" s="403" t="str">
        <f>IF(ISBLANK('RESUMEN VIGILANCIA'!AL135),"",'RESUMEN VIGILANCIA'!AL135)</f>
        <v/>
      </c>
      <c r="AN127" s="403" t="str">
        <f>IF(ISBLANK('RESUMEN VIGILANCIA'!AM135),"",'RESUMEN VIGILANCIA'!AM135)</f>
        <v/>
      </c>
      <c r="AO127" s="414" t="str">
        <f>IF(ISBLANK('RESUMEN VIGILANCIA'!AN135),"",'RESUMEN VIGILANCIA'!AN135)</f>
        <v/>
      </c>
      <c r="AP127" s="415" t="str">
        <f>IF(ISBLANK('RESUMEN VIGILANCIA'!AO135),"",'RESUMEN VIGILANCIA'!AO135)</f>
        <v/>
      </c>
      <c r="AQ127" s="416" t="str">
        <f>IF(ISBLANK('RESUMEN VIGILANCIA'!AP135),"",'RESUMEN VIGILANCIA'!AP135)</f>
        <v/>
      </c>
      <c r="AR127" s="416" t="str">
        <f>IF(ISBLANK('RESUMEN VIGILANCIA'!AQ135),"",'RESUMEN VIGILANCIA'!AQ135)</f>
        <v/>
      </c>
      <c r="AS127" s="416" t="str">
        <f>IF(ISBLANK('RESUMEN VIGILANCIA'!AR135),"",'RESUMEN VIGILANCIA'!AR135)</f>
        <v/>
      </c>
      <c r="AT127" s="416" t="str">
        <f>IF(ISBLANK('RESUMEN VIGILANCIA'!AS135),"",'RESUMEN VIGILANCIA'!AS135)</f>
        <v/>
      </c>
      <c r="AU127" s="505" t="str">
        <f>IF(ISBLANK('RESUMEN VIGILANCIA'!AT135),"",'RESUMEN VIGILANCIA'!AT135)</f>
        <v/>
      </c>
      <c r="AV127" s="403" t="str">
        <f>IF(ISBLANK('RESUMEN VIGILANCIA'!AU135),"",'RESUMEN VIGILANCIA'!AU135)</f>
        <v/>
      </c>
      <c r="AW127" s="403" t="str">
        <f>IF(ISBLANK('RESUMEN VIGILANCIA'!AV135),"",'RESUMEN VIGILANCIA'!AV135)</f>
        <v/>
      </c>
      <c r="AX127" s="403" t="str">
        <f>IF(ISBLANK('RESUMEN VIGILANCIA'!AW135),"",'RESUMEN VIGILANCIA'!AW135)</f>
        <v/>
      </c>
      <c r="AY127" s="403" t="str">
        <f>IF(ISBLANK('RESUMEN VIGILANCIA'!AX135),"",'RESUMEN VIGILANCIA'!AX135)</f>
        <v/>
      </c>
      <c r="AZ127" s="403" t="str">
        <f>IF(ISBLANK('RESUMEN VIGILANCIA'!AY135),"",'RESUMEN VIGILANCIA'!AY135)</f>
        <v/>
      </c>
      <c r="BA127" s="414" t="str">
        <f>IF(ISBLANK('RESUMEN VIGILANCIA'!AZ135),"",'RESUMEN VIGILANCIA'!AZ135)</f>
        <v/>
      </c>
      <c r="BB127" s="245">
        <f t="shared" si="8"/>
        <v>23798.25</v>
      </c>
      <c r="BC127" s="116"/>
      <c r="BD127" s="116">
        <v>43586</v>
      </c>
    </row>
    <row r="128" spans="1:56" s="29" customFormat="1" ht="20.100000000000001" customHeight="1" x14ac:dyDescent="0.25">
      <c r="A128" s="30" t="str">
        <f>'RESUMEN VIGILANCIA'!A136</f>
        <v>Familia Chan García</v>
      </c>
      <c r="B128" s="31" t="str">
        <f>'RESUMEN VIGILANCIA'!B136</f>
        <v>Calle Güigüe Nro. 89-106</v>
      </c>
      <c r="C128" s="452" t="s">
        <v>1269</v>
      </c>
      <c r="D128" s="460"/>
      <c r="E128" s="443" t="str">
        <f>IF(ISBLANK('RESUMEN VIGILANCIA'!D136),"",'RESUMEN VIGILANCIA'!D136)</f>
        <v/>
      </c>
      <c r="F128" s="298" t="str">
        <f>IF(ISBLANK('RESUMEN VIGILANCIA'!E136),"",'RESUMEN VIGILANCIA'!E136)</f>
        <v/>
      </c>
      <c r="G128" s="217" t="str">
        <f>IF(ISBLANK('RESUMEN VIGILANCIA'!F136),"",'RESUMEN VIGILANCIA'!F136)</f>
        <v/>
      </c>
      <c r="H128" s="217" t="str">
        <f>IF(ISBLANK('RESUMEN VIGILANCIA'!G136),"",'RESUMEN VIGILANCIA'!G136)</f>
        <v/>
      </c>
      <c r="I128" s="217" t="str">
        <f>IF(ISBLANK('RESUMEN VIGILANCIA'!H136),"",'RESUMEN VIGILANCIA'!H136)</f>
        <v/>
      </c>
      <c r="J128" s="217" t="str">
        <f>IF(ISBLANK('RESUMEN VIGILANCIA'!I136),"",'RESUMEN VIGILANCIA'!I136)</f>
        <v/>
      </c>
      <c r="K128" s="217" t="str">
        <f>IF(ISBLANK('RESUMEN VIGILANCIA'!J136),"",'RESUMEN VIGILANCIA'!J136)</f>
        <v/>
      </c>
      <c r="L128" s="217" t="str">
        <f>IF(ISBLANK('RESUMEN VIGILANCIA'!K136),"",'RESUMEN VIGILANCIA'!K136)</f>
        <v/>
      </c>
      <c r="M128" s="217" t="str">
        <f>IF(ISBLANK('RESUMEN VIGILANCIA'!L136),"",'RESUMEN VIGILANCIA'!L136)</f>
        <v/>
      </c>
      <c r="N128" s="217" t="str">
        <f>IF(ISBLANK('RESUMEN VIGILANCIA'!M136),"",'RESUMEN VIGILANCIA'!M136)</f>
        <v/>
      </c>
      <c r="O128" s="217" t="str">
        <f>IF(ISBLANK('RESUMEN VIGILANCIA'!N136),"",'RESUMEN VIGILANCIA'!N136)</f>
        <v/>
      </c>
      <c r="P128" s="284" t="str">
        <f>IF(ISBLANK('RESUMEN VIGILANCIA'!O136),"",'RESUMEN VIGILANCIA'!O136)</f>
        <v/>
      </c>
      <c r="Q128" s="215" t="str">
        <f>IF(ISBLANK('RESUMEN VIGILANCIA'!P136),"",'RESUMEN VIGILANCIA'!P136)</f>
        <v/>
      </c>
      <c r="R128" s="285" t="str">
        <f>IF(ISBLANK('RESUMEN VIGILANCIA'!Q136),"",'RESUMEN VIGILANCIA'!Q136)</f>
        <v/>
      </c>
      <c r="S128" s="284" t="str">
        <f>IF(ISBLANK('RESUMEN VIGILANCIA'!R136),"",'RESUMEN VIGILANCIA'!R136)</f>
        <v/>
      </c>
      <c r="T128" s="284" t="str">
        <f>IF(ISBLANK('RESUMEN VIGILANCIA'!S136),"",'RESUMEN VIGILANCIA'!S136)</f>
        <v/>
      </c>
      <c r="U128" s="284" t="str">
        <f>IF(ISBLANK('RESUMEN VIGILANCIA'!T136),"",'RESUMEN VIGILANCIA'!T136)</f>
        <v/>
      </c>
      <c r="V128" s="284" t="str">
        <f>IF(ISBLANK('RESUMEN VIGILANCIA'!U136),"",'RESUMEN VIGILANCIA'!U136)</f>
        <v/>
      </c>
      <c r="W128" s="284" t="str">
        <f>IF(ISBLANK('RESUMEN VIGILANCIA'!V136),"",'RESUMEN VIGILANCIA'!V136)</f>
        <v/>
      </c>
      <c r="X128" s="284" t="str">
        <f>IF(ISBLANK('RESUMEN VIGILANCIA'!W136),"",'RESUMEN VIGILANCIA'!W136)</f>
        <v/>
      </c>
      <c r="Y128" s="284" t="str">
        <f>IF(ISBLANK('RESUMEN VIGILANCIA'!X136),"",'RESUMEN VIGILANCIA'!X136)</f>
        <v/>
      </c>
      <c r="Z128" s="492" t="str">
        <f>IF(ISBLANK('RESUMEN VIGILANCIA'!Y136),"",'RESUMEN VIGILANCIA'!Y136)</f>
        <v/>
      </c>
      <c r="AA128" s="492" t="str">
        <f>IF(ISBLANK('RESUMEN VIGILANCIA'!Z136),"",'RESUMEN VIGILANCIA'!Z136)</f>
        <v/>
      </c>
      <c r="AB128" s="492" t="str">
        <f>IF(ISBLANK('RESUMEN VIGILANCIA'!AA136),"",'RESUMEN VIGILANCIA'!AA136)</f>
        <v/>
      </c>
      <c r="AC128" s="493" t="str">
        <f>IF(ISBLANK('RESUMEN VIGILANCIA'!AB136),"",'RESUMEN VIGILANCIA'!AB136)</f>
        <v/>
      </c>
      <c r="AD128" s="506" t="str">
        <f>IF(ISBLANK('RESUMEN VIGILANCIA'!AC136),"",'RESUMEN VIGILANCIA'!AC136)</f>
        <v/>
      </c>
      <c r="AE128" s="507" t="str">
        <f>IF(ISBLANK('RESUMEN VIGILANCIA'!AD136),"",'RESUMEN VIGILANCIA'!AD136)</f>
        <v/>
      </c>
      <c r="AF128" s="507" t="str">
        <f>IF(ISBLANK('RESUMEN VIGILANCIA'!AE136),"",'RESUMEN VIGILANCIA'!AE136)</f>
        <v/>
      </c>
      <c r="AG128" s="507" t="str">
        <f>IF(ISBLANK('RESUMEN VIGILANCIA'!AF136),"",'RESUMEN VIGILANCIA'!AF136)</f>
        <v/>
      </c>
      <c r="AH128" s="507" t="str">
        <f>IF(ISBLANK('RESUMEN VIGILANCIA'!AG136),"",'RESUMEN VIGILANCIA'!AG136)</f>
        <v/>
      </c>
      <c r="AI128" s="400">
        <f>IF(ISBLANK('RESUMEN VIGILANCIA'!AH136),"",'RESUMEN VIGILANCIA'!AH136)</f>
        <v>8000</v>
      </c>
      <c r="AJ128" s="400">
        <f>IF(ISBLANK('RESUMEN VIGILANCIA'!AI136),"",'RESUMEN VIGILANCIA'!AI136)</f>
        <v>10000</v>
      </c>
      <c r="AK128" s="400">
        <f>IF(ISBLANK('RESUMEN VIGILANCIA'!AJ136),"",'RESUMEN VIGILANCIA'!AJ136)</f>
        <v>10000</v>
      </c>
      <c r="AL128" s="400">
        <f>IF(ISBLANK('RESUMEN VIGILANCIA'!AK136),"",'RESUMEN VIGILANCIA'!AK136)</f>
        <v>21600</v>
      </c>
      <c r="AM128" s="400">
        <f>IF(ISBLANK('RESUMEN VIGILANCIA'!AL136),"",'RESUMEN VIGILANCIA'!AL136)</f>
        <v>47000</v>
      </c>
      <c r="AN128" s="400">
        <f>IF(ISBLANK('RESUMEN VIGILANCIA'!AM136),"",'RESUMEN VIGILANCIA'!AM136)</f>
        <v>73500</v>
      </c>
      <c r="AO128" s="401">
        <f>IF(ISBLANK('RESUMEN VIGILANCIA'!AN136),"",'RESUMEN VIGILANCIA'!AN136)</f>
        <v>105250</v>
      </c>
      <c r="AP128" s="399">
        <f>IF(ISBLANK('RESUMEN VIGILANCIA'!AO136),"",'RESUMEN VIGILANCIA'!AO136)</f>
        <v>136250</v>
      </c>
      <c r="AQ128" s="400">
        <f>IF(ISBLANK('RESUMEN VIGILANCIA'!AP136),"",'RESUMEN VIGILANCIA'!AP136)</f>
        <v>136250</v>
      </c>
      <c r="AR128" s="400" t="str">
        <f>IF(ISBLANK('RESUMEN VIGILANCIA'!AQ136),"",'RESUMEN VIGILANCIA'!AQ136)</f>
        <v/>
      </c>
      <c r="AS128" s="400" t="str">
        <f>IF(ISBLANK('RESUMEN VIGILANCIA'!AR136),"",'RESUMEN VIGILANCIA'!AR136)</f>
        <v/>
      </c>
      <c r="AT128" s="400" t="str">
        <f>IF(ISBLANK('RESUMEN VIGILANCIA'!AS136),"",'RESUMEN VIGILANCIA'!AS136)</f>
        <v/>
      </c>
      <c r="AU128" s="400" t="str">
        <f>IF(ISBLANK('RESUMEN VIGILANCIA'!AT136),"",'RESUMEN VIGILANCIA'!AT136)</f>
        <v/>
      </c>
      <c r="AV128" s="400" t="str">
        <f>IF(ISBLANK('RESUMEN VIGILANCIA'!AU136),"",'RESUMEN VIGILANCIA'!AU136)</f>
        <v/>
      </c>
      <c r="AW128" s="400" t="str">
        <f>IF(ISBLANK('RESUMEN VIGILANCIA'!AV136),"",'RESUMEN VIGILANCIA'!AV136)</f>
        <v/>
      </c>
      <c r="AX128" s="400" t="str">
        <f>IF(ISBLANK('RESUMEN VIGILANCIA'!AW136),"",'RESUMEN VIGILANCIA'!AW136)</f>
        <v/>
      </c>
      <c r="AY128" s="400" t="str">
        <f>IF(ISBLANK('RESUMEN VIGILANCIA'!AX136),"",'RESUMEN VIGILANCIA'!AX136)</f>
        <v/>
      </c>
      <c r="AZ128" s="400" t="str">
        <f>IF(ISBLANK('RESUMEN VIGILANCIA'!AY136),"",'RESUMEN VIGILANCIA'!AY136)</f>
        <v/>
      </c>
      <c r="BA128" s="401" t="str">
        <f>IF(ISBLANK('RESUMEN VIGILANCIA'!AZ136),"",'RESUMEN VIGILANCIA'!AZ136)</f>
        <v/>
      </c>
      <c r="BB128" s="243">
        <f t="shared" ref="BB128" si="10">SUM(E128:AO128)</f>
        <v>275350</v>
      </c>
      <c r="BC128" s="112">
        <v>43617</v>
      </c>
      <c r="BD128" s="112"/>
    </row>
    <row r="129" spans="1:56" s="29" customFormat="1" ht="20.100000000000001" customHeight="1" x14ac:dyDescent="0.25">
      <c r="A129" s="30" t="str">
        <f>'RESUMEN VIGILANCIA'!A133</f>
        <v>Amarilis Guerra</v>
      </c>
      <c r="B129" s="31" t="str">
        <f>'RESUMEN VIGILANCIA'!B133</f>
        <v>Calle Güigüe Nro. 89-96</v>
      </c>
      <c r="C129" s="452" t="s">
        <v>1269</v>
      </c>
      <c r="D129" s="460" t="s">
        <v>1268</v>
      </c>
      <c r="E129" s="440" t="str">
        <f>IF(ISBLANK('RESUMEN VIGILANCIA'!D133),"",'RESUMEN VIGILANCIA'!D133)</f>
        <v/>
      </c>
      <c r="F129" s="270">
        <f>IF(ISBLANK('RESUMEN VIGILANCIA'!E133),"",'RESUMEN VIGILANCIA'!E133)</f>
        <v>0.17</v>
      </c>
      <c r="G129" s="182">
        <f>IF(ISBLANK('RESUMEN VIGILANCIA'!F133),"",'RESUMEN VIGILANCIA'!F133)</f>
        <v>0.17</v>
      </c>
      <c r="H129" s="182">
        <f>IF(ISBLANK('RESUMEN VIGILANCIA'!G133),"",'RESUMEN VIGILANCIA'!G133)</f>
        <v>0.17</v>
      </c>
      <c r="I129" s="182">
        <f>IF(ISBLANK('RESUMEN VIGILANCIA'!H133),"",'RESUMEN VIGILANCIA'!H133)</f>
        <v>0.17</v>
      </c>
      <c r="J129" s="182">
        <f>IF(ISBLANK('RESUMEN VIGILANCIA'!I133),"",'RESUMEN VIGILANCIA'!I133)</f>
        <v>0.26</v>
      </c>
      <c r="K129" s="182">
        <f>IF(ISBLANK('RESUMEN VIGILANCIA'!J133),"",'RESUMEN VIGILANCIA'!J133)</f>
        <v>0.26</v>
      </c>
      <c r="L129" s="182">
        <f>IF(ISBLANK('RESUMEN VIGILANCIA'!K133),"",'RESUMEN VIGILANCIA'!K133)</f>
        <v>0.35</v>
      </c>
      <c r="M129" s="182">
        <f>IF(ISBLANK('RESUMEN VIGILANCIA'!L133),"",'RESUMEN VIGILANCIA'!L133)</f>
        <v>0.35</v>
      </c>
      <c r="N129" s="182">
        <f>IF(ISBLANK('RESUMEN VIGILANCIA'!M133),"",'RESUMEN VIGILANCIA'!M133)</f>
        <v>0.35</v>
      </c>
      <c r="O129" s="182">
        <f>IF(ISBLANK('RESUMEN VIGILANCIA'!N133),"",'RESUMEN VIGILANCIA'!N133)</f>
        <v>0.35</v>
      </c>
      <c r="P129" s="271">
        <f>IF(ISBLANK('RESUMEN VIGILANCIA'!O133),"",'RESUMEN VIGILANCIA'!O133)</f>
        <v>0.5</v>
      </c>
      <c r="Q129" s="180">
        <f>IF(ISBLANK('RESUMEN VIGILANCIA'!P133),"",'RESUMEN VIGILANCIA'!P133)</f>
        <v>0.5</v>
      </c>
      <c r="R129" s="272">
        <f>IF(ISBLANK('RESUMEN VIGILANCIA'!Q133),"",'RESUMEN VIGILANCIA'!Q133)</f>
        <v>0.8</v>
      </c>
      <c r="S129" s="271">
        <f>IF(ISBLANK('RESUMEN VIGILANCIA'!R133),"",'RESUMEN VIGILANCIA'!R133)</f>
        <v>0.8</v>
      </c>
      <c r="T129" s="271">
        <f>IF(ISBLANK('RESUMEN VIGILANCIA'!S133),"",'RESUMEN VIGILANCIA'!S133)</f>
        <v>1.4</v>
      </c>
      <c r="U129" s="271">
        <f>IF(ISBLANK('RESUMEN VIGILANCIA'!T133),"",'RESUMEN VIGILANCIA'!T133)</f>
        <v>1.4</v>
      </c>
      <c r="V129" s="271">
        <f>IF(ISBLANK('RESUMEN VIGILANCIA'!U133),"",'RESUMEN VIGILANCIA'!U133)</f>
        <v>4</v>
      </c>
      <c r="W129" s="271">
        <f>IF(ISBLANK('RESUMEN VIGILANCIA'!V133),"",'RESUMEN VIGILANCIA'!V133)</f>
        <v>6.25</v>
      </c>
      <c r="X129" s="271">
        <f>IF(ISBLANK('RESUMEN VIGILANCIA'!W133),"",'RESUMEN VIGILANCIA'!W133)</f>
        <v>10</v>
      </c>
      <c r="Y129" s="271">
        <f>IF(ISBLANK('RESUMEN VIGILANCIA'!X133),"",'RESUMEN VIGILANCIA'!X133)</f>
        <v>12</v>
      </c>
      <c r="Z129" s="481">
        <f>IF(ISBLANK('RESUMEN VIGILANCIA'!Y133),"",'RESUMEN VIGILANCIA'!Y133)</f>
        <v>320</v>
      </c>
      <c r="AA129" s="481">
        <f>IF(ISBLANK('RESUMEN VIGILANCIA'!Z133),"",'RESUMEN VIGILANCIA'!Z133)</f>
        <v>320</v>
      </c>
      <c r="AB129" s="481">
        <f>IF(ISBLANK('RESUMEN VIGILANCIA'!AA133),"",'RESUMEN VIGILANCIA'!AA133)</f>
        <v>320</v>
      </c>
      <c r="AC129" s="482">
        <f>IF(ISBLANK('RESUMEN VIGILANCIA'!AB133),"",'RESUMEN VIGILANCIA'!AB133)</f>
        <v>800</v>
      </c>
      <c r="AD129" s="399">
        <f>IF(ISBLANK('RESUMEN VIGILANCIA'!AC133),"",'RESUMEN VIGILANCIA'!AC133)</f>
        <v>3000</v>
      </c>
      <c r="AE129" s="400">
        <f>IF(ISBLANK('RESUMEN VIGILANCIA'!AD133),"",'RESUMEN VIGILANCIA'!AD133)</f>
        <v>3000</v>
      </c>
      <c r="AF129" s="400">
        <f>IF(ISBLANK('RESUMEN VIGILANCIA'!AE133),"",'RESUMEN VIGILANCIA'!AE133)</f>
        <v>3000</v>
      </c>
      <c r="AG129" s="400">
        <f>IF(ISBLANK('RESUMEN VIGILANCIA'!AF133),"",'RESUMEN VIGILANCIA'!AF133)</f>
        <v>5000</v>
      </c>
      <c r="AH129" s="400">
        <f>IF(ISBLANK('RESUMEN VIGILANCIA'!AG133),"",'RESUMEN VIGILANCIA'!AG133)</f>
        <v>8000</v>
      </c>
      <c r="AI129" s="400">
        <f>IF(ISBLANK('RESUMEN VIGILANCIA'!AH133),"",'RESUMEN VIGILANCIA'!AH133)</f>
        <v>8000</v>
      </c>
      <c r="AJ129" s="400">
        <f>IF(ISBLANK('RESUMEN VIGILANCIA'!AI133),"",'RESUMEN VIGILANCIA'!AI133)</f>
        <v>10000</v>
      </c>
      <c r="AK129" s="400">
        <f>IF(ISBLANK('RESUMEN VIGILANCIA'!AJ133),"",'RESUMEN VIGILANCIA'!AJ133)</f>
        <v>10000</v>
      </c>
      <c r="AL129" s="400">
        <f>IF(ISBLANK('RESUMEN VIGILANCIA'!AK133),"",'RESUMEN VIGILANCIA'!AK133)</f>
        <v>23400</v>
      </c>
      <c r="AM129" s="400">
        <f>IF(ISBLANK('RESUMEN VIGILANCIA'!AL133),"",'RESUMEN VIGILANCIA'!AL133)</f>
        <v>47000</v>
      </c>
      <c r="AN129" s="400">
        <f>IF(ISBLANK('RESUMEN VIGILANCIA'!AM133),"",'RESUMEN VIGILANCIA'!AM133)</f>
        <v>73500</v>
      </c>
      <c r="AO129" s="401">
        <f>IF(ISBLANK('RESUMEN VIGILANCIA'!AN133),"",'RESUMEN VIGILANCIA'!AN133)</f>
        <v>81750</v>
      </c>
      <c r="AP129" s="399">
        <f>IF(ISBLANK('RESUMEN VIGILANCIA'!AO133),"",'RESUMEN VIGILANCIA'!AO133)</f>
        <v>136250</v>
      </c>
      <c r="AQ129" s="400">
        <f>IF(ISBLANK('RESUMEN VIGILANCIA'!AP133),"",'RESUMEN VIGILANCIA'!AP133)</f>
        <v>136250</v>
      </c>
      <c r="AR129" s="400">
        <f>IF(ISBLANK('RESUMEN VIGILANCIA'!AQ133),"",'RESUMEN VIGILANCIA'!AQ133)</f>
        <v>186250</v>
      </c>
      <c r="AS129" s="400" t="str">
        <f>IF(ISBLANK('RESUMEN VIGILANCIA'!AR133),"",'RESUMEN VIGILANCIA'!AR133)</f>
        <v/>
      </c>
      <c r="AT129" s="400" t="str">
        <f>IF(ISBLANK('RESUMEN VIGILANCIA'!AS133),"",'RESUMEN VIGILANCIA'!AS133)</f>
        <v/>
      </c>
      <c r="AU129" s="400" t="str">
        <f>IF(ISBLANK('RESUMEN VIGILANCIA'!AT133),"",'RESUMEN VIGILANCIA'!AT133)</f>
        <v/>
      </c>
      <c r="AV129" s="400" t="str">
        <f>IF(ISBLANK('RESUMEN VIGILANCIA'!AU133),"",'RESUMEN VIGILANCIA'!AU133)</f>
        <v/>
      </c>
      <c r="AW129" s="400" t="str">
        <f>IF(ISBLANK('RESUMEN VIGILANCIA'!AV133),"",'RESUMEN VIGILANCIA'!AV133)</f>
        <v/>
      </c>
      <c r="AX129" s="400" t="str">
        <f>IF(ISBLANK('RESUMEN VIGILANCIA'!AW133),"",'RESUMEN VIGILANCIA'!AW133)</f>
        <v/>
      </c>
      <c r="AY129" s="400" t="str">
        <f>IF(ISBLANK('RESUMEN VIGILANCIA'!AX133),"",'RESUMEN VIGILANCIA'!AX133)</f>
        <v/>
      </c>
      <c r="AZ129" s="400" t="str">
        <f>IF(ISBLANK('RESUMEN VIGILANCIA'!AY133),"",'RESUMEN VIGILANCIA'!AY133)</f>
        <v/>
      </c>
      <c r="BA129" s="401" t="str">
        <f>IF(ISBLANK('RESUMEN VIGILANCIA'!AZ133),"",'RESUMEN VIGILANCIA'!AZ133)</f>
        <v/>
      </c>
      <c r="BB129" s="243">
        <f t="shared" si="8"/>
        <v>277450.25</v>
      </c>
      <c r="BC129" s="112"/>
      <c r="BD129" s="112"/>
    </row>
    <row r="130" spans="1:56" s="29" customFormat="1" ht="20.100000000000001" customHeight="1" x14ac:dyDescent="0.25">
      <c r="A130" s="30" t="str">
        <f>'RESUMEN VIGILANCIA'!A109</f>
        <v>Familia Piñero Padilla</v>
      </c>
      <c r="B130" s="31" t="str">
        <f>'RESUMEN VIGILANCIA'!B109</f>
        <v>Calle Güigüe Nro. 89-21</v>
      </c>
      <c r="C130" s="452" t="s">
        <v>1269</v>
      </c>
      <c r="D130" s="460" t="s">
        <v>17</v>
      </c>
      <c r="E130" s="440" t="str">
        <f>IF(ISBLANK('RESUMEN VIGILANCIA'!D109),"",'RESUMEN VIGILANCIA'!D109)</f>
        <v/>
      </c>
      <c r="F130" s="270">
        <f>IF(ISBLANK('RESUMEN VIGILANCIA'!E109),"",'RESUMEN VIGILANCIA'!E109)</f>
        <v>0.17</v>
      </c>
      <c r="G130" s="182">
        <f>IF(ISBLANK('RESUMEN VIGILANCIA'!F109),"",'RESUMEN VIGILANCIA'!F109)</f>
        <v>0.17</v>
      </c>
      <c r="H130" s="182">
        <f>IF(ISBLANK('RESUMEN VIGILANCIA'!G109),"",'RESUMEN VIGILANCIA'!G109)</f>
        <v>0.17</v>
      </c>
      <c r="I130" s="182">
        <f>IF(ISBLANK('RESUMEN VIGILANCIA'!H109),"",'RESUMEN VIGILANCIA'!H109)</f>
        <v>0.17</v>
      </c>
      <c r="J130" s="182">
        <f>IF(ISBLANK('RESUMEN VIGILANCIA'!I109),"",'RESUMEN VIGILANCIA'!I109)</f>
        <v>0.26</v>
      </c>
      <c r="K130" s="182">
        <f>IF(ISBLANK('RESUMEN VIGILANCIA'!J109),"",'RESUMEN VIGILANCIA'!J109)</f>
        <v>0.26</v>
      </c>
      <c r="L130" s="182">
        <f>IF(ISBLANK('RESUMEN VIGILANCIA'!K109),"",'RESUMEN VIGILANCIA'!K109)</f>
        <v>0.35</v>
      </c>
      <c r="M130" s="182">
        <f>IF(ISBLANK('RESUMEN VIGILANCIA'!L109),"",'RESUMEN VIGILANCIA'!L109)</f>
        <v>0.35</v>
      </c>
      <c r="N130" s="182">
        <f>IF(ISBLANK('RESUMEN VIGILANCIA'!M109),"",'RESUMEN VIGILANCIA'!M109)</f>
        <v>0.35</v>
      </c>
      <c r="O130" s="182">
        <f>IF(ISBLANK('RESUMEN VIGILANCIA'!N109),"",'RESUMEN VIGILANCIA'!N109)</f>
        <v>0.35</v>
      </c>
      <c r="P130" s="271">
        <f>IF(ISBLANK('RESUMEN VIGILANCIA'!O109),"",'RESUMEN VIGILANCIA'!O109)</f>
        <v>0.5</v>
      </c>
      <c r="Q130" s="180">
        <f>IF(ISBLANK('RESUMEN VIGILANCIA'!P109),"",'RESUMEN VIGILANCIA'!P109)</f>
        <v>0.5</v>
      </c>
      <c r="R130" s="272">
        <f>IF(ISBLANK('RESUMEN VIGILANCIA'!Q109),"",'RESUMEN VIGILANCIA'!Q109)</f>
        <v>0.8</v>
      </c>
      <c r="S130" s="271">
        <f>IF(ISBLANK('RESUMEN VIGILANCIA'!R109),"",'RESUMEN VIGILANCIA'!R109)</f>
        <v>0.8</v>
      </c>
      <c r="T130" s="271">
        <f>IF(ISBLANK('RESUMEN VIGILANCIA'!S109),"",'RESUMEN VIGILANCIA'!S109)</f>
        <v>1.4</v>
      </c>
      <c r="U130" s="271">
        <f>IF(ISBLANK('RESUMEN VIGILANCIA'!T109),"",'RESUMEN VIGILANCIA'!T109)</f>
        <v>1.4</v>
      </c>
      <c r="V130" s="271">
        <f>IF(ISBLANK('RESUMEN VIGILANCIA'!U109),"",'RESUMEN VIGILANCIA'!U109)</f>
        <v>4</v>
      </c>
      <c r="W130" s="271">
        <f>IF(ISBLANK('RESUMEN VIGILANCIA'!V109),"",'RESUMEN VIGILANCIA'!V109)</f>
        <v>6.25</v>
      </c>
      <c r="X130" s="271">
        <f>IF(ISBLANK('RESUMEN VIGILANCIA'!W109),"",'RESUMEN VIGILANCIA'!W109)</f>
        <v>10</v>
      </c>
      <c r="Y130" s="271">
        <f>IF(ISBLANK('RESUMEN VIGILANCIA'!X109),"",'RESUMEN VIGILANCIA'!X109)</f>
        <v>12</v>
      </c>
      <c r="Z130" s="481">
        <f>IF(ISBLANK('RESUMEN VIGILANCIA'!Y109),"",'RESUMEN VIGILANCIA'!Y109)</f>
        <v>320</v>
      </c>
      <c r="AA130" s="481">
        <f>IF(ISBLANK('RESUMEN VIGILANCIA'!Z109),"",'RESUMEN VIGILANCIA'!Z109)</f>
        <v>320</v>
      </c>
      <c r="AB130" s="481">
        <f>IF(ISBLANK('RESUMEN VIGILANCIA'!AA109),"",'RESUMEN VIGILANCIA'!AA109)</f>
        <v>320</v>
      </c>
      <c r="AC130" s="482">
        <f>IF(ISBLANK('RESUMEN VIGILANCIA'!AB109),"",'RESUMEN VIGILANCIA'!AB109)</f>
        <v>800</v>
      </c>
      <c r="AD130" s="399">
        <f>IF(ISBLANK('RESUMEN VIGILANCIA'!AC109),"",'RESUMEN VIGILANCIA'!AC109)</f>
        <v>3000</v>
      </c>
      <c r="AE130" s="400">
        <f>IF(ISBLANK('RESUMEN VIGILANCIA'!AD109),"",'RESUMEN VIGILANCIA'!AD109)</f>
        <v>3000</v>
      </c>
      <c r="AF130" s="400">
        <f>IF(ISBLANK('RESUMEN VIGILANCIA'!AE109),"",'RESUMEN VIGILANCIA'!AE109)</f>
        <v>3000</v>
      </c>
      <c r="AG130" s="400">
        <f>IF(ISBLANK('RESUMEN VIGILANCIA'!AF109),"",'RESUMEN VIGILANCIA'!AF109)</f>
        <v>5000</v>
      </c>
      <c r="AH130" s="400">
        <f>IF(ISBLANK('RESUMEN VIGILANCIA'!AG109),"",'RESUMEN VIGILANCIA'!AG109)</f>
        <v>8000</v>
      </c>
      <c r="AI130" s="400">
        <f>IF(ISBLANK('RESUMEN VIGILANCIA'!AH109),"",'RESUMEN VIGILANCIA'!AH109)</f>
        <v>8000</v>
      </c>
      <c r="AJ130" s="400">
        <f>IF(ISBLANK('RESUMEN VIGILANCIA'!AI109),"",'RESUMEN VIGILANCIA'!AI109)</f>
        <v>10000</v>
      </c>
      <c r="AK130" s="400">
        <f>IF(ISBLANK('RESUMEN VIGILANCIA'!AJ109),"",'RESUMEN VIGILANCIA'!AJ109)</f>
        <v>10000</v>
      </c>
      <c r="AL130" s="400">
        <f>IF(ISBLANK('RESUMEN VIGILANCIA'!AK109),"",'RESUMEN VIGILANCIA'!AK109)</f>
        <v>20500</v>
      </c>
      <c r="AM130" s="400">
        <f>IF(ISBLANK('RESUMEN VIGILANCIA'!AL109),"",'RESUMEN VIGILANCIA'!AL109)</f>
        <v>73500</v>
      </c>
      <c r="AN130" s="400">
        <f>IF(ISBLANK('RESUMEN VIGILANCIA'!AM109),"",'RESUMEN VIGILANCIA'!AM109)</f>
        <v>73500</v>
      </c>
      <c r="AO130" s="401">
        <f>IF(ISBLANK('RESUMEN VIGILANCIA'!AN109),"",'RESUMEN VIGILANCIA'!AN109)</f>
        <v>136250</v>
      </c>
      <c r="AP130" s="399">
        <f>IF(ISBLANK('RESUMEN VIGILANCIA'!AO109),"",'RESUMEN VIGILANCIA'!AO109)</f>
        <v>185250</v>
      </c>
      <c r="AQ130" s="400">
        <f>IF(ISBLANK('RESUMEN VIGILANCIA'!AP109),"",'RESUMEN VIGILANCIA'!AP109)</f>
        <v>185250</v>
      </c>
      <c r="AR130" s="400">
        <f>IF(ISBLANK('RESUMEN VIGILANCIA'!AQ109),"",'RESUMEN VIGILANCIA'!AQ109)</f>
        <v>185250</v>
      </c>
      <c r="AS130" s="400" t="str">
        <f>IF(ISBLANK('RESUMEN VIGILANCIA'!AR109),"",'RESUMEN VIGILANCIA'!AR109)</f>
        <v/>
      </c>
      <c r="AT130" s="400" t="str">
        <f>IF(ISBLANK('RESUMEN VIGILANCIA'!AS109),"",'RESUMEN VIGILANCIA'!AS109)</f>
        <v/>
      </c>
      <c r="AU130" s="400" t="str">
        <f>IF(ISBLANK('RESUMEN VIGILANCIA'!AT109),"",'RESUMEN VIGILANCIA'!AT109)</f>
        <v/>
      </c>
      <c r="AV130" s="400" t="str">
        <f>IF(ISBLANK('RESUMEN VIGILANCIA'!AU109),"",'RESUMEN VIGILANCIA'!AU109)</f>
        <v/>
      </c>
      <c r="AW130" s="400" t="str">
        <f>IF(ISBLANK('RESUMEN VIGILANCIA'!AV109),"",'RESUMEN VIGILANCIA'!AV109)</f>
        <v/>
      </c>
      <c r="AX130" s="400" t="str">
        <f>IF(ISBLANK('RESUMEN VIGILANCIA'!AW109),"",'RESUMEN VIGILANCIA'!AW109)</f>
        <v/>
      </c>
      <c r="AY130" s="400" t="str">
        <f>IF(ISBLANK('RESUMEN VIGILANCIA'!AX109),"",'RESUMEN VIGILANCIA'!AX109)</f>
        <v/>
      </c>
      <c r="AZ130" s="400" t="str">
        <f>IF(ISBLANK('RESUMEN VIGILANCIA'!AY109),"",'RESUMEN VIGILANCIA'!AY109)</f>
        <v/>
      </c>
      <c r="BA130" s="401" t="str">
        <f>IF(ISBLANK('RESUMEN VIGILANCIA'!AZ109),"",'RESUMEN VIGILANCIA'!AZ109)</f>
        <v/>
      </c>
      <c r="BB130" s="243">
        <f t="shared" si="8"/>
        <v>355550.25</v>
      </c>
      <c r="BC130" s="112"/>
      <c r="BD130" s="112"/>
    </row>
    <row r="131" spans="1:56" s="29" customFormat="1" ht="20.100000000000001" customHeight="1" x14ac:dyDescent="0.25">
      <c r="A131" s="30" t="str">
        <f>'RESUMEN VIGILANCIA'!A95</f>
        <v>Familia Castillo Rodríguez</v>
      </c>
      <c r="B131" s="31" t="str">
        <f>'RESUMEN VIGILANCIA'!B95</f>
        <v>Calle Güigüe Nro. 88-91</v>
      </c>
      <c r="C131" s="453" t="s">
        <v>1271</v>
      </c>
      <c r="D131" s="460" t="s">
        <v>1268</v>
      </c>
      <c r="E131" s="440" t="str">
        <f>IF(ISBLANK('RESUMEN VIGILANCIA'!D95),"",'RESUMEN VIGILANCIA'!D95)</f>
        <v/>
      </c>
      <c r="F131" s="270">
        <f>IF(ISBLANK('RESUMEN VIGILANCIA'!E95),"",'RESUMEN VIGILANCIA'!E95)</f>
        <v>0.17</v>
      </c>
      <c r="G131" s="182">
        <f>IF(ISBLANK('RESUMEN VIGILANCIA'!F95),"",'RESUMEN VIGILANCIA'!F95)</f>
        <v>0.17</v>
      </c>
      <c r="H131" s="183" t="str">
        <f>IF(ISBLANK('RESUMEN VIGILANCIA'!G95),"",'RESUMEN VIGILANCIA'!G95)</f>
        <v/>
      </c>
      <c r="I131" s="183" t="str">
        <f>IF(ISBLANK('RESUMEN VIGILANCIA'!H95),"",'RESUMEN VIGILANCIA'!H95)</f>
        <v/>
      </c>
      <c r="J131" s="182">
        <f>IF(ISBLANK('RESUMEN VIGILANCIA'!I95),"",'RESUMEN VIGILANCIA'!I95)</f>
        <v>0.26</v>
      </c>
      <c r="K131" s="182">
        <f>IF(ISBLANK('RESUMEN VIGILANCIA'!J95),"",'RESUMEN VIGILANCIA'!J95)</f>
        <v>0.26</v>
      </c>
      <c r="L131" s="227">
        <f>IF(ISBLANK('RESUMEN VIGILANCIA'!K95),"",'RESUMEN VIGILANCIA'!K95)</f>
        <v>0.26</v>
      </c>
      <c r="M131" s="182" t="str">
        <f>IF(ISBLANK('RESUMEN VIGILANCIA'!L95),"",'RESUMEN VIGILANCIA'!L95)</f>
        <v/>
      </c>
      <c r="N131" s="182" t="str">
        <f>IF(ISBLANK('RESUMEN VIGILANCIA'!M95),"",'RESUMEN VIGILANCIA'!M95)</f>
        <v/>
      </c>
      <c r="O131" s="182" t="str">
        <f>IF(ISBLANK('RESUMEN VIGILANCIA'!N95),"",'RESUMEN VIGILANCIA'!N95)</f>
        <v/>
      </c>
      <c r="P131" s="271" t="str">
        <f>IF(ISBLANK('RESUMEN VIGILANCIA'!O95),"",'RESUMEN VIGILANCIA'!O95)</f>
        <v/>
      </c>
      <c r="Q131" s="180" t="str">
        <f>IF(ISBLANK('RESUMEN VIGILANCIA'!P95),"",'RESUMEN VIGILANCIA'!P95)</f>
        <v/>
      </c>
      <c r="R131" s="272" t="str">
        <f>IF(ISBLANK('RESUMEN VIGILANCIA'!Q95),"",'RESUMEN VIGILANCIA'!Q95)</f>
        <v/>
      </c>
      <c r="S131" s="271" t="str">
        <f>IF(ISBLANK('RESUMEN VIGILANCIA'!R95),"",'RESUMEN VIGILANCIA'!R95)</f>
        <v/>
      </c>
      <c r="T131" s="271" t="str">
        <f>IF(ISBLANK('RESUMEN VIGILANCIA'!S95),"",'RESUMEN VIGILANCIA'!S95)</f>
        <v/>
      </c>
      <c r="U131" s="271" t="str">
        <f>IF(ISBLANK('RESUMEN VIGILANCIA'!T95),"",'RESUMEN VIGILANCIA'!T95)</f>
        <v/>
      </c>
      <c r="V131" s="271" t="str">
        <f>IF(ISBLANK('RESUMEN VIGILANCIA'!U95),"",'RESUMEN VIGILANCIA'!U95)</f>
        <v/>
      </c>
      <c r="W131" s="271" t="str">
        <f>IF(ISBLANK('RESUMEN VIGILANCIA'!V95),"",'RESUMEN VIGILANCIA'!V95)</f>
        <v/>
      </c>
      <c r="X131" s="271" t="str">
        <f>IF(ISBLANK('RESUMEN VIGILANCIA'!W95),"",'RESUMEN VIGILANCIA'!W95)</f>
        <v/>
      </c>
      <c r="Y131" s="271" t="str">
        <f>IF(ISBLANK('RESUMEN VIGILANCIA'!X95),"",'RESUMEN VIGILANCIA'!X95)</f>
        <v/>
      </c>
      <c r="Z131" s="481" t="str">
        <f>IF(ISBLANK('RESUMEN VIGILANCIA'!Y95),"",'RESUMEN VIGILANCIA'!Y95)</f>
        <v/>
      </c>
      <c r="AA131" s="481" t="str">
        <f>IF(ISBLANK('RESUMEN VIGILANCIA'!Z95),"",'RESUMEN VIGILANCIA'!Z95)</f>
        <v/>
      </c>
      <c r="AB131" s="481" t="str">
        <f>IF(ISBLANK('RESUMEN VIGILANCIA'!AA95),"",'RESUMEN VIGILANCIA'!AA95)</f>
        <v/>
      </c>
      <c r="AC131" s="482" t="str">
        <f>IF(ISBLANK('RESUMEN VIGILANCIA'!AB95),"",'RESUMEN VIGILANCIA'!AB95)</f>
        <v/>
      </c>
      <c r="AD131" s="399" t="str">
        <f>IF(ISBLANK('RESUMEN VIGILANCIA'!AC95),"",'RESUMEN VIGILANCIA'!AC95)</f>
        <v/>
      </c>
      <c r="AE131" s="400" t="str">
        <f>IF(ISBLANK('RESUMEN VIGILANCIA'!AD95),"",'RESUMEN VIGILANCIA'!AD95)</f>
        <v/>
      </c>
      <c r="AF131" s="400" t="str">
        <f>IF(ISBLANK('RESUMEN VIGILANCIA'!AE95),"",'RESUMEN VIGILANCIA'!AE95)</f>
        <v/>
      </c>
      <c r="AG131" s="400" t="str">
        <f>IF(ISBLANK('RESUMEN VIGILANCIA'!AF95),"",'RESUMEN VIGILANCIA'!AF95)</f>
        <v/>
      </c>
      <c r="AH131" s="400" t="str">
        <f>IF(ISBLANK('RESUMEN VIGILANCIA'!AG95),"",'RESUMEN VIGILANCIA'!AG95)</f>
        <v/>
      </c>
      <c r="AI131" s="400" t="str">
        <f>IF(ISBLANK('RESUMEN VIGILANCIA'!AH95),"",'RESUMEN VIGILANCIA'!AH95)</f>
        <v/>
      </c>
      <c r="AJ131" s="400" t="str">
        <f>IF(ISBLANK('RESUMEN VIGILANCIA'!AI95),"",'RESUMEN VIGILANCIA'!AI95)</f>
        <v/>
      </c>
      <c r="AK131" s="400" t="str">
        <f>IF(ISBLANK('RESUMEN VIGILANCIA'!AJ95),"",'RESUMEN VIGILANCIA'!AJ95)</f>
        <v/>
      </c>
      <c r="AL131" s="400" t="str">
        <f>IF(ISBLANK('RESUMEN VIGILANCIA'!AK95),"",'RESUMEN VIGILANCIA'!AK95)</f>
        <v/>
      </c>
      <c r="AM131" s="400">
        <f>IF(ISBLANK('RESUMEN VIGILANCIA'!AL95),"",'RESUMEN VIGILANCIA'!AL95)</f>
        <v>159299</v>
      </c>
      <c r="AN131" s="400">
        <f>IF(ISBLANK('RESUMEN VIGILANCIA'!AM95),"",'RESUMEN VIGILANCIA'!AM95)</f>
        <v>81750</v>
      </c>
      <c r="AO131" s="401" t="str">
        <f>IF(ISBLANK('RESUMEN VIGILANCIA'!AN95),"",'RESUMEN VIGILANCIA'!AN95)</f>
        <v/>
      </c>
      <c r="AP131" s="399" t="str">
        <f>IF(ISBLANK('RESUMEN VIGILANCIA'!AO95),"",'RESUMEN VIGILANCIA'!AO95)</f>
        <v/>
      </c>
      <c r="AQ131" s="400" t="str">
        <f>IF(ISBLANK('RESUMEN VIGILANCIA'!AP95),"",'RESUMEN VIGILANCIA'!AP95)</f>
        <v/>
      </c>
      <c r="AR131" s="400" t="str">
        <f>IF(ISBLANK('RESUMEN VIGILANCIA'!AQ95),"",'RESUMEN VIGILANCIA'!AQ95)</f>
        <v/>
      </c>
      <c r="AS131" s="400" t="str">
        <f>IF(ISBLANK('RESUMEN VIGILANCIA'!AR95),"",'RESUMEN VIGILANCIA'!AR95)</f>
        <v/>
      </c>
      <c r="AT131" s="400" t="str">
        <f>IF(ISBLANK('RESUMEN VIGILANCIA'!AS95),"",'RESUMEN VIGILANCIA'!AS95)</f>
        <v/>
      </c>
      <c r="AU131" s="400" t="str">
        <f>IF(ISBLANK('RESUMEN VIGILANCIA'!AT95),"",'RESUMEN VIGILANCIA'!AT95)</f>
        <v/>
      </c>
      <c r="AV131" s="400" t="str">
        <f>IF(ISBLANK('RESUMEN VIGILANCIA'!AU95),"",'RESUMEN VIGILANCIA'!AU95)</f>
        <v/>
      </c>
      <c r="AW131" s="400" t="str">
        <f>IF(ISBLANK('RESUMEN VIGILANCIA'!AV95),"",'RESUMEN VIGILANCIA'!AV95)</f>
        <v/>
      </c>
      <c r="AX131" s="400" t="str">
        <f>IF(ISBLANK('RESUMEN VIGILANCIA'!AW95),"",'RESUMEN VIGILANCIA'!AW95)</f>
        <v/>
      </c>
      <c r="AY131" s="400" t="str">
        <f>IF(ISBLANK('RESUMEN VIGILANCIA'!AX95),"",'RESUMEN VIGILANCIA'!AX95)</f>
        <v/>
      </c>
      <c r="AZ131" s="400" t="str">
        <f>IF(ISBLANK('RESUMEN VIGILANCIA'!AY95),"",'RESUMEN VIGILANCIA'!AY95)</f>
        <v/>
      </c>
      <c r="BA131" s="401" t="str">
        <f>IF(ISBLANK('RESUMEN VIGILANCIA'!AZ95),"",'RESUMEN VIGILANCIA'!AZ95)</f>
        <v/>
      </c>
      <c r="BB131" s="243">
        <f t="shared" si="8"/>
        <v>241050.12</v>
      </c>
      <c r="BC131" s="112"/>
      <c r="BD131" s="112"/>
    </row>
    <row r="132" spans="1:56" s="29" customFormat="1" ht="20.100000000000001" customHeight="1" x14ac:dyDescent="0.25">
      <c r="A132" s="59" t="str">
        <f>'RESUMEN VIGILANCIA'!A110</f>
        <v>Familia Navarrete Medina</v>
      </c>
      <c r="B132" s="60" t="str">
        <f>'RESUMEN VIGILANCIA'!B110</f>
        <v>Calle Güigüe Nro. 89-22</v>
      </c>
      <c r="C132" s="452" t="s">
        <v>1269</v>
      </c>
      <c r="D132" s="460" t="s">
        <v>1268</v>
      </c>
      <c r="E132" s="440" t="str">
        <f>IF(ISBLANK('RESUMEN VIGILANCIA'!D110),"",'RESUMEN VIGILANCIA'!D110)</f>
        <v/>
      </c>
      <c r="F132" s="270" t="str">
        <f>IF(ISBLANK('RESUMEN VIGILANCIA'!E110),"",'RESUMEN VIGILANCIA'!E110)</f>
        <v/>
      </c>
      <c r="G132" s="182" t="str">
        <f>IF(ISBLANK('RESUMEN VIGILANCIA'!F110),"",'RESUMEN VIGILANCIA'!F110)</f>
        <v/>
      </c>
      <c r="H132" s="182" t="str">
        <f>IF(ISBLANK('RESUMEN VIGILANCIA'!G110),"",'RESUMEN VIGILANCIA'!G110)</f>
        <v/>
      </c>
      <c r="I132" s="182" t="str">
        <f>IF(ISBLANK('RESUMEN VIGILANCIA'!H110),"",'RESUMEN VIGILANCIA'!H110)</f>
        <v/>
      </c>
      <c r="J132" s="182" t="str">
        <f>IF(ISBLANK('RESUMEN VIGILANCIA'!I110),"",'RESUMEN VIGILANCIA'!I110)</f>
        <v/>
      </c>
      <c r="K132" s="182" t="str">
        <f>IF(ISBLANK('RESUMEN VIGILANCIA'!J110),"",'RESUMEN VIGILANCIA'!J110)</f>
        <v/>
      </c>
      <c r="L132" s="182">
        <f>IF(ISBLANK('RESUMEN VIGILANCIA'!K110),"",'RESUMEN VIGILANCIA'!K110)</f>
        <v>0.35</v>
      </c>
      <c r="M132" s="182">
        <f>IF(ISBLANK('RESUMEN VIGILANCIA'!L110),"",'RESUMEN VIGILANCIA'!L110)</f>
        <v>0.35</v>
      </c>
      <c r="N132" s="182">
        <f>IF(ISBLANK('RESUMEN VIGILANCIA'!M110),"",'RESUMEN VIGILANCIA'!M110)</f>
        <v>0.35</v>
      </c>
      <c r="O132" s="182">
        <f>IF(ISBLANK('RESUMEN VIGILANCIA'!N110),"",'RESUMEN VIGILANCIA'!N110)</f>
        <v>0.35</v>
      </c>
      <c r="P132" s="271">
        <f>IF(ISBLANK('RESUMEN VIGILANCIA'!O110),"",'RESUMEN VIGILANCIA'!O110)</f>
        <v>0.5</v>
      </c>
      <c r="Q132" s="180">
        <f>IF(ISBLANK('RESUMEN VIGILANCIA'!P110),"",'RESUMEN VIGILANCIA'!P110)</f>
        <v>0.5</v>
      </c>
      <c r="R132" s="272">
        <f>IF(ISBLANK('RESUMEN VIGILANCIA'!Q110),"",'RESUMEN VIGILANCIA'!Q110)</f>
        <v>0.8</v>
      </c>
      <c r="S132" s="271">
        <f>IF(ISBLANK('RESUMEN VIGILANCIA'!R110),"",'RESUMEN VIGILANCIA'!R110)</f>
        <v>0.8</v>
      </c>
      <c r="T132" s="271">
        <f>IF(ISBLANK('RESUMEN VIGILANCIA'!S110),"",'RESUMEN VIGILANCIA'!S110)</f>
        <v>1.4</v>
      </c>
      <c r="U132" s="271">
        <f>IF(ISBLANK('RESUMEN VIGILANCIA'!T110),"",'RESUMEN VIGILANCIA'!T110)</f>
        <v>1.4</v>
      </c>
      <c r="V132" s="271">
        <f>IF(ISBLANK('RESUMEN VIGILANCIA'!U110),"",'RESUMEN VIGILANCIA'!U110)</f>
        <v>4</v>
      </c>
      <c r="W132" s="271">
        <f>IF(ISBLANK('RESUMEN VIGILANCIA'!V110),"",'RESUMEN VIGILANCIA'!V110)</f>
        <v>6.25</v>
      </c>
      <c r="X132" s="271">
        <f>IF(ISBLANK('RESUMEN VIGILANCIA'!W110),"",'RESUMEN VIGILANCIA'!W110)</f>
        <v>10</v>
      </c>
      <c r="Y132" s="271">
        <f>IF(ISBLANK('RESUMEN VIGILANCIA'!X110),"",'RESUMEN VIGILANCIA'!X110)</f>
        <v>12</v>
      </c>
      <c r="Z132" s="481">
        <f>IF(ISBLANK('RESUMEN VIGILANCIA'!Y110),"",'RESUMEN VIGILANCIA'!Y110)</f>
        <v>320</v>
      </c>
      <c r="AA132" s="481">
        <f>IF(ISBLANK('RESUMEN VIGILANCIA'!Z110),"",'RESUMEN VIGILANCIA'!Z110)</f>
        <v>320</v>
      </c>
      <c r="AB132" s="481">
        <f>IF(ISBLANK('RESUMEN VIGILANCIA'!AA110),"",'RESUMEN VIGILANCIA'!AA110)</f>
        <v>320</v>
      </c>
      <c r="AC132" s="482">
        <f>IF(ISBLANK('RESUMEN VIGILANCIA'!AB110),"",'RESUMEN VIGILANCIA'!AB110)</f>
        <v>800</v>
      </c>
      <c r="AD132" s="399">
        <f>IF(ISBLANK('RESUMEN VIGILANCIA'!AC110),"",'RESUMEN VIGILANCIA'!AC110)</f>
        <v>3000</v>
      </c>
      <c r="AE132" s="400">
        <f>IF(ISBLANK('RESUMEN VIGILANCIA'!AD110),"",'RESUMEN VIGILANCIA'!AD110)</f>
        <v>3000</v>
      </c>
      <c r="AF132" s="400">
        <f>IF(ISBLANK('RESUMEN VIGILANCIA'!AE110),"",'RESUMEN VIGILANCIA'!AE110)</f>
        <v>3000</v>
      </c>
      <c r="AG132" s="400">
        <f>IF(ISBLANK('RESUMEN VIGILANCIA'!AF110),"",'RESUMEN VIGILANCIA'!AF110)</f>
        <v>5000</v>
      </c>
      <c r="AH132" s="400">
        <f>IF(ISBLANK('RESUMEN VIGILANCIA'!AG110),"",'RESUMEN VIGILANCIA'!AG110)</f>
        <v>8000</v>
      </c>
      <c r="AI132" s="505" t="str">
        <f>IF(ISBLANK('RESUMEN VIGILANCIA'!AH110),"",'RESUMEN VIGILANCIA'!AH110)</f>
        <v>VENDIDA</v>
      </c>
      <c r="AJ132" s="536" t="str">
        <f>IF(ISBLANK('RESUMEN VIGILANCIA'!AI110),"",'RESUMEN VIGILANCIA'!AI110)</f>
        <v/>
      </c>
      <c r="AK132" s="403" t="str">
        <f>IF(ISBLANK('RESUMEN VIGILANCIA'!AJ110),"",'RESUMEN VIGILANCIA'!AJ110)</f>
        <v/>
      </c>
      <c r="AL132" s="403" t="str">
        <f>IF(ISBLANK('RESUMEN VIGILANCIA'!AK110),"",'RESUMEN VIGILANCIA'!AK110)</f>
        <v/>
      </c>
      <c r="AM132" s="403" t="str">
        <f>IF(ISBLANK('RESUMEN VIGILANCIA'!AL110),"",'RESUMEN VIGILANCIA'!AL110)</f>
        <v/>
      </c>
      <c r="AN132" s="403" t="str">
        <f>IF(ISBLANK('RESUMEN VIGILANCIA'!AM110),"",'RESUMEN VIGILANCIA'!AM110)</f>
        <v/>
      </c>
      <c r="AO132" s="414" t="str">
        <f>IF(ISBLANK('RESUMEN VIGILANCIA'!AN110),"",'RESUMEN VIGILANCIA'!AN110)</f>
        <v/>
      </c>
      <c r="AP132" s="415" t="str">
        <f>IF(ISBLANK('RESUMEN VIGILANCIA'!AO110),"",'RESUMEN VIGILANCIA'!AO110)</f>
        <v/>
      </c>
      <c r="AQ132" s="416" t="str">
        <f>IF(ISBLANK('RESUMEN VIGILANCIA'!AP110),"",'RESUMEN VIGILANCIA'!AP110)</f>
        <v/>
      </c>
      <c r="AR132" s="416" t="str">
        <f>IF(ISBLANK('RESUMEN VIGILANCIA'!AQ110),"",'RESUMEN VIGILANCIA'!AQ110)</f>
        <v/>
      </c>
      <c r="AS132" s="416" t="str">
        <f>IF(ISBLANK('RESUMEN VIGILANCIA'!AR110),"",'RESUMEN VIGILANCIA'!AR110)</f>
        <v/>
      </c>
      <c r="AT132" s="416" t="str">
        <f>IF(ISBLANK('RESUMEN VIGILANCIA'!AS110),"",'RESUMEN VIGILANCIA'!AS110)</f>
        <v/>
      </c>
      <c r="AU132" s="505" t="str">
        <f>IF(ISBLANK('RESUMEN VIGILANCIA'!AT110),"",'RESUMEN VIGILANCIA'!AT110)</f>
        <v/>
      </c>
      <c r="AV132" s="536" t="str">
        <f>IF(ISBLANK('RESUMEN VIGILANCIA'!AU110),"",'RESUMEN VIGILANCIA'!AU110)</f>
        <v/>
      </c>
      <c r="AW132" s="403" t="str">
        <f>IF(ISBLANK('RESUMEN VIGILANCIA'!AV110),"",'RESUMEN VIGILANCIA'!AV110)</f>
        <v/>
      </c>
      <c r="AX132" s="403" t="str">
        <f>IF(ISBLANK('RESUMEN VIGILANCIA'!AW110),"",'RESUMEN VIGILANCIA'!AW110)</f>
        <v/>
      </c>
      <c r="AY132" s="403" t="str">
        <f>IF(ISBLANK('RESUMEN VIGILANCIA'!AX110),"",'RESUMEN VIGILANCIA'!AX110)</f>
        <v/>
      </c>
      <c r="AZ132" s="403" t="str">
        <f>IF(ISBLANK('RESUMEN VIGILANCIA'!AY110),"",'RESUMEN VIGILANCIA'!AY110)</f>
        <v/>
      </c>
      <c r="BA132" s="414" t="str">
        <f>IF(ISBLANK('RESUMEN VIGILANCIA'!AZ110),"",'RESUMEN VIGILANCIA'!AZ110)</f>
        <v/>
      </c>
      <c r="BB132" s="245">
        <f t="shared" si="8"/>
        <v>23799.05</v>
      </c>
      <c r="BC132" s="116"/>
      <c r="BD132" s="116">
        <v>43586</v>
      </c>
    </row>
    <row r="133" spans="1:56" s="29" customFormat="1" ht="20.100000000000001" customHeight="1" x14ac:dyDescent="0.25">
      <c r="A133" s="30" t="str">
        <f>'RESUMEN VIGILANCIA'!A111</f>
        <v>Familia Rodríguez Girón</v>
      </c>
      <c r="B133" s="31" t="str">
        <f>'RESUMEN VIGILANCIA'!B111</f>
        <v>Calle Güigüe Nro. 89-22</v>
      </c>
      <c r="C133" s="452" t="s">
        <v>1269</v>
      </c>
      <c r="D133" s="460" t="s">
        <v>1268</v>
      </c>
      <c r="E133" s="534" t="str">
        <f>IF(ISBLANK('RESUMEN VIGILANCIA'!D111),"",'RESUMEN VIGILANCIA'!D111)</f>
        <v/>
      </c>
      <c r="F133" s="535" t="str">
        <f>IF(ISBLANK('RESUMEN VIGILANCIA'!E111),"",'RESUMEN VIGILANCIA'!E111)</f>
        <v/>
      </c>
      <c r="G133" s="525" t="str">
        <f>IF(ISBLANK('RESUMEN VIGILANCIA'!F111),"",'RESUMEN VIGILANCIA'!F111)</f>
        <v/>
      </c>
      <c r="H133" s="525" t="str">
        <f>IF(ISBLANK('RESUMEN VIGILANCIA'!G111),"",'RESUMEN VIGILANCIA'!G111)</f>
        <v/>
      </c>
      <c r="I133" s="525" t="str">
        <f>IF(ISBLANK('RESUMEN VIGILANCIA'!H111),"",'RESUMEN VIGILANCIA'!H111)</f>
        <v/>
      </c>
      <c r="J133" s="525" t="str">
        <f>IF(ISBLANK('RESUMEN VIGILANCIA'!I111),"",'RESUMEN VIGILANCIA'!I111)</f>
        <v/>
      </c>
      <c r="K133" s="525" t="str">
        <f>IF(ISBLANK('RESUMEN VIGILANCIA'!J111),"",'RESUMEN VIGILANCIA'!J111)</f>
        <v/>
      </c>
      <c r="L133" s="525" t="str">
        <f>IF(ISBLANK('RESUMEN VIGILANCIA'!K111),"",'RESUMEN VIGILANCIA'!K111)</f>
        <v/>
      </c>
      <c r="M133" s="525" t="str">
        <f>IF(ISBLANK('RESUMEN VIGILANCIA'!L111),"",'RESUMEN VIGILANCIA'!L111)</f>
        <v/>
      </c>
      <c r="N133" s="525" t="str">
        <f>IF(ISBLANK('RESUMEN VIGILANCIA'!M111),"",'RESUMEN VIGILANCIA'!M111)</f>
        <v/>
      </c>
      <c r="O133" s="525" t="str">
        <f>IF(ISBLANK('RESUMEN VIGILANCIA'!N111),"",'RESUMEN VIGILANCIA'!N111)</f>
        <v/>
      </c>
      <c r="P133" s="531" t="str">
        <f>IF(ISBLANK('RESUMEN VIGILANCIA'!O111),"",'RESUMEN VIGILANCIA'!O111)</f>
        <v/>
      </c>
      <c r="Q133" s="523" t="str">
        <f>IF(ISBLANK('RESUMEN VIGILANCIA'!P111),"",'RESUMEN VIGILANCIA'!P111)</f>
        <v/>
      </c>
      <c r="R133" s="530" t="str">
        <f>IF(ISBLANK('RESUMEN VIGILANCIA'!Q111),"",'RESUMEN VIGILANCIA'!Q111)</f>
        <v/>
      </c>
      <c r="S133" s="531" t="str">
        <f>IF(ISBLANK('RESUMEN VIGILANCIA'!R111),"",'RESUMEN VIGILANCIA'!R111)</f>
        <v/>
      </c>
      <c r="T133" s="531" t="str">
        <f>IF(ISBLANK('RESUMEN VIGILANCIA'!S111),"",'RESUMEN VIGILANCIA'!S111)</f>
        <v/>
      </c>
      <c r="U133" s="531" t="str">
        <f>IF(ISBLANK('RESUMEN VIGILANCIA'!T111),"",'RESUMEN VIGILANCIA'!T111)</f>
        <v/>
      </c>
      <c r="V133" s="531" t="str">
        <f>IF(ISBLANK('RESUMEN VIGILANCIA'!U111),"",'RESUMEN VIGILANCIA'!U111)</f>
        <v/>
      </c>
      <c r="W133" s="531" t="str">
        <f>IF(ISBLANK('RESUMEN VIGILANCIA'!V111),"",'RESUMEN VIGILANCIA'!V111)</f>
        <v/>
      </c>
      <c r="X133" s="531" t="str">
        <f>IF(ISBLANK('RESUMEN VIGILANCIA'!W111),"",'RESUMEN VIGILANCIA'!W111)</f>
        <v/>
      </c>
      <c r="Y133" s="531" t="str">
        <f>IF(ISBLANK('RESUMEN VIGILANCIA'!X111),"",'RESUMEN VIGILANCIA'!X111)</f>
        <v/>
      </c>
      <c r="Z133" s="532" t="str">
        <f>IF(ISBLANK('RESUMEN VIGILANCIA'!Y111),"",'RESUMEN VIGILANCIA'!Y111)</f>
        <v/>
      </c>
      <c r="AA133" s="532" t="str">
        <f>IF(ISBLANK('RESUMEN VIGILANCIA'!Z111),"",'RESUMEN VIGILANCIA'!Z111)</f>
        <v/>
      </c>
      <c r="AB133" s="532" t="str">
        <f>IF(ISBLANK('RESUMEN VIGILANCIA'!AA111),"",'RESUMEN VIGILANCIA'!AA111)</f>
        <v/>
      </c>
      <c r="AC133" s="533" t="str">
        <f>IF(ISBLANK('RESUMEN VIGILANCIA'!AB111),"",'RESUMEN VIGILANCIA'!AB111)</f>
        <v/>
      </c>
      <c r="AD133" s="528" t="str">
        <f>IF(ISBLANK('RESUMEN VIGILANCIA'!AC111),"",'RESUMEN VIGILANCIA'!AC111)</f>
        <v/>
      </c>
      <c r="AE133" s="529" t="str">
        <f>IF(ISBLANK('RESUMEN VIGILANCIA'!AD111),"",'RESUMEN VIGILANCIA'!AD111)</f>
        <v/>
      </c>
      <c r="AF133" s="529" t="str">
        <f>IF(ISBLANK('RESUMEN VIGILANCIA'!AE111),"",'RESUMEN VIGILANCIA'!AE111)</f>
        <v/>
      </c>
      <c r="AG133" s="529" t="str">
        <f>IF(ISBLANK('RESUMEN VIGILANCIA'!AF111),"",'RESUMEN VIGILANCIA'!AF111)</f>
        <v/>
      </c>
      <c r="AH133" s="529" t="str">
        <f>IF(ISBLANK('RESUMEN VIGILANCIA'!AG111),"",'RESUMEN VIGILANCIA'!AG111)</f>
        <v/>
      </c>
      <c r="AI133" s="400">
        <f>IF(ISBLANK('RESUMEN VIGILANCIA'!AH111),"",'RESUMEN VIGILANCIA'!AH111)</f>
        <v>8000</v>
      </c>
      <c r="AJ133" s="400">
        <f>IF(ISBLANK('RESUMEN VIGILANCIA'!AI111),"",'RESUMEN VIGILANCIA'!AI111)</f>
        <v>10000</v>
      </c>
      <c r="AK133" s="400">
        <f>IF(ISBLANK('RESUMEN VIGILANCIA'!AJ111),"",'RESUMEN VIGILANCIA'!AJ111)</f>
        <v>10000</v>
      </c>
      <c r="AL133" s="400">
        <f>IF(ISBLANK('RESUMEN VIGILANCIA'!AK111),"",'RESUMEN VIGILANCIA'!AK111)</f>
        <v>21100</v>
      </c>
      <c r="AM133" s="400">
        <f>IF(ISBLANK('RESUMEN VIGILANCIA'!AL111),"",'RESUMEN VIGILANCIA'!AL111)</f>
        <v>48600</v>
      </c>
      <c r="AN133" s="400">
        <f>IF(ISBLANK('RESUMEN VIGILANCIA'!AM111),"",'RESUMEN VIGILANCIA'!AM111)</f>
        <v>60000</v>
      </c>
      <c r="AO133" s="401">
        <f>IF(ISBLANK('RESUMEN VIGILANCIA'!AN111),"",'RESUMEN VIGILANCIA'!AN111)</f>
        <v>81750</v>
      </c>
      <c r="AP133" s="399">
        <f>IF(ISBLANK('RESUMEN VIGILANCIA'!AO111),"",'RESUMEN VIGILANCIA'!AO111)</f>
        <v>136250</v>
      </c>
      <c r="AQ133" s="400">
        <f>IF(ISBLANK('RESUMEN VIGILANCIA'!AP111),"",'RESUMEN VIGILANCIA'!AP111)</f>
        <v>136250</v>
      </c>
      <c r="AR133" s="400">
        <f>IF(ISBLANK('RESUMEN VIGILANCIA'!AQ111),"",'RESUMEN VIGILANCIA'!AQ111)</f>
        <v>185250</v>
      </c>
      <c r="AS133" s="400" t="str">
        <f>IF(ISBLANK('RESUMEN VIGILANCIA'!AR111),"",'RESUMEN VIGILANCIA'!AR111)</f>
        <v/>
      </c>
      <c r="AT133" s="400" t="str">
        <f>IF(ISBLANK('RESUMEN VIGILANCIA'!AS111),"",'RESUMEN VIGILANCIA'!AS111)</f>
        <v/>
      </c>
      <c r="AU133" s="400" t="str">
        <f>IF(ISBLANK('RESUMEN VIGILANCIA'!AT111),"",'RESUMEN VIGILANCIA'!AT111)</f>
        <v/>
      </c>
      <c r="AV133" s="400" t="str">
        <f>IF(ISBLANK('RESUMEN VIGILANCIA'!AU111),"",'RESUMEN VIGILANCIA'!AU111)</f>
        <v/>
      </c>
      <c r="AW133" s="400" t="str">
        <f>IF(ISBLANK('RESUMEN VIGILANCIA'!AV111),"",'RESUMEN VIGILANCIA'!AV111)</f>
        <v/>
      </c>
      <c r="AX133" s="400" t="str">
        <f>IF(ISBLANK('RESUMEN VIGILANCIA'!AW111),"",'RESUMEN VIGILANCIA'!AW111)</f>
        <v/>
      </c>
      <c r="AY133" s="400" t="str">
        <f>IF(ISBLANK('RESUMEN VIGILANCIA'!AX111),"",'RESUMEN VIGILANCIA'!AX111)</f>
        <v/>
      </c>
      <c r="AZ133" s="400" t="str">
        <f>IF(ISBLANK('RESUMEN VIGILANCIA'!AY111),"",'RESUMEN VIGILANCIA'!AY111)</f>
        <v/>
      </c>
      <c r="BA133" s="401" t="str">
        <f>IF(ISBLANK('RESUMEN VIGILANCIA'!AZ111),"",'RESUMEN VIGILANCIA'!AZ111)</f>
        <v/>
      </c>
      <c r="BB133" s="243">
        <f t="shared" ref="BB133" si="11">SUM(E133:AO133)</f>
        <v>239450</v>
      </c>
      <c r="BC133" s="112">
        <v>43617</v>
      </c>
      <c r="BD133" s="112"/>
    </row>
    <row r="134" spans="1:56" s="29" customFormat="1" ht="20.100000000000001" customHeight="1" x14ac:dyDescent="0.25">
      <c r="A134" s="30" t="str">
        <f>'RESUMEN VIGILANCIA'!A78</f>
        <v>Familia Costermani Terrer</v>
      </c>
      <c r="B134" s="31" t="str">
        <f>'RESUMEN VIGILANCIA'!B78</f>
        <v>Calle Güigüe Nro. 88-11</v>
      </c>
      <c r="C134" s="452" t="s">
        <v>1269</v>
      </c>
      <c r="D134" s="460" t="s">
        <v>17</v>
      </c>
      <c r="E134" s="440" t="str">
        <f>IF(ISBLANK('RESUMEN VIGILANCIA'!D78),"",'RESUMEN VIGILANCIA'!D78)</f>
        <v/>
      </c>
      <c r="F134" s="270" t="str">
        <f>IF(ISBLANK('RESUMEN VIGILANCIA'!E78),"",'RESUMEN VIGILANCIA'!E78)</f>
        <v/>
      </c>
      <c r="G134" s="182" t="str">
        <f>IF(ISBLANK('RESUMEN VIGILANCIA'!F78),"",'RESUMEN VIGILANCIA'!F78)</f>
        <v/>
      </c>
      <c r="H134" s="182" t="str">
        <f>IF(ISBLANK('RESUMEN VIGILANCIA'!G78),"",'RESUMEN VIGILANCIA'!G78)</f>
        <v/>
      </c>
      <c r="I134" s="182" t="str">
        <f>IF(ISBLANK('RESUMEN VIGILANCIA'!H78),"",'RESUMEN VIGILANCIA'!H78)</f>
        <v/>
      </c>
      <c r="J134" s="182" t="str">
        <f>IF(ISBLANK('RESUMEN VIGILANCIA'!I78),"",'RESUMEN VIGILANCIA'!I78)</f>
        <v/>
      </c>
      <c r="K134" s="182" t="str">
        <f>IF(ISBLANK('RESUMEN VIGILANCIA'!J78),"",'RESUMEN VIGILANCIA'!J78)</f>
        <v/>
      </c>
      <c r="L134" s="182" t="str">
        <f>IF(ISBLANK('RESUMEN VIGILANCIA'!K78),"",'RESUMEN VIGILANCIA'!K78)</f>
        <v/>
      </c>
      <c r="M134" s="182" t="str">
        <f>IF(ISBLANK('RESUMEN VIGILANCIA'!L78),"",'RESUMEN VIGILANCIA'!L78)</f>
        <v/>
      </c>
      <c r="N134" s="182" t="str">
        <f>IF(ISBLANK('RESUMEN VIGILANCIA'!M78),"",'RESUMEN VIGILANCIA'!M78)</f>
        <v/>
      </c>
      <c r="O134" s="182" t="str">
        <f>IF(ISBLANK('RESUMEN VIGILANCIA'!N78),"",'RESUMEN VIGILANCIA'!N78)</f>
        <v/>
      </c>
      <c r="P134" s="271" t="str">
        <f>IF(ISBLANK('RESUMEN VIGILANCIA'!O78),"",'RESUMEN VIGILANCIA'!O78)</f>
        <v/>
      </c>
      <c r="Q134" s="180" t="str">
        <f>IF(ISBLANK('RESUMEN VIGILANCIA'!P78),"",'RESUMEN VIGILANCIA'!P78)</f>
        <v/>
      </c>
      <c r="R134" s="272" t="str">
        <f>IF(ISBLANK('RESUMEN VIGILANCIA'!Q78),"",'RESUMEN VIGILANCIA'!Q78)</f>
        <v/>
      </c>
      <c r="S134" s="271">
        <f>IF(ISBLANK('RESUMEN VIGILANCIA'!R78),"",'RESUMEN VIGILANCIA'!R78)</f>
        <v>0.8</v>
      </c>
      <c r="T134" s="271">
        <f>IF(ISBLANK('RESUMEN VIGILANCIA'!S78),"",'RESUMEN VIGILANCIA'!S78)</f>
        <v>1.4</v>
      </c>
      <c r="U134" s="271">
        <f>IF(ISBLANK('RESUMEN VIGILANCIA'!T78),"",'RESUMEN VIGILANCIA'!T78)</f>
        <v>1.4</v>
      </c>
      <c r="V134" s="271">
        <f>IF(ISBLANK('RESUMEN VIGILANCIA'!U78),"",'RESUMEN VIGILANCIA'!U78)</f>
        <v>4</v>
      </c>
      <c r="W134" s="271">
        <f>IF(ISBLANK('RESUMEN VIGILANCIA'!V78),"",'RESUMEN VIGILANCIA'!V78)</f>
        <v>6.5</v>
      </c>
      <c r="X134" s="271">
        <f>IF(ISBLANK('RESUMEN VIGILANCIA'!W78),"",'RESUMEN VIGILANCIA'!W78)</f>
        <v>10</v>
      </c>
      <c r="Y134" s="271">
        <f>IF(ISBLANK('RESUMEN VIGILANCIA'!X78),"",'RESUMEN VIGILANCIA'!X78)</f>
        <v>12</v>
      </c>
      <c r="Z134" s="481">
        <f>IF(ISBLANK('RESUMEN VIGILANCIA'!Y78),"",'RESUMEN VIGILANCIA'!Y78)</f>
        <v>320</v>
      </c>
      <c r="AA134" s="481">
        <f>IF(ISBLANK('RESUMEN VIGILANCIA'!Z78),"",'RESUMEN VIGILANCIA'!Z78)</f>
        <v>320</v>
      </c>
      <c r="AB134" s="481">
        <f>IF(ISBLANK('RESUMEN VIGILANCIA'!AA78),"",'RESUMEN VIGILANCIA'!AA78)</f>
        <v>320</v>
      </c>
      <c r="AC134" s="482">
        <f>IF(ISBLANK('RESUMEN VIGILANCIA'!AB78),"",'RESUMEN VIGILANCIA'!AB78)</f>
        <v>800</v>
      </c>
      <c r="AD134" s="399">
        <f>IF(ISBLANK('RESUMEN VIGILANCIA'!AC78),"",'RESUMEN VIGILANCIA'!AC78)</f>
        <v>3000</v>
      </c>
      <c r="AE134" s="400">
        <f>IF(ISBLANK('RESUMEN VIGILANCIA'!AD78),"",'RESUMEN VIGILANCIA'!AD78)</f>
        <v>3000</v>
      </c>
      <c r="AF134" s="400">
        <f>IF(ISBLANK('RESUMEN VIGILANCIA'!AE78),"",'RESUMEN VIGILANCIA'!AE78)</f>
        <v>3000</v>
      </c>
      <c r="AG134" s="400">
        <f>IF(ISBLANK('RESUMEN VIGILANCIA'!AF78),"",'RESUMEN VIGILANCIA'!AF78)</f>
        <v>5000</v>
      </c>
      <c r="AH134" s="400">
        <f>IF(ISBLANK('RESUMEN VIGILANCIA'!AG78),"",'RESUMEN VIGILANCIA'!AG78)</f>
        <v>8000</v>
      </c>
      <c r="AI134" s="400">
        <f>IF(ISBLANK('RESUMEN VIGILANCIA'!AH78),"",'RESUMEN VIGILANCIA'!AH78)</f>
        <v>8000</v>
      </c>
      <c r="AJ134" s="400">
        <f>IF(ISBLANK('RESUMEN VIGILANCIA'!AI78),"",'RESUMEN VIGILANCIA'!AI78)</f>
        <v>10000</v>
      </c>
      <c r="AK134" s="400">
        <f>IF(ISBLANK('RESUMEN VIGILANCIA'!AJ78),"",'RESUMEN VIGILANCIA'!AJ78)</f>
        <v>10000</v>
      </c>
      <c r="AL134" s="400">
        <f>IF(ISBLANK('RESUMEN VIGILANCIA'!AK78),"",'RESUMEN VIGILANCIA'!AK78)</f>
        <v>20500</v>
      </c>
      <c r="AM134" s="400">
        <f>IF(ISBLANK('RESUMEN VIGILANCIA'!AL78),"",'RESUMEN VIGILANCIA'!AL78)</f>
        <v>51250</v>
      </c>
      <c r="AN134" s="400">
        <f>IF(ISBLANK('RESUMEN VIGILANCIA'!AM78),"",'RESUMEN VIGILANCIA'!AM78)</f>
        <v>64500</v>
      </c>
      <c r="AO134" s="401">
        <f>IF(ISBLANK('RESUMEN VIGILANCIA'!AN78),"",'RESUMEN VIGILANCIA'!AN78)</f>
        <v>105250</v>
      </c>
      <c r="AP134" s="399">
        <f>IF(ISBLANK('RESUMEN VIGILANCIA'!AO78),"",'RESUMEN VIGILANCIA'!AO78)</f>
        <v>136250</v>
      </c>
      <c r="AQ134" s="400">
        <f>IF(ISBLANK('RESUMEN VIGILANCIA'!AP78),"",'RESUMEN VIGILANCIA'!AP78)</f>
        <v>136250</v>
      </c>
      <c r="AR134" s="400" t="str">
        <f>IF(ISBLANK('RESUMEN VIGILANCIA'!AQ78),"",'RESUMEN VIGILANCIA'!AQ78)</f>
        <v/>
      </c>
      <c r="AS134" s="400" t="str">
        <f>IF(ISBLANK('RESUMEN VIGILANCIA'!AR78),"",'RESUMEN VIGILANCIA'!AR78)</f>
        <v/>
      </c>
      <c r="AT134" s="400" t="str">
        <f>IF(ISBLANK('RESUMEN VIGILANCIA'!AS78),"",'RESUMEN VIGILANCIA'!AS78)</f>
        <v/>
      </c>
      <c r="AU134" s="400" t="str">
        <f>IF(ISBLANK('RESUMEN VIGILANCIA'!AT78),"",'RESUMEN VIGILANCIA'!AT78)</f>
        <v/>
      </c>
      <c r="AV134" s="400" t="str">
        <f>IF(ISBLANK('RESUMEN VIGILANCIA'!AU78),"",'RESUMEN VIGILANCIA'!AU78)</f>
        <v/>
      </c>
      <c r="AW134" s="400" t="str">
        <f>IF(ISBLANK('RESUMEN VIGILANCIA'!AV78),"",'RESUMEN VIGILANCIA'!AV78)</f>
        <v/>
      </c>
      <c r="AX134" s="400" t="str">
        <f>IF(ISBLANK('RESUMEN VIGILANCIA'!AW78),"",'RESUMEN VIGILANCIA'!AW78)</f>
        <v/>
      </c>
      <c r="AY134" s="400" t="str">
        <f>IF(ISBLANK('RESUMEN VIGILANCIA'!AX78),"",'RESUMEN VIGILANCIA'!AX78)</f>
        <v/>
      </c>
      <c r="AZ134" s="400" t="str">
        <f>IF(ISBLANK('RESUMEN VIGILANCIA'!AY78),"",'RESUMEN VIGILANCIA'!AY78)</f>
        <v/>
      </c>
      <c r="BA134" s="401" t="str">
        <f>IF(ISBLANK('RESUMEN VIGILANCIA'!AZ78),"",'RESUMEN VIGILANCIA'!AZ78)</f>
        <v/>
      </c>
      <c r="BB134" s="243">
        <f t="shared" si="8"/>
        <v>293296.09999999998</v>
      </c>
      <c r="BC134" s="112"/>
      <c r="BD134" s="112"/>
    </row>
    <row r="135" spans="1:56" s="29" customFormat="1" ht="20.100000000000001" customHeight="1" x14ac:dyDescent="0.25">
      <c r="A135" s="30" t="str">
        <f>'RESUMEN VIGILANCIA'!A134</f>
        <v>Familia Ochoa Mendoza</v>
      </c>
      <c r="B135" s="31" t="str">
        <f>'RESUMEN VIGILANCIA'!B134</f>
        <v>Calle Güigüe Nro. 89-105</v>
      </c>
      <c r="C135" s="452" t="s">
        <v>1269</v>
      </c>
      <c r="D135" s="460" t="s">
        <v>17</v>
      </c>
      <c r="E135" s="440" t="str">
        <f>IF(ISBLANK('RESUMEN VIGILANCIA'!D134),"",'RESUMEN VIGILANCIA'!D134)</f>
        <v/>
      </c>
      <c r="F135" s="270">
        <f>IF(ISBLANK('RESUMEN VIGILANCIA'!E134),"",'RESUMEN VIGILANCIA'!E134)</f>
        <v>0.17</v>
      </c>
      <c r="G135" s="182">
        <f>IF(ISBLANK('RESUMEN VIGILANCIA'!F134),"",'RESUMEN VIGILANCIA'!F134)</f>
        <v>0.17</v>
      </c>
      <c r="H135" s="182">
        <f>IF(ISBLANK('RESUMEN VIGILANCIA'!G134),"",'RESUMEN VIGILANCIA'!G134)</f>
        <v>0.17</v>
      </c>
      <c r="I135" s="182">
        <f>IF(ISBLANK('RESUMEN VIGILANCIA'!H134),"",'RESUMEN VIGILANCIA'!H134)</f>
        <v>0.17</v>
      </c>
      <c r="J135" s="182">
        <f>IF(ISBLANK('RESUMEN VIGILANCIA'!I134),"",'RESUMEN VIGILANCIA'!I134)</f>
        <v>0.26</v>
      </c>
      <c r="K135" s="182">
        <f>IF(ISBLANK('RESUMEN VIGILANCIA'!J134),"",'RESUMEN VIGILANCIA'!J134)</f>
        <v>0.26</v>
      </c>
      <c r="L135" s="182">
        <f>IF(ISBLANK('RESUMEN VIGILANCIA'!K134),"",'RESUMEN VIGILANCIA'!K134)</f>
        <v>0.35</v>
      </c>
      <c r="M135" s="182">
        <f>IF(ISBLANK('RESUMEN VIGILANCIA'!L134),"",'RESUMEN VIGILANCIA'!L134)</f>
        <v>0.35</v>
      </c>
      <c r="N135" s="182">
        <f>IF(ISBLANK('RESUMEN VIGILANCIA'!M134),"",'RESUMEN VIGILANCIA'!M134)</f>
        <v>0.35</v>
      </c>
      <c r="O135" s="182">
        <f>IF(ISBLANK('RESUMEN VIGILANCIA'!N134),"",'RESUMEN VIGILANCIA'!N134)</f>
        <v>0.35</v>
      </c>
      <c r="P135" s="271">
        <f>IF(ISBLANK('RESUMEN VIGILANCIA'!O134),"",'RESUMEN VIGILANCIA'!O134)</f>
        <v>0.5</v>
      </c>
      <c r="Q135" s="180">
        <f>IF(ISBLANK('RESUMEN VIGILANCIA'!P134),"",'RESUMEN VIGILANCIA'!P134)</f>
        <v>0.5</v>
      </c>
      <c r="R135" s="272">
        <f>IF(ISBLANK('RESUMEN VIGILANCIA'!Q134),"",'RESUMEN VIGILANCIA'!Q134)</f>
        <v>0.8</v>
      </c>
      <c r="S135" s="271">
        <f>IF(ISBLANK('RESUMEN VIGILANCIA'!R134),"",'RESUMEN VIGILANCIA'!R134)</f>
        <v>0.8</v>
      </c>
      <c r="T135" s="271">
        <f>IF(ISBLANK('RESUMEN VIGILANCIA'!S134),"",'RESUMEN VIGILANCIA'!S134)</f>
        <v>1.4</v>
      </c>
      <c r="U135" s="271">
        <f>IF(ISBLANK('RESUMEN VIGILANCIA'!T134),"",'RESUMEN VIGILANCIA'!T134)</f>
        <v>1.5</v>
      </c>
      <c r="V135" s="271">
        <f>IF(ISBLANK('RESUMEN VIGILANCIA'!U134),"",'RESUMEN VIGILANCIA'!U134)</f>
        <v>4</v>
      </c>
      <c r="W135" s="271">
        <f>IF(ISBLANK('RESUMEN VIGILANCIA'!V134),"",'RESUMEN VIGILANCIA'!V134)</f>
        <v>6.25</v>
      </c>
      <c r="X135" s="271">
        <f>IF(ISBLANK('RESUMEN VIGILANCIA'!W134),"",'RESUMEN VIGILANCIA'!W134)</f>
        <v>10</v>
      </c>
      <c r="Y135" s="271">
        <f>IF(ISBLANK('RESUMEN VIGILANCIA'!X134),"",'RESUMEN VIGILANCIA'!X134)</f>
        <v>11.25</v>
      </c>
      <c r="Z135" s="481">
        <f>IF(ISBLANK('RESUMEN VIGILANCIA'!Y134),"",'RESUMEN VIGILANCIA'!Y134)</f>
        <v>320</v>
      </c>
      <c r="AA135" s="481">
        <f>IF(ISBLANK('RESUMEN VIGILANCIA'!Z134),"",'RESUMEN VIGILANCIA'!Z134)</f>
        <v>320</v>
      </c>
      <c r="AB135" s="481">
        <f>IF(ISBLANK('RESUMEN VIGILANCIA'!AA134),"",'RESUMEN VIGILANCIA'!AA134)</f>
        <v>350</v>
      </c>
      <c r="AC135" s="482">
        <f>IF(ISBLANK('RESUMEN VIGILANCIA'!AB134),"",'RESUMEN VIGILANCIA'!AB134)</f>
        <v>800</v>
      </c>
      <c r="AD135" s="399">
        <f>IF(ISBLANK('RESUMEN VIGILANCIA'!AC134),"",'RESUMEN VIGILANCIA'!AC134)</f>
        <v>3000</v>
      </c>
      <c r="AE135" s="400">
        <f>IF(ISBLANK('RESUMEN VIGILANCIA'!AD134),"",'RESUMEN VIGILANCIA'!AD134)</f>
        <v>3000</v>
      </c>
      <c r="AF135" s="400">
        <f>IF(ISBLANK('RESUMEN VIGILANCIA'!AE134),"",'RESUMEN VIGILANCIA'!AE134)</f>
        <v>3000</v>
      </c>
      <c r="AG135" s="400">
        <f>IF(ISBLANK('RESUMEN VIGILANCIA'!AF134),"",'RESUMEN VIGILANCIA'!AF134)</f>
        <v>5000</v>
      </c>
      <c r="AH135" s="400">
        <f>IF(ISBLANK('RESUMEN VIGILANCIA'!AG134),"",'RESUMEN VIGILANCIA'!AG134)</f>
        <v>8000</v>
      </c>
      <c r="AI135" s="400">
        <f>IF(ISBLANK('RESUMEN VIGILANCIA'!AH134),"",'RESUMEN VIGILANCIA'!AH134)</f>
        <v>8000</v>
      </c>
      <c r="AJ135" s="400">
        <f>IF(ISBLANK('RESUMEN VIGILANCIA'!AI134),"",'RESUMEN VIGILANCIA'!AI134)</f>
        <v>10000</v>
      </c>
      <c r="AK135" s="400">
        <f>IF(ISBLANK('RESUMEN VIGILANCIA'!AJ134),"",'RESUMEN VIGILANCIA'!AJ134)</f>
        <v>10000</v>
      </c>
      <c r="AL135" s="400">
        <f>IF(ISBLANK('RESUMEN VIGILANCIA'!AK134),"",'RESUMEN VIGILANCIA'!AK134)</f>
        <v>20500</v>
      </c>
      <c r="AM135" s="400">
        <f>IF(ISBLANK('RESUMEN VIGILANCIA'!AL134),"",'RESUMEN VIGILANCIA'!AL134)</f>
        <v>47000</v>
      </c>
      <c r="AN135" s="400">
        <f>IF(ISBLANK('RESUMEN VIGILANCIA'!AM134),"",'RESUMEN VIGILANCIA'!AM134)</f>
        <v>56250</v>
      </c>
      <c r="AO135" s="401">
        <f>IF(ISBLANK('RESUMEN VIGILANCIA'!AN134),"",'RESUMEN VIGILANCIA'!AN134)</f>
        <v>81750</v>
      </c>
      <c r="AP135" s="399">
        <f>IF(ISBLANK('RESUMEN VIGILANCIA'!AO134),"",'RESUMEN VIGILANCIA'!AO134)</f>
        <v>136250</v>
      </c>
      <c r="AQ135" s="400">
        <f>IF(ISBLANK('RESUMEN VIGILANCIA'!AP134),"",'RESUMEN VIGILANCIA'!AP134)</f>
        <v>136250</v>
      </c>
      <c r="AR135" s="400">
        <f>IF(ISBLANK('RESUMEN VIGILANCIA'!AQ134),"",'RESUMEN VIGILANCIA'!AQ134)</f>
        <v>185250</v>
      </c>
      <c r="AS135" s="400" t="str">
        <f>IF(ISBLANK('RESUMEN VIGILANCIA'!AR134),"",'RESUMEN VIGILANCIA'!AR134)</f>
        <v/>
      </c>
      <c r="AT135" s="400" t="str">
        <f>IF(ISBLANK('RESUMEN VIGILANCIA'!AS134),"",'RESUMEN VIGILANCIA'!AS134)</f>
        <v/>
      </c>
      <c r="AU135" s="400" t="str">
        <f>IF(ISBLANK('RESUMEN VIGILANCIA'!AT134),"",'RESUMEN VIGILANCIA'!AT134)</f>
        <v/>
      </c>
      <c r="AV135" s="400" t="str">
        <f>IF(ISBLANK('RESUMEN VIGILANCIA'!AU134),"",'RESUMEN VIGILANCIA'!AU134)</f>
        <v/>
      </c>
      <c r="AW135" s="400" t="str">
        <f>IF(ISBLANK('RESUMEN VIGILANCIA'!AV134),"",'RESUMEN VIGILANCIA'!AV134)</f>
        <v/>
      </c>
      <c r="AX135" s="400" t="str">
        <f>IF(ISBLANK('RESUMEN VIGILANCIA'!AW134),"",'RESUMEN VIGILANCIA'!AW134)</f>
        <v/>
      </c>
      <c r="AY135" s="400" t="str">
        <f>IF(ISBLANK('RESUMEN VIGILANCIA'!AX134),"",'RESUMEN VIGILANCIA'!AX134)</f>
        <v/>
      </c>
      <c r="AZ135" s="400" t="str">
        <f>IF(ISBLANK('RESUMEN VIGILANCIA'!AY134),"",'RESUMEN VIGILANCIA'!AY134)</f>
        <v/>
      </c>
      <c r="BA135" s="401" t="str">
        <f>IF(ISBLANK('RESUMEN VIGILANCIA'!AZ134),"",'RESUMEN VIGILANCIA'!AZ134)</f>
        <v/>
      </c>
      <c r="BB135" s="243">
        <f t="shared" si="8"/>
        <v>257329.6</v>
      </c>
      <c r="BC135" s="112"/>
      <c r="BD135" s="112"/>
    </row>
    <row r="136" spans="1:56" s="29" customFormat="1" ht="20.100000000000001" customHeight="1" x14ac:dyDescent="0.25">
      <c r="A136" s="59" t="str">
        <f>'RESUMEN VIGILANCIA'!A127</f>
        <v>Familia Amirante</v>
      </c>
      <c r="B136" s="60" t="str">
        <f>'RESUMEN VIGILANCIA'!B127</f>
        <v>Calle Güigüe Nro. 89-89</v>
      </c>
      <c r="C136" s="452"/>
      <c r="D136" s="460" t="s">
        <v>1268</v>
      </c>
      <c r="E136" s="440" t="str">
        <f>IF(ISBLANK('RESUMEN VIGILANCIA'!D127),"",'RESUMEN VIGILANCIA'!D127)</f>
        <v/>
      </c>
      <c r="F136" s="270" t="str">
        <f>IF(ISBLANK('RESUMEN VIGILANCIA'!E127),"",'RESUMEN VIGILANCIA'!E127)</f>
        <v/>
      </c>
      <c r="G136" s="182" t="str">
        <f>IF(ISBLANK('RESUMEN VIGILANCIA'!F127),"",'RESUMEN VIGILANCIA'!F127)</f>
        <v/>
      </c>
      <c r="H136" s="182" t="str">
        <f>IF(ISBLANK('RESUMEN VIGILANCIA'!G127),"",'RESUMEN VIGILANCIA'!G127)</f>
        <v/>
      </c>
      <c r="I136" s="182" t="str">
        <f>IF(ISBLANK('RESUMEN VIGILANCIA'!H127),"",'RESUMEN VIGILANCIA'!H127)</f>
        <v/>
      </c>
      <c r="J136" s="182" t="str">
        <f>IF(ISBLANK('RESUMEN VIGILANCIA'!I127),"",'RESUMEN VIGILANCIA'!I127)</f>
        <v/>
      </c>
      <c r="K136" s="182" t="str">
        <f>IF(ISBLANK('RESUMEN VIGILANCIA'!J127),"",'RESUMEN VIGILANCIA'!J127)</f>
        <v/>
      </c>
      <c r="L136" s="182" t="str">
        <f>IF(ISBLANK('RESUMEN VIGILANCIA'!K127),"",'RESUMEN VIGILANCIA'!K127)</f>
        <v/>
      </c>
      <c r="M136" s="182" t="str">
        <f>IF(ISBLANK('RESUMEN VIGILANCIA'!L127),"",'RESUMEN VIGILANCIA'!L127)</f>
        <v/>
      </c>
      <c r="N136" s="182" t="str">
        <f>IF(ISBLANK('RESUMEN VIGILANCIA'!M127),"",'RESUMEN VIGILANCIA'!M127)</f>
        <v/>
      </c>
      <c r="O136" s="182" t="str">
        <f>IF(ISBLANK('RESUMEN VIGILANCIA'!N127),"",'RESUMEN VIGILANCIA'!N127)</f>
        <v/>
      </c>
      <c r="P136" s="271" t="str">
        <f>IF(ISBLANK('RESUMEN VIGILANCIA'!O127),"",'RESUMEN VIGILANCIA'!O127)</f>
        <v/>
      </c>
      <c r="Q136" s="180" t="str">
        <f>IF(ISBLANK('RESUMEN VIGILANCIA'!P127),"",'RESUMEN VIGILANCIA'!P127)</f>
        <v/>
      </c>
      <c r="R136" s="272" t="str">
        <f>IF(ISBLANK('RESUMEN VIGILANCIA'!Q127),"",'RESUMEN VIGILANCIA'!Q127)</f>
        <v/>
      </c>
      <c r="S136" s="271" t="str">
        <f>IF(ISBLANK('RESUMEN VIGILANCIA'!R127),"",'RESUMEN VIGILANCIA'!R127)</f>
        <v/>
      </c>
      <c r="T136" s="271" t="str">
        <f>IF(ISBLANK('RESUMEN VIGILANCIA'!S127),"",'RESUMEN VIGILANCIA'!S127)</f>
        <v/>
      </c>
      <c r="U136" s="275" t="str">
        <f>IF(ISBLANK('RESUMEN VIGILANCIA'!T127),"",'RESUMEN VIGILANCIA'!T127)</f>
        <v>VENDIDA</v>
      </c>
      <c r="V136" s="282" t="str">
        <f>IF(ISBLANK('RESUMEN VIGILANCIA'!U127),"",'RESUMEN VIGILANCIA'!U127)</f>
        <v/>
      </c>
      <c r="W136" s="282" t="str">
        <f>IF(ISBLANK('RESUMEN VIGILANCIA'!V127),"",'RESUMEN VIGILANCIA'!V127)</f>
        <v/>
      </c>
      <c r="X136" s="282" t="str">
        <f>IF(ISBLANK('RESUMEN VIGILANCIA'!W127),"",'RESUMEN VIGILANCIA'!W127)</f>
        <v/>
      </c>
      <c r="Y136" s="282" t="str">
        <f>IF(ISBLANK('RESUMEN VIGILANCIA'!X127),"",'RESUMEN VIGILANCIA'!X127)</f>
        <v/>
      </c>
      <c r="Z136" s="490" t="str">
        <f>IF(ISBLANK('RESUMEN VIGILANCIA'!Y127),"",'RESUMEN VIGILANCIA'!Y127)</f>
        <v/>
      </c>
      <c r="AA136" s="490" t="str">
        <f>IF(ISBLANK('RESUMEN VIGILANCIA'!Z127),"",'RESUMEN VIGILANCIA'!Z127)</f>
        <v/>
      </c>
      <c r="AB136" s="490" t="str">
        <f>IF(ISBLANK('RESUMEN VIGILANCIA'!AA127),"",'RESUMEN VIGILANCIA'!AA127)</f>
        <v/>
      </c>
      <c r="AC136" s="491" t="str">
        <f>IF(ISBLANK('RESUMEN VIGILANCIA'!AB127),"",'RESUMEN VIGILANCIA'!AB127)</f>
        <v/>
      </c>
      <c r="AD136" s="413" t="str">
        <f>IF(ISBLANK('RESUMEN VIGILANCIA'!AC127),"",'RESUMEN VIGILANCIA'!AC127)</f>
        <v/>
      </c>
      <c r="AE136" s="403" t="str">
        <f>IF(ISBLANK('RESUMEN VIGILANCIA'!AD127),"",'RESUMEN VIGILANCIA'!AD127)</f>
        <v/>
      </c>
      <c r="AF136" s="403" t="str">
        <f>IF(ISBLANK('RESUMEN VIGILANCIA'!AE127),"",'RESUMEN VIGILANCIA'!AE127)</f>
        <v/>
      </c>
      <c r="AG136" s="403" t="str">
        <f>IF(ISBLANK('RESUMEN VIGILANCIA'!AF127),"",'RESUMEN VIGILANCIA'!AF127)</f>
        <v/>
      </c>
      <c r="AH136" s="403" t="str">
        <f>IF(ISBLANK('RESUMEN VIGILANCIA'!AG127),"",'RESUMEN VIGILANCIA'!AG127)</f>
        <v/>
      </c>
      <c r="AI136" s="403" t="str">
        <f>IF(ISBLANK('RESUMEN VIGILANCIA'!AH127),"",'RESUMEN VIGILANCIA'!AH127)</f>
        <v/>
      </c>
      <c r="AJ136" s="403" t="str">
        <f>IF(ISBLANK('RESUMEN VIGILANCIA'!AI127),"",'RESUMEN VIGILANCIA'!AI127)</f>
        <v/>
      </c>
      <c r="AK136" s="403" t="str">
        <f>IF(ISBLANK('RESUMEN VIGILANCIA'!AJ127),"",'RESUMEN VIGILANCIA'!AJ127)</f>
        <v/>
      </c>
      <c r="AL136" s="403" t="str">
        <f>IF(ISBLANK('RESUMEN VIGILANCIA'!AK127),"",'RESUMEN VIGILANCIA'!AK127)</f>
        <v/>
      </c>
      <c r="AM136" s="403" t="str">
        <f>IF(ISBLANK('RESUMEN VIGILANCIA'!AL127),"",'RESUMEN VIGILANCIA'!AL127)</f>
        <v/>
      </c>
      <c r="AN136" s="403" t="str">
        <f>IF(ISBLANK('RESUMEN VIGILANCIA'!AM127),"",'RESUMEN VIGILANCIA'!AM127)</f>
        <v/>
      </c>
      <c r="AO136" s="414" t="str">
        <f>IF(ISBLANK('RESUMEN VIGILANCIA'!AN127),"",'RESUMEN VIGILANCIA'!AN127)</f>
        <v/>
      </c>
      <c r="AP136" s="413" t="str">
        <f>IF(ISBLANK('RESUMEN VIGILANCIA'!AO127),"",'RESUMEN VIGILANCIA'!AO127)</f>
        <v/>
      </c>
      <c r="AQ136" s="403" t="str">
        <f>IF(ISBLANK('RESUMEN VIGILANCIA'!AP127),"",'RESUMEN VIGILANCIA'!AP127)</f>
        <v/>
      </c>
      <c r="AR136" s="403" t="str">
        <f>IF(ISBLANK('RESUMEN VIGILANCIA'!AQ127),"",'RESUMEN VIGILANCIA'!AQ127)</f>
        <v/>
      </c>
      <c r="AS136" s="403" t="str">
        <f>IF(ISBLANK('RESUMEN VIGILANCIA'!AR127),"",'RESUMEN VIGILANCIA'!AR127)</f>
        <v/>
      </c>
      <c r="AT136" s="403" t="str">
        <f>IF(ISBLANK('RESUMEN VIGILANCIA'!AS127),"",'RESUMEN VIGILANCIA'!AS127)</f>
        <v/>
      </c>
      <c r="AU136" s="403" t="str">
        <f>IF(ISBLANK('RESUMEN VIGILANCIA'!AT127),"",'RESUMEN VIGILANCIA'!AT127)</f>
        <v/>
      </c>
      <c r="AV136" s="403" t="str">
        <f>IF(ISBLANK('RESUMEN VIGILANCIA'!AU127),"",'RESUMEN VIGILANCIA'!AU127)</f>
        <v/>
      </c>
      <c r="AW136" s="403" t="str">
        <f>IF(ISBLANK('RESUMEN VIGILANCIA'!AV127),"",'RESUMEN VIGILANCIA'!AV127)</f>
        <v/>
      </c>
      <c r="AX136" s="403" t="str">
        <f>IF(ISBLANK('RESUMEN VIGILANCIA'!AW127),"",'RESUMEN VIGILANCIA'!AW127)</f>
        <v/>
      </c>
      <c r="AY136" s="403" t="str">
        <f>IF(ISBLANK('RESUMEN VIGILANCIA'!AX127),"",'RESUMEN VIGILANCIA'!AX127)</f>
        <v/>
      </c>
      <c r="AZ136" s="403" t="str">
        <f>IF(ISBLANK('RESUMEN VIGILANCIA'!AY127),"",'RESUMEN VIGILANCIA'!AY127)</f>
        <v/>
      </c>
      <c r="BA136" s="414" t="str">
        <f>IF(ISBLANK('RESUMEN VIGILANCIA'!AZ127),"",'RESUMEN VIGILANCIA'!AZ127)</f>
        <v/>
      </c>
      <c r="BB136" s="245">
        <f t="shared" si="8"/>
        <v>0</v>
      </c>
      <c r="BC136" s="116"/>
      <c r="BD136" s="116">
        <v>43160</v>
      </c>
    </row>
    <row r="137" spans="1:56" s="29" customFormat="1" ht="20.100000000000001" customHeight="1" x14ac:dyDescent="0.25">
      <c r="A137" s="59" t="str">
        <f>'RESUMEN VIGILANCIA'!A128</f>
        <v>Familia Civitico Rueda</v>
      </c>
      <c r="B137" s="60" t="str">
        <f>'RESUMEN VIGILANCIA'!B128</f>
        <v>Calle Güigüe Nro. 89-89</v>
      </c>
      <c r="C137" s="452" t="s">
        <v>1272</v>
      </c>
      <c r="D137" s="460" t="s">
        <v>1268</v>
      </c>
      <c r="E137" s="442" t="str">
        <f>IF(ISBLANK('RESUMEN VIGILANCIA'!D128),"",'RESUMEN VIGILANCIA'!D128)</f>
        <v/>
      </c>
      <c r="F137" s="283" t="str">
        <f>IF(ISBLANK('RESUMEN VIGILANCIA'!E128),"",'RESUMEN VIGILANCIA'!E128)</f>
        <v/>
      </c>
      <c r="G137" s="210" t="str">
        <f>IF(ISBLANK('RESUMEN VIGILANCIA'!F128),"",'RESUMEN VIGILANCIA'!F128)</f>
        <v/>
      </c>
      <c r="H137" s="210" t="str">
        <f>IF(ISBLANK('RESUMEN VIGILANCIA'!G128),"",'RESUMEN VIGILANCIA'!G128)</f>
        <v/>
      </c>
      <c r="I137" s="210" t="str">
        <f>IF(ISBLANK('RESUMEN VIGILANCIA'!H128),"",'RESUMEN VIGILANCIA'!H128)</f>
        <v/>
      </c>
      <c r="J137" s="210" t="str">
        <f>IF(ISBLANK('RESUMEN VIGILANCIA'!I128),"",'RESUMEN VIGILANCIA'!I128)</f>
        <v/>
      </c>
      <c r="K137" s="210" t="str">
        <f>IF(ISBLANK('RESUMEN VIGILANCIA'!J128),"",'RESUMEN VIGILANCIA'!J128)</f>
        <v/>
      </c>
      <c r="L137" s="210" t="str">
        <f>IF(ISBLANK('RESUMEN VIGILANCIA'!K128),"",'RESUMEN VIGILANCIA'!K128)</f>
        <v/>
      </c>
      <c r="M137" s="210" t="str">
        <f>IF(ISBLANK('RESUMEN VIGILANCIA'!L128),"",'RESUMEN VIGILANCIA'!L128)</f>
        <v/>
      </c>
      <c r="N137" s="210" t="str">
        <f>IF(ISBLANK('RESUMEN VIGILANCIA'!M128),"",'RESUMEN VIGILANCIA'!M128)</f>
        <v/>
      </c>
      <c r="O137" s="210" t="str">
        <f>IF(ISBLANK('RESUMEN VIGILANCIA'!N128),"",'RESUMEN VIGILANCIA'!N128)</f>
        <v/>
      </c>
      <c r="P137" s="293" t="str">
        <f>IF(ISBLANK('RESUMEN VIGILANCIA'!O128),"",'RESUMEN VIGILANCIA'!O128)</f>
        <v/>
      </c>
      <c r="Q137" s="208" t="str">
        <f>IF(ISBLANK('RESUMEN VIGILANCIA'!P128),"",'RESUMEN VIGILANCIA'!P128)</f>
        <v/>
      </c>
      <c r="R137" s="294" t="str">
        <f>IF(ISBLANK('RESUMEN VIGILANCIA'!Q128),"",'RESUMEN VIGILANCIA'!Q128)</f>
        <v/>
      </c>
      <c r="S137" s="293" t="str">
        <f>IF(ISBLANK('RESUMEN VIGILANCIA'!R128),"",'RESUMEN VIGILANCIA'!R128)</f>
        <v/>
      </c>
      <c r="T137" s="293" t="str">
        <f>IF(ISBLANK('RESUMEN VIGILANCIA'!S128),"",'RESUMEN VIGILANCIA'!S128)</f>
        <v/>
      </c>
      <c r="U137" s="271">
        <f>IF(ISBLANK('RESUMEN VIGILANCIA'!T128),"",'RESUMEN VIGILANCIA'!T128)</f>
        <v>1.4</v>
      </c>
      <c r="V137" s="271">
        <f>IF(ISBLANK('RESUMEN VIGILANCIA'!U128),"",'RESUMEN VIGILANCIA'!U128)</f>
        <v>4</v>
      </c>
      <c r="W137" s="271">
        <f>IF(ISBLANK('RESUMEN VIGILANCIA'!V128),"",'RESUMEN VIGILANCIA'!V128)</f>
        <v>4</v>
      </c>
      <c r="X137" s="275" t="str">
        <f>IF(ISBLANK('RESUMEN VIGILANCIA'!W128),"",'RESUMEN VIGILANCIA'!W128)</f>
        <v>ALQUILADA</v>
      </c>
      <c r="Y137" s="282" t="str">
        <f>IF(ISBLANK('RESUMEN VIGILANCIA'!X128),"",'RESUMEN VIGILANCIA'!X128)</f>
        <v/>
      </c>
      <c r="Z137" s="490" t="str">
        <f>IF(ISBLANK('RESUMEN VIGILANCIA'!Y128),"",'RESUMEN VIGILANCIA'!Y128)</f>
        <v/>
      </c>
      <c r="AA137" s="490" t="str">
        <f>IF(ISBLANK('RESUMEN VIGILANCIA'!Z128),"",'RESUMEN VIGILANCIA'!Z128)</f>
        <v/>
      </c>
      <c r="AB137" s="490" t="str">
        <f>IF(ISBLANK('RESUMEN VIGILANCIA'!AA128),"",'RESUMEN VIGILANCIA'!AA128)</f>
        <v/>
      </c>
      <c r="AC137" s="491" t="str">
        <f>IF(ISBLANK('RESUMEN VIGILANCIA'!AB128),"",'RESUMEN VIGILANCIA'!AB128)</f>
        <v/>
      </c>
      <c r="AD137" s="413" t="str">
        <f>IF(ISBLANK('RESUMEN VIGILANCIA'!AC128),"",'RESUMEN VIGILANCIA'!AC128)</f>
        <v/>
      </c>
      <c r="AE137" s="403" t="str">
        <f>IF(ISBLANK('RESUMEN VIGILANCIA'!AD128),"",'RESUMEN VIGILANCIA'!AD128)</f>
        <v/>
      </c>
      <c r="AF137" s="403" t="str">
        <f>IF(ISBLANK('RESUMEN VIGILANCIA'!AE128),"",'RESUMEN VIGILANCIA'!AE128)</f>
        <v/>
      </c>
      <c r="AG137" s="403" t="str">
        <f>IF(ISBLANK('RESUMEN VIGILANCIA'!AF128),"",'RESUMEN VIGILANCIA'!AF128)</f>
        <v/>
      </c>
      <c r="AH137" s="403" t="str">
        <f>IF(ISBLANK('RESUMEN VIGILANCIA'!AG128),"",'RESUMEN VIGILANCIA'!AG128)</f>
        <v/>
      </c>
      <c r="AI137" s="403" t="str">
        <f>IF(ISBLANK('RESUMEN VIGILANCIA'!AH128),"",'RESUMEN VIGILANCIA'!AH128)</f>
        <v/>
      </c>
      <c r="AJ137" s="403" t="str">
        <f>IF(ISBLANK('RESUMEN VIGILANCIA'!AI128),"",'RESUMEN VIGILANCIA'!AI128)</f>
        <v/>
      </c>
      <c r="AK137" s="403" t="str">
        <f>IF(ISBLANK('RESUMEN VIGILANCIA'!AJ128),"",'RESUMEN VIGILANCIA'!AJ128)</f>
        <v/>
      </c>
      <c r="AL137" s="403" t="str">
        <f>IF(ISBLANK('RESUMEN VIGILANCIA'!AK128),"",'RESUMEN VIGILANCIA'!AK128)</f>
        <v/>
      </c>
      <c r="AM137" s="403" t="str">
        <f>IF(ISBLANK('RESUMEN VIGILANCIA'!AL128),"",'RESUMEN VIGILANCIA'!AL128)</f>
        <v/>
      </c>
      <c r="AN137" s="403" t="str">
        <f>IF(ISBLANK('RESUMEN VIGILANCIA'!AM128),"",'RESUMEN VIGILANCIA'!AM128)</f>
        <v/>
      </c>
      <c r="AO137" s="414" t="str">
        <f>IF(ISBLANK('RESUMEN VIGILANCIA'!AN128),"",'RESUMEN VIGILANCIA'!AN128)</f>
        <v/>
      </c>
      <c r="AP137" s="413" t="str">
        <f>IF(ISBLANK('RESUMEN VIGILANCIA'!AO128),"",'RESUMEN VIGILANCIA'!AO128)</f>
        <v/>
      </c>
      <c r="AQ137" s="403" t="str">
        <f>IF(ISBLANK('RESUMEN VIGILANCIA'!AP128),"",'RESUMEN VIGILANCIA'!AP128)</f>
        <v/>
      </c>
      <c r="AR137" s="403" t="str">
        <f>IF(ISBLANK('RESUMEN VIGILANCIA'!AQ128),"",'RESUMEN VIGILANCIA'!AQ128)</f>
        <v/>
      </c>
      <c r="AS137" s="403" t="str">
        <f>IF(ISBLANK('RESUMEN VIGILANCIA'!AR128),"",'RESUMEN VIGILANCIA'!AR128)</f>
        <v/>
      </c>
      <c r="AT137" s="403" t="str">
        <f>IF(ISBLANK('RESUMEN VIGILANCIA'!AS128),"",'RESUMEN VIGILANCIA'!AS128)</f>
        <v/>
      </c>
      <c r="AU137" s="403" t="str">
        <f>IF(ISBLANK('RESUMEN VIGILANCIA'!AT128),"",'RESUMEN VIGILANCIA'!AT128)</f>
        <v/>
      </c>
      <c r="AV137" s="403" t="str">
        <f>IF(ISBLANK('RESUMEN VIGILANCIA'!AU128),"",'RESUMEN VIGILANCIA'!AU128)</f>
        <v/>
      </c>
      <c r="AW137" s="403" t="str">
        <f>IF(ISBLANK('RESUMEN VIGILANCIA'!AV128),"",'RESUMEN VIGILANCIA'!AV128)</f>
        <v/>
      </c>
      <c r="AX137" s="403" t="str">
        <f>IF(ISBLANK('RESUMEN VIGILANCIA'!AW128),"",'RESUMEN VIGILANCIA'!AW128)</f>
        <v/>
      </c>
      <c r="AY137" s="403" t="str">
        <f>IF(ISBLANK('RESUMEN VIGILANCIA'!AX128),"",'RESUMEN VIGILANCIA'!AX128)</f>
        <v/>
      </c>
      <c r="AZ137" s="403" t="str">
        <f>IF(ISBLANK('RESUMEN VIGILANCIA'!AY128),"",'RESUMEN VIGILANCIA'!AY128)</f>
        <v/>
      </c>
      <c r="BA137" s="414" t="str">
        <f>IF(ISBLANK('RESUMEN VIGILANCIA'!AZ128),"",'RESUMEN VIGILANCIA'!AZ128)</f>
        <v/>
      </c>
      <c r="BB137" s="245">
        <f t="shared" si="8"/>
        <v>9.4</v>
      </c>
      <c r="BC137" s="116">
        <v>43191</v>
      </c>
      <c r="BD137" s="116">
        <v>43252</v>
      </c>
    </row>
    <row r="138" spans="1:56" s="29" customFormat="1" ht="20.100000000000001" customHeight="1" x14ac:dyDescent="0.25">
      <c r="A138" s="30" t="str">
        <f>'RESUMEN VIGILANCIA'!A129</f>
        <v>Wilson Escamilla</v>
      </c>
      <c r="B138" s="31" t="str">
        <f>'RESUMEN VIGILANCIA'!B129</f>
        <v>Calle Güigüe Nro. 89-89</v>
      </c>
      <c r="C138" s="452" t="s">
        <v>1269</v>
      </c>
      <c r="D138" s="554"/>
      <c r="E138" s="442" t="str">
        <f>IF(ISBLANK('RESUMEN VIGILANCIA'!D129),"",'RESUMEN VIGILANCIA'!D129)</f>
        <v/>
      </c>
      <c r="F138" s="283" t="str">
        <f>IF(ISBLANK('RESUMEN VIGILANCIA'!E129),"",'RESUMEN VIGILANCIA'!E129)</f>
        <v/>
      </c>
      <c r="G138" s="210" t="str">
        <f>IF(ISBLANK('RESUMEN VIGILANCIA'!F129),"",'RESUMEN VIGILANCIA'!F129)</f>
        <v/>
      </c>
      <c r="H138" s="210" t="str">
        <f>IF(ISBLANK('RESUMEN VIGILANCIA'!G129),"",'RESUMEN VIGILANCIA'!G129)</f>
        <v/>
      </c>
      <c r="I138" s="210" t="str">
        <f>IF(ISBLANK('RESUMEN VIGILANCIA'!H129),"",'RESUMEN VIGILANCIA'!H129)</f>
        <v/>
      </c>
      <c r="J138" s="210" t="str">
        <f>IF(ISBLANK('RESUMEN VIGILANCIA'!I129),"",'RESUMEN VIGILANCIA'!I129)</f>
        <v/>
      </c>
      <c r="K138" s="210" t="str">
        <f>IF(ISBLANK('RESUMEN VIGILANCIA'!J129),"",'RESUMEN VIGILANCIA'!J129)</f>
        <v/>
      </c>
      <c r="L138" s="210" t="str">
        <f>IF(ISBLANK('RESUMEN VIGILANCIA'!K129),"",'RESUMEN VIGILANCIA'!K129)</f>
        <v/>
      </c>
      <c r="M138" s="210" t="str">
        <f>IF(ISBLANK('RESUMEN VIGILANCIA'!L129),"",'RESUMEN VIGILANCIA'!L129)</f>
        <v/>
      </c>
      <c r="N138" s="210" t="str">
        <f>IF(ISBLANK('RESUMEN VIGILANCIA'!M129),"",'RESUMEN VIGILANCIA'!M129)</f>
        <v/>
      </c>
      <c r="O138" s="210" t="str">
        <f>IF(ISBLANK('RESUMEN VIGILANCIA'!N129),"",'RESUMEN VIGILANCIA'!N129)</f>
        <v/>
      </c>
      <c r="P138" s="293" t="str">
        <f>IF(ISBLANK('RESUMEN VIGILANCIA'!O129),"",'RESUMEN VIGILANCIA'!O129)</f>
        <v/>
      </c>
      <c r="Q138" s="208" t="str">
        <f>IF(ISBLANK('RESUMEN VIGILANCIA'!P129),"",'RESUMEN VIGILANCIA'!P129)</f>
        <v/>
      </c>
      <c r="R138" s="294" t="str">
        <f>IF(ISBLANK('RESUMEN VIGILANCIA'!Q129),"",'RESUMEN VIGILANCIA'!Q129)</f>
        <v/>
      </c>
      <c r="S138" s="293" t="str">
        <f>IF(ISBLANK('RESUMEN VIGILANCIA'!R129),"",'RESUMEN VIGILANCIA'!R129)</f>
        <v/>
      </c>
      <c r="T138" s="293" t="str">
        <f>IF(ISBLANK('RESUMEN VIGILANCIA'!S129),"",'RESUMEN VIGILANCIA'!S129)</f>
        <v/>
      </c>
      <c r="U138" s="284" t="str">
        <f>IF(ISBLANK('RESUMEN VIGILANCIA'!T129),"",'RESUMEN VIGILANCIA'!T129)</f>
        <v/>
      </c>
      <c r="V138" s="284" t="str">
        <f>IF(ISBLANK('RESUMEN VIGILANCIA'!U129),"",'RESUMEN VIGILANCIA'!U129)</f>
        <v/>
      </c>
      <c r="W138" s="284">
        <f>IF(ISBLANK('RESUMEN VIGILANCIA'!V129),"",'RESUMEN VIGILANCIA'!V129)</f>
        <v>2.25</v>
      </c>
      <c r="X138" s="271">
        <f>IF(ISBLANK('RESUMEN VIGILANCIA'!W129),"",'RESUMEN VIGILANCIA'!W129)</f>
        <v>10</v>
      </c>
      <c r="Y138" s="271">
        <f>IF(ISBLANK('RESUMEN VIGILANCIA'!X129),"",'RESUMEN VIGILANCIA'!X129)</f>
        <v>12</v>
      </c>
      <c r="Z138" s="481">
        <f>IF(ISBLANK('RESUMEN VIGILANCIA'!Y129),"",'RESUMEN VIGILANCIA'!Y129)</f>
        <v>320</v>
      </c>
      <c r="AA138" s="481">
        <f>IF(ISBLANK('RESUMEN VIGILANCIA'!Z129),"",'RESUMEN VIGILANCIA'!Z129)</f>
        <v>320</v>
      </c>
      <c r="AB138" s="481">
        <f>IF(ISBLANK('RESUMEN VIGILANCIA'!AA129),"",'RESUMEN VIGILANCIA'!AA129)</f>
        <v>320</v>
      </c>
      <c r="AC138" s="482">
        <f>IF(ISBLANK('RESUMEN VIGILANCIA'!AB129),"",'RESUMEN VIGILANCIA'!AB129)</f>
        <v>800</v>
      </c>
      <c r="AD138" s="399">
        <f>IF(ISBLANK('RESUMEN VIGILANCIA'!AC129),"",'RESUMEN VIGILANCIA'!AC129)</f>
        <v>2800</v>
      </c>
      <c r="AE138" s="400">
        <f>IF(ISBLANK('RESUMEN VIGILANCIA'!AD129),"",'RESUMEN VIGILANCIA'!AD129)</f>
        <v>3000</v>
      </c>
      <c r="AF138" s="400">
        <f>IF(ISBLANK('RESUMEN VIGILANCIA'!AE129),"",'RESUMEN VIGILANCIA'!AE129)</f>
        <v>3000</v>
      </c>
      <c r="AG138" s="400">
        <f>IF(ISBLANK('RESUMEN VIGILANCIA'!AF129),"",'RESUMEN VIGILANCIA'!AF129)</f>
        <v>5000</v>
      </c>
      <c r="AH138" s="400">
        <f>IF(ISBLANK('RESUMEN VIGILANCIA'!AG129),"",'RESUMEN VIGILANCIA'!AG129)</f>
        <v>8000</v>
      </c>
      <c r="AI138" s="400">
        <f>IF(ISBLANK('RESUMEN VIGILANCIA'!AH129),"",'RESUMEN VIGILANCIA'!AH129)</f>
        <v>8000</v>
      </c>
      <c r="AJ138" s="400">
        <f>IF(ISBLANK('RESUMEN VIGILANCIA'!AI129),"",'RESUMEN VIGILANCIA'!AI129)</f>
        <v>10000</v>
      </c>
      <c r="AK138" s="400">
        <f>IF(ISBLANK('RESUMEN VIGILANCIA'!AJ129),"",'RESUMEN VIGILANCIA'!AJ129)</f>
        <v>10000</v>
      </c>
      <c r="AL138" s="400">
        <f>IF(ISBLANK('RESUMEN VIGILANCIA'!AK129),"",'RESUMEN VIGILANCIA'!AK129)</f>
        <v>20500</v>
      </c>
      <c r="AM138" s="400">
        <f>IF(ISBLANK('RESUMEN VIGILANCIA'!AL129),"",'RESUMEN VIGILANCIA'!AL129)</f>
        <v>56250</v>
      </c>
      <c r="AN138" s="400">
        <f>IF(ISBLANK('RESUMEN VIGILANCIA'!AM129),"",'RESUMEN VIGILANCIA'!AM129)</f>
        <v>56250</v>
      </c>
      <c r="AO138" s="401">
        <f>IF(ISBLANK('RESUMEN VIGILANCIA'!AN129),"",'RESUMEN VIGILANCIA'!AN129)</f>
        <v>183500</v>
      </c>
      <c r="AP138" s="399">
        <f>IF(ISBLANK('RESUMEN VIGILANCIA'!AO129),"",'RESUMEN VIGILANCIA'!AO129)</f>
        <v>183500</v>
      </c>
      <c r="AQ138" s="400">
        <f>IF(ISBLANK('RESUMEN VIGILANCIA'!AP129),"",'RESUMEN VIGILANCIA'!AP129)</f>
        <v>183500</v>
      </c>
      <c r="AR138" s="400">
        <f>IF(ISBLANK('RESUMEN VIGILANCIA'!AQ129),"",'RESUMEN VIGILANCIA'!AQ129)</f>
        <v>183500</v>
      </c>
      <c r="AS138" s="400" t="str">
        <f>IF(ISBLANK('RESUMEN VIGILANCIA'!AR129),"",'RESUMEN VIGILANCIA'!AR129)</f>
        <v/>
      </c>
      <c r="AT138" s="400" t="str">
        <f>IF(ISBLANK('RESUMEN VIGILANCIA'!AS129),"",'RESUMEN VIGILANCIA'!AS129)</f>
        <v/>
      </c>
      <c r="AU138" s="400" t="str">
        <f>IF(ISBLANK('RESUMEN VIGILANCIA'!AT129),"",'RESUMEN VIGILANCIA'!AT129)</f>
        <v/>
      </c>
      <c r="AV138" s="400" t="str">
        <f>IF(ISBLANK('RESUMEN VIGILANCIA'!AU129),"",'RESUMEN VIGILANCIA'!AU129)</f>
        <v/>
      </c>
      <c r="AW138" s="400" t="str">
        <f>IF(ISBLANK('RESUMEN VIGILANCIA'!AV129),"",'RESUMEN VIGILANCIA'!AV129)</f>
        <v/>
      </c>
      <c r="AX138" s="400" t="str">
        <f>IF(ISBLANK('RESUMEN VIGILANCIA'!AW129),"",'RESUMEN VIGILANCIA'!AW129)</f>
        <v/>
      </c>
      <c r="AY138" s="400" t="str">
        <f>IF(ISBLANK('RESUMEN VIGILANCIA'!AX129),"",'RESUMEN VIGILANCIA'!AX129)</f>
        <v/>
      </c>
      <c r="AZ138" s="400" t="str">
        <f>IF(ISBLANK('RESUMEN VIGILANCIA'!AY129),"",'RESUMEN VIGILANCIA'!AY129)</f>
        <v/>
      </c>
      <c r="BA138" s="401" t="str">
        <f>IF(ISBLANK('RESUMEN VIGILANCIA'!AZ129),"",'RESUMEN VIGILANCIA'!AZ129)</f>
        <v/>
      </c>
      <c r="BB138" s="243">
        <f t="shared" ref="BB138:BB144" si="12">SUM(E138:AO138)</f>
        <v>368084.25</v>
      </c>
      <c r="BC138" s="112">
        <v>43282</v>
      </c>
      <c r="BD138" s="112"/>
    </row>
    <row r="139" spans="1:56" s="29" customFormat="1" ht="20.100000000000001" customHeight="1" x14ac:dyDescent="0.25">
      <c r="A139" s="30" t="str">
        <f>'RESUMEN VIGILANCIA'!A124</f>
        <v>Familia López Hermoso</v>
      </c>
      <c r="B139" s="31" t="str">
        <f>'RESUMEN VIGILANCIA'!B124</f>
        <v>Calle Güigüe Nro. 89-79</v>
      </c>
      <c r="C139" s="452" t="s">
        <v>1269</v>
      </c>
      <c r="D139" s="460" t="s">
        <v>17</v>
      </c>
      <c r="E139" s="440" t="str">
        <f>IF(ISBLANK('RESUMEN VIGILANCIA'!D124),"",'RESUMEN VIGILANCIA'!D124)</f>
        <v/>
      </c>
      <c r="F139" s="270">
        <f>IF(ISBLANK('RESUMEN VIGILANCIA'!E124),"",'RESUMEN VIGILANCIA'!E124)</f>
        <v>0.17</v>
      </c>
      <c r="G139" s="182">
        <f>IF(ISBLANK('RESUMEN VIGILANCIA'!F124),"",'RESUMEN VIGILANCIA'!F124)</f>
        <v>0.17</v>
      </c>
      <c r="H139" s="182">
        <f>IF(ISBLANK('RESUMEN VIGILANCIA'!G124),"",'RESUMEN VIGILANCIA'!G124)</f>
        <v>0.17</v>
      </c>
      <c r="I139" s="182">
        <f>IF(ISBLANK('RESUMEN VIGILANCIA'!H124),"",'RESUMEN VIGILANCIA'!H124)</f>
        <v>0.17</v>
      </c>
      <c r="J139" s="182">
        <f>IF(ISBLANK('RESUMEN VIGILANCIA'!I124),"",'RESUMEN VIGILANCIA'!I124)</f>
        <v>0.26</v>
      </c>
      <c r="K139" s="182">
        <f>IF(ISBLANK('RESUMEN VIGILANCIA'!J124),"",'RESUMEN VIGILANCIA'!J124)</f>
        <v>0.26</v>
      </c>
      <c r="L139" s="182">
        <f>IF(ISBLANK('RESUMEN VIGILANCIA'!K124),"",'RESUMEN VIGILANCIA'!K124)</f>
        <v>0.35</v>
      </c>
      <c r="M139" s="182">
        <f>IF(ISBLANK('RESUMEN VIGILANCIA'!L124),"",'RESUMEN VIGILANCIA'!L124)</f>
        <v>0.35</v>
      </c>
      <c r="N139" s="182">
        <f>IF(ISBLANK('RESUMEN VIGILANCIA'!M124),"",'RESUMEN VIGILANCIA'!M124)</f>
        <v>0.35</v>
      </c>
      <c r="O139" s="182">
        <f>IF(ISBLANK('RESUMEN VIGILANCIA'!N124),"",'RESUMEN VIGILANCIA'!N124)</f>
        <v>0.35</v>
      </c>
      <c r="P139" s="271">
        <f>IF(ISBLANK('RESUMEN VIGILANCIA'!O124),"",'RESUMEN VIGILANCIA'!O124)</f>
        <v>0.5</v>
      </c>
      <c r="Q139" s="180">
        <f>IF(ISBLANK('RESUMEN VIGILANCIA'!P124),"",'RESUMEN VIGILANCIA'!P124)</f>
        <v>0.5</v>
      </c>
      <c r="R139" s="272">
        <f>IF(ISBLANK('RESUMEN VIGILANCIA'!Q124),"",'RESUMEN VIGILANCIA'!Q124)</f>
        <v>0.8</v>
      </c>
      <c r="S139" s="271">
        <f>IF(ISBLANK('RESUMEN VIGILANCIA'!R124),"",'RESUMEN VIGILANCIA'!R124)</f>
        <v>0.8</v>
      </c>
      <c r="T139" s="271">
        <f>IF(ISBLANK('RESUMEN VIGILANCIA'!S124),"",'RESUMEN VIGILANCIA'!S124)</f>
        <v>1.4</v>
      </c>
      <c r="U139" s="271">
        <f>IF(ISBLANK('RESUMEN VIGILANCIA'!T124),"",'RESUMEN VIGILANCIA'!T124)</f>
        <v>1.4</v>
      </c>
      <c r="V139" s="271">
        <f>IF(ISBLANK('RESUMEN VIGILANCIA'!U124),"",'RESUMEN VIGILANCIA'!U124)</f>
        <v>4</v>
      </c>
      <c r="W139" s="271">
        <f>IF(ISBLANK('RESUMEN VIGILANCIA'!V124),"",'RESUMEN VIGILANCIA'!V124)</f>
        <v>6.25</v>
      </c>
      <c r="X139" s="271">
        <f>IF(ISBLANK('RESUMEN VIGILANCIA'!W124),"",'RESUMEN VIGILANCIA'!W124)</f>
        <v>10</v>
      </c>
      <c r="Y139" s="271">
        <f>IF(ISBLANK('RESUMEN VIGILANCIA'!X124),"",'RESUMEN VIGILANCIA'!X124)</f>
        <v>12</v>
      </c>
      <c r="Z139" s="481">
        <f>IF(ISBLANK('RESUMEN VIGILANCIA'!Y124),"",'RESUMEN VIGILANCIA'!Y124)</f>
        <v>320</v>
      </c>
      <c r="AA139" s="481">
        <f>IF(ISBLANK('RESUMEN VIGILANCIA'!Z124),"",'RESUMEN VIGILANCIA'!Z124)</f>
        <v>320</v>
      </c>
      <c r="AB139" s="481">
        <f>IF(ISBLANK('RESUMEN VIGILANCIA'!AA124),"",'RESUMEN VIGILANCIA'!AA124)</f>
        <v>320</v>
      </c>
      <c r="AC139" s="482">
        <f>IF(ISBLANK('RESUMEN VIGILANCIA'!AB124),"",'RESUMEN VIGILANCIA'!AB124)</f>
        <v>811.15</v>
      </c>
      <c r="AD139" s="399">
        <f>IF(ISBLANK('RESUMEN VIGILANCIA'!AC124),"",'RESUMEN VIGILANCIA'!AC124)</f>
        <v>3000</v>
      </c>
      <c r="AE139" s="400">
        <f>IF(ISBLANK('RESUMEN VIGILANCIA'!AD124),"",'RESUMEN VIGILANCIA'!AD124)</f>
        <v>3000</v>
      </c>
      <c r="AF139" s="400">
        <f>IF(ISBLANK('RESUMEN VIGILANCIA'!AE124),"",'RESUMEN VIGILANCIA'!AE124)</f>
        <v>3000</v>
      </c>
      <c r="AG139" s="400">
        <f>IF(ISBLANK('RESUMEN VIGILANCIA'!AF124),"",'RESUMEN VIGILANCIA'!AF124)</f>
        <v>5000</v>
      </c>
      <c r="AH139" s="400">
        <f>IF(ISBLANK('RESUMEN VIGILANCIA'!AG124),"",'RESUMEN VIGILANCIA'!AG124)</f>
        <v>8000</v>
      </c>
      <c r="AI139" s="400">
        <f>IF(ISBLANK('RESUMEN VIGILANCIA'!AH124),"",'RESUMEN VIGILANCIA'!AH124)</f>
        <v>8000</v>
      </c>
      <c r="AJ139" s="400">
        <f>IF(ISBLANK('RESUMEN VIGILANCIA'!AI124),"",'RESUMEN VIGILANCIA'!AI124)</f>
        <v>10000</v>
      </c>
      <c r="AK139" s="400">
        <f>IF(ISBLANK('RESUMEN VIGILANCIA'!AJ124),"",'RESUMEN VIGILANCIA'!AJ124)</f>
        <v>10000</v>
      </c>
      <c r="AL139" s="400">
        <f>IF(ISBLANK('RESUMEN VIGILANCIA'!AK124),"",'RESUMEN VIGILANCIA'!AK124)</f>
        <v>19800</v>
      </c>
      <c r="AM139" s="400">
        <f>IF(ISBLANK('RESUMEN VIGILANCIA'!AL124),"",'RESUMEN VIGILANCIA'!AL124)</f>
        <v>47000</v>
      </c>
      <c r="AN139" s="400">
        <f>IF(ISBLANK('RESUMEN VIGILANCIA'!AM124),"",'RESUMEN VIGILANCIA'!AM124)</f>
        <v>73500</v>
      </c>
      <c r="AO139" s="401">
        <f>IF(ISBLANK('RESUMEN VIGILANCIA'!AN124),"",'RESUMEN VIGILANCIA'!AN124)</f>
        <v>105250</v>
      </c>
      <c r="AP139" s="399">
        <f>IF(ISBLANK('RESUMEN VIGILANCIA'!AO124),"",'RESUMEN VIGILANCIA'!AO124)</f>
        <v>137000</v>
      </c>
      <c r="AQ139" s="400">
        <f>IF(ISBLANK('RESUMEN VIGILANCIA'!AP124),"",'RESUMEN VIGILANCIA'!AP124)</f>
        <v>137000</v>
      </c>
      <c r="AR139" s="400" t="str">
        <f>IF(ISBLANK('RESUMEN VIGILANCIA'!AQ124),"",'RESUMEN VIGILANCIA'!AQ124)</f>
        <v/>
      </c>
      <c r="AS139" s="400" t="str">
        <f>IF(ISBLANK('RESUMEN VIGILANCIA'!AR124),"",'RESUMEN VIGILANCIA'!AR124)</f>
        <v/>
      </c>
      <c r="AT139" s="400" t="str">
        <f>IF(ISBLANK('RESUMEN VIGILANCIA'!AS124),"",'RESUMEN VIGILANCIA'!AS124)</f>
        <v/>
      </c>
      <c r="AU139" s="400" t="str">
        <f>IF(ISBLANK('RESUMEN VIGILANCIA'!AT124),"",'RESUMEN VIGILANCIA'!AT124)</f>
        <v/>
      </c>
      <c r="AV139" s="400" t="str">
        <f>IF(ISBLANK('RESUMEN VIGILANCIA'!AU124),"",'RESUMEN VIGILANCIA'!AU124)</f>
        <v/>
      </c>
      <c r="AW139" s="400" t="str">
        <f>IF(ISBLANK('RESUMEN VIGILANCIA'!AV124),"",'RESUMEN VIGILANCIA'!AV124)</f>
        <v/>
      </c>
      <c r="AX139" s="400" t="str">
        <f>IF(ISBLANK('RESUMEN VIGILANCIA'!AW124),"",'RESUMEN VIGILANCIA'!AW124)</f>
        <v/>
      </c>
      <c r="AY139" s="400" t="str">
        <f>IF(ISBLANK('RESUMEN VIGILANCIA'!AX124),"",'RESUMEN VIGILANCIA'!AX124)</f>
        <v/>
      </c>
      <c r="AZ139" s="400" t="str">
        <f>IF(ISBLANK('RESUMEN VIGILANCIA'!AY124),"",'RESUMEN VIGILANCIA'!AY124)</f>
        <v/>
      </c>
      <c r="BA139" s="401" t="str">
        <f>IF(ISBLANK('RESUMEN VIGILANCIA'!AZ124),"",'RESUMEN VIGILANCIA'!AZ124)</f>
        <v/>
      </c>
      <c r="BB139" s="243">
        <f t="shared" si="12"/>
        <v>297361.40000000002</v>
      </c>
      <c r="BC139" s="112"/>
      <c r="BD139" s="112"/>
    </row>
    <row r="140" spans="1:56" s="29" customFormat="1" ht="20.100000000000001" customHeight="1" x14ac:dyDescent="0.25">
      <c r="A140" s="33" t="str">
        <f>'RESUMEN VIGILANCIA'!A112</f>
        <v>Familia Rodríguez Landaeta</v>
      </c>
      <c r="B140" s="34" t="str">
        <f>'RESUMEN VIGILANCIA'!B112</f>
        <v>Calle Güigüe Nro. 89-29</v>
      </c>
      <c r="C140" s="451" t="s">
        <v>1271</v>
      </c>
      <c r="D140" s="461" t="s">
        <v>1268</v>
      </c>
      <c r="E140" s="439" t="str">
        <f>IF(ISBLANK('RESUMEN VIGILANCIA'!D112),"",'RESUMEN VIGILANCIA'!D112)</f>
        <v/>
      </c>
      <c r="F140" s="267" t="str">
        <f>IF(ISBLANK('RESUMEN VIGILANCIA'!E112),"",'RESUMEN VIGILANCIA'!E112)</f>
        <v/>
      </c>
      <c r="G140" s="189" t="str">
        <f>IF(ISBLANK('RESUMEN VIGILANCIA'!F112),"",'RESUMEN VIGILANCIA'!F112)</f>
        <v/>
      </c>
      <c r="H140" s="189" t="str">
        <f>IF(ISBLANK('RESUMEN VIGILANCIA'!G112),"",'RESUMEN VIGILANCIA'!G112)</f>
        <v/>
      </c>
      <c r="I140" s="189">
        <f>IF(ISBLANK('RESUMEN VIGILANCIA'!H112),"",'RESUMEN VIGILANCIA'!H112)</f>
        <v>0.1</v>
      </c>
      <c r="J140" s="189">
        <f>IF(ISBLANK('RESUMEN VIGILANCIA'!I112),"",'RESUMEN VIGILANCIA'!I112)</f>
        <v>0.1</v>
      </c>
      <c r="K140" s="189">
        <f>IF(ISBLANK('RESUMEN VIGILANCIA'!J112),"",'RESUMEN VIGILANCIA'!J112)</f>
        <v>0.13</v>
      </c>
      <c r="L140" s="189">
        <f>IF(ISBLANK('RESUMEN VIGILANCIA'!K112),"",'RESUMEN VIGILANCIA'!K112)</f>
        <v>0.15</v>
      </c>
      <c r="M140" s="189">
        <f>IF(ISBLANK('RESUMEN VIGILANCIA'!L112),"",'RESUMEN VIGILANCIA'!L112)</f>
        <v>0.15</v>
      </c>
      <c r="N140" s="189">
        <f>IF(ISBLANK('RESUMEN VIGILANCIA'!M112),"",'RESUMEN VIGILANCIA'!M112)</f>
        <v>0.17</v>
      </c>
      <c r="O140" s="189">
        <f>IF(ISBLANK('RESUMEN VIGILANCIA'!N112),"",'RESUMEN VIGILANCIA'!N112)</f>
        <v>0.15</v>
      </c>
      <c r="P140" s="268">
        <f>IF(ISBLANK('RESUMEN VIGILANCIA'!O112),"",'RESUMEN VIGILANCIA'!O112)</f>
        <v>0.15</v>
      </c>
      <c r="Q140" s="187">
        <f>IF(ISBLANK('RESUMEN VIGILANCIA'!P112),"",'RESUMEN VIGILANCIA'!P112)</f>
        <v>0.17</v>
      </c>
      <c r="R140" s="269">
        <f>IF(ISBLANK('RESUMEN VIGILANCIA'!Q112),"",'RESUMEN VIGILANCIA'!Q112)</f>
        <v>0.4</v>
      </c>
      <c r="S140" s="268">
        <f>IF(ISBLANK('RESUMEN VIGILANCIA'!R112),"",'RESUMEN VIGILANCIA'!R112)</f>
        <v>0.4</v>
      </c>
      <c r="T140" s="268">
        <f>IF(ISBLANK('RESUMEN VIGILANCIA'!S112),"",'RESUMEN VIGILANCIA'!S112)</f>
        <v>0.8</v>
      </c>
      <c r="U140" s="268">
        <f>IF(ISBLANK('RESUMEN VIGILANCIA'!T112),"",'RESUMEN VIGILANCIA'!T112)</f>
        <v>0.8</v>
      </c>
      <c r="V140" s="268">
        <f>IF(ISBLANK('RESUMEN VIGILANCIA'!U112),"",'RESUMEN VIGILANCIA'!U112)</f>
        <v>2</v>
      </c>
      <c r="W140" s="268">
        <f>IF(ISBLANK('RESUMEN VIGILANCIA'!V112),"",'RESUMEN VIGILANCIA'!V112)</f>
        <v>3</v>
      </c>
      <c r="X140" s="268">
        <f>IF(ISBLANK('RESUMEN VIGILANCIA'!W112),"",'RESUMEN VIGILANCIA'!W112)</f>
        <v>5</v>
      </c>
      <c r="Y140" s="268">
        <f>IF(ISBLANK('RESUMEN VIGILANCIA'!X112),"",'RESUMEN VIGILANCIA'!X112)</f>
        <v>12</v>
      </c>
      <c r="Z140" s="485">
        <f>IF(ISBLANK('RESUMEN VIGILANCIA'!Y112),"",'RESUMEN VIGILANCIA'!Y112)</f>
        <v>320</v>
      </c>
      <c r="AA140" s="485">
        <f>IF(ISBLANK('RESUMEN VIGILANCIA'!Z112),"",'RESUMEN VIGILANCIA'!Z112)</f>
        <v>250</v>
      </c>
      <c r="AB140" s="485">
        <f>IF(ISBLANK('RESUMEN VIGILANCIA'!AA112),"",'RESUMEN VIGILANCIA'!AA112)</f>
        <v>250</v>
      </c>
      <c r="AC140" s="486">
        <f>IF(ISBLANK('RESUMEN VIGILANCIA'!AB112),"",'RESUMEN VIGILANCIA'!AB112)</f>
        <v>400</v>
      </c>
      <c r="AD140" s="396">
        <f>IF(ISBLANK('RESUMEN VIGILANCIA'!AC112),"",'RESUMEN VIGILANCIA'!AC112)</f>
        <v>600</v>
      </c>
      <c r="AE140" s="397">
        <f>IF(ISBLANK('RESUMEN VIGILANCIA'!AD112),"",'RESUMEN VIGILANCIA'!AD112)</f>
        <v>1500</v>
      </c>
      <c r="AF140" s="397">
        <f>IF(ISBLANK('RESUMEN VIGILANCIA'!AE112),"",'RESUMEN VIGILANCIA'!AE112)</f>
        <v>2000</v>
      </c>
      <c r="AG140" s="397">
        <f>IF(ISBLANK('RESUMEN VIGILANCIA'!AF112),"",'RESUMEN VIGILANCIA'!AF112)</f>
        <v>2500</v>
      </c>
      <c r="AH140" s="397">
        <f>IF(ISBLANK('RESUMEN VIGILANCIA'!AG112),"",'RESUMEN VIGILANCIA'!AG112)</f>
        <v>2500</v>
      </c>
      <c r="AI140" s="397">
        <f>IF(ISBLANK('RESUMEN VIGILANCIA'!AH112),"",'RESUMEN VIGILANCIA'!AH112)</f>
        <v>5000</v>
      </c>
      <c r="AJ140" s="397">
        <f>IF(ISBLANK('RESUMEN VIGILANCIA'!AI112),"",'RESUMEN VIGILANCIA'!AI112)</f>
        <v>5000</v>
      </c>
      <c r="AK140" s="397">
        <f>IF(ISBLANK('RESUMEN VIGILANCIA'!AJ112),"",'RESUMEN VIGILANCIA'!AJ112)</f>
        <v>5000</v>
      </c>
      <c r="AL140" s="397">
        <f>IF(ISBLANK('RESUMEN VIGILANCIA'!AK112),"",'RESUMEN VIGILANCIA'!AK112)</f>
        <v>10000</v>
      </c>
      <c r="AM140" s="397">
        <f>IF(ISBLANK('RESUMEN VIGILANCIA'!AL112),"",'RESUMEN VIGILANCIA'!AL112)</f>
        <v>10000</v>
      </c>
      <c r="AN140" s="397">
        <f>IF(ISBLANK('RESUMEN VIGILANCIA'!AM112),"",'RESUMEN VIGILANCIA'!AM112)</f>
        <v>25000</v>
      </c>
      <c r="AO140" s="398">
        <f>IF(ISBLANK('RESUMEN VIGILANCIA'!AN112),"",'RESUMEN VIGILANCIA'!AN112)</f>
        <v>55600</v>
      </c>
      <c r="AP140" s="396">
        <f>IF(ISBLANK('RESUMEN VIGILANCIA'!AO112),"",'RESUMEN VIGILANCIA'!AO112)</f>
        <v>55600</v>
      </c>
      <c r="AQ140" s="397">
        <f>IF(ISBLANK('RESUMEN VIGILANCIA'!AP112),"",'RESUMEN VIGILANCIA'!AP112)</f>
        <v>55600</v>
      </c>
      <c r="AR140" s="397" t="str">
        <f>IF(ISBLANK('RESUMEN VIGILANCIA'!AQ112),"",'RESUMEN VIGILANCIA'!AQ112)</f>
        <v/>
      </c>
      <c r="AS140" s="397" t="str">
        <f>IF(ISBLANK('RESUMEN VIGILANCIA'!AR112),"",'RESUMEN VIGILANCIA'!AR112)</f>
        <v/>
      </c>
      <c r="AT140" s="397" t="str">
        <f>IF(ISBLANK('RESUMEN VIGILANCIA'!AS112),"",'RESUMEN VIGILANCIA'!AS112)</f>
        <v/>
      </c>
      <c r="AU140" s="397" t="str">
        <f>IF(ISBLANK('RESUMEN VIGILANCIA'!AT112),"",'RESUMEN VIGILANCIA'!AT112)</f>
        <v/>
      </c>
      <c r="AV140" s="397" t="str">
        <f>IF(ISBLANK('RESUMEN VIGILANCIA'!AU112),"",'RESUMEN VIGILANCIA'!AU112)</f>
        <v/>
      </c>
      <c r="AW140" s="397" t="str">
        <f>IF(ISBLANK('RESUMEN VIGILANCIA'!AV112),"",'RESUMEN VIGILANCIA'!AV112)</f>
        <v/>
      </c>
      <c r="AX140" s="397" t="str">
        <f>IF(ISBLANK('RESUMEN VIGILANCIA'!AW112),"",'RESUMEN VIGILANCIA'!AW112)</f>
        <v/>
      </c>
      <c r="AY140" s="397" t="str">
        <f>IF(ISBLANK('RESUMEN VIGILANCIA'!AX112),"",'RESUMEN VIGILANCIA'!AX112)</f>
        <v/>
      </c>
      <c r="AZ140" s="397" t="str">
        <f>IF(ISBLANK('RESUMEN VIGILANCIA'!AY112),"",'RESUMEN VIGILANCIA'!AY112)</f>
        <v/>
      </c>
      <c r="BA140" s="398" t="str">
        <f>IF(ISBLANK('RESUMEN VIGILANCIA'!AZ112),"",'RESUMEN VIGILANCIA'!AZ112)</f>
        <v/>
      </c>
      <c r="BB140" s="242">
        <f t="shared" si="12"/>
        <v>125945.67</v>
      </c>
      <c r="BC140" s="111"/>
      <c r="BD140" s="111"/>
    </row>
    <row r="141" spans="1:56" s="29" customFormat="1" ht="20.100000000000001" customHeight="1" x14ac:dyDescent="0.25">
      <c r="A141" s="54" t="str">
        <f>'RESUMEN VIGILANCIA'!A92</f>
        <v>Colegio El Trigal</v>
      </c>
      <c r="B141" s="55" t="str">
        <f>'RESUMEN VIGILANCIA'!B92</f>
        <v>Calle Güigüe Nros. 88-71 y 88-81</v>
      </c>
      <c r="C141" s="452" t="s">
        <v>1269</v>
      </c>
      <c r="D141" s="460" t="s">
        <v>17</v>
      </c>
      <c r="E141" s="440" t="str">
        <f>IF(ISBLANK('RESUMEN VIGILANCIA'!D92),"",'RESUMEN VIGILANCIA'!D92)</f>
        <v/>
      </c>
      <c r="F141" s="270">
        <f>IF(ISBLANK('RESUMEN VIGILANCIA'!E92),"",'RESUMEN VIGILANCIA'!E92)</f>
        <v>0.30000000000000004</v>
      </c>
      <c r="G141" s="182">
        <f>IF(ISBLANK('RESUMEN VIGILANCIA'!F92),"",'RESUMEN VIGILANCIA'!F92)</f>
        <v>0.3</v>
      </c>
      <c r="H141" s="182">
        <f>IF(ISBLANK('RESUMEN VIGILANCIA'!G92),"",'RESUMEN VIGILANCIA'!G92)</f>
        <v>0.3</v>
      </c>
      <c r="I141" s="182">
        <f>IF(ISBLANK('RESUMEN VIGILANCIA'!H92),"",'RESUMEN VIGILANCIA'!H92)</f>
        <v>0.3</v>
      </c>
      <c r="J141" s="182">
        <f>IF(ISBLANK('RESUMEN VIGILANCIA'!I92),"",'RESUMEN VIGILANCIA'!I92)</f>
        <v>0.4</v>
      </c>
      <c r="K141" s="182">
        <f>IF(ISBLANK('RESUMEN VIGILANCIA'!J92),"",'RESUMEN VIGILANCIA'!J92)</f>
        <v>0.4</v>
      </c>
      <c r="L141" s="182">
        <f>IF(ISBLANK('RESUMEN VIGILANCIA'!K92),"",'RESUMEN VIGILANCIA'!K92)</f>
        <v>0.54</v>
      </c>
      <c r="M141" s="182">
        <f>IF(ISBLANK('RESUMEN VIGILANCIA'!L92),"",'RESUMEN VIGILANCIA'!L92)</f>
        <v>0.54</v>
      </c>
      <c r="N141" s="182">
        <f>IF(ISBLANK('RESUMEN VIGILANCIA'!M92),"",'RESUMEN VIGILANCIA'!M92)</f>
        <v>0.54</v>
      </c>
      <c r="O141" s="182">
        <f>IF(ISBLANK('RESUMEN VIGILANCIA'!N92),"",'RESUMEN VIGILANCIA'!N92)</f>
        <v>0.54</v>
      </c>
      <c r="P141" s="271">
        <f>IF(ISBLANK('RESUMEN VIGILANCIA'!O92),"",'RESUMEN VIGILANCIA'!O92)</f>
        <v>0.71</v>
      </c>
      <c r="Q141" s="180">
        <f>IF(ISBLANK('RESUMEN VIGILANCIA'!P92),"",'RESUMEN VIGILANCIA'!P92)</f>
        <v>0.71</v>
      </c>
      <c r="R141" s="272">
        <f>IF(ISBLANK('RESUMEN VIGILANCIA'!Q92),"",'RESUMEN VIGILANCIA'!Q92)</f>
        <v>1.1359999999999999</v>
      </c>
      <c r="S141" s="271">
        <f>IF(ISBLANK('RESUMEN VIGILANCIA'!R92),"",'RESUMEN VIGILANCIA'!R92)</f>
        <v>1.1359999999999999</v>
      </c>
      <c r="T141" s="271">
        <f>IF(ISBLANK('RESUMEN VIGILANCIA'!S92),"",'RESUMEN VIGILANCIA'!S92)</f>
        <v>2</v>
      </c>
      <c r="U141" s="271">
        <f>IF(ISBLANK('RESUMEN VIGILANCIA'!T92),"",'RESUMEN VIGILANCIA'!T92)</f>
        <v>2</v>
      </c>
      <c r="V141" s="271">
        <f>IF(ISBLANK('RESUMEN VIGILANCIA'!U92),"",'RESUMEN VIGILANCIA'!U92)</f>
        <v>5.8</v>
      </c>
      <c r="W141" s="271">
        <f>IF(ISBLANK('RESUMEN VIGILANCIA'!V92),"",'RESUMEN VIGILANCIA'!V92)</f>
        <v>9.0500000000000007</v>
      </c>
      <c r="X141" s="271">
        <f>IF(ISBLANK('RESUMEN VIGILANCIA'!W92),"",'RESUMEN VIGILANCIA'!W92)</f>
        <v>14.5</v>
      </c>
      <c r="Y141" s="271">
        <f>IF(ISBLANK('RESUMEN VIGILANCIA'!X92),"",'RESUMEN VIGILANCIA'!X92)</f>
        <v>17.399999999999999</v>
      </c>
      <c r="Z141" s="481">
        <f>IF(ISBLANK('RESUMEN VIGILANCIA'!Y92),"",'RESUMEN VIGILANCIA'!Y92)</f>
        <v>465</v>
      </c>
      <c r="AA141" s="481">
        <f>IF(ISBLANK('RESUMEN VIGILANCIA'!Z92),"",'RESUMEN VIGILANCIA'!Z92)</f>
        <v>465</v>
      </c>
      <c r="AB141" s="481">
        <f>IF(ISBLANK('RESUMEN VIGILANCIA'!AA92),"",'RESUMEN VIGILANCIA'!AA92)</f>
        <v>465</v>
      </c>
      <c r="AC141" s="482">
        <f>IF(ISBLANK('RESUMEN VIGILANCIA'!AB92),"",'RESUMEN VIGILANCIA'!AB92)</f>
        <v>1160</v>
      </c>
      <c r="AD141" s="399">
        <f>IF(ISBLANK('RESUMEN VIGILANCIA'!AC92),"",'RESUMEN VIGILANCIA'!AC92)</f>
        <v>4350</v>
      </c>
      <c r="AE141" s="400">
        <f>IF(ISBLANK('RESUMEN VIGILANCIA'!AD92),"",'RESUMEN VIGILANCIA'!AD92)</f>
        <v>4350</v>
      </c>
      <c r="AF141" s="400">
        <f>IF(ISBLANK('RESUMEN VIGILANCIA'!AE92),"",'RESUMEN VIGILANCIA'!AE92)</f>
        <v>4350</v>
      </c>
      <c r="AG141" s="400">
        <f>IF(ISBLANK('RESUMEN VIGILANCIA'!AF92),"",'RESUMEN VIGILANCIA'!AF92)</f>
        <v>7250</v>
      </c>
      <c r="AH141" s="400">
        <f>IF(ISBLANK('RESUMEN VIGILANCIA'!AG92),"",'RESUMEN VIGILANCIA'!AG92)</f>
        <v>11600</v>
      </c>
      <c r="AI141" s="400">
        <f>IF(ISBLANK('RESUMEN VIGILANCIA'!AH92),"",'RESUMEN VIGILANCIA'!AH92)</f>
        <v>11600</v>
      </c>
      <c r="AJ141" s="400">
        <f>IF(ISBLANK('RESUMEN VIGILANCIA'!AI92),"",'RESUMEN VIGILANCIA'!AI92)</f>
        <v>14500</v>
      </c>
      <c r="AK141" s="400">
        <f>IF(ISBLANK('RESUMEN VIGILANCIA'!AJ92),"",'RESUMEN VIGILANCIA'!AJ92)</f>
        <v>14500</v>
      </c>
      <c r="AL141" s="400">
        <f>IF(ISBLANK('RESUMEN VIGILANCIA'!AK92),"",'RESUMEN VIGILANCIA'!AK92)</f>
        <v>29725</v>
      </c>
      <c r="AM141" s="400">
        <f>IF(ISBLANK('RESUMEN VIGILANCIA'!AL92),"",'RESUMEN VIGILANCIA'!AL92)</f>
        <v>68150</v>
      </c>
      <c r="AN141" s="400">
        <f>IF(ISBLANK('RESUMEN VIGILANCIA'!AM92),"",'RESUMEN VIGILANCIA'!AM92)</f>
        <v>118540</v>
      </c>
      <c r="AO141" s="401">
        <f>IF(ISBLANK('RESUMEN VIGILANCIA'!AN92),"",'RESUMEN VIGILANCIA'!AN92)</f>
        <v>141375</v>
      </c>
      <c r="AP141" s="399">
        <f>IF(ISBLANK('RESUMEN VIGILANCIA'!AO92),"",'RESUMEN VIGILANCIA'!AO92)</f>
        <v>197575</v>
      </c>
      <c r="AQ141" s="400">
        <f>IF(ISBLANK('RESUMEN VIGILANCIA'!AP92),"",'RESUMEN VIGILANCIA'!AP92)</f>
        <v>197575</v>
      </c>
      <c r="AR141" s="400">
        <f>IF(ISBLANK('RESUMEN VIGILANCIA'!AQ92),"",'RESUMEN VIGILANCIA'!AQ92)</f>
        <v>265615</v>
      </c>
      <c r="AS141" s="400" t="str">
        <f>IF(ISBLANK('RESUMEN VIGILANCIA'!AR92),"",'RESUMEN VIGILANCIA'!AR92)</f>
        <v/>
      </c>
      <c r="AT141" s="400" t="str">
        <f>IF(ISBLANK('RESUMEN VIGILANCIA'!AS92),"",'RESUMEN VIGILANCIA'!AS92)</f>
        <v/>
      </c>
      <c r="AU141" s="400" t="str">
        <f>IF(ISBLANK('RESUMEN VIGILANCIA'!AT92),"",'RESUMEN VIGILANCIA'!AT92)</f>
        <v/>
      </c>
      <c r="AV141" s="400" t="str">
        <f>IF(ISBLANK('RESUMEN VIGILANCIA'!AU92),"",'RESUMEN VIGILANCIA'!AU92)</f>
        <v/>
      </c>
      <c r="AW141" s="400" t="str">
        <f>IF(ISBLANK('RESUMEN VIGILANCIA'!AV92),"",'RESUMEN VIGILANCIA'!AV92)</f>
        <v/>
      </c>
      <c r="AX141" s="400" t="str">
        <f>IF(ISBLANK('RESUMEN VIGILANCIA'!AW92),"",'RESUMEN VIGILANCIA'!AW92)</f>
        <v/>
      </c>
      <c r="AY141" s="400" t="str">
        <f>IF(ISBLANK('RESUMEN VIGILANCIA'!AX92),"",'RESUMEN VIGILANCIA'!AX92)</f>
        <v/>
      </c>
      <c r="AZ141" s="400" t="str">
        <f>IF(ISBLANK('RESUMEN VIGILANCIA'!AY92),"",'RESUMEN VIGILANCIA'!AY92)</f>
        <v/>
      </c>
      <c r="BA141" s="401" t="str">
        <f>IF(ISBLANK('RESUMEN VIGILANCIA'!AZ92),"",'RESUMEN VIGILANCIA'!AZ92)</f>
        <v/>
      </c>
      <c r="BB141" s="299">
        <f t="shared" si="12"/>
        <v>432903.60200000001</v>
      </c>
      <c r="BC141" s="117"/>
      <c r="BD141" s="117"/>
    </row>
    <row r="142" spans="1:56" x14ac:dyDescent="0.2">
      <c r="A142" s="43"/>
      <c r="B142" s="44" t="s">
        <v>1175</v>
      </c>
      <c r="C142" s="465"/>
      <c r="D142" s="463"/>
      <c r="E142" s="446">
        <f t="shared" ref="E142:AN142" si="13">SUM(E2:E141)</f>
        <v>0.1</v>
      </c>
      <c r="F142" s="300">
        <f t="shared" si="13"/>
        <v>10.254999999999999</v>
      </c>
      <c r="G142" s="301">
        <f t="shared" si="13"/>
        <v>10.619999999999997</v>
      </c>
      <c r="H142" s="301">
        <f t="shared" si="13"/>
        <v>10.084999999999999</v>
      </c>
      <c r="I142" s="301">
        <f t="shared" si="13"/>
        <v>10.475999999999999</v>
      </c>
      <c r="J142" s="301">
        <f t="shared" si="13"/>
        <v>15.079999999999991</v>
      </c>
      <c r="K142" s="301">
        <f t="shared" si="13"/>
        <v>15.649999999999993</v>
      </c>
      <c r="L142" s="301">
        <f t="shared" si="13"/>
        <v>20.910000000000004</v>
      </c>
      <c r="M142" s="301">
        <f t="shared" si="13"/>
        <v>21.105</v>
      </c>
      <c r="N142" s="301">
        <f t="shared" si="13"/>
        <v>20.769000000000002</v>
      </c>
      <c r="O142" s="301">
        <f t="shared" si="13"/>
        <v>21.42</v>
      </c>
      <c r="P142" s="302">
        <f t="shared" si="13"/>
        <v>30.400000000000002</v>
      </c>
      <c r="Q142" s="303">
        <f t="shared" si="13"/>
        <v>30.77</v>
      </c>
      <c r="R142" s="260">
        <f t="shared" si="13"/>
        <v>53.999999999999957</v>
      </c>
      <c r="S142" s="257">
        <f t="shared" si="13"/>
        <v>56.999999999999943</v>
      </c>
      <c r="T142" s="257">
        <f t="shared" si="13"/>
        <v>98.200000000000074</v>
      </c>
      <c r="U142" s="257">
        <f t="shared" si="13"/>
        <v>103.15000000000008</v>
      </c>
      <c r="V142" s="257">
        <f t="shared" si="13"/>
        <v>280.10000000000002</v>
      </c>
      <c r="W142" s="257">
        <f t="shared" si="13"/>
        <v>451.35</v>
      </c>
      <c r="X142" s="257">
        <f t="shared" si="13"/>
        <v>767.75</v>
      </c>
      <c r="Y142" s="257">
        <f t="shared" si="13"/>
        <v>934.85</v>
      </c>
      <c r="Z142" s="390">
        <f t="shared" si="13"/>
        <v>23201.41</v>
      </c>
      <c r="AA142" s="390">
        <f t="shared" si="13"/>
        <v>24138.5</v>
      </c>
      <c r="AB142" s="390">
        <f t="shared" si="13"/>
        <v>25420</v>
      </c>
      <c r="AC142" s="391">
        <f t="shared" si="13"/>
        <v>59421.15</v>
      </c>
      <c r="AD142" s="389">
        <f t="shared" si="13"/>
        <v>224154.2</v>
      </c>
      <c r="AE142" s="390">
        <f t="shared" si="13"/>
        <v>229490</v>
      </c>
      <c r="AF142" s="390">
        <f t="shared" si="13"/>
        <v>243715.55</v>
      </c>
      <c r="AG142" s="390">
        <f t="shared" si="13"/>
        <v>392130</v>
      </c>
      <c r="AH142" s="390">
        <f t="shared" si="13"/>
        <v>632980</v>
      </c>
      <c r="AI142" s="390">
        <f t="shared" si="13"/>
        <v>645640</v>
      </c>
      <c r="AJ142" s="390">
        <f t="shared" si="13"/>
        <v>809500</v>
      </c>
      <c r="AK142" s="390">
        <f t="shared" si="13"/>
        <v>809400</v>
      </c>
      <c r="AL142" s="390">
        <f t="shared" si="13"/>
        <v>1723176.22</v>
      </c>
      <c r="AM142" s="390">
        <f t="shared" si="13"/>
        <v>3938039</v>
      </c>
      <c r="AN142" s="390">
        <f t="shared" si="13"/>
        <v>7308121</v>
      </c>
      <c r="AO142" s="391">
        <f t="shared" ref="AO142" si="14">SUM(AO2:AO141)</f>
        <v>7509175</v>
      </c>
      <c r="AP142" s="389">
        <f t="shared" ref="AP142:AZ142" si="15">SUM(AP2:AP141)</f>
        <v>9885575</v>
      </c>
      <c r="AQ142" s="390">
        <f t="shared" si="15"/>
        <v>9784480.8000000007</v>
      </c>
      <c r="AR142" s="390">
        <f t="shared" si="15"/>
        <v>7582340</v>
      </c>
      <c r="AS142" s="390">
        <f t="shared" si="15"/>
        <v>40500</v>
      </c>
      <c r="AT142" s="390">
        <f t="shared" si="15"/>
        <v>0</v>
      </c>
      <c r="AU142" s="390">
        <f t="shared" si="15"/>
        <v>0</v>
      </c>
      <c r="AV142" s="390">
        <f t="shared" si="15"/>
        <v>0</v>
      </c>
      <c r="AW142" s="390">
        <f t="shared" si="15"/>
        <v>0</v>
      </c>
      <c r="AX142" s="390">
        <f t="shared" si="15"/>
        <v>0</v>
      </c>
      <c r="AY142" s="390">
        <f t="shared" si="15"/>
        <v>0</v>
      </c>
      <c r="AZ142" s="390">
        <f t="shared" si="15"/>
        <v>0</v>
      </c>
      <c r="BA142" s="391">
        <f t="shared" ref="BA142" si="16">SUM(BA2:BA141)</f>
        <v>0</v>
      </c>
      <c r="BB142" s="304">
        <f t="shared" si="12"/>
        <v>24600666.07</v>
      </c>
      <c r="BC142" s="118"/>
      <c r="BD142" s="118"/>
    </row>
    <row r="143" spans="1:56" x14ac:dyDescent="0.2">
      <c r="A143" s="74"/>
      <c r="B143" s="44" t="s">
        <v>1181</v>
      </c>
      <c r="C143" s="465"/>
      <c r="D143" s="463"/>
      <c r="E143" s="447">
        <f>'RESUMEN VIGILANCIA'!D143</f>
        <v>2</v>
      </c>
      <c r="F143" s="78">
        <f>'RESUMEN VIGILANCIA'!E143</f>
        <v>75</v>
      </c>
      <c r="G143" s="79">
        <f>'RESUMEN VIGILANCIA'!F143</f>
        <v>75</v>
      </c>
      <c r="H143" s="79">
        <f>'RESUMEN VIGILANCIA'!G143</f>
        <v>69</v>
      </c>
      <c r="I143" s="79">
        <f>'RESUMEN VIGILANCIA'!H143</f>
        <v>70</v>
      </c>
      <c r="J143" s="79">
        <f>'RESUMEN VIGILANCIA'!I143</f>
        <v>69</v>
      </c>
      <c r="K143" s="79">
        <f>'RESUMEN VIGILANCIA'!J143</f>
        <v>68</v>
      </c>
      <c r="L143" s="79">
        <f>'RESUMEN VIGILANCIA'!K143</f>
        <v>71</v>
      </c>
      <c r="M143" s="79">
        <f>'RESUMEN VIGILANCIA'!L143</f>
        <v>71</v>
      </c>
      <c r="N143" s="79">
        <f>'RESUMEN VIGILANCIA'!M143</f>
        <v>68</v>
      </c>
      <c r="O143" s="79">
        <f>'RESUMEN VIGILANCIA'!N143</f>
        <v>68</v>
      </c>
      <c r="P143" s="79">
        <f>'RESUMEN VIGILANCIA'!O143</f>
        <v>68</v>
      </c>
      <c r="Q143" s="77">
        <f>'RESUMEN VIGILANCIA'!P143</f>
        <v>68</v>
      </c>
      <c r="R143" s="78">
        <f>'RESUMEN VIGILANCIA'!Q143</f>
        <v>74</v>
      </c>
      <c r="S143" s="79">
        <f>'RESUMEN VIGILANCIA'!R143</f>
        <v>76</v>
      </c>
      <c r="T143" s="79">
        <f>'RESUMEN VIGILANCIA'!S143</f>
        <v>76</v>
      </c>
      <c r="U143" s="79">
        <f>'RESUMEN VIGILANCIA'!T143</f>
        <v>77</v>
      </c>
      <c r="V143" s="79">
        <f>'RESUMEN VIGILANCIA'!U143</f>
        <v>78</v>
      </c>
      <c r="W143" s="79">
        <f>'RESUMEN VIGILANCIA'!V143</f>
        <v>79</v>
      </c>
      <c r="X143" s="79">
        <f>'RESUMEN VIGILANCIA'!W143</f>
        <v>80</v>
      </c>
      <c r="Y143" s="79">
        <f>'RESUMEN VIGILANCIA'!X143</f>
        <v>78</v>
      </c>
      <c r="Z143" s="79">
        <f>'RESUMEN VIGILANCIA'!Y143</f>
        <v>75</v>
      </c>
      <c r="AA143" s="79">
        <f>'RESUMEN VIGILANCIA'!Z143</f>
        <v>77</v>
      </c>
      <c r="AB143" s="79">
        <f>'RESUMEN VIGILANCIA'!AA143</f>
        <v>76</v>
      </c>
      <c r="AC143" s="77">
        <f>'RESUMEN VIGILANCIA'!AB143</f>
        <v>76</v>
      </c>
      <c r="AD143" s="340">
        <f>'RESUMEN VIGILANCIA'!AC143</f>
        <v>78</v>
      </c>
      <c r="AE143" s="341">
        <f>'RESUMEN VIGILANCIA'!AD143</f>
        <v>78</v>
      </c>
      <c r="AF143" s="341">
        <f>'RESUMEN VIGILANCIA'!AE143</f>
        <v>79</v>
      </c>
      <c r="AG143" s="341">
        <f>'RESUMEN VIGILANCIA'!AF143</f>
        <v>80</v>
      </c>
      <c r="AH143" s="341">
        <f>'RESUMEN VIGILANCIA'!AG143</f>
        <v>81</v>
      </c>
      <c r="AI143" s="341">
        <f>'RESUMEN VIGILANCIA'!AH143</f>
        <v>81</v>
      </c>
      <c r="AJ143" s="341">
        <f>'RESUMEN VIGILANCIA'!AI143</f>
        <v>81</v>
      </c>
      <c r="AK143" s="341">
        <f>'RESUMEN VIGILANCIA'!AJ143</f>
        <v>81</v>
      </c>
      <c r="AL143" s="341">
        <f>'RESUMEN VIGILANCIA'!AK143</f>
        <v>80</v>
      </c>
      <c r="AM143" s="341">
        <f>'RESUMEN VIGILANCIA'!AL143</f>
        <v>81</v>
      </c>
      <c r="AN143" s="341">
        <f>'RESUMEN VIGILANCIA'!AM143</f>
        <v>81</v>
      </c>
      <c r="AO143" s="372">
        <f>'RESUMEN VIGILANCIA'!AN143</f>
        <v>77</v>
      </c>
      <c r="AP143" s="340">
        <f>'RESUMEN VIGILANCIA'!AO143</f>
        <v>75</v>
      </c>
      <c r="AQ143" s="341">
        <f>'RESUMEN VIGILANCIA'!AP143</f>
        <v>72</v>
      </c>
      <c r="AR143" s="341">
        <f>'RESUMEN VIGILANCIA'!AQ143</f>
        <v>43</v>
      </c>
      <c r="AS143" s="341">
        <f>'RESUMEN VIGILANCIA'!AR143</f>
        <v>2</v>
      </c>
      <c r="AT143" s="341">
        <f>'RESUMEN VIGILANCIA'!AS143</f>
        <v>0</v>
      </c>
      <c r="AU143" s="341">
        <f>'RESUMEN VIGILANCIA'!AT143</f>
        <v>0</v>
      </c>
      <c r="AV143" s="341">
        <f>'RESUMEN VIGILANCIA'!AU143</f>
        <v>0</v>
      </c>
      <c r="AW143" s="341">
        <f>'RESUMEN VIGILANCIA'!AV143</f>
        <v>0</v>
      </c>
      <c r="AX143" s="341">
        <f>'RESUMEN VIGILANCIA'!AW143</f>
        <v>0</v>
      </c>
      <c r="AY143" s="341">
        <f>'RESUMEN VIGILANCIA'!AX143</f>
        <v>0</v>
      </c>
      <c r="AZ143" s="341">
        <f>'RESUMEN VIGILANCIA'!AY143</f>
        <v>0</v>
      </c>
      <c r="BA143" s="372">
        <f>'RESUMEN VIGILANCIA'!AZ143</f>
        <v>0</v>
      </c>
      <c r="BB143" s="56">
        <f t="shared" si="12"/>
        <v>2722</v>
      </c>
      <c r="BC143" s="119"/>
      <c r="BD143" s="119"/>
    </row>
    <row r="144" spans="1:56" x14ac:dyDescent="0.2">
      <c r="A144" s="75"/>
      <c r="B144" s="76" t="s">
        <v>1182</v>
      </c>
      <c r="C144" s="465"/>
      <c r="D144" s="463"/>
      <c r="E144" s="447">
        <f>'RESUMEN VIGILANCIA'!D144</f>
        <v>0</v>
      </c>
      <c r="F144" s="78">
        <f>'RESUMEN VIGILANCIA'!E144</f>
        <v>46</v>
      </c>
      <c r="G144" s="79">
        <f>'RESUMEN VIGILANCIA'!F144</f>
        <v>50</v>
      </c>
      <c r="H144" s="79">
        <f>'RESUMEN VIGILANCIA'!G144</f>
        <v>46</v>
      </c>
      <c r="I144" s="79">
        <f>'RESUMEN VIGILANCIA'!H144</f>
        <v>52</v>
      </c>
      <c r="J144" s="79">
        <f>'RESUMEN VIGILANCIA'!I144</f>
        <v>48</v>
      </c>
      <c r="K144" s="79">
        <f>'RESUMEN VIGILANCIA'!J144</f>
        <v>51</v>
      </c>
      <c r="L144" s="79">
        <f>'RESUMEN VIGILANCIA'!K144</f>
        <v>47</v>
      </c>
      <c r="M144" s="79">
        <f>'RESUMEN VIGILANCIA'!L144</f>
        <v>50</v>
      </c>
      <c r="N144" s="79">
        <f>'RESUMEN VIGILANCIA'!M144</f>
        <v>50</v>
      </c>
      <c r="O144" s="79">
        <f>'RESUMEN VIGILANCIA'!N144</f>
        <v>52</v>
      </c>
      <c r="P144" s="79">
        <f>'RESUMEN VIGILANCIA'!O144</f>
        <v>52</v>
      </c>
      <c r="Q144" s="77">
        <f>'RESUMEN VIGILANCIA'!P144</f>
        <v>52</v>
      </c>
      <c r="R144" s="78">
        <f>'RESUMEN VIGILANCIA'!Q144</f>
        <v>59</v>
      </c>
      <c r="S144" s="79">
        <f>'RESUMEN VIGILANCIA'!R144</f>
        <v>63</v>
      </c>
      <c r="T144" s="79">
        <f>'RESUMEN VIGILANCIA'!S144</f>
        <v>61</v>
      </c>
      <c r="U144" s="79">
        <f>'RESUMEN VIGILANCIA'!T144</f>
        <v>64</v>
      </c>
      <c r="V144" s="79">
        <f>'RESUMEN VIGILANCIA'!U144</f>
        <v>64</v>
      </c>
      <c r="W144" s="79">
        <f>'RESUMEN VIGILANCIA'!V144</f>
        <v>62</v>
      </c>
      <c r="X144" s="79">
        <f>'RESUMEN VIGILANCIA'!W144</f>
        <v>73</v>
      </c>
      <c r="Y144" s="79">
        <f>'RESUMEN VIGILANCIA'!X144</f>
        <v>73</v>
      </c>
      <c r="Z144" s="79">
        <f>'RESUMEN VIGILANCIA'!Y144</f>
        <v>68</v>
      </c>
      <c r="AA144" s="79">
        <f>'RESUMEN VIGILANCIA'!Z144</f>
        <v>70</v>
      </c>
      <c r="AB144" s="79">
        <f>'RESUMEN VIGILANCIA'!AA144</f>
        <v>72</v>
      </c>
      <c r="AC144" s="77">
        <f>'RESUMEN VIGILANCIA'!AB144</f>
        <v>69</v>
      </c>
      <c r="AD144" s="340">
        <f>'RESUMEN VIGILANCIA'!AC144</f>
        <v>71</v>
      </c>
      <c r="AE144" s="341">
        <f>'RESUMEN VIGILANCIA'!AD144</f>
        <v>72</v>
      </c>
      <c r="AF144" s="341">
        <f>'RESUMEN VIGILANCIA'!AE144</f>
        <v>75</v>
      </c>
      <c r="AG144" s="341">
        <f>'RESUMEN VIGILANCIA'!AF144</f>
        <v>74</v>
      </c>
      <c r="AH144" s="341">
        <f>'RESUMEN VIGILANCIA'!AG144</f>
        <v>75</v>
      </c>
      <c r="AI144" s="341">
        <f>'RESUMEN VIGILANCIA'!AH144</f>
        <v>76</v>
      </c>
      <c r="AJ144" s="341">
        <f>'RESUMEN VIGILANCIA'!AI144</f>
        <v>75</v>
      </c>
      <c r="AK144" s="341">
        <f>'RESUMEN VIGILANCIA'!AJ144</f>
        <v>75</v>
      </c>
      <c r="AL144" s="341">
        <f>'RESUMEN VIGILANCIA'!AK144</f>
        <v>40</v>
      </c>
      <c r="AM144" s="341">
        <f>'RESUMEN VIGILANCIA'!AL144</f>
        <v>37</v>
      </c>
      <c r="AN144" s="341">
        <f>'RESUMEN VIGILANCIA'!AM144</f>
        <v>28</v>
      </c>
      <c r="AO144" s="372">
        <f>'RESUMEN VIGILANCIA'!AN144</f>
        <v>35</v>
      </c>
      <c r="AP144" s="340">
        <f>'RESUMEN VIGILANCIA'!AO144</f>
        <v>66</v>
      </c>
      <c r="AQ144" s="341">
        <f>'RESUMEN VIGILANCIA'!AP144</f>
        <v>62</v>
      </c>
      <c r="AR144" s="341">
        <f>'RESUMEN VIGILANCIA'!AQ144</f>
        <v>37</v>
      </c>
      <c r="AS144" s="341">
        <f>'RESUMEN VIGILANCIA'!AR144</f>
        <v>2</v>
      </c>
      <c r="AT144" s="341">
        <f>'RESUMEN VIGILANCIA'!AS144</f>
        <v>0</v>
      </c>
      <c r="AU144" s="341">
        <f>'RESUMEN VIGILANCIA'!AT144</f>
        <v>0</v>
      </c>
      <c r="AV144" s="341">
        <f>'RESUMEN VIGILANCIA'!AU144</f>
        <v>0</v>
      </c>
      <c r="AW144" s="341">
        <f>'RESUMEN VIGILANCIA'!AV144</f>
        <v>0</v>
      </c>
      <c r="AX144" s="341">
        <f>'RESUMEN VIGILANCIA'!AW144</f>
        <v>0</v>
      </c>
      <c r="AY144" s="341">
        <f>'RESUMEN VIGILANCIA'!AX144</f>
        <v>0</v>
      </c>
      <c r="AZ144" s="341">
        <f>'RESUMEN VIGILANCIA'!AY144</f>
        <v>0</v>
      </c>
      <c r="BA144" s="372">
        <f>'RESUMEN VIGILANCIA'!AZ144</f>
        <v>0</v>
      </c>
      <c r="BB144" s="56">
        <f t="shared" si="12"/>
        <v>2127</v>
      </c>
      <c r="BC144" s="119"/>
      <c r="BD144" s="119"/>
    </row>
    <row r="145" spans="1:56" x14ac:dyDescent="0.2">
      <c r="A145" s="511" t="s">
        <v>1184</v>
      </c>
      <c r="B145" s="57"/>
      <c r="C145" s="466"/>
      <c r="D145" s="467"/>
      <c r="E145" s="448"/>
      <c r="F145" s="260">
        <f>IF(NOT(ISBLANK('RESUMEN VIGILANCIA'!E146)),'RESUMEN VIGILANCIA'!E146,"")</f>
        <v>0.17</v>
      </c>
      <c r="G145" s="257">
        <f>IF(NOT(ISBLANK('RESUMEN VIGILANCIA'!F146)),'RESUMEN VIGILANCIA'!F146,"")</f>
        <v>0.17</v>
      </c>
      <c r="H145" s="257">
        <f>IF(NOT(ISBLANK('RESUMEN VIGILANCIA'!G146)),'RESUMEN VIGILANCIA'!G146,"")</f>
        <v>0.17</v>
      </c>
      <c r="I145" s="257">
        <f>IF(NOT(ISBLANK('RESUMEN VIGILANCIA'!H146)),'RESUMEN VIGILANCIA'!H146,"")</f>
        <v>0.17</v>
      </c>
      <c r="J145" s="257">
        <f>IF(NOT(ISBLANK('RESUMEN VIGILANCIA'!I146)),'RESUMEN VIGILANCIA'!I146,"")</f>
        <v>0.26</v>
      </c>
      <c r="K145" s="257">
        <f>IF(NOT(ISBLANK('RESUMEN VIGILANCIA'!J146)),'RESUMEN VIGILANCIA'!J146,"")</f>
        <v>0.26</v>
      </c>
      <c r="L145" s="257">
        <f>IF(NOT(ISBLANK('RESUMEN VIGILANCIA'!K146)),'RESUMEN VIGILANCIA'!K146,"")</f>
        <v>0.35</v>
      </c>
      <c r="M145" s="257">
        <f>IF(NOT(ISBLANK('RESUMEN VIGILANCIA'!L146)),'RESUMEN VIGILANCIA'!L146,"")</f>
        <v>0.35</v>
      </c>
      <c r="N145" s="257">
        <f>IF(NOT(ISBLANK('RESUMEN VIGILANCIA'!M146)),'RESUMEN VIGILANCIA'!M146,"")</f>
        <v>0.35</v>
      </c>
      <c r="O145" s="257">
        <f>IF(NOT(ISBLANK('RESUMEN VIGILANCIA'!N146)),'RESUMEN VIGILANCIA'!N146,"")</f>
        <v>0.35</v>
      </c>
      <c r="P145" s="257">
        <f>IF(NOT(ISBLANK('RESUMEN VIGILANCIA'!O146)),'RESUMEN VIGILANCIA'!O146,"")</f>
        <v>0.5</v>
      </c>
      <c r="Q145" s="255">
        <f>IF(NOT(ISBLANK('RESUMEN VIGILANCIA'!P146)),'RESUMEN VIGILANCIA'!P146,"")</f>
        <v>0.5</v>
      </c>
      <c r="R145" s="261">
        <f>IF(NOT(ISBLANK('RESUMEN VIGILANCIA'!Q146)),'RESUMEN VIGILANCIA'!Q146,"")</f>
        <v>0.8</v>
      </c>
      <c r="S145" s="262">
        <f>IF(NOT(ISBLANK('RESUMEN VIGILANCIA'!R146)),'RESUMEN VIGILANCIA'!R146,"")</f>
        <v>0.8</v>
      </c>
      <c r="T145" s="262">
        <f>IF(NOT(ISBLANK('RESUMEN VIGILANCIA'!S146)),'RESUMEN VIGILANCIA'!S146,"")</f>
        <v>1.4</v>
      </c>
      <c r="U145" s="262">
        <f>IF(NOT(ISBLANK('RESUMEN VIGILANCIA'!T146)),'RESUMEN VIGILANCIA'!T146,"")</f>
        <v>1.4</v>
      </c>
      <c r="V145" s="262">
        <f>IF(NOT(ISBLANK('RESUMEN VIGILANCIA'!U146)),'RESUMEN VIGILANCIA'!U146,"")</f>
        <v>4</v>
      </c>
      <c r="W145" s="262">
        <f>IF(NOT(ISBLANK('RESUMEN VIGILANCIA'!V146)),'RESUMEN VIGILANCIA'!V146,"")</f>
        <v>6.25</v>
      </c>
      <c r="X145" s="262">
        <f>IF(NOT(ISBLANK('RESUMEN VIGILANCIA'!W146)),'RESUMEN VIGILANCIA'!W146,"")</f>
        <v>10</v>
      </c>
      <c r="Y145" s="262">
        <f>IF(NOT(ISBLANK('RESUMEN VIGILANCIA'!X146)),'RESUMEN VIGILANCIA'!X146,"")</f>
        <v>12</v>
      </c>
      <c r="Z145" s="508">
        <f>IF(NOT(ISBLANK('RESUMEN VIGILANCIA'!Y146)),'RESUMEN VIGILANCIA'!Y146,"")</f>
        <v>320</v>
      </c>
      <c r="AA145" s="508">
        <f>IF(NOT(ISBLANK('RESUMEN VIGILANCIA'!Z146)),'RESUMEN VIGILANCIA'!Z146,"")</f>
        <v>320</v>
      </c>
      <c r="AB145" s="508">
        <f>IF(NOT(ISBLANK('RESUMEN VIGILANCIA'!AA146)),'RESUMEN VIGILANCIA'!AA146,"")</f>
        <v>320</v>
      </c>
      <c r="AC145" s="391">
        <f>IF(NOT(ISBLANK('RESUMEN VIGILANCIA'!AB146)),'RESUMEN VIGILANCIA'!AB146,"")</f>
        <v>800</v>
      </c>
      <c r="AD145" s="389">
        <f>IF(NOT(ISBLANK('RESUMEN VIGILANCIA'!AC146)),'RESUMEN VIGILANCIA'!AC146,"")</f>
        <v>3000</v>
      </c>
      <c r="AE145" s="390">
        <f>IF(NOT(ISBLANK('RESUMEN VIGILANCIA'!AD146)),'RESUMEN VIGILANCIA'!AD146,"")</f>
        <v>3000</v>
      </c>
      <c r="AF145" s="390">
        <f>IF(NOT(ISBLANK('RESUMEN VIGILANCIA'!AE146)),'RESUMEN VIGILANCIA'!AE146,"")</f>
        <v>3000</v>
      </c>
      <c r="AG145" s="390">
        <f>IF(NOT(ISBLANK('RESUMEN VIGILANCIA'!AF146)),'RESUMEN VIGILANCIA'!AF146,"")</f>
        <v>5000</v>
      </c>
      <c r="AH145" s="390">
        <f>IF(NOT(ISBLANK('RESUMEN VIGILANCIA'!AG146)),'RESUMEN VIGILANCIA'!AG146,"")</f>
        <v>8000</v>
      </c>
      <c r="AI145" s="390">
        <f>IF(NOT(ISBLANK('RESUMEN VIGILANCIA'!AH146)),'RESUMEN VIGILANCIA'!AH146,"")</f>
        <v>8000</v>
      </c>
      <c r="AJ145" s="390">
        <f>IF(NOT(ISBLANK('RESUMEN VIGILANCIA'!AI146)),'RESUMEN VIGILANCIA'!AI146,"")</f>
        <v>10000</v>
      </c>
      <c r="AK145" s="390">
        <f>IF(NOT(ISBLANK('RESUMEN VIGILANCIA'!AJ146)),'RESUMEN VIGILANCIA'!AJ146,"")</f>
        <v>10000</v>
      </c>
      <c r="AL145" s="390">
        <f>IF(NOT(ISBLANK('RESUMEN VIGILANCIA'!AK146)),'RESUMEN VIGILANCIA'!AK146,"")</f>
        <v>20720</v>
      </c>
      <c r="AM145" s="390">
        <f>IF(NOT(ISBLANK('RESUMEN VIGILANCIA'!AL146)),'RESUMEN VIGILANCIA'!AL146,"")</f>
        <v>50250</v>
      </c>
      <c r="AN145" s="390">
        <f>IF(NOT(ISBLANK('RESUMEN VIGILANCIA'!AM146)),'RESUMEN VIGILANCIA'!AM146,"")</f>
        <v>65450</v>
      </c>
      <c r="AO145" s="391">
        <f>IF(NOT(ISBLANK('RESUMEN VIGILANCIA'!AN146)),'RESUMEN VIGILANCIA'!AN146,"")</f>
        <v>100041.66666666667</v>
      </c>
      <c r="AP145" s="389">
        <f>IF(NOT(ISBLANK('RESUMEN VIGILANCIA'!AO146)),'RESUMEN VIGILANCIA'!AO146,"")</f>
        <v>130050</v>
      </c>
      <c r="AQ145" s="390">
        <f>IF(NOT(ISBLANK('RESUMEN VIGILANCIA'!AP146)),'RESUMEN VIGILANCIA'!AP146,"")</f>
        <v>136250</v>
      </c>
      <c r="AR145" s="390">
        <f>IF(NOT(ISBLANK('RESUMEN VIGILANCIA'!AQ146)),'RESUMEN VIGILANCIA'!AQ146,"")</f>
        <v>185250</v>
      </c>
      <c r="AS145" s="390">
        <f>IF(NOT(ISBLANK('RESUMEN VIGILANCIA'!AR146)),'RESUMEN VIGILANCIA'!AR146,"")</f>
        <v>0</v>
      </c>
      <c r="AT145" s="390">
        <f>IF(NOT(ISBLANK('RESUMEN VIGILANCIA'!AS146)),'RESUMEN VIGILANCIA'!AS146,"")</f>
        <v>0</v>
      </c>
      <c r="AU145" s="390">
        <f>IF(NOT(ISBLANK('RESUMEN VIGILANCIA'!AT146)),'RESUMEN VIGILANCIA'!AT146,"")</f>
        <v>0</v>
      </c>
      <c r="AV145" s="390">
        <f>IF(NOT(ISBLANK('RESUMEN VIGILANCIA'!AU146)),'RESUMEN VIGILANCIA'!AU146,"")</f>
        <v>0</v>
      </c>
      <c r="AW145" s="390">
        <f>IF(NOT(ISBLANK('RESUMEN VIGILANCIA'!AV146)),'RESUMEN VIGILANCIA'!AV146,"")</f>
        <v>0</v>
      </c>
      <c r="AX145" s="390">
        <f>IF(NOT(ISBLANK('RESUMEN VIGILANCIA'!AW146)),'RESUMEN VIGILANCIA'!AW146,"")</f>
        <v>0</v>
      </c>
      <c r="AY145" s="390">
        <f>IF(NOT(ISBLANK('RESUMEN VIGILANCIA'!AX146)),'RESUMEN VIGILANCIA'!AX146,"")</f>
        <v>0</v>
      </c>
      <c r="AZ145" s="390">
        <f>IF(NOT(ISBLANK('RESUMEN VIGILANCIA'!AY146)),'RESUMEN VIGILANCIA'!AY146,"")</f>
        <v>0</v>
      </c>
      <c r="BA145" s="391">
        <f>IF(NOT(ISBLANK('RESUMEN VIGILANCIA'!AZ146)),'RESUMEN VIGILANCIA'!AZ146,"")</f>
        <v>0</v>
      </c>
      <c r="BB145" s="263"/>
      <c r="BC145" s="120"/>
      <c r="BD145" s="120"/>
    </row>
    <row r="146" spans="1:56" x14ac:dyDescent="0.2">
      <c r="A146" s="82" t="s">
        <v>1185</v>
      </c>
      <c r="B146" s="57"/>
      <c r="C146" s="510"/>
      <c r="D146" s="467"/>
      <c r="E146" s="448"/>
      <c r="F146" s="260">
        <f>IF(NOT(ISBLANK('RESUMEN VIGILANCIA'!E147)),'RESUMEN VIGILANCIA'!E147,"")</f>
        <v>0.12</v>
      </c>
      <c r="G146" s="257">
        <f>IF(NOT(ISBLANK('RESUMEN VIGILANCIA'!F147)),'RESUMEN VIGILANCIA'!F147,"")</f>
        <v>0.2</v>
      </c>
      <c r="H146" s="257">
        <f>IF(NOT(ISBLANK('RESUMEN VIGILANCIA'!G147)),'RESUMEN VIGILANCIA'!G147,"")</f>
        <v>0.2</v>
      </c>
      <c r="I146" s="257">
        <f>IF(NOT(ISBLANK('RESUMEN VIGILANCIA'!H147)),'RESUMEN VIGILANCIA'!H147,"")</f>
        <v>0.2</v>
      </c>
      <c r="J146" s="257">
        <f>IF(NOT(ISBLANK('RESUMEN VIGILANCIA'!I147)),'RESUMEN VIGILANCIA'!I147,"")</f>
        <v>0.3</v>
      </c>
      <c r="K146" s="257">
        <f>IF(NOT(ISBLANK('RESUMEN VIGILANCIA'!J147)),'RESUMEN VIGILANCIA'!J147,"")</f>
        <v>0.3</v>
      </c>
      <c r="L146" s="257">
        <f>IF(NOT(ISBLANK('RESUMEN VIGILANCIA'!K147)),'RESUMEN VIGILANCIA'!K147,"")</f>
        <v>0.4</v>
      </c>
      <c r="M146" s="257">
        <f>IF(NOT(ISBLANK('RESUMEN VIGILANCIA'!L147)),'RESUMEN VIGILANCIA'!L147,"")</f>
        <v>0.4</v>
      </c>
      <c r="N146" s="257">
        <f>IF(NOT(ISBLANK('RESUMEN VIGILANCIA'!M147)),'RESUMEN VIGILANCIA'!M147,"")</f>
        <v>0.4</v>
      </c>
      <c r="O146" s="257">
        <f>IF(NOT(ISBLANK('RESUMEN VIGILANCIA'!N147)),'RESUMEN VIGILANCIA'!N147,"")</f>
        <v>0.4</v>
      </c>
      <c r="P146" s="257">
        <f>IF(NOT(ISBLANK('RESUMEN VIGILANCIA'!O147)),'RESUMEN VIGILANCIA'!O147,"")</f>
        <v>0.54</v>
      </c>
      <c r="Q146" s="255">
        <f>IF(NOT(ISBLANK('RESUMEN VIGILANCIA'!P147)),'RESUMEN VIGILANCIA'!P147,"")</f>
        <v>0.54</v>
      </c>
      <c r="R146" s="261">
        <f>IF(NOT(ISBLANK('RESUMEN VIGILANCIA'!Q147)),'RESUMEN VIGILANCIA'!Q147,"")</f>
        <v>0.86399999999999999</v>
      </c>
      <c r="S146" s="262">
        <f>IF(NOT(ISBLANK('RESUMEN VIGILANCIA'!R147)),'RESUMEN VIGILANCIA'!R147,"")</f>
        <v>0.86399999999999999</v>
      </c>
      <c r="T146" s="262">
        <f>IF(NOT(ISBLANK('RESUMEN VIGILANCIA'!S147)),'RESUMEN VIGILANCIA'!S147,"")</f>
        <v>1.55</v>
      </c>
      <c r="U146" s="262">
        <f>IF(NOT(ISBLANK('RESUMEN VIGILANCIA'!T147)),'RESUMEN VIGILANCIA'!T147,"")</f>
        <v>1.55</v>
      </c>
      <c r="V146" s="262">
        <f>IF(NOT(ISBLANK('RESUMEN VIGILANCIA'!U147)),'RESUMEN VIGILANCIA'!U147,"")</f>
        <v>4.4000000000000004</v>
      </c>
      <c r="W146" s="262">
        <f>IF(NOT(ISBLANK('RESUMEN VIGILANCIA'!V147)),'RESUMEN VIGILANCIA'!V147,"")</f>
        <v>6.875</v>
      </c>
      <c r="X146" s="262">
        <f>IF(NOT(ISBLANK('RESUMEN VIGILANCIA'!W147)),'RESUMEN VIGILANCIA'!W147,"")</f>
        <v>11</v>
      </c>
      <c r="Y146" s="262">
        <f>IF(NOT(ISBLANK('RESUMEN VIGILANCIA'!X147)),'RESUMEN VIGILANCIA'!X147,"")</f>
        <v>13.2</v>
      </c>
      <c r="Z146" s="508">
        <f>IF(NOT(ISBLANK('RESUMEN VIGILANCIA'!Y147)),'RESUMEN VIGILANCIA'!Y147,"")</f>
        <v>355</v>
      </c>
      <c r="AA146" s="508">
        <f>IF(NOT(ISBLANK('RESUMEN VIGILANCIA'!Z147)),'RESUMEN VIGILANCIA'!Z147,"")</f>
        <v>355</v>
      </c>
      <c r="AB146" s="508">
        <f>IF(NOT(ISBLANK('RESUMEN VIGILANCIA'!AA147)),'RESUMEN VIGILANCIA'!AA147,"")</f>
        <v>355</v>
      </c>
      <c r="AC146" s="391">
        <f>IF(NOT(ISBLANK('RESUMEN VIGILANCIA'!AB147)),'RESUMEN VIGILANCIA'!AB147,"")</f>
        <v>880</v>
      </c>
      <c r="AD146" s="389">
        <f>IF(NOT(ISBLANK('RESUMEN VIGILANCIA'!AC147)),'RESUMEN VIGILANCIA'!AC147,"")</f>
        <v>3300</v>
      </c>
      <c r="AE146" s="390">
        <f>IF(NOT(ISBLANK('RESUMEN VIGILANCIA'!AD147)),'RESUMEN VIGILANCIA'!AD147,"")</f>
        <v>3300</v>
      </c>
      <c r="AF146" s="390">
        <f>IF(NOT(ISBLANK('RESUMEN VIGILANCIA'!AE147)),'RESUMEN VIGILANCIA'!AE147,"")</f>
        <v>3300</v>
      </c>
      <c r="AG146" s="390">
        <f>IF(NOT(ISBLANK('RESUMEN VIGILANCIA'!AF147)),'RESUMEN VIGILANCIA'!AF147,"")</f>
        <v>5500</v>
      </c>
      <c r="AH146" s="390">
        <f>IF(NOT(ISBLANK('RESUMEN VIGILANCIA'!AG147)),'RESUMEN VIGILANCIA'!AG147,"")</f>
        <v>8800</v>
      </c>
      <c r="AI146" s="390">
        <f>IF(NOT(ISBLANK('RESUMEN VIGILANCIA'!AH147)),'RESUMEN VIGILANCIA'!AH147,"")</f>
        <v>8800</v>
      </c>
      <c r="AJ146" s="390">
        <f>IF(NOT(ISBLANK('RESUMEN VIGILANCIA'!AI147)),'RESUMEN VIGILANCIA'!AI147,"")</f>
        <v>11000</v>
      </c>
      <c r="AK146" s="390">
        <f>IF(NOT(ISBLANK('RESUMEN VIGILANCIA'!AJ147)),'RESUMEN VIGILANCIA'!AJ147,"")</f>
        <v>11000</v>
      </c>
      <c r="AL146" s="390">
        <f>IF(NOT(ISBLANK('RESUMEN VIGILANCIA'!AK147)),'RESUMEN VIGILANCIA'!AK147,"")</f>
        <v>22795</v>
      </c>
      <c r="AM146" s="390">
        <f>IF(NOT(ISBLANK('RESUMEN VIGILANCIA'!AL147)),'RESUMEN VIGILANCIA'!AL147,"")</f>
        <v>55275</v>
      </c>
      <c r="AN146" s="390">
        <f>IF(NOT(ISBLANK('RESUMEN VIGILANCIA'!AM147)),'RESUMEN VIGILANCIA'!AM147,"")</f>
        <v>71995</v>
      </c>
      <c r="AO146" s="391">
        <f>IF(NOT(ISBLANK('RESUMEN VIGILANCIA'!AN147)),'RESUMEN VIGILANCIA'!AN147,"")</f>
        <v>110050</v>
      </c>
      <c r="AP146" s="389">
        <f>IF(NOT(ISBLANK('RESUMEN VIGILANCIA'!AO147)),'RESUMEN VIGILANCIA'!AO147,"")</f>
        <v>143055</v>
      </c>
      <c r="AQ146" s="390">
        <f>IF(NOT(ISBLANK('RESUMEN VIGILANCIA'!AP147)),'RESUMEN VIGILANCIA'!AP147,"")</f>
        <v>149875</v>
      </c>
      <c r="AR146" s="390">
        <f>IF(NOT(ISBLANK('RESUMEN VIGILANCIA'!AQ147)),'RESUMEN VIGILANCIA'!AQ147,"")</f>
        <v>203775</v>
      </c>
      <c r="AS146" s="390">
        <f>IF(NOT(ISBLANK('RESUMEN VIGILANCIA'!AR147)),'RESUMEN VIGILANCIA'!AR147,"")</f>
        <v>0</v>
      </c>
      <c r="AT146" s="390">
        <f>IF(NOT(ISBLANK('RESUMEN VIGILANCIA'!AS147)),'RESUMEN VIGILANCIA'!AS147,"")</f>
        <v>0</v>
      </c>
      <c r="AU146" s="390">
        <f>IF(NOT(ISBLANK('RESUMEN VIGILANCIA'!AT147)),'RESUMEN VIGILANCIA'!AT147,"")</f>
        <v>0</v>
      </c>
      <c r="AV146" s="390">
        <f>IF(NOT(ISBLANK('RESUMEN VIGILANCIA'!AU147)),'RESUMEN VIGILANCIA'!AU147,"")</f>
        <v>0</v>
      </c>
      <c r="AW146" s="390">
        <f>IF(NOT(ISBLANK('RESUMEN VIGILANCIA'!AV147)),'RESUMEN VIGILANCIA'!AV147,"")</f>
        <v>0</v>
      </c>
      <c r="AX146" s="390">
        <f>IF(NOT(ISBLANK('RESUMEN VIGILANCIA'!AW147)),'RESUMEN VIGILANCIA'!AW147,"")</f>
        <v>0</v>
      </c>
      <c r="AY146" s="390">
        <f>IF(NOT(ISBLANK('RESUMEN VIGILANCIA'!AX147)),'RESUMEN VIGILANCIA'!AX147,"")</f>
        <v>0</v>
      </c>
      <c r="AZ146" s="390">
        <f>IF(NOT(ISBLANK('RESUMEN VIGILANCIA'!AY147)),'RESUMEN VIGILANCIA'!AY147,"")</f>
        <v>0</v>
      </c>
      <c r="BA146" s="391">
        <f>IF(NOT(ISBLANK('RESUMEN VIGILANCIA'!AZ147)),'RESUMEN VIGILANCIA'!AZ147,"")</f>
        <v>0</v>
      </c>
      <c r="BB146" s="263"/>
      <c r="BC146" s="120"/>
      <c r="BD146" s="120"/>
    </row>
    <row r="147" spans="1:56" x14ac:dyDescent="0.2">
      <c r="A147" s="82" t="s">
        <v>1186</v>
      </c>
      <c r="B147" s="57"/>
      <c r="C147" s="510"/>
      <c r="D147" s="467"/>
      <c r="E147" s="448"/>
      <c r="F147" s="260">
        <f>IF(NOT(ISBLANK('RESUMEN VIGILANCIA'!E148)),'RESUMEN VIGILANCIA'!E148,"")</f>
        <v>0.3</v>
      </c>
      <c r="G147" s="257">
        <f>IF(NOT(ISBLANK('RESUMEN VIGILANCIA'!F148)),'RESUMEN VIGILANCIA'!F148,"")</f>
        <v>0.3</v>
      </c>
      <c r="H147" s="257">
        <f>IF(NOT(ISBLANK('RESUMEN VIGILANCIA'!G148)),'RESUMEN VIGILANCIA'!G148,"")</f>
        <v>0.3</v>
      </c>
      <c r="I147" s="257">
        <f>IF(NOT(ISBLANK('RESUMEN VIGILANCIA'!H148)),'RESUMEN VIGILANCIA'!H148,"")</f>
        <v>0.3</v>
      </c>
      <c r="J147" s="257">
        <f>IF(NOT(ISBLANK('RESUMEN VIGILANCIA'!I148)),'RESUMEN VIGILANCIA'!I148,"")</f>
        <v>0.4</v>
      </c>
      <c r="K147" s="257">
        <f>IF(NOT(ISBLANK('RESUMEN VIGILANCIA'!J148)),'RESUMEN VIGILANCIA'!J148,"")</f>
        <v>0.4</v>
      </c>
      <c r="L147" s="257">
        <f>IF(NOT(ISBLANK('RESUMEN VIGILANCIA'!K148)),'RESUMEN VIGILANCIA'!K148,"")</f>
        <v>0.54</v>
      </c>
      <c r="M147" s="257">
        <f>IF(NOT(ISBLANK('RESUMEN VIGILANCIA'!L148)),'RESUMEN VIGILANCIA'!L148,"")</f>
        <v>0.54</v>
      </c>
      <c r="N147" s="257">
        <f>IF(NOT(ISBLANK('RESUMEN VIGILANCIA'!M148)),'RESUMEN VIGILANCIA'!M148,"")</f>
        <v>0.54</v>
      </c>
      <c r="O147" s="257">
        <f>IF(NOT(ISBLANK('RESUMEN VIGILANCIA'!N148)),'RESUMEN VIGILANCIA'!N148,"")</f>
        <v>0.54</v>
      </c>
      <c r="P147" s="257">
        <f>IF(NOT(ISBLANK('RESUMEN VIGILANCIA'!O148)),'RESUMEN VIGILANCIA'!O148,"")</f>
        <v>0.71</v>
      </c>
      <c r="Q147" s="255">
        <f>IF(NOT(ISBLANK('RESUMEN VIGILANCIA'!P148)),'RESUMEN VIGILANCIA'!P148,"")</f>
        <v>0.71</v>
      </c>
      <c r="R147" s="261">
        <f>IF(NOT(ISBLANK('RESUMEN VIGILANCIA'!Q148)),'RESUMEN VIGILANCIA'!Q148,"")</f>
        <v>1.1359999999999999</v>
      </c>
      <c r="S147" s="262">
        <f>IF(NOT(ISBLANK('RESUMEN VIGILANCIA'!R148)),'RESUMEN VIGILANCIA'!R148,"")</f>
        <v>1.1359999999999999</v>
      </c>
      <c r="T147" s="262">
        <f>IF(NOT(ISBLANK('RESUMEN VIGILANCIA'!S148)),'RESUMEN VIGILANCIA'!S148,"")</f>
        <v>2</v>
      </c>
      <c r="U147" s="262">
        <f>IF(NOT(ISBLANK('RESUMEN VIGILANCIA'!T148)),'RESUMEN VIGILANCIA'!T148,"")</f>
        <v>2</v>
      </c>
      <c r="V147" s="262">
        <f>IF(NOT(ISBLANK('RESUMEN VIGILANCIA'!U148)),'RESUMEN VIGILANCIA'!U148,"")</f>
        <v>5.8</v>
      </c>
      <c r="W147" s="262">
        <f>IF(NOT(ISBLANK('RESUMEN VIGILANCIA'!V148)),'RESUMEN VIGILANCIA'!V148,"")</f>
        <v>9.0649999999999995</v>
      </c>
      <c r="X147" s="262">
        <f>IF(NOT(ISBLANK('RESUMEN VIGILANCIA'!W148)),'RESUMEN VIGILANCIA'!W148,"")</f>
        <v>14.5</v>
      </c>
      <c r="Y147" s="262">
        <f>IF(NOT(ISBLANK('RESUMEN VIGILANCIA'!X148)),'RESUMEN VIGILANCIA'!X148,"")</f>
        <v>17.399999999999999</v>
      </c>
      <c r="Z147" s="508">
        <f>IF(NOT(ISBLANK('RESUMEN VIGILANCIA'!Y148)),'RESUMEN VIGILANCIA'!Y148,"")</f>
        <v>465</v>
      </c>
      <c r="AA147" s="508">
        <f>IF(NOT(ISBLANK('RESUMEN VIGILANCIA'!Z148)),'RESUMEN VIGILANCIA'!Z148,"")</f>
        <v>465</v>
      </c>
      <c r="AB147" s="508">
        <f>IF(NOT(ISBLANK('RESUMEN VIGILANCIA'!AA148)),'RESUMEN VIGILANCIA'!AA148,"")</f>
        <v>465</v>
      </c>
      <c r="AC147" s="391">
        <f>IF(NOT(ISBLANK('RESUMEN VIGILANCIA'!AB148)),'RESUMEN VIGILANCIA'!AB148,"")</f>
        <v>1160</v>
      </c>
      <c r="AD147" s="389">
        <f>IF(NOT(ISBLANK('RESUMEN VIGILANCIA'!AC148)),'RESUMEN VIGILANCIA'!AC148,"")</f>
        <v>4350</v>
      </c>
      <c r="AE147" s="390">
        <f>IF(NOT(ISBLANK('RESUMEN VIGILANCIA'!AD148)),'RESUMEN VIGILANCIA'!AD148,"")</f>
        <v>4350</v>
      </c>
      <c r="AF147" s="390">
        <f>IF(NOT(ISBLANK('RESUMEN VIGILANCIA'!AE148)),'RESUMEN VIGILANCIA'!AE148,"")</f>
        <v>4350</v>
      </c>
      <c r="AG147" s="390">
        <f>IF(NOT(ISBLANK('RESUMEN VIGILANCIA'!AF148)),'RESUMEN VIGILANCIA'!AF148,"")</f>
        <v>7250</v>
      </c>
      <c r="AH147" s="390">
        <f>IF(NOT(ISBLANK('RESUMEN VIGILANCIA'!AG148)),'RESUMEN VIGILANCIA'!AG148,"")</f>
        <v>11600</v>
      </c>
      <c r="AI147" s="390">
        <f>IF(NOT(ISBLANK('RESUMEN VIGILANCIA'!AH148)),'RESUMEN VIGILANCIA'!AH148,"")</f>
        <v>11600</v>
      </c>
      <c r="AJ147" s="390">
        <f>IF(NOT(ISBLANK('RESUMEN VIGILANCIA'!AI148)),'RESUMEN VIGILANCIA'!AI148,"")</f>
        <v>14500</v>
      </c>
      <c r="AK147" s="390">
        <f>IF(NOT(ISBLANK('RESUMEN VIGILANCIA'!AJ148)),'RESUMEN VIGILANCIA'!AJ148,"")</f>
        <v>14500</v>
      </c>
      <c r="AL147" s="390">
        <f>IF(NOT(ISBLANK('RESUMEN VIGILANCIA'!AK148)),'RESUMEN VIGILANCIA'!AK148,"")</f>
        <v>30045</v>
      </c>
      <c r="AM147" s="390">
        <f>IF(NOT(ISBLANK('RESUMEN VIGILANCIA'!AL148)),'RESUMEN VIGILANCIA'!AL148,"")</f>
        <v>72865</v>
      </c>
      <c r="AN147" s="390">
        <f>IF(NOT(ISBLANK('RESUMEN VIGILANCIA'!AM148)),'RESUMEN VIGILANCIA'!AM148,"")</f>
        <v>94905</v>
      </c>
      <c r="AO147" s="391">
        <f>IF(NOT(ISBLANK('RESUMEN VIGILANCIA'!AN148)),'RESUMEN VIGILANCIA'!AN148,"")</f>
        <v>145060</v>
      </c>
      <c r="AP147" s="389">
        <f>IF(NOT(ISBLANK('RESUMEN VIGILANCIA'!AO148)),'RESUMEN VIGILANCIA'!AO148,"")</f>
        <v>188575</v>
      </c>
      <c r="AQ147" s="390">
        <f>IF(NOT(ISBLANK('RESUMEN VIGILANCIA'!AP148)),'RESUMEN VIGILANCIA'!AP148,"")</f>
        <v>197565</v>
      </c>
      <c r="AR147" s="390">
        <f>IF(NOT(ISBLANK('RESUMEN VIGILANCIA'!AQ148)),'RESUMEN VIGILANCIA'!AQ148,"")</f>
        <v>268615</v>
      </c>
      <c r="AS147" s="390">
        <f>IF(NOT(ISBLANK('RESUMEN VIGILANCIA'!AR148)),'RESUMEN VIGILANCIA'!AR148,"")</f>
        <v>0</v>
      </c>
      <c r="AT147" s="390">
        <f>IF(NOT(ISBLANK('RESUMEN VIGILANCIA'!AS148)),'RESUMEN VIGILANCIA'!AS148,"")</f>
        <v>0</v>
      </c>
      <c r="AU147" s="390">
        <f>IF(NOT(ISBLANK('RESUMEN VIGILANCIA'!AT148)),'RESUMEN VIGILANCIA'!AT148,"")</f>
        <v>0</v>
      </c>
      <c r="AV147" s="390">
        <f>IF(NOT(ISBLANK('RESUMEN VIGILANCIA'!AU148)),'RESUMEN VIGILANCIA'!AU148,"")</f>
        <v>0</v>
      </c>
      <c r="AW147" s="390">
        <f>IF(NOT(ISBLANK('RESUMEN VIGILANCIA'!AV148)),'RESUMEN VIGILANCIA'!AV148,"")</f>
        <v>0</v>
      </c>
      <c r="AX147" s="390">
        <f>IF(NOT(ISBLANK('RESUMEN VIGILANCIA'!AW148)),'RESUMEN VIGILANCIA'!AW148,"")</f>
        <v>0</v>
      </c>
      <c r="AY147" s="390">
        <f>IF(NOT(ISBLANK('RESUMEN VIGILANCIA'!AX148)),'RESUMEN VIGILANCIA'!AX148,"")</f>
        <v>0</v>
      </c>
      <c r="AZ147" s="390">
        <f>IF(NOT(ISBLANK('RESUMEN VIGILANCIA'!AY148)),'RESUMEN VIGILANCIA'!AY148,"")</f>
        <v>0</v>
      </c>
      <c r="BA147" s="391">
        <f>IF(NOT(ISBLANK('RESUMEN VIGILANCIA'!AZ148)),'RESUMEN VIGILANCIA'!AZ148,"")</f>
        <v>0</v>
      </c>
      <c r="BB147" s="263"/>
      <c r="BC147" s="120"/>
      <c r="BD147" s="120"/>
    </row>
  </sheetData>
  <autoFilter ref="A1:BB147"/>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pageSetUpPr fitToPage="1"/>
  </sheetPr>
  <dimension ref="A1:O35"/>
  <sheetViews>
    <sheetView showGridLines="0" workbookViewId="0">
      <pane ySplit="6" topLeftCell="A7" activePane="bottomLeft" state="frozen"/>
      <selection activeCell="D1" sqref="D1"/>
      <selection pane="bottomLeft" activeCell="D1" sqref="D1"/>
    </sheetView>
  </sheetViews>
  <sheetFormatPr baseColWidth="10" defaultColWidth="10.7109375" defaultRowHeight="15" x14ac:dyDescent="0.25"/>
  <cols>
    <col min="1" max="1" width="12.7109375" style="363" customWidth="1"/>
    <col min="2" max="2" width="20.42578125" style="313" customWidth="1"/>
    <col min="3" max="3" width="9.7109375" style="313" customWidth="1"/>
    <col min="4" max="5" width="13.42578125" style="313" customWidth="1"/>
    <col min="6" max="6" width="9.5703125" style="313" customWidth="1"/>
    <col min="7" max="7" width="6" style="313" customWidth="1"/>
    <col min="8" max="9" width="13.140625" style="313" customWidth="1"/>
    <col min="10" max="10" width="12.140625" style="313" customWidth="1"/>
    <col min="11" max="11" width="12.5703125" style="313" customWidth="1"/>
    <col min="12" max="12" width="15.7109375" style="313" customWidth="1"/>
    <col min="13" max="13" width="12" customWidth="1"/>
    <col min="14" max="14" width="12.140625" customWidth="1"/>
    <col min="15" max="15" width="15.7109375" customWidth="1"/>
  </cols>
  <sheetData>
    <row r="1" spans="1:15" ht="18.75" x14ac:dyDescent="0.3">
      <c r="A1" s="355" t="s">
        <v>1274</v>
      </c>
      <c r="K1" s="355" t="s">
        <v>1274</v>
      </c>
    </row>
    <row r="2" spans="1:15" s="45" customFormat="1" ht="12.75" x14ac:dyDescent="0.2">
      <c r="A2" s="356" t="s">
        <v>1275</v>
      </c>
      <c r="B2" s="357"/>
      <c r="C2" s="357"/>
      <c r="D2" s="357"/>
      <c r="E2" s="357"/>
      <c r="F2" s="357"/>
      <c r="G2" s="357"/>
      <c r="H2" s="357"/>
      <c r="I2" s="357"/>
      <c r="J2" s="357"/>
      <c r="K2" s="356" t="s">
        <v>1275</v>
      </c>
      <c r="L2" s="357"/>
    </row>
    <row r="3" spans="1:15" s="45" customFormat="1" ht="15" customHeight="1" x14ac:dyDescent="0.25">
      <c r="A3" s="576" t="s">
        <v>2</v>
      </c>
      <c r="B3" s="577" t="s">
        <v>1276</v>
      </c>
      <c r="C3" s="357"/>
      <c r="D3" s="357"/>
      <c r="E3" s="357"/>
      <c r="F3" s="357"/>
      <c r="G3" s="357"/>
      <c r="H3" s="357"/>
      <c r="I3" s="357"/>
      <c r="J3" s="357"/>
      <c r="K3" s="357"/>
      <c r="L3" s="357"/>
    </row>
    <row r="4" spans="1:15" ht="15" hidden="1" customHeight="1" x14ac:dyDescent="0.25"/>
    <row r="5" spans="1:15" ht="15" customHeight="1" x14ac:dyDescent="0.25">
      <c r="A5" s="455" t="s">
        <v>1268</v>
      </c>
      <c r="B5" s="364" t="s">
        <v>9</v>
      </c>
      <c r="C5" s="358"/>
      <c r="D5" s="358"/>
      <c r="E5" s="659"/>
      <c r="F5"/>
      <c r="G5"/>
      <c r="H5"/>
      <c r="I5"/>
      <c r="J5"/>
      <c r="K5" s="587" t="s">
        <v>1268</v>
      </c>
      <c r="L5" s="591" t="s">
        <v>1277</v>
      </c>
      <c r="M5" s="592"/>
      <c r="N5" s="592"/>
      <c r="O5" s="589"/>
    </row>
    <row r="6" spans="1:15" s="360" customFormat="1" ht="45" x14ac:dyDescent="0.25">
      <c r="A6" s="365" t="s">
        <v>3</v>
      </c>
      <c r="B6" s="359" t="s">
        <v>22</v>
      </c>
      <c r="C6" s="359" t="s">
        <v>733</v>
      </c>
      <c r="D6" s="362" t="s">
        <v>1059</v>
      </c>
      <c r="E6" s="359" t="s">
        <v>1278</v>
      </c>
      <c r="F6"/>
      <c r="G6"/>
      <c r="H6"/>
      <c r="I6"/>
      <c r="J6"/>
      <c r="K6" s="588" t="s">
        <v>3</v>
      </c>
      <c r="L6" s="586" t="s">
        <v>22</v>
      </c>
      <c r="M6" s="586" t="s">
        <v>733</v>
      </c>
      <c r="N6" s="586" t="s">
        <v>1279</v>
      </c>
      <c r="O6" s="590" t="s">
        <v>1278</v>
      </c>
    </row>
    <row r="7" spans="1:15" x14ac:dyDescent="0.25">
      <c r="A7" s="361">
        <v>43466</v>
      </c>
      <c r="B7" s="362">
        <v>169314.05</v>
      </c>
      <c r="C7" s="362"/>
      <c r="D7" s="362"/>
      <c r="E7" s="362">
        <v>169314.05</v>
      </c>
      <c r="F7"/>
      <c r="G7"/>
      <c r="H7"/>
      <c r="I7"/>
      <c r="J7"/>
      <c r="K7" s="583">
        <f>A7</f>
        <v>43466</v>
      </c>
      <c r="L7" s="584">
        <f>GETPIVOTDATA("Monto",$A$5,"Categoría","Vigilancia","Mes",$A7)+SUM(SUMIF(Saldos!$E$4:$E$75,$A7,Saldos!$H$4:$H$75),SUMIF(Saldos!$J$4:$J$75,$A7,Saldos!$M$4:$M$75),SUMIF(Saldos!$O$4:$O$75,$A7,Saldos!$R$4:$R$75),SUMIF(Saldos!$T$4:$T$75,$A7,Saldos!$W$4:$W$75),SUMIF(Saldos!$Y$4:$Y$75,$A7,Saldos!$AB$4:$AB$75),SUMIF(Saldos!$AD$4:$AD$75,$A7,Saldos!$AG$4:$AG$75),SUMIF(Saldos!$AI$4:$AI$75,$A7,Saldos!$AL$4:$AL$75),SUMIF(Saldos!$AN$4:$AN$75,$A7,Saldos!$AQ$4:$AQ$75))</f>
        <v>192377</v>
      </c>
      <c r="M7" s="585">
        <f>GETPIVOTDATA("Monto",$A$5,"Categoría","Comida Vigilantes","Mes",$A7)</f>
        <v>0</v>
      </c>
      <c r="N7" s="585">
        <f t="shared" ref="N7:N20" si="0">GETPIVOTDATA("Monto",$A$5,"Categoría","Aporte caseta","Mes",$A7)</f>
        <v>0</v>
      </c>
      <c r="O7" s="362">
        <f t="shared" ref="O7:O19" si="1">SUM(L7:N7)</f>
        <v>192377</v>
      </c>
    </row>
    <row r="8" spans="1:15" x14ac:dyDescent="0.25">
      <c r="A8" s="361">
        <v>43497</v>
      </c>
      <c r="B8" s="362">
        <v>243995</v>
      </c>
      <c r="C8" s="362"/>
      <c r="D8" s="362"/>
      <c r="E8" s="362">
        <v>243995</v>
      </c>
      <c r="F8"/>
      <c r="G8"/>
      <c r="H8"/>
      <c r="I8"/>
      <c r="J8"/>
      <c r="K8" s="583">
        <f t="shared" ref="K8:K19" si="2">A8</f>
        <v>43497</v>
      </c>
      <c r="L8" s="584">
        <f>GETPIVOTDATA("Monto",$A$5,"Categoría","Vigilancia","Mes",$A8)+SUM(SUMIF(Saldos!$E$4:$E$75,$A8,Saldos!$H$4:$H$75),SUMIF(Saldos!$J$4:$J$75,$A8,Saldos!$M$4:$M$75),SUMIF(Saldos!$O$4:$O$75,$A8,Saldos!$R$4:$R$75),SUMIF(Saldos!$T$4:$T$75,$A8,Saldos!$W$4:$W$75),SUMIF(Saldos!$Y$4:$Y$75,$A8,Saldos!$AB$4:$AB$75),SUMIF(Saldos!$AD$4:$AD$75,$A8,Saldos!$AG$4:$AG$75),SUMIF(Saldos!$AI$4:$AI$75,$A8,Saldos!$AL$4:$AL$75),SUMIF(Saldos!$AN$4:$AN$75,$A8,Saldos!$AQ$4:$AQ$75))</f>
        <v>267995</v>
      </c>
      <c r="M8" s="585">
        <f t="shared" ref="M8:M20" si="3">GETPIVOTDATA("Monto",$A$5,"Categoría","Comida Vigilantes","Mes",$A8)</f>
        <v>0</v>
      </c>
      <c r="N8" s="585">
        <f t="shared" si="0"/>
        <v>0</v>
      </c>
      <c r="O8" s="362">
        <f t="shared" si="1"/>
        <v>267995</v>
      </c>
    </row>
    <row r="9" spans="1:15" x14ac:dyDescent="0.25">
      <c r="A9" s="361">
        <v>43525</v>
      </c>
      <c r="B9" s="362">
        <v>175306</v>
      </c>
      <c r="C9" s="362"/>
      <c r="D9" s="362"/>
      <c r="E9" s="362">
        <v>175306</v>
      </c>
      <c r="F9"/>
      <c r="G9"/>
      <c r="H9"/>
      <c r="I9"/>
      <c r="J9"/>
      <c r="K9" s="583">
        <f t="shared" si="2"/>
        <v>43525</v>
      </c>
      <c r="L9" s="584">
        <f>GETPIVOTDATA("Monto",$A$5,"Categoría","Vigilancia","Mes",$A9)+SUM(SUMIF(Saldos!$E$4:$E$75,$A9,Saldos!$H$4:$H$75),SUMIF(Saldos!$J$4:$J$75,$A9,Saldos!$M$4:$M$75),SUMIF(Saldos!$O$4:$O$75,$A9,Saldos!$R$4:$R$75),SUMIF(Saldos!$T$4:$T$75,$A9,Saldos!$W$4:$W$75),SUMIF(Saldos!$Y$4:$Y$75,$A9,Saldos!$AB$4:$AB$75),SUMIF(Saldos!$AD$4:$AD$75,$A9,Saldos!$AG$4:$AG$75),SUMIF(Saldos!$AI$4:$AI$75,$A9,Saldos!$AL$4:$AL$75),SUMIF(Saldos!$AN$4:$AN$75,$A9,Saldos!$AQ$4:$AQ$75))</f>
        <v>178550</v>
      </c>
      <c r="M9" s="585">
        <f t="shared" si="3"/>
        <v>0</v>
      </c>
      <c r="N9" s="585">
        <f t="shared" si="0"/>
        <v>0</v>
      </c>
      <c r="O9" s="362">
        <f t="shared" si="1"/>
        <v>178550</v>
      </c>
    </row>
    <row r="10" spans="1:15" x14ac:dyDescent="0.25">
      <c r="A10" s="361">
        <v>43556</v>
      </c>
      <c r="B10" s="362">
        <v>396255.55</v>
      </c>
      <c r="C10" s="362"/>
      <c r="D10" s="362"/>
      <c r="E10" s="362">
        <v>396255.55</v>
      </c>
      <c r="F10"/>
      <c r="G10"/>
      <c r="H10"/>
      <c r="I10"/>
      <c r="J10"/>
      <c r="K10" s="583">
        <f t="shared" si="2"/>
        <v>43556</v>
      </c>
      <c r="L10" s="584">
        <f>GETPIVOTDATA("Monto",$A$5,"Categoría","Vigilancia","Mes",$A10)+SUM(SUMIF(Saldos!$E$4:$E$75,$A10,Saldos!$H$4:$H$75),SUMIF(Saldos!$J$4:$J$75,$A10,Saldos!$M$4:$M$75),SUMIF(Saldos!$O$4:$O$75,$A10,Saldos!$R$4:$R$75),SUMIF(Saldos!$T$4:$T$75,$A10,Saldos!$W$4:$W$75),SUMIF(Saldos!$Y$4:$Y$75,$A10,Saldos!$AB$4:$AB$75),SUMIF(Saldos!$AD$4:$AD$75,$A10,Saldos!$AG$4:$AG$75),SUMIF(Saldos!$AI$4:$AI$75,$A10,Saldos!$AL$4:$AL$75),SUMIF(Saldos!$AN$4:$AN$75,$A10,Saldos!$AQ$4:$AQ$75))</f>
        <v>474910</v>
      </c>
      <c r="M10" s="585">
        <f t="shared" si="3"/>
        <v>0</v>
      </c>
      <c r="N10" s="585">
        <f t="shared" si="0"/>
        <v>0</v>
      </c>
      <c r="O10" s="362">
        <f t="shared" si="1"/>
        <v>474910</v>
      </c>
    </row>
    <row r="11" spans="1:15" x14ac:dyDescent="0.25">
      <c r="A11" s="361">
        <v>43586</v>
      </c>
      <c r="B11" s="362">
        <v>730286</v>
      </c>
      <c r="C11" s="362"/>
      <c r="D11" s="362"/>
      <c r="E11" s="362">
        <v>730286</v>
      </c>
      <c r="F11"/>
      <c r="G11"/>
      <c r="H11"/>
      <c r="I11"/>
      <c r="J11"/>
      <c r="K11" s="583">
        <f t="shared" si="2"/>
        <v>43586</v>
      </c>
      <c r="L11" s="584">
        <f>GETPIVOTDATA("Monto",$A$5,"Categoría","Vigilancia","Mes",$A11)+SUM(SUMIF(Saldos!$E$4:$E$75,$A11,Saldos!$H$4:$H$75),SUMIF(Saldos!$J$4:$J$75,$A11,Saldos!$M$4:$M$75),SUMIF(Saldos!$O$4:$O$75,$A11,Saldos!$R$4:$R$75),SUMIF(Saldos!$T$4:$T$75,$A11,Saldos!$W$4:$W$75),SUMIF(Saldos!$Y$4:$Y$75,$A11,Saldos!$AB$4:$AB$75),SUMIF(Saldos!$AD$4:$AD$75,$A11,Saldos!$AG$4:$AG$75),SUMIF(Saldos!$AI$4:$AI$75,$A11,Saldos!$AL$4:$AL$75),SUMIF(Saldos!$AN$4:$AN$75,$A11,Saldos!$AQ$4:$AQ$75))</f>
        <v>796286</v>
      </c>
      <c r="M11" s="585">
        <f t="shared" si="3"/>
        <v>0</v>
      </c>
      <c r="N11" s="585">
        <f t="shared" si="0"/>
        <v>0</v>
      </c>
      <c r="O11" s="362">
        <f t="shared" si="1"/>
        <v>796286</v>
      </c>
    </row>
    <row r="12" spans="1:15" x14ac:dyDescent="0.25">
      <c r="A12" s="361">
        <v>43617</v>
      </c>
      <c r="B12" s="362">
        <v>678100</v>
      </c>
      <c r="C12" s="362"/>
      <c r="D12" s="362"/>
      <c r="E12" s="362">
        <v>678100</v>
      </c>
      <c r="F12"/>
      <c r="G12"/>
      <c r="H12"/>
      <c r="I12"/>
      <c r="J12"/>
      <c r="K12" s="583">
        <f t="shared" si="2"/>
        <v>43617</v>
      </c>
      <c r="L12" s="584">
        <f>GETPIVOTDATA("Monto",$A$5,"Categoría","Vigilancia","Mes",$A12)+SUM(SUMIF(Saldos!$E$4:$E$75,$A12,Saldos!$H$4:$H$75),SUMIF(Saldos!$J$4:$J$75,$A12,Saldos!$M$4:$M$75),SUMIF(Saldos!$O$4:$O$75,$A12,Saldos!$R$4:$R$75),SUMIF(Saldos!$T$4:$T$75,$A12,Saldos!$W$4:$W$75),SUMIF(Saldos!$Y$4:$Y$75,$A12,Saldos!$AB$4:$AB$75),SUMIF(Saldos!$AD$4:$AD$75,$A12,Saldos!$AG$4:$AG$75),SUMIF(Saldos!$AI$4:$AI$75,$A12,Saldos!$AL$4:$AL$75),SUMIF(Saldos!$AN$4:$AN$75,$A12,Saldos!$AQ$4:$AQ$75))</f>
        <v>644100</v>
      </c>
      <c r="M12" s="585">
        <f t="shared" si="3"/>
        <v>0</v>
      </c>
      <c r="N12" s="585">
        <f t="shared" si="0"/>
        <v>0</v>
      </c>
      <c r="O12" s="362">
        <f t="shared" si="1"/>
        <v>644100</v>
      </c>
    </row>
    <row r="13" spans="1:15" x14ac:dyDescent="0.25">
      <c r="A13" s="361">
        <v>43647</v>
      </c>
      <c r="B13" s="362">
        <v>807800</v>
      </c>
      <c r="C13" s="362"/>
      <c r="D13" s="362"/>
      <c r="E13" s="362">
        <v>807800</v>
      </c>
      <c r="F13"/>
      <c r="G13"/>
      <c r="H13"/>
      <c r="I13"/>
      <c r="J13"/>
      <c r="K13" s="583">
        <f t="shared" si="2"/>
        <v>43647</v>
      </c>
      <c r="L13" s="584">
        <f>GETPIVOTDATA("Monto",$A$5,"Categoría","Vigilancia","Mes",$A13)+SUM(SUMIF(Saldos!$E$4:$E$75,$A13,Saldos!$H$4:$H$75),SUMIF(Saldos!$J$4:$J$75,$A13,Saldos!$M$4:$M$75),SUMIF(Saldos!$O$4:$O$75,$A13,Saldos!$R$4:$R$75),SUMIF(Saldos!$T$4:$T$75,$A13,Saldos!$W$4:$W$75),SUMIF(Saldos!$Y$4:$Y$75,$A13,Saldos!$AB$4:$AB$75),SUMIF(Saldos!$AD$4:$AD$75,$A13,Saldos!$AG$4:$AG$75),SUMIF(Saldos!$AI$4:$AI$75,$A13,Saldos!$AL$4:$AL$75),SUMIF(Saldos!$AN$4:$AN$75,$A13,Saldos!$AQ$4:$AQ$75))</f>
        <v>777800</v>
      </c>
      <c r="M13" s="585">
        <f t="shared" si="3"/>
        <v>0</v>
      </c>
      <c r="N13" s="585">
        <f t="shared" si="0"/>
        <v>0</v>
      </c>
      <c r="O13" s="362">
        <f t="shared" si="1"/>
        <v>777800</v>
      </c>
    </row>
    <row r="14" spans="1:15" x14ac:dyDescent="0.25">
      <c r="A14" s="361">
        <v>43678</v>
      </c>
      <c r="B14" s="362">
        <v>855200</v>
      </c>
      <c r="C14" s="362">
        <v>10000</v>
      </c>
      <c r="D14" s="362"/>
      <c r="E14" s="362">
        <v>865200</v>
      </c>
      <c r="F14"/>
      <c r="G14"/>
      <c r="H14"/>
      <c r="I14"/>
      <c r="J14"/>
      <c r="K14" s="583">
        <f t="shared" si="2"/>
        <v>43678</v>
      </c>
      <c r="L14" s="584">
        <f>GETPIVOTDATA("Monto",$A$5,"Categoría","Vigilancia","Mes",$A14)+SUM(SUMIF(Saldos!$E$4:$E$75,$A14,Saldos!$H$4:$H$75),SUMIF(Saldos!$J$4:$J$75,$A14,Saldos!$M$4:$M$75),SUMIF(Saldos!$O$4:$O$75,$A14,Saldos!$R$4:$R$75),SUMIF(Saldos!$T$4:$T$75,$A14,Saldos!$W$4:$W$75),SUMIF(Saldos!$Y$4:$Y$75,$A14,Saldos!$AB$4:$AB$75),SUMIF(Saldos!$AD$4:$AD$75,$A14,Saldos!$AG$4:$AG$75),SUMIF(Saldos!$AI$4:$AI$75,$A14,Saldos!$AL$4:$AL$75),SUMIF(Saldos!$AN$4:$AN$75,$A14,Saldos!$AQ$4:$AQ$75))</f>
        <v>905200</v>
      </c>
      <c r="M14" s="585">
        <f t="shared" si="3"/>
        <v>10000</v>
      </c>
      <c r="N14" s="585">
        <f t="shared" si="0"/>
        <v>0</v>
      </c>
      <c r="O14" s="362">
        <f t="shared" si="1"/>
        <v>915200</v>
      </c>
    </row>
    <row r="15" spans="1:15" x14ac:dyDescent="0.25">
      <c r="A15" s="361">
        <v>43709</v>
      </c>
      <c r="B15" s="362">
        <v>1468578</v>
      </c>
      <c r="C15" s="362"/>
      <c r="D15" s="362">
        <v>15200</v>
      </c>
      <c r="E15" s="362">
        <v>1483778</v>
      </c>
      <c r="F15"/>
      <c r="G15"/>
      <c r="H15"/>
      <c r="I15"/>
      <c r="J15"/>
      <c r="K15" s="583">
        <f t="shared" si="2"/>
        <v>43709</v>
      </c>
      <c r="L15" s="584">
        <f>GETPIVOTDATA("Monto",$A$5,"Categoría","Vigilancia","Mes",$A15)+SUM(SUMIF(Saldos!$E$4:$E$75,$A15,Saldos!$H$4:$H$75),SUMIF(Saldos!$J$4:$J$75,$A15,Saldos!$M$4:$M$75),SUMIF(Saldos!$O$4:$O$75,$A15,Saldos!$R$4:$R$75),SUMIF(Saldos!$T$4:$T$75,$A15,Saldos!$W$4:$W$75),SUMIF(Saldos!$Y$4:$Y$75,$A15,Saldos!$AB$4:$AB$75),SUMIF(Saldos!$AD$4:$AD$75,$A15,Saldos!$AG$4:$AG$75),SUMIF(Saldos!$AI$4:$AI$75,$A15,Saldos!$AL$4:$AL$75),SUMIF(Saldos!$AN$4:$AN$75,$A15,Saldos!$AQ$4:$AQ$75))</f>
        <v>1430378</v>
      </c>
      <c r="M15" s="585">
        <f t="shared" si="3"/>
        <v>0</v>
      </c>
      <c r="N15" s="585">
        <f t="shared" si="0"/>
        <v>15200</v>
      </c>
      <c r="O15" s="362">
        <f t="shared" si="1"/>
        <v>1445578</v>
      </c>
    </row>
    <row r="16" spans="1:15" x14ac:dyDescent="0.25">
      <c r="A16" s="361">
        <v>43739</v>
      </c>
      <c r="B16" s="362">
        <v>3578362.22</v>
      </c>
      <c r="C16" s="362">
        <v>24700</v>
      </c>
      <c r="D16" s="362"/>
      <c r="E16" s="362">
        <v>3603062.22</v>
      </c>
      <c r="F16"/>
      <c r="G16"/>
      <c r="H16"/>
      <c r="I16"/>
      <c r="J16"/>
      <c r="K16" s="583">
        <f t="shared" si="2"/>
        <v>43739</v>
      </c>
      <c r="L16" s="584">
        <f>GETPIVOTDATA("Monto",$A$5,"Categoría","Vigilancia","Mes",$A16)+SUM(SUMIF(Saldos!$E$4:$E$75,$A16,Saldos!$H$4:$H$75),SUMIF(Saldos!$J$4:$J$75,$A16,Saldos!$M$4:$M$75),SUMIF(Saldos!$O$4:$O$75,$A16,Saldos!$R$4:$R$75),SUMIF(Saldos!$T$4:$T$75,$A16,Saldos!$W$4:$W$75),SUMIF(Saldos!$Y$4:$Y$75,$A16,Saldos!$AB$4:$AB$75),SUMIF(Saldos!$AD$4:$AD$75,$A16,Saldos!$AG$4:$AG$75),SUMIF(Saldos!$AI$4:$AI$75,$A16,Saldos!$AL$4:$AL$75),SUMIF(Saldos!$AN$4:$AN$75,$A16,Saldos!$AQ$4:$AQ$75))</f>
        <v>3663262.22</v>
      </c>
      <c r="M16" s="585">
        <f t="shared" si="3"/>
        <v>24700</v>
      </c>
      <c r="N16" s="585">
        <f t="shared" si="0"/>
        <v>0</v>
      </c>
      <c r="O16" s="362">
        <f t="shared" si="1"/>
        <v>3687962.22</v>
      </c>
    </row>
    <row r="17" spans="1:15" x14ac:dyDescent="0.25">
      <c r="A17" s="361">
        <v>43770</v>
      </c>
      <c r="B17" s="362">
        <v>5487730</v>
      </c>
      <c r="C17" s="362"/>
      <c r="D17" s="362"/>
      <c r="E17" s="362">
        <v>5487730</v>
      </c>
      <c r="F17"/>
      <c r="G17"/>
      <c r="H17"/>
      <c r="I17"/>
      <c r="J17"/>
      <c r="K17" s="583">
        <f t="shared" si="2"/>
        <v>43770</v>
      </c>
      <c r="L17" s="584">
        <f>GETPIVOTDATA("Monto",$A$5,"Categoría","Vigilancia","Mes",$A17)+SUM(SUMIF(Saldos!$E$4:$E$75,$A17,Saldos!$H$4:$H$75),SUMIF(Saldos!$J$4:$J$75,$A17,Saldos!$M$4:$M$75),SUMIF(Saldos!$O$4:$O$75,$A17,Saldos!$R$4:$R$75),SUMIF(Saldos!$T$4:$T$75,$A17,Saldos!$W$4:$W$75),SUMIF(Saldos!$Y$4:$Y$75,$A17,Saldos!$AB$4:$AB$75),SUMIF(Saldos!$AD$4:$AD$75,$A17,Saldos!$AG$4:$AG$75),SUMIF(Saldos!$AI$4:$AI$75,$A17,Saldos!$AL$4:$AL$75),SUMIF(Saldos!$AN$4:$AN$75,$A17,Saldos!$AQ$4:$AQ$75))</f>
        <v>5691580</v>
      </c>
      <c r="M17" s="585">
        <f t="shared" si="3"/>
        <v>0</v>
      </c>
      <c r="N17" s="585">
        <f t="shared" si="0"/>
        <v>0</v>
      </c>
      <c r="O17" s="362">
        <f t="shared" si="1"/>
        <v>5691580</v>
      </c>
    </row>
    <row r="18" spans="1:15" x14ac:dyDescent="0.25">
      <c r="A18" s="361">
        <v>43800</v>
      </c>
      <c r="B18" s="362">
        <v>8378325</v>
      </c>
      <c r="C18" s="362"/>
      <c r="D18" s="362"/>
      <c r="E18" s="362">
        <v>8378325</v>
      </c>
      <c r="F18"/>
      <c r="G18"/>
      <c r="H18"/>
      <c r="I18"/>
      <c r="J18"/>
      <c r="K18" s="583">
        <f t="shared" si="2"/>
        <v>43800</v>
      </c>
      <c r="L18" s="584">
        <f>GETPIVOTDATA("Monto",$A$5,"Categoría","Vigilancia","Mes",$A18)+SUM(SUMIF(Saldos!$E$4:$E$75,$A18,Saldos!$H$4:$H$75),SUMIF(Saldos!$J$4:$J$75,$A18,Saldos!$M$4:$M$75),SUMIF(Saldos!$O$4:$O$75,$A18,Saldos!$R$4:$R$75),SUMIF(Saldos!$T$4:$T$75,$A18,Saldos!$W$4:$W$75),SUMIF(Saldos!$Y$4:$Y$75,$A18,Saldos!$AB$4:$AB$75),SUMIF(Saldos!$AD$4:$AD$75,$A18,Saldos!$AG$4:$AG$75),SUMIF(Saldos!$AI$4:$AI$75,$A18,Saldos!$AL$4:$AL$75),SUMIF(Saldos!$AN$4:$AN$75,$A18,Saldos!$AQ$4:$AQ$75))</f>
        <v>8473075</v>
      </c>
      <c r="M18" s="585">
        <f t="shared" si="3"/>
        <v>0</v>
      </c>
      <c r="N18" s="585">
        <f t="shared" si="0"/>
        <v>0</v>
      </c>
      <c r="O18" s="362">
        <f t="shared" si="1"/>
        <v>8473075</v>
      </c>
    </row>
    <row r="19" spans="1:15" x14ac:dyDescent="0.25">
      <c r="A19" s="361">
        <v>43831</v>
      </c>
      <c r="B19" s="362">
        <v>8626180.8000000007</v>
      </c>
      <c r="C19" s="362"/>
      <c r="D19" s="362"/>
      <c r="E19" s="362">
        <v>8626180.8000000007</v>
      </c>
      <c r="F19"/>
      <c r="G19"/>
      <c r="H19"/>
      <c r="I19"/>
      <c r="J19"/>
      <c r="K19" s="583">
        <f t="shared" si="2"/>
        <v>43831</v>
      </c>
      <c r="L19" s="584">
        <f>GETPIVOTDATA("Monto",$A$5,"Categoría","Vigilancia","Mes",$A19)+SUM(SUMIF(Saldos!$E$4:$E$75,$A19,Saldos!$H$4:$H$75),SUMIF(Saldos!$J$4:$J$75,$A19,Saldos!$M$4:$M$75),SUMIF(Saldos!$O$4:$O$75,$A19,Saldos!$R$4:$R$75),SUMIF(Saldos!$T$4:$T$75,$A19,Saldos!$W$4:$W$75),SUMIF(Saldos!$Y$4:$Y$75,$A19,Saldos!$AB$4:$AB$75),SUMIF(Saldos!$AD$4:$AD$75,$A19,Saldos!$AG$4:$AG$75),SUMIF(Saldos!$AI$4:$AI$75,$A19,Saldos!$AL$4:$AL$75),SUMIF(Saldos!$AN$4:$AN$75,$A19,Saldos!$AQ$4:$AQ$75))</f>
        <v>8293025.0000000009</v>
      </c>
      <c r="M19" s="585">
        <f t="shared" si="3"/>
        <v>0</v>
      </c>
      <c r="N19" s="585">
        <f t="shared" si="0"/>
        <v>0</v>
      </c>
      <c r="O19" s="362">
        <f t="shared" si="1"/>
        <v>8293025.0000000009</v>
      </c>
    </row>
    <row r="20" spans="1:15" x14ac:dyDescent="0.25">
      <c r="A20" s="361">
        <v>43862</v>
      </c>
      <c r="B20" s="362">
        <v>11204875</v>
      </c>
      <c r="C20" s="362"/>
      <c r="D20" s="362"/>
      <c r="E20" s="362">
        <v>11204875</v>
      </c>
      <c r="F20"/>
      <c r="G20"/>
      <c r="H20"/>
      <c r="I20"/>
      <c r="J20"/>
      <c r="K20" s="583">
        <f t="shared" ref="K20" si="4">A20</f>
        <v>43862</v>
      </c>
      <c r="L20" s="584">
        <f>GETPIVOTDATA("Monto",$A$5,"Categoría","Vigilancia","Mes",$A20)+SUM(SUMIF(Saldos!$E$4:$E$75,$A20,Saldos!$H$4:$H$75),SUMIF(Saldos!$J$4:$J$75,$A20,Saldos!$M$4:$M$75),SUMIF(Saldos!$O$4:$O$75,$A20,Saldos!$R$4:$R$75),SUMIF(Saldos!$T$4:$T$75,$A20,Saldos!$W$4:$W$75),SUMIF(Saldos!$Y$4:$Y$75,$A20,Saldos!$AB$4:$AB$75),SUMIF(Saldos!$AD$4:$AD$75,$A20,Saldos!$AG$4:$AG$75),SUMIF(Saldos!$AI$4:$AI$75,$A20,Saldos!$AL$4:$AL$75),SUMIF(Saldos!$AN$4:$AN$75,$A20,Saldos!$AQ$4:$AQ$75))</f>
        <v>11068625</v>
      </c>
      <c r="M20" s="585">
        <f t="shared" si="3"/>
        <v>0</v>
      </c>
      <c r="N20" s="585">
        <f t="shared" si="0"/>
        <v>0</v>
      </c>
      <c r="O20" s="362">
        <f t="shared" ref="O20" si="5">SUM(L20:N20)</f>
        <v>11068625</v>
      </c>
    </row>
    <row r="21" spans="1:15" x14ac:dyDescent="0.25">
      <c r="A21" s="361" t="s">
        <v>1278</v>
      </c>
      <c r="B21" s="362">
        <v>42800307.620000005</v>
      </c>
      <c r="C21" s="362">
        <v>34700</v>
      </c>
      <c r="D21" s="362">
        <v>15200</v>
      </c>
      <c r="E21" s="362">
        <v>42850207.620000005</v>
      </c>
      <c r="F21"/>
      <c r="G21"/>
      <c r="H21"/>
      <c r="I21"/>
      <c r="J21"/>
      <c r="K21" s="594" t="s">
        <v>1278</v>
      </c>
      <c r="L21" s="593">
        <f>SUM(L7:L19)</f>
        <v>31788538.219999999</v>
      </c>
      <c r="M21" s="593">
        <f>SUM(M7:M19)</f>
        <v>34700</v>
      </c>
      <c r="N21" s="593">
        <f>SUM(N7:N19)</f>
        <v>15200</v>
      </c>
      <c r="O21" s="593">
        <f>SUM(O7:O19)</f>
        <v>31838438.219999999</v>
      </c>
    </row>
    <row r="22" spans="1:15" x14ac:dyDescent="0.25">
      <c r="A22"/>
      <c r="B22"/>
      <c r="C22"/>
      <c r="D22"/>
      <c r="E22"/>
      <c r="F22"/>
      <c r="G22"/>
      <c r="H22"/>
      <c r="I22"/>
      <c r="J22"/>
      <c r="K22" s="600"/>
      <c r="L22" s="601"/>
      <c r="M22" s="602"/>
      <c r="N22" s="602"/>
      <c r="O22" s="601"/>
    </row>
    <row r="23" spans="1:15" x14ac:dyDescent="0.25">
      <c r="A23"/>
      <c r="B23"/>
      <c r="C23"/>
      <c r="D23"/>
      <c r="E23"/>
      <c r="F23"/>
      <c r="G23"/>
      <c r="H23"/>
      <c r="I23"/>
      <c r="J23"/>
      <c r="K23" s="600"/>
      <c r="L23" s="601"/>
      <c r="M23" s="602"/>
      <c r="N23" s="602"/>
      <c r="O23" s="601"/>
    </row>
    <row r="24" spans="1:15" x14ac:dyDescent="0.25">
      <c r="A24"/>
      <c r="B24"/>
      <c r="C24"/>
      <c r="D24"/>
      <c r="E24"/>
      <c r="F24"/>
      <c r="G24"/>
      <c r="H24"/>
      <c r="I24"/>
      <c r="J24"/>
      <c r="K24"/>
      <c r="L24"/>
    </row>
    <row r="25" spans="1:15" x14ac:dyDescent="0.25">
      <c r="A25"/>
      <c r="B25"/>
      <c r="C25"/>
      <c r="D25"/>
      <c r="E25"/>
      <c r="F25"/>
      <c r="G25"/>
      <c r="H25"/>
      <c r="I25"/>
      <c r="J25"/>
      <c r="K25"/>
      <c r="L25"/>
    </row>
    <row r="26" spans="1:15" x14ac:dyDescent="0.25">
      <c r="A26"/>
      <c r="B26"/>
      <c r="C26"/>
      <c r="D26"/>
      <c r="E26"/>
      <c r="F26"/>
      <c r="G26"/>
      <c r="H26"/>
      <c r="I26"/>
      <c r="J26"/>
      <c r="K26"/>
      <c r="L26"/>
    </row>
    <row r="27" spans="1:15" x14ac:dyDescent="0.25">
      <c r="A27"/>
      <c r="B27"/>
      <c r="C27"/>
      <c r="D27"/>
      <c r="E27"/>
      <c r="F27"/>
      <c r="G27"/>
      <c r="H27"/>
      <c r="I27"/>
      <c r="J27"/>
    </row>
    <row r="28" spans="1:15" x14ac:dyDescent="0.25">
      <c r="A28"/>
      <c r="B28"/>
      <c r="C28"/>
      <c r="D28"/>
      <c r="E28"/>
      <c r="F28"/>
      <c r="G28"/>
      <c r="H28"/>
      <c r="I28"/>
      <c r="J28"/>
    </row>
    <row r="29" spans="1:15" x14ac:dyDescent="0.25">
      <c r="A29"/>
      <c r="B29"/>
      <c r="C29"/>
      <c r="D29"/>
      <c r="E29"/>
      <c r="F29"/>
      <c r="G29"/>
      <c r="H29"/>
      <c r="I29"/>
      <c r="J29"/>
    </row>
    <row r="30" spans="1:15" x14ac:dyDescent="0.25">
      <c r="A30"/>
      <c r="B30"/>
      <c r="C30"/>
      <c r="D30"/>
      <c r="E30"/>
      <c r="F30"/>
      <c r="G30"/>
      <c r="H30"/>
      <c r="I30"/>
      <c r="J30"/>
    </row>
    <row r="31" spans="1:15" x14ac:dyDescent="0.25">
      <c r="A31"/>
      <c r="B31"/>
      <c r="C31"/>
      <c r="D31"/>
      <c r="E31"/>
      <c r="F31"/>
      <c r="G31"/>
      <c r="H31"/>
      <c r="I31"/>
      <c r="J31"/>
    </row>
    <row r="32" spans="1:15" x14ac:dyDescent="0.25">
      <c r="A32"/>
      <c r="B32"/>
      <c r="C32"/>
      <c r="D32"/>
      <c r="E32"/>
      <c r="F32"/>
      <c r="G32"/>
      <c r="H32"/>
      <c r="I32"/>
      <c r="J32"/>
    </row>
    <row r="33" spans="1:10" x14ac:dyDescent="0.25">
      <c r="B33"/>
      <c r="C33"/>
      <c r="D33"/>
      <c r="E33"/>
      <c r="F33"/>
      <c r="G33"/>
      <c r="H33"/>
      <c r="I33"/>
      <c r="J33"/>
    </row>
    <row r="35" spans="1:10" x14ac:dyDescent="0.25">
      <c r="A35" t="s">
        <v>1280</v>
      </c>
    </row>
  </sheetData>
  <printOptions horizontalCentered="1"/>
  <pageMargins left="0.70866141732283472" right="0.70866141732283472" top="0.74803149606299213" bottom="0.74803149606299213" header="0.31496062992125984" footer="0.31496062992125984"/>
  <pageSetup scale="56" fitToHeight="0" orientation="landscape"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K154"/>
  <sheetViews>
    <sheetView showGridLines="0" workbookViewId="0">
      <pane xSplit="2" ySplit="1" topLeftCell="C87" activePane="bottomRight" state="frozen"/>
      <selection pane="topRight" activeCell="C1" sqref="C1"/>
      <selection pane="bottomLeft" activeCell="A2" sqref="A2"/>
      <selection pane="bottomRight" activeCell="C1" sqref="C1"/>
    </sheetView>
  </sheetViews>
  <sheetFormatPr baseColWidth="10" defaultColWidth="10.7109375" defaultRowHeight="15" x14ac:dyDescent="0.25"/>
  <cols>
    <col min="1" max="1" width="27.5703125" bestFit="1" customWidth="1"/>
    <col min="2" max="2" width="27.140625" bestFit="1" customWidth="1"/>
    <col min="3" max="10" width="11.28515625" customWidth="1"/>
    <col min="11" max="11" width="1.7109375" customWidth="1"/>
    <col min="12" max="40" width="10.7109375" customWidth="1"/>
  </cols>
  <sheetData>
    <row r="1" spans="1:11" x14ac:dyDescent="0.25">
      <c r="A1" s="645" t="s">
        <v>5</v>
      </c>
      <c r="B1" s="645" t="s">
        <v>7</v>
      </c>
      <c r="C1" s="639" t="s">
        <v>452</v>
      </c>
      <c r="D1" s="639" t="s">
        <v>673</v>
      </c>
      <c r="E1" s="639" t="s">
        <v>745</v>
      </c>
      <c r="F1" s="639" t="s">
        <v>827</v>
      </c>
      <c r="G1" s="639" t="s">
        <v>368</v>
      </c>
      <c r="H1" s="639" t="s">
        <v>459</v>
      </c>
      <c r="I1" s="639" t="s">
        <v>733</v>
      </c>
      <c r="J1" s="639" t="s">
        <v>652</v>
      </c>
    </row>
    <row r="2" spans="1:11" x14ac:dyDescent="0.25">
      <c r="A2" s="30" t="str">
        <f>'RESUMEN VIGILANCIA'!A2</f>
        <v>Familia Scabuzzo Gómez</v>
      </c>
      <c r="B2" s="31" t="str">
        <f>'RESUMEN VIGILANCIA'!B2</f>
        <v>Av. "I" Nro. 146-20</v>
      </c>
      <c r="C2" s="182">
        <f>SUMIFS(Vigilancia!$E:$E,Vigilancia!$F:$F,$A2,Vigilancia!$J:$J,C$1)</f>
        <v>0</v>
      </c>
      <c r="D2" s="182">
        <f>SUMIFS(Vigilancia!$E:$E,Vigilancia!$F:$F,$A2,Vigilancia!$J:$J,D$1)</f>
        <v>4</v>
      </c>
      <c r="E2" s="182">
        <f>SUMIFS(Vigilancia!$E:$E,Vigilancia!$F:$F,$A2,Vigilancia!$J:$J,E$1)</f>
        <v>0</v>
      </c>
      <c r="F2" s="182">
        <f>SUMIFS(Vigilancia!$E:$E,Vigilancia!$F:$F,$A2,Vigilancia!$J:$J,F$1)</f>
        <v>10</v>
      </c>
      <c r="G2" s="182">
        <f>SUMIFS(Vigilancia!$E:$E,Vigilancia!$F:$F,$A2,Vigilancia!$J:$J,G$1)</f>
        <v>0</v>
      </c>
      <c r="H2" s="182">
        <f>SUMIFS(Vigilancia!$E:$E,Vigilancia!$F:$F,$A2,Vigilancia!$J:$J,H$1)</f>
        <v>0</v>
      </c>
      <c r="I2" s="182">
        <f>SUMIFS(Vigilancia!$E:$E,Vigilancia!$F:$F,$A2,Vigilancia!$J:$J,I$1)</f>
        <v>0</v>
      </c>
      <c r="J2" s="182">
        <f>SUMIFS(Vigilancia!$E:$E,Vigilancia!$F:$F,$A2,Vigilancia!$J:$J,J$1)</f>
        <v>0</v>
      </c>
    </row>
    <row r="3" spans="1:11" x14ac:dyDescent="0.25">
      <c r="A3" s="30" t="str">
        <f>'RESUMEN VIGILANCIA'!A3</f>
        <v>Familia Hoyte Rafmari</v>
      </c>
      <c r="B3" s="31" t="str">
        <f>'RESUMEN VIGILANCIA'!B3</f>
        <v>Av. "I" Nro. 146-30</v>
      </c>
      <c r="C3" s="182">
        <f>SUMIFS(Vigilancia!$E:$E,Vigilancia!$F:$F,$A3,Vigilancia!$J:$J,C$1)</f>
        <v>0</v>
      </c>
      <c r="D3" s="182">
        <f>SUMIFS(Vigilancia!$E:$E,Vigilancia!$F:$F,$A3,Vigilancia!$J:$J,D$1)</f>
        <v>0</v>
      </c>
      <c r="E3" s="182">
        <f>SUMIFS(Vigilancia!$E:$E,Vigilancia!$F:$F,$A3,Vigilancia!$J:$J,E$1)</f>
        <v>0</v>
      </c>
      <c r="F3" s="182">
        <f>SUMIFS(Vigilancia!$E:$E,Vigilancia!$F:$F,$A3,Vigilancia!$J:$J,F$1)</f>
        <v>0</v>
      </c>
      <c r="G3" s="182">
        <f>SUMIFS(Vigilancia!$E:$E,Vigilancia!$F:$F,$A3,Vigilancia!$J:$J,G$1)</f>
        <v>0</v>
      </c>
      <c r="H3" s="182">
        <f>SUMIFS(Vigilancia!$E:$E,Vigilancia!$F:$F,$A3,Vigilancia!$J:$J,H$1)</f>
        <v>0</v>
      </c>
      <c r="I3" s="182">
        <f>SUMIFS(Vigilancia!$E:$E,Vigilancia!$F:$F,$A3,Vigilancia!$J:$J,I$1)</f>
        <v>0</v>
      </c>
      <c r="J3" s="182">
        <f>SUMIFS(Vigilancia!$E:$E,Vigilancia!$F:$F,$A3,Vigilancia!$J:$J,J$1)</f>
        <v>0</v>
      </c>
    </row>
    <row r="4" spans="1:11" x14ac:dyDescent="0.25">
      <c r="A4" s="30" t="str">
        <f>'RESUMEN VIGILANCIA'!A4</f>
        <v>Familia Il Grande Franceschi</v>
      </c>
      <c r="B4" s="31" t="str">
        <f>'RESUMEN VIGILANCIA'!B4</f>
        <v>Av. "I" Nro. 146-40</v>
      </c>
      <c r="C4" s="182">
        <f>SUMIFS(Vigilancia!$E:$E,Vigilancia!$F:$F,$A4,Vigilancia!$J:$J,C$1)</f>
        <v>0</v>
      </c>
      <c r="D4" s="182">
        <f>SUMIFS(Vigilancia!$E:$E,Vigilancia!$F:$F,$A4,Vigilancia!$J:$J,D$1)</f>
        <v>3.5</v>
      </c>
      <c r="E4" s="182">
        <f>SUMIFS(Vigilancia!$E:$E,Vigilancia!$F:$F,$A4,Vigilancia!$J:$J,E$1)</f>
        <v>0</v>
      </c>
      <c r="F4" s="182">
        <f>SUMIFS(Vigilancia!$E:$E,Vigilancia!$F:$F,$A4,Vigilancia!$J:$J,F$1)</f>
        <v>0</v>
      </c>
      <c r="G4" s="182">
        <f>SUMIFS(Vigilancia!$E:$E,Vigilancia!$F:$F,$A4,Vigilancia!$J:$J,G$1)</f>
        <v>0</v>
      </c>
      <c r="H4" s="182">
        <f>SUMIFS(Vigilancia!$E:$E,Vigilancia!$F:$F,$A4,Vigilancia!$J:$J,H$1)</f>
        <v>0</v>
      </c>
      <c r="I4" s="182">
        <f>SUMIFS(Vigilancia!$E:$E,Vigilancia!$F:$F,$A4,Vigilancia!$J:$J,I$1)</f>
        <v>0</v>
      </c>
      <c r="J4" s="182">
        <f>SUMIFS(Vigilancia!$E:$E,Vigilancia!$F:$F,$A4,Vigilancia!$J:$J,J$1)</f>
        <v>0</v>
      </c>
    </row>
    <row r="5" spans="1:11" x14ac:dyDescent="0.25">
      <c r="A5" s="30" t="str">
        <f>'RESUMEN VIGILANCIA'!A5</f>
        <v>Jocsan Orta Correa</v>
      </c>
      <c r="B5" s="31" t="str">
        <f>'RESUMEN VIGILANCIA'!B5</f>
        <v>Av. "L" anexo de Los Tronquitos</v>
      </c>
      <c r="C5" s="182">
        <f>SUMIFS(Vigilancia!$E:$E,Vigilancia!$F:$F,$A5,Vigilancia!$J:$J,C$1)</f>
        <v>0</v>
      </c>
      <c r="D5" s="182">
        <f>SUMIFS(Vigilancia!$E:$E,Vigilancia!$F:$F,$A5,Vigilancia!$J:$J,D$1)</f>
        <v>0</v>
      </c>
      <c r="E5" s="305">
        <f>SUMIFS(Vigilancia!$E:$E,Vigilancia!$F:$F,$A5,Vigilancia!$J:$J,E$1)</f>
        <v>0</v>
      </c>
      <c r="F5" s="305">
        <f>SUMIFS(Vigilancia!$E:$E,Vigilancia!$F:$F,$A5,Vigilancia!$J:$J,F$1)</f>
        <v>0</v>
      </c>
      <c r="G5" s="182">
        <f>SUMIFS(Vigilancia!$E:$E,Vigilancia!$F:$F,$A5,Vigilancia!$J:$J,G$1)</f>
        <v>0</v>
      </c>
      <c r="H5" s="182">
        <f>SUMIFS(Vigilancia!$E:$E,Vigilancia!$F:$F,$A5,Vigilancia!$J:$J,H$1)</f>
        <v>0</v>
      </c>
      <c r="I5" s="182">
        <f>SUMIFS(Vigilancia!$E:$E,Vigilancia!$F:$F,$A5,Vigilancia!$J:$J,I$1)</f>
        <v>0</v>
      </c>
      <c r="J5" s="182">
        <f>SUMIFS(Vigilancia!$E:$E,Vigilancia!$F:$F,$A5,Vigilancia!$J:$J,J$1)</f>
        <v>0</v>
      </c>
    </row>
    <row r="6" spans="1:11" x14ac:dyDescent="0.25">
      <c r="A6" s="30" t="str">
        <f>'RESUMEN VIGILANCIA'!A6</f>
        <v>Sra. Reina Meléndez</v>
      </c>
      <c r="B6" s="31" t="str">
        <f>'RESUMEN VIGILANCIA'!B6</f>
        <v>Av. "M" Nro. 145-10</v>
      </c>
      <c r="C6" s="182">
        <f>SUMIFS(Vigilancia!$E:$E,Vigilancia!$F:$F,$A6,Vigilancia!$J:$J,C$1)</f>
        <v>7.0000000000000007E-2</v>
      </c>
      <c r="D6" s="182">
        <f>SUMIFS(Vigilancia!$E:$E,Vigilancia!$F:$F,$A6,Vigilancia!$J:$J,D$1)</f>
        <v>3.5</v>
      </c>
      <c r="E6" s="305">
        <f>SUMIFS(Vigilancia!$E:$E,Vigilancia!$F:$F,$A6,Vigilancia!$J:$J,E$1)</f>
        <v>12.2</v>
      </c>
      <c r="F6" s="305">
        <f>SUMIFS(Vigilancia!$E:$E,Vigilancia!$F:$F,$A6,Vigilancia!$J:$J,F$1)</f>
        <v>10</v>
      </c>
      <c r="G6" s="182">
        <f>SUMIFS(Vigilancia!$E:$E,Vigilancia!$F:$F,$A6,Vigilancia!$J:$J,G$1)</f>
        <v>0</v>
      </c>
      <c r="H6" s="182">
        <f>SUMIFS(Vigilancia!$E:$E,Vigilancia!$F:$F,$A6,Vigilancia!$J:$J,H$1)</f>
        <v>0</v>
      </c>
      <c r="I6" s="182">
        <f>SUMIFS(Vigilancia!$E:$E,Vigilancia!$F:$F,$A6,Vigilancia!$J:$J,I$1)</f>
        <v>0</v>
      </c>
      <c r="J6" s="182">
        <f>SUMIFS(Vigilancia!$E:$E,Vigilancia!$F:$F,$A6,Vigilancia!$J:$J,J$1)</f>
        <v>0</v>
      </c>
    </row>
    <row r="7" spans="1:11" x14ac:dyDescent="0.25">
      <c r="A7" s="30" t="str">
        <f>'RESUMEN VIGILANCIA'!A7</f>
        <v>Familia Barreto Pérez</v>
      </c>
      <c r="B7" s="31" t="str">
        <f>'RESUMEN VIGILANCIA'!B7</f>
        <v>Av. "M" Nro. 146-15</v>
      </c>
      <c r="C7" s="182">
        <f>SUMIFS(Vigilancia!$E:$E,Vigilancia!$F:$F,$A7,Vigilancia!$J:$J,C$1)</f>
        <v>0</v>
      </c>
      <c r="D7" s="182">
        <f>SUMIFS(Vigilancia!$E:$E,Vigilancia!$F:$F,$A7,Vigilancia!$J:$J,D$1)</f>
        <v>3.5</v>
      </c>
      <c r="E7" s="305">
        <f>SUMIFS(Vigilancia!$E:$E,Vigilancia!$F:$F,$A7,Vigilancia!$J:$J,E$1)</f>
        <v>0</v>
      </c>
      <c r="F7" s="305">
        <f>SUMIFS(Vigilancia!$E:$E,Vigilancia!$F:$F,$A7,Vigilancia!$J:$J,F$1)</f>
        <v>10</v>
      </c>
      <c r="G7" s="182">
        <f>SUMIFS(Vigilancia!$E:$E,Vigilancia!$F:$F,$A7,Vigilancia!$J:$J,G$1)</f>
        <v>0</v>
      </c>
      <c r="H7" s="182">
        <f>SUMIFS(Vigilancia!$E:$E,Vigilancia!$F:$F,$A7,Vigilancia!$J:$J,H$1)</f>
        <v>0</v>
      </c>
      <c r="I7" s="182">
        <f>SUMIFS(Vigilancia!$E:$E,Vigilancia!$F:$F,$A7,Vigilancia!$J:$J,I$1)</f>
        <v>0</v>
      </c>
      <c r="J7" s="182">
        <f>SUMIFS(Vigilancia!$E:$E,Vigilancia!$F:$F,$A7,Vigilancia!$J:$J,J$1)</f>
        <v>0</v>
      </c>
    </row>
    <row r="8" spans="1:11" x14ac:dyDescent="0.25">
      <c r="A8" s="30" t="str">
        <f>'RESUMEN VIGILANCIA'!A8</f>
        <v>Familia Flores Montagne</v>
      </c>
      <c r="B8" s="31" t="str">
        <f>'RESUMEN VIGILANCIA'!B8</f>
        <v>Av. "M" Nro. 146-20</v>
      </c>
      <c r="C8" s="182">
        <f>SUMIFS(Vigilancia!$E:$E,Vigilancia!$F:$F,$A8,Vigilancia!$J:$J,C$1)</f>
        <v>0</v>
      </c>
      <c r="D8" s="182">
        <f>SUMIFS(Vigilancia!$E:$E,Vigilancia!$F:$F,$A8,Vigilancia!$J:$J,D$1)</f>
        <v>0</v>
      </c>
      <c r="E8" s="305">
        <f>SUMIFS(Vigilancia!$E:$E,Vigilancia!$F:$F,$A8,Vigilancia!$J:$J,E$1)</f>
        <v>0</v>
      </c>
      <c r="F8" s="305">
        <f>SUMIFS(Vigilancia!$E:$E,Vigilancia!$F:$F,$A8,Vigilancia!$J:$J,F$1)</f>
        <v>10</v>
      </c>
      <c r="G8" s="182">
        <f>SUMIFS(Vigilancia!$E:$E,Vigilancia!$F:$F,$A8,Vigilancia!$J:$J,G$1)</f>
        <v>0</v>
      </c>
      <c r="H8" s="182">
        <f>SUMIFS(Vigilancia!$E:$E,Vigilancia!$F:$F,$A8,Vigilancia!$J:$J,H$1)</f>
        <v>0</v>
      </c>
      <c r="I8" s="182">
        <f>SUMIFS(Vigilancia!$E:$E,Vigilancia!$F:$F,$A8,Vigilancia!$J:$J,I$1)</f>
        <v>0</v>
      </c>
      <c r="J8" s="182">
        <f>SUMIFS(Vigilancia!$E:$E,Vigilancia!$F:$F,$A8,Vigilancia!$J:$J,J$1)</f>
        <v>0</v>
      </c>
    </row>
    <row r="9" spans="1:11" ht="15.75" thickBot="1" x14ac:dyDescent="0.3">
      <c r="A9" s="30" t="str">
        <f>'RESUMEN VIGILANCIA'!A9</f>
        <v>Judith Lazo</v>
      </c>
      <c r="B9" s="31" t="str">
        <f>'RESUMEN VIGILANCIA'!B9</f>
        <v>Av. "M" Nro. 146-25</v>
      </c>
      <c r="C9" s="182">
        <f>SUMIFS(Vigilancia!$E:$E,Vigilancia!$F:$F,$A9,Vigilancia!$J:$J,C$1)</f>
        <v>0</v>
      </c>
      <c r="D9" s="182">
        <f>SUMIFS(Vigilancia!$E:$E,Vigilancia!$F:$F,$A9,Vigilancia!$J:$J,D$1)</f>
        <v>0</v>
      </c>
      <c r="E9" s="305">
        <f>SUMIFS(Vigilancia!$E:$E,Vigilancia!$F:$F,$A9,Vigilancia!$J:$J,E$1)</f>
        <v>0</v>
      </c>
      <c r="F9" s="305">
        <f>SUMIFS(Vigilancia!$E:$E,Vigilancia!$F:$F,$A9,Vigilancia!$J:$J,F$1)</f>
        <v>10</v>
      </c>
      <c r="G9" s="182">
        <f>SUMIFS(Vigilancia!$E:$E,Vigilancia!$F:$F,$A9,Vigilancia!$J:$J,G$1)</f>
        <v>0</v>
      </c>
      <c r="H9" s="182">
        <f>SUMIFS(Vigilancia!$E:$E,Vigilancia!$F:$F,$A9,Vigilancia!$J:$J,H$1)</f>
        <v>0</v>
      </c>
      <c r="I9" s="182">
        <f>SUMIFS(Vigilancia!$E:$E,Vigilancia!$F:$F,$A9,Vigilancia!$J:$J,I$1)</f>
        <v>0</v>
      </c>
      <c r="J9" s="182">
        <f>SUMIFS(Vigilancia!$E:$E,Vigilancia!$F:$F,$A9,Vigilancia!$J:$J,J$1)</f>
        <v>0</v>
      </c>
    </row>
    <row r="10" spans="1:11" x14ac:dyDescent="0.25">
      <c r="A10" s="59" t="str">
        <f>'RESUMEN VIGILANCIA'!A10</f>
        <v>La Casita Encantada</v>
      </c>
      <c r="B10" s="60" t="str">
        <f>'RESUMEN VIGILANCIA'!B10</f>
        <v>Av. "M" Nro. 146-30</v>
      </c>
      <c r="C10" s="214">
        <f>SUMIFS(Vigilancia!$E:$E,Vigilancia!$F:$F,$A10,Vigilancia!$J:$J,C$1)</f>
        <v>7.0000000000000007E-2</v>
      </c>
      <c r="D10" s="214">
        <f>SUMIFS(Vigilancia!$E:$E,Vigilancia!$F:$F,$A10,Vigilancia!$J:$J,D$1)</f>
        <v>3.5</v>
      </c>
      <c r="E10" s="214">
        <f>SUMIFS(Vigilancia!$E:$E,Vigilancia!$F:$F,$A10,Vigilancia!$J:$J,E$1)</f>
        <v>12.2</v>
      </c>
      <c r="F10" s="214">
        <f>SUMIFS(Vigilancia!$E:$E,Vigilancia!$F:$F,$A10,Vigilancia!$J:$J,F$1)</f>
        <v>0</v>
      </c>
      <c r="G10" s="214">
        <f>SUMIFS(Vigilancia!$E:$E,Vigilancia!$F:$F,$A10,Vigilancia!$J:$J,G$1)</f>
        <v>0</v>
      </c>
      <c r="H10" s="214">
        <f>SUMIFS(Vigilancia!$E:$E,Vigilancia!$F:$F,$A10,Vigilancia!$J:$J,H$1)</f>
        <v>0</v>
      </c>
      <c r="I10" s="214">
        <f>SUMIFS(Vigilancia!$E:$E,Vigilancia!$F:$F,$A10,Vigilancia!$J:$J,I$1)</f>
        <v>0</v>
      </c>
      <c r="J10" s="214">
        <f>SUMIFS(Vigilancia!$E:$E,Vigilancia!$F:$F,$A10,Vigilancia!$J:$J,J$1)</f>
        <v>0</v>
      </c>
      <c r="K10" s="122"/>
    </row>
    <row r="11" spans="1:11" x14ac:dyDescent="0.25">
      <c r="A11" s="59" t="str">
        <f>'RESUMEN VIGILANCIA'!A11</f>
        <v>Familia Calzadilla Trujillo</v>
      </c>
      <c r="B11" s="60" t="str">
        <f>'RESUMEN VIGILANCIA'!B11</f>
        <v>Av. "M" Nro. 146-30</v>
      </c>
      <c r="C11" s="214">
        <f>SUMIFS(Vigilancia!$E:$E,Vigilancia!$F:$F,$A11,Vigilancia!$J:$J,C$1)</f>
        <v>0</v>
      </c>
      <c r="D11" s="214">
        <f>SUMIFS(Vigilancia!$E:$E,Vigilancia!$F:$F,$A11,Vigilancia!$J:$J,D$1)</f>
        <v>0</v>
      </c>
      <c r="E11" s="214">
        <f>SUMIFS(Vigilancia!$E:$E,Vigilancia!$F:$F,$A11,Vigilancia!$J:$J,E$1)</f>
        <v>0</v>
      </c>
      <c r="F11" s="214">
        <f>SUMIFS(Vigilancia!$E:$E,Vigilancia!$F:$F,$A11,Vigilancia!$J:$J,F$1)</f>
        <v>0</v>
      </c>
      <c r="G11" s="214">
        <f>SUMIFS(Vigilancia!$E:$E,Vigilancia!$F:$F,$A11,Vigilancia!$J:$J,G$1)</f>
        <v>0</v>
      </c>
      <c r="H11" s="214">
        <f>SUMIFS(Vigilancia!$E:$E,Vigilancia!$F:$F,$A11,Vigilancia!$J:$J,H$1)</f>
        <v>0</v>
      </c>
      <c r="I11" s="214">
        <f>SUMIFS(Vigilancia!$E:$E,Vigilancia!$F:$F,$A11,Vigilancia!$J:$J,I$1)</f>
        <v>0</v>
      </c>
      <c r="J11" s="214">
        <f>SUMIFS(Vigilancia!$E:$E,Vigilancia!$F:$F,$A11,Vigilancia!$J:$J,J$1)</f>
        <v>0</v>
      </c>
      <c r="K11" s="123"/>
    </row>
    <row r="12" spans="1:11" ht="15.75" thickBot="1" x14ac:dyDescent="0.3">
      <c r="A12" s="30" t="str">
        <f>'RESUMEN VIGILANCIA'!A12</f>
        <v>Santiago Varela</v>
      </c>
      <c r="B12" s="31" t="str">
        <f>'RESUMEN VIGILANCIA'!B12</f>
        <v>Av. "M" Nro. 146-30</v>
      </c>
      <c r="C12" s="182">
        <f>SUMIFS(Vigilancia!$E:$E,Vigilancia!$F:$F,$A12,Vigilancia!$J:$J,C$1)</f>
        <v>0</v>
      </c>
      <c r="D12" s="182">
        <f>SUMIFS(Vigilancia!$E:$E,Vigilancia!$F:$F,$A12,Vigilancia!$J:$J,D$1)</f>
        <v>0</v>
      </c>
      <c r="E12" s="305">
        <f>SUMIFS(Vigilancia!$E:$E,Vigilancia!$F:$F,$A12,Vigilancia!$J:$J,E$1)</f>
        <v>0</v>
      </c>
      <c r="F12" s="305">
        <f>SUMIFS(Vigilancia!$E:$E,Vigilancia!$F:$F,$A12,Vigilancia!$J:$J,F$1)</f>
        <v>0</v>
      </c>
      <c r="G12" s="182">
        <f>SUMIFS(Vigilancia!$E:$E,Vigilancia!$F:$F,$A12,Vigilancia!$J:$J,G$1)</f>
        <v>0</v>
      </c>
      <c r="H12" s="182">
        <f>SUMIFS(Vigilancia!$E:$E,Vigilancia!$F:$F,$A12,Vigilancia!$J:$J,H$1)</f>
        <v>0</v>
      </c>
      <c r="I12" s="182">
        <f>SUMIFS(Vigilancia!$E:$E,Vigilancia!$F:$F,$A12,Vigilancia!$J:$J,I$1)</f>
        <v>0</v>
      </c>
      <c r="J12" s="182">
        <f>SUMIFS(Vigilancia!$E:$E,Vigilancia!$F:$F,$A12,Vigilancia!$J:$J,J$1)</f>
        <v>0</v>
      </c>
      <c r="K12" s="124"/>
    </row>
    <row r="13" spans="1:11" x14ac:dyDescent="0.25">
      <c r="A13" s="30" t="str">
        <f>'RESUMEN VIGILANCIA'!A13</f>
        <v>Ely Saúl Rivero Gómez</v>
      </c>
      <c r="B13" s="31" t="str">
        <f>'RESUMEN VIGILANCIA'!B13</f>
        <v>Av. "Ñ" Nro. 145-25</v>
      </c>
      <c r="C13" s="182">
        <f>SUMIFS(Vigilancia!$E:$E,Vigilancia!$F:$F,$A13,Vigilancia!$J:$J,C$1)</f>
        <v>7.0000000000000007E-2</v>
      </c>
      <c r="D13" s="182">
        <f>SUMIFS(Vigilancia!$E:$E,Vigilancia!$F:$F,$A13,Vigilancia!$J:$J,D$1)</f>
        <v>3.5</v>
      </c>
      <c r="E13" s="305">
        <f>SUMIFS(Vigilancia!$E:$E,Vigilancia!$F:$F,$A13,Vigilancia!$J:$J,E$1)</f>
        <v>12.2</v>
      </c>
      <c r="F13" s="305">
        <f>SUMIFS(Vigilancia!$E:$E,Vigilancia!$F:$F,$A13,Vigilancia!$J:$J,F$1)</f>
        <v>10</v>
      </c>
      <c r="G13" s="182">
        <f>SUMIFS(Vigilancia!$E:$E,Vigilancia!$F:$F,$A13,Vigilancia!$J:$J,G$1)</f>
        <v>0</v>
      </c>
      <c r="H13" s="182">
        <f>SUMIFS(Vigilancia!$E:$E,Vigilancia!$F:$F,$A13,Vigilancia!$J:$J,H$1)</f>
        <v>0</v>
      </c>
      <c r="I13" s="182">
        <f>SUMIFS(Vigilancia!$E:$E,Vigilancia!$F:$F,$A13,Vigilancia!$J:$J,I$1)</f>
        <v>0</v>
      </c>
      <c r="J13" s="182">
        <f>SUMIFS(Vigilancia!$E:$E,Vigilancia!$F:$F,$A13,Vigilancia!$J:$J,J$1)</f>
        <v>0</v>
      </c>
    </row>
    <row r="14" spans="1:11" x14ac:dyDescent="0.25">
      <c r="A14" s="30" t="str">
        <f>'RESUMEN VIGILANCIA'!A14</f>
        <v>Familia González López</v>
      </c>
      <c r="B14" s="31" t="str">
        <f>'RESUMEN VIGILANCIA'!B14</f>
        <v>Av. "Ñ" Nro. 145-27</v>
      </c>
      <c r="C14" s="182">
        <f>SUMIFS(Vigilancia!$E:$E,Vigilancia!$F:$F,$A14,Vigilancia!$J:$J,C$1)</f>
        <v>0</v>
      </c>
      <c r="D14" s="182">
        <f>SUMIFS(Vigilancia!$E:$E,Vigilancia!$F:$F,$A14,Vigilancia!$J:$J,D$1)</f>
        <v>0</v>
      </c>
      <c r="E14" s="305">
        <f>SUMIFS(Vigilancia!$E:$E,Vigilancia!$F:$F,$A14,Vigilancia!$J:$J,E$1)</f>
        <v>0</v>
      </c>
      <c r="F14" s="305">
        <f>SUMIFS(Vigilancia!$E:$E,Vigilancia!$F:$F,$A14,Vigilancia!$J:$J,F$1)</f>
        <v>0</v>
      </c>
      <c r="G14" s="182">
        <f>SUMIFS(Vigilancia!$E:$E,Vigilancia!$F:$F,$A14,Vigilancia!$J:$J,G$1)</f>
        <v>0</v>
      </c>
      <c r="H14" s="182">
        <f>SUMIFS(Vigilancia!$E:$E,Vigilancia!$F:$F,$A14,Vigilancia!$J:$J,H$1)</f>
        <v>0</v>
      </c>
      <c r="I14" s="182">
        <f>SUMIFS(Vigilancia!$E:$E,Vigilancia!$F:$F,$A14,Vigilancia!$J:$J,I$1)</f>
        <v>0</v>
      </c>
      <c r="J14" s="182">
        <f>SUMIFS(Vigilancia!$E:$E,Vigilancia!$F:$F,$A14,Vigilancia!$J:$J,J$1)</f>
        <v>0</v>
      </c>
    </row>
    <row r="15" spans="1:11" x14ac:dyDescent="0.25">
      <c r="A15" s="30" t="str">
        <f>'RESUMEN VIGILANCIA'!A15</f>
        <v>Familia Coronel</v>
      </c>
      <c r="B15" s="31" t="str">
        <f>'RESUMEN VIGILANCIA'!B15</f>
        <v>Av. "O" Nro. 146-10</v>
      </c>
      <c r="C15" s="182">
        <f>SUMIFS(Vigilancia!$E:$E,Vigilancia!$F:$F,$A15,Vigilancia!$J:$J,C$1)</f>
        <v>0</v>
      </c>
      <c r="D15" s="182">
        <f>SUMIFS(Vigilancia!$E:$E,Vigilancia!$F:$F,$A15,Vigilancia!$J:$J,D$1)</f>
        <v>0</v>
      </c>
      <c r="E15" s="305">
        <f>SUMIFS(Vigilancia!$E:$E,Vigilancia!$F:$F,$A15,Vigilancia!$J:$J,E$1)</f>
        <v>0</v>
      </c>
      <c r="F15" s="305">
        <f>SUMIFS(Vigilancia!$E:$E,Vigilancia!$F:$F,$A15,Vigilancia!$J:$J,F$1)</f>
        <v>0</v>
      </c>
      <c r="G15" s="182">
        <f>SUMIFS(Vigilancia!$E:$E,Vigilancia!$F:$F,$A15,Vigilancia!$J:$J,G$1)</f>
        <v>0</v>
      </c>
      <c r="H15" s="182">
        <f>SUMIFS(Vigilancia!$E:$E,Vigilancia!$F:$F,$A15,Vigilancia!$J:$J,H$1)</f>
        <v>0</v>
      </c>
      <c r="I15" s="182">
        <f>SUMIFS(Vigilancia!$E:$E,Vigilancia!$F:$F,$A15,Vigilancia!$J:$J,I$1)</f>
        <v>0</v>
      </c>
      <c r="J15" s="182">
        <f>SUMIFS(Vigilancia!$E:$E,Vigilancia!$F:$F,$A15,Vigilancia!$J:$J,J$1)</f>
        <v>0</v>
      </c>
    </row>
    <row r="16" spans="1:11" x14ac:dyDescent="0.25">
      <c r="A16" s="30" t="str">
        <f>'RESUMEN VIGILANCIA'!A16</f>
        <v>Familia Hurtado</v>
      </c>
      <c r="B16" s="31" t="str">
        <f>'RESUMEN VIGILANCIA'!B16</f>
        <v>Av. "O" Nro. 146-11</v>
      </c>
      <c r="C16" s="182">
        <f>SUMIFS(Vigilancia!$E:$E,Vigilancia!$F:$F,$A16,Vigilancia!$J:$J,C$1)</f>
        <v>7.0000000000000007E-2</v>
      </c>
      <c r="D16" s="182">
        <f>SUMIFS(Vigilancia!$E:$E,Vigilancia!$F:$F,$A16,Vigilancia!$J:$J,D$1)</f>
        <v>0</v>
      </c>
      <c r="E16" s="305">
        <f>SUMIFS(Vigilancia!$E:$E,Vigilancia!$F:$F,$A16,Vigilancia!$J:$J,E$1)</f>
        <v>0</v>
      </c>
      <c r="F16" s="305">
        <f>SUMIFS(Vigilancia!$E:$E,Vigilancia!$F:$F,$A16,Vigilancia!$J:$J,F$1)</f>
        <v>10</v>
      </c>
      <c r="G16" s="182">
        <f>SUMIFS(Vigilancia!$E:$E,Vigilancia!$F:$F,$A16,Vigilancia!$J:$J,G$1)</f>
        <v>0</v>
      </c>
      <c r="H16" s="182">
        <f>SUMIFS(Vigilancia!$E:$E,Vigilancia!$F:$F,$A16,Vigilancia!$J:$J,H$1)</f>
        <v>0</v>
      </c>
      <c r="I16" s="182">
        <f>SUMIFS(Vigilancia!$E:$E,Vigilancia!$F:$F,$A16,Vigilancia!$J:$J,I$1)</f>
        <v>0</v>
      </c>
      <c r="J16" s="182">
        <f>SUMIFS(Vigilancia!$E:$E,Vigilancia!$F:$F,$A16,Vigilancia!$J:$J,J$1)</f>
        <v>0</v>
      </c>
    </row>
    <row r="17" spans="1:10" x14ac:dyDescent="0.25">
      <c r="A17" s="30" t="str">
        <f>'RESUMEN VIGILANCIA'!A17</f>
        <v>Ana de González</v>
      </c>
      <c r="B17" s="31" t="str">
        <f>'RESUMEN VIGILANCIA'!B17</f>
        <v>Av. "O" Nro. 146-17</v>
      </c>
      <c r="C17" s="182">
        <f>SUMIFS(Vigilancia!$E:$E,Vigilancia!$F:$F,$A17,Vigilancia!$J:$J,C$1)</f>
        <v>7.0000000000000007E-2</v>
      </c>
      <c r="D17" s="182">
        <f>SUMIFS(Vigilancia!$E:$E,Vigilancia!$F:$F,$A17,Vigilancia!$J:$J,D$1)</f>
        <v>3.5</v>
      </c>
      <c r="E17" s="305">
        <f>SUMIFS(Vigilancia!$E:$E,Vigilancia!$F:$F,$A17,Vigilancia!$J:$J,E$1)</f>
        <v>0</v>
      </c>
      <c r="F17" s="305">
        <f>SUMIFS(Vigilancia!$E:$E,Vigilancia!$F:$F,$A17,Vigilancia!$J:$J,F$1)</f>
        <v>0</v>
      </c>
      <c r="G17" s="182">
        <f>SUMIFS(Vigilancia!$E:$E,Vigilancia!$F:$F,$A17,Vigilancia!$J:$J,G$1)</f>
        <v>0.18</v>
      </c>
      <c r="H17" s="182">
        <f>SUMIFS(Vigilancia!$E:$E,Vigilancia!$F:$F,$A17,Vigilancia!$J:$J,H$1)</f>
        <v>0</v>
      </c>
      <c r="I17" s="182">
        <f>SUMIFS(Vigilancia!$E:$E,Vigilancia!$F:$F,$A17,Vigilancia!$J:$J,I$1)</f>
        <v>0</v>
      </c>
      <c r="J17" s="182">
        <f>SUMIFS(Vigilancia!$E:$E,Vigilancia!$F:$F,$A17,Vigilancia!$J:$J,J$1)</f>
        <v>0</v>
      </c>
    </row>
    <row r="18" spans="1:10" x14ac:dyDescent="0.25">
      <c r="A18" s="30" t="str">
        <f>'RESUMEN VIGILANCIA'!A18</f>
        <v>María Luisa Gornés</v>
      </c>
      <c r="B18" s="31" t="str">
        <f>'RESUMEN VIGILANCIA'!B18</f>
        <v>Calle Guacara Nro. 87-05</v>
      </c>
      <c r="C18" s="182">
        <f>SUMIFS(Vigilancia!$E:$E,Vigilancia!$F:$F,$A18,Vigilancia!$J:$J,C$1)</f>
        <v>0</v>
      </c>
      <c r="D18" s="182">
        <f>SUMIFS(Vigilancia!$E:$E,Vigilancia!$F:$F,$A18,Vigilancia!$J:$J,D$1)</f>
        <v>0</v>
      </c>
      <c r="E18" s="305">
        <f>SUMIFS(Vigilancia!$E:$E,Vigilancia!$F:$F,$A18,Vigilancia!$J:$J,E$1)</f>
        <v>0</v>
      </c>
      <c r="F18" s="305">
        <f>SUMIFS(Vigilancia!$E:$E,Vigilancia!$F:$F,$A18,Vigilancia!$J:$J,F$1)</f>
        <v>0</v>
      </c>
      <c r="G18" s="182">
        <f>SUMIFS(Vigilancia!$E:$E,Vigilancia!$F:$F,$A18,Vigilancia!$J:$J,G$1)</f>
        <v>0</v>
      </c>
      <c r="H18" s="182">
        <f>SUMIFS(Vigilancia!$E:$E,Vigilancia!$F:$F,$A18,Vigilancia!$J:$J,H$1)</f>
        <v>0</v>
      </c>
      <c r="I18" s="182">
        <f>SUMIFS(Vigilancia!$E:$E,Vigilancia!$F:$F,$A18,Vigilancia!$J:$J,I$1)</f>
        <v>0</v>
      </c>
      <c r="J18" s="182">
        <f>SUMIFS(Vigilancia!$E:$E,Vigilancia!$F:$F,$A18,Vigilancia!$J:$J,J$1)</f>
        <v>0</v>
      </c>
    </row>
    <row r="19" spans="1:10" x14ac:dyDescent="0.25">
      <c r="A19" s="30" t="str">
        <f>'RESUMEN VIGILANCIA'!A19</f>
        <v>Familia Aponte . Anexo</v>
      </c>
      <c r="B19" s="31" t="str">
        <f>'RESUMEN VIGILANCIA'!B19</f>
        <v>Calle Guacara Nro. 87-05</v>
      </c>
      <c r="C19" s="182">
        <f>SUMIFS(Vigilancia!$E:$E,Vigilancia!$F:$F,$A19,Vigilancia!$J:$J,C$1)</f>
        <v>0</v>
      </c>
      <c r="D19" s="182">
        <f>SUMIFS(Vigilancia!$E:$E,Vigilancia!$F:$F,$A19,Vigilancia!$J:$J,D$1)</f>
        <v>0</v>
      </c>
      <c r="E19" s="305">
        <f>SUMIFS(Vigilancia!$E:$E,Vigilancia!$F:$F,$A19,Vigilancia!$J:$J,E$1)</f>
        <v>0</v>
      </c>
      <c r="F19" s="305">
        <f>SUMIFS(Vigilancia!$E:$E,Vigilancia!$F:$F,$A19,Vigilancia!$J:$J,F$1)</f>
        <v>0</v>
      </c>
      <c r="G19" s="182">
        <f>SUMIFS(Vigilancia!$E:$E,Vigilancia!$F:$F,$A19,Vigilancia!$J:$J,G$1)</f>
        <v>0</v>
      </c>
      <c r="H19" s="182">
        <f>SUMIFS(Vigilancia!$E:$E,Vigilancia!$F:$F,$A19,Vigilancia!$J:$J,H$1)</f>
        <v>0</v>
      </c>
      <c r="I19" s="182">
        <f>SUMIFS(Vigilancia!$E:$E,Vigilancia!$F:$F,$A19,Vigilancia!$J:$J,I$1)</f>
        <v>0</v>
      </c>
      <c r="J19" s="182">
        <f>SUMIFS(Vigilancia!$E:$E,Vigilancia!$F:$F,$A19,Vigilancia!$J:$J,J$1)</f>
        <v>0</v>
      </c>
    </row>
    <row r="20" spans="1:10" x14ac:dyDescent="0.25">
      <c r="A20" s="30" t="str">
        <f>'RESUMEN VIGILANCIA'!A20</f>
        <v>Familia Franco Gómez</v>
      </c>
      <c r="B20" s="31" t="str">
        <f>'RESUMEN VIGILANCIA'!B20</f>
        <v>Calle Guacara Nro. 87-07</v>
      </c>
      <c r="C20" s="182">
        <f>SUMIFS(Vigilancia!$E:$E,Vigilancia!$F:$F,$A20,Vigilancia!$J:$J,C$1)</f>
        <v>7.0000000000000007E-2</v>
      </c>
      <c r="D20" s="182">
        <f>SUMIFS(Vigilancia!$E:$E,Vigilancia!$F:$F,$A20,Vigilancia!$J:$J,D$1)</f>
        <v>3.5</v>
      </c>
      <c r="E20" s="305">
        <f>SUMIFS(Vigilancia!$E:$E,Vigilancia!$F:$F,$A20,Vigilancia!$J:$J,E$1)</f>
        <v>12.2</v>
      </c>
      <c r="F20" s="305">
        <f>SUMIFS(Vigilancia!$E:$E,Vigilancia!$F:$F,$A20,Vigilancia!$J:$J,F$1)</f>
        <v>10</v>
      </c>
      <c r="G20" s="182">
        <f>SUMIFS(Vigilancia!$E:$E,Vigilancia!$F:$F,$A20,Vigilancia!$J:$J,G$1)</f>
        <v>0</v>
      </c>
      <c r="H20" s="182">
        <f>SUMIFS(Vigilancia!$E:$E,Vigilancia!$F:$F,$A20,Vigilancia!$J:$J,H$1)</f>
        <v>0</v>
      </c>
      <c r="I20" s="182">
        <f>SUMIFS(Vigilancia!$E:$E,Vigilancia!$F:$F,$A20,Vigilancia!$J:$J,I$1)</f>
        <v>0</v>
      </c>
      <c r="J20" s="182">
        <f>SUMIFS(Vigilancia!$E:$E,Vigilancia!$F:$F,$A20,Vigilancia!$J:$J,J$1)</f>
        <v>0</v>
      </c>
    </row>
    <row r="21" spans="1:10" x14ac:dyDescent="0.25">
      <c r="A21" s="37" t="str">
        <f>'RESUMEN VIGILANCIA'!A21</f>
        <v>Doris Valderrama</v>
      </c>
      <c r="B21" s="38" t="str">
        <f>'RESUMEN VIGILANCIA'!B21</f>
        <v>Calle Guacara Nro. 87-15</v>
      </c>
      <c r="C21" s="200">
        <f>SUMIFS(Vigilancia!$E:$E,Vigilancia!$F:$F,$A21,Vigilancia!$J:$J,C$1)</f>
        <v>0</v>
      </c>
      <c r="D21" s="200">
        <f>SUMIFS(Vigilancia!$E:$E,Vigilancia!$F:$F,$A21,Vigilancia!$J:$J,D$1)</f>
        <v>0</v>
      </c>
      <c r="E21" s="200">
        <f>SUMIFS(Vigilancia!$E:$E,Vigilancia!$F:$F,$A21,Vigilancia!$J:$J,E$1)</f>
        <v>0</v>
      </c>
      <c r="F21" s="200">
        <f>SUMIFS(Vigilancia!$E:$E,Vigilancia!$F:$F,$A21,Vigilancia!$J:$J,F$1)</f>
        <v>0</v>
      </c>
      <c r="G21" s="200">
        <f>SUMIFS(Vigilancia!$E:$E,Vigilancia!$F:$F,$A21,Vigilancia!$J:$J,G$1)</f>
        <v>0</v>
      </c>
      <c r="H21" s="200">
        <f>SUMIFS(Vigilancia!$E:$E,Vigilancia!$F:$F,$A21,Vigilancia!$J:$J,H$1)</f>
        <v>0</v>
      </c>
      <c r="I21" s="200">
        <f>SUMIFS(Vigilancia!$E:$E,Vigilancia!$F:$F,$A21,Vigilancia!$J:$J,I$1)</f>
        <v>0</v>
      </c>
      <c r="J21" s="200">
        <f>SUMIFS(Vigilancia!$E:$E,Vigilancia!$F:$F,$A21,Vigilancia!$J:$J,J$1)</f>
        <v>0</v>
      </c>
    </row>
    <row r="22" spans="1:10" x14ac:dyDescent="0.25">
      <c r="A22" s="37" t="str">
        <f>'RESUMEN VIGILANCIA'!A22</f>
        <v>Familia Delgado</v>
      </c>
      <c r="B22" s="38" t="str">
        <f>'RESUMEN VIGILANCIA'!B22</f>
        <v>Calle Guacara Nro. 87-19</v>
      </c>
      <c r="C22" s="200">
        <f>SUMIFS(Vigilancia!$E:$E,Vigilancia!$F:$F,$A22,Vigilancia!$J:$J,C$1)</f>
        <v>0</v>
      </c>
      <c r="D22" s="200">
        <f>SUMIFS(Vigilancia!$E:$E,Vigilancia!$F:$F,$A22,Vigilancia!$J:$J,D$1)</f>
        <v>0</v>
      </c>
      <c r="E22" s="200">
        <f>SUMIFS(Vigilancia!$E:$E,Vigilancia!$F:$F,$A22,Vigilancia!$J:$J,E$1)</f>
        <v>0</v>
      </c>
      <c r="F22" s="200">
        <f>SUMIFS(Vigilancia!$E:$E,Vigilancia!$F:$F,$A22,Vigilancia!$J:$J,F$1)</f>
        <v>0</v>
      </c>
      <c r="G22" s="200">
        <f>SUMIFS(Vigilancia!$E:$E,Vigilancia!$F:$F,$A22,Vigilancia!$J:$J,G$1)</f>
        <v>0</v>
      </c>
      <c r="H22" s="200">
        <f>SUMIFS(Vigilancia!$E:$E,Vigilancia!$F:$F,$A22,Vigilancia!$J:$J,H$1)</f>
        <v>0</v>
      </c>
      <c r="I22" s="200">
        <f>SUMIFS(Vigilancia!$E:$E,Vigilancia!$F:$F,$A22,Vigilancia!$J:$J,I$1)</f>
        <v>0</v>
      </c>
      <c r="J22" s="200">
        <f>SUMIFS(Vigilancia!$E:$E,Vigilancia!$F:$F,$A22,Vigilancia!$J:$J,J$1)</f>
        <v>0</v>
      </c>
    </row>
    <row r="23" spans="1:10" x14ac:dyDescent="0.25">
      <c r="A23" s="37" t="str">
        <f>'RESUMEN VIGILANCIA'!A23</f>
        <v>Familia Pereira</v>
      </c>
      <c r="B23" s="38" t="str">
        <f>'RESUMEN VIGILANCIA'!B23</f>
        <v>Calle Guacara Nro. 87-27</v>
      </c>
      <c r="C23" s="200">
        <f>SUMIFS(Vigilancia!$E:$E,Vigilancia!$F:$F,$A23,Vigilancia!$J:$J,C$1)</f>
        <v>0</v>
      </c>
      <c r="D23" s="200">
        <f>SUMIFS(Vigilancia!$E:$E,Vigilancia!$F:$F,$A23,Vigilancia!$J:$J,D$1)</f>
        <v>0</v>
      </c>
      <c r="E23" s="200">
        <f>SUMIFS(Vigilancia!$E:$E,Vigilancia!$F:$F,$A23,Vigilancia!$J:$J,E$1)</f>
        <v>0</v>
      </c>
      <c r="F23" s="200">
        <f>SUMIFS(Vigilancia!$E:$E,Vigilancia!$F:$F,$A23,Vigilancia!$J:$J,F$1)</f>
        <v>0</v>
      </c>
      <c r="G23" s="200">
        <f>SUMIFS(Vigilancia!$E:$E,Vigilancia!$F:$F,$A23,Vigilancia!$J:$J,G$1)</f>
        <v>0</v>
      </c>
      <c r="H23" s="200">
        <f>SUMIFS(Vigilancia!$E:$E,Vigilancia!$F:$F,$A23,Vigilancia!$J:$J,H$1)</f>
        <v>0</v>
      </c>
      <c r="I23" s="200">
        <f>SUMIFS(Vigilancia!$E:$E,Vigilancia!$F:$F,$A23,Vigilancia!$J:$J,I$1)</f>
        <v>0</v>
      </c>
      <c r="J23" s="200">
        <f>SUMIFS(Vigilancia!$E:$E,Vigilancia!$F:$F,$A23,Vigilancia!$J:$J,J$1)</f>
        <v>0</v>
      </c>
    </row>
    <row r="24" spans="1:10" x14ac:dyDescent="0.25">
      <c r="A24" s="37" t="str">
        <f>'RESUMEN VIGILANCIA'!A24</f>
        <v>Familia Padrón C. Bollingher</v>
      </c>
      <c r="B24" s="38" t="str">
        <f>'RESUMEN VIGILANCIA'!B24</f>
        <v>Calle Guacara Nro. 87-30</v>
      </c>
      <c r="C24" s="200">
        <f>SUMIFS(Vigilancia!$E:$E,Vigilancia!$F:$F,$A24,Vigilancia!$J:$J,C$1)</f>
        <v>0</v>
      </c>
      <c r="D24" s="200">
        <f>SUMIFS(Vigilancia!$E:$E,Vigilancia!$F:$F,$A24,Vigilancia!$J:$J,D$1)</f>
        <v>0</v>
      </c>
      <c r="E24" s="200">
        <f>SUMIFS(Vigilancia!$E:$E,Vigilancia!$F:$F,$A24,Vigilancia!$J:$J,E$1)</f>
        <v>0</v>
      </c>
      <c r="F24" s="200">
        <f>SUMIFS(Vigilancia!$E:$E,Vigilancia!$F:$F,$A24,Vigilancia!$J:$J,F$1)</f>
        <v>0</v>
      </c>
      <c r="G24" s="200">
        <f>SUMIFS(Vigilancia!$E:$E,Vigilancia!$F:$F,$A24,Vigilancia!$J:$J,G$1)</f>
        <v>0</v>
      </c>
      <c r="H24" s="200">
        <f>SUMIFS(Vigilancia!$E:$E,Vigilancia!$F:$F,$A24,Vigilancia!$J:$J,H$1)</f>
        <v>0</v>
      </c>
      <c r="I24" s="200">
        <f>SUMIFS(Vigilancia!$E:$E,Vigilancia!$F:$F,$A24,Vigilancia!$J:$J,I$1)</f>
        <v>0</v>
      </c>
      <c r="J24" s="200">
        <f>SUMIFS(Vigilancia!$E:$E,Vigilancia!$F:$F,$A24,Vigilancia!$J:$J,J$1)</f>
        <v>0</v>
      </c>
    </row>
    <row r="25" spans="1:10" x14ac:dyDescent="0.25">
      <c r="A25" s="37" t="str">
        <f>'RESUMEN VIGILANCIA'!A25</f>
        <v>Familia Morillo</v>
      </c>
      <c r="B25" s="38" t="str">
        <f>'RESUMEN VIGILANCIA'!B25</f>
        <v>Calle Guacara Nro. 87-35</v>
      </c>
      <c r="C25" s="200">
        <f>SUMIFS(Vigilancia!$E:$E,Vigilancia!$F:$F,$A25,Vigilancia!$J:$J,C$1)</f>
        <v>0</v>
      </c>
      <c r="D25" s="200">
        <f>SUMIFS(Vigilancia!$E:$E,Vigilancia!$F:$F,$A25,Vigilancia!$J:$J,D$1)</f>
        <v>0</v>
      </c>
      <c r="E25" s="200">
        <f>SUMIFS(Vigilancia!$E:$E,Vigilancia!$F:$F,$A25,Vigilancia!$J:$J,E$1)</f>
        <v>0</v>
      </c>
      <c r="F25" s="200">
        <f>SUMIFS(Vigilancia!$E:$E,Vigilancia!$F:$F,$A25,Vigilancia!$J:$J,F$1)</f>
        <v>0</v>
      </c>
      <c r="G25" s="200">
        <f>SUMIFS(Vigilancia!$E:$E,Vigilancia!$F:$F,$A25,Vigilancia!$J:$J,G$1)</f>
        <v>0</v>
      </c>
      <c r="H25" s="200">
        <f>SUMIFS(Vigilancia!$E:$E,Vigilancia!$F:$F,$A25,Vigilancia!$J:$J,H$1)</f>
        <v>0</v>
      </c>
      <c r="I25" s="200">
        <f>SUMIFS(Vigilancia!$E:$E,Vigilancia!$F:$F,$A25,Vigilancia!$J:$J,I$1)</f>
        <v>0</v>
      </c>
      <c r="J25" s="200">
        <f>SUMIFS(Vigilancia!$E:$E,Vigilancia!$F:$F,$A25,Vigilancia!$J:$J,J$1)</f>
        <v>0</v>
      </c>
    </row>
    <row r="26" spans="1:10" x14ac:dyDescent="0.25">
      <c r="A26" s="37" t="str">
        <f>'RESUMEN VIGILANCIA'!A26</f>
        <v>Familia Gorrín Gianfrancesco</v>
      </c>
      <c r="B26" s="38" t="str">
        <f>'RESUMEN VIGILANCIA'!B26</f>
        <v>Calle Guacara Nro. 87-40</v>
      </c>
      <c r="C26" s="200">
        <f>SUMIFS(Vigilancia!$E:$E,Vigilancia!$F:$F,$A26,Vigilancia!$J:$J,C$1)</f>
        <v>0</v>
      </c>
      <c r="D26" s="200">
        <f>SUMIFS(Vigilancia!$E:$E,Vigilancia!$F:$F,$A26,Vigilancia!$J:$J,D$1)</f>
        <v>0</v>
      </c>
      <c r="E26" s="200">
        <f>SUMIFS(Vigilancia!$E:$E,Vigilancia!$F:$F,$A26,Vigilancia!$J:$J,E$1)</f>
        <v>0</v>
      </c>
      <c r="F26" s="200">
        <f>SUMIFS(Vigilancia!$E:$E,Vigilancia!$F:$F,$A26,Vigilancia!$J:$J,F$1)</f>
        <v>0</v>
      </c>
      <c r="G26" s="200">
        <f>SUMIFS(Vigilancia!$E:$E,Vigilancia!$F:$F,$A26,Vigilancia!$J:$J,G$1)</f>
        <v>0</v>
      </c>
      <c r="H26" s="200">
        <f>SUMIFS(Vigilancia!$E:$E,Vigilancia!$F:$F,$A26,Vigilancia!$J:$J,H$1)</f>
        <v>0</v>
      </c>
      <c r="I26" s="200">
        <f>SUMIFS(Vigilancia!$E:$E,Vigilancia!$F:$F,$A26,Vigilancia!$J:$J,I$1)</f>
        <v>0</v>
      </c>
      <c r="J26" s="200">
        <f>SUMIFS(Vigilancia!$E:$E,Vigilancia!$F:$F,$A26,Vigilancia!$J:$J,J$1)</f>
        <v>0</v>
      </c>
    </row>
    <row r="27" spans="1:10" x14ac:dyDescent="0.25">
      <c r="A27" s="37" t="str">
        <f>'RESUMEN VIGILANCIA'!A27</f>
        <v>Familia Moretti</v>
      </c>
      <c r="B27" s="38" t="str">
        <f>'RESUMEN VIGILANCIA'!B27</f>
        <v>Calle Guacara Nro. 87-51</v>
      </c>
      <c r="C27" s="200">
        <f>SUMIFS(Vigilancia!$E:$E,Vigilancia!$F:$F,$A27,Vigilancia!$J:$J,C$1)</f>
        <v>0</v>
      </c>
      <c r="D27" s="200">
        <f>SUMIFS(Vigilancia!$E:$E,Vigilancia!$F:$F,$A27,Vigilancia!$J:$J,D$1)</f>
        <v>0</v>
      </c>
      <c r="E27" s="200">
        <f>SUMIFS(Vigilancia!$E:$E,Vigilancia!$F:$F,$A27,Vigilancia!$J:$J,E$1)</f>
        <v>0</v>
      </c>
      <c r="F27" s="200">
        <f>SUMIFS(Vigilancia!$E:$E,Vigilancia!$F:$F,$A27,Vigilancia!$J:$J,F$1)</f>
        <v>0</v>
      </c>
      <c r="G27" s="200">
        <f>SUMIFS(Vigilancia!$E:$E,Vigilancia!$F:$F,$A27,Vigilancia!$J:$J,G$1)</f>
        <v>0</v>
      </c>
      <c r="H27" s="200">
        <f>SUMIFS(Vigilancia!$E:$E,Vigilancia!$F:$F,$A27,Vigilancia!$J:$J,H$1)</f>
        <v>0</v>
      </c>
      <c r="I27" s="200">
        <f>SUMIFS(Vigilancia!$E:$E,Vigilancia!$F:$F,$A27,Vigilancia!$J:$J,I$1)</f>
        <v>0</v>
      </c>
      <c r="J27" s="200">
        <f>SUMIFS(Vigilancia!$E:$E,Vigilancia!$F:$F,$A27,Vigilancia!$J:$J,J$1)</f>
        <v>0</v>
      </c>
    </row>
    <row r="28" spans="1:10" x14ac:dyDescent="0.25">
      <c r="A28" s="37" t="str">
        <f>'RESUMEN VIGILANCIA'!A28</f>
        <v>Familia Ramírez (Guacara)</v>
      </c>
      <c r="B28" s="38" t="str">
        <f>'RESUMEN VIGILANCIA'!B28</f>
        <v>Calle Guacara Nro. 87-59</v>
      </c>
      <c r="C28" s="200">
        <f>SUMIFS(Vigilancia!$E:$E,Vigilancia!$F:$F,$A28,Vigilancia!$J:$J,C$1)</f>
        <v>0</v>
      </c>
      <c r="D28" s="200">
        <f>SUMIFS(Vigilancia!$E:$E,Vigilancia!$F:$F,$A28,Vigilancia!$J:$J,D$1)</f>
        <v>0</v>
      </c>
      <c r="E28" s="200">
        <f>SUMIFS(Vigilancia!$E:$E,Vigilancia!$F:$F,$A28,Vigilancia!$J:$J,E$1)</f>
        <v>0</v>
      </c>
      <c r="F28" s="200">
        <f>SUMIFS(Vigilancia!$E:$E,Vigilancia!$F:$F,$A28,Vigilancia!$J:$J,F$1)</f>
        <v>0</v>
      </c>
      <c r="G28" s="200">
        <f>SUMIFS(Vigilancia!$E:$E,Vigilancia!$F:$F,$A28,Vigilancia!$J:$J,G$1)</f>
        <v>0</v>
      </c>
      <c r="H28" s="200">
        <f>SUMIFS(Vigilancia!$E:$E,Vigilancia!$F:$F,$A28,Vigilancia!$J:$J,H$1)</f>
        <v>0</v>
      </c>
      <c r="I28" s="200">
        <f>SUMIFS(Vigilancia!$E:$E,Vigilancia!$F:$F,$A28,Vigilancia!$J:$J,I$1)</f>
        <v>0</v>
      </c>
      <c r="J28" s="200">
        <f>SUMIFS(Vigilancia!$E:$E,Vigilancia!$F:$F,$A28,Vigilancia!$J:$J,J$1)</f>
        <v>0</v>
      </c>
    </row>
    <row r="29" spans="1:10" x14ac:dyDescent="0.25">
      <c r="A29" s="37" t="str">
        <f>'RESUMEN VIGILANCIA'!A29</f>
        <v>Familia De Sousa Pereira</v>
      </c>
      <c r="B29" s="38" t="str">
        <f>'RESUMEN VIGILANCIA'!B29</f>
        <v>Calle Guacara Nro. 87-65</v>
      </c>
      <c r="C29" s="200">
        <f>SUMIFS(Vigilancia!$E:$E,Vigilancia!$F:$F,$A29,Vigilancia!$J:$J,C$1)</f>
        <v>0</v>
      </c>
      <c r="D29" s="200">
        <f>SUMIFS(Vigilancia!$E:$E,Vigilancia!$F:$F,$A29,Vigilancia!$J:$J,D$1)</f>
        <v>0</v>
      </c>
      <c r="E29" s="200">
        <f>SUMIFS(Vigilancia!$E:$E,Vigilancia!$F:$F,$A29,Vigilancia!$J:$J,E$1)</f>
        <v>0</v>
      </c>
      <c r="F29" s="200">
        <f>SUMIFS(Vigilancia!$E:$E,Vigilancia!$F:$F,$A29,Vigilancia!$J:$J,F$1)</f>
        <v>0</v>
      </c>
      <c r="G29" s="200">
        <f>SUMIFS(Vigilancia!$E:$E,Vigilancia!$F:$F,$A29,Vigilancia!$J:$J,G$1)</f>
        <v>0</v>
      </c>
      <c r="H29" s="200">
        <f>SUMIFS(Vigilancia!$E:$E,Vigilancia!$F:$F,$A29,Vigilancia!$J:$J,H$1)</f>
        <v>0</v>
      </c>
      <c r="I29" s="200">
        <f>SUMIFS(Vigilancia!$E:$E,Vigilancia!$F:$F,$A29,Vigilancia!$J:$J,I$1)</f>
        <v>0</v>
      </c>
      <c r="J29" s="200">
        <f>SUMIFS(Vigilancia!$E:$E,Vigilancia!$F:$F,$A29,Vigilancia!$J:$J,J$1)</f>
        <v>0</v>
      </c>
    </row>
    <row r="30" spans="1:10" x14ac:dyDescent="0.25">
      <c r="A30" s="37" t="str">
        <f>'RESUMEN VIGILANCIA'!A30</f>
        <v>Familia De Libero Marinelli</v>
      </c>
      <c r="B30" s="38" t="str">
        <f>'RESUMEN VIGILANCIA'!B30</f>
        <v>Calle Guacara Nro. 87-70</v>
      </c>
      <c r="C30" s="200">
        <f>SUMIFS(Vigilancia!$E:$E,Vigilancia!$F:$F,$A30,Vigilancia!$J:$J,C$1)</f>
        <v>0</v>
      </c>
      <c r="D30" s="200">
        <f>SUMIFS(Vigilancia!$E:$E,Vigilancia!$F:$F,$A30,Vigilancia!$J:$J,D$1)</f>
        <v>0</v>
      </c>
      <c r="E30" s="200">
        <f>SUMIFS(Vigilancia!$E:$E,Vigilancia!$F:$F,$A30,Vigilancia!$J:$J,E$1)</f>
        <v>0</v>
      </c>
      <c r="F30" s="200">
        <f>SUMIFS(Vigilancia!$E:$E,Vigilancia!$F:$F,$A30,Vigilancia!$J:$J,F$1)</f>
        <v>0</v>
      </c>
      <c r="G30" s="200">
        <f>SUMIFS(Vigilancia!$E:$E,Vigilancia!$F:$F,$A30,Vigilancia!$J:$J,G$1)</f>
        <v>0</v>
      </c>
      <c r="H30" s="200">
        <f>SUMIFS(Vigilancia!$E:$E,Vigilancia!$F:$F,$A30,Vigilancia!$J:$J,H$1)</f>
        <v>0</v>
      </c>
      <c r="I30" s="200">
        <f>SUMIFS(Vigilancia!$E:$E,Vigilancia!$F:$F,$A30,Vigilancia!$J:$J,I$1)</f>
        <v>0</v>
      </c>
      <c r="J30" s="200">
        <f>SUMIFS(Vigilancia!$E:$E,Vigilancia!$F:$F,$A30,Vigilancia!$J:$J,J$1)</f>
        <v>0</v>
      </c>
    </row>
    <row r="31" spans="1:10" x14ac:dyDescent="0.25">
      <c r="A31" s="37" t="str">
        <f>'RESUMEN VIGILANCIA'!A31</f>
        <v>Familia Martínez</v>
      </c>
      <c r="B31" s="38" t="str">
        <f>'RESUMEN VIGILANCIA'!B31</f>
        <v>Calle Guacara Nro. 87-80</v>
      </c>
      <c r="C31" s="200">
        <f>SUMIFS(Vigilancia!$E:$E,Vigilancia!$F:$F,$A31,Vigilancia!$J:$J,C$1)</f>
        <v>0</v>
      </c>
      <c r="D31" s="200">
        <f>SUMIFS(Vigilancia!$E:$E,Vigilancia!$F:$F,$A31,Vigilancia!$J:$J,D$1)</f>
        <v>0</v>
      </c>
      <c r="E31" s="200">
        <f>SUMIFS(Vigilancia!$E:$E,Vigilancia!$F:$F,$A31,Vigilancia!$J:$J,E$1)</f>
        <v>0</v>
      </c>
      <c r="F31" s="200">
        <f>SUMIFS(Vigilancia!$E:$E,Vigilancia!$F:$F,$A31,Vigilancia!$J:$J,F$1)</f>
        <v>0</v>
      </c>
      <c r="G31" s="200">
        <f>SUMIFS(Vigilancia!$E:$E,Vigilancia!$F:$F,$A31,Vigilancia!$J:$J,G$1)</f>
        <v>0</v>
      </c>
      <c r="H31" s="200">
        <f>SUMIFS(Vigilancia!$E:$E,Vigilancia!$F:$F,$A31,Vigilancia!$J:$J,H$1)</f>
        <v>0</v>
      </c>
      <c r="I31" s="200">
        <f>SUMIFS(Vigilancia!$E:$E,Vigilancia!$F:$F,$A31,Vigilancia!$J:$J,I$1)</f>
        <v>0</v>
      </c>
      <c r="J31" s="200">
        <f>SUMIFS(Vigilancia!$E:$E,Vigilancia!$F:$F,$A31,Vigilancia!$J:$J,J$1)</f>
        <v>0</v>
      </c>
    </row>
    <row r="32" spans="1:10" x14ac:dyDescent="0.25">
      <c r="A32" s="37" t="str">
        <f>'RESUMEN VIGILANCIA'!A32</f>
        <v>Familia Suarez</v>
      </c>
      <c r="B32" s="38" t="str">
        <f>'RESUMEN VIGILANCIA'!B32</f>
        <v>Calle Guacara Nro. 87-82</v>
      </c>
      <c r="C32" s="200">
        <f>SUMIFS(Vigilancia!$E:$E,Vigilancia!$F:$F,$A32,Vigilancia!$J:$J,C$1)</f>
        <v>0</v>
      </c>
      <c r="D32" s="200">
        <f>SUMIFS(Vigilancia!$E:$E,Vigilancia!$F:$F,$A32,Vigilancia!$J:$J,D$1)</f>
        <v>0</v>
      </c>
      <c r="E32" s="200">
        <f>SUMIFS(Vigilancia!$E:$E,Vigilancia!$F:$F,$A32,Vigilancia!$J:$J,E$1)</f>
        <v>0</v>
      </c>
      <c r="F32" s="200">
        <f>SUMIFS(Vigilancia!$E:$E,Vigilancia!$F:$F,$A32,Vigilancia!$J:$J,F$1)</f>
        <v>0</v>
      </c>
      <c r="G32" s="200">
        <f>SUMIFS(Vigilancia!$E:$E,Vigilancia!$F:$F,$A32,Vigilancia!$J:$J,G$1)</f>
        <v>0</v>
      </c>
      <c r="H32" s="200">
        <f>SUMIFS(Vigilancia!$E:$E,Vigilancia!$F:$F,$A32,Vigilancia!$J:$J,H$1)</f>
        <v>0</v>
      </c>
      <c r="I32" s="200">
        <f>SUMIFS(Vigilancia!$E:$E,Vigilancia!$F:$F,$A32,Vigilancia!$J:$J,I$1)</f>
        <v>0</v>
      </c>
      <c r="J32" s="200">
        <f>SUMIFS(Vigilancia!$E:$E,Vigilancia!$F:$F,$A32,Vigilancia!$J:$J,J$1)</f>
        <v>0</v>
      </c>
    </row>
    <row r="33" spans="1:11" x14ac:dyDescent="0.25">
      <c r="A33" s="30" t="str">
        <f>'RESUMEN VIGILANCIA'!A33</f>
        <v>Chin Chun Ya (Goya)</v>
      </c>
      <c r="B33" s="31" t="str">
        <f>'RESUMEN VIGILANCIA'!B33</f>
        <v>Calle Guacara Nro. 87-86</v>
      </c>
      <c r="C33" s="182">
        <f>SUMIFS(Vigilancia!$E:$E,Vigilancia!$F:$F,$A33,Vigilancia!$J:$J,C$1)</f>
        <v>7.0000000000000007E-2</v>
      </c>
      <c r="D33" s="182">
        <f>SUMIFS(Vigilancia!$E:$E,Vigilancia!$F:$F,$A33,Vigilancia!$J:$J,D$1)</f>
        <v>3.5</v>
      </c>
      <c r="E33" s="305">
        <f>SUMIFS(Vigilancia!$E:$E,Vigilancia!$F:$F,$A33,Vigilancia!$J:$J,E$1)</f>
        <v>12.2</v>
      </c>
      <c r="F33" s="305">
        <f>SUMIFS(Vigilancia!$E:$E,Vigilancia!$F:$F,$A33,Vigilancia!$J:$J,F$1)</f>
        <v>10</v>
      </c>
      <c r="G33" s="182">
        <f>SUMIFS(Vigilancia!$E:$E,Vigilancia!$F:$F,$A33,Vigilancia!$J:$J,G$1)</f>
        <v>0</v>
      </c>
      <c r="H33" s="182">
        <f>SUMIFS(Vigilancia!$E:$E,Vigilancia!$F:$F,$A33,Vigilancia!$J:$J,H$1)</f>
        <v>0</v>
      </c>
      <c r="I33" s="182">
        <f>SUMIFS(Vigilancia!$E:$E,Vigilancia!$F:$F,$A33,Vigilancia!$J:$J,I$1)</f>
        <v>0</v>
      </c>
      <c r="J33" s="182">
        <f>SUMIFS(Vigilancia!$E:$E,Vigilancia!$F:$F,$A33,Vigilancia!$J:$J,J$1)</f>
        <v>0</v>
      </c>
    </row>
    <row r="34" spans="1:11" x14ac:dyDescent="0.25">
      <c r="A34" s="30" t="str">
        <f>'RESUMEN VIGILANCIA'!A34</f>
        <v>Teresita Román</v>
      </c>
      <c r="B34" s="31" t="str">
        <f>'RESUMEN VIGILANCIA'!B34</f>
        <v>Calle Guacara Nro. 87-90</v>
      </c>
      <c r="C34" s="182">
        <f>SUMIFS(Vigilancia!$E:$E,Vigilancia!$F:$F,$A34,Vigilancia!$J:$J,C$1)</f>
        <v>0</v>
      </c>
      <c r="D34" s="182">
        <f>SUMIFS(Vigilancia!$E:$E,Vigilancia!$F:$F,$A34,Vigilancia!$J:$J,D$1)</f>
        <v>0</v>
      </c>
      <c r="E34" s="305">
        <f>SUMIFS(Vigilancia!$E:$E,Vigilancia!$F:$F,$A34,Vigilancia!$J:$J,E$1)</f>
        <v>0</v>
      </c>
      <c r="F34" s="305">
        <f>SUMIFS(Vigilancia!$E:$E,Vigilancia!$F:$F,$A34,Vigilancia!$J:$J,F$1)</f>
        <v>0</v>
      </c>
      <c r="G34" s="182">
        <f>SUMIFS(Vigilancia!$E:$E,Vigilancia!$F:$F,$A34,Vigilancia!$J:$J,G$1)</f>
        <v>0</v>
      </c>
      <c r="H34" s="182">
        <f>SUMIFS(Vigilancia!$E:$E,Vigilancia!$F:$F,$A34,Vigilancia!$J:$J,H$1)</f>
        <v>0</v>
      </c>
      <c r="I34" s="182">
        <f>SUMIFS(Vigilancia!$E:$E,Vigilancia!$F:$F,$A34,Vigilancia!$J:$J,I$1)</f>
        <v>0</v>
      </c>
      <c r="J34" s="182">
        <f>SUMIFS(Vigilancia!$E:$E,Vigilancia!$F:$F,$A34,Vigilancia!$J:$J,J$1)</f>
        <v>0</v>
      </c>
    </row>
    <row r="35" spans="1:11" x14ac:dyDescent="0.25">
      <c r="A35" s="30" t="str">
        <f>'RESUMEN VIGILANCIA'!A35</f>
        <v>Familia Puerta Burguillos</v>
      </c>
      <c r="B35" s="31" t="str">
        <f>'RESUMEN VIGILANCIA'!B35</f>
        <v>Calle Guacara Nro. 87-100</v>
      </c>
      <c r="C35" s="182">
        <f>SUMIFS(Vigilancia!$E:$E,Vigilancia!$F:$F,$A35,Vigilancia!$J:$J,C$1)</f>
        <v>7.0000000000000007E-2</v>
      </c>
      <c r="D35" s="182">
        <f>SUMIFS(Vigilancia!$E:$E,Vigilancia!$F:$F,$A35,Vigilancia!$J:$J,D$1)</f>
        <v>3.5</v>
      </c>
      <c r="E35" s="305">
        <f>SUMIFS(Vigilancia!$E:$E,Vigilancia!$F:$F,$A35,Vigilancia!$J:$J,E$1)</f>
        <v>12.2</v>
      </c>
      <c r="F35" s="305">
        <f>SUMIFS(Vigilancia!$E:$E,Vigilancia!$F:$F,$A35,Vigilancia!$J:$J,F$1)</f>
        <v>10</v>
      </c>
      <c r="G35" s="182">
        <f>SUMIFS(Vigilancia!$E:$E,Vigilancia!$F:$F,$A35,Vigilancia!$J:$J,G$1)</f>
        <v>0</v>
      </c>
      <c r="H35" s="182">
        <f>SUMIFS(Vigilancia!$E:$E,Vigilancia!$F:$F,$A35,Vigilancia!$J:$J,H$1)</f>
        <v>0</v>
      </c>
      <c r="I35" s="182">
        <f>SUMIFS(Vigilancia!$E:$E,Vigilancia!$F:$F,$A35,Vigilancia!$J:$J,I$1)</f>
        <v>0</v>
      </c>
      <c r="J35" s="182">
        <f>SUMIFS(Vigilancia!$E:$E,Vigilancia!$F:$F,$A35,Vigilancia!$J:$J,J$1)</f>
        <v>0</v>
      </c>
    </row>
    <row r="36" spans="1:11" x14ac:dyDescent="0.25">
      <c r="A36" s="30" t="str">
        <f>'RESUMEN VIGILANCIA'!A36</f>
        <v>Familia Méndez Parra</v>
      </c>
      <c r="B36" s="31" t="str">
        <f>'RESUMEN VIGILANCIA'!B36</f>
        <v>Calle Guacara Nro. 88-19</v>
      </c>
      <c r="C36" s="182">
        <f>SUMIFS(Vigilancia!$E:$E,Vigilancia!$F:$F,$A36,Vigilancia!$J:$J,C$1)</f>
        <v>4.3200000000000002E-2</v>
      </c>
      <c r="D36" s="182">
        <f>SUMIFS(Vigilancia!$E:$E,Vigilancia!$F:$F,$A36,Vigilancia!$J:$J,D$1)</f>
        <v>3.5</v>
      </c>
      <c r="E36" s="305">
        <f>SUMIFS(Vigilancia!$E:$E,Vigilancia!$F:$F,$A36,Vigilancia!$J:$J,E$1)</f>
        <v>12</v>
      </c>
      <c r="F36" s="305">
        <f>SUMIFS(Vigilancia!$E:$E,Vigilancia!$F:$F,$A36,Vigilancia!$J:$J,F$1)</f>
        <v>0</v>
      </c>
      <c r="G36" s="182">
        <f>SUMIFS(Vigilancia!$E:$E,Vigilancia!$F:$F,$A36,Vigilancia!$J:$J,G$1)</f>
        <v>0</v>
      </c>
      <c r="H36" s="182">
        <f>SUMIFS(Vigilancia!$E:$E,Vigilancia!$F:$F,$A36,Vigilancia!$J:$J,H$1)</f>
        <v>0</v>
      </c>
      <c r="I36" s="182">
        <f>SUMIFS(Vigilancia!$E:$E,Vigilancia!$F:$F,$A36,Vigilancia!$J:$J,I$1)</f>
        <v>0</v>
      </c>
      <c r="J36" s="182">
        <f>SUMIFS(Vigilancia!$E:$E,Vigilancia!$F:$F,$A36,Vigilancia!$J:$J,J$1)</f>
        <v>0</v>
      </c>
    </row>
    <row r="37" spans="1:11" x14ac:dyDescent="0.25">
      <c r="A37" s="30" t="str">
        <f>'RESUMEN VIGILANCIA'!A37</f>
        <v>Victoria Francischiello</v>
      </c>
      <c r="B37" s="31" t="str">
        <f>'RESUMEN VIGILANCIA'!B37</f>
        <v>Calle Guacara Nro. 88-25</v>
      </c>
      <c r="C37" s="182">
        <f>SUMIFS(Vigilancia!$E:$E,Vigilancia!$F:$F,$A37,Vigilancia!$J:$J,C$1)</f>
        <v>0.05</v>
      </c>
      <c r="D37" s="182">
        <f>SUMIFS(Vigilancia!$E:$E,Vigilancia!$F:$F,$A37,Vigilancia!$J:$J,D$1)</f>
        <v>3.5</v>
      </c>
      <c r="E37" s="305">
        <f>SUMIFS(Vigilancia!$E:$E,Vigilancia!$F:$F,$A37,Vigilancia!$J:$J,E$1)</f>
        <v>0</v>
      </c>
      <c r="F37" s="305">
        <f>SUMIFS(Vigilancia!$E:$E,Vigilancia!$F:$F,$A37,Vigilancia!$J:$J,F$1)</f>
        <v>10</v>
      </c>
      <c r="G37" s="182">
        <f>SUMIFS(Vigilancia!$E:$E,Vigilancia!$F:$F,$A37,Vigilancia!$J:$J,G$1)</f>
        <v>0</v>
      </c>
      <c r="H37" s="182">
        <f>SUMIFS(Vigilancia!$E:$E,Vigilancia!$F:$F,$A37,Vigilancia!$J:$J,H$1)</f>
        <v>0</v>
      </c>
      <c r="I37" s="182">
        <f>SUMIFS(Vigilancia!$E:$E,Vigilancia!$F:$F,$A37,Vigilancia!$J:$J,I$1)</f>
        <v>0</v>
      </c>
      <c r="J37" s="182">
        <f>SUMIFS(Vigilancia!$E:$E,Vigilancia!$F:$F,$A37,Vigilancia!$J:$J,J$1)</f>
        <v>0</v>
      </c>
    </row>
    <row r="38" spans="1:11" x14ac:dyDescent="0.25">
      <c r="A38" s="30" t="str">
        <f>'RESUMEN VIGILANCIA'!A38</f>
        <v>Familia Cegarra Villamizar</v>
      </c>
      <c r="B38" s="31" t="str">
        <f>'RESUMEN VIGILANCIA'!B38</f>
        <v>Calle Guacara Nro. 88-35</v>
      </c>
      <c r="C38" s="182">
        <f>SUMIFS(Vigilancia!$E:$E,Vigilancia!$F:$F,$A38,Vigilancia!$J:$J,C$1)</f>
        <v>7.0000000000000007E-2</v>
      </c>
      <c r="D38" s="182">
        <f>SUMIFS(Vigilancia!$E:$E,Vigilancia!$F:$F,$A38,Vigilancia!$J:$J,D$1)</f>
        <v>0</v>
      </c>
      <c r="E38" s="305">
        <f>SUMIFS(Vigilancia!$E:$E,Vigilancia!$F:$F,$A38,Vigilancia!$J:$J,E$1)</f>
        <v>0</v>
      </c>
      <c r="F38" s="305">
        <f>SUMIFS(Vigilancia!$E:$E,Vigilancia!$F:$F,$A38,Vigilancia!$J:$J,F$1)</f>
        <v>0</v>
      </c>
      <c r="G38" s="182">
        <f>SUMIFS(Vigilancia!$E:$E,Vigilancia!$F:$F,$A38,Vigilancia!$J:$J,G$1)</f>
        <v>0</v>
      </c>
      <c r="H38" s="182">
        <f>SUMIFS(Vigilancia!$E:$E,Vigilancia!$F:$F,$A38,Vigilancia!$J:$J,H$1)</f>
        <v>0</v>
      </c>
      <c r="I38" s="182">
        <f>SUMIFS(Vigilancia!$E:$E,Vigilancia!$F:$F,$A38,Vigilancia!$J:$J,I$1)</f>
        <v>0</v>
      </c>
      <c r="J38" s="182">
        <f>SUMIFS(Vigilancia!$E:$E,Vigilancia!$F:$F,$A38,Vigilancia!$J:$J,J$1)</f>
        <v>0</v>
      </c>
    </row>
    <row r="39" spans="1:11" x14ac:dyDescent="0.25">
      <c r="A39" s="30" t="str">
        <f>'RESUMEN VIGILANCIA'!A39</f>
        <v>Familia Del Negro Palermo</v>
      </c>
      <c r="B39" s="31" t="str">
        <f>'RESUMEN VIGILANCIA'!B39</f>
        <v>Calle Guacara Nro. 88-45</v>
      </c>
      <c r="C39" s="182">
        <f>SUMIFS(Vigilancia!$E:$E,Vigilancia!$F:$F,$A39,Vigilancia!$J:$J,C$1)</f>
        <v>0</v>
      </c>
      <c r="D39" s="182">
        <f>SUMIFS(Vigilancia!$E:$E,Vigilancia!$F:$F,$A39,Vigilancia!$J:$J,D$1)</f>
        <v>0</v>
      </c>
      <c r="E39" s="316">
        <f>SUMIFS(Vigilancia!$E:$E,Vigilancia!$F:$F,$A39,Vigilancia!$J:$J,E$1)</f>
        <v>0</v>
      </c>
      <c r="F39" s="316">
        <f>SUMIFS(Vigilancia!$E:$E,Vigilancia!$F:$F,$A39,Vigilancia!$J:$J,F$1)</f>
        <v>0</v>
      </c>
      <c r="G39" s="182">
        <f>SUMIFS(Vigilancia!$E:$E,Vigilancia!$F:$F,$A39,Vigilancia!$J:$J,G$1)</f>
        <v>0</v>
      </c>
      <c r="H39" s="182">
        <f>SUMIFS(Vigilancia!$E:$E,Vigilancia!$F:$F,$A39,Vigilancia!$J:$J,H$1)</f>
        <v>0</v>
      </c>
      <c r="I39" s="182">
        <f>SUMIFS(Vigilancia!$E:$E,Vigilancia!$F:$F,$A39,Vigilancia!$J:$J,I$1)</f>
        <v>0</v>
      </c>
      <c r="J39" s="182">
        <f>SUMIFS(Vigilancia!$E:$E,Vigilancia!$F:$F,$A39,Vigilancia!$J:$J,J$1)</f>
        <v>0</v>
      </c>
    </row>
    <row r="40" spans="1:11" x14ac:dyDescent="0.25">
      <c r="A40" s="30" t="str">
        <f>'RESUMEN VIGILANCIA'!A40</f>
        <v>Familia Hatem Medina</v>
      </c>
      <c r="B40" s="31" t="str">
        <f>'RESUMEN VIGILANCIA'!B40</f>
        <v>Calle Guacara Nro. 88-51</v>
      </c>
      <c r="C40" s="182">
        <f>SUMIFS(Vigilancia!$E:$E,Vigilancia!$F:$F,$A40,Vigilancia!$J:$J,C$1)</f>
        <v>0.03</v>
      </c>
      <c r="D40" s="182">
        <f>SUMIFS(Vigilancia!$E:$E,Vigilancia!$F:$F,$A40,Vigilancia!$J:$J,D$1)</f>
        <v>5</v>
      </c>
      <c r="E40" s="305">
        <f>SUMIFS(Vigilancia!$E:$E,Vigilancia!$F:$F,$A40,Vigilancia!$J:$J,E$1)</f>
        <v>8.5</v>
      </c>
      <c r="F40" s="305">
        <f>SUMIFS(Vigilancia!$E:$E,Vigilancia!$F:$F,$A40,Vigilancia!$J:$J,F$1)</f>
        <v>72</v>
      </c>
      <c r="G40" s="182">
        <f>SUMIFS(Vigilancia!$E:$E,Vigilancia!$F:$F,$A40,Vigilancia!$J:$J,G$1)</f>
        <v>0</v>
      </c>
      <c r="H40" s="182">
        <f>SUMIFS(Vigilancia!$E:$E,Vigilancia!$F:$F,$A40,Vigilancia!$J:$J,H$1)</f>
        <v>0</v>
      </c>
      <c r="I40" s="182">
        <f>SUMIFS(Vigilancia!$E:$E,Vigilancia!$F:$F,$A40,Vigilancia!$J:$J,I$1)</f>
        <v>0</v>
      </c>
      <c r="J40" s="182">
        <f>SUMIFS(Vigilancia!$E:$E,Vigilancia!$F:$F,$A40,Vigilancia!$J:$J,J$1)</f>
        <v>0</v>
      </c>
    </row>
    <row r="41" spans="1:11" x14ac:dyDescent="0.25">
      <c r="A41" s="30" t="str">
        <f>'RESUMEN VIGILANCIA'!A41</f>
        <v>Familia Leung</v>
      </c>
      <c r="B41" s="31" t="str">
        <f>'RESUMEN VIGILANCIA'!B41</f>
        <v>Calle Guacara Nro. 88-55</v>
      </c>
      <c r="C41" s="182">
        <f>SUMIFS(Vigilancia!$E:$E,Vigilancia!$F:$F,$A41,Vigilancia!$J:$J,C$1)</f>
        <v>0</v>
      </c>
      <c r="D41" s="182">
        <f>SUMIFS(Vigilancia!$E:$E,Vigilancia!$F:$F,$A41,Vigilancia!$J:$J,D$1)</f>
        <v>0</v>
      </c>
      <c r="E41" s="305">
        <f>SUMIFS(Vigilancia!$E:$E,Vigilancia!$F:$F,$A41,Vigilancia!$J:$J,E$1)</f>
        <v>0</v>
      </c>
      <c r="F41" s="305">
        <f>SUMIFS(Vigilancia!$E:$E,Vigilancia!$F:$F,$A41,Vigilancia!$J:$J,F$1)</f>
        <v>0</v>
      </c>
      <c r="G41" s="182">
        <f>SUMIFS(Vigilancia!$E:$E,Vigilancia!$F:$F,$A41,Vigilancia!$J:$J,G$1)</f>
        <v>0</v>
      </c>
      <c r="H41" s="182">
        <f>SUMIFS(Vigilancia!$E:$E,Vigilancia!$F:$F,$A41,Vigilancia!$J:$J,H$1)</f>
        <v>0</v>
      </c>
      <c r="I41" s="182">
        <f>SUMIFS(Vigilancia!$E:$E,Vigilancia!$F:$F,$A41,Vigilancia!$J:$J,I$1)</f>
        <v>0</v>
      </c>
      <c r="J41" s="182">
        <f>SUMIFS(Vigilancia!$E:$E,Vigilancia!$F:$F,$A41,Vigilancia!$J:$J,J$1)</f>
        <v>0</v>
      </c>
    </row>
    <row r="42" spans="1:11" x14ac:dyDescent="0.25">
      <c r="A42" s="30" t="str">
        <f>'RESUMEN VIGILANCIA'!A42</f>
        <v>Familia Zhen</v>
      </c>
      <c r="B42" s="31" t="str">
        <f>'RESUMEN VIGILANCIA'!B42</f>
        <v>Calle Guacara Nro. 88-55</v>
      </c>
      <c r="C42" s="182">
        <f>SUMIFS(Vigilancia!$E:$E,Vigilancia!$F:$F,$A42,Vigilancia!$J:$J,C$1)</f>
        <v>0</v>
      </c>
      <c r="D42" s="182">
        <f>SUMIFS(Vigilancia!$E:$E,Vigilancia!$F:$F,$A42,Vigilancia!$J:$J,D$1)</f>
        <v>0</v>
      </c>
      <c r="E42" s="305">
        <f>SUMIFS(Vigilancia!$E:$E,Vigilancia!$F:$F,$A42,Vigilancia!$J:$J,E$1)</f>
        <v>0</v>
      </c>
      <c r="F42" s="305">
        <f>SUMIFS(Vigilancia!$E:$E,Vigilancia!$F:$F,$A42,Vigilancia!$J:$J,F$1)</f>
        <v>0</v>
      </c>
      <c r="G42" s="182">
        <f>SUMIFS(Vigilancia!$E:$E,Vigilancia!$F:$F,$A42,Vigilancia!$J:$J,G$1)</f>
        <v>0</v>
      </c>
      <c r="H42" s="182">
        <f>SUMIFS(Vigilancia!$E:$E,Vigilancia!$F:$F,$A42,Vigilancia!$J:$J,H$1)</f>
        <v>0</v>
      </c>
      <c r="I42" s="182">
        <f>SUMIFS(Vigilancia!$E:$E,Vigilancia!$F:$F,$A42,Vigilancia!$J:$J,I$1)</f>
        <v>0</v>
      </c>
      <c r="J42" s="182">
        <f>SUMIFS(Vigilancia!$E:$E,Vigilancia!$F:$F,$A42,Vigilancia!$J:$J,J$1)</f>
        <v>0</v>
      </c>
    </row>
    <row r="43" spans="1:11" ht="15.75" thickBot="1" x14ac:dyDescent="0.3">
      <c r="A43" s="66" t="str">
        <f>'RESUMEN VIGILANCIA'!A43</f>
        <v>Amparo Acosta</v>
      </c>
      <c r="B43" s="64" t="str">
        <f>'RESUMEN VIGILANCIA'!B43</f>
        <v>Calle Guacara Nro. 88-65</v>
      </c>
      <c r="C43" s="182">
        <f>SUMIFS(Vigilancia!$E:$E,Vigilancia!$F:$F,$A43,Vigilancia!$J:$J,C$1)</f>
        <v>7.0000000000000007E-2</v>
      </c>
      <c r="D43" s="182">
        <f>SUMIFS(Vigilancia!$E:$E,Vigilancia!$F:$F,$A43,Vigilancia!$J:$J,D$1)</f>
        <v>0</v>
      </c>
      <c r="E43" s="305">
        <f>SUMIFS(Vigilancia!$E:$E,Vigilancia!$F:$F,$A43,Vigilancia!$J:$J,E$1)</f>
        <v>12.2</v>
      </c>
      <c r="F43" s="305">
        <f>SUMIFS(Vigilancia!$E:$E,Vigilancia!$F:$F,$A43,Vigilancia!$J:$J,F$1)</f>
        <v>10</v>
      </c>
      <c r="G43" s="182">
        <f>SUMIFS(Vigilancia!$E:$E,Vigilancia!$F:$F,$A43,Vigilancia!$J:$J,G$1)</f>
        <v>0</v>
      </c>
      <c r="H43" s="182">
        <f>SUMIFS(Vigilancia!$E:$E,Vigilancia!$F:$F,$A43,Vigilancia!$J:$J,H$1)</f>
        <v>0</v>
      </c>
      <c r="I43" s="182">
        <f>SUMIFS(Vigilancia!$E:$E,Vigilancia!$F:$F,$A43,Vigilancia!$J:$J,I$1)</f>
        <v>0</v>
      </c>
      <c r="J43" s="182">
        <f>SUMIFS(Vigilancia!$E:$E,Vigilancia!$F:$F,$A43,Vigilancia!$J:$J,J$1)</f>
        <v>0</v>
      </c>
    </row>
    <row r="44" spans="1:11" x14ac:dyDescent="0.25">
      <c r="A44" s="59" t="str">
        <f>'RESUMEN VIGILANCIA'!A44</f>
        <v>Familia Fernández Parés</v>
      </c>
      <c r="B44" s="60" t="str">
        <f>'RESUMEN VIGILANCIA'!B44</f>
        <v>Calle Guacara Nro. 88-75</v>
      </c>
      <c r="C44" s="214">
        <f>SUMIFS(Vigilancia!$E:$E,Vigilancia!$F:$F,$A44,Vigilancia!$J:$J,C$1)</f>
        <v>7.0000000000000007E-2</v>
      </c>
      <c r="D44" s="214">
        <f>SUMIFS(Vigilancia!$E:$E,Vigilancia!$F:$F,$A44,Vigilancia!$J:$J,D$1)</f>
        <v>0</v>
      </c>
      <c r="E44" s="214">
        <f>SUMIFS(Vigilancia!$E:$E,Vigilancia!$F:$F,$A44,Vigilancia!$J:$J,E$1)</f>
        <v>0</v>
      </c>
      <c r="F44" s="214">
        <f>SUMIFS(Vigilancia!$E:$E,Vigilancia!$F:$F,$A44,Vigilancia!$J:$J,F$1)</f>
        <v>0</v>
      </c>
      <c r="G44" s="306">
        <f>SUMIFS(Vigilancia!$E:$E,Vigilancia!$F:$F,$A44,Vigilancia!$J:$J,G$1)</f>
        <v>0</v>
      </c>
      <c r="H44" s="214">
        <f>SUMIFS(Vigilancia!$E:$E,Vigilancia!$F:$F,$A44,Vigilancia!$J:$J,H$1)</f>
        <v>0</v>
      </c>
      <c r="I44" s="214">
        <f>SUMIFS(Vigilancia!$E:$E,Vigilancia!$F:$F,$A44,Vigilancia!$J:$J,I$1)</f>
        <v>0</v>
      </c>
      <c r="J44" s="206">
        <f>SUMIFS(Vigilancia!$E:$E,Vigilancia!$F:$F,$A44,Vigilancia!$J:$J,J$1)</f>
        <v>0</v>
      </c>
      <c r="K44" s="122"/>
    </row>
    <row r="45" spans="1:11" x14ac:dyDescent="0.25">
      <c r="A45" s="59" t="str">
        <f>'RESUMEN VIGILANCIA'!A45</f>
        <v>Isbeth Palacios</v>
      </c>
      <c r="B45" s="60" t="str">
        <f>'RESUMEN VIGILANCIA'!B45</f>
        <v>Calle Guacara Nro. 88-75</v>
      </c>
      <c r="C45" s="214">
        <f>SUMIFS(Vigilancia!$E:$E,Vigilancia!$F:$F,$A45,Vigilancia!$J:$J,C$1)</f>
        <v>0</v>
      </c>
      <c r="D45" s="214">
        <f>SUMIFS(Vigilancia!$E:$E,Vigilancia!$F:$F,$A45,Vigilancia!$J:$J,D$1)</f>
        <v>3.5</v>
      </c>
      <c r="E45" s="214">
        <f>SUMIFS(Vigilancia!$E:$E,Vigilancia!$F:$F,$A45,Vigilancia!$J:$J,E$1)</f>
        <v>12.2</v>
      </c>
      <c r="F45" s="214">
        <f>SUMIFS(Vigilancia!$E:$E,Vigilancia!$F:$F,$A45,Vigilancia!$J:$J,F$1)</f>
        <v>0</v>
      </c>
      <c r="G45" s="306">
        <f>SUMIFS(Vigilancia!$E:$E,Vigilancia!$F:$F,$A45,Vigilancia!$J:$J,G$1)</f>
        <v>0</v>
      </c>
      <c r="H45" s="214">
        <f>SUMIFS(Vigilancia!$E:$E,Vigilancia!$F:$F,$A45,Vigilancia!$J:$J,H$1)</f>
        <v>0</v>
      </c>
      <c r="I45" s="214">
        <f>SUMIFS(Vigilancia!$E:$E,Vigilancia!$F:$F,$A45,Vigilancia!$J:$J,I$1)</f>
        <v>0</v>
      </c>
      <c r="J45" s="206">
        <f>SUMIFS(Vigilancia!$E:$E,Vigilancia!$F:$F,$A45,Vigilancia!$J:$J,J$1)</f>
        <v>0</v>
      </c>
      <c r="K45" s="123"/>
    </row>
    <row r="46" spans="1:11" ht="15.75" thickBot="1" x14ac:dyDescent="0.3">
      <c r="A46" s="30" t="str">
        <f>'RESUMEN VIGILANCIA'!A46</f>
        <v>Andrea Valor</v>
      </c>
      <c r="B46" s="31" t="str">
        <f>'RESUMEN VIGILANCIA'!B46</f>
        <v>Calle Guacara Nro. 88-75</v>
      </c>
      <c r="C46" s="182">
        <f>SUMIFS(Vigilancia!$E:$E,Vigilancia!$F:$F,$A46,Vigilancia!$J:$J,C$1)</f>
        <v>0</v>
      </c>
      <c r="D46" s="182">
        <f>SUMIFS(Vigilancia!$E:$E,Vigilancia!$F:$F,$A46,Vigilancia!$J:$J,D$1)</f>
        <v>0</v>
      </c>
      <c r="E46" s="305">
        <f>SUMIFS(Vigilancia!$E:$E,Vigilancia!$F:$F,$A46,Vigilancia!$J:$J,E$1)</f>
        <v>0</v>
      </c>
      <c r="F46" s="305">
        <f>SUMIFS(Vigilancia!$E:$E,Vigilancia!$F:$F,$A46,Vigilancia!$J:$J,F$1)</f>
        <v>0</v>
      </c>
      <c r="G46" s="182">
        <f>SUMIFS(Vigilancia!$E:$E,Vigilancia!$F:$F,$A46,Vigilancia!$J:$J,G$1)</f>
        <v>0</v>
      </c>
      <c r="H46" s="182">
        <f>SUMIFS(Vigilancia!$E:$E,Vigilancia!$F:$F,$A46,Vigilancia!$J:$J,H$1)</f>
        <v>0</v>
      </c>
      <c r="I46" s="182">
        <f>SUMIFS(Vigilancia!$E:$E,Vigilancia!$F:$F,$A46,Vigilancia!$J:$J,I$1)</f>
        <v>0</v>
      </c>
      <c r="J46" s="182">
        <f>SUMIFS(Vigilancia!$E:$E,Vigilancia!$F:$F,$A46,Vigilancia!$J:$J,J$1)</f>
        <v>0</v>
      </c>
      <c r="K46" s="124"/>
    </row>
    <row r="47" spans="1:11" x14ac:dyDescent="0.25">
      <c r="A47" s="30" t="str">
        <f>'RESUMEN VIGILANCIA'!A47</f>
        <v>Familia Machado Stoppa</v>
      </c>
      <c r="B47" s="31" t="str">
        <f>'RESUMEN VIGILANCIA'!B47</f>
        <v>Calle Guacara Nro. 88-85</v>
      </c>
      <c r="C47" s="182">
        <f>SUMIFS(Vigilancia!$E:$E,Vigilancia!$F:$F,$A47,Vigilancia!$J:$J,C$1)</f>
        <v>0</v>
      </c>
      <c r="D47" s="182">
        <f>SUMIFS(Vigilancia!$E:$E,Vigilancia!$F:$F,$A47,Vigilancia!$J:$J,D$1)</f>
        <v>3.5</v>
      </c>
      <c r="E47" s="305">
        <f>SUMIFS(Vigilancia!$E:$E,Vigilancia!$F:$F,$A47,Vigilancia!$J:$J,E$1)</f>
        <v>12.2</v>
      </c>
      <c r="F47" s="305">
        <f>SUMIFS(Vigilancia!$E:$E,Vigilancia!$F:$F,$A47,Vigilancia!$J:$J,F$1)</f>
        <v>10</v>
      </c>
      <c r="G47" s="181">
        <f>SUMIFS(Vigilancia!$E:$E,Vigilancia!$F:$F,$A47,Vigilancia!$J:$J,G$1)</f>
        <v>0</v>
      </c>
      <c r="H47" s="182">
        <f>SUMIFS(Vigilancia!$E:$E,Vigilancia!$F:$F,$A47,Vigilancia!$J:$J,H$1)</f>
        <v>0</v>
      </c>
      <c r="I47" s="182">
        <f>SUMIFS(Vigilancia!$E:$E,Vigilancia!$F:$F,$A47,Vigilancia!$J:$J,I$1)</f>
        <v>0</v>
      </c>
      <c r="J47" s="182">
        <f>SUMIFS(Vigilancia!$E:$E,Vigilancia!$F:$F,$A47,Vigilancia!$J:$J,J$1)</f>
        <v>0</v>
      </c>
    </row>
    <row r="48" spans="1:11" ht="15.75" thickBot="1" x14ac:dyDescent="0.3">
      <c r="A48" s="30" t="str">
        <f>'RESUMEN VIGILANCIA'!A48</f>
        <v>Familia Zavarce Barón</v>
      </c>
      <c r="B48" s="31" t="str">
        <f>'RESUMEN VIGILANCIA'!B48</f>
        <v>Calle Guacara Nro. 88-91</v>
      </c>
      <c r="C48" s="182">
        <f>SUMIFS(Vigilancia!$E:$E,Vigilancia!$F:$F,$A48,Vigilancia!$J:$J,C$1)</f>
        <v>0</v>
      </c>
      <c r="D48" s="182">
        <f>SUMIFS(Vigilancia!$E:$E,Vigilancia!$F:$F,$A48,Vigilancia!$J:$J,D$1)</f>
        <v>3.5</v>
      </c>
      <c r="E48" s="305">
        <f>SUMIFS(Vigilancia!$E:$E,Vigilancia!$F:$F,$A48,Vigilancia!$J:$J,E$1)</f>
        <v>12</v>
      </c>
      <c r="F48" s="305">
        <f>SUMIFS(Vigilancia!$E:$E,Vigilancia!$F:$F,$A48,Vigilancia!$J:$J,F$1)</f>
        <v>10</v>
      </c>
      <c r="G48" s="181">
        <f>SUMIFS(Vigilancia!$E:$E,Vigilancia!$F:$F,$A48,Vigilancia!$J:$J,G$1)</f>
        <v>0</v>
      </c>
      <c r="H48" s="182">
        <f>SUMIFS(Vigilancia!$E:$E,Vigilancia!$F:$F,$A48,Vigilancia!$J:$J,H$1)</f>
        <v>0</v>
      </c>
      <c r="I48" s="182">
        <f>SUMIFS(Vigilancia!$E:$E,Vigilancia!$F:$F,$A48,Vigilancia!$J:$J,I$1)</f>
        <v>0</v>
      </c>
      <c r="J48" s="182">
        <f>SUMIFS(Vigilancia!$E:$E,Vigilancia!$F:$F,$A48,Vigilancia!$J:$J,J$1)</f>
        <v>0</v>
      </c>
    </row>
    <row r="49" spans="1:11" x14ac:dyDescent="0.25">
      <c r="A49" s="59" t="str">
        <f>'RESUMEN VIGILANCIA'!A49</f>
        <v>Familia Chávez Moncada</v>
      </c>
      <c r="B49" s="60" t="str">
        <f>'RESUMEN VIGILANCIA'!B49</f>
        <v>Calle Guacara Nro. 88-95</v>
      </c>
      <c r="C49" s="214">
        <f>SUMIFS(Vigilancia!$E:$E,Vigilancia!$F:$F,$A49,Vigilancia!$J:$J,C$1)</f>
        <v>0</v>
      </c>
      <c r="D49" s="214">
        <f>SUMIFS(Vigilancia!$E:$E,Vigilancia!$F:$F,$A49,Vigilancia!$J:$J,D$1)</f>
        <v>0</v>
      </c>
      <c r="E49" s="214">
        <f>SUMIFS(Vigilancia!$E:$E,Vigilancia!$F:$F,$A49,Vigilancia!$J:$J,E$1)</f>
        <v>0</v>
      </c>
      <c r="F49" s="214">
        <f>SUMIFS(Vigilancia!$E:$E,Vigilancia!$F:$F,$A49,Vigilancia!$J:$J,F$1)</f>
        <v>0</v>
      </c>
      <c r="G49" s="306">
        <f>SUMIFS(Vigilancia!$E:$E,Vigilancia!$F:$F,$A49,Vigilancia!$J:$J,G$1)</f>
        <v>0</v>
      </c>
      <c r="H49" s="214">
        <f>SUMIFS(Vigilancia!$E:$E,Vigilancia!$F:$F,$A49,Vigilancia!$J:$J,H$1)</f>
        <v>0</v>
      </c>
      <c r="I49" s="214">
        <f>SUMIFS(Vigilancia!$E:$E,Vigilancia!$F:$F,$A49,Vigilancia!$J:$J,I$1)</f>
        <v>0</v>
      </c>
      <c r="J49" s="214">
        <f>SUMIFS(Vigilancia!$E:$E,Vigilancia!$F:$F,$A49,Vigilancia!$J:$J,J$1)</f>
        <v>0</v>
      </c>
      <c r="K49" s="122"/>
    </row>
    <row r="50" spans="1:11" ht="15.75" thickBot="1" x14ac:dyDescent="0.3">
      <c r="A50" s="30" t="str">
        <f>'RESUMEN VIGILANCIA'!A50</f>
        <v>Familia Brito Viana</v>
      </c>
      <c r="B50" s="31" t="str">
        <f>'RESUMEN VIGILANCIA'!B50</f>
        <v>Calle Guacara Nro. 88-95</v>
      </c>
      <c r="C50" s="182">
        <f>SUMIFS(Vigilancia!$E:$E,Vigilancia!$F:$F,$A50,Vigilancia!$J:$J,C$1)</f>
        <v>0</v>
      </c>
      <c r="D50" s="182">
        <f>SUMIFS(Vigilancia!$E:$E,Vigilancia!$F:$F,$A50,Vigilancia!$J:$J,D$1)</f>
        <v>0</v>
      </c>
      <c r="E50" s="182">
        <f>SUMIFS(Vigilancia!$E:$E,Vigilancia!$F:$F,$A50,Vigilancia!$J:$J,E$1)</f>
        <v>0</v>
      </c>
      <c r="F50" s="182">
        <f>SUMIFS(Vigilancia!$E:$E,Vigilancia!$F:$F,$A50,Vigilancia!$J:$J,F$1)</f>
        <v>0</v>
      </c>
      <c r="G50" s="181">
        <f>SUMIFS(Vigilancia!$E:$E,Vigilancia!$F:$F,$A50,Vigilancia!$J:$J,G$1)</f>
        <v>0</v>
      </c>
      <c r="H50" s="182">
        <f>SUMIFS(Vigilancia!$E:$E,Vigilancia!$F:$F,$A50,Vigilancia!$J:$J,H$1)</f>
        <v>0</v>
      </c>
      <c r="I50" s="182">
        <f>SUMIFS(Vigilancia!$E:$E,Vigilancia!$F:$F,$A50,Vigilancia!$J:$J,I$1)</f>
        <v>0</v>
      </c>
      <c r="J50" s="182">
        <f>SUMIFS(Vigilancia!$E:$E,Vigilancia!$F:$F,$A50,Vigilancia!$J:$J,J$1)</f>
        <v>0</v>
      </c>
      <c r="K50" s="124"/>
    </row>
    <row r="51" spans="1:11" x14ac:dyDescent="0.25">
      <c r="A51" s="59" t="str">
        <f>'RESUMEN VIGILANCIA'!A51</f>
        <v>Familia Zampini Scaccia</v>
      </c>
      <c r="B51" s="60" t="str">
        <f>'RESUMEN VIGILANCIA'!B51</f>
        <v>Calle Guacara Nro. 88-A-10</v>
      </c>
      <c r="C51" s="214">
        <f>SUMIFS(Vigilancia!$E:$E,Vigilancia!$F:$F,$A51,Vigilancia!$J:$J,C$1)</f>
        <v>0</v>
      </c>
      <c r="D51" s="214">
        <f>SUMIFS(Vigilancia!$E:$E,Vigilancia!$F:$F,$A51,Vigilancia!$J:$J,D$1)</f>
        <v>0</v>
      </c>
      <c r="E51" s="214">
        <f>SUMIFS(Vigilancia!$E:$E,Vigilancia!$F:$F,$A51,Vigilancia!$J:$J,E$1)</f>
        <v>0</v>
      </c>
      <c r="F51" s="214">
        <f>SUMIFS(Vigilancia!$E:$E,Vigilancia!$F:$F,$A51,Vigilancia!$J:$J,F$1)</f>
        <v>0</v>
      </c>
      <c r="G51" s="306">
        <f>SUMIFS(Vigilancia!$E:$E,Vigilancia!$F:$F,$A51,Vigilancia!$J:$J,G$1)</f>
        <v>0</v>
      </c>
      <c r="H51" s="214">
        <f>SUMIFS(Vigilancia!$E:$E,Vigilancia!$F:$F,$A51,Vigilancia!$J:$J,H$1)</f>
        <v>0</v>
      </c>
      <c r="I51" s="214">
        <f>SUMIFS(Vigilancia!$E:$E,Vigilancia!$F:$F,$A51,Vigilancia!$J:$J,I$1)</f>
        <v>0</v>
      </c>
      <c r="J51" s="206">
        <f>SUMIFS(Vigilancia!$E:$E,Vigilancia!$F:$F,$A51,Vigilancia!$J:$J,J$1)</f>
        <v>0</v>
      </c>
      <c r="K51" s="122"/>
    </row>
    <row r="52" spans="1:11" ht="15.75" thickBot="1" x14ac:dyDescent="0.3">
      <c r="A52" s="30" t="str">
        <f>'RESUMEN VIGILANCIA'!A52</f>
        <v>Familia Wu Acevedo</v>
      </c>
      <c r="B52" s="31" t="str">
        <f>'RESUMEN VIGILANCIA'!B52</f>
        <v>Calle Guacara Nro. 88-A-10</v>
      </c>
      <c r="C52" s="182">
        <f>SUMIFS(Vigilancia!$E:$E,Vigilancia!$F:$F,$A52,Vigilancia!$J:$J,C$1)</f>
        <v>0</v>
      </c>
      <c r="D52" s="182">
        <f>SUMIFS(Vigilancia!$E:$E,Vigilancia!$F:$F,$A52,Vigilancia!$J:$J,D$1)</f>
        <v>0</v>
      </c>
      <c r="E52" s="305">
        <f>SUMIFS(Vigilancia!$E:$E,Vigilancia!$F:$F,$A52,Vigilancia!$J:$J,E$1)</f>
        <v>12.2</v>
      </c>
      <c r="F52" s="305">
        <f>SUMIFS(Vigilancia!$E:$E,Vigilancia!$F:$F,$A52,Vigilancia!$J:$J,F$1)</f>
        <v>10</v>
      </c>
      <c r="G52" s="181">
        <f>SUMIFS(Vigilancia!$E:$E,Vigilancia!$F:$F,$A52,Vigilancia!$J:$J,G$1)</f>
        <v>0</v>
      </c>
      <c r="H52" s="182">
        <f>SUMIFS(Vigilancia!$E:$E,Vigilancia!$F:$F,$A52,Vigilancia!$J:$J,H$1)</f>
        <v>0</v>
      </c>
      <c r="I52" s="182">
        <f>SUMIFS(Vigilancia!$E:$E,Vigilancia!$F:$F,$A52,Vigilancia!$J:$J,I$1)</f>
        <v>0</v>
      </c>
      <c r="J52" s="185">
        <f>SUMIFS(Vigilancia!$E:$E,Vigilancia!$F:$F,$A52,Vigilancia!$J:$J,J$1)</f>
        <v>0</v>
      </c>
      <c r="K52" s="124"/>
    </row>
    <row r="53" spans="1:11" x14ac:dyDescent="0.25">
      <c r="A53" s="67" t="str">
        <f>'RESUMEN VIGILANCIA'!A53</f>
        <v>Familia Arcia Polanco</v>
      </c>
      <c r="B53" s="65" t="str">
        <f>'RESUMEN VIGILANCIA'!B53</f>
        <v>Calle Guacara Nro. 89-20</v>
      </c>
      <c r="C53" s="182">
        <f>SUMIFS(Vigilancia!$E:$E,Vigilancia!$F:$F,$A53,Vigilancia!$J:$J,C$1)</f>
        <v>7.0000000000000007E-2</v>
      </c>
      <c r="D53" s="182">
        <f>SUMIFS(Vigilancia!$E:$E,Vigilancia!$F:$F,$A53,Vigilancia!$J:$J,D$1)</f>
        <v>3.5</v>
      </c>
      <c r="E53" s="305">
        <f>SUMIFS(Vigilancia!$E:$E,Vigilancia!$F:$F,$A53,Vigilancia!$J:$J,E$1)</f>
        <v>12.2</v>
      </c>
      <c r="F53" s="305">
        <f>SUMIFS(Vigilancia!$E:$E,Vigilancia!$F:$F,$A53,Vigilancia!$J:$J,F$1)</f>
        <v>10</v>
      </c>
      <c r="G53" s="182">
        <f>SUMIFS(Vigilancia!$E:$E,Vigilancia!$F:$F,$A53,Vigilancia!$J:$J,G$1)</f>
        <v>0</v>
      </c>
      <c r="H53" s="182">
        <f>SUMIFS(Vigilancia!$E:$E,Vigilancia!$F:$F,$A53,Vigilancia!$J:$J,H$1)</f>
        <v>0</v>
      </c>
      <c r="I53" s="182">
        <f>SUMIFS(Vigilancia!$E:$E,Vigilancia!$F:$F,$A53,Vigilancia!$J:$J,I$1)</f>
        <v>0</v>
      </c>
      <c r="J53" s="182">
        <f>SUMIFS(Vigilancia!$E:$E,Vigilancia!$F:$F,$A53,Vigilancia!$J:$J,J$1)</f>
        <v>0</v>
      </c>
    </row>
    <row r="54" spans="1:11" x14ac:dyDescent="0.25">
      <c r="A54" s="30" t="str">
        <f>'RESUMEN VIGILANCIA'!A54</f>
        <v>Familia Lomeña Agudo</v>
      </c>
      <c r="B54" s="31" t="str">
        <f>'RESUMEN VIGILANCIA'!B54</f>
        <v>Calle Guacara Nro. 89-30</v>
      </c>
      <c r="C54" s="182">
        <f>SUMIFS(Vigilancia!$E:$E,Vigilancia!$F:$F,$A54,Vigilancia!$J:$J,C$1)</f>
        <v>7.0000000000000007E-2</v>
      </c>
      <c r="D54" s="182">
        <f>SUMIFS(Vigilancia!$E:$E,Vigilancia!$F:$F,$A54,Vigilancia!$J:$J,D$1)</f>
        <v>3.5</v>
      </c>
      <c r="E54" s="305">
        <f>SUMIFS(Vigilancia!$E:$E,Vigilancia!$F:$F,$A54,Vigilancia!$J:$J,E$1)</f>
        <v>12.2</v>
      </c>
      <c r="F54" s="305">
        <f>SUMIFS(Vigilancia!$E:$E,Vigilancia!$F:$F,$A54,Vigilancia!$J:$J,F$1)</f>
        <v>10</v>
      </c>
      <c r="G54" s="182">
        <f>SUMIFS(Vigilancia!$E:$E,Vigilancia!$F:$F,$A54,Vigilancia!$J:$J,G$1)</f>
        <v>0</v>
      </c>
      <c r="H54" s="182">
        <f>SUMIFS(Vigilancia!$E:$E,Vigilancia!$F:$F,$A54,Vigilancia!$J:$J,H$1)</f>
        <v>1.4999999999999999E-2</v>
      </c>
      <c r="I54" s="182">
        <f>SUMIFS(Vigilancia!$E:$E,Vigilancia!$F:$F,$A54,Vigilancia!$J:$J,I$1)</f>
        <v>0</v>
      </c>
      <c r="J54" s="182">
        <f>SUMIFS(Vigilancia!$E:$E,Vigilancia!$F:$F,$A54,Vigilancia!$J:$J,J$1)</f>
        <v>0</v>
      </c>
    </row>
    <row r="55" spans="1:11" x14ac:dyDescent="0.25">
      <c r="A55" s="30" t="str">
        <f>'RESUMEN VIGILANCIA'!A55</f>
        <v>Familia Manrique Riera</v>
      </c>
      <c r="B55" s="31" t="str">
        <f>'RESUMEN VIGILANCIA'!B55</f>
        <v>Calle Guacara Nro. 89-40</v>
      </c>
      <c r="C55" s="182">
        <f>SUMIFS(Vigilancia!$E:$E,Vigilancia!$F:$F,$A55,Vigilancia!$J:$J,C$1)</f>
        <v>7.0000000000000007E-2</v>
      </c>
      <c r="D55" s="182">
        <f>SUMIFS(Vigilancia!$E:$E,Vigilancia!$F:$F,$A55,Vigilancia!$J:$J,D$1)</f>
        <v>0</v>
      </c>
      <c r="E55" s="305">
        <f>SUMIFS(Vigilancia!$E:$E,Vigilancia!$F:$F,$A55,Vigilancia!$J:$J,E$1)</f>
        <v>0</v>
      </c>
      <c r="F55" s="305">
        <f>SUMIFS(Vigilancia!$E:$E,Vigilancia!$F:$F,$A55,Vigilancia!$J:$J,F$1)</f>
        <v>0</v>
      </c>
      <c r="G55" s="182">
        <f>SUMIFS(Vigilancia!$E:$E,Vigilancia!$F:$F,$A55,Vigilancia!$J:$J,G$1)</f>
        <v>0</v>
      </c>
      <c r="H55" s="182">
        <f>SUMIFS(Vigilancia!$E:$E,Vigilancia!$F:$F,$A55,Vigilancia!$J:$J,H$1)</f>
        <v>0</v>
      </c>
      <c r="I55" s="182">
        <f>SUMIFS(Vigilancia!$E:$E,Vigilancia!$F:$F,$A55,Vigilancia!$J:$J,I$1)</f>
        <v>0</v>
      </c>
      <c r="J55" s="182">
        <f>SUMIFS(Vigilancia!$E:$E,Vigilancia!$F:$F,$A55,Vigilancia!$J:$J,J$1)</f>
        <v>0</v>
      </c>
    </row>
    <row r="56" spans="1:11" x14ac:dyDescent="0.25">
      <c r="A56" s="30" t="str">
        <f>'RESUMEN VIGILANCIA'!A56</f>
        <v>Familia Romero</v>
      </c>
      <c r="B56" s="31" t="str">
        <f>'RESUMEN VIGILANCIA'!B56</f>
        <v>Calle Guacara Nro. 89-50</v>
      </c>
      <c r="C56" s="182">
        <f>SUMIFS(Vigilancia!$E:$E,Vigilancia!$F:$F,$A56,Vigilancia!$J:$J,C$1)</f>
        <v>0</v>
      </c>
      <c r="D56" s="182">
        <f>SUMIFS(Vigilancia!$E:$E,Vigilancia!$F:$F,$A56,Vigilancia!$J:$J,D$1)</f>
        <v>3.5</v>
      </c>
      <c r="E56" s="305">
        <f>SUMIFS(Vigilancia!$E:$E,Vigilancia!$F:$F,$A56,Vigilancia!$J:$J,E$1)</f>
        <v>12.2</v>
      </c>
      <c r="F56" s="305">
        <f>SUMIFS(Vigilancia!$E:$E,Vigilancia!$F:$F,$A56,Vigilancia!$J:$J,F$1)</f>
        <v>0</v>
      </c>
      <c r="G56" s="182">
        <f>SUMIFS(Vigilancia!$E:$E,Vigilancia!$F:$F,$A56,Vigilancia!$J:$J,G$1)</f>
        <v>0</v>
      </c>
      <c r="H56" s="182">
        <f>SUMIFS(Vigilancia!$E:$E,Vigilancia!$F:$F,$A56,Vigilancia!$J:$J,H$1)</f>
        <v>0</v>
      </c>
      <c r="I56" s="182">
        <f>SUMIFS(Vigilancia!$E:$E,Vigilancia!$F:$F,$A56,Vigilancia!$J:$J,I$1)</f>
        <v>0</v>
      </c>
      <c r="J56" s="182">
        <f>SUMIFS(Vigilancia!$E:$E,Vigilancia!$F:$F,$A56,Vigilancia!$J:$J,J$1)</f>
        <v>0</v>
      </c>
    </row>
    <row r="57" spans="1:11" x14ac:dyDescent="0.25">
      <c r="A57" s="30" t="str">
        <f>'RESUMEN VIGILANCIA'!A57</f>
        <v>Familia Durvelle Serrano</v>
      </c>
      <c r="B57" s="31" t="str">
        <f>'RESUMEN VIGILANCIA'!B57</f>
        <v>Calle Guacara Nro. 89-60</v>
      </c>
      <c r="C57" s="182">
        <f>SUMIFS(Vigilancia!$E:$E,Vigilancia!$F:$F,$A57,Vigilancia!$J:$J,C$1)</f>
        <v>7.0000000000000007E-2</v>
      </c>
      <c r="D57" s="182">
        <f>SUMIFS(Vigilancia!$E:$E,Vigilancia!$F:$F,$A57,Vigilancia!$J:$J,D$1)</f>
        <v>3.5</v>
      </c>
      <c r="E57" s="316">
        <f>SUMIFS(Vigilancia!$E:$E,Vigilancia!$F:$F,$A57,Vigilancia!$J:$J,E$1)</f>
        <v>0</v>
      </c>
      <c r="F57" s="305">
        <f>SUMIFS(Vigilancia!$E:$E,Vigilancia!$F:$F,$A57,Vigilancia!$J:$J,F$1)</f>
        <v>50</v>
      </c>
      <c r="G57" s="182">
        <f>SUMIFS(Vigilancia!$E:$E,Vigilancia!$F:$F,$A57,Vigilancia!$J:$J,G$1)</f>
        <v>6.2E-2</v>
      </c>
      <c r="H57" s="182">
        <f>SUMIFS(Vigilancia!$E:$E,Vigilancia!$F:$F,$A57,Vigilancia!$J:$J,H$1)</f>
        <v>0</v>
      </c>
      <c r="I57" s="182">
        <f>SUMIFS(Vigilancia!$E:$E,Vigilancia!$F:$F,$A57,Vigilancia!$J:$J,I$1)</f>
        <v>0</v>
      </c>
      <c r="J57" s="182">
        <f>SUMIFS(Vigilancia!$E:$E,Vigilancia!$F:$F,$A57,Vigilancia!$J:$J,J$1)</f>
        <v>0</v>
      </c>
    </row>
    <row r="58" spans="1:11" x14ac:dyDescent="0.25">
      <c r="A58" s="30" t="str">
        <f>'RESUMEN VIGILANCIA'!A58</f>
        <v>Yuraima Rodríguez</v>
      </c>
      <c r="B58" s="31" t="str">
        <f>'RESUMEN VIGILANCIA'!B58</f>
        <v>Calle Guacara Nro. 89-70</v>
      </c>
      <c r="C58" s="182">
        <f>SUMIFS(Vigilancia!$E:$E,Vigilancia!$F:$F,$A58,Vigilancia!$J:$J,C$1)</f>
        <v>0</v>
      </c>
      <c r="D58" s="182">
        <f>SUMIFS(Vigilancia!$E:$E,Vigilancia!$F:$F,$A58,Vigilancia!$J:$J,D$1)</f>
        <v>0</v>
      </c>
      <c r="E58" s="305">
        <f>SUMIFS(Vigilancia!$E:$E,Vigilancia!$F:$F,$A58,Vigilancia!$J:$J,E$1)</f>
        <v>0</v>
      </c>
      <c r="F58" s="305">
        <f>SUMIFS(Vigilancia!$E:$E,Vigilancia!$F:$F,$A58,Vigilancia!$J:$J,F$1)</f>
        <v>0</v>
      </c>
      <c r="G58" s="182">
        <f>SUMIFS(Vigilancia!$E:$E,Vigilancia!$F:$F,$A58,Vigilancia!$J:$J,G$1)</f>
        <v>0</v>
      </c>
      <c r="H58" s="182">
        <f>SUMIFS(Vigilancia!$E:$E,Vigilancia!$F:$F,$A58,Vigilancia!$J:$J,H$1)</f>
        <v>0</v>
      </c>
      <c r="I58" s="182">
        <f>SUMIFS(Vigilancia!$E:$E,Vigilancia!$F:$F,$A58,Vigilancia!$J:$J,I$1)</f>
        <v>0</v>
      </c>
      <c r="J58" s="182">
        <f>SUMIFS(Vigilancia!$E:$E,Vigilancia!$F:$F,$A58,Vigilancia!$J:$J,J$1)</f>
        <v>0</v>
      </c>
    </row>
    <row r="59" spans="1:11" x14ac:dyDescent="0.25">
      <c r="A59" s="30" t="str">
        <f>'RESUMEN VIGILANCIA'!A59</f>
        <v>Familia Nava Gordon</v>
      </c>
      <c r="B59" s="31" t="str">
        <f>'RESUMEN VIGILANCIA'!B59</f>
        <v>Calle Guacara Nro. 89-78</v>
      </c>
      <c r="C59" s="182">
        <f>SUMIFS(Vigilancia!$E:$E,Vigilancia!$F:$F,$A59,Vigilancia!$J:$J,C$1)</f>
        <v>7.0000000000000007E-2</v>
      </c>
      <c r="D59" s="182">
        <f>SUMIFS(Vigilancia!$E:$E,Vigilancia!$F:$F,$A59,Vigilancia!$J:$J,D$1)</f>
        <v>4.0999999999999996</v>
      </c>
      <c r="E59" s="305">
        <f>SUMIFS(Vigilancia!$E:$E,Vigilancia!$F:$F,$A59,Vigilancia!$J:$J,E$1)</f>
        <v>12.2</v>
      </c>
      <c r="F59" s="305">
        <f>SUMIFS(Vigilancia!$E:$E,Vigilancia!$F:$F,$A59,Vigilancia!$J:$J,F$1)</f>
        <v>10</v>
      </c>
      <c r="G59" s="182">
        <f>SUMIFS(Vigilancia!$E:$E,Vigilancia!$F:$F,$A59,Vigilancia!$J:$J,G$1)</f>
        <v>0</v>
      </c>
      <c r="H59" s="182">
        <f>SUMIFS(Vigilancia!$E:$E,Vigilancia!$F:$F,$A59,Vigilancia!$J:$J,H$1)</f>
        <v>0</v>
      </c>
      <c r="I59" s="182">
        <f>SUMIFS(Vigilancia!$E:$E,Vigilancia!$F:$F,$A59,Vigilancia!$J:$J,I$1)</f>
        <v>0</v>
      </c>
      <c r="J59" s="182">
        <f>SUMIFS(Vigilancia!$E:$E,Vigilancia!$F:$F,$A59,Vigilancia!$J:$J,J$1)</f>
        <v>0</v>
      </c>
    </row>
    <row r="60" spans="1:11" x14ac:dyDescent="0.25">
      <c r="A60" s="30" t="str">
        <f>'RESUMEN VIGILANCIA'!A60</f>
        <v>Familia González Arévalo</v>
      </c>
      <c r="B60" s="31" t="str">
        <f>'RESUMEN VIGILANCIA'!B60</f>
        <v>Calle Guacara Nro. 89-86</v>
      </c>
      <c r="C60" s="182">
        <f>SUMIFS(Vigilancia!$E:$E,Vigilancia!$F:$F,$A60,Vigilancia!$J:$J,C$1)</f>
        <v>7.0000000000000007E-2</v>
      </c>
      <c r="D60" s="182">
        <f>SUMIFS(Vigilancia!$E:$E,Vigilancia!$F:$F,$A60,Vigilancia!$J:$J,D$1)</f>
        <v>3.5</v>
      </c>
      <c r="E60" s="305">
        <f>SUMIFS(Vigilancia!$E:$E,Vigilancia!$F:$F,$A60,Vigilancia!$J:$J,E$1)</f>
        <v>12.2</v>
      </c>
      <c r="F60" s="305">
        <f>SUMIFS(Vigilancia!$E:$E,Vigilancia!$F:$F,$A60,Vigilancia!$J:$J,F$1)</f>
        <v>10</v>
      </c>
      <c r="G60" s="182">
        <f>SUMIFS(Vigilancia!$E:$E,Vigilancia!$F:$F,$A60,Vigilancia!$J:$J,G$1)</f>
        <v>0</v>
      </c>
      <c r="H60" s="182">
        <f>SUMIFS(Vigilancia!$E:$E,Vigilancia!$F:$F,$A60,Vigilancia!$J:$J,H$1)</f>
        <v>0</v>
      </c>
      <c r="I60" s="182">
        <f>SUMIFS(Vigilancia!$E:$E,Vigilancia!$F:$F,$A60,Vigilancia!$J:$J,I$1)</f>
        <v>0</v>
      </c>
      <c r="J60" s="182">
        <f>SUMIFS(Vigilancia!$E:$E,Vigilancia!$F:$F,$A60,Vigilancia!$J:$J,J$1)</f>
        <v>0</v>
      </c>
    </row>
    <row r="61" spans="1:11" x14ac:dyDescent="0.25">
      <c r="A61" s="30" t="str">
        <f>'RESUMEN VIGILANCIA'!A61</f>
        <v>Héctor Hernández</v>
      </c>
      <c r="B61" s="31" t="str">
        <f>'RESUMEN VIGILANCIA'!B61</f>
        <v>Calle Guacara Nro. 89-94</v>
      </c>
      <c r="C61" s="182">
        <f>SUMIFS(Vigilancia!$E:$E,Vigilancia!$F:$F,$A61,Vigilancia!$J:$J,C$1)</f>
        <v>7.0000000000000007E-2</v>
      </c>
      <c r="D61" s="182">
        <f>SUMIFS(Vigilancia!$E:$E,Vigilancia!$F:$F,$A61,Vigilancia!$J:$J,D$1)</f>
        <v>3.5</v>
      </c>
      <c r="E61" s="305">
        <f>SUMIFS(Vigilancia!$E:$E,Vigilancia!$F:$F,$A61,Vigilancia!$J:$J,E$1)</f>
        <v>12.2</v>
      </c>
      <c r="F61" s="305">
        <f>SUMIFS(Vigilancia!$E:$E,Vigilancia!$F:$F,$A61,Vigilancia!$J:$J,F$1)</f>
        <v>10</v>
      </c>
      <c r="G61" s="182">
        <f>SUMIFS(Vigilancia!$E:$E,Vigilancia!$F:$F,$A61,Vigilancia!$J:$J,G$1)</f>
        <v>0</v>
      </c>
      <c r="H61" s="182">
        <f>SUMIFS(Vigilancia!$E:$E,Vigilancia!$F:$F,$A61,Vigilancia!$J:$J,H$1)</f>
        <v>0</v>
      </c>
      <c r="I61" s="182">
        <f>SUMIFS(Vigilancia!$E:$E,Vigilancia!$F:$F,$A61,Vigilancia!$J:$J,I$1)</f>
        <v>0</v>
      </c>
      <c r="J61" s="182">
        <f>SUMIFS(Vigilancia!$E:$E,Vigilancia!$F:$F,$A61,Vigilancia!$J:$J,J$1)</f>
        <v>0</v>
      </c>
    </row>
    <row r="62" spans="1:11" x14ac:dyDescent="0.25">
      <c r="A62" s="30" t="str">
        <f>'RESUMEN VIGILANCIA'!A62</f>
        <v>Familia Soto Urdaneta</v>
      </c>
      <c r="B62" s="31" t="str">
        <f>'RESUMEN VIGILANCIA'!B62</f>
        <v>Calle Guacara Nro. 89-102</v>
      </c>
      <c r="C62" s="182">
        <f>SUMIFS(Vigilancia!$E:$E,Vigilancia!$F:$F,$A62,Vigilancia!$J:$J,C$1)</f>
        <v>0</v>
      </c>
      <c r="D62" s="182">
        <f>SUMIFS(Vigilancia!$E:$E,Vigilancia!$F:$F,$A62,Vigilancia!$J:$J,D$1)</f>
        <v>0</v>
      </c>
      <c r="E62" s="305">
        <f>SUMIFS(Vigilancia!$E:$E,Vigilancia!$F:$F,$A62,Vigilancia!$J:$J,E$1)</f>
        <v>0</v>
      </c>
      <c r="F62" s="305">
        <f>SUMIFS(Vigilancia!$E:$E,Vigilancia!$F:$F,$A62,Vigilancia!$J:$J,F$1)</f>
        <v>0</v>
      </c>
      <c r="G62" s="182">
        <f>SUMIFS(Vigilancia!$E:$E,Vigilancia!$F:$F,$A62,Vigilancia!$J:$J,G$1)</f>
        <v>0</v>
      </c>
      <c r="H62" s="182">
        <f>SUMIFS(Vigilancia!$E:$E,Vigilancia!$F:$F,$A62,Vigilancia!$J:$J,H$1)</f>
        <v>0</v>
      </c>
      <c r="I62" s="182">
        <f>SUMIFS(Vigilancia!$E:$E,Vigilancia!$F:$F,$A62,Vigilancia!$J:$J,I$1)</f>
        <v>0</v>
      </c>
      <c r="J62" s="182">
        <f>SUMIFS(Vigilancia!$E:$E,Vigilancia!$F:$F,$A62,Vigilancia!$J:$J,J$1)</f>
        <v>0</v>
      </c>
    </row>
    <row r="63" spans="1:11" x14ac:dyDescent="0.25">
      <c r="A63" s="30" t="str">
        <f>'RESUMEN VIGILANCIA'!A63</f>
        <v>Familia Aparicio. Anexo</v>
      </c>
      <c r="B63" s="31" t="str">
        <f>'RESUMEN VIGILANCIA'!B63</f>
        <v>Calle Guacara Nro. 89-129</v>
      </c>
      <c r="C63" s="182">
        <f>SUMIFS(Vigilancia!$E:$E,Vigilancia!$F:$F,$A63,Vigilancia!$J:$J,C$1)</f>
        <v>0</v>
      </c>
      <c r="D63" s="316">
        <f>SUMIFS(Vigilancia!$E:$E,Vigilancia!$F:$F,$A63,Vigilancia!$J:$J,D$1)</f>
        <v>0</v>
      </c>
      <c r="E63" s="305">
        <f>SUMIFS(Vigilancia!$E:$E,Vigilancia!$F:$F,$A63,Vigilancia!$J:$J,E$1)</f>
        <v>0</v>
      </c>
      <c r="F63" s="305">
        <f>SUMIFS(Vigilancia!$E:$E,Vigilancia!$F:$F,$A63,Vigilancia!$J:$J,F$1)</f>
        <v>0</v>
      </c>
      <c r="G63" s="182">
        <f>SUMIFS(Vigilancia!$E:$E,Vigilancia!$F:$F,$A63,Vigilancia!$J:$J,G$1)</f>
        <v>0</v>
      </c>
      <c r="H63" s="182">
        <f>SUMIFS(Vigilancia!$E:$E,Vigilancia!$F:$F,$A63,Vigilancia!$J:$J,H$1)</f>
        <v>0</v>
      </c>
      <c r="I63" s="182">
        <f>SUMIFS(Vigilancia!$E:$E,Vigilancia!$F:$F,$A63,Vigilancia!$J:$J,I$1)</f>
        <v>0</v>
      </c>
      <c r="J63" s="182">
        <f>SUMIFS(Vigilancia!$E:$E,Vigilancia!$F:$F,$A63,Vigilancia!$J:$J,J$1)</f>
        <v>0</v>
      </c>
    </row>
    <row r="64" spans="1:11" x14ac:dyDescent="0.25">
      <c r="A64" s="30" t="str">
        <f>'RESUMEN VIGILANCIA'!A64</f>
        <v>Beatriz Lara</v>
      </c>
      <c r="B64" s="31" t="str">
        <f>'RESUMEN VIGILANCIA'!B64</f>
        <v>Calle Guacara Nro. 89-130</v>
      </c>
      <c r="C64" s="182">
        <f>SUMIFS(Vigilancia!$E:$E,Vigilancia!$F:$F,$A64,Vigilancia!$J:$J,C$1)</f>
        <v>7.0000000000000007E-2</v>
      </c>
      <c r="D64" s="182">
        <f>SUMIFS(Vigilancia!$E:$E,Vigilancia!$F:$F,$A64,Vigilancia!$J:$J,D$1)</f>
        <v>3.5</v>
      </c>
      <c r="E64" s="305">
        <f>SUMIFS(Vigilancia!$E:$E,Vigilancia!$F:$F,$A64,Vigilancia!$J:$J,E$1)</f>
        <v>12.2</v>
      </c>
      <c r="F64" s="305">
        <f>SUMIFS(Vigilancia!$E:$E,Vigilancia!$F:$F,$A64,Vigilancia!$J:$J,F$1)</f>
        <v>10</v>
      </c>
      <c r="G64" s="182">
        <f>SUMIFS(Vigilancia!$E:$E,Vigilancia!$F:$F,$A64,Vigilancia!$J:$J,G$1)</f>
        <v>0</v>
      </c>
      <c r="H64" s="182">
        <f>SUMIFS(Vigilancia!$E:$E,Vigilancia!$F:$F,$A64,Vigilancia!$J:$J,H$1)</f>
        <v>0</v>
      </c>
      <c r="I64" s="182">
        <f>SUMIFS(Vigilancia!$E:$E,Vigilancia!$F:$F,$A64,Vigilancia!$J:$J,I$1)</f>
        <v>0</v>
      </c>
      <c r="J64" s="182">
        <f>SUMIFS(Vigilancia!$E:$E,Vigilancia!$F:$F,$A64,Vigilancia!$J:$J,J$1)</f>
        <v>0</v>
      </c>
    </row>
    <row r="65" spans="1:11" x14ac:dyDescent="0.25">
      <c r="A65" s="53" t="str">
        <f>'RESUMEN VIGILANCIA'!A65</f>
        <v>Familia Zavarce Pérez</v>
      </c>
      <c r="B65" s="31" t="str">
        <f>'RESUMEN VIGILANCIA'!B65</f>
        <v>Calle Guacara Nro. 90-35</v>
      </c>
      <c r="C65" s="182">
        <f>SUMIFS(Vigilancia!$E:$E,Vigilancia!$F:$F,$A65,Vigilancia!$J:$J,C$1)</f>
        <v>7.0000000000000007E-2</v>
      </c>
      <c r="D65" s="182">
        <f>SUMIFS(Vigilancia!$E:$E,Vigilancia!$F:$F,$A65,Vigilancia!$J:$J,D$1)</f>
        <v>0</v>
      </c>
      <c r="E65" s="305">
        <f>SUMIFS(Vigilancia!$E:$E,Vigilancia!$F:$F,$A65,Vigilancia!$J:$J,E$1)</f>
        <v>0</v>
      </c>
      <c r="F65" s="305">
        <f>SUMIFS(Vigilancia!$E:$E,Vigilancia!$F:$F,$A65,Vigilancia!$J:$J,F$1)</f>
        <v>0</v>
      </c>
      <c r="G65" s="182">
        <f>SUMIFS(Vigilancia!$E:$E,Vigilancia!$F:$F,$A65,Vigilancia!$J:$J,G$1)</f>
        <v>0</v>
      </c>
      <c r="H65" s="182">
        <f>SUMIFS(Vigilancia!$E:$E,Vigilancia!$F:$F,$A65,Vigilancia!$J:$J,H$1)</f>
        <v>0</v>
      </c>
      <c r="I65" s="182">
        <f>SUMIFS(Vigilancia!$E:$E,Vigilancia!$F:$F,$A65,Vigilancia!$J:$J,I$1)</f>
        <v>0</v>
      </c>
      <c r="J65" s="182">
        <f>SUMIFS(Vigilancia!$E:$E,Vigilancia!$F:$F,$A65,Vigilancia!$J:$J,J$1)</f>
        <v>0</v>
      </c>
    </row>
    <row r="66" spans="1:11" x14ac:dyDescent="0.25">
      <c r="A66" s="30" t="str">
        <f>'RESUMEN VIGILANCIA'!A66</f>
        <v>Familia Castro Jiménez</v>
      </c>
      <c r="B66" s="31" t="str">
        <f>'RESUMEN VIGILANCIA'!B66</f>
        <v>Calle Guacara Nro. 90-51</v>
      </c>
      <c r="C66" s="182">
        <f>SUMIFS(Vigilancia!$E:$E,Vigilancia!$F:$F,$A66,Vigilancia!$J:$J,C$1)</f>
        <v>0</v>
      </c>
      <c r="D66" s="182">
        <f>SUMIFS(Vigilancia!$E:$E,Vigilancia!$F:$F,$A66,Vigilancia!$J:$J,D$1)</f>
        <v>3.5</v>
      </c>
      <c r="E66" s="305">
        <f>SUMIFS(Vigilancia!$E:$E,Vigilancia!$F:$F,$A66,Vigilancia!$J:$J,E$1)</f>
        <v>12.5</v>
      </c>
      <c r="F66" s="305">
        <f>SUMIFS(Vigilancia!$E:$E,Vigilancia!$F:$F,$A66,Vigilancia!$J:$J,F$1)</f>
        <v>0</v>
      </c>
      <c r="G66" s="182">
        <f>SUMIFS(Vigilancia!$E:$E,Vigilancia!$F:$F,$A66,Vigilancia!$J:$J,G$1)</f>
        <v>0</v>
      </c>
      <c r="H66" s="182">
        <f>SUMIFS(Vigilancia!$E:$E,Vigilancia!$F:$F,$A66,Vigilancia!$J:$J,H$1)</f>
        <v>0</v>
      </c>
      <c r="I66" s="182">
        <f>SUMIFS(Vigilancia!$E:$E,Vigilancia!$F:$F,$A66,Vigilancia!$J:$J,I$1)</f>
        <v>34703.5</v>
      </c>
      <c r="J66" s="182">
        <f>SUMIFS(Vigilancia!$E:$E,Vigilancia!$F:$F,$A66,Vigilancia!$J:$J,J$1)</f>
        <v>0</v>
      </c>
    </row>
    <row r="67" spans="1:11" x14ac:dyDescent="0.25">
      <c r="A67" s="30" t="str">
        <f>'RESUMEN VIGILANCIA'!A67</f>
        <v>Familia Triana González</v>
      </c>
      <c r="B67" s="31" t="str">
        <f>'RESUMEN VIGILANCIA'!B67</f>
        <v>Calle Guacara Nro. 90-61</v>
      </c>
      <c r="C67" s="182">
        <f>SUMIFS(Vigilancia!$E:$E,Vigilancia!$F:$F,$A67,Vigilancia!$J:$J,C$1)</f>
        <v>0</v>
      </c>
      <c r="D67" s="182">
        <f>SUMIFS(Vigilancia!$E:$E,Vigilancia!$F:$F,$A67,Vigilancia!$J:$J,D$1)</f>
        <v>0</v>
      </c>
      <c r="E67" s="182">
        <f>SUMIFS(Vigilancia!$E:$E,Vigilancia!$F:$F,$A67,Vigilancia!$J:$J,E$1)</f>
        <v>0</v>
      </c>
      <c r="F67" s="182">
        <f>SUMIFS(Vigilancia!$E:$E,Vigilancia!$F:$F,$A67,Vigilancia!$J:$J,F$1)</f>
        <v>0</v>
      </c>
      <c r="G67" s="182">
        <f>SUMIFS(Vigilancia!$E:$E,Vigilancia!$F:$F,$A67,Vigilancia!$J:$J,G$1)</f>
        <v>0</v>
      </c>
      <c r="H67" s="182">
        <f>SUMIFS(Vigilancia!$E:$E,Vigilancia!$F:$F,$A67,Vigilancia!$J:$J,H$1)</f>
        <v>0</v>
      </c>
      <c r="I67" s="182">
        <f>SUMIFS(Vigilancia!$E:$E,Vigilancia!$F:$F,$A67,Vigilancia!$J:$J,I$1)</f>
        <v>0</v>
      </c>
      <c r="J67" s="182">
        <f>SUMIFS(Vigilancia!$E:$E,Vigilancia!$F:$F,$A67,Vigilancia!$J:$J,J$1)</f>
        <v>0</v>
      </c>
    </row>
    <row r="68" spans="1:11" x14ac:dyDescent="0.25">
      <c r="A68" s="30" t="str">
        <f>'RESUMEN VIGILANCIA'!A68</f>
        <v>Neira Chacón</v>
      </c>
      <c r="B68" s="31" t="str">
        <f>'RESUMEN VIGILANCIA'!B68</f>
        <v>Calle Guacara Nro. 90-71</v>
      </c>
      <c r="C68" s="182">
        <f>SUMIFS(Vigilancia!$E:$E,Vigilancia!$F:$F,$A68,Vigilancia!$J:$J,C$1)</f>
        <v>0</v>
      </c>
      <c r="D68" s="182">
        <f>SUMIFS(Vigilancia!$E:$E,Vigilancia!$F:$F,$A68,Vigilancia!$J:$J,D$1)</f>
        <v>0</v>
      </c>
      <c r="E68" s="182">
        <f>SUMIFS(Vigilancia!$E:$E,Vigilancia!$F:$F,$A68,Vigilancia!$J:$J,E$1)</f>
        <v>0</v>
      </c>
      <c r="F68" s="182">
        <f>SUMIFS(Vigilancia!$E:$E,Vigilancia!$F:$F,$A68,Vigilancia!$J:$J,F$1)</f>
        <v>0</v>
      </c>
      <c r="G68" s="182">
        <f>SUMIFS(Vigilancia!$E:$E,Vigilancia!$F:$F,$A68,Vigilancia!$J:$J,G$1)</f>
        <v>0</v>
      </c>
      <c r="H68" s="182">
        <f>SUMIFS(Vigilancia!$E:$E,Vigilancia!$F:$F,$A68,Vigilancia!$J:$J,H$1)</f>
        <v>0</v>
      </c>
      <c r="I68" s="182">
        <f>SUMIFS(Vigilancia!$E:$E,Vigilancia!$F:$F,$A68,Vigilancia!$J:$J,I$1)</f>
        <v>0</v>
      </c>
      <c r="J68" s="182">
        <f>SUMIFS(Vigilancia!$E:$E,Vigilancia!$F:$F,$A68,Vigilancia!$J:$J,J$1)</f>
        <v>0</v>
      </c>
    </row>
    <row r="69" spans="1:11" x14ac:dyDescent="0.25">
      <c r="A69" s="30" t="str">
        <f>'RESUMEN VIGILANCIA'!A69</f>
        <v>Wu Hung Fung</v>
      </c>
      <c r="B69" s="31" t="str">
        <f>'RESUMEN VIGILANCIA'!B69</f>
        <v>Calle Guacara Nro. 90-81</v>
      </c>
      <c r="C69" s="182">
        <f>SUMIFS(Vigilancia!$E:$E,Vigilancia!$F:$F,$A69,Vigilancia!$J:$J,C$1)</f>
        <v>7.0000000000000007E-2</v>
      </c>
      <c r="D69" s="182">
        <f>SUMIFS(Vigilancia!$E:$E,Vigilancia!$F:$F,$A69,Vigilancia!$J:$J,D$1)</f>
        <v>5.7</v>
      </c>
      <c r="E69" s="182">
        <f>SUMIFS(Vigilancia!$E:$E,Vigilancia!$F:$F,$A69,Vigilancia!$J:$J,E$1)</f>
        <v>0</v>
      </c>
      <c r="F69" s="182">
        <f>SUMIFS(Vigilancia!$E:$E,Vigilancia!$F:$F,$A69,Vigilancia!$J:$J,F$1)</f>
        <v>15</v>
      </c>
      <c r="G69" s="182">
        <f>SUMIFS(Vigilancia!$E:$E,Vigilancia!$F:$F,$A69,Vigilancia!$J:$J,G$1)</f>
        <v>0</v>
      </c>
      <c r="H69" s="182">
        <f>SUMIFS(Vigilancia!$E:$E,Vigilancia!$F:$F,$A69,Vigilancia!$J:$J,H$1)</f>
        <v>0</v>
      </c>
      <c r="I69" s="182">
        <f>SUMIFS(Vigilancia!$E:$E,Vigilancia!$F:$F,$A69,Vigilancia!$J:$J,I$1)</f>
        <v>0</v>
      </c>
      <c r="J69" s="182">
        <f>SUMIFS(Vigilancia!$E:$E,Vigilancia!$F:$F,$A69,Vigilancia!$J:$J,J$1)</f>
        <v>0</v>
      </c>
    </row>
    <row r="70" spans="1:11" x14ac:dyDescent="0.25">
      <c r="A70" s="30" t="str">
        <f>'RESUMEN VIGILANCIA'!A70</f>
        <v>Familia Santos Carrillo</v>
      </c>
      <c r="B70" s="31" t="str">
        <f>'RESUMEN VIGILANCIA'!B70</f>
        <v>Calle Guacara Nro. 90-93</v>
      </c>
      <c r="C70" s="182">
        <f>SUMIFS(Vigilancia!$E:$E,Vigilancia!$F:$F,$A70,Vigilancia!$J:$J,C$1)</f>
        <v>0.05</v>
      </c>
      <c r="D70" s="182">
        <f>SUMIFS(Vigilancia!$E:$E,Vigilancia!$F:$F,$A70,Vigilancia!$J:$J,D$1)</f>
        <v>0</v>
      </c>
      <c r="E70" s="182">
        <f>SUMIFS(Vigilancia!$E:$E,Vigilancia!$F:$F,$A70,Vigilancia!$J:$J,E$1)</f>
        <v>0</v>
      </c>
      <c r="F70" s="182">
        <f>SUMIFS(Vigilancia!$E:$E,Vigilancia!$F:$F,$A70,Vigilancia!$J:$J,F$1)</f>
        <v>0</v>
      </c>
      <c r="G70" s="182">
        <f>SUMIFS(Vigilancia!$E:$E,Vigilancia!$F:$F,$A70,Vigilancia!$J:$J,G$1)</f>
        <v>0</v>
      </c>
      <c r="H70" s="182">
        <f>SUMIFS(Vigilancia!$E:$E,Vigilancia!$F:$F,$A70,Vigilancia!$J:$J,H$1)</f>
        <v>0</v>
      </c>
      <c r="I70" s="182">
        <f>SUMIFS(Vigilancia!$E:$E,Vigilancia!$F:$F,$A70,Vigilancia!$J:$J,I$1)</f>
        <v>0</v>
      </c>
      <c r="J70" s="182">
        <f>SUMIFS(Vigilancia!$E:$E,Vigilancia!$F:$F,$A70,Vigilancia!$J:$J,J$1)</f>
        <v>0</v>
      </c>
    </row>
    <row r="71" spans="1:11" x14ac:dyDescent="0.25">
      <c r="A71" s="30" t="str">
        <f>'RESUMEN VIGILANCIA'!A71</f>
        <v>Familia García Hurtado</v>
      </c>
      <c r="B71" s="31" t="str">
        <f>'RESUMEN VIGILANCIA'!B71</f>
        <v>Calle Guacara Nro. 90-110</v>
      </c>
      <c r="C71" s="182">
        <f>SUMIFS(Vigilancia!$E:$E,Vigilancia!$F:$F,$A71,Vigilancia!$J:$J,C$1)</f>
        <v>0</v>
      </c>
      <c r="D71" s="182">
        <f>SUMIFS(Vigilancia!$E:$E,Vigilancia!$F:$F,$A71,Vigilancia!$J:$J,D$1)</f>
        <v>0</v>
      </c>
      <c r="E71" s="182">
        <f>SUMIFS(Vigilancia!$E:$E,Vigilancia!$F:$F,$A71,Vigilancia!$J:$J,E$1)</f>
        <v>0</v>
      </c>
      <c r="F71" s="182">
        <f>SUMIFS(Vigilancia!$E:$E,Vigilancia!$F:$F,$A71,Vigilancia!$J:$J,F$1)</f>
        <v>0</v>
      </c>
      <c r="G71" s="182">
        <f>SUMIFS(Vigilancia!$E:$E,Vigilancia!$F:$F,$A71,Vigilancia!$J:$J,G$1)</f>
        <v>0</v>
      </c>
      <c r="H71" s="182">
        <f>SUMIFS(Vigilancia!$E:$E,Vigilancia!$F:$F,$A71,Vigilancia!$J:$J,H$1)</f>
        <v>0</v>
      </c>
      <c r="I71" s="182">
        <f>SUMIFS(Vigilancia!$E:$E,Vigilancia!$F:$F,$A71,Vigilancia!$J:$J,I$1)</f>
        <v>0</v>
      </c>
      <c r="J71" s="182">
        <f>SUMIFS(Vigilancia!$E:$E,Vigilancia!$F:$F,$A71,Vigilancia!$J:$J,J$1)</f>
        <v>0</v>
      </c>
    </row>
    <row r="72" spans="1:11" x14ac:dyDescent="0.25">
      <c r="A72" s="30" t="str">
        <f>'RESUMEN VIGILANCIA'!A72</f>
        <v>Familia Rodríguez Chiappeta</v>
      </c>
      <c r="B72" s="31" t="str">
        <f>'RESUMEN VIGILANCIA'!B72</f>
        <v>Calle Guacara Nro. 90-120</v>
      </c>
      <c r="C72" s="182">
        <f>SUMIFS(Vigilancia!$E:$E,Vigilancia!$F:$F,$A72,Vigilancia!$J:$J,C$1)</f>
        <v>0</v>
      </c>
      <c r="D72" s="182">
        <f>SUMIFS(Vigilancia!$E:$E,Vigilancia!$F:$F,$A72,Vigilancia!$J:$J,D$1)</f>
        <v>0</v>
      </c>
      <c r="E72" s="182">
        <f>SUMIFS(Vigilancia!$E:$E,Vigilancia!$F:$F,$A72,Vigilancia!$J:$J,E$1)</f>
        <v>0</v>
      </c>
      <c r="F72" s="182">
        <f>SUMIFS(Vigilancia!$E:$E,Vigilancia!$F:$F,$A72,Vigilancia!$J:$J,F$1)</f>
        <v>0</v>
      </c>
      <c r="G72" s="182">
        <f>SUMIFS(Vigilancia!$E:$E,Vigilancia!$F:$F,$A72,Vigilancia!$J:$J,G$1)</f>
        <v>0</v>
      </c>
      <c r="H72" s="182">
        <f>SUMIFS(Vigilancia!$E:$E,Vigilancia!$F:$F,$A72,Vigilancia!$J:$J,H$1)</f>
        <v>0</v>
      </c>
      <c r="I72" s="182">
        <f>SUMIFS(Vigilancia!$E:$E,Vigilancia!$F:$F,$A72,Vigilancia!$J:$J,I$1)</f>
        <v>0</v>
      </c>
      <c r="J72" s="182">
        <f>SUMIFS(Vigilancia!$E:$E,Vigilancia!$F:$F,$A72,Vigilancia!$J:$J,J$1)</f>
        <v>0</v>
      </c>
    </row>
    <row r="73" spans="1:11" x14ac:dyDescent="0.25">
      <c r="A73" s="30" t="str">
        <f>'RESUMEN VIGILANCIA'!A73</f>
        <v>Familia Ledezma Hernández</v>
      </c>
      <c r="B73" s="31" t="str">
        <f>'RESUMEN VIGILANCIA'!B73</f>
        <v>Calle Guacara Nro. 145-30</v>
      </c>
      <c r="C73" s="182">
        <f>SUMIFS(Vigilancia!$E:$E,Vigilancia!$F:$F,$A73,Vigilancia!$J:$J,C$1)</f>
        <v>0</v>
      </c>
      <c r="D73" s="182">
        <f>SUMIFS(Vigilancia!$E:$E,Vigilancia!$F:$F,$A73,Vigilancia!$J:$J,D$1)</f>
        <v>0</v>
      </c>
      <c r="E73" s="182">
        <f>SUMIFS(Vigilancia!$E:$E,Vigilancia!$F:$F,$A73,Vigilancia!$J:$J,E$1)</f>
        <v>0</v>
      </c>
      <c r="F73" s="182">
        <f>SUMIFS(Vigilancia!$E:$E,Vigilancia!$F:$F,$A73,Vigilancia!$J:$J,F$1)</f>
        <v>0</v>
      </c>
      <c r="G73" s="182">
        <f>SUMIFS(Vigilancia!$E:$E,Vigilancia!$F:$F,$A73,Vigilancia!$J:$J,G$1)</f>
        <v>0</v>
      </c>
      <c r="H73" s="182">
        <f>SUMIFS(Vigilancia!$E:$E,Vigilancia!$F:$F,$A73,Vigilancia!$J:$J,H$1)</f>
        <v>0</v>
      </c>
      <c r="I73" s="182">
        <f>SUMIFS(Vigilancia!$E:$E,Vigilancia!$F:$F,$A73,Vigilancia!$J:$J,I$1)</f>
        <v>0</v>
      </c>
      <c r="J73" s="182">
        <f>SUMIFS(Vigilancia!$E:$E,Vigilancia!$F:$F,$A73,Vigilancia!$J:$J,J$1)</f>
        <v>0</v>
      </c>
    </row>
    <row r="74" spans="1:11" ht="15.75" thickBot="1" x14ac:dyDescent="0.3">
      <c r="A74" s="29" t="str">
        <f>'RESUMEN VIGILANCIA'!A74</f>
        <v>Familia Narváez Caldera</v>
      </c>
      <c r="B74" s="64" t="str">
        <f>'RESUMEN VIGILANCIA'!B74</f>
        <v>Calle Güigüe Nro. 87-A-11</v>
      </c>
      <c r="C74" s="182">
        <f>SUMIFS(Vigilancia!$E:$E,Vigilancia!$F:$F,$A74,Vigilancia!$J:$J,C$1)</f>
        <v>7.0000000000000007E-2</v>
      </c>
      <c r="D74" s="182">
        <f>SUMIFS(Vigilancia!$E:$E,Vigilancia!$F:$F,$A74,Vigilancia!$J:$J,D$1)</f>
        <v>3.5</v>
      </c>
      <c r="E74" s="305">
        <f>SUMIFS(Vigilancia!$E:$E,Vigilancia!$F:$F,$A74,Vigilancia!$J:$J,E$1)</f>
        <v>12.2</v>
      </c>
      <c r="F74" s="305">
        <f>SUMIFS(Vigilancia!$E:$E,Vigilancia!$F:$F,$A74,Vigilancia!$J:$J,F$1)</f>
        <v>10</v>
      </c>
      <c r="G74" s="182">
        <f>SUMIFS(Vigilancia!$E:$E,Vigilancia!$F:$F,$A74,Vigilancia!$J:$J,G$1)</f>
        <v>0</v>
      </c>
      <c r="H74" s="182">
        <f>SUMIFS(Vigilancia!$E:$E,Vigilancia!$F:$F,$A74,Vigilancia!$J:$J,H$1)</f>
        <v>0</v>
      </c>
      <c r="I74" s="182">
        <f>SUMIFS(Vigilancia!$E:$E,Vigilancia!$F:$F,$A74,Vigilancia!$J:$J,I$1)</f>
        <v>0</v>
      </c>
      <c r="J74" s="182">
        <f>SUMIFS(Vigilancia!$E:$E,Vigilancia!$F:$F,$A74,Vigilancia!$J:$J,J$1)</f>
        <v>0</v>
      </c>
    </row>
    <row r="75" spans="1:11" x14ac:dyDescent="0.25">
      <c r="A75" s="59" t="str">
        <f>'RESUMEN VIGILANCIA'!A75</f>
        <v>Claudia González</v>
      </c>
      <c r="B75" s="60" t="str">
        <f>'RESUMEN VIGILANCIA'!B75</f>
        <v>Calle Güigüe Nro. 88-06</v>
      </c>
      <c r="C75" s="214">
        <f>SUMIFS(Vigilancia!$E:$E,Vigilancia!$F:$F,$A75,Vigilancia!$J:$J,C$1)</f>
        <v>0</v>
      </c>
      <c r="D75" s="214">
        <f>SUMIFS(Vigilancia!$E:$E,Vigilancia!$F:$F,$A75,Vigilancia!$J:$J,D$1)</f>
        <v>0</v>
      </c>
      <c r="E75" s="214">
        <f>SUMIFS(Vigilancia!$E:$E,Vigilancia!$F:$F,$A75,Vigilancia!$J:$J,E$1)</f>
        <v>0</v>
      </c>
      <c r="F75" s="214">
        <f>SUMIFS(Vigilancia!$E:$E,Vigilancia!$F:$F,$A75,Vigilancia!$J:$J,F$1)</f>
        <v>0</v>
      </c>
      <c r="G75" s="306">
        <f>SUMIFS(Vigilancia!$E:$E,Vigilancia!$F:$F,$A75,Vigilancia!$J:$J,G$1)</f>
        <v>0</v>
      </c>
      <c r="H75" s="214">
        <f>SUMIFS(Vigilancia!$E:$E,Vigilancia!$F:$F,$A75,Vigilancia!$J:$J,H$1)</f>
        <v>0</v>
      </c>
      <c r="I75" s="214">
        <f>SUMIFS(Vigilancia!$E:$E,Vigilancia!$F:$F,$A75,Vigilancia!$J:$J,I$1)</f>
        <v>0</v>
      </c>
      <c r="J75" s="206">
        <f>SUMIFS(Vigilancia!$E:$E,Vigilancia!$F:$F,$A75,Vigilancia!$J:$J,J$1)</f>
        <v>0</v>
      </c>
      <c r="K75" s="122"/>
    </row>
    <row r="76" spans="1:11" ht="15.75" thickBot="1" x14ac:dyDescent="0.3">
      <c r="A76" s="30" t="str">
        <f>'RESUMEN VIGILANCIA'!A76</f>
        <v>Familia Ozar Rivero</v>
      </c>
      <c r="B76" s="31" t="str">
        <f>'RESUMEN VIGILANCIA'!B76</f>
        <v>Calle Güigüe Nro. 88-06</v>
      </c>
      <c r="C76" s="182">
        <f>SUMIFS(Vigilancia!$E:$E,Vigilancia!$F:$F,$A76,Vigilancia!$J:$J,C$1)</f>
        <v>0</v>
      </c>
      <c r="D76" s="182">
        <f>SUMIFS(Vigilancia!$E:$E,Vigilancia!$F:$F,$A76,Vigilancia!$J:$J,D$1)</f>
        <v>0</v>
      </c>
      <c r="E76" s="305">
        <f>SUMIFS(Vigilancia!$E:$E,Vigilancia!$F:$F,$A76,Vigilancia!$J:$J,E$1)</f>
        <v>12.2</v>
      </c>
      <c r="F76" s="305">
        <f>SUMIFS(Vigilancia!$E:$E,Vigilancia!$F:$F,$A76,Vigilancia!$J:$J,F$1)</f>
        <v>0</v>
      </c>
      <c r="G76" s="181">
        <f>SUMIFS(Vigilancia!$E:$E,Vigilancia!$F:$F,$A76,Vigilancia!$J:$J,G$1)</f>
        <v>0</v>
      </c>
      <c r="H76" s="182">
        <f>SUMIFS(Vigilancia!$E:$E,Vigilancia!$F:$F,$A76,Vigilancia!$J:$J,H$1)</f>
        <v>0</v>
      </c>
      <c r="I76" s="182">
        <f>SUMIFS(Vigilancia!$E:$E,Vigilancia!$F:$F,$A76,Vigilancia!$J:$J,I$1)</f>
        <v>0</v>
      </c>
      <c r="J76" s="185">
        <f>SUMIFS(Vigilancia!$E:$E,Vigilancia!$F:$F,$A76,Vigilancia!$J:$J,J$1)</f>
        <v>0</v>
      </c>
      <c r="K76" s="124"/>
    </row>
    <row r="77" spans="1:11" x14ac:dyDescent="0.25">
      <c r="A77" s="67" t="str">
        <f>'RESUMEN VIGILANCIA'!A77</f>
        <v>Familia Delgado Hidalgo</v>
      </c>
      <c r="B77" s="65" t="str">
        <f>'RESUMEN VIGILANCIA'!B77</f>
        <v>Calle Güigüe Nro. 88-10</v>
      </c>
      <c r="C77" s="182">
        <f>SUMIFS(Vigilancia!$E:$E,Vigilancia!$F:$F,$A77,Vigilancia!$J:$J,C$1)</f>
        <v>7.0000000000000007E-2</v>
      </c>
      <c r="D77" s="182">
        <f>SUMIFS(Vigilancia!$E:$E,Vigilancia!$F:$F,$A77,Vigilancia!$J:$J,D$1)</f>
        <v>3.5</v>
      </c>
      <c r="E77" s="305">
        <f>SUMIFS(Vigilancia!$E:$E,Vigilancia!$F:$F,$A77,Vigilancia!$J:$J,E$1)</f>
        <v>12.2</v>
      </c>
      <c r="F77" s="305">
        <f>SUMIFS(Vigilancia!$E:$E,Vigilancia!$F:$F,$A77,Vigilancia!$J:$J,F$1)</f>
        <v>10</v>
      </c>
      <c r="G77" s="182">
        <f>SUMIFS(Vigilancia!$E:$E,Vigilancia!$F:$F,$A77,Vigilancia!$J:$J,G$1)</f>
        <v>0</v>
      </c>
      <c r="H77" s="182">
        <f>SUMIFS(Vigilancia!$E:$E,Vigilancia!$F:$F,$A77,Vigilancia!$J:$J,H$1)</f>
        <v>0</v>
      </c>
      <c r="I77" s="182">
        <f>SUMIFS(Vigilancia!$E:$E,Vigilancia!$F:$F,$A77,Vigilancia!$J:$J,I$1)</f>
        <v>0</v>
      </c>
      <c r="J77" s="182">
        <f>SUMIFS(Vigilancia!$E:$E,Vigilancia!$F:$F,$A77,Vigilancia!$J:$J,J$1)</f>
        <v>0</v>
      </c>
    </row>
    <row r="78" spans="1:11" x14ac:dyDescent="0.25">
      <c r="A78" s="30" t="str">
        <f>'RESUMEN VIGILANCIA'!A78</f>
        <v>Familia Costermani Terrer</v>
      </c>
      <c r="B78" s="31" t="str">
        <f>'RESUMEN VIGILANCIA'!B78</f>
        <v>Calle Güigüe Nro. 88-11</v>
      </c>
      <c r="C78" s="182">
        <f>SUMIFS(Vigilancia!$E:$E,Vigilancia!$F:$F,$A78,Vigilancia!$J:$J,C$1)</f>
        <v>0</v>
      </c>
      <c r="D78" s="182">
        <f>SUMIFS(Vigilancia!$E:$E,Vigilancia!$F:$F,$A78,Vigilancia!$J:$J,D$1)</f>
        <v>3.5</v>
      </c>
      <c r="E78" s="305">
        <f>SUMIFS(Vigilancia!$E:$E,Vigilancia!$F:$F,$A78,Vigilancia!$J:$J,E$1)</f>
        <v>12.2</v>
      </c>
      <c r="F78" s="305">
        <f>SUMIFS(Vigilancia!$E:$E,Vigilancia!$F:$F,$A78,Vigilancia!$J:$J,F$1)</f>
        <v>10</v>
      </c>
      <c r="G78" s="182">
        <f>SUMIFS(Vigilancia!$E:$E,Vigilancia!$F:$F,$A78,Vigilancia!$J:$J,G$1)</f>
        <v>0</v>
      </c>
      <c r="H78" s="182">
        <f>SUMIFS(Vigilancia!$E:$E,Vigilancia!$F:$F,$A78,Vigilancia!$J:$J,H$1)</f>
        <v>0</v>
      </c>
      <c r="I78" s="182">
        <f>SUMIFS(Vigilancia!$E:$E,Vigilancia!$F:$F,$A78,Vigilancia!$J:$J,I$1)</f>
        <v>0</v>
      </c>
      <c r="J78" s="182">
        <f>SUMIFS(Vigilancia!$E:$E,Vigilancia!$F:$F,$A78,Vigilancia!$J:$J,J$1)</f>
        <v>0</v>
      </c>
    </row>
    <row r="79" spans="1:11" x14ac:dyDescent="0.25">
      <c r="A79" s="30" t="str">
        <f>'RESUMEN VIGILANCIA'!A79</f>
        <v>Familia Chávez Hernández</v>
      </c>
      <c r="B79" s="31" t="str">
        <f>'RESUMEN VIGILANCIA'!B79</f>
        <v>Calle Güigüe Nro. 88-20</v>
      </c>
      <c r="C79" s="182">
        <f>SUMIFS(Vigilancia!$E:$E,Vigilancia!$F:$F,$A79,Vigilancia!$J:$J,C$1)</f>
        <v>0</v>
      </c>
      <c r="D79" s="182">
        <f>SUMIFS(Vigilancia!$E:$E,Vigilancia!$F:$F,$A79,Vigilancia!$J:$J,D$1)</f>
        <v>1</v>
      </c>
      <c r="E79" s="305">
        <f>SUMIFS(Vigilancia!$E:$E,Vigilancia!$F:$F,$A79,Vigilancia!$J:$J,E$1)</f>
        <v>0</v>
      </c>
      <c r="F79" s="305">
        <f>SUMIFS(Vigilancia!$E:$E,Vigilancia!$F:$F,$A79,Vigilancia!$J:$J,F$1)</f>
        <v>0</v>
      </c>
      <c r="G79" s="182">
        <f>SUMIFS(Vigilancia!$E:$E,Vigilancia!$F:$F,$A79,Vigilancia!$J:$J,G$1)</f>
        <v>0</v>
      </c>
      <c r="H79" s="182">
        <f>SUMIFS(Vigilancia!$E:$E,Vigilancia!$F:$F,$A79,Vigilancia!$J:$J,H$1)</f>
        <v>0</v>
      </c>
      <c r="I79" s="182">
        <f>SUMIFS(Vigilancia!$E:$E,Vigilancia!$F:$F,$A79,Vigilancia!$J:$J,I$1)</f>
        <v>0</v>
      </c>
      <c r="J79" s="182">
        <f>SUMIFS(Vigilancia!$E:$E,Vigilancia!$F:$F,$A79,Vigilancia!$J:$J,J$1)</f>
        <v>0</v>
      </c>
    </row>
    <row r="80" spans="1:11" x14ac:dyDescent="0.25">
      <c r="A80" s="30" t="str">
        <f>'RESUMEN VIGILANCIA'!A80</f>
        <v>Ma. de Jesus Alonso</v>
      </c>
      <c r="B80" s="31" t="str">
        <f>'RESUMEN VIGILANCIA'!B80</f>
        <v>Calle Güigüe Nro. 88-30</v>
      </c>
      <c r="C80" s="182">
        <f>SUMIFS(Vigilancia!$E:$E,Vigilancia!$F:$F,$A80,Vigilancia!$J:$J,C$1)</f>
        <v>0</v>
      </c>
      <c r="D80" s="182">
        <f>SUMIFS(Vigilancia!$E:$E,Vigilancia!$F:$F,$A80,Vigilancia!$J:$J,D$1)</f>
        <v>3.5</v>
      </c>
      <c r="E80" s="305">
        <f>SUMIFS(Vigilancia!$E:$E,Vigilancia!$F:$F,$A80,Vigilancia!$J:$J,E$1)</f>
        <v>0</v>
      </c>
      <c r="F80" s="305">
        <f>SUMIFS(Vigilancia!$E:$E,Vigilancia!$F:$F,$A80,Vigilancia!$J:$J,F$1)</f>
        <v>0</v>
      </c>
      <c r="G80" s="182">
        <f>SUMIFS(Vigilancia!$E:$E,Vigilancia!$F:$F,$A80,Vigilancia!$J:$J,G$1)</f>
        <v>0</v>
      </c>
      <c r="H80" s="182">
        <f>SUMIFS(Vigilancia!$E:$E,Vigilancia!$F:$F,$A80,Vigilancia!$J:$J,H$1)</f>
        <v>0</v>
      </c>
      <c r="I80" s="182">
        <f>SUMIFS(Vigilancia!$E:$E,Vigilancia!$F:$F,$A80,Vigilancia!$J:$J,I$1)</f>
        <v>0</v>
      </c>
      <c r="J80" s="182">
        <f>SUMIFS(Vigilancia!$E:$E,Vigilancia!$F:$F,$A80,Vigilancia!$J:$J,J$1)</f>
        <v>0</v>
      </c>
    </row>
    <row r="81" spans="1:10" x14ac:dyDescent="0.25">
      <c r="A81" s="30" t="str">
        <f>'RESUMEN VIGILANCIA'!A81</f>
        <v>Familia Moyetones</v>
      </c>
      <c r="B81" s="31" t="str">
        <f>'RESUMEN VIGILANCIA'!B81</f>
        <v>Calle Güigüe Nro. 88-36</v>
      </c>
      <c r="C81" s="182">
        <f>SUMIFS(Vigilancia!$E:$E,Vigilancia!$F:$F,$A81,Vigilancia!$J:$J,C$1)</f>
        <v>0</v>
      </c>
      <c r="D81" s="182">
        <f>SUMIFS(Vigilancia!$E:$E,Vigilancia!$F:$F,$A81,Vigilancia!$J:$J,D$1)</f>
        <v>0</v>
      </c>
      <c r="E81" s="305">
        <f>SUMIFS(Vigilancia!$E:$E,Vigilancia!$F:$F,$A81,Vigilancia!$J:$J,E$1)</f>
        <v>0</v>
      </c>
      <c r="F81" s="305">
        <f>SUMIFS(Vigilancia!$E:$E,Vigilancia!$F:$F,$A81,Vigilancia!$J:$J,F$1)</f>
        <v>0</v>
      </c>
      <c r="G81" s="182">
        <f>SUMIFS(Vigilancia!$E:$E,Vigilancia!$F:$F,$A81,Vigilancia!$J:$J,G$1)</f>
        <v>0</v>
      </c>
      <c r="H81" s="182">
        <f>SUMIFS(Vigilancia!$E:$E,Vigilancia!$F:$F,$A81,Vigilancia!$J:$J,H$1)</f>
        <v>0</v>
      </c>
      <c r="I81" s="182">
        <f>SUMIFS(Vigilancia!$E:$E,Vigilancia!$F:$F,$A81,Vigilancia!$J:$J,I$1)</f>
        <v>0</v>
      </c>
      <c r="J81" s="182">
        <f>SUMIFS(Vigilancia!$E:$E,Vigilancia!$F:$F,$A81,Vigilancia!$J:$J,J$1)</f>
        <v>0</v>
      </c>
    </row>
    <row r="82" spans="1:10" x14ac:dyDescent="0.25">
      <c r="A82" s="30" t="str">
        <f>'RESUMEN VIGILANCIA'!A82</f>
        <v>Familia Rivero</v>
      </c>
      <c r="B82" s="31" t="str">
        <f>'RESUMEN VIGILANCIA'!B82</f>
        <v>Calle Güigüe Nro. 88-40</v>
      </c>
      <c r="C82" s="182">
        <f>SUMIFS(Vigilancia!$E:$E,Vigilancia!$F:$F,$A82,Vigilancia!$J:$J,C$1)</f>
        <v>7.0000000000000007E-2</v>
      </c>
      <c r="D82" s="182">
        <f>SUMIFS(Vigilancia!$E:$E,Vigilancia!$F:$F,$A82,Vigilancia!$J:$J,D$1)</f>
        <v>0</v>
      </c>
      <c r="E82" s="305">
        <f>SUMIFS(Vigilancia!$E:$E,Vigilancia!$F:$F,$A82,Vigilancia!$J:$J,E$1)</f>
        <v>0</v>
      </c>
      <c r="F82" s="305">
        <f>SUMIFS(Vigilancia!$E:$E,Vigilancia!$F:$F,$A82,Vigilancia!$J:$J,F$1)</f>
        <v>0</v>
      </c>
      <c r="G82" s="182">
        <f>SUMIFS(Vigilancia!$E:$E,Vigilancia!$F:$F,$A82,Vigilancia!$J:$J,G$1)</f>
        <v>0</v>
      </c>
      <c r="H82" s="182">
        <f>SUMIFS(Vigilancia!$E:$E,Vigilancia!$F:$F,$A82,Vigilancia!$J:$J,H$1)</f>
        <v>0</v>
      </c>
      <c r="I82" s="182">
        <f>SUMIFS(Vigilancia!$E:$E,Vigilancia!$F:$F,$A82,Vigilancia!$J:$J,I$1)</f>
        <v>0</v>
      </c>
      <c r="J82" s="182">
        <f>SUMIFS(Vigilancia!$E:$E,Vigilancia!$F:$F,$A82,Vigilancia!$J:$J,J$1)</f>
        <v>0</v>
      </c>
    </row>
    <row r="83" spans="1:10" x14ac:dyDescent="0.25">
      <c r="A83" s="30" t="str">
        <f>'RESUMEN VIGILANCIA'!A83</f>
        <v>Thanya Albornoz</v>
      </c>
      <c r="B83" s="31" t="str">
        <f>'RESUMEN VIGILANCIA'!B83</f>
        <v>Calle Güigüe Nro. 88-42</v>
      </c>
      <c r="C83" s="182">
        <f>SUMIFS(Vigilancia!$E:$E,Vigilancia!$F:$F,$A83,Vigilancia!$J:$J,C$1)</f>
        <v>0</v>
      </c>
      <c r="D83" s="182">
        <f>SUMIFS(Vigilancia!$E:$E,Vigilancia!$F:$F,$A83,Vigilancia!$J:$J,D$1)</f>
        <v>0</v>
      </c>
      <c r="E83" s="305">
        <f>SUMIFS(Vigilancia!$E:$E,Vigilancia!$F:$F,$A83,Vigilancia!$J:$J,E$1)</f>
        <v>0</v>
      </c>
      <c r="F83" s="305">
        <f>SUMIFS(Vigilancia!$E:$E,Vigilancia!$F:$F,$A83,Vigilancia!$J:$J,F$1)</f>
        <v>0</v>
      </c>
      <c r="G83" s="182">
        <f>SUMIFS(Vigilancia!$E:$E,Vigilancia!$F:$F,$A83,Vigilancia!$J:$J,G$1)</f>
        <v>0</v>
      </c>
      <c r="H83" s="182">
        <f>SUMIFS(Vigilancia!$E:$E,Vigilancia!$F:$F,$A83,Vigilancia!$J:$J,H$1)</f>
        <v>0</v>
      </c>
      <c r="I83" s="182">
        <f>SUMIFS(Vigilancia!$E:$E,Vigilancia!$F:$F,$A83,Vigilancia!$J:$J,I$1)</f>
        <v>0</v>
      </c>
      <c r="J83" s="182">
        <f>SUMIFS(Vigilancia!$E:$E,Vigilancia!$F:$F,$A83,Vigilancia!$J:$J,J$1)</f>
        <v>0</v>
      </c>
    </row>
    <row r="84" spans="1:10" x14ac:dyDescent="0.25">
      <c r="A84" s="30" t="str">
        <f>'RESUMEN VIGILANCIA'!A84</f>
        <v>Familia Colosso Delgado</v>
      </c>
      <c r="B84" s="31" t="str">
        <f>'RESUMEN VIGILANCIA'!B84</f>
        <v>Calle Güigüe Nro. 88-44</v>
      </c>
      <c r="C84" s="182">
        <f>SUMIFS(Vigilancia!$E:$E,Vigilancia!$F:$F,$A84,Vigilancia!$J:$J,C$1)</f>
        <v>7.0000000000000007E-2</v>
      </c>
      <c r="D84" s="182">
        <f>SUMIFS(Vigilancia!$E:$E,Vigilancia!$F:$F,$A84,Vigilancia!$J:$J,D$1)</f>
        <v>3.5</v>
      </c>
      <c r="E84" s="305">
        <f>SUMIFS(Vigilancia!$E:$E,Vigilancia!$F:$F,$A84,Vigilancia!$J:$J,E$1)</f>
        <v>12.2</v>
      </c>
      <c r="F84" s="305">
        <f>SUMIFS(Vigilancia!$E:$E,Vigilancia!$F:$F,$A84,Vigilancia!$J:$J,F$1)</f>
        <v>10</v>
      </c>
      <c r="G84" s="182">
        <f>SUMIFS(Vigilancia!$E:$E,Vigilancia!$F:$F,$A84,Vigilancia!$J:$J,G$1)</f>
        <v>0</v>
      </c>
      <c r="H84" s="182">
        <f>SUMIFS(Vigilancia!$E:$E,Vigilancia!$F:$F,$A84,Vigilancia!$J:$J,H$1)</f>
        <v>0</v>
      </c>
      <c r="I84" s="182">
        <f>SUMIFS(Vigilancia!$E:$E,Vigilancia!$F:$F,$A84,Vigilancia!$J:$J,I$1)</f>
        <v>0</v>
      </c>
      <c r="J84" s="182">
        <f>SUMIFS(Vigilancia!$E:$E,Vigilancia!$F:$F,$A84,Vigilancia!$J:$J,J$1)</f>
        <v>0</v>
      </c>
    </row>
    <row r="85" spans="1:10" x14ac:dyDescent="0.25">
      <c r="A85" s="30" t="str">
        <f>'RESUMEN VIGILANCIA'!A85</f>
        <v>Familia Jiménez Navarro</v>
      </c>
      <c r="B85" s="31" t="str">
        <f>'RESUMEN VIGILANCIA'!B85</f>
        <v>Calle Güigüe Nro. 88-50</v>
      </c>
      <c r="C85" s="182">
        <f>SUMIFS(Vigilancia!$E:$E,Vigilancia!$F:$F,$A85,Vigilancia!$J:$J,C$1)</f>
        <v>0.1</v>
      </c>
      <c r="D85" s="182">
        <f>SUMIFS(Vigilancia!$E:$E,Vigilancia!$F:$F,$A85,Vigilancia!$J:$J,D$1)</f>
        <v>3.5</v>
      </c>
      <c r="E85" s="305">
        <f>SUMIFS(Vigilancia!$E:$E,Vigilancia!$F:$F,$A85,Vigilancia!$J:$J,E$1)</f>
        <v>15</v>
      </c>
      <c r="F85" s="305">
        <f>SUMIFS(Vigilancia!$E:$E,Vigilancia!$F:$F,$A85,Vigilancia!$J:$J,F$1)</f>
        <v>10</v>
      </c>
      <c r="G85" s="182">
        <f>SUMIFS(Vigilancia!$E:$E,Vigilancia!$F:$F,$A85,Vigilancia!$J:$J,G$1)</f>
        <v>0</v>
      </c>
      <c r="H85" s="182">
        <f>SUMIFS(Vigilancia!$E:$E,Vigilancia!$F:$F,$A85,Vigilancia!$J:$J,H$1)</f>
        <v>0</v>
      </c>
      <c r="I85" s="182">
        <f>SUMIFS(Vigilancia!$E:$E,Vigilancia!$F:$F,$A85,Vigilancia!$J:$J,I$1)</f>
        <v>0</v>
      </c>
      <c r="J85" s="182">
        <f>SUMIFS(Vigilancia!$E:$E,Vigilancia!$F:$F,$A85,Vigilancia!$J:$J,J$1)</f>
        <v>0</v>
      </c>
    </row>
    <row r="86" spans="1:10" x14ac:dyDescent="0.25">
      <c r="A86" s="30" t="str">
        <f>'RESUMEN VIGILANCIA'!A86</f>
        <v>Dra. Lilia Magallanes</v>
      </c>
      <c r="B86" s="31" t="str">
        <f>'RESUMEN VIGILANCIA'!B86</f>
        <v>Calle Güigüe Nro. 88-51</v>
      </c>
      <c r="C86" s="182">
        <f>SUMIFS(Vigilancia!$E:$E,Vigilancia!$F:$F,$A86,Vigilancia!$J:$J,C$1)</f>
        <v>7.0000000000000007E-2</v>
      </c>
      <c r="D86" s="316">
        <f>SUMIFS(Vigilancia!$E:$E,Vigilancia!$F:$F,$A86,Vigilancia!$J:$J,D$1)</f>
        <v>0</v>
      </c>
      <c r="E86" s="305">
        <f>SUMIFS(Vigilancia!$E:$E,Vigilancia!$F:$F,$A86,Vigilancia!$J:$J,E$1)</f>
        <v>0</v>
      </c>
      <c r="F86" s="305">
        <f>SUMIFS(Vigilancia!$E:$E,Vigilancia!$F:$F,$A86,Vigilancia!$J:$J,F$1)</f>
        <v>0</v>
      </c>
      <c r="G86" s="182">
        <f>SUMIFS(Vigilancia!$E:$E,Vigilancia!$F:$F,$A86,Vigilancia!$J:$J,G$1)</f>
        <v>0</v>
      </c>
      <c r="H86" s="182">
        <f>SUMIFS(Vigilancia!$E:$E,Vigilancia!$F:$F,$A86,Vigilancia!$J:$J,H$1)</f>
        <v>0</v>
      </c>
      <c r="I86" s="182">
        <f>SUMIFS(Vigilancia!$E:$E,Vigilancia!$F:$F,$A86,Vigilancia!$J:$J,I$1)</f>
        <v>0</v>
      </c>
      <c r="J86" s="182">
        <f>SUMIFS(Vigilancia!$E:$E,Vigilancia!$F:$F,$A86,Vigilancia!$J:$J,J$1)</f>
        <v>0</v>
      </c>
    </row>
    <row r="87" spans="1:10" x14ac:dyDescent="0.25">
      <c r="A87" s="30" t="str">
        <f>'RESUMEN VIGILANCIA'!A87</f>
        <v>Familia Navarro Assing</v>
      </c>
      <c r="B87" s="31" t="str">
        <f>'RESUMEN VIGILANCIA'!B87</f>
        <v>Calle Güigüe Nro. 88-54</v>
      </c>
      <c r="C87" s="182">
        <f>SUMIFS(Vigilancia!$E:$E,Vigilancia!$F:$F,$A87,Vigilancia!$J:$J,C$1)</f>
        <v>7.0000000000000007E-2</v>
      </c>
      <c r="D87" s="182">
        <f>SUMIFS(Vigilancia!$E:$E,Vigilancia!$F:$F,$A87,Vigilancia!$J:$J,D$1)</f>
        <v>3.5</v>
      </c>
      <c r="E87" s="305">
        <f>SUMIFS(Vigilancia!$E:$E,Vigilancia!$F:$F,$A87,Vigilancia!$J:$J,E$1)</f>
        <v>12</v>
      </c>
      <c r="F87" s="305">
        <f>SUMIFS(Vigilancia!$E:$E,Vigilancia!$F:$F,$A87,Vigilancia!$J:$J,F$1)</f>
        <v>10</v>
      </c>
      <c r="G87" s="182">
        <f>SUMIFS(Vigilancia!$E:$E,Vigilancia!$F:$F,$A87,Vigilancia!$J:$J,G$1)</f>
        <v>0</v>
      </c>
      <c r="H87" s="182">
        <f>SUMIFS(Vigilancia!$E:$E,Vigilancia!$F:$F,$A87,Vigilancia!$J:$J,H$1)</f>
        <v>0</v>
      </c>
      <c r="I87" s="182">
        <f>SUMIFS(Vigilancia!$E:$E,Vigilancia!$F:$F,$A87,Vigilancia!$J:$J,I$1)</f>
        <v>0</v>
      </c>
      <c r="J87" s="182">
        <f>SUMIFS(Vigilancia!$E:$E,Vigilancia!$F:$F,$A87,Vigilancia!$J:$J,J$1)</f>
        <v>3</v>
      </c>
    </row>
    <row r="88" spans="1:10" x14ac:dyDescent="0.25">
      <c r="A88" s="30" t="str">
        <f>'RESUMEN VIGILANCIA'!A88</f>
        <v>Familia Rodríguez Aular</v>
      </c>
      <c r="B88" s="31" t="str">
        <f>'RESUMEN VIGILANCIA'!B88</f>
        <v>Calle Güigüe Nro. 88-58</v>
      </c>
      <c r="C88" s="182">
        <f>SUMIFS(Vigilancia!$E:$E,Vigilancia!$F:$F,$A88,Vigilancia!$J:$J,C$1)</f>
        <v>0</v>
      </c>
      <c r="D88" s="182">
        <f>SUMIFS(Vigilancia!$E:$E,Vigilancia!$F:$F,$A88,Vigilancia!$J:$J,D$1)</f>
        <v>0</v>
      </c>
      <c r="E88" s="182">
        <f>SUMIFS(Vigilancia!$E:$E,Vigilancia!$F:$F,$A88,Vigilancia!$J:$J,E$1)</f>
        <v>0</v>
      </c>
      <c r="F88" s="182">
        <f>SUMIFS(Vigilancia!$E:$E,Vigilancia!$F:$F,$A88,Vigilancia!$J:$J,F$1)</f>
        <v>0</v>
      </c>
      <c r="G88" s="182">
        <f>SUMIFS(Vigilancia!$E:$E,Vigilancia!$F:$F,$A88,Vigilancia!$J:$J,G$1)</f>
        <v>0</v>
      </c>
      <c r="H88" s="182">
        <f>SUMIFS(Vigilancia!$E:$E,Vigilancia!$F:$F,$A88,Vigilancia!$J:$J,H$1)</f>
        <v>0</v>
      </c>
      <c r="I88" s="182">
        <f>SUMIFS(Vigilancia!$E:$E,Vigilancia!$F:$F,$A88,Vigilancia!$J:$J,I$1)</f>
        <v>0</v>
      </c>
      <c r="J88" s="182">
        <f>SUMIFS(Vigilancia!$E:$E,Vigilancia!$F:$F,$A88,Vigilancia!$J:$J,J$1)</f>
        <v>0</v>
      </c>
    </row>
    <row r="89" spans="1:10" x14ac:dyDescent="0.25">
      <c r="A89" s="30" t="str">
        <f>'RESUMEN VIGILANCIA'!A89</f>
        <v>Familia Ramírez</v>
      </c>
      <c r="B89" s="31" t="str">
        <f>'RESUMEN VIGILANCIA'!B89</f>
        <v>Calle Güigüe Nro. 88-61</v>
      </c>
      <c r="C89" s="182">
        <f>SUMIFS(Vigilancia!$E:$E,Vigilancia!$F:$F,$A89,Vigilancia!$J:$J,C$1)</f>
        <v>7.4999999999999997E-2</v>
      </c>
      <c r="D89" s="182">
        <f>SUMIFS(Vigilancia!$E:$E,Vigilancia!$F:$F,$A89,Vigilancia!$J:$J,D$1)</f>
        <v>0</v>
      </c>
      <c r="E89" s="182">
        <f>SUMIFS(Vigilancia!$E:$E,Vigilancia!$F:$F,$A89,Vigilancia!$J:$J,E$1)</f>
        <v>0</v>
      </c>
      <c r="F89" s="182">
        <f>SUMIFS(Vigilancia!$E:$E,Vigilancia!$F:$F,$A89,Vigilancia!$J:$J,F$1)</f>
        <v>0</v>
      </c>
      <c r="G89" s="182">
        <f>SUMIFS(Vigilancia!$E:$E,Vigilancia!$F:$F,$A89,Vigilancia!$J:$J,G$1)</f>
        <v>0</v>
      </c>
      <c r="H89" s="182">
        <f>SUMIFS(Vigilancia!$E:$E,Vigilancia!$F:$F,$A89,Vigilancia!$J:$J,H$1)</f>
        <v>0</v>
      </c>
      <c r="I89" s="182">
        <f>SUMIFS(Vigilancia!$E:$E,Vigilancia!$F:$F,$A89,Vigilancia!$J:$J,I$1)</f>
        <v>0</v>
      </c>
      <c r="J89" s="182">
        <f>SUMIFS(Vigilancia!$E:$E,Vigilancia!$F:$F,$A89,Vigilancia!$J:$J,J$1)</f>
        <v>0</v>
      </c>
    </row>
    <row r="90" spans="1:10" x14ac:dyDescent="0.25">
      <c r="A90" s="30" t="str">
        <f>'RESUMEN VIGILANCIA'!A90</f>
        <v>Familia Martínez Boada</v>
      </c>
      <c r="B90" s="31" t="str">
        <f>'RESUMEN VIGILANCIA'!B90</f>
        <v>Calle Güigüe Nro. 88-62</v>
      </c>
      <c r="C90" s="182">
        <f>SUMIFS(Vigilancia!$E:$E,Vigilancia!$F:$F,$A90,Vigilancia!$J:$J,C$1)</f>
        <v>0</v>
      </c>
      <c r="D90" s="182">
        <f>SUMIFS(Vigilancia!$E:$E,Vigilancia!$F:$F,$A90,Vigilancia!$J:$J,D$1)</f>
        <v>0</v>
      </c>
      <c r="E90" s="182">
        <f>SUMIFS(Vigilancia!$E:$E,Vigilancia!$F:$F,$A90,Vigilancia!$J:$J,E$1)</f>
        <v>0</v>
      </c>
      <c r="F90" s="182">
        <f>SUMIFS(Vigilancia!$E:$E,Vigilancia!$F:$F,$A90,Vigilancia!$J:$J,F$1)</f>
        <v>0</v>
      </c>
      <c r="G90" s="182">
        <f>SUMIFS(Vigilancia!$E:$E,Vigilancia!$F:$F,$A90,Vigilancia!$J:$J,G$1)</f>
        <v>0</v>
      </c>
      <c r="H90" s="182">
        <f>SUMIFS(Vigilancia!$E:$E,Vigilancia!$F:$F,$A90,Vigilancia!$J:$J,H$1)</f>
        <v>0</v>
      </c>
      <c r="I90" s="182">
        <f>SUMIFS(Vigilancia!$E:$E,Vigilancia!$F:$F,$A90,Vigilancia!$J:$J,I$1)</f>
        <v>0</v>
      </c>
      <c r="J90" s="182">
        <f>SUMIFS(Vigilancia!$E:$E,Vigilancia!$F:$F,$A90,Vigilancia!$J:$J,J$1)</f>
        <v>0</v>
      </c>
    </row>
    <row r="91" spans="1:10" x14ac:dyDescent="0.25">
      <c r="A91" s="30" t="str">
        <f>'RESUMEN VIGILANCIA'!A91</f>
        <v>Familia Gascón Domínguez</v>
      </c>
      <c r="B91" s="31" t="str">
        <f>'RESUMEN VIGILANCIA'!B91</f>
        <v>Calle Güigüe Nro. 88-70</v>
      </c>
      <c r="C91" s="182">
        <f>SUMIFS(Vigilancia!$E:$E,Vigilancia!$F:$F,$A91,Vigilancia!$J:$J,C$1)</f>
        <v>7.0000000000000007E-2</v>
      </c>
      <c r="D91" s="182">
        <f>SUMIFS(Vigilancia!$E:$E,Vigilancia!$F:$F,$A91,Vigilancia!$J:$J,D$1)</f>
        <v>3.5</v>
      </c>
      <c r="E91" s="305">
        <f>SUMIFS(Vigilancia!$E:$E,Vigilancia!$F:$F,$A91,Vigilancia!$J:$J,E$1)</f>
        <v>13</v>
      </c>
      <c r="F91" s="305">
        <f>SUMIFS(Vigilancia!$E:$E,Vigilancia!$F:$F,$A91,Vigilancia!$J:$J,F$1)</f>
        <v>10</v>
      </c>
      <c r="G91" s="182">
        <f>SUMIFS(Vigilancia!$E:$E,Vigilancia!$F:$F,$A91,Vigilancia!$J:$J,G$1)</f>
        <v>0</v>
      </c>
      <c r="H91" s="182">
        <f>SUMIFS(Vigilancia!$E:$E,Vigilancia!$F:$F,$A91,Vigilancia!$J:$J,H$1)</f>
        <v>0</v>
      </c>
      <c r="I91" s="182">
        <f>SUMIFS(Vigilancia!$E:$E,Vigilancia!$F:$F,$A91,Vigilancia!$J:$J,I$1)</f>
        <v>0</v>
      </c>
      <c r="J91" s="182">
        <f>SUMIFS(Vigilancia!$E:$E,Vigilancia!$F:$F,$A91,Vigilancia!$J:$J,J$1)</f>
        <v>30</v>
      </c>
    </row>
    <row r="92" spans="1:10" x14ac:dyDescent="0.25">
      <c r="A92" s="30" t="str">
        <f>'RESUMEN VIGILANCIA'!A92</f>
        <v>Colegio El Trigal</v>
      </c>
      <c r="B92" s="31" t="str">
        <f>'RESUMEN VIGILANCIA'!B92</f>
        <v>Calle Güigüe Nros. 88-71 y 88-81</v>
      </c>
      <c r="C92" s="182">
        <f>SUMIFS(Vigilancia!$E:$E,Vigilancia!$F:$F,$A92,Vigilancia!$J:$J,C$1)</f>
        <v>7.0000000000000007E-2</v>
      </c>
      <c r="D92" s="182">
        <f>SUMIFS(Vigilancia!$E:$E,Vigilancia!$F:$F,$A92,Vigilancia!$J:$J,D$1)</f>
        <v>3.5</v>
      </c>
      <c r="E92" s="305">
        <f>SUMIFS(Vigilancia!$E:$E,Vigilancia!$F:$F,$A92,Vigilancia!$J:$J,E$1)</f>
        <v>0</v>
      </c>
      <c r="F92" s="305">
        <f>SUMIFS(Vigilancia!$E:$E,Vigilancia!$F:$F,$A92,Vigilancia!$J:$J,F$1)</f>
        <v>0</v>
      </c>
      <c r="G92" s="182">
        <f>SUMIFS(Vigilancia!$E:$E,Vigilancia!$F:$F,$A92,Vigilancia!$J:$J,G$1)</f>
        <v>0</v>
      </c>
      <c r="H92" s="182">
        <f>SUMIFS(Vigilancia!$E:$E,Vigilancia!$F:$F,$A92,Vigilancia!$J:$J,H$1)</f>
        <v>0</v>
      </c>
      <c r="I92" s="182">
        <f>SUMIFS(Vigilancia!$E:$E,Vigilancia!$F:$F,$A92,Vigilancia!$J:$J,I$1)</f>
        <v>0</v>
      </c>
      <c r="J92" s="182">
        <f>SUMIFS(Vigilancia!$E:$E,Vigilancia!$F:$F,$A92,Vigilancia!$J:$J,J$1)</f>
        <v>0</v>
      </c>
    </row>
    <row r="93" spans="1:10" x14ac:dyDescent="0.25">
      <c r="A93" s="30" t="str">
        <f>'RESUMEN VIGILANCIA'!A93</f>
        <v>Zoraida Khair</v>
      </c>
      <c r="B93" s="31" t="str">
        <f>'RESUMEN VIGILANCIA'!B93</f>
        <v>Calle Güigüe Nro. 88-80</v>
      </c>
      <c r="C93" s="182">
        <f>SUMIFS(Vigilancia!$E:$E,Vigilancia!$F:$F,$A93,Vigilancia!$J:$J,C$1)</f>
        <v>0</v>
      </c>
      <c r="D93" s="182">
        <f>SUMIFS(Vigilancia!$E:$E,Vigilancia!$F:$F,$A93,Vigilancia!$J:$J,D$1)</f>
        <v>0</v>
      </c>
      <c r="E93" s="305">
        <f>SUMIFS(Vigilancia!$E:$E,Vigilancia!$F:$F,$A93,Vigilancia!$J:$J,E$1)</f>
        <v>12.2</v>
      </c>
      <c r="F93" s="305">
        <f>SUMIFS(Vigilancia!$E:$E,Vigilancia!$F:$F,$A93,Vigilancia!$J:$J,F$1)</f>
        <v>0</v>
      </c>
      <c r="G93" s="182">
        <f>SUMIFS(Vigilancia!$E:$E,Vigilancia!$F:$F,$A93,Vigilancia!$J:$J,G$1)</f>
        <v>0</v>
      </c>
      <c r="H93" s="182">
        <f>SUMIFS(Vigilancia!$E:$E,Vigilancia!$F:$F,$A93,Vigilancia!$J:$J,H$1)</f>
        <v>0</v>
      </c>
      <c r="I93" s="182">
        <f>SUMIFS(Vigilancia!$E:$E,Vigilancia!$F:$F,$A93,Vigilancia!$J:$J,I$1)</f>
        <v>0</v>
      </c>
      <c r="J93" s="182">
        <f>SUMIFS(Vigilancia!$E:$E,Vigilancia!$F:$F,$A93,Vigilancia!$J:$J,J$1)</f>
        <v>0</v>
      </c>
    </row>
    <row r="94" spans="1:10" x14ac:dyDescent="0.25">
      <c r="A94" s="30" t="str">
        <f>'RESUMEN VIGILANCIA'!A94</f>
        <v>Familia Matta Palomino</v>
      </c>
      <c r="B94" s="31" t="str">
        <f>'RESUMEN VIGILANCIA'!B94</f>
        <v>Calle Güigüe Nro. 88-90</v>
      </c>
      <c r="C94" s="182">
        <f>SUMIFS(Vigilancia!$E:$E,Vigilancia!$F:$F,$A94,Vigilancia!$J:$J,C$1)</f>
        <v>7.0000000000000007E-2</v>
      </c>
      <c r="D94" s="182">
        <f>SUMIFS(Vigilancia!$E:$E,Vigilancia!$F:$F,$A94,Vigilancia!$J:$J,D$1)</f>
        <v>0</v>
      </c>
      <c r="E94" s="182">
        <f>SUMIFS(Vigilancia!$E:$E,Vigilancia!$F:$F,$A94,Vigilancia!$J:$J,E$1)</f>
        <v>0</v>
      </c>
      <c r="F94" s="182">
        <f>SUMIFS(Vigilancia!$E:$E,Vigilancia!$F:$F,$A94,Vigilancia!$J:$J,F$1)</f>
        <v>0</v>
      </c>
      <c r="G94" s="182">
        <f>SUMIFS(Vigilancia!$E:$E,Vigilancia!$F:$F,$A94,Vigilancia!$J:$J,G$1)</f>
        <v>0</v>
      </c>
      <c r="H94" s="182">
        <f>SUMIFS(Vigilancia!$E:$E,Vigilancia!$F:$F,$A94,Vigilancia!$J:$J,H$1)</f>
        <v>0</v>
      </c>
      <c r="I94" s="182">
        <f>SUMIFS(Vigilancia!$E:$E,Vigilancia!$F:$F,$A94,Vigilancia!$J:$J,I$1)</f>
        <v>0</v>
      </c>
      <c r="J94" s="182">
        <f>SUMIFS(Vigilancia!$E:$E,Vigilancia!$F:$F,$A94,Vigilancia!$J:$J,J$1)</f>
        <v>0</v>
      </c>
    </row>
    <row r="95" spans="1:10" x14ac:dyDescent="0.25">
      <c r="A95" s="30" t="str">
        <f>'RESUMEN VIGILANCIA'!A95</f>
        <v>Familia Castillo Rodríguez</v>
      </c>
      <c r="B95" s="31" t="str">
        <f>'RESUMEN VIGILANCIA'!B95</f>
        <v>Calle Güigüe Nro. 88-91</v>
      </c>
      <c r="C95" s="182">
        <f>SUMIFS(Vigilancia!$E:$E,Vigilancia!$F:$F,$A95,Vigilancia!$J:$J,C$1)</f>
        <v>0</v>
      </c>
      <c r="D95" s="182">
        <f>SUMIFS(Vigilancia!$E:$E,Vigilancia!$F:$F,$A95,Vigilancia!$J:$J,D$1)</f>
        <v>0</v>
      </c>
      <c r="E95" s="182">
        <f>SUMIFS(Vigilancia!$E:$E,Vigilancia!$F:$F,$A95,Vigilancia!$J:$J,E$1)</f>
        <v>0</v>
      </c>
      <c r="F95" s="182">
        <f>SUMIFS(Vigilancia!$E:$E,Vigilancia!$F:$F,$A95,Vigilancia!$J:$J,F$1)</f>
        <v>0</v>
      </c>
      <c r="G95" s="182">
        <f>SUMIFS(Vigilancia!$E:$E,Vigilancia!$F:$F,$A95,Vigilancia!$J:$J,G$1)</f>
        <v>0</v>
      </c>
      <c r="H95" s="182">
        <f>SUMIFS(Vigilancia!$E:$E,Vigilancia!$F:$F,$A95,Vigilancia!$J:$J,H$1)</f>
        <v>0</v>
      </c>
      <c r="I95" s="182">
        <f>SUMIFS(Vigilancia!$E:$E,Vigilancia!$F:$F,$A95,Vigilancia!$J:$J,I$1)</f>
        <v>0</v>
      </c>
      <c r="J95" s="182">
        <f>SUMIFS(Vigilancia!$E:$E,Vigilancia!$F:$F,$A95,Vigilancia!$J:$J,J$1)</f>
        <v>0</v>
      </c>
    </row>
    <row r="96" spans="1:10" x14ac:dyDescent="0.25">
      <c r="A96" s="30" t="str">
        <f>'RESUMEN VIGILANCIA'!A96</f>
        <v>Familia Hernández Castillo</v>
      </c>
      <c r="B96" s="31" t="str">
        <f>'RESUMEN VIGILANCIA'!B96</f>
        <v>Calle Güigüe Nro. 88-94</v>
      </c>
      <c r="C96" s="182">
        <f>SUMIFS(Vigilancia!$E:$E,Vigilancia!$F:$F,$A96,Vigilancia!$J:$J,C$1)</f>
        <v>0</v>
      </c>
      <c r="D96" s="182">
        <f>SUMIFS(Vigilancia!$E:$E,Vigilancia!$F:$F,$A96,Vigilancia!$J:$J,D$1)</f>
        <v>0</v>
      </c>
      <c r="E96" s="182">
        <f>SUMIFS(Vigilancia!$E:$E,Vigilancia!$F:$F,$A96,Vigilancia!$J:$J,E$1)</f>
        <v>0</v>
      </c>
      <c r="F96" s="182">
        <f>SUMIFS(Vigilancia!$E:$E,Vigilancia!$F:$F,$A96,Vigilancia!$J:$J,F$1)</f>
        <v>0</v>
      </c>
      <c r="G96" s="182">
        <f>SUMIFS(Vigilancia!$E:$E,Vigilancia!$F:$F,$A96,Vigilancia!$J:$J,G$1)</f>
        <v>0</v>
      </c>
      <c r="H96" s="182">
        <f>SUMIFS(Vigilancia!$E:$E,Vigilancia!$F:$F,$A96,Vigilancia!$J:$J,H$1)</f>
        <v>0</v>
      </c>
      <c r="I96" s="182">
        <f>SUMIFS(Vigilancia!$E:$E,Vigilancia!$F:$F,$A96,Vigilancia!$J:$J,I$1)</f>
        <v>0</v>
      </c>
      <c r="J96" s="182">
        <f>SUMIFS(Vigilancia!$E:$E,Vigilancia!$F:$F,$A96,Vigilancia!$J:$J,J$1)</f>
        <v>0</v>
      </c>
    </row>
    <row r="97" spans="1:11" x14ac:dyDescent="0.25">
      <c r="A97" s="30" t="str">
        <f>'RESUMEN VIGILANCIA'!A97</f>
        <v>Familia Castillo Mena</v>
      </c>
      <c r="B97" s="31" t="str">
        <f>'RESUMEN VIGILANCIA'!B97</f>
        <v>Calle Güigüe Nro. 88-101</v>
      </c>
      <c r="C97" s="182">
        <f>SUMIFS(Vigilancia!$E:$E,Vigilancia!$F:$F,$A97,Vigilancia!$J:$J,C$1)</f>
        <v>7.0000000000000007E-2</v>
      </c>
      <c r="D97" s="182">
        <f>SUMIFS(Vigilancia!$E:$E,Vigilancia!$F:$F,$A97,Vigilancia!$J:$J,D$1)</f>
        <v>0</v>
      </c>
      <c r="E97" s="182">
        <f>SUMIFS(Vigilancia!$E:$E,Vigilancia!$F:$F,$A97,Vigilancia!$J:$J,E$1)</f>
        <v>0</v>
      </c>
      <c r="F97" s="182">
        <f>SUMIFS(Vigilancia!$E:$E,Vigilancia!$F:$F,$A97,Vigilancia!$J:$J,F$1)</f>
        <v>10</v>
      </c>
      <c r="G97" s="182">
        <f>SUMIFS(Vigilancia!$E:$E,Vigilancia!$F:$F,$A97,Vigilancia!$J:$J,G$1)</f>
        <v>0</v>
      </c>
      <c r="H97" s="182">
        <f>SUMIFS(Vigilancia!$E:$E,Vigilancia!$F:$F,$A97,Vigilancia!$J:$J,H$1)</f>
        <v>0</v>
      </c>
      <c r="I97" s="182">
        <f>SUMIFS(Vigilancia!$E:$E,Vigilancia!$F:$F,$A97,Vigilancia!$J:$J,I$1)</f>
        <v>0</v>
      </c>
      <c r="J97" s="182">
        <f>SUMIFS(Vigilancia!$E:$E,Vigilancia!$F:$F,$A97,Vigilancia!$J:$J,J$1)</f>
        <v>0</v>
      </c>
    </row>
    <row r="98" spans="1:11" x14ac:dyDescent="0.25">
      <c r="A98" s="30" t="str">
        <f>'RESUMEN VIGILANCIA'!A98</f>
        <v>Familia Centeno Rizzo</v>
      </c>
      <c r="B98" s="31" t="str">
        <f>'RESUMEN VIGILANCIA'!B98</f>
        <v>Calle Güigüe Nro. 88-102</v>
      </c>
      <c r="C98" s="182">
        <f>SUMIFS(Vigilancia!$E:$E,Vigilancia!$F:$F,$A98,Vigilancia!$J:$J,C$1)</f>
        <v>0</v>
      </c>
      <c r="D98" s="182">
        <f>SUMIFS(Vigilancia!$E:$E,Vigilancia!$F:$F,$A98,Vigilancia!$J:$J,D$1)</f>
        <v>0</v>
      </c>
      <c r="E98" s="182">
        <f>SUMIFS(Vigilancia!$E:$E,Vigilancia!$F:$F,$A98,Vigilancia!$J:$J,E$1)</f>
        <v>0</v>
      </c>
      <c r="F98" s="182">
        <f>SUMIFS(Vigilancia!$E:$E,Vigilancia!$F:$F,$A98,Vigilancia!$J:$J,F$1)</f>
        <v>0</v>
      </c>
      <c r="G98" s="182">
        <f>SUMIFS(Vigilancia!$E:$E,Vigilancia!$F:$F,$A98,Vigilancia!$J:$J,G$1)</f>
        <v>0</v>
      </c>
      <c r="H98" s="182">
        <f>SUMIFS(Vigilancia!$E:$E,Vigilancia!$F:$F,$A98,Vigilancia!$J:$J,H$1)</f>
        <v>0</v>
      </c>
      <c r="I98" s="182">
        <f>SUMIFS(Vigilancia!$E:$E,Vigilancia!$F:$F,$A98,Vigilancia!$J:$J,I$1)</f>
        <v>0</v>
      </c>
      <c r="J98" s="182">
        <f>SUMIFS(Vigilancia!$E:$E,Vigilancia!$F:$F,$A98,Vigilancia!$J:$J,J$1)</f>
        <v>0</v>
      </c>
    </row>
    <row r="99" spans="1:11" x14ac:dyDescent="0.25">
      <c r="A99" s="30" t="str">
        <f>'RESUMEN VIGILANCIA'!A99</f>
        <v>Familia Pérez Malpica</v>
      </c>
      <c r="B99" s="31" t="str">
        <f>'RESUMEN VIGILANCIA'!B99</f>
        <v>Calle Güigüe Nro. 88-110</v>
      </c>
      <c r="C99" s="182">
        <f>SUMIFS(Vigilancia!$E:$E,Vigilancia!$F:$F,$A99,Vigilancia!$J:$J,C$1)</f>
        <v>0</v>
      </c>
      <c r="D99" s="182">
        <f>SUMIFS(Vigilancia!$E:$E,Vigilancia!$F:$F,$A99,Vigilancia!$J:$J,D$1)</f>
        <v>0</v>
      </c>
      <c r="E99" s="182">
        <f>SUMIFS(Vigilancia!$E:$E,Vigilancia!$F:$F,$A99,Vigilancia!$J:$J,E$1)</f>
        <v>0</v>
      </c>
      <c r="F99" s="182">
        <f>SUMIFS(Vigilancia!$E:$E,Vigilancia!$F:$F,$A99,Vigilancia!$J:$J,F$1)</f>
        <v>0</v>
      </c>
      <c r="G99" s="182">
        <f>SUMIFS(Vigilancia!$E:$E,Vigilancia!$F:$F,$A99,Vigilancia!$J:$J,G$1)</f>
        <v>0</v>
      </c>
      <c r="H99" s="182">
        <f>SUMIFS(Vigilancia!$E:$E,Vigilancia!$F:$F,$A99,Vigilancia!$J:$J,H$1)</f>
        <v>0</v>
      </c>
      <c r="I99" s="182">
        <f>SUMIFS(Vigilancia!$E:$E,Vigilancia!$F:$F,$A99,Vigilancia!$J:$J,I$1)</f>
        <v>0</v>
      </c>
      <c r="J99" s="182">
        <f>SUMIFS(Vigilancia!$E:$E,Vigilancia!$F:$F,$A99,Vigilancia!$J:$J,J$1)</f>
        <v>0</v>
      </c>
    </row>
    <row r="100" spans="1:11" x14ac:dyDescent="0.25">
      <c r="A100" s="30" t="str">
        <f>'RESUMEN VIGILANCIA'!A100</f>
        <v>Familia Astor Zamora</v>
      </c>
      <c r="B100" s="31" t="str">
        <f>'RESUMEN VIGILANCIA'!B100</f>
        <v>Calle Güigüe Nro. 88-111</v>
      </c>
      <c r="C100" s="182">
        <f>SUMIFS(Vigilancia!$E:$E,Vigilancia!$F:$F,$A100,Vigilancia!$J:$J,C$1)</f>
        <v>0</v>
      </c>
      <c r="D100" s="182">
        <f>SUMIFS(Vigilancia!$E:$E,Vigilancia!$F:$F,$A100,Vigilancia!$J:$J,D$1)</f>
        <v>0</v>
      </c>
      <c r="E100" s="182">
        <f>SUMIFS(Vigilancia!$E:$E,Vigilancia!$F:$F,$A100,Vigilancia!$J:$J,E$1)</f>
        <v>0</v>
      </c>
      <c r="F100" s="182">
        <f>SUMIFS(Vigilancia!$E:$E,Vigilancia!$F:$F,$A100,Vigilancia!$J:$J,F$1)</f>
        <v>0</v>
      </c>
      <c r="G100" s="182">
        <f>SUMIFS(Vigilancia!$E:$E,Vigilancia!$F:$F,$A100,Vigilancia!$J:$J,G$1)</f>
        <v>0</v>
      </c>
      <c r="H100" s="182">
        <f>SUMIFS(Vigilancia!$E:$E,Vigilancia!$F:$F,$A100,Vigilancia!$J:$J,H$1)</f>
        <v>0</v>
      </c>
      <c r="I100" s="182">
        <f>SUMIFS(Vigilancia!$E:$E,Vigilancia!$F:$F,$A100,Vigilancia!$J:$J,I$1)</f>
        <v>0</v>
      </c>
      <c r="J100" s="182">
        <f>SUMIFS(Vigilancia!$E:$E,Vigilancia!$F:$F,$A100,Vigilancia!$J:$J,J$1)</f>
        <v>0</v>
      </c>
    </row>
    <row r="101" spans="1:11" x14ac:dyDescent="0.25">
      <c r="A101" s="30" t="str">
        <f>'RESUMEN VIGILANCIA'!A101</f>
        <v>Familia Díaz González</v>
      </c>
      <c r="B101" s="31" t="str">
        <f>'RESUMEN VIGILANCIA'!B101</f>
        <v>Calle Güigüe Nro. 88-116</v>
      </c>
      <c r="C101" s="182">
        <f>SUMIFS(Vigilancia!$E:$E,Vigilancia!$F:$F,$A101,Vigilancia!$J:$J,C$1)</f>
        <v>7.0000000000000007E-2</v>
      </c>
      <c r="D101" s="182">
        <f>SUMIFS(Vigilancia!$E:$E,Vigilancia!$F:$F,$A101,Vigilancia!$J:$J,D$1)</f>
        <v>3.5</v>
      </c>
      <c r="E101" s="182">
        <f>SUMIFS(Vigilancia!$E:$E,Vigilancia!$F:$F,$A101,Vigilancia!$J:$J,E$1)</f>
        <v>0</v>
      </c>
      <c r="F101" s="182">
        <f>SUMIFS(Vigilancia!$E:$E,Vigilancia!$F:$F,$A101,Vigilancia!$J:$J,F$1)</f>
        <v>0</v>
      </c>
      <c r="G101" s="182">
        <f>SUMIFS(Vigilancia!$E:$E,Vigilancia!$F:$F,$A101,Vigilancia!$J:$J,G$1)</f>
        <v>0</v>
      </c>
      <c r="H101" s="182">
        <f>SUMIFS(Vigilancia!$E:$E,Vigilancia!$F:$F,$A101,Vigilancia!$J:$J,H$1)</f>
        <v>0</v>
      </c>
      <c r="I101" s="182">
        <f>SUMIFS(Vigilancia!$E:$E,Vigilancia!$F:$F,$A101,Vigilancia!$J:$J,I$1)</f>
        <v>0</v>
      </c>
      <c r="J101" s="182">
        <f>SUMIFS(Vigilancia!$E:$E,Vigilancia!$F:$F,$A101,Vigilancia!$J:$J,J$1)</f>
        <v>0</v>
      </c>
    </row>
    <row r="102" spans="1:11" ht="15.75" thickBot="1" x14ac:dyDescent="0.3">
      <c r="A102" s="66" t="str">
        <f>'RESUMEN VIGILANCIA'!A102</f>
        <v>Familia Loponte Arteaga</v>
      </c>
      <c r="B102" s="64" t="str">
        <f>'RESUMEN VIGILANCIA'!B102</f>
        <v>Calle Güigüe Nro. 88-120</v>
      </c>
      <c r="C102" s="182">
        <f>SUMIFS(Vigilancia!$E:$E,Vigilancia!$F:$F,$A102,Vigilancia!$J:$J,C$1)</f>
        <v>7.0000000000000007E-2</v>
      </c>
      <c r="D102" s="182">
        <f>SUMIFS(Vigilancia!$E:$E,Vigilancia!$F:$F,$A102,Vigilancia!$J:$J,D$1)</f>
        <v>3.6</v>
      </c>
      <c r="E102" s="305">
        <f>SUMIFS(Vigilancia!$E:$E,Vigilancia!$F:$F,$A102,Vigilancia!$J:$J,E$1)</f>
        <v>12.2</v>
      </c>
      <c r="F102" s="305">
        <f>SUMIFS(Vigilancia!$E:$E,Vigilancia!$F:$F,$A102,Vigilancia!$J:$J,F$1)</f>
        <v>0</v>
      </c>
      <c r="G102" s="182">
        <f>SUMIFS(Vigilancia!$E:$E,Vigilancia!$F:$F,$A102,Vigilancia!$J:$J,G$1)</f>
        <v>0</v>
      </c>
      <c r="H102" s="182">
        <f>SUMIFS(Vigilancia!$E:$E,Vigilancia!$F:$F,$A102,Vigilancia!$J:$J,H$1)</f>
        <v>0</v>
      </c>
      <c r="I102" s="182">
        <f>SUMIFS(Vigilancia!$E:$E,Vigilancia!$F:$F,$A102,Vigilancia!$J:$J,I$1)</f>
        <v>0</v>
      </c>
      <c r="J102" s="182">
        <f>SUMIFS(Vigilancia!$E:$E,Vigilancia!$F:$F,$A102,Vigilancia!$J:$J,J$1)</f>
        <v>0</v>
      </c>
    </row>
    <row r="103" spans="1:11" x14ac:dyDescent="0.25">
      <c r="A103" s="59" t="str">
        <f>'RESUMEN VIGILANCIA'!A103</f>
        <v>Familia Sayago Peñaranda</v>
      </c>
      <c r="B103" s="60" t="str">
        <f>'RESUMEN VIGILANCIA'!B103</f>
        <v>Calle Güigüe Nro. 89-04</v>
      </c>
      <c r="C103" s="214">
        <f>SUMIFS(Vigilancia!$E:$E,Vigilancia!$F:$F,$A103,Vigilancia!$J:$J,C$1)</f>
        <v>7.0000000000000007E-2</v>
      </c>
      <c r="D103" s="214">
        <f>SUMIFS(Vigilancia!$E:$E,Vigilancia!$F:$F,$A103,Vigilancia!$J:$J,D$1)</f>
        <v>0</v>
      </c>
      <c r="E103" s="214">
        <f>SUMIFS(Vigilancia!$E:$E,Vigilancia!$F:$F,$A103,Vigilancia!$J:$J,E$1)</f>
        <v>0</v>
      </c>
      <c r="F103" s="214">
        <f>SUMIFS(Vigilancia!$E:$E,Vigilancia!$F:$F,$A103,Vigilancia!$J:$J,F$1)</f>
        <v>0</v>
      </c>
      <c r="G103" s="306">
        <f>SUMIFS(Vigilancia!$E:$E,Vigilancia!$F:$F,$A103,Vigilancia!$J:$J,G$1)</f>
        <v>0</v>
      </c>
      <c r="H103" s="214">
        <f>SUMIFS(Vigilancia!$E:$E,Vigilancia!$F:$F,$A103,Vigilancia!$J:$J,H$1)</f>
        <v>0</v>
      </c>
      <c r="I103" s="214">
        <f>SUMIFS(Vigilancia!$E:$E,Vigilancia!$F:$F,$A103,Vigilancia!$J:$J,I$1)</f>
        <v>0</v>
      </c>
      <c r="J103" s="214">
        <f>SUMIFS(Vigilancia!$E:$E,Vigilancia!$F:$F,$A103,Vigilancia!$J:$J,J$1)</f>
        <v>0</v>
      </c>
      <c r="K103" s="122"/>
    </row>
    <row r="104" spans="1:11" ht="15.75" thickBot="1" x14ac:dyDescent="0.3">
      <c r="A104" s="30" t="str">
        <f>'RESUMEN VIGILANCIA'!A104</f>
        <v>Carmen Moreno</v>
      </c>
      <c r="B104" s="31" t="str">
        <f>'RESUMEN VIGILANCIA'!B104</f>
        <v>Calle Güigüe Nro. 89-04</v>
      </c>
      <c r="C104" s="182">
        <f>SUMIFS(Vigilancia!$E:$E,Vigilancia!$F:$F,$A104,Vigilancia!$J:$J,C$1)</f>
        <v>0</v>
      </c>
      <c r="D104" s="182">
        <f>SUMIFS(Vigilancia!$E:$E,Vigilancia!$F:$F,$A104,Vigilancia!$J:$J,D$1)</f>
        <v>3.5</v>
      </c>
      <c r="E104" s="305">
        <f>SUMIFS(Vigilancia!$E:$E,Vigilancia!$F:$F,$A104,Vigilancia!$J:$J,E$1)</f>
        <v>12.2</v>
      </c>
      <c r="F104" s="305">
        <f>SUMIFS(Vigilancia!$E:$E,Vigilancia!$F:$F,$A104,Vigilancia!$J:$J,F$1)</f>
        <v>10</v>
      </c>
      <c r="G104" s="181">
        <f>SUMIFS(Vigilancia!$E:$E,Vigilancia!$F:$F,$A104,Vigilancia!$J:$J,G$1)</f>
        <v>0</v>
      </c>
      <c r="H104" s="182">
        <f>SUMIFS(Vigilancia!$E:$E,Vigilancia!$F:$F,$A104,Vigilancia!$J:$J,H$1)</f>
        <v>0</v>
      </c>
      <c r="I104" s="182">
        <f>SUMIFS(Vigilancia!$E:$E,Vigilancia!$F:$F,$A104,Vigilancia!$J:$J,I$1)</f>
        <v>0</v>
      </c>
      <c r="J104" s="182">
        <f>SUMIFS(Vigilancia!$E:$E,Vigilancia!$F:$F,$A104,Vigilancia!$J:$J,J$1)</f>
        <v>0</v>
      </c>
      <c r="K104" s="124"/>
    </row>
    <row r="105" spans="1:11" x14ac:dyDescent="0.25">
      <c r="A105" s="67" t="str">
        <f>'RESUMEN VIGILANCIA'!A105</f>
        <v>Familia Acosta Carpio</v>
      </c>
      <c r="B105" s="65" t="str">
        <f>'RESUMEN VIGILANCIA'!B105</f>
        <v>Calle Güigüe Nro. 89-10</v>
      </c>
      <c r="C105" s="182">
        <f>SUMIFS(Vigilancia!$E:$E,Vigilancia!$F:$F,$A105,Vigilancia!$J:$J,C$1)</f>
        <v>7.0000000000000007E-2</v>
      </c>
      <c r="D105" s="182">
        <f>SUMIFS(Vigilancia!$E:$E,Vigilancia!$F:$F,$A105,Vigilancia!$J:$J,D$1)</f>
        <v>3.5</v>
      </c>
      <c r="E105" s="305">
        <f>SUMIFS(Vigilancia!$E:$E,Vigilancia!$F:$F,$A105,Vigilancia!$J:$J,E$1)</f>
        <v>12.2</v>
      </c>
      <c r="F105" s="305">
        <f>SUMIFS(Vigilancia!$E:$E,Vigilancia!$F:$F,$A105,Vigilancia!$J:$J,F$1)</f>
        <v>0</v>
      </c>
      <c r="G105" s="182">
        <f>SUMIFS(Vigilancia!$E:$E,Vigilancia!$F:$F,$A105,Vigilancia!$J:$J,G$1)</f>
        <v>0</v>
      </c>
      <c r="H105" s="182">
        <f>SUMIFS(Vigilancia!$E:$E,Vigilancia!$F:$F,$A105,Vigilancia!$J:$J,H$1)</f>
        <v>0</v>
      </c>
      <c r="I105" s="182">
        <f>SUMIFS(Vigilancia!$E:$E,Vigilancia!$F:$F,$A105,Vigilancia!$J:$J,I$1)</f>
        <v>0</v>
      </c>
      <c r="J105" s="182">
        <f>SUMIFS(Vigilancia!$E:$E,Vigilancia!$F:$F,$A105,Vigilancia!$J:$J,J$1)</f>
        <v>0</v>
      </c>
    </row>
    <row r="106" spans="1:11" x14ac:dyDescent="0.25">
      <c r="A106" s="67" t="str">
        <f>'RESUMEN VIGILANCIA'!A106</f>
        <v>Familia Acosta Saravia</v>
      </c>
      <c r="B106" s="65" t="str">
        <f>'RESUMEN VIGILANCIA'!B106</f>
        <v>Calle Güigüe Nro. 89-10</v>
      </c>
      <c r="C106" s="182">
        <f>SUMIFS(Vigilancia!$E:$E,Vigilancia!$F:$F,$A106,Vigilancia!$J:$J,C$1)</f>
        <v>0</v>
      </c>
      <c r="D106" s="182">
        <f>SUMIFS(Vigilancia!$E:$E,Vigilancia!$F:$F,$A106,Vigilancia!$J:$J,D$1)</f>
        <v>0</v>
      </c>
      <c r="E106" s="305">
        <f>SUMIFS(Vigilancia!$E:$E,Vigilancia!$F:$F,$A106,Vigilancia!$J:$J,E$1)</f>
        <v>0</v>
      </c>
      <c r="F106" s="305">
        <f>SUMIFS(Vigilancia!$E:$E,Vigilancia!$F:$F,$A106,Vigilancia!$J:$J,F$1)</f>
        <v>0</v>
      </c>
      <c r="G106" s="182">
        <f>SUMIFS(Vigilancia!$E:$E,Vigilancia!$F:$F,$A106,Vigilancia!$J:$J,G$1)</f>
        <v>0</v>
      </c>
      <c r="H106" s="182">
        <f>SUMIFS(Vigilancia!$E:$E,Vigilancia!$F:$F,$A106,Vigilancia!$J:$J,H$1)</f>
        <v>0</v>
      </c>
      <c r="I106" s="182">
        <f>SUMIFS(Vigilancia!$E:$E,Vigilancia!$F:$F,$A106,Vigilancia!$J:$J,I$1)</f>
        <v>0</v>
      </c>
      <c r="J106" s="182">
        <f>SUMIFS(Vigilancia!$E:$E,Vigilancia!$F:$F,$A106,Vigilancia!$J:$J,J$1)</f>
        <v>0</v>
      </c>
    </row>
    <row r="107" spans="1:11" x14ac:dyDescent="0.25">
      <c r="A107" s="30" t="str">
        <f>'RESUMEN VIGILANCIA'!A107</f>
        <v>Silvia Power</v>
      </c>
      <c r="B107" s="31" t="str">
        <f>'RESUMEN VIGILANCIA'!B107</f>
        <v>Calle Güigüe Nro. 89-16</v>
      </c>
      <c r="C107" s="182">
        <f>SUMIFS(Vigilancia!$E:$E,Vigilancia!$F:$F,$A107,Vigilancia!$J:$J,C$1)</f>
        <v>0.05</v>
      </c>
      <c r="D107" s="182">
        <f>SUMIFS(Vigilancia!$E:$E,Vigilancia!$F:$F,$A107,Vigilancia!$J:$J,D$1)</f>
        <v>0</v>
      </c>
      <c r="E107" s="305">
        <f>SUMIFS(Vigilancia!$E:$E,Vigilancia!$F:$F,$A107,Vigilancia!$J:$J,E$1)</f>
        <v>12.2</v>
      </c>
      <c r="F107" s="305">
        <f>SUMIFS(Vigilancia!$E:$E,Vigilancia!$F:$F,$A107,Vigilancia!$J:$J,F$1)</f>
        <v>0</v>
      </c>
      <c r="G107" s="182">
        <f>SUMIFS(Vigilancia!$E:$E,Vigilancia!$F:$F,$A107,Vigilancia!$J:$J,G$1)</f>
        <v>0</v>
      </c>
      <c r="H107" s="182">
        <f>SUMIFS(Vigilancia!$E:$E,Vigilancia!$F:$F,$A107,Vigilancia!$J:$J,H$1)</f>
        <v>0</v>
      </c>
      <c r="I107" s="182">
        <f>SUMIFS(Vigilancia!$E:$E,Vigilancia!$F:$F,$A107,Vigilancia!$J:$J,I$1)</f>
        <v>0</v>
      </c>
      <c r="J107" s="182">
        <f>SUMIFS(Vigilancia!$E:$E,Vigilancia!$F:$F,$A107,Vigilancia!$J:$J,J$1)</f>
        <v>0</v>
      </c>
      <c r="K107" s="122"/>
    </row>
    <row r="108" spans="1:11" ht="15.75" thickBot="1" x14ac:dyDescent="0.3">
      <c r="A108" s="30" t="str">
        <f>'RESUMEN VIGILANCIA'!A108</f>
        <v>Mibzar Cárdenas</v>
      </c>
      <c r="B108" s="31" t="str">
        <f>'RESUMEN VIGILANCIA'!B108</f>
        <v>Calle Güigüe Nro. 89-16</v>
      </c>
      <c r="C108" s="182"/>
      <c r="D108" s="182">
        <f>SUMIFS(Vigilancia!$E:$E,Vigilancia!$F:$F,$A108,Vigilancia!$J:$J,D$1)</f>
        <v>0</v>
      </c>
      <c r="E108" s="305">
        <f>SUMIFS(Vigilancia!$E:$E,Vigilancia!$F:$F,$A108,Vigilancia!$J:$J,E$1)</f>
        <v>0</v>
      </c>
      <c r="F108" s="305">
        <f>SUMIFS(Vigilancia!$E:$E,Vigilancia!$F:$F,$A108,Vigilancia!$J:$J,F$1)</f>
        <v>0</v>
      </c>
      <c r="G108" s="182">
        <f>SUMIFS(Vigilancia!$E:$E,Vigilancia!$F:$F,$A108,Vigilancia!$J:$J,G$1)</f>
        <v>0</v>
      </c>
      <c r="H108" s="182">
        <f>SUMIFS(Vigilancia!$E:$E,Vigilancia!$F:$F,$A108,Vigilancia!$J:$J,H$1)</f>
        <v>0</v>
      </c>
      <c r="I108" s="182">
        <f>SUMIFS(Vigilancia!$E:$E,Vigilancia!$F:$F,$A108,Vigilancia!$J:$J,I$1)</f>
        <v>0</v>
      </c>
      <c r="J108" s="182">
        <f>SUMIFS(Vigilancia!$E:$E,Vigilancia!$F:$F,$A108,Vigilancia!$J:$J,J$1)</f>
        <v>0</v>
      </c>
      <c r="K108" s="124"/>
    </row>
    <row r="109" spans="1:11" ht="15.75" thickBot="1" x14ac:dyDescent="0.3">
      <c r="A109" s="30" t="str">
        <f>'RESUMEN VIGILANCIA'!A109</f>
        <v>Familia Piñero Padilla</v>
      </c>
      <c r="B109" s="31" t="str">
        <f>'RESUMEN VIGILANCIA'!B109</f>
        <v>Calle Güigüe Nro. 89-21</v>
      </c>
      <c r="C109" s="182">
        <f>SUMIFS(Vigilancia!$E:$E,Vigilancia!$F:$F,$A109,Vigilancia!$J:$J,C$1)</f>
        <v>7.0000000000000007E-2</v>
      </c>
      <c r="D109" s="182">
        <f>SUMIFS(Vigilancia!$E:$E,Vigilancia!$F:$F,$A109,Vigilancia!$J:$J,D$1)</f>
        <v>3.5</v>
      </c>
      <c r="E109" s="305">
        <f>SUMIFS(Vigilancia!$E:$E,Vigilancia!$F:$F,$A109,Vigilancia!$J:$J,E$1)</f>
        <v>12.2</v>
      </c>
      <c r="F109" s="305">
        <f>SUMIFS(Vigilancia!$E:$E,Vigilancia!$F:$F,$A109,Vigilancia!$J:$J,F$1)</f>
        <v>10</v>
      </c>
      <c r="G109" s="182">
        <f>SUMIFS(Vigilancia!$E:$E,Vigilancia!$F:$F,$A109,Vigilancia!$J:$J,G$1)</f>
        <v>0</v>
      </c>
      <c r="H109" s="182">
        <f>SUMIFS(Vigilancia!$E:$E,Vigilancia!$F:$F,$A109,Vigilancia!$J:$J,H$1)</f>
        <v>0</v>
      </c>
      <c r="I109" s="182">
        <f>SUMIFS(Vigilancia!$E:$E,Vigilancia!$F:$F,$A109,Vigilancia!$J:$J,I$1)</f>
        <v>0</v>
      </c>
      <c r="J109" s="182">
        <f>SUMIFS(Vigilancia!$E:$E,Vigilancia!$F:$F,$A109,Vigilancia!$J:$J,J$1)</f>
        <v>0</v>
      </c>
    </row>
    <row r="110" spans="1:11" x14ac:dyDescent="0.25">
      <c r="A110" s="59" t="str">
        <f>'RESUMEN VIGILANCIA'!A110</f>
        <v>Familia Navarrete Medina</v>
      </c>
      <c r="B110" s="60" t="str">
        <f>'RESUMEN VIGILANCIA'!B110</f>
        <v>Calle Güigüe Nro. 89-22</v>
      </c>
      <c r="C110" s="214">
        <f>SUMIFS(Vigilancia!$E:$E,Vigilancia!$F:$F,$A110,Vigilancia!$J:$J,C$1)</f>
        <v>0</v>
      </c>
      <c r="D110" s="214">
        <f>SUMIFS(Vigilancia!$E:$E,Vigilancia!$F:$F,$A110,Vigilancia!$J:$J,D$1)</f>
        <v>0</v>
      </c>
      <c r="E110" s="214">
        <f>SUMIFS(Vigilancia!$E:$E,Vigilancia!$F:$F,$A110,Vigilancia!$J:$J,E$1)</f>
        <v>0</v>
      </c>
      <c r="F110" s="214">
        <f>SUMIFS(Vigilancia!$E:$E,Vigilancia!$F:$F,$A110,Vigilancia!$J:$J,F$1)</f>
        <v>10</v>
      </c>
      <c r="G110" s="306">
        <f>SUMIFS(Vigilancia!$E:$E,Vigilancia!$F:$F,$A110,Vigilancia!$J:$J,G$1)</f>
        <v>0</v>
      </c>
      <c r="H110" s="214">
        <f>SUMIFS(Vigilancia!$E:$E,Vigilancia!$F:$F,$A110,Vigilancia!$J:$J,H$1)</f>
        <v>0</v>
      </c>
      <c r="I110" s="214">
        <f>SUMIFS(Vigilancia!$E:$E,Vigilancia!$F:$F,$A110,Vigilancia!$J:$J,I$1)</f>
        <v>0</v>
      </c>
      <c r="J110" s="214">
        <f>SUMIFS(Vigilancia!$E:$E,Vigilancia!$F:$F,$A110,Vigilancia!$J:$J,J$1)</f>
        <v>0</v>
      </c>
      <c r="K110" s="122"/>
    </row>
    <row r="111" spans="1:11" ht="15.75" thickBot="1" x14ac:dyDescent="0.3">
      <c r="A111" s="30" t="str">
        <f>'RESUMEN VIGILANCIA'!A111</f>
        <v>Familia Rodríguez Girón</v>
      </c>
      <c r="B111" s="31" t="str">
        <f>'RESUMEN VIGILANCIA'!B111</f>
        <v>Calle Güigüe Nro. 89-22</v>
      </c>
      <c r="C111" s="182">
        <f>SUMIFS(Vigilancia!$E:$E,Vigilancia!$F:$F,$A111,Vigilancia!$J:$J,C$1)</f>
        <v>0</v>
      </c>
      <c r="D111" s="182">
        <f>SUMIFS(Vigilancia!$E:$E,Vigilancia!$F:$F,$A111,Vigilancia!$J:$J,D$1)</f>
        <v>0</v>
      </c>
      <c r="E111" s="305">
        <f>SUMIFS(Vigilancia!$E:$E,Vigilancia!$F:$F,$A111,Vigilancia!$J:$J,E$1)</f>
        <v>0</v>
      </c>
      <c r="F111" s="305">
        <f>SUMIFS(Vigilancia!$E:$E,Vigilancia!$F:$F,$A111,Vigilancia!$J:$J,F$1)</f>
        <v>0</v>
      </c>
      <c r="G111" s="182">
        <f>SUMIFS(Vigilancia!$E:$E,Vigilancia!$F:$F,$A111,Vigilancia!$J:$J,G$1)</f>
        <v>0</v>
      </c>
      <c r="H111" s="182">
        <f>SUMIFS(Vigilancia!$E:$E,Vigilancia!$F:$F,$A111,Vigilancia!$J:$J,H$1)</f>
        <v>0</v>
      </c>
      <c r="I111" s="182">
        <f>SUMIFS(Vigilancia!$E:$E,Vigilancia!$F:$F,$A111,Vigilancia!$J:$J,I$1)</f>
        <v>0</v>
      </c>
      <c r="J111" s="182">
        <f>SUMIFS(Vigilancia!$E:$E,Vigilancia!$F:$F,$A111,Vigilancia!$J:$J,J$1)</f>
        <v>0</v>
      </c>
      <c r="K111" s="124"/>
    </row>
    <row r="112" spans="1:11" x14ac:dyDescent="0.25">
      <c r="A112" s="30" t="str">
        <f>'RESUMEN VIGILANCIA'!A112</f>
        <v>Familia Rodríguez Landaeta</v>
      </c>
      <c r="B112" s="31" t="str">
        <f>'RESUMEN VIGILANCIA'!B112</f>
        <v>Calle Güigüe Nro. 89-29</v>
      </c>
      <c r="C112" s="182">
        <f>SUMIFS(Vigilancia!$E:$E,Vigilancia!$F:$F,$A112,Vigilancia!$J:$J,C$1)</f>
        <v>0</v>
      </c>
      <c r="D112" s="182">
        <f>SUMIFS(Vigilancia!$E:$E,Vigilancia!$F:$F,$A112,Vigilancia!$J:$J,D$1)</f>
        <v>0</v>
      </c>
      <c r="E112" s="305">
        <f>SUMIFS(Vigilancia!$E:$E,Vigilancia!$F:$F,$A112,Vigilancia!$J:$J,E$1)</f>
        <v>0</v>
      </c>
      <c r="F112" s="305">
        <f>SUMIFS(Vigilancia!$E:$E,Vigilancia!$F:$F,$A112,Vigilancia!$J:$J,F$1)</f>
        <v>0</v>
      </c>
      <c r="G112" s="182">
        <f>SUMIFS(Vigilancia!$E:$E,Vigilancia!$F:$F,$A112,Vigilancia!$J:$J,G$1)</f>
        <v>0</v>
      </c>
      <c r="H112" s="182">
        <f>SUMIFS(Vigilancia!$E:$E,Vigilancia!$F:$F,$A112,Vigilancia!$J:$J,H$1)</f>
        <v>0</v>
      </c>
      <c r="I112" s="182">
        <f>SUMIFS(Vigilancia!$E:$E,Vigilancia!$F:$F,$A112,Vigilancia!$J:$J,I$1)</f>
        <v>0</v>
      </c>
      <c r="J112" s="182">
        <f>SUMIFS(Vigilancia!$E:$E,Vigilancia!$F:$F,$A112,Vigilancia!$J:$J,J$1)</f>
        <v>0</v>
      </c>
    </row>
    <row r="113" spans="1:11" x14ac:dyDescent="0.25">
      <c r="A113" s="30" t="str">
        <f>'RESUMEN VIGILANCIA'!A113</f>
        <v>Familia Molina Estopiñán</v>
      </c>
      <c r="B113" s="31" t="str">
        <f>'RESUMEN VIGILANCIA'!B113</f>
        <v>Calle Güigüe Nro. 89-30</v>
      </c>
      <c r="C113" s="182">
        <f>SUMIFS(Vigilancia!$E:$E,Vigilancia!$F:$F,$A113,Vigilancia!$J:$J,C$1)</f>
        <v>0.05</v>
      </c>
      <c r="D113" s="182">
        <f>SUMIFS(Vigilancia!$E:$E,Vigilancia!$F:$F,$A113,Vigilancia!$J:$J,D$1)</f>
        <v>0</v>
      </c>
      <c r="E113" s="305">
        <f>SUMIFS(Vigilancia!$E:$E,Vigilancia!$F:$F,$A113,Vigilancia!$J:$J,E$1)</f>
        <v>0</v>
      </c>
      <c r="F113" s="305">
        <f>SUMIFS(Vigilancia!$E:$E,Vigilancia!$F:$F,$A113,Vigilancia!$J:$J,F$1)</f>
        <v>0</v>
      </c>
      <c r="G113" s="182">
        <f>SUMIFS(Vigilancia!$E:$E,Vigilancia!$F:$F,$A113,Vigilancia!$J:$J,G$1)</f>
        <v>0</v>
      </c>
      <c r="H113" s="182">
        <f>SUMIFS(Vigilancia!$E:$E,Vigilancia!$F:$F,$A113,Vigilancia!$J:$J,H$1)</f>
        <v>0</v>
      </c>
      <c r="I113" s="182">
        <f>SUMIFS(Vigilancia!$E:$E,Vigilancia!$F:$F,$A113,Vigilancia!$J:$J,I$1)</f>
        <v>0</v>
      </c>
      <c r="J113" s="182">
        <f>SUMIFS(Vigilancia!$E:$E,Vigilancia!$F:$F,$A113,Vigilancia!$J:$J,J$1)</f>
        <v>0</v>
      </c>
    </row>
    <row r="114" spans="1:11" x14ac:dyDescent="0.25">
      <c r="A114" s="30" t="str">
        <f>'RESUMEN VIGILANCIA'!A114</f>
        <v>Familia Sirit Palencia</v>
      </c>
      <c r="B114" s="31" t="str">
        <f>'RESUMEN VIGILANCIA'!B114</f>
        <v>Calle Güigüe Nro. 89-35</v>
      </c>
      <c r="C114" s="182">
        <f>SUMIFS(Vigilancia!$E:$E,Vigilancia!$F:$F,$A114,Vigilancia!$J:$J,C$1)</f>
        <v>7.0000000000000007E-2</v>
      </c>
      <c r="D114" s="182">
        <f>SUMIFS(Vigilancia!$E:$E,Vigilancia!$F:$F,$A114,Vigilancia!$J:$J,D$1)</f>
        <v>0</v>
      </c>
      <c r="E114" s="305">
        <f>SUMIFS(Vigilancia!$E:$E,Vigilancia!$F:$F,$A114,Vigilancia!$J:$J,E$1)</f>
        <v>0</v>
      </c>
      <c r="F114" s="305">
        <f>SUMIFS(Vigilancia!$E:$E,Vigilancia!$F:$F,$A114,Vigilancia!$J:$J,F$1)</f>
        <v>0</v>
      </c>
      <c r="G114" s="182">
        <f>SUMIFS(Vigilancia!$E:$E,Vigilancia!$F:$F,$A114,Vigilancia!$J:$J,G$1)</f>
        <v>0</v>
      </c>
      <c r="H114" s="182">
        <f>SUMIFS(Vigilancia!$E:$E,Vigilancia!$F:$F,$A114,Vigilancia!$J:$J,H$1)</f>
        <v>0</v>
      </c>
      <c r="I114" s="182">
        <f>SUMIFS(Vigilancia!$E:$E,Vigilancia!$F:$F,$A114,Vigilancia!$J:$J,I$1)</f>
        <v>0</v>
      </c>
      <c r="J114" s="182">
        <f>SUMIFS(Vigilancia!$E:$E,Vigilancia!$F:$F,$A114,Vigilancia!$J:$J,J$1)</f>
        <v>0</v>
      </c>
    </row>
    <row r="115" spans="1:11" x14ac:dyDescent="0.25">
      <c r="A115" s="30" t="str">
        <f>'RESUMEN VIGILANCIA'!A115</f>
        <v>Familia Guerra Miret</v>
      </c>
      <c r="B115" s="31" t="str">
        <f>'RESUMEN VIGILANCIA'!B115</f>
        <v>Calle Güigüe Nro. 89-40</v>
      </c>
      <c r="C115" s="182">
        <f>SUMIFS(Vigilancia!$E:$E,Vigilancia!$F:$F,$A115,Vigilancia!$J:$J,C$1)</f>
        <v>7.0000000000000007E-2</v>
      </c>
      <c r="D115" s="182">
        <f>SUMIFS(Vigilancia!$E:$E,Vigilancia!$F:$F,$A115,Vigilancia!$J:$J,D$1)</f>
        <v>0</v>
      </c>
      <c r="E115" s="305">
        <f>SUMIFS(Vigilancia!$E:$E,Vigilancia!$F:$F,$A115,Vigilancia!$J:$J,E$1)</f>
        <v>12.2</v>
      </c>
      <c r="F115" s="305">
        <f>SUMIFS(Vigilancia!$E:$E,Vigilancia!$F:$F,$A115,Vigilancia!$J:$J,F$1)</f>
        <v>0</v>
      </c>
      <c r="G115" s="182">
        <f>SUMIFS(Vigilancia!$E:$E,Vigilancia!$F:$F,$A115,Vigilancia!$J:$J,G$1)</f>
        <v>0</v>
      </c>
      <c r="H115" s="182">
        <f>SUMIFS(Vigilancia!$E:$E,Vigilancia!$F:$F,$A115,Vigilancia!$J:$J,H$1)</f>
        <v>0</v>
      </c>
      <c r="I115" s="182">
        <f>SUMIFS(Vigilancia!$E:$E,Vigilancia!$F:$F,$A115,Vigilancia!$J:$J,I$1)</f>
        <v>0</v>
      </c>
      <c r="J115" s="182">
        <f>SUMIFS(Vigilancia!$E:$E,Vigilancia!$F:$F,$A115,Vigilancia!$J:$J,J$1)</f>
        <v>0</v>
      </c>
    </row>
    <row r="116" spans="1:11" x14ac:dyDescent="0.25">
      <c r="A116" s="30" t="str">
        <f>'RESUMEN VIGILANCIA'!A116</f>
        <v>Familia Jiménez Salvatierra</v>
      </c>
      <c r="B116" s="31" t="str">
        <f>'RESUMEN VIGILANCIA'!B116</f>
        <v>Calle Güigüe Nro. 89-45</v>
      </c>
      <c r="C116" s="182">
        <f>SUMIFS(Vigilancia!$E:$E,Vigilancia!$F:$F,$A116,Vigilancia!$J:$J,C$1)</f>
        <v>0</v>
      </c>
      <c r="D116" s="182">
        <f>SUMIFS(Vigilancia!$E:$E,Vigilancia!$F:$F,$A116,Vigilancia!$J:$J,D$1)</f>
        <v>3.5</v>
      </c>
      <c r="E116" s="305">
        <f>SUMIFS(Vigilancia!$E:$E,Vigilancia!$F:$F,$A116,Vigilancia!$J:$J,E$1)</f>
        <v>12.2</v>
      </c>
      <c r="F116" s="305">
        <f>SUMIFS(Vigilancia!$E:$E,Vigilancia!$F:$F,$A116,Vigilancia!$J:$J,F$1)</f>
        <v>0</v>
      </c>
      <c r="G116" s="182">
        <f>SUMIFS(Vigilancia!$E:$E,Vigilancia!$F:$F,$A116,Vigilancia!$J:$J,G$1)</f>
        <v>0</v>
      </c>
      <c r="H116" s="182">
        <f>SUMIFS(Vigilancia!$E:$E,Vigilancia!$F:$F,$A116,Vigilancia!$J:$J,H$1)</f>
        <v>0</v>
      </c>
      <c r="I116" s="182">
        <f>SUMIFS(Vigilancia!$E:$E,Vigilancia!$F:$F,$A116,Vigilancia!$J:$J,I$1)</f>
        <v>0</v>
      </c>
      <c r="J116" s="182">
        <f>SUMIFS(Vigilancia!$E:$E,Vigilancia!$F:$F,$A116,Vigilancia!$J:$J,J$1)</f>
        <v>0</v>
      </c>
    </row>
    <row r="117" spans="1:11" x14ac:dyDescent="0.25">
      <c r="A117" s="30" t="str">
        <f>'RESUMEN VIGILANCIA'!A117</f>
        <v>Familia Alonso Rojas</v>
      </c>
      <c r="B117" s="31" t="str">
        <f>'RESUMEN VIGILANCIA'!B117</f>
        <v>Calle Güigüe Nro. 89-54</v>
      </c>
      <c r="C117" s="182">
        <f>SUMIFS(Vigilancia!$E:$E,Vigilancia!$F:$F,$A117,Vigilancia!$J:$J,C$1)</f>
        <v>0</v>
      </c>
      <c r="D117" s="182">
        <f>SUMIFS(Vigilancia!$E:$E,Vigilancia!$F:$F,$A117,Vigilancia!$J:$J,D$1)</f>
        <v>4.0999999999999996</v>
      </c>
      <c r="E117" s="305">
        <f>SUMIFS(Vigilancia!$E:$E,Vigilancia!$F:$F,$A117,Vigilancia!$J:$J,E$1)</f>
        <v>12.2</v>
      </c>
      <c r="F117" s="305">
        <f>SUMIFS(Vigilancia!$E:$E,Vigilancia!$F:$F,$A117,Vigilancia!$J:$J,F$1)</f>
        <v>50</v>
      </c>
      <c r="G117" s="182">
        <f>SUMIFS(Vigilancia!$E:$E,Vigilancia!$F:$F,$A117,Vigilancia!$J:$J,G$1)</f>
        <v>0</v>
      </c>
      <c r="H117" s="182">
        <f>SUMIFS(Vigilancia!$E:$E,Vigilancia!$F:$F,$A117,Vigilancia!$J:$J,H$1)</f>
        <v>0</v>
      </c>
      <c r="I117" s="182">
        <f>SUMIFS(Vigilancia!$E:$E,Vigilancia!$F:$F,$A117,Vigilancia!$J:$J,I$1)</f>
        <v>0</v>
      </c>
      <c r="J117" s="182">
        <f>SUMIFS(Vigilancia!$E:$E,Vigilancia!$F:$F,$A117,Vigilancia!$J:$J,J$1)</f>
        <v>0</v>
      </c>
    </row>
    <row r="118" spans="1:11" x14ac:dyDescent="0.25">
      <c r="A118" s="30" t="str">
        <f>'RESUMEN VIGILANCIA'!A118</f>
        <v>Familia Fermín Rivas</v>
      </c>
      <c r="B118" s="31" t="str">
        <f>'RESUMEN VIGILANCIA'!B118</f>
        <v>Calle Güigüe Nro. 89-55</v>
      </c>
      <c r="C118" s="182">
        <f>SUMIFS(Vigilancia!$E:$E,Vigilancia!$F:$F,$A118,Vigilancia!$J:$J,C$1)</f>
        <v>7.0000000000000007E-2</v>
      </c>
      <c r="D118" s="182">
        <f>SUMIFS(Vigilancia!$E:$E,Vigilancia!$F:$F,$A118,Vigilancia!$J:$J,D$1)</f>
        <v>3.5</v>
      </c>
      <c r="E118" s="305">
        <f>SUMIFS(Vigilancia!$E:$E,Vigilancia!$F:$F,$A118,Vigilancia!$J:$J,E$1)</f>
        <v>12.2</v>
      </c>
      <c r="F118" s="305">
        <f>SUMIFS(Vigilancia!$E:$E,Vigilancia!$F:$F,$A118,Vigilancia!$J:$J,F$1)</f>
        <v>10</v>
      </c>
      <c r="G118" s="182">
        <f>SUMIFS(Vigilancia!$E:$E,Vigilancia!$F:$F,$A118,Vigilancia!$J:$J,G$1)</f>
        <v>0</v>
      </c>
      <c r="H118" s="182">
        <f>SUMIFS(Vigilancia!$E:$E,Vigilancia!$F:$F,$A118,Vigilancia!$J:$J,H$1)</f>
        <v>0</v>
      </c>
      <c r="I118" s="182">
        <f>SUMIFS(Vigilancia!$E:$E,Vigilancia!$F:$F,$A118,Vigilancia!$J:$J,I$1)</f>
        <v>0</v>
      </c>
      <c r="J118" s="182">
        <f>SUMIFS(Vigilancia!$E:$E,Vigilancia!$F:$F,$A118,Vigilancia!$J:$J,J$1)</f>
        <v>0</v>
      </c>
    </row>
    <row r="119" spans="1:11" x14ac:dyDescent="0.25">
      <c r="A119" s="30" t="str">
        <f>'RESUMEN VIGILANCIA'!A119</f>
        <v>Familia Blonval Hernández</v>
      </c>
      <c r="B119" s="31" t="str">
        <f>'RESUMEN VIGILANCIA'!B119</f>
        <v>Calle Güigüe Nro. 89-64</v>
      </c>
      <c r="C119" s="182">
        <f>SUMIFS(Vigilancia!$E:$E,Vigilancia!$F:$F,$A119,Vigilancia!$J:$J,C$1)</f>
        <v>0</v>
      </c>
      <c r="D119" s="182">
        <f>SUMIFS(Vigilancia!$E:$E,Vigilancia!$F:$F,$A119,Vigilancia!$J:$J,D$1)</f>
        <v>0</v>
      </c>
      <c r="E119" s="182">
        <f>SUMIFS(Vigilancia!$E:$E,Vigilancia!$F:$F,$A119,Vigilancia!$J:$J,E$1)</f>
        <v>0</v>
      </c>
      <c r="F119" s="182">
        <f>SUMIFS(Vigilancia!$E:$E,Vigilancia!$F:$F,$A119,Vigilancia!$J:$J,F$1)</f>
        <v>0</v>
      </c>
      <c r="G119" s="182">
        <f>SUMIFS(Vigilancia!$E:$E,Vigilancia!$F:$F,$A119,Vigilancia!$J:$J,G$1)</f>
        <v>0</v>
      </c>
      <c r="H119" s="182">
        <f>SUMIFS(Vigilancia!$E:$E,Vigilancia!$F:$F,$A119,Vigilancia!$J:$J,H$1)</f>
        <v>0</v>
      </c>
      <c r="I119" s="182">
        <f>SUMIFS(Vigilancia!$E:$E,Vigilancia!$F:$F,$A119,Vigilancia!$J:$J,I$1)</f>
        <v>0</v>
      </c>
      <c r="J119" s="182">
        <f>SUMIFS(Vigilancia!$E:$E,Vigilancia!$F:$F,$A119,Vigilancia!$J:$J,J$1)</f>
        <v>0</v>
      </c>
    </row>
    <row r="120" spans="1:11" x14ac:dyDescent="0.25">
      <c r="A120" s="30" t="str">
        <f>'RESUMEN VIGILANCIA'!A120</f>
        <v>Familia Milanés Carmona</v>
      </c>
      <c r="B120" s="31" t="str">
        <f>'RESUMEN VIGILANCIA'!B120</f>
        <v>Calle Güigüe Nro. 89-65</v>
      </c>
      <c r="C120" s="182">
        <f>SUMIFS(Vigilancia!$E:$E,Vigilancia!$F:$F,$A120,Vigilancia!$J:$J,C$1)</f>
        <v>0.04</v>
      </c>
      <c r="D120" s="182">
        <f>SUMIFS(Vigilancia!$E:$E,Vigilancia!$F:$F,$A120,Vigilancia!$J:$J,D$1)</f>
        <v>0</v>
      </c>
      <c r="E120" s="182">
        <f>SUMIFS(Vigilancia!$E:$E,Vigilancia!$F:$F,$A120,Vigilancia!$J:$J,E$1)</f>
        <v>0</v>
      </c>
      <c r="F120" s="182">
        <f>SUMIFS(Vigilancia!$E:$E,Vigilancia!$F:$F,$A120,Vigilancia!$J:$J,F$1)</f>
        <v>0</v>
      </c>
      <c r="G120" s="182">
        <f>SUMIFS(Vigilancia!$E:$E,Vigilancia!$F:$F,$A120,Vigilancia!$J:$J,G$1)</f>
        <v>0</v>
      </c>
      <c r="H120" s="182">
        <f>SUMIFS(Vigilancia!$E:$E,Vigilancia!$F:$F,$A120,Vigilancia!$J:$J,H$1)</f>
        <v>0</v>
      </c>
      <c r="I120" s="182">
        <f>SUMIFS(Vigilancia!$E:$E,Vigilancia!$F:$F,$A120,Vigilancia!$J:$J,I$1)</f>
        <v>0</v>
      </c>
      <c r="J120" s="182">
        <f>SUMIFS(Vigilancia!$E:$E,Vigilancia!$F:$F,$A120,Vigilancia!$J:$J,J$1)</f>
        <v>0</v>
      </c>
    </row>
    <row r="121" spans="1:11" x14ac:dyDescent="0.25">
      <c r="A121" s="30" t="str">
        <f>'RESUMEN VIGILANCIA'!A121</f>
        <v>Familia Medina Colina</v>
      </c>
      <c r="B121" s="31" t="str">
        <f>'RESUMEN VIGILANCIA'!B121</f>
        <v>Calle Güigüe Nro. 89-70</v>
      </c>
      <c r="C121" s="182">
        <f>SUMIFS(Vigilancia!$E:$E,Vigilancia!$F:$F,$A121,Vigilancia!$J:$J,C$1)</f>
        <v>0</v>
      </c>
      <c r="D121" s="182">
        <f>SUMIFS(Vigilancia!$E:$E,Vigilancia!$F:$F,$A121,Vigilancia!$J:$J,D$1)</f>
        <v>0</v>
      </c>
      <c r="E121" s="182">
        <f>SUMIFS(Vigilancia!$E:$E,Vigilancia!$F:$F,$A121,Vigilancia!$J:$J,E$1)</f>
        <v>0</v>
      </c>
      <c r="F121" s="182">
        <f>SUMIFS(Vigilancia!$E:$E,Vigilancia!$F:$F,$A121,Vigilancia!$J:$J,F$1)</f>
        <v>0</v>
      </c>
      <c r="G121" s="182">
        <f>SUMIFS(Vigilancia!$E:$E,Vigilancia!$F:$F,$A121,Vigilancia!$J:$J,G$1)</f>
        <v>0</v>
      </c>
      <c r="H121" s="182">
        <f>SUMIFS(Vigilancia!$E:$E,Vigilancia!$F:$F,$A121,Vigilancia!$J:$J,H$1)</f>
        <v>0</v>
      </c>
      <c r="I121" s="182">
        <f>SUMIFS(Vigilancia!$E:$E,Vigilancia!$F:$F,$A121,Vigilancia!$J:$J,I$1)</f>
        <v>0</v>
      </c>
      <c r="J121" s="182">
        <f>SUMIFS(Vigilancia!$E:$E,Vigilancia!$F:$F,$A121,Vigilancia!$J:$J,J$1)</f>
        <v>0</v>
      </c>
    </row>
    <row r="122" spans="1:11" x14ac:dyDescent="0.25">
      <c r="A122" s="30" t="str">
        <f>'RESUMEN VIGILANCIA'!A122</f>
        <v>Gloria Molina</v>
      </c>
      <c r="B122" s="31" t="str">
        <f>'RESUMEN VIGILANCIA'!B122</f>
        <v>Calle Güigüe Nro. 89-71</v>
      </c>
      <c r="C122" s="182">
        <f>SUMIFS(Vigilancia!$E:$E,Vigilancia!$F:$F,$A122,Vigilancia!$J:$J,C$1)</f>
        <v>0</v>
      </c>
      <c r="D122" s="182">
        <f>SUMIFS(Vigilancia!$E:$E,Vigilancia!$F:$F,$A122,Vigilancia!$J:$J,D$1)</f>
        <v>3</v>
      </c>
      <c r="E122" s="305">
        <f>SUMIFS(Vigilancia!$E:$E,Vigilancia!$F:$F,$A122,Vigilancia!$J:$J,E$1)</f>
        <v>5</v>
      </c>
      <c r="F122" s="305">
        <f>SUMIFS(Vigilancia!$E:$E,Vigilancia!$F:$F,$A122,Vigilancia!$J:$J,F$1)</f>
        <v>0</v>
      </c>
      <c r="G122" s="182">
        <f>SUMIFS(Vigilancia!$E:$E,Vigilancia!$F:$F,$A122,Vigilancia!$J:$J,G$1)</f>
        <v>0</v>
      </c>
      <c r="H122" s="182">
        <f>SUMIFS(Vigilancia!$E:$E,Vigilancia!$F:$F,$A122,Vigilancia!$J:$J,H$1)</f>
        <v>0</v>
      </c>
      <c r="I122" s="182">
        <f>SUMIFS(Vigilancia!$E:$E,Vigilancia!$F:$F,$A122,Vigilancia!$J:$J,I$1)</f>
        <v>0</v>
      </c>
      <c r="J122" s="182">
        <f>SUMIFS(Vigilancia!$E:$E,Vigilancia!$F:$F,$A122,Vigilancia!$J:$J,J$1)</f>
        <v>0</v>
      </c>
    </row>
    <row r="123" spans="1:11" x14ac:dyDescent="0.25">
      <c r="A123" s="30" t="str">
        <f>'RESUMEN VIGILANCIA'!A123</f>
        <v>Familia Gurmeitte</v>
      </c>
      <c r="B123" s="31" t="str">
        <f>'RESUMEN VIGILANCIA'!B123</f>
        <v>Calle Güigüe Nro. 89-74</v>
      </c>
      <c r="C123" s="182">
        <f>SUMIFS(Vigilancia!$E:$E,Vigilancia!$F:$F,$A123,Vigilancia!$J:$J,C$1)</f>
        <v>0</v>
      </c>
      <c r="D123" s="182">
        <f>SUMIFS(Vigilancia!$E:$E,Vigilancia!$F:$F,$A123,Vigilancia!$J:$J,D$1)</f>
        <v>0</v>
      </c>
      <c r="E123" s="305">
        <f>SUMIFS(Vigilancia!$E:$E,Vigilancia!$F:$F,$A123,Vigilancia!$J:$J,E$1)</f>
        <v>0</v>
      </c>
      <c r="F123" s="305">
        <f>SUMIFS(Vigilancia!$E:$E,Vigilancia!$F:$F,$A123,Vigilancia!$J:$J,F$1)</f>
        <v>0</v>
      </c>
      <c r="G123" s="182">
        <f>SUMIFS(Vigilancia!$E:$E,Vigilancia!$F:$F,$A123,Vigilancia!$J:$J,G$1)</f>
        <v>0</v>
      </c>
      <c r="H123" s="182">
        <f>SUMIFS(Vigilancia!$E:$E,Vigilancia!$F:$F,$A123,Vigilancia!$J:$J,H$1)</f>
        <v>0</v>
      </c>
      <c r="I123" s="182">
        <f>SUMIFS(Vigilancia!$E:$E,Vigilancia!$F:$F,$A123,Vigilancia!$J:$J,I$1)</f>
        <v>0</v>
      </c>
      <c r="J123" s="182">
        <f>SUMIFS(Vigilancia!$E:$E,Vigilancia!$F:$F,$A123,Vigilancia!$J:$J,J$1)</f>
        <v>0</v>
      </c>
    </row>
    <row r="124" spans="1:11" x14ac:dyDescent="0.25">
      <c r="A124" s="30" t="str">
        <f>'RESUMEN VIGILANCIA'!A124</f>
        <v>Familia López Hermoso</v>
      </c>
      <c r="B124" s="31" t="str">
        <f>'RESUMEN VIGILANCIA'!B124</f>
        <v>Calle Güigüe Nro. 89-79</v>
      </c>
      <c r="C124" s="182">
        <f>SUMIFS(Vigilancia!$E:$E,Vigilancia!$F:$F,$A124,Vigilancia!$J:$J,C$1)</f>
        <v>7.0000000000000007E-2</v>
      </c>
      <c r="D124" s="182">
        <f>SUMIFS(Vigilancia!$E:$E,Vigilancia!$F:$F,$A124,Vigilancia!$J:$J,D$1)</f>
        <v>0</v>
      </c>
      <c r="E124" s="305">
        <f>SUMIFS(Vigilancia!$E:$E,Vigilancia!$F:$F,$A124,Vigilancia!$J:$J,E$1)</f>
        <v>12.2</v>
      </c>
      <c r="F124" s="305">
        <f>SUMIFS(Vigilancia!$E:$E,Vigilancia!$F:$F,$A124,Vigilancia!$J:$J,F$1)</f>
        <v>0</v>
      </c>
      <c r="G124" s="182">
        <f>SUMIFS(Vigilancia!$E:$E,Vigilancia!$F:$F,$A124,Vigilancia!$J:$J,G$1)</f>
        <v>0</v>
      </c>
      <c r="H124" s="182">
        <f>SUMIFS(Vigilancia!$E:$E,Vigilancia!$F:$F,$A124,Vigilancia!$J:$J,H$1)</f>
        <v>0</v>
      </c>
      <c r="I124" s="182">
        <f>SUMIFS(Vigilancia!$E:$E,Vigilancia!$F:$F,$A124,Vigilancia!$J:$J,I$1)</f>
        <v>0</v>
      </c>
      <c r="J124" s="182">
        <f>SUMIFS(Vigilancia!$E:$E,Vigilancia!$F:$F,$A124,Vigilancia!$J:$J,J$1)</f>
        <v>0</v>
      </c>
    </row>
    <row r="125" spans="1:11" x14ac:dyDescent="0.25">
      <c r="A125" s="30" t="str">
        <f>'RESUMEN VIGILANCIA'!A125</f>
        <v>Familia Kablan Sarmiento</v>
      </c>
      <c r="B125" s="31" t="str">
        <f>'RESUMEN VIGILANCIA'!B125</f>
        <v>Calle Güigüe Nro. 89-80</v>
      </c>
      <c r="C125" s="182">
        <f>SUMIFS(Vigilancia!$E:$E,Vigilancia!$F:$F,$A125,Vigilancia!$J:$J,C$1)</f>
        <v>7.0000000000000007E-2</v>
      </c>
      <c r="D125" s="182">
        <f>SUMIFS(Vigilancia!$E:$E,Vigilancia!$F:$F,$A125,Vigilancia!$J:$J,D$1)</f>
        <v>3.5</v>
      </c>
      <c r="E125" s="305">
        <f>SUMIFS(Vigilancia!$E:$E,Vigilancia!$F:$F,$A125,Vigilancia!$J:$J,E$1)</f>
        <v>12.2</v>
      </c>
      <c r="F125" s="305">
        <f>SUMIFS(Vigilancia!$E:$E,Vigilancia!$F:$F,$A125,Vigilancia!$J:$J,F$1)</f>
        <v>10</v>
      </c>
      <c r="G125" s="182">
        <f>SUMIFS(Vigilancia!$E:$E,Vigilancia!$F:$F,$A125,Vigilancia!$J:$J,G$1)</f>
        <v>0</v>
      </c>
      <c r="H125" s="182">
        <f>SUMIFS(Vigilancia!$E:$E,Vigilancia!$F:$F,$A125,Vigilancia!$J:$J,H$1)</f>
        <v>0</v>
      </c>
      <c r="I125" s="182">
        <f>SUMIFS(Vigilancia!$E:$E,Vigilancia!$F:$F,$A125,Vigilancia!$J:$J,I$1)</f>
        <v>0</v>
      </c>
      <c r="J125" s="182">
        <f>SUMIFS(Vigilancia!$E:$E,Vigilancia!$F:$F,$A125,Vigilancia!$J:$J,J$1)</f>
        <v>0</v>
      </c>
    </row>
    <row r="126" spans="1:11" ht="15.75" thickBot="1" x14ac:dyDescent="0.3">
      <c r="A126" s="66" t="str">
        <f>'RESUMEN VIGILANCIA'!A126</f>
        <v>Familia Ferrer Bahri</v>
      </c>
      <c r="B126" s="64" t="str">
        <f>'RESUMEN VIGILANCIA'!B126</f>
        <v>Calle Güigüe Nro. 89-83</v>
      </c>
      <c r="C126" s="182">
        <f>SUMIFS(Vigilancia!$E:$E,Vigilancia!$F:$F,$A126,Vigilancia!$J:$J,C$1)</f>
        <v>7.0000000000000007E-2</v>
      </c>
      <c r="D126" s="182">
        <f>SUMIFS(Vigilancia!$E:$E,Vigilancia!$F:$F,$A126,Vigilancia!$J:$J,D$1)</f>
        <v>4.0999999999999996</v>
      </c>
      <c r="E126" s="305">
        <f>SUMIFS(Vigilancia!$E:$E,Vigilancia!$F:$F,$A126,Vigilancia!$J:$J,E$1)</f>
        <v>13</v>
      </c>
      <c r="F126" s="305">
        <f>SUMIFS(Vigilancia!$E:$E,Vigilancia!$F:$F,$A126,Vigilancia!$J:$J,F$1)</f>
        <v>10</v>
      </c>
      <c r="G126" s="182">
        <f>SUMIFS(Vigilancia!$E:$E,Vigilancia!$F:$F,$A126,Vigilancia!$J:$J,G$1)</f>
        <v>0</v>
      </c>
      <c r="H126" s="182">
        <f>SUMIFS(Vigilancia!$E:$E,Vigilancia!$F:$F,$A126,Vigilancia!$J:$J,H$1)</f>
        <v>0</v>
      </c>
      <c r="I126" s="182">
        <f>SUMIFS(Vigilancia!$E:$E,Vigilancia!$F:$F,$A126,Vigilancia!$J:$J,I$1)</f>
        <v>0</v>
      </c>
      <c r="J126" s="182">
        <f>SUMIFS(Vigilancia!$E:$E,Vigilancia!$F:$F,$A126,Vigilancia!$J:$J,J$1)</f>
        <v>0</v>
      </c>
    </row>
    <row r="127" spans="1:11" x14ac:dyDescent="0.25">
      <c r="A127" s="125" t="str">
        <f>'RESUMEN VIGILANCIA'!A127</f>
        <v>Familia Amirante</v>
      </c>
      <c r="B127" s="126" t="str">
        <f>'RESUMEN VIGILANCIA'!B127</f>
        <v>Calle Güigüe Nro. 89-89</v>
      </c>
      <c r="C127" s="307">
        <f>SUMIFS(Vigilancia!$E:$E,Vigilancia!$F:$F,$A127,Vigilancia!$J:$J,C$1)</f>
        <v>0</v>
      </c>
      <c r="D127" s="307">
        <f>SUMIFS(Vigilancia!$E:$E,Vigilancia!$F:$F,$A127,Vigilancia!$J:$J,D$1)</f>
        <v>0</v>
      </c>
      <c r="E127" s="307">
        <f>SUMIFS(Vigilancia!$E:$E,Vigilancia!$F:$F,$A127,Vigilancia!$J:$J,E$1)</f>
        <v>0</v>
      </c>
      <c r="F127" s="307">
        <f>SUMIFS(Vigilancia!$E:$E,Vigilancia!$F:$F,$A127,Vigilancia!$J:$J,F$1)</f>
        <v>0</v>
      </c>
      <c r="G127" s="308">
        <f>SUMIFS(Vigilancia!$E:$E,Vigilancia!$F:$F,$A127,Vigilancia!$J:$J,G$1)</f>
        <v>0</v>
      </c>
      <c r="H127" s="307">
        <f>SUMIFS(Vigilancia!$E:$E,Vigilancia!$F:$F,$A127,Vigilancia!$J:$J,H$1)</f>
        <v>0</v>
      </c>
      <c r="I127" s="307">
        <f>SUMIFS(Vigilancia!$E:$E,Vigilancia!$F:$F,$A127,Vigilancia!$J:$J,I$1)</f>
        <v>0</v>
      </c>
      <c r="J127" s="309">
        <f>SUMIFS(Vigilancia!$E:$E,Vigilancia!$F:$F,$A127,Vigilancia!$J:$J,J$1)</f>
        <v>0</v>
      </c>
      <c r="K127" s="122"/>
    </row>
    <row r="128" spans="1:11" x14ac:dyDescent="0.25">
      <c r="A128" s="125" t="str">
        <f>'RESUMEN VIGILANCIA'!A128</f>
        <v>Familia Civitico Rueda</v>
      </c>
      <c r="B128" s="126" t="str">
        <f>'RESUMEN VIGILANCIA'!B128</f>
        <v>Calle Güigüe Nro. 89-89</v>
      </c>
      <c r="C128" s="307">
        <f>SUMIFS(Vigilancia!$E:$E,Vigilancia!$F:$F,$A128,Vigilancia!$J:$J,C$1)</f>
        <v>0</v>
      </c>
      <c r="D128" s="307">
        <f>SUMIFS(Vigilancia!$E:$E,Vigilancia!$F:$F,$A128,Vigilancia!$J:$J,D$1)</f>
        <v>3.5</v>
      </c>
      <c r="E128" s="307">
        <f>SUMIFS(Vigilancia!$E:$E,Vigilancia!$F:$F,$A128,Vigilancia!$J:$J,E$1)</f>
        <v>0</v>
      </c>
      <c r="F128" s="307">
        <f>SUMIFS(Vigilancia!$E:$E,Vigilancia!$F:$F,$A128,Vigilancia!$J:$J,F$1)</f>
        <v>0</v>
      </c>
      <c r="G128" s="308">
        <f>SUMIFS(Vigilancia!$E:$E,Vigilancia!$F:$F,$A128,Vigilancia!$J:$J,G$1)</f>
        <v>0</v>
      </c>
      <c r="H128" s="307">
        <f>SUMIFS(Vigilancia!$E:$E,Vigilancia!$F:$F,$A128,Vigilancia!$J:$J,H$1)</f>
        <v>0</v>
      </c>
      <c r="I128" s="307">
        <f>SUMIFS(Vigilancia!$E:$E,Vigilancia!$F:$F,$A128,Vigilancia!$J:$J,I$1)</f>
        <v>0</v>
      </c>
      <c r="J128" s="309">
        <f>SUMIFS(Vigilancia!$E:$E,Vigilancia!$F:$F,$A128,Vigilancia!$J:$J,J$1)</f>
        <v>0</v>
      </c>
      <c r="K128" s="123"/>
    </row>
    <row r="129" spans="1:11" ht="15.75" thickBot="1" x14ac:dyDescent="0.3">
      <c r="A129" s="30" t="str">
        <f>'RESUMEN VIGILANCIA'!A129</f>
        <v>Wilson Escamilla</v>
      </c>
      <c r="B129" s="31" t="str">
        <f>'RESUMEN VIGILANCIA'!B129</f>
        <v>Calle Güigüe Nro. 89-89</v>
      </c>
      <c r="C129" s="182">
        <f>SUMIFS(Vigilancia!$E:$E,Vigilancia!$F:$F,$A129,Vigilancia!$J:$J,C$1)</f>
        <v>0</v>
      </c>
      <c r="D129" s="182">
        <f>SUMIFS(Vigilancia!$E:$E,Vigilancia!$F:$F,$A129,Vigilancia!$J:$J,D$1)</f>
        <v>0</v>
      </c>
      <c r="E129" s="305">
        <f>SUMIFS(Vigilancia!$E:$E,Vigilancia!$F:$F,$A129,Vigilancia!$J:$J,E$1)</f>
        <v>12.2</v>
      </c>
      <c r="F129" s="305">
        <f>SUMIFS(Vigilancia!$E:$E,Vigilancia!$F:$F,$A129,Vigilancia!$J:$J,F$1)</f>
        <v>0</v>
      </c>
      <c r="G129" s="181">
        <f>SUMIFS(Vigilancia!$E:$E,Vigilancia!$F:$F,$A129,Vigilancia!$J:$J,G$1)</f>
        <v>0</v>
      </c>
      <c r="H129" s="182">
        <f>SUMIFS(Vigilancia!$E:$E,Vigilancia!$F:$F,$A129,Vigilancia!$J:$J,H$1)</f>
        <v>0</v>
      </c>
      <c r="I129" s="182">
        <f>SUMIFS(Vigilancia!$E:$E,Vigilancia!$F:$F,$A129,Vigilancia!$J:$J,I$1)</f>
        <v>0</v>
      </c>
      <c r="J129" s="185">
        <f>SUMIFS(Vigilancia!$E:$E,Vigilancia!$F:$F,$A129,Vigilancia!$J:$J,J$1)</f>
        <v>0</v>
      </c>
      <c r="K129" s="124"/>
    </row>
    <row r="130" spans="1:11" x14ac:dyDescent="0.25">
      <c r="A130" s="59" t="str">
        <f>'RESUMEN VIGILANCIA'!A130</f>
        <v>Familia Herrera Guada</v>
      </c>
      <c r="B130" s="60" t="str">
        <f>'RESUMEN VIGILANCIA'!B130</f>
        <v>Calle Güigüe Nro. 89-90</v>
      </c>
      <c r="C130" s="214">
        <f>SUMIFS(Vigilancia!$E:$E,Vigilancia!$F:$F,$A130,Vigilancia!$J:$J,C$1)</f>
        <v>0</v>
      </c>
      <c r="D130" s="214">
        <f>SUMIFS(Vigilancia!$E:$E,Vigilancia!$F:$F,$A130,Vigilancia!$J:$J,D$1)</f>
        <v>0</v>
      </c>
      <c r="E130" s="214">
        <f>SUMIFS(Vigilancia!$E:$E,Vigilancia!$F:$F,$A130,Vigilancia!$J:$J,E$1)</f>
        <v>0</v>
      </c>
      <c r="F130" s="214">
        <f>SUMIFS(Vigilancia!$E:$E,Vigilancia!$F:$F,$A130,Vigilancia!$J:$J,F$1)</f>
        <v>0</v>
      </c>
      <c r="G130" s="306">
        <f>SUMIFS(Vigilancia!$E:$E,Vigilancia!$F:$F,$A130,Vigilancia!$J:$J,G$1)</f>
        <v>0</v>
      </c>
      <c r="H130" s="214">
        <f>SUMIFS(Vigilancia!$E:$E,Vigilancia!$F:$F,$A130,Vigilancia!$J:$J,H$1)</f>
        <v>0</v>
      </c>
      <c r="I130" s="214">
        <f>SUMIFS(Vigilancia!$E:$E,Vigilancia!$F:$F,$A130,Vigilancia!$J:$J,I$1)</f>
        <v>0</v>
      </c>
      <c r="J130" s="206">
        <f>SUMIFS(Vigilancia!$E:$E,Vigilancia!$F:$F,$A130,Vigilancia!$J:$J,J$1)</f>
        <v>0</v>
      </c>
      <c r="K130" s="122"/>
    </row>
    <row r="131" spans="1:11" ht="15.75" thickBot="1" x14ac:dyDescent="0.3">
      <c r="A131" s="30" t="str">
        <f>'RESUMEN VIGILANCIA'!A131</f>
        <v>Familia Montilla García</v>
      </c>
      <c r="B131" s="31" t="str">
        <f>'RESUMEN VIGILANCIA'!B131</f>
        <v>Calle Güigüe Nro. 89-90</v>
      </c>
      <c r="C131" s="182">
        <f>SUMIFS(Vigilancia!$E:$E,Vigilancia!$F:$F,$A131,Vigilancia!$J:$J,C$1)</f>
        <v>7.0000000000000007E-2</v>
      </c>
      <c r="D131" s="182">
        <f>SUMIFS(Vigilancia!$E:$E,Vigilancia!$F:$F,$A131,Vigilancia!$J:$J,D$1)</f>
        <v>3.5</v>
      </c>
      <c r="E131" s="305">
        <f>SUMIFS(Vigilancia!$E:$E,Vigilancia!$F:$F,$A131,Vigilancia!$J:$J,E$1)</f>
        <v>12.2</v>
      </c>
      <c r="F131" s="305">
        <f>SUMIFS(Vigilancia!$E:$E,Vigilancia!$F:$F,$A131,Vigilancia!$J:$J,F$1)</f>
        <v>30</v>
      </c>
      <c r="G131" s="181">
        <f>SUMIFS(Vigilancia!$E:$E,Vigilancia!$F:$F,$A131,Vigilancia!$J:$J,G$1)</f>
        <v>0</v>
      </c>
      <c r="H131" s="182">
        <f>SUMIFS(Vigilancia!$E:$E,Vigilancia!$F:$F,$A131,Vigilancia!$J:$J,H$1)</f>
        <v>0</v>
      </c>
      <c r="I131" s="182">
        <f>SUMIFS(Vigilancia!$E:$E,Vigilancia!$F:$F,$A131,Vigilancia!$J:$J,I$1)</f>
        <v>0</v>
      </c>
      <c r="J131" s="185">
        <f>SUMIFS(Vigilancia!$E:$E,Vigilancia!$F:$F,$A131,Vigilancia!$J:$J,J$1)</f>
        <v>0</v>
      </c>
      <c r="K131" s="124"/>
    </row>
    <row r="132" spans="1:11" x14ac:dyDescent="0.25">
      <c r="A132" s="67" t="str">
        <f>'RESUMEN VIGILANCIA'!A132</f>
        <v>Familia Kattar González</v>
      </c>
      <c r="B132" s="65" t="str">
        <f>'RESUMEN VIGILANCIA'!B132</f>
        <v>Calle Güigüe Nro. 89-95</v>
      </c>
      <c r="C132" s="182">
        <f>SUMIFS(Vigilancia!$E:$E,Vigilancia!$F:$F,$A132,Vigilancia!$J:$J,C$1)</f>
        <v>7.0000000000000007E-2</v>
      </c>
      <c r="D132" s="182">
        <f>SUMIFS(Vigilancia!$E:$E,Vigilancia!$F:$F,$A132,Vigilancia!$J:$J,D$1)</f>
        <v>3.5</v>
      </c>
      <c r="E132" s="305">
        <f>SUMIFS(Vigilancia!$E:$E,Vigilancia!$F:$F,$A132,Vigilancia!$J:$J,E$1)</f>
        <v>12.2</v>
      </c>
      <c r="F132" s="305">
        <f>SUMIFS(Vigilancia!$E:$E,Vigilancia!$F:$F,$A132,Vigilancia!$J:$J,F$1)</f>
        <v>0</v>
      </c>
      <c r="G132" s="182">
        <f>SUMIFS(Vigilancia!$E:$E,Vigilancia!$F:$F,$A132,Vigilancia!$J:$J,G$1)</f>
        <v>0</v>
      </c>
      <c r="H132" s="182">
        <f>SUMIFS(Vigilancia!$E:$E,Vigilancia!$F:$F,$A132,Vigilancia!$J:$J,H$1)</f>
        <v>0</v>
      </c>
      <c r="I132" s="182">
        <f>SUMIFS(Vigilancia!$E:$E,Vigilancia!$F:$F,$A132,Vigilancia!$J:$J,I$1)</f>
        <v>0</v>
      </c>
      <c r="J132" s="182">
        <f>SUMIFS(Vigilancia!$E:$E,Vigilancia!$F:$F,$A132,Vigilancia!$J:$J,J$1)</f>
        <v>30.5</v>
      </c>
    </row>
    <row r="133" spans="1:11" x14ac:dyDescent="0.25">
      <c r="A133" s="30" t="str">
        <f>'RESUMEN VIGILANCIA'!A133</f>
        <v>Amarilis Guerra</v>
      </c>
      <c r="B133" s="31" t="str">
        <f>'RESUMEN VIGILANCIA'!B133</f>
        <v>Calle Güigüe Nro. 89-96</v>
      </c>
      <c r="C133" s="182">
        <f>SUMIFS(Vigilancia!$E:$E,Vigilancia!$F:$F,$A133,Vigilancia!$J:$J,C$1)</f>
        <v>0</v>
      </c>
      <c r="D133" s="182">
        <f>SUMIFS(Vigilancia!$E:$E,Vigilancia!$F:$F,$A133,Vigilancia!$J:$J,D$1)</f>
        <v>0</v>
      </c>
      <c r="E133" s="305">
        <f>SUMIFS(Vigilancia!$E:$E,Vigilancia!$F:$F,$A133,Vigilancia!$J:$J,E$1)</f>
        <v>12</v>
      </c>
      <c r="F133" s="305">
        <f>SUMIFS(Vigilancia!$E:$E,Vigilancia!$F:$F,$A133,Vigilancia!$J:$J,F$1)</f>
        <v>10</v>
      </c>
      <c r="G133" s="182">
        <f>SUMIFS(Vigilancia!$E:$E,Vigilancia!$F:$F,$A133,Vigilancia!$J:$J,G$1)</f>
        <v>0</v>
      </c>
      <c r="H133" s="182">
        <f>SUMIFS(Vigilancia!$E:$E,Vigilancia!$F:$F,$A133,Vigilancia!$J:$J,H$1)</f>
        <v>0</v>
      </c>
      <c r="I133" s="182">
        <f>SUMIFS(Vigilancia!$E:$E,Vigilancia!$F:$F,$A133,Vigilancia!$J:$J,I$1)</f>
        <v>0</v>
      </c>
      <c r="J133" s="182">
        <f>SUMIFS(Vigilancia!$E:$E,Vigilancia!$F:$F,$A133,Vigilancia!$J:$J,J$1)</f>
        <v>0</v>
      </c>
    </row>
    <row r="134" spans="1:11" ht="15.75" thickBot="1" x14ac:dyDescent="0.3">
      <c r="A134" s="30" t="str">
        <f>'RESUMEN VIGILANCIA'!A134</f>
        <v>Familia Ochoa Mendoza</v>
      </c>
      <c r="B134" s="31" t="str">
        <f>'RESUMEN VIGILANCIA'!B134</f>
        <v>Calle Güigüe Nro. 89-105</v>
      </c>
      <c r="C134" s="182">
        <f>SUMIFS(Vigilancia!$E:$E,Vigilancia!$F:$F,$A134,Vigilancia!$J:$J,C$1)</f>
        <v>7.0000000000000007E-2</v>
      </c>
      <c r="D134" s="182">
        <f>SUMIFS(Vigilancia!$E:$E,Vigilancia!$F:$F,$A134,Vigilancia!$J:$J,D$1)</f>
        <v>3.5</v>
      </c>
      <c r="E134" s="305">
        <f>SUMIFS(Vigilancia!$E:$E,Vigilancia!$F:$F,$A134,Vigilancia!$J:$J,E$1)</f>
        <v>0</v>
      </c>
      <c r="F134" s="305">
        <f>SUMIFS(Vigilancia!$E:$E,Vigilancia!$F:$F,$A134,Vigilancia!$J:$J,F$1)</f>
        <v>10</v>
      </c>
      <c r="G134" s="182">
        <f>SUMIFS(Vigilancia!$E:$E,Vigilancia!$F:$F,$A134,Vigilancia!$J:$J,G$1)</f>
        <v>0</v>
      </c>
      <c r="H134" s="182">
        <f>SUMIFS(Vigilancia!$E:$E,Vigilancia!$F:$F,$A134,Vigilancia!$J:$J,H$1)</f>
        <v>0</v>
      </c>
      <c r="I134" s="182">
        <f>SUMIFS(Vigilancia!$E:$E,Vigilancia!$F:$F,$A134,Vigilancia!$J:$J,I$1)</f>
        <v>0</v>
      </c>
      <c r="J134" s="182">
        <f>SUMIFS(Vigilancia!$E:$E,Vigilancia!$F:$F,$A134,Vigilancia!$J:$J,J$1)</f>
        <v>0</v>
      </c>
    </row>
    <row r="135" spans="1:11" x14ac:dyDescent="0.25">
      <c r="A135" s="59" t="str">
        <f>'RESUMEN VIGILANCIA'!A135</f>
        <v>Anahiz Seijas</v>
      </c>
      <c r="B135" s="60" t="str">
        <f>'RESUMEN VIGILANCIA'!B135</f>
        <v>Calle Güigüe Nro. 89-106</v>
      </c>
      <c r="C135" s="214">
        <f>SUMIFS(Vigilancia!$E:$E,Vigilancia!$F:$F,$A135,Vigilancia!$J:$J,C$1)</f>
        <v>7.0000000000000007E-2</v>
      </c>
      <c r="D135" s="214">
        <f>SUMIFS(Vigilancia!$E:$E,Vigilancia!$F:$F,$A135,Vigilancia!$J:$J,D$1)</f>
        <v>3.5</v>
      </c>
      <c r="E135" s="214">
        <f>SUMIFS(Vigilancia!$E:$E,Vigilancia!$F:$F,$A135,Vigilancia!$J:$J,E$1)</f>
        <v>0</v>
      </c>
      <c r="F135" s="214">
        <f>SUMIFS(Vigilancia!$E:$E,Vigilancia!$F:$F,$A135,Vigilancia!$J:$J,F$1)</f>
        <v>0</v>
      </c>
      <c r="G135" s="306">
        <f>SUMIFS(Vigilancia!$E:$E,Vigilancia!$F:$F,$A135,Vigilancia!$J:$J,G$1)</f>
        <v>0</v>
      </c>
      <c r="H135" s="214">
        <f>SUMIFS(Vigilancia!$E:$E,Vigilancia!$F:$F,$A135,Vigilancia!$J:$J,H$1)</f>
        <v>0</v>
      </c>
      <c r="I135" s="214">
        <f>SUMIFS(Vigilancia!$E:$E,Vigilancia!$F:$F,$A135,Vigilancia!$J:$J,I$1)</f>
        <v>0</v>
      </c>
      <c r="J135" s="206">
        <f>SUMIFS(Vigilancia!$E:$E,Vigilancia!$F:$F,$A135,Vigilancia!$J:$J,J$1)</f>
        <v>0</v>
      </c>
      <c r="K135" s="122"/>
    </row>
    <row r="136" spans="1:11" ht="15.75" thickBot="1" x14ac:dyDescent="0.3">
      <c r="A136" s="30" t="str">
        <f>'RESUMEN VIGILANCIA'!A136</f>
        <v>Familia Chan García</v>
      </c>
      <c r="B136" s="31" t="str">
        <f>'RESUMEN VIGILANCIA'!B136</f>
        <v>Calle Güigüe Nro. 89-106</v>
      </c>
      <c r="C136" s="182">
        <f>SUMIFS(Vigilancia!$E:$E,Vigilancia!$F:$F,$A136,Vigilancia!$J:$J,C$1)</f>
        <v>0</v>
      </c>
      <c r="D136" s="182">
        <f>SUMIFS(Vigilancia!$E:$E,Vigilancia!$F:$F,$A136,Vigilancia!$J:$J,D$1)</f>
        <v>0</v>
      </c>
      <c r="E136" s="182">
        <f>SUMIFS(Vigilancia!$E:$E,Vigilancia!$F:$F,$A136,Vigilancia!$J:$J,E$1)</f>
        <v>0</v>
      </c>
      <c r="F136" s="182">
        <f>SUMIFS(Vigilancia!$E:$E,Vigilancia!$F:$F,$A136,Vigilancia!$J:$J,F$1)</f>
        <v>0</v>
      </c>
      <c r="G136" s="182">
        <f>SUMIFS(Vigilancia!$E:$E,Vigilancia!$F:$F,$A136,Vigilancia!$J:$J,G$1)</f>
        <v>0</v>
      </c>
      <c r="H136" s="182">
        <f>SUMIFS(Vigilancia!$E:$E,Vigilancia!$F:$F,$A136,Vigilancia!$J:$J,H$1)</f>
        <v>0</v>
      </c>
      <c r="I136" s="182">
        <f>SUMIFS(Vigilancia!$E:$E,Vigilancia!$F:$F,$A136,Vigilancia!$J:$J,I$1)</f>
        <v>0</v>
      </c>
      <c r="J136" s="182">
        <f>SUMIFS(Vigilancia!$E:$E,Vigilancia!$F:$F,$A136,Vigilancia!$J:$J,J$1)</f>
        <v>0</v>
      </c>
      <c r="K136" s="124"/>
    </row>
    <row r="137" spans="1:11" ht="15.75" thickBot="1" x14ac:dyDescent="0.3">
      <c r="A137" s="30" t="str">
        <f>'RESUMEN VIGILANCIA'!A137</f>
        <v>Familia Jiménez de Avila</v>
      </c>
      <c r="B137" s="31" t="str">
        <f>'RESUMEN VIGILANCIA'!B137</f>
        <v>Calle Güigüe Nro. 89-116</v>
      </c>
      <c r="C137" s="182">
        <f>SUMIFS(Vigilancia!$E:$E,Vigilancia!$F:$F,$A137,Vigilancia!$J:$J,C$1)</f>
        <v>0</v>
      </c>
      <c r="D137" s="182">
        <f>SUMIFS(Vigilancia!$E:$E,Vigilancia!$F:$F,$A137,Vigilancia!$J:$J,D$1)</f>
        <v>0</v>
      </c>
      <c r="E137" s="182">
        <f>SUMIFS(Vigilancia!$E:$E,Vigilancia!$F:$F,$A137,Vigilancia!$J:$J,E$1)</f>
        <v>0</v>
      </c>
      <c r="F137" s="182">
        <f>SUMIFS(Vigilancia!$E:$E,Vigilancia!$F:$F,$A137,Vigilancia!$J:$J,F$1)</f>
        <v>0</v>
      </c>
      <c r="G137" s="182">
        <f>SUMIFS(Vigilancia!$E:$E,Vigilancia!$F:$F,$A137,Vigilancia!$J:$J,G$1)</f>
        <v>0</v>
      </c>
      <c r="H137" s="182">
        <f>SUMIFS(Vigilancia!$E:$E,Vigilancia!$F:$F,$A137,Vigilancia!$J:$J,H$1)</f>
        <v>0</v>
      </c>
      <c r="I137" s="182">
        <f>SUMIFS(Vigilancia!$E:$E,Vigilancia!$F:$F,$A137,Vigilancia!$J:$J,I$1)</f>
        <v>0</v>
      </c>
      <c r="J137" s="182">
        <f>SUMIFS(Vigilancia!$E:$E,Vigilancia!$F:$F,$A137,Vigilancia!$J:$J,J$1)</f>
        <v>0</v>
      </c>
    </row>
    <row r="138" spans="1:11" x14ac:dyDescent="0.25">
      <c r="A138" s="59" t="str">
        <f>'RESUMEN VIGILANCIA'!A138</f>
        <v>Familia Morales Sesar</v>
      </c>
      <c r="B138" s="60" t="str">
        <f>'RESUMEN VIGILANCIA'!B138</f>
        <v>Calle Güigüe Nro. 89-120</v>
      </c>
      <c r="C138" s="214">
        <f>SUMIFS(Vigilancia!$E:$E,Vigilancia!$F:$F,$A138,Vigilancia!$J:$J,C$1)</f>
        <v>0</v>
      </c>
      <c r="D138" s="214">
        <f>SUMIFS(Vigilancia!$E:$E,Vigilancia!$F:$F,$A138,Vigilancia!$J:$J,D$1)</f>
        <v>0</v>
      </c>
      <c r="E138" s="214">
        <f>SUMIFS(Vigilancia!$E:$E,Vigilancia!$F:$F,$A138,Vigilancia!$J:$J,E$1)</f>
        <v>0</v>
      </c>
      <c r="F138" s="214">
        <f>SUMIFS(Vigilancia!$E:$E,Vigilancia!$F:$F,$A138,Vigilancia!$J:$J,F$1)</f>
        <v>0</v>
      </c>
      <c r="G138" s="306">
        <f>SUMIFS(Vigilancia!$E:$E,Vigilancia!$F:$F,$A138,Vigilancia!$J:$J,G$1)</f>
        <v>0</v>
      </c>
      <c r="H138" s="214">
        <f>SUMIFS(Vigilancia!$E:$E,Vigilancia!$F:$F,$A138,Vigilancia!$J:$J,H$1)</f>
        <v>0</v>
      </c>
      <c r="I138" s="214">
        <f>SUMIFS(Vigilancia!$E:$E,Vigilancia!$F:$F,$A138,Vigilancia!$J:$J,I$1)</f>
        <v>0</v>
      </c>
      <c r="J138" s="206">
        <f>SUMIFS(Vigilancia!$E:$E,Vigilancia!$F:$F,$A138,Vigilancia!$J:$J,J$1)</f>
        <v>0</v>
      </c>
      <c r="K138" s="122"/>
    </row>
    <row r="139" spans="1:11" ht="15.75" thickBot="1" x14ac:dyDescent="0.3">
      <c r="A139" s="30" t="str">
        <f>'RESUMEN VIGILANCIA'!A139</f>
        <v>Familia Abbinante Pinto</v>
      </c>
      <c r="B139" s="31" t="str">
        <f>'RESUMEN VIGILANCIA'!B139</f>
        <v>Calle Güigüe Nro. 89-120</v>
      </c>
      <c r="C139" s="182">
        <f>SUMIFS(Vigilancia!$E:$E,Vigilancia!$F:$F,$A139,Vigilancia!$J:$J,C$1)</f>
        <v>0</v>
      </c>
      <c r="D139" s="182">
        <f>SUMIFS(Vigilancia!$E:$E,Vigilancia!$F:$F,$A139,Vigilancia!$J:$J,D$1)</f>
        <v>0</v>
      </c>
      <c r="E139" s="182">
        <f>SUMIFS(Vigilancia!$E:$E,Vigilancia!$F:$F,$A139,Vigilancia!$J:$J,E$1)</f>
        <v>0</v>
      </c>
      <c r="F139" s="182">
        <f>SUMIFS(Vigilancia!$E:$E,Vigilancia!$F:$F,$A139,Vigilancia!$J:$J,F$1)</f>
        <v>10</v>
      </c>
      <c r="G139" s="182">
        <f>SUMIFS(Vigilancia!$E:$E,Vigilancia!$F:$F,$A139,Vigilancia!$J:$J,G$1)</f>
        <v>0</v>
      </c>
      <c r="H139" s="182">
        <f>SUMIFS(Vigilancia!$E:$E,Vigilancia!$F:$F,$A139,Vigilancia!$J:$J,H$1)</f>
        <v>0</v>
      </c>
      <c r="I139" s="182">
        <f>SUMIFS(Vigilancia!$E:$E,Vigilancia!$F:$F,$A139,Vigilancia!$J:$J,I$1)</f>
        <v>0</v>
      </c>
      <c r="J139" s="182">
        <f>SUMIFS(Vigilancia!$E:$E,Vigilancia!$F:$F,$A139,Vigilancia!$J:$J,J$1)</f>
        <v>0</v>
      </c>
      <c r="K139" s="124"/>
    </row>
    <row r="140" spans="1:11" x14ac:dyDescent="0.25">
      <c r="A140" s="30" t="str">
        <f>'RESUMEN VIGILANCIA'!A140</f>
        <v>Alexander Pena</v>
      </c>
      <c r="B140" s="31" t="str">
        <f>'RESUMEN VIGILANCIA'!B140</f>
        <v>Calle Güigüe Nro. 89-126</v>
      </c>
      <c r="C140" s="182">
        <f>SUMIFS(Vigilancia!$E:$E,Vigilancia!$F:$F,$A140,Vigilancia!$J:$J,C$1)</f>
        <v>0</v>
      </c>
      <c r="D140" s="182">
        <f>SUMIFS(Vigilancia!$E:$E,Vigilancia!$F:$F,$A140,Vigilancia!$J:$J,D$1)</f>
        <v>0</v>
      </c>
      <c r="E140" s="182">
        <f>SUMIFS(Vigilancia!$E:$E,Vigilancia!$F:$F,$A140,Vigilancia!$J:$J,E$1)</f>
        <v>0</v>
      </c>
      <c r="F140" s="182">
        <f>SUMIFS(Vigilancia!$E:$E,Vigilancia!$F:$F,$A140,Vigilancia!$J:$J,F$1)</f>
        <v>0</v>
      </c>
      <c r="G140" s="182">
        <f>SUMIFS(Vigilancia!$E:$E,Vigilancia!$F:$F,$A140,Vigilancia!$J:$J,G$1)</f>
        <v>0</v>
      </c>
      <c r="H140" s="182">
        <f>SUMIFS(Vigilancia!$E:$E,Vigilancia!$F:$F,$A140,Vigilancia!$J:$J,H$1)</f>
        <v>0</v>
      </c>
      <c r="I140" s="182">
        <f>SUMIFS(Vigilancia!$E:$E,Vigilancia!$F:$F,$A140,Vigilancia!$J:$J,I$1)</f>
        <v>0</v>
      </c>
      <c r="J140" s="182">
        <f>SUMIFS(Vigilancia!$E:$E,Vigilancia!$F:$F,$A140,Vigilancia!$J:$J,J$1)</f>
        <v>0</v>
      </c>
    </row>
    <row r="141" spans="1:11" x14ac:dyDescent="0.25">
      <c r="A141" s="40" t="str">
        <f>'RESUMEN VIGILANCIA'!A141</f>
        <v>Familia Pena Wierman</v>
      </c>
      <c r="B141" s="41" t="str">
        <f>'RESUMEN VIGILANCIA'!B141</f>
        <v>Calle Güigüe Nro. 89-126</v>
      </c>
      <c r="C141" s="238"/>
      <c r="D141" s="238"/>
      <c r="E141" s="238"/>
      <c r="F141" s="238"/>
      <c r="G141" s="238"/>
      <c r="H141" s="238"/>
      <c r="I141" s="238"/>
      <c r="J141" s="238"/>
    </row>
    <row r="142" spans="1:11" x14ac:dyDescent="0.25">
      <c r="A142" s="43"/>
      <c r="B142" s="44" t="s">
        <v>1175</v>
      </c>
      <c r="C142" s="301">
        <f t="shared" ref="C142:J142" si="0">SUM(C2:C141)</f>
        <v>3.7081999999999975</v>
      </c>
      <c r="D142" s="301">
        <f t="shared" si="0"/>
        <v>185.1</v>
      </c>
      <c r="E142" s="301">
        <f t="shared" si="0"/>
        <v>566.39999999999986</v>
      </c>
      <c r="F142" s="301">
        <f t="shared" si="0"/>
        <v>597</v>
      </c>
      <c r="G142" s="301">
        <f t="shared" si="0"/>
        <v>0.24199999999999999</v>
      </c>
      <c r="H142" s="301">
        <f t="shared" si="0"/>
        <v>1.4999999999999999E-2</v>
      </c>
      <c r="I142" s="301">
        <f t="shared" si="0"/>
        <v>34703.5</v>
      </c>
      <c r="J142" s="301">
        <f t="shared" si="0"/>
        <v>63.5</v>
      </c>
    </row>
    <row r="143" spans="1:11" x14ac:dyDescent="0.25">
      <c r="A143" s="43"/>
      <c r="B143" s="44" t="s">
        <v>1181</v>
      </c>
      <c r="C143" s="26">
        <f t="shared" ref="C143:J143" si="1">COUNTIF(C2:C141,"&gt;0")</f>
        <v>55</v>
      </c>
      <c r="D143" s="26">
        <f t="shared" si="1"/>
        <v>52</v>
      </c>
      <c r="E143" s="26">
        <f t="shared" si="1"/>
        <v>47</v>
      </c>
      <c r="F143" s="26">
        <f t="shared" si="1"/>
        <v>43</v>
      </c>
      <c r="G143" s="26">
        <f t="shared" si="1"/>
        <v>2</v>
      </c>
      <c r="H143" s="26">
        <f t="shared" si="1"/>
        <v>1</v>
      </c>
      <c r="I143" s="26">
        <f t="shared" si="1"/>
        <v>1</v>
      </c>
      <c r="J143" s="26">
        <f t="shared" si="1"/>
        <v>3</v>
      </c>
    </row>
    <row r="144" spans="1:11" ht="15.75" thickBot="1" x14ac:dyDescent="0.3">
      <c r="A144" s="152"/>
      <c r="B144" s="153" t="s">
        <v>1196</v>
      </c>
      <c r="C144" s="310">
        <f>7000/100000</f>
        <v>7.0000000000000007E-2</v>
      </c>
      <c r="D144" s="310">
        <f>350000/100000</f>
        <v>3.5</v>
      </c>
      <c r="E144" s="310">
        <f>1220000/100000</f>
        <v>12.2</v>
      </c>
      <c r="F144" s="310">
        <v>10</v>
      </c>
      <c r="G144" s="310"/>
      <c r="H144" s="310"/>
      <c r="I144" s="310"/>
      <c r="J144" s="310"/>
    </row>
    <row r="145" spans="1:10" ht="15.75" thickTop="1" x14ac:dyDescent="0.25">
      <c r="A145" s="154"/>
      <c r="B145" s="157" t="s">
        <v>1281</v>
      </c>
      <c r="C145" s="156">
        <f>IF(ISBLANK(C$144),"",COUNTIF(C$2:C$141,"&lt;"&amp;TEXT(C$144,"0,00"))-COUNTIF(C$2:C$141,"=0,00"))</f>
        <v>7</v>
      </c>
      <c r="D145" s="156">
        <f>IF(ISBLANK(D$144),"",COUNTIF(D$2:D$141,"&lt;"&amp;TEXT(D$144,"0,00"))-COUNTIF(D$2:D$141,"=0,00"))</f>
        <v>2</v>
      </c>
      <c r="E145" s="156">
        <f>IF(ISBLANK(E$144),"",COUNTIF(E$2:E$141,"&lt;"&amp;TEXT(E$144,"0,00"))-COUNTIF(E$2:E$141,"=0,00"))</f>
        <v>6</v>
      </c>
      <c r="F145" s="156">
        <f>IF(ISBLANK(F$144),"",COUNTIF(F$2:F$141,"&lt;"&amp;TEXT(F$144,"0,00"))-COUNTIF(F$2:F$141,"=0,00"))</f>
        <v>0</v>
      </c>
      <c r="G145" s="155" t="str">
        <f>IF(ISBLANK(G$144),"",COUNTIF(G$2:G$141,"&lt;"&amp;TEXT(G$144,"0"))-COUNTIF(G$2:G$141,"=0"))</f>
        <v/>
      </c>
      <c r="H145" s="156" t="str">
        <f>IF(ISBLANK(H$144),"",COUNTIF(H$2:H$141,"&lt;"&amp;TEXT(H$144,"0"))-COUNTIF(H$2:H$141,"=0"))</f>
        <v/>
      </c>
      <c r="I145" s="156" t="str">
        <f>IF(ISBLANK(I$144),"",COUNTIF(I$2:I$141,"&lt;"&amp;TEXT(I$144,"0"))-COUNTIF(I$2:I$141,"=0"))</f>
        <v/>
      </c>
      <c r="J145" s="156" t="str">
        <f>IF(ISBLANK(J$144),"",COUNTIF(J$2:J$141,"&lt;"&amp;TEXT(J$144,"0"))-COUNTIF(J$2:J$141,"=0"))</f>
        <v/>
      </c>
    </row>
    <row r="146" spans="1:10" x14ac:dyDescent="0.25">
      <c r="A146" s="128"/>
      <c r="B146" s="158" t="s">
        <v>1282</v>
      </c>
      <c r="C146" s="353">
        <f>IF(ISBLANK(C$144),"",SUMIF(C$2:C$141,"&lt;"&amp;TEXT(C$144,"0,00")))</f>
        <v>0.31319999999999998</v>
      </c>
      <c r="D146" s="353">
        <f>IF(ISBLANK(D$144),"",SUMIF(D$2:D$141,"&lt;"&amp;TEXT(D$144,"0,00")))</f>
        <v>4</v>
      </c>
      <c r="E146" s="353">
        <f>IF(ISBLANK(E$144),"",SUMIF(E$2:E$141,"&lt;"&amp;TEXT(E$144,"0,00")))</f>
        <v>61.5</v>
      </c>
      <c r="F146" s="353">
        <f>IF(ISBLANK(F$144),"",SUMIF(F$2:F$141,"&lt;"&amp;TEXT(F$144,"0,00")))</f>
        <v>0</v>
      </c>
      <c r="G146" s="132" t="str">
        <f>IF(ISBLANK(G$144),"",SUMIF(G$2:G$141,"&lt;"&amp;TEXT(G$144,"0")))</f>
        <v/>
      </c>
      <c r="H146" s="130" t="str">
        <f>IF(ISBLANK(H$144),"",SUMIF(H$2:H$141,"&lt;"&amp;TEXT(H$144,"0")))</f>
        <v/>
      </c>
      <c r="I146" s="130" t="str">
        <f>IF(ISBLANK(I$144),"",SUMIF(I$2:I$141,"&lt;"&amp;TEXT(I$144,"0")))</f>
        <v/>
      </c>
      <c r="J146" s="130" t="str">
        <f>IF(ISBLANK(J$144),"",SUMIF(J$2:J$141,"&lt;"&amp;TEXT(J$144,"0")))</f>
        <v/>
      </c>
    </row>
    <row r="147" spans="1:10" x14ac:dyDescent="0.25">
      <c r="B147" s="159" t="s">
        <v>1283</v>
      </c>
      <c r="C147" s="129">
        <f>IF(ISBLANK(C$144),"",COUNTIF(C$2:C$141,"="&amp;TEXT(C$144,"0,00")))</f>
        <v>46</v>
      </c>
      <c r="D147" s="129">
        <f>IF(ISBLANK(D$144),"",COUNTIF(D$2:D$141,"="&amp;TEXT(D$144,"0,00")))</f>
        <v>43</v>
      </c>
      <c r="E147" s="129">
        <f>IF(ISBLANK(E$144),"",COUNTIF(E$2:E$141,"="&amp;TEXT(E$144,"0,00")))</f>
        <v>37</v>
      </c>
      <c r="F147" s="129">
        <f>IF(ISBLANK(F$144),"",COUNTIF(F$2:F$141,"="&amp;TEXT(F$144,"0,00")))</f>
        <v>38</v>
      </c>
      <c r="G147" s="131" t="str">
        <f>IF(ISBLANK(G$144),"",COUNTIF(G$2:G$141,"="&amp;TEXT(G$144,"0")))</f>
        <v/>
      </c>
      <c r="H147" s="129" t="str">
        <f>IF(ISBLANK(H$144),"",COUNTIF(H$2:H$141,"="&amp;TEXT(H$144,"0")))</f>
        <v/>
      </c>
      <c r="I147" s="129" t="str">
        <f>IF(ISBLANK(I$144),"",COUNTIF(I$2:I$141,"="&amp;TEXT(I$144,"0")))</f>
        <v/>
      </c>
      <c r="J147" s="129" t="str">
        <f>IF(ISBLANK(J$144),"",COUNTIF(J$2:J$141,"="&amp;TEXT(J$144,"0")))</f>
        <v/>
      </c>
    </row>
    <row r="148" spans="1:10" x14ac:dyDescent="0.25">
      <c r="B148" s="159" t="s">
        <v>1282</v>
      </c>
      <c r="C148" s="353">
        <f>IF(ISBLANK(C$144),"",SUMIF(C$2:C$141,"="&amp;TEXT(C$144,"0,00")))</f>
        <v>3.2199999999999984</v>
      </c>
      <c r="D148" s="353">
        <f>IF(ISBLANK(D$144),"",SUMIF(D$2:D$141,"="&amp;TEXT(D$144,"0,00")))</f>
        <v>150.5</v>
      </c>
      <c r="E148" s="353">
        <f>IF(ISBLANK(E$144),"",SUMIF(E$2:E$141,"="&amp;TEXT(E$144,"0,00")))</f>
        <v>451.39999999999975</v>
      </c>
      <c r="F148" s="353">
        <f>IF(ISBLANK(F$144),"",SUMIF(F$2:F$141,"="&amp;TEXT(F$144,"0,00")))</f>
        <v>380</v>
      </c>
      <c r="G148" s="132" t="str">
        <f>IF(ISBLANK(G$144),"",SUMIF(G$2:G$141,"="&amp;TEXT(G$144,"0")))</f>
        <v/>
      </c>
      <c r="H148" s="130" t="str">
        <f>IF(ISBLANK(H$144),"",SUMIF(H$2:H$141,"="&amp;TEXT(H$144,"0")))</f>
        <v/>
      </c>
      <c r="I148" s="130" t="str">
        <f>IF(ISBLANK(I$144),"",SUMIF(I$2:I$141,"="&amp;TEXT(I$144,"0")))</f>
        <v/>
      </c>
      <c r="J148" s="130" t="str">
        <f>IF(ISBLANK(J$144),"",SUMIF(J$2:J$141,"="&amp;TEXT(J$144,"0")))</f>
        <v/>
      </c>
    </row>
    <row r="149" spans="1:10" x14ac:dyDescent="0.25">
      <c r="A149" s="127"/>
      <c r="B149" s="160" t="s">
        <v>1284</v>
      </c>
      <c r="C149" s="129">
        <f>IF(ISBLANK(C$144),"",COUNTIF(C$2:C$141,"&gt;"&amp;TEXT(C$144,"0,00")))</f>
        <v>2</v>
      </c>
      <c r="D149" s="129">
        <f>IF(ISBLANK(D$144),"",COUNTIF(D$2:D$141,"&gt;"&amp;TEXT(D$144,"0,00")))</f>
        <v>7</v>
      </c>
      <c r="E149" s="129">
        <f>IF(ISBLANK(E$144),"",COUNTIF(E$2:E$141,"&gt;"&amp;TEXT(E$144,"0,00")))</f>
        <v>4</v>
      </c>
      <c r="F149" s="129">
        <f>IF(ISBLANK(F$144),"",COUNTIF(F$2:F$141,"&gt;"&amp;TEXT(F$144,"0,00")))</f>
        <v>5</v>
      </c>
      <c r="G149" s="131" t="str">
        <f>IF(ISBLANK(G$144),"",COUNTIF(G$2:G$141,"&gt;"&amp;TEXT(G$144,"0")))</f>
        <v/>
      </c>
      <c r="H149" s="129" t="str">
        <f>IF(ISBLANK(H$144),"",COUNTIF(H$2:H$141,"&gt;"&amp;TEXT(H$144,"0")))</f>
        <v/>
      </c>
      <c r="I149" s="129" t="str">
        <f>IF(ISBLANK(I$144),"",COUNTIF(I$2:I$141,"&gt;"&amp;TEXT(I$144,"0")))</f>
        <v/>
      </c>
      <c r="J149" s="129" t="str">
        <f>IF(ISBLANK(J$144),"",COUNTIF(J$2:J$141,"&gt;"&amp;TEXT(J$144,"0")))</f>
        <v/>
      </c>
    </row>
    <row r="150" spans="1:10" x14ac:dyDescent="0.25">
      <c r="A150" s="128"/>
      <c r="B150" s="158" t="s">
        <v>1282</v>
      </c>
      <c r="C150" s="353">
        <f>IF(ISBLANK(C$144),"",SUMIF(C$2:C$141,"&gt;"&amp;TEXT(C$144,"0,00")))</f>
        <v>0.17499999999999999</v>
      </c>
      <c r="D150" s="353">
        <f>IF(ISBLANK(D$144),"",SUMIF(D$2:D$141,"&gt;"&amp;TEXT(D$144,"0,00")))</f>
        <v>30.6</v>
      </c>
      <c r="E150" s="353">
        <f>IF(ISBLANK(E$144),"",SUMIF(E$2:E$141,"&gt;"&amp;TEXT(E$144,"0,00")))</f>
        <v>53.5</v>
      </c>
      <c r="F150" s="353">
        <f>IF(ISBLANK(F$144),"",SUMIF(F$2:F$141,"&gt;"&amp;TEXT(F$144,"0,00")))</f>
        <v>217</v>
      </c>
      <c r="G150" s="132" t="str">
        <f>IF(ISBLANK(G$144),"",SUMIF(G$2:G$141,"&gt;"&amp;TEXT(G$144,"0")))</f>
        <v/>
      </c>
      <c r="H150" s="130" t="str">
        <f>IF(ISBLANK(H$144),"",SUMIF(H$2:H$141,"&gt;"&amp;TEXT(H$144,"0")))</f>
        <v/>
      </c>
      <c r="I150" s="130" t="str">
        <f>IF(ISBLANK(I$144),"",SUMIF(I$2:I$141,"&gt;"&amp;TEXT(I$144,"0")))</f>
        <v/>
      </c>
      <c r="J150" s="130" t="str">
        <f>IF(ISBLANK(J$144),"",SUMIF(J$2:J$141,"&gt;"&amp;TEXT(J$144,"0")))</f>
        <v/>
      </c>
    </row>
    <row r="151" spans="1:10" x14ac:dyDescent="0.25">
      <c r="A151" s="43"/>
      <c r="B151" s="163" t="s">
        <v>1285</v>
      </c>
      <c r="C151" s="179">
        <f t="shared" ref="C151:J151" si="2">IF(OR(ISBLANK(C$144),C$143=0),"",ROUND(C142/C144,1))</f>
        <v>53</v>
      </c>
      <c r="D151" s="179">
        <f t="shared" si="2"/>
        <v>52.9</v>
      </c>
      <c r="E151" s="179">
        <f t="shared" si="2"/>
        <v>46.4</v>
      </c>
      <c r="F151" s="179">
        <f t="shared" si="2"/>
        <v>59.7</v>
      </c>
      <c r="G151" s="179" t="str">
        <f t="shared" si="2"/>
        <v/>
      </c>
      <c r="H151" s="179" t="str">
        <f t="shared" si="2"/>
        <v/>
      </c>
      <c r="I151" s="179" t="str">
        <f t="shared" si="2"/>
        <v/>
      </c>
      <c r="J151" s="179" t="str">
        <f t="shared" si="2"/>
        <v/>
      </c>
    </row>
    <row r="152" spans="1:10" x14ac:dyDescent="0.25">
      <c r="B152" s="620" t="s">
        <v>3</v>
      </c>
      <c r="C152" s="621">
        <v>42917</v>
      </c>
      <c r="D152" s="621">
        <v>43221</v>
      </c>
      <c r="E152" s="621">
        <v>43282</v>
      </c>
      <c r="F152" s="621">
        <v>43374</v>
      </c>
      <c r="G152" s="621"/>
      <c r="H152" s="621"/>
      <c r="I152" s="621"/>
      <c r="J152" s="621"/>
    </row>
    <row r="153" spans="1:10" x14ac:dyDescent="0.25">
      <c r="B153" s="620" t="s">
        <v>1286</v>
      </c>
      <c r="C153" s="622">
        <f>IF(VLOOKUP(C152,CUOTAS!$A$3:$E$73,1)=C152,VLOOKUP(C152,CUOTAS!$A$3:$E$73,5),1)</f>
        <v>19938.2</v>
      </c>
      <c r="D153" s="622">
        <f>IF(VLOOKUP(D152,CUOTAS!$A$3:$E$73,1)=D152,VLOOKUP(D152,CUOTAS!$A$3:$E$73,5),1)</f>
        <v>942481</v>
      </c>
      <c r="E153" s="622">
        <f>IF(VLOOKUP(E152,CUOTAS!$A$3:$E$73,1)=E152,VLOOKUP(E152,CUOTAS!$A$3:$E$73,5),1)</f>
        <v>3362789.7</v>
      </c>
      <c r="F153" s="622">
        <f>IF(VLOOKUP(F152,CUOTAS!$A$3:$E$73,1)=F152,VLOOKUP(F152,CUOTAS!$A$3:$E$73,5),1)</f>
        <v>25355573.699999999</v>
      </c>
      <c r="G153" s="622" t="e">
        <f>IF(VLOOKUP(G152,CUOTAS!$A$3:$E$73,1)=G152,VLOOKUP(G152,CUOTAS!$A$3:$E$73,5),1)</f>
        <v>#N/A</v>
      </c>
      <c r="H153" s="622" t="e">
        <f>IF(VLOOKUP(H152,CUOTAS!$A$3:$E$73,1)=H152,VLOOKUP(H152,CUOTAS!$A$3:$E$73,5),1)</f>
        <v>#N/A</v>
      </c>
      <c r="I153" s="622" t="e">
        <f>IF(VLOOKUP(I152,CUOTAS!$A$3:$E$73,1)=I152,VLOOKUP(I152,CUOTAS!$A$3:$E$73,5),1)</f>
        <v>#N/A</v>
      </c>
      <c r="J153" s="622" t="e">
        <f>IF(VLOOKUP(J152,CUOTAS!$A$3:$E$73,1)=J152,VLOOKUP(J152,CUOTAS!$A$3:$E$73,5),1)</f>
        <v>#N/A</v>
      </c>
    </row>
    <row r="154" spans="1:10" x14ac:dyDescent="0.25">
      <c r="B154" s="620" t="s">
        <v>1287</v>
      </c>
      <c r="C154" s="322">
        <f>(CUOTAS!$I$1-'RESUMEN OTROS'!C153)/'RESUMEN OTROS'!C153*'RESUMEN OTROS'!C144</f>
        <v>37607.855951590413</v>
      </c>
      <c r="D154" s="322">
        <f>(CUOTAS!$I$1-'RESUMEN OTROS'!D153)/'RESUMEN OTROS'!D153*'RESUMEN OTROS'!D144</f>
        <v>39776.312495318212</v>
      </c>
      <c r="E154" s="322">
        <f>(CUOTAS!$I$1-'RESUMEN OTROS'!E153)/'RESUMEN OTROS'!E153*'RESUMEN OTROS'!E144</f>
        <v>38850.002756146176</v>
      </c>
      <c r="F154" s="322">
        <f>(CUOTAS!$I$1-'RESUMEN OTROS'!F153)/'RESUMEN OTROS'!F153*'RESUMEN OTROS'!F144</f>
        <v>4214.680301514928</v>
      </c>
      <c r="G154" s="322">
        <f>IFERROR((CUOTAS!$I$1-'RESUMEN OTROS'!G153)/'RESUMEN OTROS'!G153,1)*'RESUMEN OTROS'!G144</f>
        <v>0</v>
      </c>
      <c r="H154" s="322">
        <f>IFERROR((CUOTAS!$I$1-'RESUMEN OTROS'!H153)/'RESUMEN OTROS'!H153,1)*'RESUMEN OTROS'!H144</f>
        <v>0</v>
      </c>
      <c r="I154" s="322">
        <f>IFERROR((CUOTAS!$I$1-'RESUMEN OTROS'!I153)/'RESUMEN OTROS'!I153,1)*'RESUMEN OTROS'!I144</f>
        <v>0</v>
      </c>
      <c r="J154" s="322">
        <f>IFERROR((CUOTAS!$I$1-'RESUMEN OTROS'!J153)/'RESUMEN OTROS'!J153,1)*'RESUMEN OTROS'!J144</f>
        <v>0</v>
      </c>
    </row>
  </sheetData>
  <autoFilter ref="A1:J151"/>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1:R29"/>
  <sheetViews>
    <sheetView showGridLines="0" zoomScaleNormal="150" zoomScaleSheetLayoutView="100" workbookViewId="0">
      <selection activeCell="A3" sqref="A3"/>
    </sheetView>
  </sheetViews>
  <sheetFormatPr baseColWidth="10" defaultColWidth="9.140625" defaultRowHeight="15" x14ac:dyDescent="0.2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x14ac:dyDescent="0.35">
      <c r="B1" s="147" t="s">
        <v>1288</v>
      </c>
    </row>
    <row r="2" spans="2:18" s="148" customFormat="1" ht="8.1" customHeight="1" x14ac:dyDescent="0.25"/>
    <row r="3" spans="2:18" ht="8.1" customHeight="1" x14ac:dyDescent="0.25">
      <c r="B3" s="133"/>
      <c r="C3" s="134"/>
      <c r="D3" s="134"/>
      <c r="E3" s="134"/>
      <c r="F3" s="135"/>
      <c r="H3" s="133"/>
      <c r="I3" s="134"/>
      <c r="J3" s="134"/>
      <c r="K3" s="134"/>
      <c r="L3" s="135"/>
      <c r="N3" s="133"/>
      <c r="O3" s="134"/>
      <c r="P3" s="134"/>
      <c r="Q3" s="134"/>
      <c r="R3" s="135"/>
    </row>
    <row r="4" spans="2:18" s="144" customFormat="1" ht="15.75" x14ac:dyDescent="0.25">
      <c r="B4" s="145"/>
      <c r="C4" s="666" t="s">
        <v>1289</v>
      </c>
      <c r="D4" s="666"/>
      <c r="E4" s="666"/>
      <c r="F4" s="146"/>
      <c r="H4" s="145"/>
      <c r="I4" s="666" t="s">
        <v>1290</v>
      </c>
      <c r="J4" s="666"/>
      <c r="K4" s="666"/>
      <c r="L4" s="146"/>
      <c r="N4" s="145"/>
      <c r="O4" s="666" t="s">
        <v>1291</v>
      </c>
      <c r="P4" s="666"/>
      <c r="Q4" s="666"/>
      <c r="R4" s="146"/>
    </row>
    <row r="5" spans="2:18" s="151" customFormat="1" ht="20.100000000000001" customHeight="1" x14ac:dyDescent="0.25">
      <c r="B5" s="149"/>
      <c r="C5" s="345" t="s">
        <v>1292</v>
      </c>
      <c r="D5" s="665" t="str">
        <f>"Cuota: Bs. "&amp;TEXT('RESUMEN OTROS'!D$144,"#.##0,00")</f>
        <v>Cuota: Bs. 3,50</v>
      </c>
      <c r="E5" s="665"/>
      <c r="F5" s="150"/>
      <c r="H5" s="149"/>
      <c r="I5" s="345" t="s">
        <v>1293</v>
      </c>
      <c r="J5" s="665" t="str">
        <f>"Cuota: Bs. "&amp;TEXT('RESUMEN OTROS'!E$144,"#.##0,00")</f>
        <v>Cuota: Bs. 12,20</v>
      </c>
      <c r="K5" s="665"/>
      <c r="L5" s="150"/>
      <c r="N5" s="149"/>
      <c r="O5" s="345" t="s">
        <v>1294</v>
      </c>
      <c r="P5" s="665" t="str">
        <f>"Cuota: Bs. "&amp;TEXT('RESUMEN OTROS'!F144,"#.##0,00")</f>
        <v>Cuota: Bs. 10,00</v>
      </c>
      <c r="Q5" s="665"/>
      <c r="R5" s="150"/>
    </row>
    <row r="6" spans="2:18" x14ac:dyDescent="0.25">
      <c r="B6" s="136"/>
      <c r="C6" s="137" t="s">
        <v>1295</v>
      </c>
      <c r="D6" s="138"/>
      <c r="E6" s="138"/>
      <c r="F6" s="139"/>
      <c r="H6" s="136"/>
      <c r="I6" s="137" t="s">
        <v>1295</v>
      </c>
      <c r="J6" s="138"/>
      <c r="K6" s="138"/>
      <c r="L6" s="139"/>
      <c r="N6" s="136"/>
      <c r="O6" s="137" t="s">
        <v>1295</v>
      </c>
      <c r="P6" s="138"/>
      <c r="Q6" s="138"/>
      <c r="R6" s="139"/>
    </row>
    <row r="7" spans="2:18" x14ac:dyDescent="0.25">
      <c r="B7" s="136"/>
      <c r="C7" s="138" t="str">
        <f>" - "&amp;TEXT('RESUMEN OTROS'!D145,"0")&amp;" pagos inferiores a la cuota"</f>
        <v xml:space="preserve"> - 2 pagos inferiores a la cuota</v>
      </c>
      <c r="D7" s="138"/>
      <c r="E7" s="311">
        <f>'RESUMEN OTROS'!D146</f>
        <v>4</v>
      </c>
      <c r="F7" s="139"/>
      <c r="H7" s="136"/>
      <c r="I7" s="138" t="str">
        <f>" - "&amp;TEXT('RESUMEN OTROS'!E145,"0")&amp;" pagos inferiores a la cuota"</f>
        <v xml:space="preserve"> - 6 pagos inferiores a la cuota</v>
      </c>
      <c r="J7" s="138"/>
      <c r="K7" s="311">
        <f>'RESUMEN OTROS'!E146</f>
        <v>61.5</v>
      </c>
      <c r="L7" s="139"/>
      <c r="N7" s="136"/>
      <c r="O7" s="138" t="str">
        <f>" - "&amp;TEXT('RESUMEN OTROS'!F145,"0")&amp;" pagos inferiores a la cuota"</f>
        <v xml:space="preserve"> - 0 pagos inferiores a la cuota</v>
      </c>
      <c r="P7" s="138"/>
      <c r="Q7" s="311">
        <f>'RESUMEN OTROS'!F146</f>
        <v>0</v>
      </c>
      <c r="R7" s="139"/>
    </row>
    <row r="8" spans="2:18" x14ac:dyDescent="0.25">
      <c r="B8" s="136"/>
      <c r="C8" s="138" t="str">
        <f>" - "&amp;TEXT('RESUMEN OTROS'!D147,"0")&amp;" cuotas recibidas"</f>
        <v xml:space="preserve"> - 43 cuotas recibidas</v>
      </c>
      <c r="D8" s="138"/>
      <c r="E8" s="311">
        <f>'RESUMEN OTROS'!D148</f>
        <v>150.5</v>
      </c>
      <c r="F8" s="139"/>
      <c r="H8" s="136"/>
      <c r="I8" s="138" t="str">
        <f>" - "&amp;TEXT('RESUMEN OTROS'!E147,"0")&amp;" cuotas recibidas"</f>
        <v xml:space="preserve"> - 37 cuotas recibidas</v>
      </c>
      <c r="J8" s="138"/>
      <c r="K8" s="311">
        <f>'RESUMEN OTROS'!E148</f>
        <v>451.39999999999975</v>
      </c>
      <c r="L8" s="139"/>
      <c r="N8" s="136"/>
      <c r="O8" s="138" t="str">
        <f>" - "&amp;TEXT('RESUMEN OTROS'!F147,"0")&amp;" cuotas recibidas"</f>
        <v xml:space="preserve"> - 38 cuotas recibidas</v>
      </c>
      <c r="P8" s="138"/>
      <c r="Q8" s="311">
        <f>'RESUMEN OTROS'!F148</f>
        <v>380</v>
      </c>
      <c r="R8" s="139"/>
    </row>
    <row r="9" spans="2:18" x14ac:dyDescent="0.25">
      <c r="B9" s="136"/>
      <c r="C9" s="138" t="str">
        <f>" - "&amp;TEXT('RESUMEN OTROS'!D149,"0")&amp;" pagos superiores a la cuota"</f>
        <v xml:space="preserve"> - 7 pagos superiores a la cuota</v>
      </c>
      <c r="D9" s="138"/>
      <c r="E9" s="312">
        <f>'RESUMEN OTROS'!D150</f>
        <v>30.6</v>
      </c>
      <c r="F9" s="139"/>
      <c r="H9" s="136"/>
      <c r="I9" s="138" t="str">
        <f>" - "&amp;TEXT('RESUMEN OTROS'!E149,"0")&amp;" pagos superiores a la cuota"</f>
        <v xml:space="preserve"> - 4 pagos superiores a la cuota</v>
      </c>
      <c r="J9" s="138"/>
      <c r="K9" s="312">
        <f>'RESUMEN OTROS'!E150</f>
        <v>53.5</v>
      </c>
      <c r="L9" s="139"/>
      <c r="N9" s="136"/>
      <c r="O9" s="138" t="str">
        <f>" - "&amp;TEXT('RESUMEN OTROS'!F149,"0")&amp;" pagos superiores a la cuota"</f>
        <v xml:space="preserve"> - 5 pagos superiores a la cuota</v>
      </c>
      <c r="P9" s="138"/>
      <c r="Q9" s="312">
        <f>'RESUMEN OTROS'!F150</f>
        <v>217</v>
      </c>
      <c r="R9" s="139"/>
    </row>
    <row r="10" spans="2:18" x14ac:dyDescent="0.25">
      <c r="B10" s="136"/>
      <c r="C10" s="138" t="s">
        <v>1296</v>
      </c>
      <c r="D10" s="138"/>
      <c r="E10" s="311">
        <f>SUM(E7:E9)</f>
        <v>185.1</v>
      </c>
      <c r="F10" s="139"/>
      <c r="H10" s="136"/>
      <c r="I10" s="138" t="s">
        <v>1296</v>
      </c>
      <c r="J10" s="138"/>
      <c r="K10" s="311">
        <f>SUM(K7:K9)</f>
        <v>566.39999999999975</v>
      </c>
      <c r="L10" s="139"/>
      <c r="N10" s="136"/>
      <c r="O10" s="138" t="s">
        <v>1296</v>
      </c>
      <c r="P10" s="138"/>
      <c r="Q10" s="311">
        <f>SUM(Q7:Q9)</f>
        <v>597</v>
      </c>
      <c r="R10" s="139"/>
    </row>
    <row r="11" spans="2:18" x14ac:dyDescent="0.25">
      <c r="B11" s="136"/>
      <c r="C11" s="138"/>
      <c r="D11" s="138"/>
      <c r="E11" s="311"/>
      <c r="F11" s="139"/>
      <c r="H11" s="136"/>
      <c r="I11" s="138"/>
      <c r="J11" s="138"/>
      <c r="K11" s="311"/>
      <c r="L11" s="139"/>
      <c r="N11" s="136"/>
      <c r="O11" s="138"/>
      <c r="P11" s="138"/>
      <c r="Q11" s="311"/>
      <c r="R11" s="139"/>
    </row>
    <row r="12" spans="2:18" x14ac:dyDescent="0.25">
      <c r="B12" s="136"/>
      <c r="C12" s="137" t="s">
        <v>1297</v>
      </c>
      <c r="D12" s="138"/>
      <c r="E12" s="311"/>
      <c r="F12" s="139"/>
      <c r="H12" s="136"/>
      <c r="I12" s="137" t="s">
        <v>1297</v>
      </c>
      <c r="J12" s="138"/>
      <c r="K12" s="311"/>
      <c r="L12" s="139"/>
      <c r="N12" s="136"/>
      <c r="O12" s="137" t="s">
        <v>1297</v>
      </c>
      <c r="P12" s="138"/>
      <c r="Q12" s="311"/>
      <c r="R12" s="139"/>
    </row>
    <row r="13" spans="2:18" x14ac:dyDescent="0.25">
      <c r="B13" s="136"/>
      <c r="C13" s="138" t="s">
        <v>1298</v>
      </c>
      <c r="D13" s="138"/>
      <c r="E13" s="311">
        <v>70</v>
      </c>
      <c r="F13" s="139"/>
      <c r="H13" s="136"/>
      <c r="I13" s="138" t="s">
        <v>1299</v>
      </c>
      <c r="J13" s="138"/>
      <c r="K13" s="311">
        <v>60</v>
      </c>
      <c r="L13" s="139"/>
      <c r="N13" s="136"/>
      <c r="O13" s="138" t="s">
        <v>1299</v>
      </c>
      <c r="P13" s="138"/>
      <c r="Q13" s="311">
        <v>300</v>
      </c>
      <c r="R13" s="139"/>
    </row>
    <row r="14" spans="2:18" x14ac:dyDescent="0.25">
      <c r="B14" s="136"/>
      <c r="C14" s="138" t="s">
        <v>1300</v>
      </c>
      <c r="D14" s="138"/>
      <c r="E14" s="311">
        <v>15.1</v>
      </c>
      <c r="F14" s="139"/>
      <c r="H14" s="136"/>
      <c r="I14" s="138" t="s">
        <v>1301</v>
      </c>
      <c r="J14" s="138"/>
      <c r="K14" s="311">
        <v>560</v>
      </c>
      <c r="L14" s="139"/>
      <c r="N14" s="136"/>
      <c r="O14" s="138"/>
      <c r="P14" s="138"/>
      <c r="Q14" s="311"/>
      <c r="R14" s="139"/>
    </row>
    <row r="15" spans="2:18" x14ac:dyDescent="0.25">
      <c r="B15" s="136"/>
      <c r="C15" s="138" t="s">
        <v>1302</v>
      </c>
      <c r="D15" s="138"/>
      <c r="E15" s="311">
        <v>19</v>
      </c>
      <c r="F15" s="139"/>
      <c r="H15" s="136"/>
      <c r="I15" s="138"/>
      <c r="J15" s="138"/>
      <c r="K15" s="311"/>
      <c r="L15" s="139"/>
      <c r="N15" s="136"/>
      <c r="O15" s="138"/>
      <c r="P15" s="138"/>
      <c r="Q15" s="311"/>
      <c r="R15" s="139"/>
    </row>
    <row r="16" spans="2:18" x14ac:dyDescent="0.25">
      <c r="B16" s="136"/>
      <c r="C16" s="138" t="s">
        <v>1303</v>
      </c>
      <c r="D16" s="138"/>
      <c r="E16" s="311">
        <v>30</v>
      </c>
      <c r="F16" s="139"/>
      <c r="H16" s="136"/>
      <c r="I16" s="138"/>
      <c r="J16" s="138"/>
      <c r="K16" s="311"/>
      <c r="L16" s="139"/>
      <c r="N16" s="136"/>
      <c r="O16" s="138"/>
      <c r="P16" s="138"/>
      <c r="Q16" s="311"/>
      <c r="R16" s="139"/>
    </row>
    <row r="17" spans="2:18" x14ac:dyDescent="0.25">
      <c r="B17" s="136"/>
      <c r="C17" s="138" t="s">
        <v>1304</v>
      </c>
      <c r="D17" s="138"/>
      <c r="E17" s="311">
        <v>5.7</v>
      </c>
      <c r="F17" s="139"/>
      <c r="H17" s="136"/>
      <c r="I17" s="138"/>
      <c r="J17" s="138"/>
      <c r="K17" s="311"/>
      <c r="L17" s="139"/>
      <c r="N17" s="136"/>
      <c r="O17" s="138"/>
      <c r="P17" s="138"/>
      <c r="Q17" s="311"/>
      <c r="R17" s="139"/>
    </row>
    <row r="18" spans="2:18" x14ac:dyDescent="0.25">
      <c r="B18" s="136"/>
      <c r="C18" s="138" t="s">
        <v>1305</v>
      </c>
      <c r="D18" s="138"/>
      <c r="E18" s="312">
        <v>4.2</v>
      </c>
      <c r="F18" s="139"/>
      <c r="H18" s="136"/>
      <c r="I18" s="138"/>
      <c r="J18" s="138"/>
      <c r="K18" s="312"/>
      <c r="L18" s="139"/>
      <c r="N18" s="136"/>
      <c r="O18" s="138"/>
      <c r="P18" s="138"/>
      <c r="Q18" s="312"/>
      <c r="R18" s="139"/>
    </row>
    <row r="19" spans="2:18" x14ac:dyDescent="0.25">
      <c r="B19" s="136"/>
      <c r="C19" s="138" t="s">
        <v>1306</v>
      </c>
      <c r="D19" s="138"/>
      <c r="E19" s="311">
        <f>SUM(E13:E18)</f>
        <v>143.99999999999997</v>
      </c>
      <c r="F19" s="139"/>
      <c r="H19" s="136"/>
      <c r="I19" s="138" t="s">
        <v>1306</v>
      </c>
      <c r="J19" s="138"/>
      <c r="K19" s="311">
        <f>SUM(K13:K18)</f>
        <v>620</v>
      </c>
      <c r="L19" s="139"/>
      <c r="N19" s="136"/>
      <c r="O19" s="138" t="s">
        <v>1306</v>
      </c>
      <c r="P19" s="138"/>
      <c r="Q19" s="311">
        <f>SUM(Q13:Q18)</f>
        <v>300</v>
      </c>
      <c r="R19" s="139"/>
    </row>
    <row r="20" spans="2:18" x14ac:dyDescent="0.25">
      <c r="B20" s="136"/>
      <c r="C20" s="138"/>
      <c r="D20" s="138"/>
      <c r="E20" s="311"/>
      <c r="F20" s="139"/>
      <c r="H20" s="136"/>
      <c r="I20" s="138"/>
      <c r="J20" s="138"/>
      <c r="K20" s="311"/>
      <c r="L20" s="139"/>
      <c r="N20" s="136"/>
      <c r="O20" s="138"/>
      <c r="P20" s="138"/>
      <c r="Q20" s="311"/>
      <c r="R20" s="139"/>
    </row>
    <row r="21" spans="2:18" x14ac:dyDescent="0.25">
      <c r="B21" s="136"/>
      <c r="C21" s="137" t="s">
        <v>1307</v>
      </c>
      <c r="D21" s="138"/>
      <c r="E21" s="344">
        <f>E10-E19</f>
        <v>41.100000000000023</v>
      </c>
      <c r="F21" s="139"/>
      <c r="H21" s="136"/>
      <c r="I21" s="137" t="s">
        <v>1307</v>
      </c>
      <c r="J21" s="138"/>
      <c r="K21" s="344">
        <f>K10-K19</f>
        <v>-53.60000000000025</v>
      </c>
      <c r="L21" s="139"/>
      <c r="N21" s="136"/>
      <c r="O21" s="137" t="s">
        <v>1307</v>
      </c>
      <c r="P21" s="138"/>
      <c r="Q21" s="344">
        <f>Q10-Q19</f>
        <v>297</v>
      </c>
      <c r="R21" s="139"/>
    </row>
    <row r="22" spans="2:18" x14ac:dyDescent="0.25">
      <c r="B22" s="136"/>
      <c r="C22" s="138"/>
      <c r="D22" s="138"/>
      <c r="E22" s="138"/>
      <c r="F22" s="139"/>
      <c r="H22" s="136"/>
      <c r="I22" s="138"/>
      <c r="J22" s="138"/>
      <c r="K22" s="138"/>
      <c r="L22" s="139"/>
      <c r="N22" s="136"/>
      <c r="O22" s="138"/>
      <c r="P22" s="138"/>
      <c r="Q22" s="138"/>
      <c r="R22" s="139"/>
    </row>
    <row r="23" spans="2:18" x14ac:dyDescent="0.25">
      <c r="B23" s="136"/>
      <c r="C23" s="137" t="s">
        <v>1308</v>
      </c>
      <c r="D23" s="138"/>
      <c r="E23" s="138"/>
      <c r="F23" s="139"/>
      <c r="H23" s="136"/>
      <c r="I23" s="137" t="s">
        <v>1308</v>
      </c>
      <c r="J23" s="138"/>
      <c r="K23" s="138"/>
      <c r="L23" s="139"/>
      <c r="N23" s="136"/>
      <c r="O23" s="137" t="s">
        <v>1308</v>
      </c>
      <c r="P23" s="138"/>
      <c r="Q23" s="138"/>
      <c r="R23" s="139"/>
    </row>
    <row r="24" spans="2:18" x14ac:dyDescent="0.25">
      <c r="B24" s="136"/>
      <c r="C24" s="138" t="s">
        <v>1309</v>
      </c>
      <c r="D24" s="138"/>
      <c r="E24" s="138"/>
      <c r="F24" s="139"/>
      <c r="H24" s="136"/>
      <c r="I24" s="143"/>
      <c r="J24" s="143"/>
      <c r="K24" s="143"/>
      <c r="L24" s="139"/>
      <c r="N24" s="136"/>
      <c r="O24" s="143"/>
      <c r="P24" s="143"/>
      <c r="Q24" s="143"/>
      <c r="R24" s="139"/>
    </row>
    <row r="25" spans="2:18" x14ac:dyDescent="0.25">
      <c r="B25" s="136"/>
      <c r="C25" s="138" t="s">
        <v>1310</v>
      </c>
      <c r="D25" s="138"/>
      <c r="E25" s="138"/>
      <c r="F25" s="139"/>
      <c r="H25" s="136"/>
      <c r="I25" s="143"/>
      <c r="J25" s="143"/>
      <c r="K25" s="143"/>
      <c r="L25" s="139"/>
      <c r="N25" s="136"/>
      <c r="O25" s="143"/>
      <c r="P25" s="143"/>
      <c r="Q25" s="143"/>
      <c r="R25" s="139"/>
    </row>
    <row r="26" spans="2:18" x14ac:dyDescent="0.25">
      <c r="B26" s="136"/>
      <c r="C26" s="138" t="s">
        <v>1311</v>
      </c>
      <c r="D26" s="138"/>
      <c r="E26" s="138"/>
      <c r="F26" s="139"/>
      <c r="H26" s="136"/>
      <c r="I26" s="143"/>
      <c r="J26" s="143"/>
      <c r="K26" s="143"/>
      <c r="L26" s="139"/>
      <c r="N26" s="136"/>
      <c r="O26" s="143"/>
      <c r="P26" s="143"/>
      <c r="Q26" s="143"/>
      <c r="R26" s="139"/>
    </row>
    <row r="27" spans="2:18" x14ac:dyDescent="0.25">
      <c r="B27" s="136"/>
      <c r="C27" s="138" t="s">
        <v>1312</v>
      </c>
      <c r="D27" s="138"/>
      <c r="E27" s="138"/>
      <c r="F27" s="139"/>
      <c r="H27" s="136"/>
      <c r="I27" s="143"/>
      <c r="J27" s="143"/>
      <c r="K27" s="143"/>
      <c r="L27" s="139"/>
      <c r="N27" s="136"/>
      <c r="O27" s="143"/>
      <c r="P27" s="143"/>
      <c r="Q27" s="143"/>
      <c r="R27" s="139"/>
    </row>
    <row r="28" spans="2:18" x14ac:dyDescent="0.25">
      <c r="B28" s="136"/>
      <c r="C28" s="138" t="s">
        <v>1313</v>
      </c>
      <c r="D28" s="138"/>
      <c r="E28" s="138"/>
      <c r="F28" s="139"/>
      <c r="H28" s="136"/>
      <c r="I28" s="143"/>
      <c r="J28" s="143"/>
      <c r="K28" s="143"/>
      <c r="L28" s="139"/>
      <c r="N28" s="136"/>
      <c r="O28" s="143"/>
      <c r="P28" s="143"/>
      <c r="Q28" s="143"/>
      <c r="R28" s="139"/>
    </row>
    <row r="29" spans="2:18" x14ac:dyDescent="0.25">
      <c r="B29" s="140"/>
      <c r="C29" s="141"/>
      <c r="D29" s="141"/>
      <c r="E29" s="141"/>
      <c r="F29" s="142"/>
      <c r="H29" s="140"/>
      <c r="I29" s="141"/>
      <c r="J29" s="141"/>
      <c r="K29" s="141"/>
      <c r="L29" s="142"/>
      <c r="N29" s="140"/>
      <c r="O29" s="141"/>
      <c r="P29" s="141"/>
      <c r="Q29" s="141"/>
      <c r="R29" s="142"/>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J141"/>
  <sheetViews>
    <sheetView zoomScale="96" zoomScaleNormal="96" workbookViewId="0">
      <pane ySplit="1" topLeftCell="A102" activePane="bottomLeft" state="frozen"/>
      <selection activeCell="A14" sqref="A14"/>
      <selection pane="bottomLeft" activeCell="A106" sqref="A106:C106"/>
    </sheetView>
  </sheetViews>
  <sheetFormatPr baseColWidth="10" defaultColWidth="10.7109375" defaultRowHeight="15" x14ac:dyDescent="0.25"/>
  <cols>
    <col min="1" max="1" width="27.5703125" bestFit="1" customWidth="1"/>
    <col min="2" max="3" width="25.7109375" customWidth="1"/>
    <col min="4" max="4" width="14.7109375" style="522" customWidth="1"/>
    <col min="5" max="5" width="14.7109375" customWidth="1"/>
    <col min="6" max="6" width="20.7109375" customWidth="1"/>
    <col min="7" max="7" width="15.7109375" customWidth="1"/>
    <col min="8" max="8" width="20.7109375" customWidth="1"/>
    <col min="9" max="9" width="15.7109375" customWidth="1"/>
  </cols>
  <sheetData>
    <row r="1" spans="1:9" x14ac:dyDescent="0.25">
      <c r="A1" s="628" t="s">
        <v>5</v>
      </c>
      <c r="B1" s="628" t="s">
        <v>1314</v>
      </c>
      <c r="C1" s="628" t="s">
        <v>7</v>
      </c>
      <c r="D1" s="628" t="s">
        <v>1315</v>
      </c>
      <c r="E1" s="628" t="s">
        <v>1316</v>
      </c>
      <c r="F1" s="628" t="s">
        <v>1317</v>
      </c>
      <c r="G1" s="628" t="s">
        <v>1318</v>
      </c>
      <c r="H1" s="628" t="s">
        <v>1319</v>
      </c>
      <c r="I1" s="628" t="s">
        <v>1320</v>
      </c>
    </row>
    <row r="2" spans="1:9" x14ac:dyDescent="0.25">
      <c r="A2" s="53" t="s">
        <v>248</v>
      </c>
      <c r="B2" s="53" t="s">
        <v>249</v>
      </c>
      <c r="C2" s="53" t="s">
        <v>250</v>
      </c>
      <c r="D2" s="514"/>
      <c r="E2" s="53"/>
      <c r="F2" s="53"/>
      <c r="G2" s="53" t="s">
        <v>1321</v>
      </c>
      <c r="H2" s="53"/>
      <c r="I2" s="53" t="s">
        <v>1322</v>
      </c>
    </row>
    <row r="3" spans="1:9" x14ac:dyDescent="0.25">
      <c r="A3" s="53" t="s">
        <v>270</v>
      </c>
      <c r="B3" s="53" t="s">
        <v>271</v>
      </c>
      <c r="C3" s="53" t="s">
        <v>272</v>
      </c>
      <c r="D3" s="514"/>
      <c r="E3" s="53"/>
      <c r="F3" s="53"/>
      <c r="G3" s="53"/>
      <c r="H3" s="53"/>
      <c r="I3" s="53"/>
    </row>
    <row r="4" spans="1:9" x14ac:dyDescent="0.25">
      <c r="A4" s="53" t="s">
        <v>197</v>
      </c>
      <c r="B4" s="53" t="s">
        <v>198</v>
      </c>
      <c r="C4" s="53" t="s">
        <v>199</v>
      </c>
      <c r="D4" s="514"/>
      <c r="E4" s="53"/>
      <c r="F4" s="53" t="s">
        <v>1323</v>
      </c>
      <c r="G4" s="53" t="s">
        <v>1324</v>
      </c>
      <c r="H4" s="53"/>
      <c r="I4" s="53"/>
    </row>
    <row r="5" spans="1:9" x14ac:dyDescent="0.25">
      <c r="A5" s="53" t="s">
        <v>998</v>
      </c>
      <c r="B5" s="53" t="s">
        <v>999</v>
      </c>
      <c r="C5" s="53" t="s">
        <v>1000</v>
      </c>
      <c r="D5" s="514" t="s">
        <v>1325</v>
      </c>
      <c r="E5" s="53"/>
      <c r="F5" s="53" t="s">
        <v>999</v>
      </c>
      <c r="G5" s="53" t="s">
        <v>1325</v>
      </c>
      <c r="H5" s="53"/>
      <c r="I5" s="53"/>
    </row>
    <row r="6" spans="1:9" x14ac:dyDescent="0.25">
      <c r="A6" s="53" t="s">
        <v>337</v>
      </c>
      <c r="B6" s="53" t="s">
        <v>338</v>
      </c>
      <c r="C6" s="53" t="s">
        <v>339</v>
      </c>
      <c r="D6" s="514"/>
      <c r="E6" s="53"/>
      <c r="F6" s="53" t="s">
        <v>1326</v>
      </c>
      <c r="G6" s="53" t="s">
        <v>1327</v>
      </c>
      <c r="H6" s="53"/>
      <c r="I6" s="53"/>
    </row>
    <row r="7" spans="1:9" x14ac:dyDescent="0.25">
      <c r="A7" s="53" t="s">
        <v>62</v>
      </c>
      <c r="B7" s="53" t="s">
        <v>63</v>
      </c>
      <c r="C7" s="53" t="s">
        <v>64</v>
      </c>
      <c r="D7" s="514"/>
      <c r="E7" s="53"/>
      <c r="F7" s="53" t="s">
        <v>1328</v>
      </c>
      <c r="G7" s="53" t="s">
        <v>1329</v>
      </c>
      <c r="H7" s="53" t="s">
        <v>1330</v>
      </c>
      <c r="I7" s="86" t="s">
        <v>1331</v>
      </c>
    </row>
    <row r="8" spans="1:9" x14ac:dyDescent="0.25">
      <c r="A8" s="87" t="s">
        <v>94</v>
      </c>
      <c r="B8" s="53" t="s">
        <v>1332</v>
      </c>
      <c r="C8" s="53" t="s">
        <v>96</v>
      </c>
      <c r="D8" s="514"/>
      <c r="E8" s="53"/>
      <c r="F8" s="53" t="s">
        <v>1333</v>
      </c>
      <c r="G8" s="53" t="s">
        <v>607</v>
      </c>
      <c r="H8" s="53"/>
      <c r="I8" s="53"/>
    </row>
    <row r="9" spans="1:9" x14ac:dyDescent="0.25">
      <c r="A9" s="53" t="s">
        <v>830</v>
      </c>
      <c r="B9" s="53" t="s">
        <v>831</v>
      </c>
      <c r="C9" s="53" t="s">
        <v>832</v>
      </c>
      <c r="D9" s="514"/>
      <c r="E9" s="53"/>
      <c r="F9" s="53"/>
      <c r="G9" s="53"/>
      <c r="H9" s="53"/>
      <c r="I9" s="53"/>
    </row>
    <row r="10" spans="1:9" x14ac:dyDescent="0.25">
      <c r="A10" s="94" t="s">
        <v>57</v>
      </c>
      <c r="B10" s="94" t="s">
        <v>1334</v>
      </c>
      <c r="C10" s="94" t="s">
        <v>59</v>
      </c>
      <c r="D10" s="515"/>
      <c r="E10" s="94"/>
      <c r="F10" s="94" t="s">
        <v>1335</v>
      </c>
      <c r="G10" s="94" t="s">
        <v>1336</v>
      </c>
      <c r="H10" s="94"/>
      <c r="I10" s="94"/>
    </row>
    <row r="11" spans="1:9" x14ac:dyDescent="0.25">
      <c r="A11" s="94" t="s">
        <v>892</v>
      </c>
      <c r="B11" s="94" t="s">
        <v>893</v>
      </c>
      <c r="C11" s="94" t="s">
        <v>59</v>
      </c>
      <c r="D11" s="515"/>
      <c r="E11" s="94"/>
      <c r="F11" s="94" t="s">
        <v>1335</v>
      </c>
      <c r="G11" s="94" t="s">
        <v>1336</v>
      </c>
      <c r="H11" s="94"/>
      <c r="I11" s="94"/>
    </row>
    <row r="12" spans="1:9" x14ac:dyDescent="0.25">
      <c r="A12" s="53" t="s">
        <v>1015</v>
      </c>
      <c r="B12" s="53" t="s">
        <v>1016</v>
      </c>
      <c r="C12" s="53" t="s">
        <v>59</v>
      </c>
      <c r="D12" s="514"/>
      <c r="E12" s="53"/>
      <c r="F12" s="53" t="s">
        <v>1015</v>
      </c>
      <c r="G12" s="53" t="s">
        <v>1337</v>
      </c>
      <c r="H12" s="53"/>
      <c r="I12" s="53"/>
    </row>
    <row r="13" spans="1:9" x14ac:dyDescent="0.25">
      <c r="A13" s="53" t="s">
        <v>438</v>
      </c>
      <c r="B13" s="53" t="s">
        <v>439</v>
      </c>
      <c r="C13" s="53" t="s">
        <v>440</v>
      </c>
      <c r="D13" s="514"/>
      <c r="E13" s="53"/>
      <c r="F13" s="53" t="s">
        <v>1338</v>
      </c>
      <c r="G13" s="53"/>
      <c r="H13" s="53"/>
      <c r="I13" s="88" t="s">
        <v>1339</v>
      </c>
    </row>
    <row r="14" spans="1:9" x14ac:dyDescent="0.25">
      <c r="A14" s="53" t="s">
        <v>1340</v>
      </c>
      <c r="B14" s="53"/>
      <c r="C14" s="53" t="s">
        <v>1341</v>
      </c>
      <c r="D14" s="514"/>
      <c r="E14" s="53"/>
      <c r="F14" s="53"/>
      <c r="G14" s="53"/>
      <c r="H14" s="53"/>
      <c r="I14" s="53"/>
    </row>
    <row r="15" spans="1:9" x14ac:dyDescent="0.25">
      <c r="A15" s="53" t="s">
        <v>1342</v>
      </c>
      <c r="B15" s="53"/>
      <c r="C15" s="53" t="s">
        <v>1343</v>
      </c>
      <c r="D15" s="514"/>
      <c r="E15" s="53"/>
      <c r="F15" s="53"/>
      <c r="G15" s="53"/>
      <c r="H15" s="53"/>
      <c r="I15" s="53"/>
    </row>
    <row r="16" spans="1:9" x14ac:dyDescent="0.25">
      <c r="A16" s="87" t="s">
        <v>177</v>
      </c>
      <c r="B16" s="53" t="s">
        <v>941</v>
      </c>
      <c r="C16" s="53" t="s">
        <v>179</v>
      </c>
      <c r="D16" s="514"/>
      <c r="E16" s="53"/>
      <c r="F16" s="53" t="s">
        <v>1344</v>
      </c>
      <c r="G16" s="53" t="s">
        <v>1345</v>
      </c>
      <c r="H16" s="53" t="s">
        <v>178</v>
      </c>
      <c r="I16" s="53"/>
    </row>
    <row r="17" spans="1:9" x14ac:dyDescent="0.25">
      <c r="A17" s="53" t="s">
        <v>264</v>
      </c>
      <c r="B17" s="53" t="s">
        <v>265</v>
      </c>
      <c r="C17" s="53" t="s">
        <v>266</v>
      </c>
      <c r="D17" s="514"/>
      <c r="E17" s="53"/>
      <c r="F17" s="53" t="s">
        <v>1346</v>
      </c>
      <c r="G17" s="53" t="s">
        <v>1347</v>
      </c>
      <c r="H17" s="53"/>
      <c r="I17" s="53"/>
    </row>
    <row r="18" spans="1:9" x14ac:dyDescent="0.25">
      <c r="A18" s="53" t="s">
        <v>1348</v>
      </c>
      <c r="B18" s="53"/>
      <c r="C18" s="53" t="s">
        <v>1349</v>
      </c>
      <c r="D18" s="514"/>
      <c r="E18" s="53"/>
      <c r="F18" s="53"/>
      <c r="G18" s="53"/>
      <c r="H18" s="53"/>
      <c r="I18" s="53"/>
    </row>
    <row r="19" spans="1:9" x14ac:dyDescent="0.25">
      <c r="A19" s="53" t="s">
        <v>1350</v>
      </c>
      <c r="B19" s="53" t="s">
        <v>1351</v>
      </c>
      <c r="C19" s="53" t="s">
        <v>1349</v>
      </c>
      <c r="D19" s="514"/>
      <c r="E19" s="53"/>
      <c r="F19" s="53"/>
      <c r="G19" s="53"/>
      <c r="H19" s="53"/>
      <c r="I19" s="53"/>
    </row>
    <row r="20" spans="1:9" x14ac:dyDescent="0.25">
      <c r="A20" s="53" t="s">
        <v>334</v>
      </c>
      <c r="B20" s="53" t="s">
        <v>85</v>
      </c>
      <c r="C20" s="53" t="s">
        <v>335</v>
      </c>
      <c r="D20" s="514"/>
      <c r="E20" s="53"/>
      <c r="F20" s="53" t="s">
        <v>1352</v>
      </c>
      <c r="G20" s="53" t="s">
        <v>1353</v>
      </c>
      <c r="H20" s="53"/>
      <c r="I20" s="53"/>
    </row>
    <row r="21" spans="1:9" x14ac:dyDescent="0.25">
      <c r="A21" s="89" t="s">
        <v>1354</v>
      </c>
      <c r="B21" s="89"/>
      <c r="C21" s="89" t="s">
        <v>1355</v>
      </c>
      <c r="D21" s="516"/>
      <c r="E21" s="89"/>
      <c r="F21" s="89"/>
      <c r="G21" s="89"/>
      <c r="H21" s="89"/>
      <c r="I21" s="89"/>
    </row>
    <row r="22" spans="1:9" x14ac:dyDescent="0.25">
      <c r="A22" s="89" t="s">
        <v>1356</v>
      </c>
      <c r="B22" s="89"/>
      <c r="C22" s="89" t="s">
        <v>1357</v>
      </c>
      <c r="D22" s="516"/>
      <c r="E22" s="89"/>
      <c r="F22" s="89"/>
      <c r="G22" s="89"/>
      <c r="H22" s="89"/>
      <c r="I22" s="89"/>
    </row>
    <row r="23" spans="1:9" x14ac:dyDescent="0.25">
      <c r="A23" s="89" t="s">
        <v>1358</v>
      </c>
      <c r="B23" s="89"/>
      <c r="C23" s="89" t="s">
        <v>1359</v>
      </c>
      <c r="D23" s="516"/>
      <c r="E23" s="89"/>
      <c r="F23" s="89"/>
      <c r="G23" s="89"/>
      <c r="H23" s="89"/>
      <c r="I23" s="89"/>
    </row>
    <row r="24" spans="1:9" x14ac:dyDescent="0.25">
      <c r="A24" s="89" t="s">
        <v>1360</v>
      </c>
      <c r="B24" s="89"/>
      <c r="C24" s="89" t="s">
        <v>1361</v>
      </c>
      <c r="D24" s="516"/>
      <c r="E24" s="89"/>
      <c r="F24" s="89"/>
      <c r="G24" s="89"/>
      <c r="H24" s="89"/>
      <c r="I24" s="89"/>
    </row>
    <row r="25" spans="1:9" x14ac:dyDescent="0.25">
      <c r="A25" s="89" t="s">
        <v>1362</v>
      </c>
      <c r="B25" s="89" t="s">
        <v>1363</v>
      </c>
      <c r="C25" s="89" t="s">
        <v>1364</v>
      </c>
      <c r="D25" s="516"/>
      <c r="E25" s="89"/>
      <c r="F25" s="89"/>
      <c r="G25" s="89"/>
      <c r="H25" s="89"/>
      <c r="I25" s="89"/>
    </row>
    <row r="26" spans="1:9" x14ac:dyDescent="0.25">
      <c r="A26" s="89" t="s">
        <v>1365</v>
      </c>
      <c r="B26" s="89"/>
      <c r="C26" s="89" t="s">
        <v>1366</v>
      </c>
      <c r="D26" s="516"/>
      <c r="E26" s="89"/>
      <c r="F26" s="89"/>
      <c r="G26" s="89"/>
      <c r="H26" s="89"/>
      <c r="I26" s="89"/>
    </row>
    <row r="27" spans="1:9" x14ac:dyDescent="0.25">
      <c r="A27" s="89" t="s">
        <v>1367</v>
      </c>
      <c r="B27" s="89"/>
      <c r="C27" s="89" t="s">
        <v>1368</v>
      </c>
      <c r="D27" s="516"/>
      <c r="E27" s="89"/>
      <c r="F27" s="89"/>
      <c r="G27" s="89"/>
      <c r="H27" s="89"/>
      <c r="I27" s="89"/>
    </row>
    <row r="28" spans="1:9" x14ac:dyDescent="0.25">
      <c r="A28" s="89" t="s">
        <v>1369</v>
      </c>
      <c r="B28" s="89"/>
      <c r="C28" s="89" t="s">
        <v>1370</v>
      </c>
      <c r="D28" s="516"/>
      <c r="E28" s="89"/>
      <c r="F28" s="89"/>
      <c r="G28" s="89"/>
      <c r="H28" s="89"/>
      <c r="I28" s="89"/>
    </row>
    <row r="29" spans="1:9" x14ac:dyDescent="0.25">
      <c r="A29" s="89" t="s">
        <v>1371</v>
      </c>
      <c r="B29" s="89"/>
      <c r="C29" s="89" t="s">
        <v>1372</v>
      </c>
      <c r="D29" s="516"/>
      <c r="E29" s="89"/>
      <c r="F29" s="89"/>
      <c r="G29" s="89"/>
      <c r="H29" s="89"/>
      <c r="I29" s="89"/>
    </row>
    <row r="30" spans="1:9" x14ac:dyDescent="0.25">
      <c r="A30" s="89" t="s">
        <v>1373</v>
      </c>
      <c r="B30" s="89"/>
      <c r="C30" s="89" t="s">
        <v>1374</v>
      </c>
      <c r="D30" s="516"/>
      <c r="E30" s="89"/>
      <c r="F30" s="89"/>
      <c r="G30" s="89"/>
      <c r="H30" s="89"/>
      <c r="I30" s="89"/>
    </row>
    <row r="31" spans="1:9" x14ac:dyDescent="0.25">
      <c r="A31" s="89" t="s">
        <v>1375</v>
      </c>
      <c r="B31" s="89"/>
      <c r="C31" s="89" t="s">
        <v>1376</v>
      </c>
      <c r="D31" s="516"/>
      <c r="E31" s="89"/>
      <c r="F31" s="89"/>
      <c r="G31" s="89"/>
      <c r="H31" s="89"/>
      <c r="I31" s="89"/>
    </row>
    <row r="32" spans="1:9" x14ac:dyDescent="0.25">
      <c r="A32" s="89" t="s">
        <v>1377</v>
      </c>
      <c r="B32" s="89"/>
      <c r="C32" s="89" t="s">
        <v>1378</v>
      </c>
      <c r="D32" s="516"/>
      <c r="E32" s="89"/>
      <c r="F32" s="89"/>
      <c r="G32" s="89"/>
      <c r="H32" s="89"/>
      <c r="I32" s="89"/>
    </row>
    <row r="33" spans="1:9" ht="25.5" x14ac:dyDescent="0.25">
      <c r="A33" s="87" t="s">
        <v>48</v>
      </c>
      <c r="B33" s="53" t="s">
        <v>49</v>
      </c>
      <c r="C33" s="53" t="s">
        <v>50</v>
      </c>
      <c r="D33" s="514"/>
      <c r="E33" s="53"/>
      <c r="F33" s="657" t="s">
        <v>1379</v>
      </c>
      <c r="G33" s="53"/>
      <c r="H33" s="53" t="s">
        <v>1380</v>
      </c>
      <c r="I33" s="53"/>
    </row>
    <row r="34" spans="1:9" x14ac:dyDescent="0.25">
      <c r="A34" s="53" t="s">
        <v>1381</v>
      </c>
      <c r="B34" s="53"/>
      <c r="C34" s="53" t="s">
        <v>1382</v>
      </c>
      <c r="D34" s="514"/>
      <c r="E34" s="53"/>
      <c r="F34" s="53"/>
      <c r="G34" s="53"/>
      <c r="H34" s="53"/>
      <c r="I34" s="53"/>
    </row>
    <row r="35" spans="1:9" x14ac:dyDescent="0.25">
      <c r="A35" s="53" t="s">
        <v>100</v>
      </c>
      <c r="B35" s="53" t="s">
        <v>1383</v>
      </c>
      <c r="C35" s="53" t="s">
        <v>101</v>
      </c>
      <c r="D35" s="514"/>
      <c r="E35" s="53"/>
      <c r="F35" s="53"/>
      <c r="G35" s="53" t="s">
        <v>1332</v>
      </c>
      <c r="H35" s="53"/>
      <c r="I35" s="53"/>
    </row>
    <row r="36" spans="1:9" x14ac:dyDescent="0.25">
      <c r="A36" s="53" t="s">
        <v>28</v>
      </c>
      <c r="B36" s="53" t="s">
        <v>716</v>
      </c>
      <c r="C36" s="53" t="s">
        <v>30</v>
      </c>
      <c r="D36" s="514"/>
      <c r="E36" s="53"/>
      <c r="F36" s="53" t="s">
        <v>1384</v>
      </c>
      <c r="G36" s="53" t="s">
        <v>1385</v>
      </c>
      <c r="H36" s="53" t="s">
        <v>29</v>
      </c>
      <c r="I36" s="53"/>
    </row>
    <row r="37" spans="1:9" x14ac:dyDescent="0.25">
      <c r="A37" s="53" t="s">
        <v>118</v>
      </c>
      <c r="B37" s="53" t="s">
        <v>119</v>
      </c>
      <c r="C37" s="53" t="s">
        <v>120</v>
      </c>
      <c r="D37" s="514"/>
      <c r="E37" s="53"/>
      <c r="F37" s="53" t="s">
        <v>118</v>
      </c>
      <c r="G37" s="53" t="s">
        <v>1386</v>
      </c>
      <c r="H37" s="53"/>
      <c r="I37" s="53"/>
    </row>
    <row r="38" spans="1:9" x14ac:dyDescent="0.25">
      <c r="A38" s="53" t="s">
        <v>353</v>
      </c>
      <c r="B38" s="53" t="s">
        <v>354</v>
      </c>
      <c r="C38" s="53" t="s">
        <v>355</v>
      </c>
      <c r="D38" s="514"/>
      <c r="E38" s="53"/>
      <c r="F38" s="53" t="s">
        <v>1387</v>
      </c>
      <c r="G38" s="53" t="s">
        <v>1388</v>
      </c>
      <c r="H38" s="53"/>
      <c r="I38" s="53"/>
    </row>
    <row r="39" spans="1:9" x14ac:dyDescent="0.25">
      <c r="A39" s="53" t="s">
        <v>18</v>
      </c>
      <c r="B39" s="53" t="s">
        <v>19</v>
      </c>
      <c r="C39" s="53" t="s">
        <v>20</v>
      </c>
      <c r="D39" s="514"/>
      <c r="E39" s="53"/>
      <c r="F39" s="53" t="s">
        <v>1389</v>
      </c>
      <c r="G39" s="53" t="s">
        <v>1390</v>
      </c>
      <c r="H39" s="53"/>
      <c r="I39" s="53"/>
    </row>
    <row r="40" spans="1:9" x14ac:dyDescent="0.25">
      <c r="A40" s="53" t="s">
        <v>324</v>
      </c>
      <c r="B40" s="53" t="s">
        <v>325</v>
      </c>
      <c r="C40" s="53" t="s">
        <v>326</v>
      </c>
      <c r="D40" s="514"/>
      <c r="E40" s="53"/>
      <c r="F40" s="53" t="s">
        <v>1391</v>
      </c>
      <c r="G40" s="53" t="s">
        <v>1392</v>
      </c>
      <c r="H40" s="53"/>
      <c r="I40" s="53"/>
    </row>
    <row r="41" spans="1:9" x14ac:dyDescent="0.25">
      <c r="A41" s="94" t="s">
        <v>479</v>
      </c>
      <c r="B41" s="94" t="s">
        <v>480</v>
      </c>
      <c r="C41" s="94" t="s">
        <v>481</v>
      </c>
      <c r="D41" s="515"/>
      <c r="E41" s="94"/>
      <c r="F41" s="94"/>
      <c r="G41" s="94"/>
      <c r="H41" s="94"/>
      <c r="I41" s="94"/>
    </row>
    <row r="42" spans="1:9" ht="15.75" thickBot="1" x14ac:dyDescent="0.3">
      <c r="A42" s="53" t="s">
        <v>1069</v>
      </c>
      <c r="B42" s="53"/>
      <c r="C42" s="53" t="s">
        <v>481</v>
      </c>
      <c r="D42" s="514"/>
      <c r="E42" s="53"/>
      <c r="F42" s="53"/>
      <c r="G42" s="53"/>
      <c r="H42" s="53"/>
      <c r="I42" s="53"/>
    </row>
    <row r="43" spans="1:9" ht="15.75" thickBot="1" x14ac:dyDescent="0.3">
      <c r="A43" s="90" t="s">
        <v>454</v>
      </c>
      <c r="B43" s="91" t="s">
        <v>761</v>
      </c>
      <c r="C43" s="91" t="s">
        <v>455</v>
      </c>
      <c r="D43" s="517"/>
      <c r="E43" s="91"/>
      <c r="F43" s="91"/>
      <c r="G43" s="91"/>
      <c r="H43" s="92" t="s">
        <v>1393</v>
      </c>
      <c r="I43" s="93"/>
    </row>
    <row r="44" spans="1:9" x14ac:dyDescent="0.25">
      <c r="A44" s="94" t="s">
        <v>148</v>
      </c>
      <c r="B44" s="94" t="s">
        <v>149</v>
      </c>
      <c r="C44" s="94" t="s">
        <v>150</v>
      </c>
      <c r="D44" s="515"/>
      <c r="E44" s="94"/>
      <c r="F44" s="94" t="s">
        <v>1394</v>
      </c>
      <c r="G44" s="94" t="s">
        <v>1395</v>
      </c>
      <c r="H44" s="94"/>
      <c r="I44" s="94"/>
    </row>
    <row r="45" spans="1:9" x14ac:dyDescent="0.25">
      <c r="A45" s="94" t="s">
        <v>698</v>
      </c>
      <c r="B45" s="94" t="s">
        <v>699</v>
      </c>
      <c r="C45" s="94" t="s">
        <v>150</v>
      </c>
      <c r="D45" s="515"/>
      <c r="E45" s="94"/>
      <c r="F45" s="94" t="s">
        <v>1394</v>
      </c>
      <c r="G45" s="94" t="s">
        <v>1395</v>
      </c>
      <c r="H45" s="94"/>
      <c r="I45" s="94"/>
    </row>
    <row r="46" spans="1:9" x14ac:dyDescent="0.25">
      <c r="A46" s="53" t="s">
        <v>935</v>
      </c>
      <c r="B46" t="s">
        <v>936</v>
      </c>
      <c r="C46" s="53" t="s">
        <v>150</v>
      </c>
      <c r="D46" s="514"/>
      <c r="E46" s="53"/>
      <c r="F46" s="53" t="s">
        <v>1394</v>
      </c>
      <c r="G46" s="53" t="s">
        <v>1395</v>
      </c>
      <c r="H46" s="53"/>
      <c r="I46" s="53"/>
    </row>
    <row r="47" spans="1:9" x14ac:dyDescent="0.25">
      <c r="A47" s="53" t="s">
        <v>342</v>
      </c>
      <c r="B47" s="53" t="s">
        <v>343</v>
      </c>
      <c r="C47" s="53" t="s">
        <v>344</v>
      </c>
      <c r="D47" s="514"/>
      <c r="E47" s="53"/>
      <c r="F47" s="53"/>
      <c r="G47" s="53" t="s">
        <v>1396</v>
      </c>
      <c r="H47" s="53"/>
      <c r="I47" s="53"/>
    </row>
    <row r="48" spans="1:9" x14ac:dyDescent="0.25">
      <c r="A48" s="53" t="s">
        <v>284</v>
      </c>
      <c r="B48" s="53" t="s">
        <v>687</v>
      </c>
      <c r="C48" s="53" t="s">
        <v>285</v>
      </c>
      <c r="D48" s="514"/>
      <c r="E48" s="53"/>
      <c r="F48" s="53" t="s">
        <v>1397</v>
      </c>
      <c r="G48" s="53" t="s">
        <v>276</v>
      </c>
      <c r="H48" s="53" t="s">
        <v>687</v>
      </c>
      <c r="I48" s="53"/>
    </row>
    <row r="49" spans="1:9" x14ac:dyDescent="0.25">
      <c r="A49" s="94" t="s">
        <v>1113</v>
      </c>
      <c r="B49" s="94" t="s">
        <v>1114</v>
      </c>
      <c r="C49" s="94" t="s">
        <v>1115</v>
      </c>
      <c r="D49" s="515"/>
      <c r="E49" s="94"/>
      <c r="F49" s="94"/>
      <c r="G49" s="94"/>
      <c r="H49" s="94" t="s">
        <v>1398</v>
      </c>
      <c r="I49" s="94"/>
    </row>
    <row r="50" spans="1:9" x14ac:dyDescent="0.25">
      <c r="A50" s="53" t="s">
        <v>1138</v>
      </c>
      <c r="B50" s="53" t="s">
        <v>1139</v>
      </c>
      <c r="C50" s="53" t="s">
        <v>1115</v>
      </c>
      <c r="D50" s="514"/>
      <c r="E50" s="53"/>
      <c r="F50" s="53" t="s">
        <v>1399</v>
      </c>
      <c r="G50" s="53" t="s">
        <v>1400</v>
      </c>
      <c r="H50" s="53"/>
      <c r="I50" s="53"/>
    </row>
    <row r="51" spans="1:9" x14ac:dyDescent="0.25">
      <c r="A51" s="53" t="s">
        <v>1401</v>
      </c>
      <c r="B51" s="53"/>
      <c r="C51" s="53" t="s">
        <v>773</v>
      </c>
      <c r="D51" s="514"/>
      <c r="E51" s="53"/>
      <c r="F51" s="95"/>
      <c r="G51" s="96"/>
      <c r="H51" s="53"/>
      <c r="I51" s="88"/>
    </row>
    <row r="52" spans="1:9" ht="30" x14ac:dyDescent="0.25">
      <c r="A52" s="53" t="s">
        <v>771</v>
      </c>
      <c r="B52" s="53" t="s">
        <v>772</v>
      </c>
      <c r="C52" s="53" t="s">
        <v>773</v>
      </c>
      <c r="D52" s="514"/>
      <c r="E52" s="53"/>
      <c r="F52" s="95" t="s">
        <v>1402</v>
      </c>
      <c r="G52" s="96" t="s">
        <v>1403</v>
      </c>
      <c r="H52" s="53"/>
      <c r="I52" s="88" t="s">
        <v>1404</v>
      </c>
    </row>
    <row r="53" spans="1:9" x14ac:dyDescent="0.25">
      <c r="A53" s="53" t="s">
        <v>70</v>
      </c>
      <c r="B53" s="53" t="s">
        <v>71</v>
      </c>
      <c r="C53" s="53" t="s">
        <v>72</v>
      </c>
      <c r="D53" s="514"/>
      <c r="E53" s="53"/>
      <c r="F53" s="53" t="s">
        <v>1405</v>
      </c>
      <c r="G53" s="53"/>
      <c r="H53" s="53"/>
      <c r="I53" s="53"/>
    </row>
    <row r="54" spans="1:9" x14ac:dyDescent="0.25">
      <c r="A54" s="53" t="s">
        <v>107</v>
      </c>
      <c r="B54" s="53" t="s">
        <v>108</v>
      </c>
      <c r="C54" s="53" t="s">
        <v>109</v>
      </c>
      <c r="D54" s="514"/>
      <c r="E54" s="53"/>
      <c r="F54" s="53" t="s">
        <v>1406</v>
      </c>
      <c r="G54" s="53" t="s">
        <v>1407</v>
      </c>
      <c r="H54" s="53"/>
      <c r="I54" s="53"/>
    </row>
    <row r="55" spans="1:9" x14ac:dyDescent="0.25">
      <c r="A55" s="53" t="s">
        <v>239</v>
      </c>
      <c r="B55" s="53" t="s">
        <v>240</v>
      </c>
      <c r="C55" s="53" t="s">
        <v>241</v>
      </c>
      <c r="D55" s="514"/>
      <c r="E55" s="53"/>
      <c r="F55" s="53"/>
      <c r="G55" s="53" t="s">
        <v>1408</v>
      </c>
      <c r="H55" s="53"/>
      <c r="I55" s="53"/>
    </row>
    <row r="56" spans="1:9" x14ac:dyDescent="0.25">
      <c r="A56" s="53" t="s">
        <v>594</v>
      </c>
      <c r="B56" s="53" t="s">
        <v>595</v>
      </c>
      <c r="C56" s="53" t="s">
        <v>596</v>
      </c>
      <c r="D56" s="514"/>
      <c r="E56" s="53"/>
      <c r="F56" s="53"/>
      <c r="G56" s="53"/>
      <c r="H56" s="53"/>
      <c r="I56" s="53"/>
    </row>
    <row r="57" spans="1:9" ht="15.75" thickBot="1" x14ac:dyDescent="0.3">
      <c r="A57" s="53" t="s">
        <v>44</v>
      </c>
      <c r="B57" s="53" t="s">
        <v>45</v>
      </c>
      <c r="C57" s="53" t="s">
        <v>46</v>
      </c>
      <c r="D57" s="514"/>
      <c r="E57" s="53"/>
      <c r="F57" s="53" t="s">
        <v>1409</v>
      </c>
      <c r="G57" s="53"/>
      <c r="H57" s="53" t="s">
        <v>1410</v>
      </c>
      <c r="I57" s="53" t="s">
        <v>1411</v>
      </c>
    </row>
    <row r="58" spans="1:9" ht="15.75" thickBot="1" x14ac:dyDescent="0.3">
      <c r="A58" s="90" t="s">
        <v>410</v>
      </c>
      <c r="B58" s="91"/>
      <c r="C58" s="91" t="s">
        <v>411</v>
      </c>
      <c r="D58" s="517" t="s">
        <v>1412</v>
      </c>
      <c r="E58" s="91"/>
      <c r="F58" s="91"/>
      <c r="G58" s="91" t="s">
        <v>1412</v>
      </c>
      <c r="H58" s="92" t="s">
        <v>1393</v>
      </c>
      <c r="I58" s="93"/>
    </row>
    <row r="59" spans="1:9" x14ac:dyDescent="0.25">
      <c r="A59" s="53" t="s">
        <v>201</v>
      </c>
      <c r="B59" s="53" t="s">
        <v>202</v>
      </c>
      <c r="C59" s="53" t="s">
        <v>203</v>
      </c>
      <c r="D59" s="514"/>
      <c r="E59" s="53"/>
      <c r="F59" s="53" t="s">
        <v>1413</v>
      </c>
      <c r="G59" s="53" t="s">
        <v>1414</v>
      </c>
      <c r="H59" s="53"/>
      <c r="I59" s="53"/>
    </row>
    <row r="60" spans="1:9" x14ac:dyDescent="0.25">
      <c r="A60" s="53" t="s">
        <v>66</v>
      </c>
      <c r="B60" s="53" t="s">
        <v>67</v>
      </c>
      <c r="C60" s="53" t="s">
        <v>68</v>
      </c>
      <c r="D60" s="514"/>
      <c r="E60" s="53"/>
      <c r="F60" s="53"/>
      <c r="G60" s="53" t="s">
        <v>1415</v>
      </c>
      <c r="H60" s="53"/>
      <c r="I60" s="53"/>
    </row>
    <row r="61" spans="1:9" x14ac:dyDescent="0.25">
      <c r="A61" s="87" t="s">
        <v>84</v>
      </c>
      <c r="B61" s="53" t="s">
        <v>85</v>
      </c>
      <c r="C61" s="53" t="s">
        <v>86</v>
      </c>
      <c r="D61" s="514"/>
      <c r="E61" s="53"/>
      <c r="F61" s="53"/>
      <c r="G61" s="53" t="s">
        <v>1416</v>
      </c>
      <c r="H61" s="53"/>
      <c r="I61" s="53"/>
    </row>
    <row r="62" spans="1:9" x14ac:dyDescent="0.25">
      <c r="A62" s="53" t="s">
        <v>947</v>
      </c>
      <c r="B62" s="53" t="s">
        <v>948</v>
      </c>
      <c r="C62" s="53" t="s">
        <v>949</v>
      </c>
      <c r="D62" s="514"/>
      <c r="E62" s="53"/>
      <c r="F62" s="53" t="s">
        <v>1417</v>
      </c>
      <c r="G62" s="53"/>
      <c r="H62" s="53" t="s">
        <v>1418</v>
      </c>
      <c r="I62" s="53"/>
    </row>
    <row r="63" spans="1:9" x14ac:dyDescent="0.25">
      <c r="A63" s="53" t="s">
        <v>1419</v>
      </c>
      <c r="B63" s="53"/>
      <c r="C63" s="53" t="s">
        <v>1420</v>
      </c>
      <c r="D63" s="514"/>
      <c r="E63" s="53"/>
      <c r="F63" s="53"/>
      <c r="G63" s="53"/>
      <c r="H63" s="53"/>
      <c r="I63" s="53"/>
    </row>
    <row r="64" spans="1:9" ht="15.75" thickBot="1" x14ac:dyDescent="0.3">
      <c r="A64" s="53" t="s">
        <v>103</v>
      </c>
      <c r="B64" s="53" t="s">
        <v>104</v>
      </c>
      <c r="C64" s="53" t="s">
        <v>105</v>
      </c>
      <c r="D64" s="514"/>
      <c r="E64" s="53"/>
      <c r="F64" s="53"/>
      <c r="G64" s="53" t="s">
        <v>1421</v>
      </c>
      <c r="H64" s="53"/>
      <c r="I64" s="53"/>
    </row>
    <row r="65" spans="1:9" ht="15.75" thickBot="1" x14ac:dyDescent="0.3">
      <c r="A65" s="90" t="s">
        <v>319</v>
      </c>
      <c r="B65" s="91"/>
      <c r="C65" s="91" t="s">
        <v>320</v>
      </c>
      <c r="D65" s="517" t="s">
        <v>1422</v>
      </c>
      <c r="E65" s="91"/>
      <c r="F65" s="91" t="s">
        <v>1423</v>
      </c>
      <c r="G65" s="91" t="s">
        <v>1422</v>
      </c>
      <c r="H65" s="92" t="s">
        <v>1393</v>
      </c>
      <c r="I65" s="93" t="s">
        <v>1424</v>
      </c>
    </row>
    <row r="66" spans="1:9" x14ac:dyDescent="0.25">
      <c r="A66" s="53" t="s">
        <v>53</v>
      </c>
      <c r="B66" s="53" t="s">
        <v>677</v>
      </c>
      <c r="C66" s="53" t="s">
        <v>55</v>
      </c>
      <c r="D66" s="514"/>
      <c r="E66" s="53"/>
      <c r="F66" s="53" t="s">
        <v>1425</v>
      </c>
      <c r="G66" s="53" t="s">
        <v>1426</v>
      </c>
      <c r="H66" s="53"/>
      <c r="I66" s="53" t="s">
        <v>54</v>
      </c>
    </row>
    <row r="67" spans="1:9" x14ac:dyDescent="0.25">
      <c r="A67" s="53" t="s">
        <v>492</v>
      </c>
      <c r="B67" s="53"/>
      <c r="C67" s="53" t="s">
        <v>493</v>
      </c>
      <c r="D67" s="514"/>
      <c r="E67" s="53"/>
      <c r="F67" s="53"/>
      <c r="G67" s="53"/>
      <c r="H67" s="53"/>
      <c r="I67" s="53"/>
    </row>
    <row r="68" spans="1:9" x14ac:dyDescent="0.25">
      <c r="A68" s="53" t="s">
        <v>1427</v>
      </c>
      <c r="B68" s="53"/>
      <c r="C68" s="53" t="s">
        <v>1428</v>
      </c>
      <c r="D68" s="514"/>
      <c r="E68" s="53"/>
      <c r="F68" s="53"/>
      <c r="G68" s="53"/>
      <c r="H68" s="53"/>
      <c r="I68" s="53"/>
    </row>
    <row r="69" spans="1:9" ht="15.75" thickBot="1" x14ac:dyDescent="0.3">
      <c r="A69" s="53" t="s">
        <v>90</v>
      </c>
      <c r="B69" s="53" t="s">
        <v>91</v>
      </c>
      <c r="C69" s="53" t="s">
        <v>92</v>
      </c>
      <c r="D69" s="514"/>
      <c r="E69" s="53"/>
      <c r="F69" s="53" t="s">
        <v>1429</v>
      </c>
      <c r="G69" s="53" t="s">
        <v>1430</v>
      </c>
      <c r="H69" s="53"/>
      <c r="I69" s="53" t="s">
        <v>1431</v>
      </c>
    </row>
    <row r="70" spans="1:9" ht="15.75" thickBot="1" x14ac:dyDescent="0.3">
      <c r="A70" s="97" t="s">
        <v>397</v>
      </c>
      <c r="B70" s="53" t="s">
        <v>682</v>
      </c>
      <c r="C70" s="98" t="s">
        <v>398</v>
      </c>
      <c r="D70" s="518"/>
      <c r="E70" s="99"/>
      <c r="F70" s="99"/>
      <c r="G70" s="99"/>
      <c r="H70" s="92" t="s">
        <v>1393</v>
      </c>
      <c r="I70" s="100" t="s">
        <v>1432</v>
      </c>
    </row>
    <row r="71" spans="1:9" x14ac:dyDescent="0.25">
      <c r="A71" s="53" t="s">
        <v>275</v>
      </c>
      <c r="B71" s="53" t="s">
        <v>276</v>
      </c>
      <c r="C71" s="87" t="s">
        <v>277</v>
      </c>
      <c r="D71" s="514"/>
      <c r="E71" s="53"/>
      <c r="F71" s="53" t="s">
        <v>1397</v>
      </c>
      <c r="G71" s="53" t="s">
        <v>276</v>
      </c>
      <c r="H71" s="53"/>
      <c r="I71" s="53"/>
    </row>
    <row r="72" spans="1:9" x14ac:dyDescent="0.25">
      <c r="A72" s="53" t="s">
        <v>1433</v>
      </c>
      <c r="B72" s="53"/>
      <c r="C72" s="53" t="s">
        <v>1434</v>
      </c>
      <c r="D72" s="514"/>
      <c r="E72" s="53"/>
      <c r="F72" s="53"/>
      <c r="G72" s="53"/>
      <c r="H72" s="53"/>
      <c r="I72" s="53"/>
    </row>
    <row r="73" spans="1:9" x14ac:dyDescent="0.25">
      <c r="A73" s="53" t="s">
        <v>1435</v>
      </c>
      <c r="B73" s="53" t="s">
        <v>1436</v>
      </c>
      <c r="C73" s="53" t="s">
        <v>1437</v>
      </c>
      <c r="D73" s="514"/>
      <c r="E73" s="53"/>
      <c r="F73" s="53"/>
      <c r="G73" s="53"/>
      <c r="H73" s="53"/>
      <c r="I73" s="53"/>
    </row>
    <row r="74" spans="1:9" x14ac:dyDescent="0.25">
      <c r="A74" s="53" t="s">
        <v>243</v>
      </c>
      <c r="B74" s="53" t="s">
        <v>244</v>
      </c>
      <c r="C74" s="53" t="s">
        <v>245</v>
      </c>
      <c r="D74" s="514"/>
      <c r="E74" s="53"/>
      <c r="F74" s="53" t="s">
        <v>1438</v>
      </c>
      <c r="G74" s="53" t="s">
        <v>1439</v>
      </c>
      <c r="H74" s="53"/>
      <c r="I74" s="53" t="s">
        <v>1440</v>
      </c>
    </row>
    <row r="75" spans="1:9" x14ac:dyDescent="0.25">
      <c r="A75" s="53" t="s">
        <v>1441</v>
      </c>
      <c r="B75" s="53"/>
      <c r="C75" s="53" t="s">
        <v>614</v>
      </c>
      <c r="D75" s="514"/>
      <c r="E75" s="53"/>
      <c r="F75" s="53"/>
      <c r="G75" s="53"/>
      <c r="H75" s="53"/>
      <c r="I75" s="53"/>
    </row>
    <row r="76" spans="1:9" x14ac:dyDescent="0.25">
      <c r="A76" s="53" t="s">
        <v>612</v>
      </c>
      <c r="B76" s="53" t="s">
        <v>613</v>
      </c>
      <c r="C76" s="53" t="s">
        <v>614</v>
      </c>
      <c r="D76" s="514"/>
      <c r="E76" s="53"/>
      <c r="F76" s="53"/>
      <c r="G76" s="53"/>
      <c r="H76" s="53"/>
      <c r="I76" s="88" t="s">
        <v>1442</v>
      </c>
    </row>
    <row r="77" spans="1:9" x14ac:dyDescent="0.25">
      <c r="A77" s="53" t="s">
        <v>362</v>
      </c>
      <c r="B77" s="53" t="s">
        <v>363</v>
      </c>
      <c r="C77" s="53" t="s">
        <v>364</v>
      </c>
      <c r="D77" s="514"/>
      <c r="E77" s="53"/>
      <c r="F77" s="53" t="s">
        <v>1443</v>
      </c>
      <c r="G77" s="53" t="s">
        <v>1444</v>
      </c>
      <c r="H77" s="53" t="s">
        <v>1445</v>
      </c>
      <c r="I77" s="53" t="s">
        <v>1446</v>
      </c>
    </row>
    <row r="78" spans="1:9" x14ac:dyDescent="0.25">
      <c r="A78" s="53" t="s">
        <v>633</v>
      </c>
      <c r="B78" s="53" t="s">
        <v>634</v>
      </c>
      <c r="C78" s="53" t="s">
        <v>635</v>
      </c>
      <c r="D78" s="514"/>
      <c r="E78" s="53"/>
      <c r="F78" s="53"/>
      <c r="G78" s="53" t="s">
        <v>1447</v>
      </c>
      <c r="H78" s="53"/>
      <c r="I78" s="53"/>
    </row>
    <row r="79" spans="1:9" x14ac:dyDescent="0.25">
      <c r="A79" s="53" t="s">
        <v>433</v>
      </c>
      <c r="B79" s="53" t="s">
        <v>434</v>
      </c>
      <c r="C79" s="53" t="s">
        <v>435</v>
      </c>
      <c r="D79" s="514"/>
      <c r="E79" s="53"/>
      <c r="F79" s="53" t="s">
        <v>1448</v>
      </c>
      <c r="G79" s="53" t="s">
        <v>1449</v>
      </c>
      <c r="H79" s="53"/>
      <c r="I79" s="53"/>
    </row>
    <row r="80" spans="1:9" x14ac:dyDescent="0.25">
      <c r="A80" s="87" t="s">
        <v>144</v>
      </c>
      <c r="B80" s="53" t="s">
        <v>661</v>
      </c>
      <c r="C80" s="53" t="s">
        <v>146</v>
      </c>
      <c r="D80" s="514"/>
      <c r="E80" s="53"/>
      <c r="F80" s="101" t="s">
        <v>1450</v>
      </c>
      <c r="G80" s="53" t="s">
        <v>1451</v>
      </c>
      <c r="H80" s="53" t="s">
        <v>145</v>
      </c>
      <c r="I80" s="53" t="s">
        <v>661</v>
      </c>
    </row>
    <row r="81" spans="1:9" ht="15.75" thickBot="1" x14ac:dyDescent="0.3">
      <c r="A81" s="87" t="s">
        <v>1452</v>
      </c>
      <c r="B81" s="53" t="s">
        <v>1453</v>
      </c>
      <c r="C81" s="53" t="s">
        <v>1454</v>
      </c>
      <c r="D81" s="514"/>
      <c r="E81" s="53"/>
      <c r="F81" s="53" t="s">
        <v>1455</v>
      </c>
      <c r="G81" s="53" t="s">
        <v>1456</v>
      </c>
      <c r="H81" s="53"/>
      <c r="I81" s="53"/>
    </row>
    <row r="82" spans="1:9" ht="15.75" thickBot="1" x14ac:dyDescent="0.3">
      <c r="A82" s="102" t="s">
        <v>303</v>
      </c>
      <c r="B82" s="91"/>
      <c r="C82" s="91" t="s">
        <v>304</v>
      </c>
      <c r="D82" s="517"/>
      <c r="E82" s="91"/>
      <c r="F82" s="91" t="s">
        <v>1457</v>
      </c>
      <c r="G82" s="91" t="s">
        <v>1458</v>
      </c>
      <c r="H82" s="103" t="s">
        <v>1393</v>
      </c>
      <c r="I82" s="93"/>
    </row>
    <row r="83" spans="1:9" x14ac:dyDescent="0.25">
      <c r="A83" s="87" t="s">
        <v>1459</v>
      </c>
      <c r="B83" s="53" t="s">
        <v>1460</v>
      </c>
      <c r="C83" s="53" t="s">
        <v>1461</v>
      </c>
      <c r="D83" s="514"/>
      <c r="E83" s="53"/>
      <c r="F83" s="53"/>
      <c r="G83" s="53"/>
      <c r="H83" s="53"/>
      <c r="I83" s="53"/>
    </row>
    <row r="84" spans="1:9" x14ac:dyDescent="0.25">
      <c r="A84" s="53" t="s">
        <v>24</v>
      </c>
      <c r="B84" s="53" t="s">
        <v>25</v>
      </c>
      <c r="C84" s="53" t="s">
        <v>26</v>
      </c>
      <c r="D84" s="514"/>
      <c r="E84" s="53"/>
      <c r="F84" s="53" t="s">
        <v>1462</v>
      </c>
      <c r="G84" s="53" t="s">
        <v>1463</v>
      </c>
      <c r="H84" s="53" t="s">
        <v>1464</v>
      </c>
      <c r="I84" s="53" t="s">
        <v>1465</v>
      </c>
    </row>
    <row r="85" spans="1:9" x14ac:dyDescent="0.25">
      <c r="A85" s="53" t="s">
        <v>230</v>
      </c>
      <c r="B85" s="53" t="s">
        <v>231</v>
      </c>
      <c r="C85" s="53" t="s">
        <v>232</v>
      </c>
      <c r="D85" s="514"/>
      <c r="E85" s="53"/>
      <c r="F85" s="53"/>
      <c r="G85" s="53" t="s">
        <v>1466</v>
      </c>
      <c r="H85" s="53" t="s">
        <v>1467</v>
      </c>
      <c r="I85" s="53" t="s">
        <v>231</v>
      </c>
    </row>
    <row r="86" spans="1:9" x14ac:dyDescent="0.25">
      <c r="A86" s="53" t="s">
        <v>312</v>
      </c>
      <c r="B86" s="53" t="s">
        <v>313</v>
      </c>
      <c r="C86" s="53" t="s">
        <v>314</v>
      </c>
      <c r="D86" s="514"/>
      <c r="E86" s="53"/>
      <c r="F86" s="53"/>
      <c r="G86" s="53" t="s">
        <v>1468</v>
      </c>
      <c r="H86" s="53"/>
      <c r="I86" s="53"/>
    </row>
    <row r="87" spans="1:9" x14ac:dyDescent="0.25">
      <c r="A87" s="53" t="s">
        <v>126</v>
      </c>
      <c r="B87" s="53" t="s">
        <v>127</v>
      </c>
      <c r="C87" s="53" t="s">
        <v>128</v>
      </c>
      <c r="D87" s="514"/>
      <c r="E87" s="53"/>
      <c r="F87" s="53"/>
      <c r="G87" s="53" t="s">
        <v>1469</v>
      </c>
      <c r="H87" s="53"/>
      <c r="I87" s="53"/>
    </row>
    <row r="88" spans="1:9" x14ac:dyDescent="0.25">
      <c r="A88" s="87" t="s">
        <v>130</v>
      </c>
      <c r="B88" s="53" t="s">
        <v>131</v>
      </c>
      <c r="C88" s="53" t="s">
        <v>132</v>
      </c>
      <c r="D88" s="514"/>
      <c r="E88" s="53"/>
      <c r="F88" s="53" t="s">
        <v>1470</v>
      </c>
      <c r="G88" s="53" t="s">
        <v>1471</v>
      </c>
      <c r="H88" s="53"/>
      <c r="I88" s="53"/>
    </row>
    <row r="89" spans="1:9" x14ac:dyDescent="0.25">
      <c r="A89" s="53" t="s">
        <v>464</v>
      </c>
      <c r="B89" s="53" t="s">
        <v>465</v>
      </c>
      <c r="C89" s="53" t="s">
        <v>466</v>
      </c>
      <c r="D89" s="514"/>
      <c r="E89" s="53"/>
      <c r="F89" s="53"/>
      <c r="G89" s="53"/>
      <c r="H89" s="53"/>
      <c r="I89" s="53"/>
    </row>
    <row r="90" spans="1:9" x14ac:dyDescent="0.25">
      <c r="A90" s="53" t="s">
        <v>32</v>
      </c>
      <c r="B90" s="53" t="s">
        <v>1472</v>
      </c>
      <c r="C90" s="53" t="s">
        <v>34</v>
      </c>
      <c r="D90" s="514"/>
      <c r="E90" s="53"/>
      <c r="F90" s="53"/>
      <c r="G90" s="53" t="s">
        <v>1473</v>
      </c>
      <c r="H90" s="53"/>
      <c r="I90" s="53"/>
    </row>
    <row r="91" spans="1:9" x14ac:dyDescent="0.25">
      <c r="A91" s="53" t="s">
        <v>296</v>
      </c>
      <c r="B91" s="53" t="s">
        <v>297</v>
      </c>
      <c r="C91" s="53" t="s">
        <v>298</v>
      </c>
      <c r="D91" s="514"/>
      <c r="E91" s="53"/>
      <c r="F91" s="53" t="s">
        <v>1474</v>
      </c>
      <c r="G91" s="53" t="s">
        <v>1475</v>
      </c>
      <c r="H91" s="53"/>
      <c r="I91" s="53"/>
    </row>
    <row r="92" spans="1:9" x14ac:dyDescent="0.25">
      <c r="A92" s="53" t="s">
        <v>422</v>
      </c>
      <c r="B92" s="53" t="s">
        <v>1476</v>
      </c>
      <c r="C92" s="53" t="s">
        <v>423</v>
      </c>
      <c r="D92" s="514"/>
      <c r="E92" s="53"/>
      <c r="F92" s="53" t="s">
        <v>1477</v>
      </c>
      <c r="G92" s="53"/>
      <c r="H92" s="53"/>
      <c r="I92" s="53"/>
    </row>
    <row r="93" spans="1:9" x14ac:dyDescent="0.25">
      <c r="A93" s="87" t="s">
        <v>252</v>
      </c>
      <c r="B93" s="53" t="s">
        <v>1478</v>
      </c>
      <c r="C93" s="53" t="s">
        <v>254</v>
      </c>
      <c r="D93" s="514"/>
      <c r="E93" s="53"/>
      <c r="F93" s="53" t="s">
        <v>252</v>
      </c>
      <c r="G93" s="53" t="s">
        <v>1479</v>
      </c>
      <c r="H93" s="53" t="s">
        <v>253</v>
      </c>
      <c r="I93" s="53"/>
    </row>
    <row r="94" spans="1:9" x14ac:dyDescent="0.25">
      <c r="A94" s="53" t="s">
        <v>259</v>
      </c>
      <c r="B94" s="53" t="s">
        <v>260</v>
      </c>
      <c r="C94" s="53" t="s">
        <v>261</v>
      </c>
      <c r="D94" s="514"/>
      <c r="E94" s="53"/>
      <c r="F94" s="53"/>
      <c r="G94" s="53" t="s">
        <v>1480</v>
      </c>
      <c r="H94" s="53"/>
      <c r="I94" s="53"/>
    </row>
    <row r="95" spans="1:9" x14ac:dyDescent="0.25">
      <c r="A95" s="53" t="s">
        <v>215</v>
      </c>
      <c r="B95" s="53" t="s">
        <v>216</v>
      </c>
      <c r="C95" s="53" t="s">
        <v>217</v>
      </c>
      <c r="D95" s="514"/>
      <c r="E95" s="53"/>
      <c r="F95" s="53"/>
      <c r="G95" s="53" t="s">
        <v>1481</v>
      </c>
      <c r="H95" s="53"/>
      <c r="I95" s="53"/>
    </row>
    <row r="96" spans="1:9" x14ac:dyDescent="0.25">
      <c r="A96" s="53" t="s">
        <v>1482</v>
      </c>
      <c r="B96" s="53" t="s">
        <v>1483</v>
      </c>
      <c r="C96" s="53" t="s">
        <v>1484</v>
      </c>
      <c r="D96" s="514"/>
      <c r="E96" s="53"/>
      <c r="F96" s="53"/>
      <c r="G96" s="53"/>
      <c r="H96" s="53"/>
      <c r="I96" s="53"/>
    </row>
    <row r="97" spans="1:10" x14ac:dyDescent="0.25">
      <c r="A97" s="53" t="s">
        <v>211</v>
      </c>
      <c r="B97" s="53" t="s">
        <v>212</v>
      </c>
      <c r="C97" s="53" t="s">
        <v>213</v>
      </c>
      <c r="D97" s="514"/>
      <c r="E97" s="53"/>
      <c r="F97" s="53" t="s">
        <v>1485</v>
      </c>
      <c r="G97" s="53" t="s">
        <v>1486</v>
      </c>
      <c r="H97" s="53"/>
      <c r="I97" s="53"/>
      <c r="J97" t="s">
        <v>1487</v>
      </c>
    </row>
    <row r="98" spans="1:10" ht="15.75" thickBot="1" x14ac:dyDescent="0.3">
      <c r="A98" s="53" t="s">
        <v>1488</v>
      </c>
      <c r="B98" s="53"/>
      <c r="C98" s="53" t="s">
        <v>1489</v>
      </c>
      <c r="D98" s="514"/>
      <c r="E98" s="53"/>
      <c r="F98" s="53"/>
      <c r="G98" s="53"/>
      <c r="H98" s="53"/>
      <c r="I98" s="53"/>
    </row>
    <row r="99" spans="1:10" ht="15.75" thickBot="1" x14ac:dyDescent="0.3">
      <c r="A99" s="97" t="s">
        <v>171</v>
      </c>
      <c r="B99" s="99"/>
      <c r="C99" s="99" t="s">
        <v>172</v>
      </c>
      <c r="D99" s="518"/>
      <c r="E99" s="99"/>
      <c r="F99" s="99"/>
      <c r="G99" s="99"/>
      <c r="H99" s="92" t="s">
        <v>1393</v>
      </c>
      <c r="I99" s="100"/>
    </row>
    <row r="100" spans="1:10" x14ac:dyDescent="0.25">
      <c r="A100" s="603" t="s">
        <v>206</v>
      </c>
      <c r="B100" s="53" t="s">
        <v>207</v>
      </c>
      <c r="C100" s="53" t="s">
        <v>208</v>
      </c>
      <c r="D100" s="514"/>
      <c r="E100" s="53"/>
      <c r="F100" s="53"/>
      <c r="G100" s="53" t="s">
        <v>1490</v>
      </c>
      <c r="H100" s="53"/>
      <c r="I100" s="53"/>
    </row>
    <row r="101" spans="1:10" x14ac:dyDescent="0.25">
      <c r="A101" s="53" t="s">
        <v>122</v>
      </c>
      <c r="B101" s="53" t="s">
        <v>123</v>
      </c>
      <c r="C101" s="53" t="s">
        <v>124</v>
      </c>
      <c r="D101" s="514"/>
      <c r="E101" s="53"/>
      <c r="F101" s="53" t="s">
        <v>1491</v>
      </c>
      <c r="G101" s="53" t="s">
        <v>1492</v>
      </c>
      <c r="H101" s="53"/>
      <c r="I101" s="53"/>
    </row>
    <row r="102" spans="1:10" x14ac:dyDescent="0.25">
      <c r="A102" s="53" t="s">
        <v>40</v>
      </c>
      <c r="B102" s="53" t="s">
        <v>41</v>
      </c>
      <c r="C102" s="53" t="s">
        <v>42</v>
      </c>
      <c r="D102" s="514"/>
      <c r="E102" s="53"/>
      <c r="F102" s="53"/>
      <c r="G102" s="53" t="s">
        <v>1493</v>
      </c>
      <c r="H102" s="53"/>
      <c r="I102" s="53"/>
    </row>
    <row r="103" spans="1:10" x14ac:dyDescent="0.25">
      <c r="A103" s="94" t="s">
        <v>152</v>
      </c>
      <c r="B103" s="94" t="s">
        <v>153</v>
      </c>
      <c r="C103" s="94" t="s">
        <v>154</v>
      </c>
      <c r="D103" s="515"/>
      <c r="E103" s="94"/>
      <c r="F103" s="94" t="s">
        <v>1494</v>
      </c>
      <c r="G103" s="94" t="s">
        <v>1495</v>
      </c>
      <c r="H103" s="94"/>
      <c r="I103" s="94"/>
    </row>
    <row r="104" spans="1:10" x14ac:dyDescent="0.25">
      <c r="A104" s="53" t="s">
        <v>713</v>
      </c>
      <c r="B104" s="53" t="s">
        <v>714</v>
      </c>
      <c r="C104" s="53" t="s">
        <v>154</v>
      </c>
      <c r="D104" s="514"/>
      <c r="E104" s="53"/>
      <c r="F104" s="53"/>
      <c r="G104" s="53"/>
      <c r="H104" s="53"/>
      <c r="I104" s="53"/>
    </row>
    <row r="105" spans="1:10" x14ac:dyDescent="0.25">
      <c r="A105" s="53" t="s">
        <v>185</v>
      </c>
      <c r="B105" s="53" t="s">
        <v>186</v>
      </c>
      <c r="C105" s="53" t="s">
        <v>187</v>
      </c>
      <c r="D105" s="514"/>
      <c r="E105" s="53"/>
      <c r="F105" s="53" t="s">
        <v>1496</v>
      </c>
      <c r="G105" s="53" t="s">
        <v>1497</v>
      </c>
      <c r="H105" s="53"/>
      <c r="I105" s="53"/>
    </row>
    <row r="106" spans="1:10" x14ac:dyDescent="0.25">
      <c r="A106" s="53" t="s">
        <v>1173</v>
      </c>
      <c r="B106" s="53" t="s">
        <v>1174</v>
      </c>
      <c r="C106" s="53" t="s">
        <v>187</v>
      </c>
      <c r="D106" s="514"/>
      <c r="E106" s="53"/>
      <c r="F106" s="53"/>
      <c r="G106" s="53" t="s">
        <v>1498</v>
      </c>
      <c r="H106" s="53"/>
      <c r="I106" s="53"/>
    </row>
    <row r="107" spans="1:10" x14ac:dyDescent="0.25">
      <c r="A107" s="53" t="s">
        <v>291</v>
      </c>
      <c r="B107" s="53" t="s">
        <v>292</v>
      </c>
      <c r="C107" s="53" t="s">
        <v>293</v>
      </c>
      <c r="D107" s="514"/>
      <c r="E107" s="53"/>
      <c r="F107" s="53" t="s">
        <v>291</v>
      </c>
      <c r="G107" s="53" t="s">
        <v>1499</v>
      </c>
      <c r="H107" s="53"/>
      <c r="I107" s="53"/>
    </row>
    <row r="108" spans="1:10" x14ac:dyDescent="0.25">
      <c r="A108" s="53" t="s">
        <v>1500</v>
      </c>
      <c r="B108" s="53"/>
      <c r="C108" s="53" t="s">
        <v>293</v>
      </c>
      <c r="D108" s="514"/>
      <c r="E108" s="53"/>
      <c r="F108" s="53"/>
      <c r="G108" s="53"/>
      <c r="H108" s="53"/>
      <c r="I108" s="53"/>
    </row>
    <row r="109" spans="1:10" x14ac:dyDescent="0.25">
      <c r="A109" s="53" t="s">
        <v>287</v>
      </c>
      <c r="B109" s="53" t="s">
        <v>288</v>
      </c>
      <c r="C109" s="53" t="s">
        <v>289</v>
      </c>
      <c r="D109" s="514"/>
      <c r="E109" s="53"/>
      <c r="F109" s="53" t="s">
        <v>1501</v>
      </c>
      <c r="G109" s="53" t="s">
        <v>1502</v>
      </c>
      <c r="H109" s="53" t="s">
        <v>1503</v>
      </c>
      <c r="I109" s="53"/>
    </row>
    <row r="110" spans="1:10" x14ac:dyDescent="0.25">
      <c r="A110" s="94" t="s">
        <v>537</v>
      </c>
      <c r="B110" s="94" t="s">
        <v>538</v>
      </c>
      <c r="C110" s="94" t="s">
        <v>539</v>
      </c>
      <c r="D110" s="515"/>
      <c r="E110" s="94"/>
      <c r="F110" s="94"/>
      <c r="G110" s="94" t="s">
        <v>1504</v>
      </c>
      <c r="H110" s="94"/>
      <c r="I110" s="94"/>
    </row>
    <row r="111" spans="1:10" x14ac:dyDescent="0.25">
      <c r="A111" s="53" t="s">
        <v>1004</v>
      </c>
      <c r="B111" s="53" t="s">
        <v>1005</v>
      </c>
      <c r="C111" s="53" t="s">
        <v>539</v>
      </c>
      <c r="D111" s="514"/>
      <c r="E111" s="53"/>
      <c r="F111" s="53" t="s">
        <v>1505</v>
      </c>
      <c r="G111" s="53" t="s">
        <v>1506</v>
      </c>
      <c r="H111" s="53" t="s">
        <v>1507</v>
      </c>
      <c r="I111" s="53" t="s">
        <v>1508</v>
      </c>
    </row>
    <row r="112" spans="1:10" x14ac:dyDescent="0.25">
      <c r="A112" s="53" t="s">
        <v>401</v>
      </c>
      <c r="B112" s="53" t="s">
        <v>402</v>
      </c>
      <c r="C112" s="53" t="s">
        <v>403</v>
      </c>
      <c r="D112" s="514"/>
      <c r="E112" s="53"/>
      <c r="F112" s="53" t="s">
        <v>1509</v>
      </c>
      <c r="G112" s="53" t="s">
        <v>1510</v>
      </c>
      <c r="H112" s="53" t="s">
        <v>1511</v>
      </c>
      <c r="I112" s="53"/>
    </row>
    <row r="113" spans="1:9" x14ac:dyDescent="0.25">
      <c r="A113" s="53" t="s">
        <v>471</v>
      </c>
      <c r="B113" s="53"/>
      <c r="C113" s="53" t="s">
        <v>472</v>
      </c>
      <c r="D113" s="514"/>
      <c r="E113" s="53"/>
      <c r="F113" s="53"/>
      <c r="G113" s="53"/>
      <c r="H113" s="53"/>
      <c r="I113" s="53"/>
    </row>
    <row r="114" spans="1:9" x14ac:dyDescent="0.25">
      <c r="A114" s="53" t="s">
        <v>417</v>
      </c>
      <c r="B114" s="53" t="s">
        <v>418</v>
      </c>
      <c r="C114" s="53" t="s">
        <v>419</v>
      </c>
      <c r="D114" s="514"/>
      <c r="E114" s="53"/>
      <c r="F114" s="53"/>
      <c r="G114" s="53" t="s">
        <v>1512</v>
      </c>
      <c r="H114" s="53"/>
      <c r="I114" s="53"/>
    </row>
    <row r="115" spans="1:9" x14ac:dyDescent="0.25">
      <c r="A115" s="53" t="s">
        <v>407</v>
      </c>
      <c r="B115" s="53" t="s">
        <v>408</v>
      </c>
      <c r="C115" s="53" t="s">
        <v>409</v>
      </c>
      <c r="D115" s="514"/>
      <c r="E115" s="53"/>
      <c r="F115" s="53"/>
      <c r="G115" s="53" t="s">
        <v>1513</v>
      </c>
      <c r="H115" s="53"/>
      <c r="I115" s="53"/>
    </row>
    <row r="116" spans="1:9" x14ac:dyDescent="0.25">
      <c r="A116" s="53" t="s">
        <v>280</v>
      </c>
      <c r="B116" s="53" t="s">
        <v>281</v>
      </c>
      <c r="C116" s="53" t="s">
        <v>282</v>
      </c>
      <c r="D116" s="514"/>
      <c r="E116" s="53"/>
      <c r="F116" s="53"/>
      <c r="G116" s="53"/>
      <c r="H116" s="53"/>
      <c r="I116" s="53"/>
    </row>
    <row r="117" spans="1:9" x14ac:dyDescent="0.25">
      <c r="A117" s="53" t="s">
        <v>558</v>
      </c>
      <c r="B117" s="53" t="s">
        <v>559</v>
      </c>
      <c r="C117" s="53" t="s">
        <v>560</v>
      </c>
      <c r="D117" s="514"/>
      <c r="E117" s="53"/>
      <c r="F117" s="53"/>
      <c r="G117" s="53" t="s">
        <v>1514</v>
      </c>
      <c r="H117" s="53" t="s">
        <v>1515</v>
      </c>
      <c r="I117" s="53"/>
    </row>
    <row r="118" spans="1:9" x14ac:dyDescent="0.25">
      <c r="A118" s="53" t="s">
        <v>36</v>
      </c>
      <c r="B118" s="53" t="s">
        <v>1516</v>
      </c>
      <c r="C118" s="53" t="s">
        <v>38</v>
      </c>
      <c r="D118" s="514"/>
      <c r="E118" s="53"/>
      <c r="F118" s="53"/>
      <c r="G118" s="53" t="s">
        <v>1517</v>
      </c>
      <c r="H118" s="53"/>
      <c r="I118" s="53"/>
    </row>
    <row r="119" spans="1:9" x14ac:dyDescent="0.25">
      <c r="A119" s="53" t="s">
        <v>1518</v>
      </c>
      <c r="B119" s="53"/>
      <c r="C119" s="53" t="s">
        <v>1519</v>
      </c>
      <c r="D119" s="514"/>
      <c r="E119" s="53"/>
      <c r="F119" s="53"/>
      <c r="G119" s="53"/>
      <c r="H119" s="53"/>
      <c r="I119" s="53"/>
    </row>
    <row r="120" spans="1:9" x14ac:dyDescent="0.25">
      <c r="A120" s="53" t="s">
        <v>483</v>
      </c>
      <c r="B120" s="53" t="s">
        <v>484</v>
      </c>
      <c r="C120" s="53" t="s">
        <v>485</v>
      </c>
      <c r="D120" s="514"/>
      <c r="E120" s="53"/>
      <c r="F120" s="53"/>
      <c r="G120" s="53" t="s">
        <v>1520</v>
      </c>
      <c r="H120" s="53"/>
      <c r="I120" s="53"/>
    </row>
    <row r="121" spans="1:9" x14ac:dyDescent="0.25">
      <c r="A121" s="53" t="s">
        <v>371</v>
      </c>
      <c r="B121" s="53" t="s">
        <v>372</v>
      </c>
      <c r="C121" s="53" t="s">
        <v>373</v>
      </c>
      <c r="D121" s="514"/>
      <c r="E121" s="53"/>
      <c r="F121" s="53"/>
      <c r="G121" s="53"/>
      <c r="H121" s="53"/>
      <c r="I121" s="53"/>
    </row>
    <row r="122" spans="1:9" x14ac:dyDescent="0.25">
      <c r="A122" s="53" t="s">
        <v>412</v>
      </c>
      <c r="B122" s="53" t="s">
        <v>413</v>
      </c>
      <c r="C122" s="53" t="s">
        <v>414</v>
      </c>
      <c r="D122" s="514"/>
      <c r="E122" s="53"/>
      <c r="F122" s="53"/>
      <c r="G122" s="53" t="s">
        <v>1521</v>
      </c>
      <c r="H122" s="53"/>
      <c r="I122" s="53"/>
    </row>
    <row r="123" spans="1:9" x14ac:dyDescent="0.25">
      <c r="A123" s="53" t="s">
        <v>1522</v>
      </c>
      <c r="B123" s="53"/>
      <c r="C123" s="53" t="s">
        <v>1523</v>
      </c>
      <c r="D123" s="514"/>
      <c r="E123" s="53"/>
      <c r="F123" s="53"/>
      <c r="G123" s="53"/>
      <c r="H123" s="53"/>
      <c r="I123" s="53"/>
    </row>
    <row r="124" spans="1:9" x14ac:dyDescent="0.25">
      <c r="A124" s="53" t="s">
        <v>219</v>
      </c>
      <c r="B124" s="53" t="s">
        <v>220</v>
      </c>
      <c r="C124" s="53" t="s">
        <v>221</v>
      </c>
      <c r="D124" s="514"/>
      <c r="E124" s="53"/>
      <c r="F124" s="53"/>
      <c r="G124" s="53" t="s">
        <v>1524</v>
      </c>
      <c r="H124" s="53"/>
      <c r="I124" s="53"/>
    </row>
    <row r="125" spans="1:9" x14ac:dyDescent="0.25">
      <c r="A125" s="315" t="s">
        <v>181</v>
      </c>
      <c r="B125" s="53" t="s">
        <v>182</v>
      </c>
      <c r="C125" s="53" t="s">
        <v>183</v>
      </c>
      <c r="D125" s="514"/>
      <c r="E125" s="53"/>
      <c r="F125" s="53"/>
      <c r="G125" s="53" t="s">
        <v>1525</v>
      </c>
      <c r="H125" s="53"/>
      <c r="I125" s="53"/>
    </row>
    <row r="126" spans="1:9" x14ac:dyDescent="0.25">
      <c r="A126" s="53" t="s">
        <v>80</v>
      </c>
      <c r="B126" s="53" t="s">
        <v>81</v>
      </c>
      <c r="C126" s="53" t="s">
        <v>82</v>
      </c>
      <c r="D126" s="514"/>
      <c r="E126" s="53"/>
      <c r="F126" s="53"/>
      <c r="G126" s="53" t="s">
        <v>1526</v>
      </c>
      <c r="H126" s="53"/>
      <c r="I126" s="53"/>
    </row>
    <row r="127" spans="1:9" x14ac:dyDescent="0.25">
      <c r="A127" s="53" t="s">
        <v>1527</v>
      </c>
      <c r="B127" s="53"/>
      <c r="C127" s="53" t="s">
        <v>719</v>
      </c>
      <c r="D127" s="514"/>
      <c r="E127" s="53"/>
      <c r="F127" s="53"/>
      <c r="G127" s="53"/>
      <c r="H127" s="53"/>
      <c r="I127" s="53"/>
    </row>
    <row r="128" spans="1:9" x14ac:dyDescent="0.25">
      <c r="A128" s="53" t="s">
        <v>717</v>
      </c>
      <c r="B128" s="53" t="s">
        <v>718</v>
      </c>
      <c r="C128" s="53" t="s">
        <v>719</v>
      </c>
      <c r="D128" s="514"/>
      <c r="E128" s="53"/>
      <c r="F128" s="53" t="s">
        <v>1528</v>
      </c>
      <c r="G128" s="53"/>
      <c r="H128" s="53"/>
      <c r="I128" s="53"/>
    </row>
    <row r="129" spans="1:9" ht="15.75" thickBot="1" x14ac:dyDescent="0.3">
      <c r="A129" s="53" t="s">
        <v>785</v>
      </c>
      <c r="B129" s="53" t="s">
        <v>786</v>
      </c>
      <c r="C129" s="53" t="s">
        <v>719</v>
      </c>
      <c r="D129" s="514"/>
      <c r="E129" s="53"/>
      <c r="F129" s="53"/>
      <c r="G129" s="53" t="s">
        <v>1529</v>
      </c>
      <c r="H129" s="53" t="s">
        <v>1530</v>
      </c>
      <c r="I129" s="53"/>
    </row>
    <row r="130" spans="1:9" ht="15.75" thickBot="1" x14ac:dyDescent="0.3">
      <c r="A130" s="104" t="s">
        <v>74</v>
      </c>
      <c r="B130" s="105"/>
      <c r="C130" s="105" t="s">
        <v>75</v>
      </c>
      <c r="D130" s="519"/>
      <c r="E130" s="106"/>
      <c r="F130" s="105"/>
      <c r="G130" s="105"/>
      <c r="H130" s="107" t="s">
        <v>1393</v>
      </c>
      <c r="I130" s="108" t="s">
        <v>1177</v>
      </c>
    </row>
    <row r="131" spans="1:9" x14ac:dyDescent="0.25">
      <c r="A131" s="603" t="s">
        <v>443</v>
      </c>
      <c r="B131" s="53" t="s">
        <v>444</v>
      </c>
      <c r="C131" s="53" t="s">
        <v>75</v>
      </c>
      <c r="D131" s="514"/>
      <c r="E131" s="53"/>
      <c r="F131" s="53" t="s">
        <v>1531</v>
      </c>
      <c r="G131" s="53" t="s">
        <v>1532</v>
      </c>
      <c r="H131" s="53"/>
      <c r="I131" s="53"/>
    </row>
    <row r="132" spans="1:9" x14ac:dyDescent="0.25">
      <c r="A132" s="53" t="s">
        <v>162</v>
      </c>
      <c r="B132" s="53" t="s">
        <v>163</v>
      </c>
      <c r="C132" s="53" t="s">
        <v>164</v>
      </c>
      <c r="D132" s="514"/>
      <c r="E132" s="53"/>
      <c r="F132" s="53" t="s">
        <v>1533</v>
      </c>
      <c r="G132" s="53" t="s">
        <v>1534</v>
      </c>
      <c r="H132" s="53"/>
      <c r="I132" s="53"/>
    </row>
    <row r="133" spans="1:9" x14ac:dyDescent="0.25">
      <c r="A133" s="53" t="s">
        <v>134</v>
      </c>
      <c r="B133" s="53" t="s">
        <v>135</v>
      </c>
      <c r="C133" s="53" t="s">
        <v>136</v>
      </c>
      <c r="D133" s="514"/>
      <c r="E133" s="53"/>
      <c r="F133" s="53"/>
      <c r="G133" s="53" t="s">
        <v>1535</v>
      </c>
      <c r="H133" s="53"/>
      <c r="I133" s="53"/>
    </row>
    <row r="134" spans="1:9" ht="15.75" thickBot="1" x14ac:dyDescent="0.3">
      <c r="A134" s="53" t="s">
        <v>114</v>
      </c>
      <c r="B134" s="53" t="s">
        <v>115</v>
      </c>
      <c r="C134" s="53" t="s">
        <v>116</v>
      </c>
      <c r="D134" s="514"/>
      <c r="E134" s="53"/>
      <c r="F134" s="53"/>
      <c r="G134" s="53" t="s">
        <v>1536</v>
      </c>
      <c r="H134" s="53"/>
      <c r="I134" s="53"/>
    </row>
    <row r="135" spans="1:9" ht="15.75" thickBot="1" x14ac:dyDescent="0.3">
      <c r="A135" s="472" t="s">
        <v>138</v>
      </c>
      <c r="B135" s="105" t="s">
        <v>139</v>
      </c>
      <c r="C135" s="105" t="s">
        <v>140</v>
      </c>
      <c r="D135" s="520"/>
      <c r="E135" s="105"/>
      <c r="F135" s="105"/>
      <c r="G135" s="105" t="s">
        <v>1537</v>
      </c>
      <c r="H135" s="105"/>
      <c r="I135" s="473" t="s">
        <v>1180</v>
      </c>
    </row>
    <row r="136" spans="1:9" ht="30" x14ac:dyDescent="0.25">
      <c r="A136" s="603" t="s">
        <v>1017</v>
      </c>
      <c r="B136" s="53" t="s">
        <v>1018</v>
      </c>
      <c r="C136" s="53" t="s">
        <v>140</v>
      </c>
      <c r="D136" s="514"/>
      <c r="E136" s="53"/>
      <c r="F136" s="53" t="s">
        <v>1538</v>
      </c>
      <c r="G136" s="53" t="s">
        <v>1539</v>
      </c>
      <c r="H136" s="95" t="s">
        <v>1540</v>
      </c>
      <c r="I136" s="95" t="s">
        <v>1541</v>
      </c>
    </row>
    <row r="137" spans="1:9" ht="15.75" thickBot="1" x14ac:dyDescent="0.3">
      <c r="A137" s="53" t="s">
        <v>578</v>
      </c>
      <c r="B137" s="53" t="s">
        <v>579</v>
      </c>
      <c r="C137" s="53" t="s">
        <v>580</v>
      </c>
      <c r="D137" s="514"/>
      <c r="E137" s="53"/>
      <c r="F137" s="53"/>
      <c r="G137" s="53"/>
      <c r="H137" s="53"/>
      <c r="I137" s="53"/>
    </row>
    <row r="138" spans="1:9" ht="15.75" thickBot="1" x14ac:dyDescent="0.3">
      <c r="A138" s="346" t="s">
        <v>167</v>
      </c>
      <c r="B138" s="105" t="s">
        <v>168</v>
      </c>
      <c r="C138" s="105" t="s">
        <v>169</v>
      </c>
      <c r="D138" s="520"/>
      <c r="E138" s="105"/>
      <c r="F138" s="105"/>
      <c r="G138" s="105" t="s">
        <v>1542</v>
      </c>
      <c r="H138" s="105" t="s">
        <v>1543</v>
      </c>
      <c r="I138" s="108" t="s">
        <v>1177</v>
      </c>
    </row>
    <row r="139" spans="1:9" x14ac:dyDescent="0.25">
      <c r="A139" s="603" t="s">
        <v>843</v>
      </c>
      <c r="B139" s="53" t="s">
        <v>844</v>
      </c>
      <c r="C139" s="53" t="s">
        <v>169</v>
      </c>
      <c r="D139" s="514"/>
      <c r="E139" s="53"/>
      <c r="F139" s="53" t="s">
        <v>1544</v>
      </c>
      <c r="G139" s="53"/>
      <c r="H139" s="53" t="s">
        <v>1545</v>
      </c>
      <c r="I139" s="53" t="s">
        <v>1546</v>
      </c>
    </row>
    <row r="140" spans="1:9" x14ac:dyDescent="0.25">
      <c r="A140" s="53" t="s">
        <v>1547</v>
      </c>
      <c r="B140" s="53" t="s">
        <v>1548</v>
      </c>
      <c r="C140" s="53" t="s">
        <v>1549</v>
      </c>
      <c r="D140" s="514"/>
      <c r="E140" s="53"/>
      <c r="F140" s="53"/>
      <c r="G140" s="53"/>
      <c r="H140" s="53"/>
      <c r="I140" s="53"/>
    </row>
    <row r="141" spans="1:9" x14ac:dyDescent="0.25">
      <c r="A141" s="109" t="s">
        <v>1550</v>
      </c>
      <c r="B141" s="109" t="s">
        <v>1548</v>
      </c>
      <c r="C141" s="109" t="s">
        <v>1549</v>
      </c>
      <c r="D141" s="521"/>
      <c r="E141" s="109"/>
      <c r="F141" s="109"/>
      <c r="G141" s="109"/>
      <c r="H141" s="109"/>
      <c r="I141" s="109"/>
    </row>
  </sheetData>
  <autoFilter ref="A1:I141"/>
  <conditionalFormatting sqref="B2:B4 B66:B69 B81:B105 B134:B135 B71:B79 B132 B129:B130 B47:B48 B139:B141 H16 B13:B37 B137 B6:B9 B112:B127 B52:B63 B107:B109">
    <cfRule type="expression" dxfId="29" priority="39" stopIfTrue="1">
      <formula>ISBLANK(B2)</formula>
    </cfRule>
    <cfRule type="expression" dxfId="28" priority="40">
      <formula>IFERROR(FIND("@",B2),-1)&lt;0</formula>
    </cfRule>
  </conditionalFormatting>
  <conditionalFormatting sqref="B70">
    <cfRule type="expression" dxfId="27" priority="35" stopIfTrue="1">
      <formula>ISBLANK(B70)</formula>
    </cfRule>
    <cfRule type="expression" dxfId="26" priority="36">
      <formula>IFERROR(FIND("@",B70),-1)&lt;0</formula>
    </cfRule>
  </conditionalFormatting>
  <conditionalFormatting sqref="B65">
    <cfRule type="expression" dxfId="25" priority="33" stopIfTrue="1">
      <formula>ISBLANK(B65)</formula>
    </cfRule>
    <cfRule type="expression" dxfId="24" priority="34">
      <formula>IFERROR(FIND("@",B65),-1)&lt;0</formula>
    </cfRule>
  </conditionalFormatting>
  <conditionalFormatting sqref="B131">
    <cfRule type="expression" dxfId="23" priority="31" stopIfTrue="1">
      <formula>ISBLANK(B131)</formula>
    </cfRule>
    <cfRule type="expression" dxfId="22" priority="32">
      <formula>IFERROR(FIND("@",B131),-1)&lt;0</formula>
    </cfRule>
  </conditionalFormatting>
  <conditionalFormatting sqref="B43">
    <cfRule type="expression" dxfId="21" priority="29" stopIfTrue="1">
      <formula>ISBLANK(B43)</formula>
    </cfRule>
    <cfRule type="expression" dxfId="20" priority="30">
      <formula>IFERROR(FIND("@",B43),-1)&lt;0</formula>
    </cfRule>
  </conditionalFormatting>
  <conditionalFormatting sqref="B128">
    <cfRule type="expression" dxfId="19" priority="27" stopIfTrue="1">
      <formula>ISBLANK(B128)</formula>
    </cfRule>
    <cfRule type="expression" dxfId="18" priority="28">
      <formula>IFERROR(FIND("@",B128),-1)&lt;0</formula>
    </cfRule>
  </conditionalFormatting>
  <conditionalFormatting sqref="B138">
    <cfRule type="expression" dxfId="17" priority="25" stopIfTrue="1">
      <formula>ISBLANK(B138)</formula>
    </cfRule>
    <cfRule type="expression" dxfId="16" priority="26">
      <formula>IFERROR(FIND("@",B138),-1)&lt;0</formula>
    </cfRule>
  </conditionalFormatting>
  <conditionalFormatting sqref="B5">
    <cfRule type="expression" dxfId="15" priority="17" stopIfTrue="1">
      <formula>ISBLANK(B5)</formula>
    </cfRule>
    <cfRule type="expression" dxfId="14" priority="18">
      <formula>IFERROR(FIND("@",B5),-1)&lt;0</formula>
    </cfRule>
  </conditionalFormatting>
  <conditionalFormatting sqref="B111">
    <cfRule type="expression" dxfId="13" priority="15" stopIfTrue="1">
      <formula>ISBLANK(B111)</formula>
    </cfRule>
    <cfRule type="expression" dxfId="12" priority="16">
      <formula>IFERROR(FIND("@",B111),-1)&lt;0</formula>
    </cfRule>
  </conditionalFormatting>
  <conditionalFormatting sqref="B110">
    <cfRule type="expression" dxfId="11" priority="13" stopIfTrue="1">
      <formula>ISBLANK(B110)</formula>
    </cfRule>
    <cfRule type="expression" dxfId="10" priority="14">
      <formula>IFERROR(FIND("@",B110),-1)&lt;0</formula>
    </cfRule>
  </conditionalFormatting>
  <conditionalFormatting sqref="B12">
    <cfRule type="expression" dxfId="9" priority="11" stopIfTrue="1">
      <formula>ISBLANK(B12)</formula>
    </cfRule>
    <cfRule type="expression" dxfId="8" priority="12">
      <formula>IFERROR(FIND("@",B12),-1)&lt;0</formula>
    </cfRule>
  </conditionalFormatting>
  <conditionalFormatting sqref="B42">
    <cfRule type="expression" dxfId="7" priority="9" stopIfTrue="1">
      <formula>ISBLANK(B42)</formula>
    </cfRule>
    <cfRule type="expression" dxfId="6" priority="10">
      <formula>IFERROR(FIND("@",B42),-1)&lt;0</formula>
    </cfRule>
  </conditionalFormatting>
  <conditionalFormatting sqref="B51">
    <cfRule type="expression" dxfId="5" priority="7" stopIfTrue="1">
      <formula>ISBLANK(B51)</formula>
    </cfRule>
    <cfRule type="expression" dxfId="4" priority="8">
      <formula>IFERROR(FIND("@",B51),-1)&lt;0</formula>
    </cfRule>
  </conditionalFormatting>
  <conditionalFormatting sqref="B50">
    <cfRule type="expression" dxfId="3" priority="5" stopIfTrue="1">
      <formula>ISBLANK(B50)</formula>
    </cfRule>
    <cfRule type="expression" dxfId="2" priority="6">
      <formula>IFERROR(FIND("@",B50),-1)&lt;0</formula>
    </cfRule>
  </conditionalFormatting>
  <conditionalFormatting sqref="B106">
    <cfRule type="expression" dxfId="1" priority="1" stopIfTrue="1">
      <formula>ISBLANK(B106)</formula>
    </cfRule>
    <cfRule type="expression" dxfId="0" priority="2">
      <formula>IFERROR(FIND("@",B106),-1)&lt;0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C20"/>
  <sheetViews>
    <sheetView workbookViewId="0"/>
  </sheetViews>
  <sheetFormatPr baseColWidth="10" defaultColWidth="10.7109375" defaultRowHeight="15" x14ac:dyDescent="0.25"/>
  <cols>
    <col min="1" max="1" width="25.28515625" customWidth="1"/>
    <col min="2" max="2" width="22.42578125" bestFit="1" customWidth="1"/>
    <col min="3" max="3" width="12.5703125" customWidth="1"/>
  </cols>
  <sheetData>
    <row r="1" spans="1:3" ht="18.75" x14ac:dyDescent="0.3">
      <c r="A1" s="71" t="s">
        <v>1551</v>
      </c>
    </row>
    <row r="3" spans="1:3" x14ac:dyDescent="0.25">
      <c r="B3" s="24" t="s">
        <v>1552</v>
      </c>
    </row>
    <row r="4" spans="1:3" x14ac:dyDescent="0.25">
      <c r="A4" s="24" t="s">
        <v>1553</v>
      </c>
      <c r="B4" t="s">
        <v>58</v>
      </c>
      <c r="C4" t="s">
        <v>1278</v>
      </c>
    </row>
    <row r="5" spans="1:3" x14ac:dyDescent="0.25">
      <c r="A5" s="70" t="s">
        <v>74</v>
      </c>
    </row>
    <row r="6" spans="1:3" x14ac:dyDescent="0.25">
      <c r="A6" s="70" t="s">
        <v>177</v>
      </c>
    </row>
    <row r="7" spans="1:3" x14ac:dyDescent="0.25">
      <c r="A7" s="70" t="s">
        <v>280</v>
      </c>
    </row>
    <row r="8" spans="1:3" x14ac:dyDescent="0.25">
      <c r="A8" s="70" t="s">
        <v>479</v>
      </c>
    </row>
    <row r="9" spans="1:3" x14ac:dyDescent="0.25">
      <c r="A9" s="70" t="s">
        <v>40</v>
      </c>
    </row>
    <row r="10" spans="1:3" x14ac:dyDescent="0.25">
      <c r="A10" s="70" t="s">
        <v>259</v>
      </c>
    </row>
    <row r="11" spans="1:3" x14ac:dyDescent="0.25">
      <c r="A11" s="70" t="s">
        <v>171</v>
      </c>
    </row>
    <row r="12" spans="1:3" x14ac:dyDescent="0.25">
      <c r="A12" s="70" t="s">
        <v>303</v>
      </c>
    </row>
    <row r="13" spans="1:3" x14ac:dyDescent="0.25">
      <c r="A13" s="70" t="s">
        <v>397</v>
      </c>
    </row>
    <row r="14" spans="1:3" x14ac:dyDescent="0.25">
      <c r="A14" s="70" t="s">
        <v>1554</v>
      </c>
    </row>
    <row r="15" spans="1:3" x14ac:dyDescent="0.25">
      <c r="A15" s="70" t="s">
        <v>319</v>
      </c>
    </row>
    <row r="16" spans="1:3" x14ac:dyDescent="0.25">
      <c r="A16" s="70" t="s">
        <v>410</v>
      </c>
    </row>
    <row r="17" spans="1:1" x14ac:dyDescent="0.25">
      <c r="A17" s="70" t="s">
        <v>1278</v>
      </c>
    </row>
    <row r="18" spans="1:1" x14ac:dyDescent="0.25">
      <c r="A18" s="70"/>
    </row>
    <row r="19" spans="1:1" x14ac:dyDescent="0.25">
      <c r="A19" s="70"/>
    </row>
    <row r="20" spans="1:1" ht="15.75" x14ac:dyDescent="0.25">
      <c r="A20" s="72" t="s">
        <v>1555</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Vigilancia</vt:lpstr>
      <vt:lpstr>RESUMEN VIGILANCIA</vt:lpstr>
      <vt:lpstr>CUOTAS</vt:lpstr>
      <vt:lpstr>Saldos</vt:lpstr>
      <vt:lpstr>Cobranzas</vt:lpstr>
      <vt:lpstr>R.VIGILANCIA (reordenado)</vt:lpstr>
      <vt:lpstr>R.INGRESOS</vt:lpstr>
      <vt:lpstr>RESUMEN OTROS</vt:lpstr>
      <vt:lpstr>Proyectos</vt:lpstr>
      <vt:lpstr>Vecinos</vt:lpstr>
      <vt:lpstr>Varios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MColosso</cp:lastModifiedBy>
  <cp:revision/>
  <cp:lastPrinted>2020-03-23T01:28:01Z</cp:lastPrinted>
  <dcterms:created xsi:type="dcterms:W3CDTF">2016-11-17T20:51:53Z</dcterms:created>
  <dcterms:modified xsi:type="dcterms:W3CDTF">2020-03-23T01:38:31Z</dcterms:modified>
  <cp:category/>
  <cp:contentStatus/>
</cp:coreProperties>
</file>